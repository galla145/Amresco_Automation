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SR\"/>
    </mc:Choice>
  </mc:AlternateContent>
  <xr:revisionPtr revIDLastSave="26" documentId="13_ncr:1_{BD853764-2BB6-4A9D-A8F9-90D6025208C0}" xr6:coauthVersionLast="47" xr6:coauthVersionMax="47" xr10:uidLastSave="{61B61B5E-EC45-445F-94A8-9FAF0FA71D0D}"/>
  <bookViews>
    <workbookView xWindow="-108" yWindow="-108" windowWidth="23256" windowHeight="13896" tabRatio="866" firstSheet="16" activeTab="1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 name="MG" sheetId="73" r:id="rId19"/>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73" l="1"/>
  <c r="I6" i="73" s="1"/>
  <c r="E6" i="73"/>
  <c r="H5" i="73"/>
  <c r="I5" i="73" s="1"/>
  <c r="E5" i="73"/>
  <c r="G2" i="73"/>
  <c r="D2" i="73"/>
  <c r="C2" i="73"/>
  <c r="A1" i="73" a="1"/>
  <c r="A1" i="73" s="1"/>
  <c r="H69" i="32"/>
  <c r="I69" i="32" s="1"/>
  <c r="H70" i="32"/>
  <c r="I70" i="32" s="1"/>
  <c r="E69" i="32"/>
  <c r="F69" i="32" s="1"/>
  <c r="E70" i="32"/>
  <c r="F70" i="32" s="1"/>
  <c r="G21" i="29"/>
  <c r="G22" i="29"/>
  <c r="G23" i="29"/>
  <c r="G24" i="29"/>
  <c r="G25" i="29"/>
  <c r="G26" i="29"/>
  <c r="G27" i="29"/>
  <c r="G28" i="29"/>
  <c r="G29" i="29"/>
  <c r="G30" i="29"/>
  <c r="G31" i="29"/>
  <c r="G32" i="29"/>
  <c r="G33" i="29"/>
  <c r="G34" i="29"/>
  <c r="G35" i="29"/>
  <c r="G36" i="29"/>
  <c r="G37" i="29"/>
  <c r="G38" i="29"/>
  <c r="G39" i="29"/>
  <c r="G40" i="29"/>
  <c r="G41" i="29"/>
  <c r="G42" i="29"/>
  <c r="G43" i="29"/>
  <c r="G44" i="29"/>
  <c r="G45" i="29"/>
  <c r="G46" i="29"/>
  <c r="G47" i="29"/>
  <c r="G48" i="29"/>
  <c r="G49" i="29"/>
  <c r="G50" i="29"/>
  <c r="G51" i="29"/>
  <c r="G52" i="29"/>
  <c r="G53" i="29"/>
  <c r="G54" i="29"/>
  <c r="G55" i="29"/>
  <c r="G56" i="29"/>
  <c r="G57" i="29"/>
  <c r="G58" i="29"/>
  <c r="G59" i="29"/>
  <c r="G60" i="29"/>
  <c r="G61" i="29"/>
  <c r="G62" i="29"/>
  <c r="G63" i="29"/>
  <c r="G64" i="29"/>
  <c r="G65" i="29"/>
  <c r="G66" i="29"/>
  <c r="G67" i="29"/>
  <c r="G68" i="29"/>
  <c r="G69" i="29"/>
  <c r="H69" i="29"/>
  <c r="I69" i="29" s="1"/>
  <c r="G70" i="29"/>
  <c r="H70" i="29"/>
  <c r="I70" i="29"/>
  <c r="E70" i="29"/>
  <c r="F70" i="29"/>
  <c r="C20" i="29"/>
  <c r="D20" i="29"/>
  <c r="C21" i="29"/>
  <c r="D21" i="29"/>
  <c r="C22" i="29"/>
  <c r="D22" i="29"/>
  <c r="C23" i="29"/>
  <c r="D23" i="29"/>
  <c r="C24" i="29"/>
  <c r="D24" i="29"/>
  <c r="C25" i="29"/>
  <c r="D25" i="29"/>
  <c r="C26" i="29"/>
  <c r="D26" i="29"/>
  <c r="C27" i="29"/>
  <c r="D27" i="29"/>
  <c r="C28" i="29"/>
  <c r="D28" i="29"/>
  <c r="C29" i="29"/>
  <c r="D29" i="29"/>
  <c r="C30" i="29"/>
  <c r="D30" i="29"/>
  <c r="C31" i="29"/>
  <c r="D31" i="29"/>
  <c r="C32" i="29"/>
  <c r="D32" i="29"/>
  <c r="C33" i="29"/>
  <c r="D33" i="29"/>
  <c r="C34" i="29"/>
  <c r="D34" i="29"/>
  <c r="C35" i="29"/>
  <c r="D35" i="29"/>
  <c r="C36" i="29"/>
  <c r="D36" i="29"/>
  <c r="C37" i="29"/>
  <c r="D37" i="29"/>
  <c r="C38" i="29"/>
  <c r="D38" i="29"/>
  <c r="C39" i="29"/>
  <c r="D39" i="29"/>
  <c r="C40" i="29"/>
  <c r="D40" i="29"/>
  <c r="C41" i="29"/>
  <c r="D41" i="29"/>
  <c r="C42" i="29"/>
  <c r="D42" i="29"/>
  <c r="C43" i="29"/>
  <c r="D43" i="29"/>
  <c r="C44" i="29"/>
  <c r="D44" i="29"/>
  <c r="C45" i="29"/>
  <c r="D45" i="29"/>
  <c r="C46" i="29"/>
  <c r="D46" i="29"/>
  <c r="C47" i="29"/>
  <c r="D47" i="29"/>
  <c r="C48" i="29"/>
  <c r="D48" i="29"/>
  <c r="C49" i="29"/>
  <c r="D49" i="29"/>
  <c r="C50" i="29"/>
  <c r="D50" i="29"/>
  <c r="C51" i="29"/>
  <c r="D51" i="29"/>
  <c r="C52" i="29"/>
  <c r="D52" i="29"/>
  <c r="C53" i="29"/>
  <c r="D53" i="29"/>
  <c r="C54" i="29"/>
  <c r="D54" i="29"/>
  <c r="C55" i="29"/>
  <c r="D55" i="29"/>
  <c r="C56" i="29"/>
  <c r="D56" i="29"/>
  <c r="C57" i="29"/>
  <c r="D57" i="29"/>
  <c r="C58" i="29"/>
  <c r="D58" i="29"/>
  <c r="C59" i="29"/>
  <c r="D59" i="29"/>
  <c r="C60" i="29"/>
  <c r="D60" i="29"/>
  <c r="C61" i="29"/>
  <c r="D61" i="29"/>
  <c r="C62" i="29"/>
  <c r="D62" i="29"/>
  <c r="C63" i="29"/>
  <c r="D63" i="29"/>
  <c r="C64" i="29"/>
  <c r="D64" i="29"/>
  <c r="C65" i="29"/>
  <c r="D65" i="29"/>
  <c r="C66" i="29"/>
  <c r="D66" i="29"/>
  <c r="C67" i="29"/>
  <c r="D67" i="29"/>
  <c r="C68" i="29"/>
  <c r="D68" i="29"/>
  <c r="C69" i="29"/>
  <c r="D69" i="29"/>
  <c r="D19" i="29"/>
  <c r="C19" i="29"/>
  <c r="J2" i="73" l="1"/>
  <c r="H2" i="73"/>
  <c r="I2" i="73" s="1"/>
  <c r="E2" i="73"/>
  <c r="F2" i="73" s="1"/>
  <c r="F52" i="27"/>
  <c r="E52" i="27"/>
  <c r="C69" i="30"/>
  <c r="C69" i="34" s="1"/>
  <c r="D69" i="30"/>
  <c r="G69" i="30"/>
  <c r="H69" i="30"/>
  <c r="C70" i="30"/>
  <c r="C70" i="34" s="1"/>
  <c r="D70" i="30"/>
  <c r="D70" i="34" s="1"/>
  <c r="G70" i="30"/>
  <c r="G70" i="34" s="1"/>
  <c r="H70" i="30"/>
  <c r="H70" i="34" s="1"/>
  <c r="F69" i="31"/>
  <c r="F70" i="31"/>
  <c r="F6" i="28"/>
  <c r="F7" i="28"/>
  <c r="F8" i="28"/>
  <c r="F9" i="28"/>
  <c r="F10" i="28"/>
  <c r="F11" i="28"/>
  <c r="F12" i="28"/>
  <c r="F13" i="28"/>
  <c r="F14" i="28"/>
  <c r="F15" i="28"/>
  <c r="F16" i="28"/>
  <c r="F17" i="28"/>
  <c r="F18" i="28"/>
  <c r="F19" i="28"/>
  <c r="F20" i="28"/>
  <c r="F21" i="28"/>
  <c r="F22" i="28"/>
  <c r="F23" i="28"/>
  <c r="F24" i="28"/>
  <c r="F25" i="28"/>
  <c r="F26" i="28"/>
  <c r="F27" i="28"/>
  <c r="F28" i="28"/>
  <c r="F29" i="28"/>
  <c r="F30" i="28"/>
  <c r="F31" i="28"/>
  <c r="F32" i="28"/>
  <c r="F33" i="28"/>
  <c r="F34" i="28"/>
  <c r="F35" i="28"/>
  <c r="F36" i="28"/>
  <c r="F37" i="28"/>
  <c r="F38" i="28"/>
  <c r="F39" i="28"/>
  <c r="F40" i="28"/>
  <c r="F41" i="28"/>
  <c r="F42" i="28"/>
  <c r="F43" i="28"/>
  <c r="F44" i="28"/>
  <c r="F45" i="28"/>
  <c r="F46" i="28"/>
  <c r="F47" i="28"/>
  <c r="F48" i="28"/>
  <c r="F49" i="28"/>
  <c r="F50" i="28"/>
  <c r="F51" i="28"/>
  <c r="F52" i="28"/>
  <c r="F53" i="28"/>
  <c r="F54" i="28"/>
  <c r="F55" i="28"/>
  <c r="F56" i="28"/>
  <c r="F57" i="28"/>
  <c r="F58" i="28"/>
  <c r="F59" i="28"/>
  <c r="F60" i="28"/>
  <c r="F61" i="28"/>
  <c r="F62" i="28"/>
  <c r="F63" i="28"/>
  <c r="F64" i="28"/>
  <c r="F65" i="28"/>
  <c r="F66" i="28"/>
  <c r="F67" i="28"/>
  <c r="F68" i="28"/>
  <c r="F69" i="28"/>
  <c r="E69" i="29"/>
  <c r="F69" i="29" s="1"/>
  <c r="H69" i="28"/>
  <c r="I69" i="28"/>
  <c r="I69" i="27"/>
  <c r="H69" i="27"/>
  <c r="F69" i="27"/>
  <c r="E69" i="27"/>
  <c r="I69" i="26"/>
  <c r="I69" i="30" l="1"/>
  <c r="E69" i="30"/>
  <c r="F69" i="30" s="1"/>
  <c r="I70" i="34"/>
  <c r="I70" i="30"/>
  <c r="E70" i="34"/>
  <c r="F70" i="34" s="1"/>
  <c r="E70" i="30"/>
  <c r="F70" i="30" s="1"/>
  <c r="E68" i="26"/>
  <c r="F68" i="26" s="1"/>
  <c r="H68" i="26"/>
  <c r="F40" i="19"/>
  <c r="F27" i="20"/>
  <c r="F28" i="20"/>
  <c r="F29" i="20"/>
  <c r="F30" i="20"/>
  <c r="F31" i="20"/>
  <c r="F32" i="20"/>
  <c r="F33" i="20"/>
  <c r="F34" i="20"/>
  <c r="F35" i="20"/>
  <c r="F36" i="20"/>
  <c r="F39" i="20"/>
  <c r="F69" i="20"/>
  <c r="E31" i="72"/>
  <c r="F18" i="20"/>
  <c r="F19" i="20"/>
  <c r="F20" i="20"/>
  <c r="F21" i="20"/>
  <c r="F22" i="20"/>
  <c r="F24" i="20"/>
  <c r="F25" i="20"/>
  <c r="F26" i="20"/>
  <c r="E9" i="4"/>
  <c r="E10" i="4"/>
  <c r="I69" i="20"/>
  <c r="I69" i="19"/>
  <c r="H68" i="29" l="1"/>
  <c r="I68" i="29" s="1"/>
  <c r="I68" i="26"/>
  <c r="H69" i="19"/>
  <c r="E69" i="19"/>
  <c r="F69" i="19" s="1"/>
  <c r="F18" i="19"/>
  <c r="F19" i="19"/>
  <c r="F20" i="19"/>
  <c r="F22" i="19"/>
  <c r="F24" i="19"/>
  <c r="F25" i="19"/>
  <c r="F26" i="19"/>
  <c r="F27" i="19"/>
  <c r="F28" i="19"/>
  <c r="F29" i="19"/>
  <c r="F30" i="19"/>
  <c r="F31" i="19"/>
  <c r="F32" i="19"/>
  <c r="F33" i="19"/>
  <c r="F34" i="19"/>
  <c r="F35" i="19"/>
  <c r="F36" i="19"/>
  <c r="F39" i="19"/>
  <c r="F42" i="19"/>
  <c r="F43" i="19"/>
  <c r="F51" i="19"/>
  <c r="F53" i="19"/>
  <c r="F56" i="19"/>
  <c r="F58" i="19"/>
  <c r="F60" i="19"/>
  <c r="F61" i="19"/>
  <c r="F62" i="19"/>
  <c r="F63" i="19"/>
  <c r="F64" i="19"/>
  <c r="G69" i="1" l="1"/>
  <c r="D69" i="1"/>
  <c r="D69" i="34" s="1"/>
  <c r="E69" i="34" s="1"/>
  <c r="F69" i="34" s="1"/>
  <c r="C69" i="1"/>
  <c r="C69" i="18"/>
  <c r="D69" i="18"/>
  <c r="H69" i="18"/>
  <c r="G69" i="18"/>
  <c r="G69" i="34" s="1"/>
  <c r="H22" i="21"/>
  <c r="H69" i="72"/>
  <c r="E69" i="72"/>
  <c r="I69" i="4"/>
  <c r="H69" i="4"/>
  <c r="H69" i="3"/>
  <c r="E69" i="3"/>
  <c r="E69" i="4"/>
  <c r="E48" i="3"/>
  <c r="H41" i="72"/>
  <c r="I41" i="72"/>
  <c r="C17" i="30"/>
  <c r="D17" i="30"/>
  <c r="G17" i="30"/>
  <c r="C18" i="30"/>
  <c r="D18" i="30"/>
  <c r="G18" i="30"/>
  <c r="C19" i="30"/>
  <c r="D19" i="30"/>
  <c r="G19" i="30"/>
  <c r="C20" i="30"/>
  <c r="D20" i="30"/>
  <c r="D20" i="34" s="1"/>
  <c r="G20" i="30"/>
  <c r="C21" i="30"/>
  <c r="D21" i="30"/>
  <c r="G21" i="30"/>
  <c r="C22" i="30"/>
  <c r="D22" i="30"/>
  <c r="G22" i="30"/>
  <c r="C23" i="30"/>
  <c r="D23" i="30"/>
  <c r="D23" i="34" s="1"/>
  <c r="G23" i="30"/>
  <c r="C24" i="30"/>
  <c r="D24" i="30"/>
  <c r="G24" i="30"/>
  <c r="C25" i="30"/>
  <c r="D25" i="30"/>
  <c r="G25" i="30"/>
  <c r="C26" i="30"/>
  <c r="D26" i="30"/>
  <c r="G26" i="30"/>
  <c r="C27" i="30"/>
  <c r="D27" i="30"/>
  <c r="G27" i="30"/>
  <c r="C28" i="30"/>
  <c r="D28" i="30"/>
  <c r="G28" i="30"/>
  <c r="C29" i="30"/>
  <c r="D29" i="30"/>
  <c r="G29" i="30"/>
  <c r="C30" i="30"/>
  <c r="D30" i="30"/>
  <c r="G30" i="30"/>
  <c r="C31" i="30"/>
  <c r="D31" i="30"/>
  <c r="G31" i="30"/>
  <c r="C32" i="30"/>
  <c r="D32" i="30"/>
  <c r="D32" i="34" s="1"/>
  <c r="G32" i="30"/>
  <c r="C33" i="30"/>
  <c r="C33" i="34" s="1"/>
  <c r="D33" i="30"/>
  <c r="G33" i="30"/>
  <c r="C34" i="30"/>
  <c r="D34" i="30"/>
  <c r="G34" i="30"/>
  <c r="C35" i="30"/>
  <c r="D35" i="30"/>
  <c r="G35" i="30"/>
  <c r="C36" i="30"/>
  <c r="D36" i="30"/>
  <c r="D36" i="34" s="1"/>
  <c r="G36" i="30"/>
  <c r="C37" i="30"/>
  <c r="D37" i="30"/>
  <c r="G37" i="30"/>
  <c r="C38" i="30"/>
  <c r="D38" i="30"/>
  <c r="G38" i="30"/>
  <c r="C39" i="30"/>
  <c r="D39" i="30"/>
  <c r="G39" i="30"/>
  <c r="C40" i="30"/>
  <c r="D40" i="30"/>
  <c r="G40" i="30"/>
  <c r="C41" i="30"/>
  <c r="D41" i="30"/>
  <c r="G41" i="30"/>
  <c r="G41" i="34" s="1"/>
  <c r="C42" i="30"/>
  <c r="D42" i="30"/>
  <c r="G42" i="30"/>
  <c r="C43" i="30"/>
  <c r="D43" i="30"/>
  <c r="D43" i="34" s="1"/>
  <c r="G43" i="30"/>
  <c r="C44" i="30"/>
  <c r="D44" i="30"/>
  <c r="D44" i="34" s="1"/>
  <c r="G44" i="30"/>
  <c r="C45" i="30"/>
  <c r="D45" i="30"/>
  <c r="G45" i="30"/>
  <c r="C46" i="30"/>
  <c r="D46" i="30"/>
  <c r="G46" i="30"/>
  <c r="C47" i="30"/>
  <c r="D47" i="30"/>
  <c r="G47" i="30"/>
  <c r="C48" i="30"/>
  <c r="D48" i="30"/>
  <c r="G48" i="30"/>
  <c r="C49" i="30"/>
  <c r="E49" i="30" s="1"/>
  <c r="F49" i="30" s="1"/>
  <c r="D49" i="30"/>
  <c r="G49" i="30"/>
  <c r="C50" i="30"/>
  <c r="D50" i="30"/>
  <c r="G50" i="30"/>
  <c r="C51" i="30"/>
  <c r="D51" i="30"/>
  <c r="G51" i="30"/>
  <c r="C52" i="30"/>
  <c r="C52" i="34" s="1"/>
  <c r="D52" i="30"/>
  <c r="D52" i="34" s="1"/>
  <c r="G52" i="30"/>
  <c r="C53" i="30"/>
  <c r="D53" i="30"/>
  <c r="G53" i="30"/>
  <c r="C54" i="30"/>
  <c r="D54" i="30"/>
  <c r="G54" i="30"/>
  <c r="C55" i="30"/>
  <c r="D55" i="30"/>
  <c r="G55" i="30"/>
  <c r="C56" i="30"/>
  <c r="D56" i="30"/>
  <c r="G56" i="30"/>
  <c r="C57" i="30"/>
  <c r="D57" i="30"/>
  <c r="G57" i="30"/>
  <c r="C58" i="30"/>
  <c r="D58" i="30"/>
  <c r="G58" i="30"/>
  <c r="C59" i="30"/>
  <c r="D59" i="30"/>
  <c r="D59" i="34" s="1"/>
  <c r="G59" i="30"/>
  <c r="C60" i="30"/>
  <c r="D60" i="30"/>
  <c r="G60" i="30"/>
  <c r="C61" i="30"/>
  <c r="D61" i="30"/>
  <c r="G61" i="30"/>
  <c r="C62" i="30"/>
  <c r="D62" i="30"/>
  <c r="D62" i="34" s="1"/>
  <c r="G62" i="30"/>
  <c r="C63" i="30"/>
  <c r="D63" i="30"/>
  <c r="G63" i="30"/>
  <c r="C64" i="30"/>
  <c r="D64" i="30"/>
  <c r="G64" i="30"/>
  <c r="C65" i="30"/>
  <c r="D65" i="30"/>
  <c r="G65" i="30"/>
  <c r="C66" i="30"/>
  <c r="D66" i="30"/>
  <c r="G66" i="30"/>
  <c r="C67" i="30"/>
  <c r="C67" i="34" s="1"/>
  <c r="D67" i="30"/>
  <c r="G67" i="30"/>
  <c r="C68" i="30"/>
  <c r="D68" i="30"/>
  <c r="G68" i="30"/>
  <c r="C16" i="18"/>
  <c r="D16" i="18"/>
  <c r="G16" i="18"/>
  <c r="C17" i="18"/>
  <c r="D17" i="18"/>
  <c r="G17" i="18"/>
  <c r="C18" i="18"/>
  <c r="D18" i="18"/>
  <c r="G18" i="18"/>
  <c r="C19" i="18"/>
  <c r="D19" i="18"/>
  <c r="G19" i="18"/>
  <c r="C20" i="18"/>
  <c r="D20" i="18"/>
  <c r="G20" i="18"/>
  <c r="C21" i="18"/>
  <c r="D21" i="18"/>
  <c r="G21" i="18"/>
  <c r="C22" i="18"/>
  <c r="D22" i="18"/>
  <c r="G22" i="18"/>
  <c r="C23" i="18"/>
  <c r="D23" i="18"/>
  <c r="G23" i="18"/>
  <c r="C24" i="18"/>
  <c r="D24" i="18"/>
  <c r="G24" i="18"/>
  <c r="C25" i="18"/>
  <c r="D25" i="18"/>
  <c r="G25" i="18"/>
  <c r="C26" i="18"/>
  <c r="D26" i="18"/>
  <c r="G26" i="18"/>
  <c r="C27" i="18"/>
  <c r="D27" i="18"/>
  <c r="G27" i="18"/>
  <c r="C28" i="18"/>
  <c r="D28" i="18"/>
  <c r="G28" i="18"/>
  <c r="C29" i="18"/>
  <c r="D29" i="18"/>
  <c r="G29" i="18"/>
  <c r="C30" i="18"/>
  <c r="D30" i="18"/>
  <c r="G30" i="18"/>
  <c r="C31" i="18"/>
  <c r="D31" i="18"/>
  <c r="G31" i="18"/>
  <c r="C32" i="18"/>
  <c r="D32" i="18"/>
  <c r="G32" i="18"/>
  <c r="C33" i="18"/>
  <c r="D33" i="18"/>
  <c r="G33" i="18"/>
  <c r="C34" i="18"/>
  <c r="D34" i="18"/>
  <c r="G34" i="18"/>
  <c r="C35" i="18"/>
  <c r="D35" i="18"/>
  <c r="G35" i="18"/>
  <c r="C36" i="18"/>
  <c r="D36" i="18"/>
  <c r="G36" i="18"/>
  <c r="C37" i="18"/>
  <c r="D37" i="18"/>
  <c r="G37" i="18"/>
  <c r="C38" i="18"/>
  <c r="D38" i="18"/>
  <c r="G38" i="18"/>
  <c r="C39" i="18"/>
  <c r="D39" i="18"/>
  <c r="G39" i="18"/>
  <c r="C40" i="18"/>
  <c r="D40" i="18"/>
  <c r="G40" i="18"/>
  <c r="C41" i="18"/>
  <c r="D41" i="18"/>
  <c r="G41" i="18"/>
  <c r="C42" i="18"/>
  <c r="D42" i="18"/>
  <c r="G42" i="18"/>
  <c r="C43" i="18"/>
  <c r="D43" i="18"/>
  <c r="G43" i="18"/>
  <c r="C44" i="18"/>
  <c r="D44" i="18"/>
  <c r="G44" i="18"/>
  <c r="C45" i="18"/>
  <c r="D45" i="18"/>
  <c r="G45" i="18"/>
  <c r="C46" i="18"/>
  <c r="D46" i="18"/>
  <c r="G46" i="18"/>
  <c r="C47" i="18"/>
  <c r="D47" i="18"/>
  <c r="G47" i="18"/>
  <c r="C48" i="18"/>
  <c r="D48" i="18"/>
  <c r="E48" i="18"/>
  <c r="F48" i="18" s="1"/>
  <c r="G48" i="18"/>
  <c r="C49" i="18"/>
  <c r="D49" i="18"/>
  <c r="G49" i="18"/>
  <c r="C50" i="18"/>
  <c r="D50" i="18"/>
  <c r="G50" i="18"/>
  <c r="C51" i="18"/>
  <c r="D51" i="18"/>
  <c r="G51" i="18"/>
  <c r="C52" i="18"/>
  <c r="D52" i="18"/>
  <c r="G52" i="18"/>
  <c r="C53" i="18"/>
  <c r="D53" i="18"/>
  <c r="G53" i="18"/>
  <c r="C54" i="18"/>
  <c r="D54" i="18"/>
  <c r="G54" i="18"/>
  <c r="C55" i="18"/>
  <c r="D55" i="18"/>
  <c r="G55" i="18"/>
  <c r="C56" i="18"/>
  <c r="D56" i="18"/>
  <c r="G56" i="18"/>
  <c r="C57" i="18"/>
  <c r="D57" i="18"/>
  <c r="G57" i="18"/>
  <c r="C58" i="18"/>
  <c r="D58" i="18"/>
  <c r="G58" i="18"/>
  <c r="C59" i="18"/>
  <c r="D59" i="18"/>
  <c r="G59" i="18"/>
  <c r="C60" i="18"/>
  <c r="D60" i="18"/>
  <c r="G60" i="18"/>
  <c r="C61" i="18"/>
  <c r="D61" i="18"/>
  <c r="G61" i="18"/>
  <c r="C62" i="18"/>
  <c r="D62" i="18"/>
  <c r="G62" i="18"/>
  <c r="C63" i="18"/>
  <c r="D63" i="18"/>
  <c r="G63" i="18"/>
  <c r="C64" i="18"/>
  <c r="D64" i="18"/>
  <c r="G64" i="18"/>
  <c r="C65" i="18"/>
  <c r="D65" i="18"/>
  <c r="G65" i="18"/>
  <c r="C66" i="18"/>
  <c r="D66" i="18"/>
  <c r="G66" i="18"/>
  <c r="C67" i="18"/>
  <c r="D67" i="18"/>
  <c r="G67" i="18"/>
  <c r="C68" i="18"/>
  <c r="D68" i="18"/>
  <c r="G68" i="18"/>
  <c r="I19" i="21"/>
  <c r="I20" i="21"/>
  <c r="I21" i="21"/>
  <c r="I22" i="21"/>
  <c r="I44" i="21"/>
  <c r="I55" i="21"/>
  <c r="I68" i="21"/>
  <c r="I23" i="20"/>
  <c r="I24" i="20"/>
  <c r="I25" i="20"/>
  <c r="I45" i="20"/>
  <c r="I46" i="20"/>
  <c r="I47" i="20"/>
  <c r="I60" i="20"/>
  <c r="I26" i="19"/>
  <c r="I38" i="19"/>
  <c r="I53" i="19"/>
  <c r="I64" i="19"/>
  <c r="I27" i="28"/>
  <c r="I28" i="28"/>
  <c r="I29" i="28"/>
  <c r="I30" i="28"/>
  <c r="I31" i="28"/>
  <c r="I42" i="28"/>
  <c r="I43" i="28"/>
  <c r="I44" i="28"/>
  <c r="I53" i="28"/>
  <c r="I59" i="28"/>
  <c r="I68" i="28"/>
  <c r="H17" i="33"/>
  <c r="I17" i="33" s="1"/>
  <c r="H18" i="33"/>
  <c r="I18" i="33" s="1"/>
  <c r="H19" i="33"/>
  <c r="I19" i="33" s="1"/>
  <c r="H20" i="33"/>
  <c r="I20" i="33" s="1"/>
  <c r="H21" i="33"/>
  <c r="I21" i="33" s="1"/>
  <c r="H22" i="33"/>
  <c r="I22" i="33" s="1"/>
  <c r="H23" i="33"/>
  <c r="I23" i="33" s="1"/>
  <c r="H24" i="33"/>
  <c r="I24" i="33" s="1"/>
  <c r="H25" i="33"/>
  <c r="I25" i="33" s="1"/>
  <c r="H26" i="33"/>
  <c r="I26" i="33" s="1"/>
  <c r="H27" i="33"/>
  <c r="I27" i="33" s="1"/>
  <c r="H28" i="33"/>
  <c r="I28" i="33" s="1"/>
  <c r="H29" i="33"/>
  <c r="I29" i="33" s="1"/>
  <c r="H30" i="33"/>
  <c r="I30" i="33" s="1"/>
  <c r="H31" i="33"/>
  <c r="I31" i="33" s="1"/>
  <c r="H32" i="33"/>
  <c r="I32" i="33" s="1"/>
  <c r="H33" i="33"/>
  <c r="I33" i="33" s="1"/>
  <c r="H34" i="33"/>
  <c r="I34" i="33" s="1"/>
  <c r="H35" i="33"/>
  <c r="I35" i="33" s="1"/>
  <c r="H36" i="33"/>
  <c r="I36" i="33" s="1"/>
  <c r="H37" i="33"/>
  <c r="I37" i="33" s="1"/>
  <c r="H38" i="33"/>
  <c r="I38" i="33" s="1"/>
  <c r="H39" i="33"/>
  <c r="I39" i="33" s="1"/>
  <c r="H40" i="33"/>
  <c r="I40" i="33" s="1"/>
  <c r="H41" i="33"/>
  <c r="I41" i="33" s="1"/>
  <c r="H42" i="33"/>
  <c r="I42" i="33" s="1"/>
  <c r="H43" i="33"/>
  <c r="I43" i="33" s="1"/>
  <c r="H44" i="33"/>
  <c r="I44" i="33" s="1"/>
  <c r="H45" i="33"/>
  <c r="I45" i="33" s="1"/>
  <c r="H46" i="33"/>
  <c r="I46" i="33" s="1"/>
  <c r="H47" i="33"/>
  <c r="I47" i="33" s="1"/>
  <c r="H48" i="33"/>
  <c r="I48" i="33" s="1"/>
  <c r="H49" i="33"/>
  <c r="I49" i="33" s="1"/>
  <c r="H50" i="33"/>
  <c r="I50" i="33" s="1"/>
  <c r="H51" i="33"/>
  <c r="I51" i="33" s="1"/>
  <c r="H52" i="33"/>
  <c r="I52" i="33" s="1"/>
  <c r="H53" i="33"/>
  <c r="I53" i="33" s="1"/>
  <c r="H54" i="33"/>
  <c r="I54" i="33" s="1"/>
  <c r="H55" i="33"/>
  <c r="I55" i="33" s="1"/>
  <c r="H56" i="33"/>
  <c r="I56" i="33" s="1"/>
  <c r="H57" i="33"/>
  <c r="I57" i="33" s="1"/>
  <c r="H58" i="33"/>
  <c r="I58" i="33" s="1"/>
  <c r="H59" i="33"/>
  <c r="I59" i="33" s="1"/>
  <c r="H60" i="33"/>
  <c r="I60" i="33" s="1"/>
  <c r="H61" i="33"/>
  <c r="I61" i="33" s="1"/>
  <c r="H62" i="33"/>
  <c r="I62" i="33" s="1"/>
  <c r="H63" i="33"/>
  <c r="I63" i="33" s="1"/>
  <c r="H64" i="33"/>
  <c r="I64" i="33" s="1"/>
  <c r="H65" i="33"/>
  <c r="I65" i="33" s="1"/>
  <c r="H66" i="33"/>
  <c r="I66" i="33" s="1"/>
  <c r="H67" i="33"/>
  <c r="I67" i="33" s="1"/>
  <c r="H68" i="33"/>
  <c r="I68" i="33" s="1"/>
  <c r="E17" i="33"/>
  <c r="F17" i="33" s="1"/>
  <c r="E18" i="33"/>
  <c r="E19" i="33"/>
  <c r="E20" i="33"/>
  <c r="E21" i="33"/>
  <c r="E22" i="33"/>
  <c r="E23" i="33"/>
  <c r="E24" i="33"/>
  <c r="E25" i="33"/>
  <c r="E26" i="33"/>
  <c r="E27" i="33"/>
  <c r="E28" i="33"/>
  <c r="E29" i="33"/>
  <c r="E30" i="33"/>
  <c r="E31" i="33"/>
  <c r="E32" i="33"/>
  <c r="E33" i="33"/>
  <c r="E34" i="33"/>
  <c r="E35" i="33"/>
  <c r="E36" i="33"/>
  <c r="E37" i="33"/>
  <c r="E38" i="33"/>
  <c r="E39" i="33"/>
  <c r="E40" i="33"/>
  <c r="E41" i="33"/>
  <c r="E42" i="33"/>
  <c r="E43" i="33"/>
  <c r="E44" i="33"/>
  <c r="E45" i="33"/>
  <c r="E46" i="33"/>
  <c r="E47" i="33"/>
  <c r="E48" i="33"/>
  <c r="E49" i="33"/>
  <c r="E50" i="33"/>
  <c r="E51" i="33"/>
  <c r="E52" i="33"/>
  <c r="E53" i="33"/>
  <c r="E54" i="33"/>
  <c r="E55" i="33"/>
  <c r="E56" i="33"/>
  <c r="E57" i="33"/>
  <c r="E58" i="33"/>
  <c r="E59" i="33"/>
  <c r="E60" i="33"/>
  <c r="E61" i="33"/>
  <c r="E62" i="33"/>
  <c r="E63" i="33"/>
  <c r="E64" i="33"/>
  <c r="E65" i="33"/>
  <c r="E66" i="33"/>
  <c r="E67" i="33"/>
  <c r="E68" i="33"/>
  <c r="H18" i="32"/>
  <c r="I18" i="32" s="1"/>
  <c r="H19" i="32"/>
  <c r="I19" i="32" s="1"/>
  <c r="H20" i="32"/>
  <c r="I20" i="32" s="1"/>
  <c r="H21" i="32"/>
  <c r="I21" i="32" s="1"/>
  <c r="H22" i="32"/>
  <c r="I22" i="32" s="1"/>
  <c r="H23" i="32"/>
  <c r="I23" i="32" s="1"/>
  <c r="H24" i="32"/>
  <c r="I24" i="32" s="1"/>
  <c r="H25" i="32"/>
  <c r="I25" i="32" s="1"/>
  <c r="H26" i="32"/>
  <c r="I26" i="32" s="1"/>
  <c r="H27" i="32"/>
  <c r="I27" i="32" s="1"/>
  <c r="H28" i="32"/>
  <c r="I28" i="32" s="1"/>
  <c r="H29" i="32"/>
  <c r="I29" i="32" s="1"/>
  <c r="H30" i="32"/>
  <c r="I30" i="32" s="1"/>
  <c r="H31" i="32"/>
  <c r="I31" i="32" s="1"/>
  <c r="H32" i="32"/>
  <c r="I32" i="32" s="1"/>
  <c r="H33" i="32"/>
  <c r="I33" i="32" s="1"/>
  <c r="H34" i="32"/>
  <c r="I34" i="32" s="1"/>
  <c r="H35" i="32"/>
  <c r="I35" i="32" s="1"/>
  <c r="H36" i="32"/>
  <c r="I36" i="32" s="1"/>
  <c r="H37" i="32"/>
  <c r="I37" i="32" s="1"/>
  <c r="H38" i="32"/>
  <c r="I38" i="32" s="1"/>
  <c r="H39" i="32"/>
  <c r="I39" i="32" s="1"/>
  <c r="H40" i="32"/>
  <c r="I40" i="32" s="1"/>
  <c r="H41" i="32"/>
  <c r="I41" i="32" s="1"/>
  <c r="H42" i="32"/>
  <c r="I42" i="32" s="1"/>
  <c r="H43" i="32"/>
  <c r="I43" i="32" s="1"/>
  <c r="H44" i="32"/>
  <c r="I44" i="32" s="1"/>
  <c r="H45" i="32"/>
  <c r="I45" i="32" s="1"/>
  <c r="H46" i="32"/>
  <c r="I46" i="32" s="1"/>
  <c r="H47" i="32"/>
  <c r="I47" i="32" s="1"/>
  <c r="H48" i="32"/>
  <c r="I48" i="32" s="1"/>
  <c r="H49" i="32"/>
  <c r="I49" i="32" s="1"/>
  <c r="H50" i="32"/>
  <c r="I50" i="32" s="1"/>
  <c r="H51" i="32"/>
  <c r="I51" i="32" s="1"/>
  <c r="H52" i="32"/>
  <c r="I52" i="32" s="1"/>
  <c r="H53" i="32"/>
  <c r="I53" i="32" s="1"/>
  <c r="H54" i="32"/>
  <c r="I54" i="32" s="1"/>
  <c r="H55" i="32"/>
  <c r="I55" i="32" s="1"/>
  <c r="H56" i="32"/>
  <c r="I56" i="32" s="1"/>
  <c r="H57" i="32"/>
  <c r="I57" i="32" s="1"/>
  <c r="H58" i="32"/>
  <c r="I58" i="32" s="1"/>
  <c r="H59" i="32"/>
  <c r="I59" i="32" s="1"/>
  <c r="H60" i="32"/>
  <c r="I60" i="32" s="1"/>
  <c r="H61" i="32"/>
  <c r="I61" i="32" s="1"/>
  <c r="H62" i="32"/>
  <c r="I62" i="32" s="1"/>
  <c r="H63" i="32"/>
  <c r="I63" i="32" s="1"/>
  <c r="H64" i="32"/>
  <c r="I64" i="32" s="1"/>
  <c r="H65" i="32"/>
  <c r="I65" i="32" s="1"/>
  <c r="H66" i="32"/>
  <c r="I66" i="32" s="1"/>
  <c r="H67" i="32"/>
  <c r="I67" i="32" s="1"/>
  <c r="H68" i="32"/>
  <c r="I68" i="32" s="1"/>
  <c r="E18" i="32"/>
  <c r="F18" i="32" s="1"/>
  <c r="E19" i="32"/>
  <c r="F19" i="32" s="1"/>
  <c r="E20" i="32"/>
  <c r="F20" i="32" s="1"/>
  <c r="E21" i="32"/>
  <c r="F21" i="32" s="1"/>
  <c r="E22" i="32"/>
  <c r="F22" i="32" s="1"/>
  <c r="E23" i="32"/>
  <c r="F23" i="32" s="1"/>
  <c r="E24" i="32"/>
  <c r="F24" i="32" s="1"/>
  <c r="E25" i="32"/>
  <c r="F25" i="32" s="1"/>
  <c r="E26" i="32"/>
  <c r="F26" i="32" s="1"/>
  <c r="E27" i="32"/>
  <c r="F27" i="32" s="1"/>
  <c r="E28" i="32"/>
  <c r="F28" i="32" s="1"/>
  <c r="E29" i="32"/>
  <c r="F29" i="32" s="1"/>
  <c r="E30" i="32"/>
  <c r="F30" i="32" s="1"/>
  <c r="E31" i="32"/>
  <c r="F31" i="32" s="1"/>
  <c r="E32" i="32"/>
  <c r="F32" i="32" s="1"/>
  <c r="E33" i="32"/>
  <c r="F33" i="32" s="1"/>
  <c r="E34" i="32"/>
  <c r="F34" i="32" s="1"/>
  <c r="E35" i="32"/>
  <c r="F35" i="32" s="1"/>
  <c r="E36" i="32"/>
  <c r="F36" i="32" s="1"/>
  <c r="E37" i="32"/>
  <c r="F37" i="32" s="1"/>
  <c r="E38" i="32"/>
  <c r="F38" i="32" s="1"/>
  <c r="E39" i="32"/>
  <c r="F39" i="32" s="1"/>
  <c r="E40" i="32"/>
  <c r="F40" i="32" s="1"/>
  <c r="E41" i="32"/>
  <c r="F41" i="32" s="1"/>
  <c r="E42" i="32"/>
  <c r="F42" i="32" s="1"/>
  <c r="E43" i="32"/>
  <c r="F43" i="32" s="1"/>
  <c r="E44" i="32"/>
  <c r="F44" i="32" s="1"/>
  <c r="E45" i="32"/>
  <c r="F45" i="32" s="1"/>
  <c r="E46" i="32"/>
  <c r="F46" i="32" s="1"/>
  <c r="E47" i="32"/>
  <c r="F47" i="32" s="1"/>
  <c r="E48" i="32"/>
  <c r="F48" i="32" s="1"/>
  <c r="E49" i="32"/>
  <c r="F49" i="32" s="1"/>
  <c r="E50" i="32"/>
  <c r="F50" i="32" s="1"/>
  <c r="E51" i="32"/>
  <c r="F51" i="32" s="1"/>
  <c r="E52" i="32"/>
  <c r="F52" i="32" s="1"/>
  <c r="E53" i="32"/>
  <c r="F53" i="32" s="1"/>
  <c r="E54" i="32"/>
  <c r="F54" i="32" s="1"/>
  <c r="E55" i="32"/>
  <c r="F55" i="32" s="1"/>
  <c r="E56" i="32"/>
  <c r="F56" i="32" s="1"/>
  <c r="E57" i="32"/>
  <c r="F57" i="32" s="1"/>
  <c r="E58" i="32"/>
  <c r="F58" i="32" s="1"/>
  <c r="E59" i="32"/>
  <c r="F59" i="32" s="1"/>
  <c r="E60" i="32"/>
  <c r="F60" i="32" s="1"/>
  <c r="E61" i="32"/>
  <c r="F61" i="32" s="1"/>
  <c r="E62" i="32"/>
  <c r="F62" i="32" s="1"/>
  <c r="E63" i="32"/>
  <c r="F63" i="32" s="1"/>
  <c r="E64" i="32"/>
  <c r="F64" i="32" s="1"/>
  <c r="E65" i="32"/>
  <c r="F65" i="32" s="1"/>
  <c r="E66" i="32"/>
  <c r="F66" i="32" s="1"/>
  <c r="E67" i="32"/>
  <c r="F67" i="32" s="1"/>
  <c r="E68" i="32"/>
  <c r="F68" i="32" s="1"/>
  <c r="G6" i="30"/>
  <c r="G7" i="30"/>
  <c r="G8" i="30"/>
  <c r="G9" i="30"/>
  <c r="G10" i="30"/>
  <c r="G11" i="30"/>
  <c r="G12" i="30"/>
  <c r="G13" i="30"/>
  <c r="G14" i="30"/>
  <c r="G15" i="30"/>
  <c r="G16" i="30"/>
  <c r="G5" i="30"/>
  <c r="G4" i="30"/>
  <c r="A4" i="31" a="1"/>
  <c r="A4" i="31" s="1"/>
  <c r="E26" i="31"/>
  <c r="F26" i="31" s="1"/>
  <c r="E27" i="31"/>
  <c r="F27" i="31" s="1"/>
  <c r="E28" i="31"/>
  <c r="F28" i="31" s="1"/>
  <c r="E29" i="31"/>
  <c r="F29" i="31" s="1"/>
  <c r="E30" i="31"/>
  <c r="F30" i="31" s="1"/>
  <c r="E31" i="31"/>
  <c r="F31" i="31" s="1"/>
  <c r="E32" i="31"/>
  <c r="F32" i="31" s="1"/>
  <c r="E33" i="31"/>
  <c r="F33" i="31" s="1"/>
  <c r="E34" i="31"/>
  <c r="F34" i="31" s="1"/>
  <c r="E35" i="31"/>
  <c r="F35" i="31" s="1"/>
  <c r="E36" i="31"/>
  <c r="F36" i="31" s="1"/>
  <c r="E37" i="31"/>
  <c r="F37" i="31" s="1"/>
  <c r="E38" i="31"/>
  <c r="F38" i="31" s="1"/>
  <c r="E39" i="31"/>
  <c r="F39" i="31" s="1"/>
  <c r="E40" i="31"/>
  <c r="F40" i="31" s="1"/>
  <c r="E41" i="31"/>
  <c r="F41" i="31" s="1"/>
  <c r="E42" i="31"/>
  <c r="F42" i="31" s="1"/>
  <c r="E43" i="31"/>
  <c r="F43" i="31" s="1"/>
  <c r="E44" i="31"/>
  <c r="F44" i="31" s="1"/>
  <c r="E45" i="31"/>
  <c r="F45" i="31" s="1"/>
  <c r="E46" i="31"/>
  <c r="F46" i="31" s="1"/>
  <c r="E47" i="31"/>
  <c r="F47" i="31" s="1"/>
  <c r="E48" i="31"/>
  <c r="F48" i="31" s="1"/>
  <c r="E49" i="31"/>
  <c r="F49" i="31" s="1"/>
  <c r="E50" i="31"/>
  <c r="F50" i="31" s="1"/>
  <c r="E51" i="31"/>
  <c r="F51" i="31" s="1"/>
  <c r="E52" i="31"/>
  <c r="F52" i="31" s="1"/>
  <c r="E53" i="31"/>
  <c r="F53" i="31" s="1"/>
  <c r="E54" i="31"/>
  <c r="F54" i="31" s="1"/>
  <c r="E55" i="31"/>
  <c r="F55" i="31" s="1"/>
  <c r="E56" i="31"/>
  <c r="F56" i="31" s="1"/>
  <c r="E57" i="31"/>
  <c r="F57" i="31" s="1"/>
  <c r="E58" i="31"/>
  <c r="F58" i="31" s="1"/>
  <c r="E59" i="31"/>
  <c r="F59" i="31" s="1"/>
  <c r="E60" i="31"/>
  <c r="F60" i="31" s="1"/>
  <c r="E61" i="31"/>
  <c r="F61" i="31" s="1"/>
  <c r="E62" i="31"/>
  <c r="F62" i="31" s="1"/>
  <c r="E63" i="31"/>
  <c r="F63" i="31" s="1"/>
  <c r="E64" i="31"/>
  <c r="F64" i="31" s="1"/>
  <c r="E65" i="31"/>
  <c r="F65" i="31" s="1"/>
  <c r="E66" i="31"/>
  <c r="F66" i="31" s="1"/>
  <c r="E67" i="31"/>
  <c r="F67" i="31" s="1"/>
  <c r="E68" i="31"/>
  <c r="F68" i="31" s="1"/>
  <c r="H17" i="31"/>
  <c r="H18" i="31"/>
  <c r="I18" i="31" s="1"/>
  <c r="H19" i="31"/>
  <c r="H20" i="31"/>
  <c r="H21" i="31"/>
  <c r="H22" i="31"/>
  <c r="H23" i="31"/>
  <c r="H24" i="31"/>
  <c r="I24" i="31" s="1"/>
  <c r="H25" i="31"/>
  <c r="H26" i="31"/>
  <c r="I26" i="31" s="1"/>
  <c r="H27" i="31"/>
  <c r="I27" i="31" s="1"/>
  <c r="H28" i="31"/>
  <c r="H29" i="31"/>
  <c r="I29" i="31" s="1"/>
  <c r="H30" i="31"/>
  <c r="H31" i="31"/>
  <c r="I31" i="31" s="1"/>
  <c r="H32" i="31"/>
  <c r="I32" i="31" s="1"/>
  <c r="H33" i="31"/>
  <c r="H34" i="31"/>
  <c r="I34" i="31" s="1"/>
  <c r="H35" i="31"/>
  <c r="I35" i="31" s="1"/>
  <c r="H36" i="31"/>
  <c r="H37" i="31"/>
  <c r="H38" i="31"/>
  <c r="H39" i="31"/>
  <c r="H40" i="31"/>
  <c r="I40" i="31" s="1"/>
  <c r="H41" i="31"/>
  <c r="H42" i="31"/>
  <c r="I42" i="31" s="1"/>
  <c r="H43" i="31"/>
  <c r="I43" i="31" s="1"/>
  <c r="H44" i="31"/>
  <c r="H45" i="31"/>
  <c r="H46" i="31"/>
  <c r="H47" i="31"/>
  <c r="H48" i="31"/>
  <c r="H49" i="31"/>
  <c r="H50" i="31"/>
  <c r="H51" i="31"/>
  <c r="H51" i="30" s="1"/>
  <c r="H52" i="31"/>
  <c r="H53" i="31"/>
  <c r="H54" i="31"/>
  <c r="H55" i="31"/>
  <c r="I55" i="31" s="1"/>
  <c r="H56" i="31"/>
  <c r="I56" i="31" s="1"/>
  <c r="H57" i="31"/>
  <c r="I57" i="31" s="1"/>
  <c r="H58" i="31"/>
  <c r="H59" i="31"/>
  <c r="H60" i="31"/>
  <c r="I60" i="31" s="1"/>
  <c r="H61" i="31"/>
  <c r="H62" i="31"/>
  <c r="H63" i="31"/>
  <c r="H64" i="31"/>
  <c r="I64" i="31" s="1"/>
  <c r="H65" i="31"/>
  <c r="H66" i="31"/>
  <c r="H67" i="31"/>
  <c r="H68" i="31"/>
  <c r="I68" i="31" s="1"/>
  <c r="E18" i="31"/>
  <c r="F18" i="31" s="1"/>
  <c r="E19" i="31"/>
  <c r="F19" i="31" s="1"/>
  <c r="E20" i="31"/>
  <c r="F20" i="31" s="1"/>
  <c r="E21" i="31"/>
  <c r="F21" i="31" s="1"/>
  <c r="E22" i="31"/>
  <c r="F22" i="31" s="1"/>
  <c r="E23" i="31"/>
  <c r="F23" i="31" s="1"/>
  <c r="E24" i="31"/>
  <c r="F24" i="31" s="1"/>
  <c r="E25" i="31"/>
  <c r="F25" i="31" s="1"/>
  <c r="H65" i="28"/>
  <c r="I65" i="28" s="1"/>
  <c r="H60" i="28"/>
  <c r="I60" i="28" s="1"/>
  <c r="H64" i="28"/>
  <c r="I64" i="28" s="1"/>
  <c r="H63" i="28"/>
  <c r="I63" i="28" s="1"/>
  <c r="H62" i="28"/>
  <c r="I62" i="28" s="1"/>
  <c r="H59" i="28"/>
  <c r="H38" i="28"/>
  <c r="I38" i="28" s="1"/>
  <c r="H37" i="28"/>
  <c r="I37" i="28" s="1"/>
  <c r="H36" i="28"/>
  <c r="I36" i="28" s="1"/>
  <c r="H35" i="28"/>
  <c r="I35" i="28" s="1"/>
  <c r="H34" i="28"/>
  <c r="I34" i="28" s="1"/>
  <c r="H33" i="28"/>
  <c r="I33" i="28" s="1"/>
  <c r="H39" i="28"/>
  <c r="I39" i="28" s="1"/>
  <c r="H44" i="28"/>
  <c r="H32" i="28"/>
  <c r="I32" i="28" s="1"/>
  <c r="H25" i="28"/>
  <c r="I25" i="28" s="1"/>
  <c r="H24" i="28"/>
  <c r="I24" i="28" s="1"/>
  <c r="H23" i="28"/>
  <c r="I23" i="28" s="1"/>
  <c r="H22" i="28"/>
  <c r="I22" i="28" s="1"/>
  <c r="H21" i="28"/>
  <c r="I21" i="28" s="1"/>
  <c r="H19" i="28"/>
  <c r="I19" i="28" s="1"/>
  <c r="H20" i="28"/>
  <c r="I20" i="28" s="1"/>
  <c r="H26" i="28"/>
  <c r="I26" i="28" s="1"/>
  <c r="H31" i="28"/>
  <c r="H30" i="28"/>
  <c r="H50" i="28"/>
  <c r="I50" i="28" s="1"/>
  <c r="H48" i="28"/>
  <c r="I48" i="28" s="1"/>
  <c r="E19" i="28"/>
  <c r="E20" i="28"/>
  <c r="H57" i="28"/>
  <c r="I57" i="28" s="1"/>
  <c r="H58" i="28"/>
  <c r="I58" i="28" s="1"/>
  <c r="H28" i="28"/>
  <c r="H29" i="28"/>
  <c r="H42" i="28"/>
  <c r="H18" i="28"/>
  <c r="I18" i="28" s="1"/>
  <c r="H27" i="28"/>
  <c r="H40" i="28"/>
  <c r="I40" i="28" s="1"/>
  <c r="H41" i="28"/>
  <c r="I41" i="28" s="1"/>
  <c r="H43" i="28"/>
  <c r="H45" i="28"/>
  <c r="I45" i="28" s="1"/>
  <c r="H46" i="28"/>
  <c r="I46" i="28" s="1"/>
  <c r="H47" i="28"/>
  <c r="I47" i="28" s="1"/>
  <c r="H49" i="28"/>
  <c r="I49" i="28" s="1"/>
  <c r="H51" i="28"/>
  <c r="I51" i="28" s="1"/>
  <c r="H52" i="28"/>
  <c r="I52" i="28" s="1"/>
  <c r="H53" i="28"/>
  <c r="H54" i="28"/>
  <c r="I54" i="28" s="1"/>
  <c r="H55" i="28"/>
  <c r="I55" i="28" s="1"/>
  <c r="H56" i="28"/>
  <c r="I56" i="28" s="1"/>
  <c r="H61" i="28"/>
  <c r="I61" i="28" s="1"/>
  <c r="H66" i="28"/>
  <c r="I66" i="28" s="1"/>
  <c r="H67" i="28"/>
  <c r="I67" i="28" s="1"/>
  <c r="H68" i="28"/>
  <c r="E18" i="28"/>
  <c r="E21" i="28"/>
  <c r="E22" i="28"/>
  <c r="E23" i="28"/>
  <c r="E24" i="28"/>
  <c r="E25" i="28"/>
  <c r="E26" i="28"/>
  <c r="E27" i="28"/>
  <c r="E28" i="28"/>
  <c r="E29" i="28"/>
  <c r="E30" i="28"/>
  <c r="E31" i="28"/>
  <c r="E32" i="28"/>
  <c r="E33" i="28"/>
  <c r="E34" i="28"/>
  <c r="E35" i="28"/>
  <c r="E36" i="28"/>
  <c r="E37" i="28"/>
  <c r="E38" i="28"/>
  <c r="E39" i="28"/>
  <c r="E40" i="28"/>
  <c r="E41" i="28"/>
  <c r="E42" i="28"/>
  <c r="E43" i="28"/>
  <c r="E44" i="28"/>
  <c r="E45" i="28"/>
  <c r="E46" i="28"/>
  <c r="E47" i="28"/>
  <c r="E48" i="28"/>
  <c r="E49" i="28"/>
  <c r="E50" i="28"/>
  <c r="E51" i="28"/>
  <c r="E52" i="28"/>
  <c r="E53" i="28"/>
  <c r="E54" i="28"/>
  <c r="E55" i="28"/>
  <c r="E56" i="28"/>
  <c r="E57" i="28"/>
  <c r="E58" i="28"/>
  <c r="E59" i="28"/>
  <c r="E60" i="28"/>
  <c r="E61" i="28"/>
  <c r="E62" i="28"/>
  <c r="E63" i="28"/>
  <c r="E64" i="28"/>
  <c r="E65" i="28"/>
  <c r="E66" i="28"/>
  <c r="E67" i="28"/>
  <c r="E68" i="28"/>
  <c r="H18" i="27"/>
  <c r="I18" i="27" s="1"/>
  <c r="H19" i="27"/>
  <c r="I19" i="27" s="1"/>
  <c r="H20" i="27"/>
  <c r="I20" i="27" s="1"/>
  <c r="H21" i="27"/>
  <c r="I21" i="27" s="1"/>
  <c r="H22" i="27"/>
  <c r="I22" i="27" s="1"/>
  <c r="H23" i="27"/>
  <c r="I23" i="27" s="1"/>
  <c r="H24" i="27"/>
  <c r="I24" i="27" s="1"/>
  <c r="H25" i="27"/>
  <c r="I25" i="27" s="1"/>
  <c r="H26" i="27"/>
  <c r="I26" i="27" s="1"/>
  <c r="H27" i="27"/>
  <c r="I27" i="27" s="1"/>
  <c r="H28" i="27"/>
  <c r="I28" i="27" s="1"/>
  <c r="H29" i="27"/>
  <c r="I29" i="27" s="1"/>
  <c r="H30" i="27"/>
  <c r="I30" i="27" s="1"/>
  <c r="H31" i="27"/>
  <c r="I31" i="27" s="1"/>
  <c r="H32" i="27"/>
  <c r="I32" i="27" s="1"/>
  <c r="H33" i="27"/>
  <c r="I33" i="27" s="1"/>
  <c r="H34" i="27"/>
  <c r="I34" i="27" s="1"/>
  <c r="H35" i="27"/>
  <c r="I35" i="27" s="1"/>
  <c r="H36" i="27"/>
  <c r="I36" i="27" s="1"/>
  <c r="H37" i="27"/>
  <c r="I37" i="27" s="1"/>
  <c r="H38" i="27"/>
  <c r="I38" i="27" s="1"/>
  <c r="H39" i="27"/>
  <c r="I39" i="27" s="1"/>
  <c r="H40" i="27"/>
  <c r="I40" i="27" s="1"/>
  <c r="H41" i="27"/>
  <c r="I41" i="27" s="1"/>
  <c r="H42" i="27"/>
  <c r="I42" i="27" s="1"/>
  <c r="H43" i="27"/>
  <c r="I43" i="27" s="1"/>
  <c r="H44" i="27"/>
  <c r="I44" i="27" s="1"/>
  <c r="H45" i="27"/>
  <c r="I45" i="27" s="1"/>
  <c r="H46" i="27"/>
  <c r="I46" i="27" s="1"/>
  <c r="H47" i="27"/>
  <c r="I47" i="27" s="1"/>
  <c r="H48" i="27"/>
  <c r="I48" i="27" s="1"/>
  <c r="H49" i="27"/>
  <c r="I49" i="27" s="1"/>
  <c r="H50" i="27"/>
  <c r="I50" i="27" s="1"/>
  <c r="H51" i="27"/>
  <c r="I51" i="27" s="1"/>
  <c r="H52" i="27"/>
  <c r="I52" i="27" s="1"/>
  <c r="H53" i="27"/>
  <c r="I53" i="27" s="1"/>
  <c r="H54" i="27"/>
  <c r="I54" i="27" s="1"/>
  <c r="H55" i="27"/>
  <c r="I55" i="27" s="1"/>
  <c r="H56" i="27"/>
  <c r="I56" i="27" s="1"/>
  <c r="H57" i="27"/>
  <c r="I57" i="27" s="1"/>
  <c r="H58" i="27"/>
  <c r="I58" i="27" s="1"/>
  <c r="H59" i="27"/>
  <c r="I59" i="27" s="1"/>
  <c r="H60" i="27"/>
  <c r="I60" i="27" s="1"/>
  <c r="H61" i="27"/>
  <c r="I61" i="27" s="1"/>
  <c r="H62" i="27"/>
  <c r="I62" i="27" s="1"/>
  <c r="H63" i="27"/>
  <c r="I63" i="27" s="1"/>
  <c r="H64" i="27"/>
  <c r="I64" i="27" s="1"/>
  <c r="H65" i="27"/>
  <c r="I65" i="27" s="1"/>
  <c r="H66" i="27"/>
  <c r="I66" i="27" s="1"/>
  <c r="H67" i="27"/>
  <c r="I67" i="27" s="1"/>
  <c r="H68" i="27"/>
  <c r="I68" i="27" s="1"/>
  <c r="H4" i="27"/>
  <c r="I4" i="27" s="1"/>
  <c r="H5" i="27"/>
  <c r="I5" i="27" s="1"/>
  <c r="H6" i="27"/>
  <c r="I6" i="27"/>
  <c r="H7" i="27"/>
  <c r="I7" i="27"/>
  <c r="H8" i="27"/>
  <c r="I8" i="27" s="1"/>
  <c r="H9" i="27"/>
  <c r="I9" i="27" s="1"/>
  <c r="H10" i="27"/>
  <c r="I10" i="27" s="1"/>
  <c r="E18" i="27"/>
  <c r="F18" i="27" s="1"/>
  <c r="E19" i="27"/>
  <c r="F19" i="27" s="1"/>
  <c r="E20" i="27"/>
  <c r="F20" i="27" s="1"/>
  <c r="E21" i="27"/>
  <c r="F21" i="27" s="1"/>
  <c r="E22" i="27"/>
  <c r="F22" i="27" s="1"/>
  <c r="E23" i="27"/>
  <c r="F23" i="27" s="1"/>
  <c r="E24" i="27"/>
  <c r="F24" i="27" s="1"/>
  <c r="E25" i="27"/>
  <c r="F25" i="27" s="1"/>
  <c r="E26" i="27"/>
  <c r="F26" i="27" s="1"/>
  <c r="E27" i="27"/>
  <c r="F27" i="27" s="1"/>
  <c r="E28" i="27"/>
  <c r="F28" i="27" s="1"/>
  <c r="E29" i="27"/>
  <c r="F29" i="27" s="1"/>
  <c r="E30" i="27"/>
  <c r="F30" i="27" s="1"/>
  <c r="E31" i="27"/>
  <c r="F31" i="27" s="1"/>
  <c r="E32" i="27"/>
  <c r="F32" i="27" s="1"/>
  <c r="E33" i="27"/>
  <c r="F33" i="27" s="1"/>
  <c r="E34" i="27"/>
  <c r="F34" i="27" s="1"/>
  <c r="E35" i="27"/>
  <c r="F35" i="27" s="1"/>
  <c r="E36" i="27"/>
  <c r="F36" i="27" s="1"/>
  <c r="E37" i="27"/>
  <c r="F37" i="27" s="1"/>
  <c r="E38" i="27"/>
  <c r="F38" i="27" s="1"/>
  <c r="E39" i="27"/>
  <c r="F39" i="27" s="1"/>
  <c r="E40" i="27"/>
  <c r="F40" i="27" s="1"/>
  <c r="E41" i="27"/>
  <c r="F41" i="27" s="1"/>
  <c r="E42" i="27"/>
  <c r="F42" i="27" s="1"/>
  <c r="E43" i="27"/>
  <c r="F43" i="27" s="1"/>
  <c r="E44" i="27"/>
  <c r="F44" i="27" s="1"/>
  <c r="E45" i="27"/>
  <c r="F45" i="27" s="1"/>
  <c r="E46" i="27"/>
  <c r="F46" i="27" s="1"/>
  <c r="E47" i="27"/>
  <c r="F47" i="27" s="1"/>
  <c r="E48" i="27"/>
  <c r="F48" i="27" s="1"/>
  <c r="E49" i="27"/>
  <c r="F49" i="27" s="1"/>
  <c r="E50" i="27"/>
  <c r="F50" i="27" s="1"/>
  <c r="E51" i="27"/>
  <c r="F51" i="27" s="1"/>
  <c r="E53" i="27"/>
  <c r="F53" i="27" s="1"/>
  <c r="E54" i="27"/>
  <c r="F54" i="27" s="1"/>
  <c r="E55" i="27"/>
  <c r="F55" i="27" s="1"/>
  <c r="E56" i="27"/>
  <c r="F56" i="27" s="1"/>
  <c r="E57" i="27"/>
  <c r="F57" i="27" s="1"/>
  <c r="E58" i="27"/>
  <c r="F58" i="27" s="1"/>
  <c r="E59" i="27"/>
  <c r="F59" i="27" s="1"/>
  <c r="E60" i="27"/>
  <c r="F60" i="27" s="1"/>
  <c r="E61" i="27"/>
  <c r="F61" i="27" s="1"/>
  <c r="E62" i="27"/>
  <c r="F62" i="27" s="1"/>
  <c r="E63" i="27"/>
  <c r="F63" i="27" s="1"/>
  <c r="E64" i="27"/>
  <c r="F64" i="27" s="1"/>
  <c r="E65" i="27"/>
  <c r="F65" i="27" s="1"/>
  <c r="E66" i="27"/>
  <c r="F66" i="27" s="1"/>
  <c r="E67" i="27"/>
  <c r="F67" i="27" s="1"/>
  <c r="E68" i="27"/>
  <c r="F68" i="27" s="1"/>
  <c r="E4" i="27"/>
  <c r="F4" i="27" s="1"/>
  <c r="E5" i="27"/>
  <c r="F5" i="27" s="1"/>
  <c r="E6" i="27"/>
  <c r="F6" i="27" s="1"/>
  <c r="E7" i="27"/>
  <c r="F7" i="27" s="1"/>
  <c r="E8" i="27"/>
  <c r="F8" i="27" s="1"/>
  <c r="E9" i="27"/>
  <c r="F9" i="27" s="1"/>
  <c r="E10" i="27"/>
  <c r="F10" i="27" s="1"/>
  <c r="C26" i="1"/>
  <c r="D26" i="1"/>
  <c r="G26" i="1"/>
  <c r="C27" i="1"/>
  <c r="D27" i="1"/>
  <c r="G27" i="1"/>
  <c r="C28" i="1"/>
  <c r="D28" i="1"/>
  <c r="G28" i="1"/>
  <c r="C29" i="1"/>
  <c r="D29" i="1"/>
  <c r="G29" i="1"/>
  <c r="C30" i="1"/>
  <c r="D30" i="1"/>
  <c r="G30" i="1"/>
  <c r="C31" i="1"/>
  <c r="D31" i="1"/>
  <c r="G31" i="1"/>
  <c r="C32" i="1"/>
  <c r="D32" i="1"/>
  <c r="G32" i="1"/>
  <c r="C33" i="1"/>
  <c r="D33" i="1"/>
  <c r="G33" i="1"/>
  <c r="C34" i="1"/>
  <c r="D34" i="1"/>
  <c r="E34" i="1"/>
  <c r="F34" i="1"/>
  <c r="G34" i="1"/>
  <c r="C35" i="1"/>
  <c r="D35" i="1"/>
  <c r="G35" i="1"/>
  <c r="C36" i="1"/>
  <c r="D36" i="1"/>
  <c r="G36" i="1"/>
  <c r="C37" i="1"/>
  <c r="D37" i="1"/>
  <c r="G37" i="1"/>
  <c r="C38" i="1"/>
  <c r="D38" i="1"/>
  <c r="G38" i="1"/>
  <c r="C39" i="1"/>
  <c r="D39" i="1"/>
  <c r="G39" i="1"/>
  <c r="C40" i="1"/>
  <c r="D40" i="1"/>
  <c r="G40" i="1"/>
  <c r="C41" i="1"/>
  <c r="D41" i="1"/>
  <c r="G41" i="1"/>
  <c r="C42" i="1"/>
  <c r="D42" i="1"/>
  <c r="E42" i="1"/>
  <c r="F42" i="1"/>
  <c r="G42" i="1"/>
  <c r="C43" i="1"/>
  <c r="D43" i="1"/>
  <c r="G43" i="1"/>
  <c r="C44" i="1"/>
  <c r="D44" i="1"/>
  <c r="G44" i="1"/>
  <c r="C45" i="1"/>
  <c r="D45" i="1"/>
  <c r="G45" i="1"/>
  <c r="C46" i="1"/>
  <c r="D46" i="1"/>
  <c r="G46" i="1"/>
  <c r="C47" i="1"/>
  <c r="D47" i="1"/>
  <c r="G47" i="1"/>
  <c r="C48" i="1"/>
  <c r="D48" i="1"/>
  <c r="G48" i="1"/>
  <c r="C49" i="1"/>
  <c r="D49" i="1"/>
  <c r="G49" i="1"/>
  <c r="C50" i="1"/>
  <c r="D50" i="1"/>
  <c r="G50" i="1"/>
  <c r="C51" i="1"/>
  <c r="D51" i="1"/>
  <c r="G51" i="1"/>
  <c r="C52" i="1"/>
  <c r="D52" i="1"/>
  <c r="G52" i="1"/>
  <c r="C53" i="1"/>
  <c r="D53" i="1"/>
  <c r="G53" i="1"/>
  <c r="C54" i="1"/>
  <c r="D54" i="1"/>
  <c r="G54" i="1"/>
  <c r="C55" i="1"/>
  <c r="D55" i="1"/>
  <c r="G55" i="1"/>
  <c r="C56" i="1"/>
  <c r="D56" i="1"/>
  <c r="G56" i="1"/>
  <c r="C57" i="1"/>
  <c r="D57" i="1"/>
  <c r="E57" i="1"/>
  <c r="F57" i="1"/>
  <c r="G57" i="1"/>
  <c r="C58" i="1"/>
  <c r="D58" i="1"/>
  <c r="G58" i="1"/>
  <c r="C59" i="1"/>
  <c r="D59" i="1"/>
  <c r="G59" i="1"/>
  <c r="C60" i="1"/>
  <c r="D60" i="1"/>
  <c r="G60" i="1"/>
  <c r="C61" i="1"/>
  <c r="D61" i="1"/>
  <c r="G61" i="1"/>
  <c r="C62" i="1"/>
  <c r="D62" i="1"/>
  <c r="G62" i="1"/>
  <c r="C63" i="1"/>
  <c r="D63" i="1"/>
  <c r="G63" i="1"/>
  <c r="C64" i="1"/>
  <c r="D64" i="1"/>
  <c r="G64" i="1"/>
  <c r="C65" i="1"/>
  <c r="D65" i="1"/>
  <c r="G65" i="1"/>
  <c r="C66" i="1"/>
  <c r="D66" i="1"/>
  <c r="G66" i="1"/>
  <c r="C67" i="1"/>
  <c r="D67" i="1"/>
  <c r="G67" i="1"/>
  <c r="C68" i="1"/>
  <c r="D68" i="1"/>
  <c r="G68" i="1"/>
  <c r="E47" i="29"/>
  <c r="F47" i="29" s="1"/>
  <c r="E50" i="29"/>
  <c r="F50" i="29" s="1"/>
  <c r="E26" i="26"/>
  <c r="F26" i="26" s="1"/>
  <c r="H26" i="26"/>
  <c r="E27" i="26"/>
  <c r="F27" i="26" s="1"/>
  <c r="H27" i="26"/>
  <c r="E28" i="26"/>
  <c r="F28" i="26" s="1"/>
  <c r="H28" i="26"/>
  <c r="E29" i="26"/>
  <c r="F29" i="26" s="1"/>
  <c r="H29" i="26"/>
  <c r="E30" i="26"/>
  <c r="F30" i="26" s="1"/>
  <c r="H30" i="26"/>
  <c r="H30" i="29" s="1"/>
  <c r="I30" i="29" s="1"/>
  <c r="E31" i="26"/>
  <c r="F31" i="26" s="1"/>
  <c r="H31" i="26"/>
  <c r="E32" i="26"/>
  <c r="F32" i="26" s="1"/>
  <c r="H32" i="26"/>
  <c r="E33" i="26"/>
  <c r="F33" i="26"/>
  <c r="H33" i="26"/>
  <c r="E34" i="26"/>
  <c r="F34" i="26" s="1"/>
  <c r="H34" i="26"/>
  <c r="H34" i="29" s="1"/>
  <c r="I34" i="29" s="1"/>
  <c r="E35" i="26"/>
  <c r="F35" i="26" s="1"/>
  <c r="H35" i="26"/>
  <c r="E36" i="26"/>
  <c r="F36" i="26" s="1"/>
  <c r="H36" i="26"/>
  <c r="E37" i="26"/>
  <c r="F37" i="26" s="1"/>
  <c r="H37" i="26"/>
  <c r="E38" i="26"/>
  <c r="F38" i="26" s="1"/>
  <c r="H38" i="26"/>
  <c r="H38" i="29" s="1"/>
  <c r="I38" i="29" s="1"/>
  <c r="E39" i="26"/>
  <c r="F39" i="26" s="1"/>
  <c r="H39" i="26"/>
  <c r="H39" i="29" s="1"/>
  <c r="I39" i="29" s="1"/>
  <c r="E40" i="26"/>
  <c r="F40" i="26" s="1"/>
  <c r="H40" i="26"/>
  <c r="E41" i="26"/>
  <c r="F41" i="26" s="1"/>
  <c r="H41" i="26"/>
  <c r="E42" i="26"/>
  <c r="F42" i="26" s="1"/>
  <c r="H42" i="26"/>
  <c r="E43" i="26"/>
  <c r="F43" i="26" s="1"/>
  <c r="H43" i="26"/>
  <c r="E44" i="26"/>
  <c r="F44" i="26" s="1"/>
  <c r="H44" i="26"/>
  <c r="E45" i="26"/>
  <c r="F45" i="26" s="1"/>
  <c r="H45" i="26"/>
  <c r="E46" i="26"/>
  <c r="F46" i="26"/>
  <c r="H46" i="26"/>
  <c r="E47" i="26"/>
  <c r="F47" i="26" s="1"/>
  <c r="H47" i="26"/>
  <c r="E48" i="26"/>
  <c r="F48" i="26"/>
  <c r="H48" i="26"/>
  <c r="E49" i="26"/>
  <c r="F49" i="26" s="1"/>
  <c r="H49" i="26"/>
  <c r="E50" i="26"/>
  <c r="F50" i="26" s="1"/>
  <c r="H50" i="26"/>
  <c r="E51" i="26"/>
  <c r="F51" i="26" s="1"/>
  <c r="H51" i="26"/>
  <c r="E52" i="26"/>
  <c r="F52" i="26"/>
  <c r="H52" i="26"/>
  <c r="E53" i="26"/>
  <c r="F53" i="26" s="1"/>
  <c r="H53" i="26"/>
  <c r="E54" i="26"/>
  <c r="F54" i="26" s="1"/>
  <c r="H54" i="26"/>
  <c r="E55" i="26"/>
  <c r="F55" i="26" s="1"/>
  <c r="H55" i="26"/>
  <c r="H55" i="29" s="1"/>
  <c r="I55" i="29" s="1"/>
  <c r="E56" i="26"/>
  <c r="F56" i="26" s="1"/>
  <c r="H56" i="26"/>
  <c r="E57" i="26"/>
  <c r="F57" i="26" s="1"/>
  <c r="H57" i="26"/>
  <c r="E58" i="26"/>
  <c r="F58" i="26" s="1"/>
  <c r="H58" i="26"/>
  <c r="E59" i="26"/>
  <c r="F59" i="26" s="1"/>
  <c r="H59" i="26"/>
  <c r="E60" i="26"/>
  <c r="F60" i="26" s="1"/>
  <c r="H60" i="26"/>
  <c r="E61" i="26"/>
  <c r="F61" i="26" s="1"/>
  <c r="H61" i="26"/>
  <c r="E62" i="26"/>
  <c r="F62" i="26" s="1"/>
  <c r="H62" i="26"/>
  <c r="E63" i="26"/>
  <c r="F63" i="26" s="1"/>
  <c r="H63" i="26"/>
  <c r="E64" i="26"/>
  <c r="F64" i="26" s="1"/>
  <c r="H64" i="26"/>
  <c r="E65" i="26"/>
  <c r="F65" i="26" s="1"/>
  <c r="H65" i="26"/>
  <c r="E66" i="26"/>
  <c r="F66" i="26" s="1"/>
  <c r="H66" i="26"/>
  <c r="E67" i="26"/>
  <c r="F67" i="26" s="1"/>
  <c r="H67" i="26"/>
  <c r="E26" i="19"/>
  <c r="H26" i="19"/>
  <c r="E27" i="19"/>
  <c r="H27" i="19"/>
  <c r="I27" i="19" s="1"/>
  <c r="E28" i="19"/>
  <c r="H28" i="19"/>
  <c r="I28" i="19" s="1"/>
  <c r="E29" i="19"/>
  <c r="H29" i="19"/>
  <c r="I29" i="19" s="1"/>
  <c r="E30" i="19"/>
  <c r="H30" i="19"/>
  <c r="I30" i="19" s="1"/>
  <c r="E31" i="19"/>
  <c r="H31" i="19"/>
  <c r="I31" i="19" s="1"/>
  <c r="E32" i="19"/>
  <c r="H32" i="19"/>
  <c r="I32" i="19" s="1"/>
  <c r="E33" i="19"/>
  <c r="H33" i="19"/>
  <c r="I33" i="19" s="1"/>
  <c r="E34" i="19"/>
  <c r="H34" i="19"/>
  <c r="I34" i="19" s="1"/>
  <c r="E35" i="19"/>
  <c r="H35" i="19"/>
  <c r="E36" i="19"/>
  <c r="H36" i="19"/>
  <c r="I36" i="19" s="1"/>
  <c r="E37" i="19"/>
  <c r="F37" i="19" s="1"/>
  <c r="H37" i="19"/>
  <c r="I37" i="19" s="1"/>
  <c r="E38" i="19"/>
  <c r="F38" i="19" s="1"/>
  <c r="H38" i="19"/>
  <c r="E39" i="19"/>
  <c r="H39" i="19"/>
  <c r="I39" i="19" s="1"/>
  <c r="E40" i="19"/>
  <c r="H40" i="19"/>
  <c r="I40" i="19" s="1"/>
  <c r="E41" i="19"/>
  <c r="F41" i="19" s="1"/>
  <c r="H41" i="19"/>
  <c r="I41" i="19" s="1"/>
  <c r="E42" i="19"/>
  <c r="H42" i="19"/>
  <c r="I42" i="19" s="1"/>
  <c r="E43" i="19"/>
  <c r="H43" i="19"/>
  <c r="I43" i="19" s="1"/>
  <c r="E44" i="19"/>
  <c r="F44" i="19" s="1"/>
  <c r="H44" i="19"/>
  <c r="I44" i="19" s="1"/>
  <c r="E45" i="19"/>
  <c r="F45" i="19" s="1"/>
  <c r="H45" i="19"/>
  <c r="I45" i="19" s="1"/>
  <c r="E46" i="19"/>
  <c r="F46" i="19" s="1"/>
  <c r="H46" i="19"/>
  <c r="I46" i="19" s="1"/>
  <c r="E47" i="19"/>
  <c r="F47" i="19" s="1"/>
  <c r="H47" i="19"/>
  <c r="I47" i="19" s="1"/>
  <c r="E48" i="19"/>
  <c r="F48" i="19" s="1"/>
  <c r="H48" i="19"/>
  <c r="I48" i="19" s="1"/>
  <c r="E49" i="19"/>
  <c r="F49" i="19" s="1"/>
  <c r="H49" i="19"/>
  <c r="I49" i="19" s="1"/>
  <c r="E50" i="19"/>
  <c r="F50" i="19" s="1"/>
  <c r="H50" i="19"/>
  <c r="I50" i="19" s="1"/>
  <c r="E51" i="19"/>
  <c r="H51" i="19"/>
  <c r="I51" i="19" s="1"/>
  <c r="E52" i="19"/>
  <c r="F52" i="19" s="1"/>
  <c r="H52" i="19"/>
  <c r="I52" i="19" s="1"/>
  <c r="E53" i="19"/>
  <c r="H53" i="19"/>
  <c r="E54" i="19"/>
  <c r="F54" i="19" s="1"/>
  <c r="H54" i="19"/>
  <c r="I54" i="19" s="1"/>
  <c r="E55" i="19"/>
  <c r="F55" i="19" s="1"/>
  <c r="H55" i="19"/>
  <c r="I55" i="19" s="1"/>
  <c r="E56" i="19"/>
  <c r="H56" i="19"/>
  <c r="I56" i="19" s="1"/>
  <c r="E57" i="19"/>
  <c r="F57" i="19" s="1"/>
  <c r="H57" i="19"/>
  <c r="I57" i="19" s="1"/>
  <c r="E58" i="19"/>
  <c r="H58" i="19"/>
  <c r="I58" i="19" s="1"/>
  <c r="E59" i="19"/>
  <c r="F59" i="19" s="1"/>
  <c r="H59" i="19"/>
  <c r="I59" i="19" s="1"/>
  <c r="E60" i="19"/>
  <c r="H60" i="19"/>
  <c r="E61" i="19"/>
  <c r="H61" i="19"/>
  <c r="I61" i="19" s="1"/>
  <c r="E62" i="19"/>
  <c r="H62" i="19"/>
  <c r="I62" i="19" s="1"/>
  <c r="E63" i="19"/>
  <c r="H63" i="19"/>
  <c r="I63" i="19" s="1"/>
  <c r="E64" i="19"/>
  <c r="H64" i="19"/>
  <c r="E65" i="19"/>
  <c r="F65" i="19" s="1"/>
  <c r="H65" i="19"/>
  <c r="I65" i="19" s="1"/>
  <c r="E66" i="19"/>
  <c r="F66" i="19" s="1"/>
  <c r="H66" i="19"/>
  <c r="I66" i="19" s="1"/>
  <c r="E67" i="19"/>
  <c r="F67" i="19" s="1"/>
  <c r="H67" i="19"/>
  <c r="I67" i="19" s="1"/>
  <c r="E68" i="19"/>
  <c r="F68" i="19" s="1"/>
  <c r="H68" i="19"/>
  <c r="I68" i="19" s="1"/>
  <c r="E26" i="20"/>
  <c r="H26" i="20"/>
  <c r="I26" i="20" s="1"/>
  <c r="E27" i="20"/>
  <c r="H27" i="20"/>
  <c r="I27" i="20" s="1"/>
  <c r="E28" i="20"/>
  <c r="H28" i="20"/>
  <c r="E29" i="20"/>
  <c r="H29" i="20"/>
  <c r="I29" i="20" s="1"/>
  <c r="E30" i="20"/>
  <c r="H30" i="20"/>
  <c r="I30" i="20" s="1"/>
  <c r="E31" i="20"/>
  <c r="H31" i="20"/>
  <c r="I31" i="20" s="1"/>
  <c r="E32" i="20"/>
  <c r="H32" i="20"/>
  <c r="I32" i="20" s="1"/>
  <c r="E33" i="20"/>
  <c r="H33" i="20"/>
  <c r="I33" i="20" s="1"/>
  <c r="E34" i="20"/>
  <c r="H34" i="20"/>
  <c r="I34" i="20" s="1"/>
  <c r="E35" i="20"/>
  <c r="H35" i="20"/>
  <c r="I35" i="20" s="1"/>
  <c r="E36" i="20"/>
  <c r="H36" i="20"/>
  <c r="I36" i="20" s="1"/>
  <c r="E37" i="20"/>
  <c r="F37" i="20" s="1"/>
  <c r="H37" i="20"/>
  <c r="I37" i="20" s="1"/>
  <c r="E38" i="20"/>
  <c r="F38" i="20" s="1"/>
  <c r="H38" i="20"/>
  <c r="I38" i="20" s="1"/>
  <c r="E39" i="20"/>
  <c r="H39" i="20"/>
  <c r="I39" i="20" s="1"/>
  <c r="E40" i="20"/>
  <c r="F40" i="20" s="1"/>
  <c r="H40" i="20"/>
  <c r="I40" i="20" s="1"/>
  <c r="E41" i="20"/>
  <c r="F41" i="20" s="1"/>
  <c r="H41" i="20"/>
  <c r="I41" i="20" s="1"/>
  <c r="E42" i="20"/>
  <c r="F42" i="20" s="1"/>
  <c r="H42" i="20"/>
  <c r="I42" i="20" s="1"/>
  <c r="E43" i="20"/>
  <c r="F43" i="20" s="1"/>
  <c r="H43" i="20"/>
  <c r="I43" i="20" s="1"/>
  <c r="E44" i="20"/>
  <c r="F44" i="20" s="1"/>
  <c r="H44" i="20"/>
  <c r="I44" i="20" s="1"/>
  <c r="E45" i="20"/>
  <c r="F45" i="20" s="1"/>
  <c r="H45" i="20"/>
  <c r="E46" i="20"/>
  <c r="F46" i="20" s="1"/>
  <c r="H46" i="20"/>
  <c r="E47" i="20"/>
  <c r="F47" i="20" s="1"/>
  <c r="H47" i="20"/>
  <c r="E48" i="20"/>
  <c r="F48" i="20" s="1"/>
  <c r="H48" i="20"/>
  <c r="I48" i="20" s="1"/>
  <c r="E49" i="20"/>
  <c r="F49" i="20" s="1"/>
  <c r="H49" i="20"/>
  <c r="I49" i="20" s="1"/>
  <c r="E50" i="20"/>
  <c r="F50" i="20" s="1"/>
  <c r="H50" i="20"/>
  <c r="I50" i="20" s="1"/>
  <c r="E51" i="20"/>
  <c r="F51" i="20" s="1"/>
  <c r="H51" i="20"/>
  <c r="I51" i="20" s="1"/>
  <c r="E52" i="20"/>
  <c r="F52" i="20" s="1"/>
  <c r="H52" i="20"/>
  <c r="I52" i="20" s="1"/>
  <c r="E53" i="20"/>
  <c r="F53" i="20" s="1"/>
  <c r="H53" i="20"/>
  <c r="I53" i="20" s="1"/>
  <c r="E54" i="20"/>
  <c r="F54" i="20" s="1"/>
  <c r="H54" i="20"/>
  <c r="I54" i="20" s="1"/>
  <c r="E55" i="20"/>
  <c r="F55" i="20" s="1"/>
  <c r="H55" i="20"/>
  <c r="E56" i="20"/>
  <c r="F56" i="20" s="1"/>
  <c r="H56" i="20"/>
  <c r="I56" i="20" s="1"/>
  <c r="E57" i="20"/>
  <c r="F57" i="20" s="1"/>
  <c r="H57" i="20"/>
  <c r="I57" i="20" s="1"/>
  <c r="E58" i="20"/>
  <c r="F58" i="20" s="1"/>
  <c r="H58" i="20"/>
  <c r="I58" i="20" s="1"/>
  <c r="E59" i="20"/>
  <c r="F59" i="20" s="1"/>
  <c r="H59" i="20"/>
  <c r="I59" i="20" s="1"/>
  <c r="E60" i="20"/>
  <c r="F60" i="20" s="1"/>
  <c r="H60" i="20"/>
  <c r="E61" i="20"/>
  <c r="F61" i="20" s="1"/>
  <c r="H61" i="20"/>
  <c r="I61" i="20" s="1"/>
  <c r="E62" i="20"/>
  <c r="F62" i="20" s="1"/>
  <c r="H62" i="20"/>
  <c r="I62" i="20" s="1"/>
  <c r="E63" i="20"/>
  <c r="F63" i="20" s="1"/>
  <c r="H63" i="20"/>
  <c r="I63" i="20" s="1"/>
  <c r="E64" i="20"/>
  <c r="F64" i="20" s="1"/>
  <c r="H64" i="20"/>
  <c r="I64" i="20" s="1"/>
  <c r="E65" i="20"/>
  <c r="F65" i="20" s="1"/>
  <c r="H65" i="20"/>
  <c r="I65" i="20" s="1"/>
  <c r="E66" i="20"/>
  <c r="F66" i="20" s="1"/>
  <c r="H66" i="20"/>
  <c r="I66" i="20" s="1"/>
  <c r="E67" i="20"/>
  <c r="F67" i="20" s="1"/>
  <c r="H67" i="20"/>
  <c r="I67" i="20" s="1"/>
  <c r="E68" i="20"/>
  <c r="F68" i="20" s="1"/>
  <c r="H68" i="20"/>
  <c r="E26" i="21"/>
  <c r="F26" i="21"/>
  <c r="H26" i="21"/>
  <c r="H26" i="18" s="1"/>
  <c r="E27" i="21"/>
  <c r="F27" i="21" s="1"/>
  <c r="H27" i="21"/>
  <c r="I27" i="21" s="1"/>
  <c r="E28" i="21"/>
  <c r="F28" i="21"/>
  <c r="H28" i="21"/>
  <c r="I28" i="21" s="1"/>
  <c r="E29" i="21"/>
  <c r="F29" i="21"/>
  <c r="H29" i="21"/>
  <c r="I29" i="21" s="1"/>
  <c r="E30" i="21"/>
  <c r="F30" i="21"/>
  <c r="H30" i="21"/>
  <c r="E31" i="21"/>
  <c r="F31" i="21"/>
  <c r="H31" i="21"/>
  <c r="E32" i="21"/>
  <c r="F32" i="21"/>
  <c r="H32" i="21"/>
  <c r="E33" i="21"/>
  <c r="F33" i="21"/>
  <c r="H33" i="21"/>
  <c r="I33" i="21" s="1"/>
  <c r="E34" i="21"/>
  <c r="F34" i="21"/>
  <c r="H34" i="21"/>
  <c r="I34" i="21" s="1"/>
  <c r="E35" i="21"/>
  <c r="F35" i="21"/>
  <c r="H35" i="21"/>
  <c r="I35" i="21" s="1"/>
  <c r="E36" i="21"/>
  <c r="F36" i="21"/>
  <c r="H36" i="21"/>
  <c r="I36" i="21" s="1"/>
  <c r="E37" i="21"/>
  <c r="F37" i="21"/>
  <c r="H37" i="21"/>
  <c r="I37" i="21" s="1"/>
  <c r="E38" i="21"/>
  <c r="F38" i="21"/>
  <c r="H38" i="21"/>
  <c r="E39" i="21"/>
  <c r="F39" i="21"/>
  <c r="H39" i="21"/>
  <c r="I39" i="21" s="1"/>
  <c r="E40" i="21"/>
  <c r="F40" i="21"/>
  <c r="H40" i="21"/>
  <c r="I40" i="21" s="1"/>
  <c r="E41" i="21"/>
  <c r="F41" i="21"/>
  <c r="H41" i="21"/>
  <c r="E42" i="21"/>
  <c r="F42" i="21" s="1"/>
  <c r="H42" i="21"/>
  <c r="I42" i="21" s="1"/>
  <c r="E43" i="21"/>
  <c r="F43" i="21" s="1"/>
  <c r="H43" i="21"/>
  <c r="I43" i="21" s="1"/>
  <c r="E44" i="21"/>
  <c r="F44" i="21" s="1"/>
  <c r="H44" i="21"/>
  <c r="E45" i="21"/>
  <c r="F45" i="21" s="1"/>
  <c r="H45" i="21"/>
  <c r="E46" i="21"/>
  <c r="F46" i="21" s="1"/>
  <c r="H46" i="21"/>
  <c r="I46" i="21" s="1"/>
  <c r="E47" i="21"/>
  <c r="F47" i="21" s="1"/>
  <c r="H47" i="21"/>
  <c r="I47" i="21" s="1"/>
  <c r="E48" i="21"/>
  <c r="F48" i="21"/>
  <c r="H48" i="21"/>
  <c r="E49" i="21"/>
  <c r="F49" i="21"/>
  <c r="H49" i="21"/>
  <c r="E50" i="21"/>
  <c r="F50" i="21"/>
  <c r="H50" i="21"/>
  <c r="E51" i="21"/>
  <c r="F51" i="21" s="1"/>
  <c r="H51" i="21"/>
  <c r="I51" i="21" s="1"/>
  <c r="E52" i="21"/>
  <c r="F52" i="21"/>
  <c r="H52" i="21"/>
  <c r="E53" i="21"/>
  <c r="F53" i="21"/>
  <c r="H53" i="21"/>
  <c r="E54" i="21"/>
  <c r="F54" i="21"/>
  <c r="H54" i="21"/>
  <c r="E55" i="21"/>
  <c r="F55" i="21"/>
  <c r="H55" i="21"/>
  <c r="E56" i="21"/>
  <c r="F56" i="21"/>
  <c r="H56" i="21"/>
  <c r="I56" i="21" s="1"/>
  <c r="E57" i="21"/>
  <c r="F57" i="21"/>
  <c r="H57" i="21"/>
  <c r="I57" i="21" s="1"/>
  <c r="E58" i="21"/>
  <c r="F58" i="21"/>
  <c r="H58" i="21"/>
  <c r="I58" i="21" s="1"/>
  <c r="E59" i="21"/>
  <c r="F59" i="21"/>
  <c r="H59" i="21"/>
  <c r="E60" i="21"/>
  <c r="F60" i="21"/>
  <c r="H60" i="21"/>
  <c r="I60" i="21" s="1"/>
  <c r="E61" i="21"/>
  <c r="F61" i="21" s="1"/>
  <c r="H61" i="21"/>
  <c r="E62" i="21"/>
  <c r="F62" i="21" s="1"/>
  <c r="H62" i="21"/>
  <c r="E63" i="21"/>
  <c r="F63" i="21"/>
  <c r="H63" i="21"/>
  <c r="I63" i="21" s="1"/>
  <c r="E64" i="21"/>
  <c r="F64" i="21"/>
  <c r="H64" i="21"/>
  <c r="H64" i="18" s="1"/>
  <c r="E65" i="21"/>
  <c r="F65" i="21"/>
  <c r="H65" i="21"/>
  <c r="E66" i="21"/>
  <c r="F66" i="21" s="1"/>
  <c r="H66" i="21"/>
  <c r="E67" i="21"/>
  <c r="F67" i="21" s="1"/>
  <c r="H67" i="21"/>
  <c r="E68" i="21"/>
  <c r="F68" i="21" s="1"/>
  <c r="H68" i="21"/>
  <c r="E26" i="4"/>
  <c r="F26" i="4"/>
  <c r="H26" i="4"/>
  <c r="I26" i="4" s="1"/>
  <c r="E27" i="4"/>
  <c r="F27" i="4"/>
  <c r="H27" i="4"/>
  <c r="I27" i="4"/>
  <c r="E28" i="4"/>
  <c r="F28" i="4"/>
  <c r="H28" i="4"/>
  <c r="I28" i="4"/>
  <c r="E29" i="4"/>
  <c r="F29" i="4"/>
  <c r="H29" i="4"/>
  <c r="I29" i="4"/>
  <c r="E30" i="4"/>
  <c r="F30" i="4"/>
  <c r="H30" i="4"/>
  <c r="I30" i="4" s="1"/>
  <c r="E31" i="4"/>
  <c r="F31" i="4"/>
  <c r="H31" i="4"/>
  <c r="I31" i="4" s="1"/>
  <c r="E32" i="4"/>
  <c r="F32" i="4"/>
  <c r="H32" i="4"/>
  <c r="I32" i="4" s="1"/>
  <c r="E33" i="4"/>
  <c r="F33" i="4"/>
  <c r="H33" i="4"/>
  <c r="I33" i="4" s="1"/>
  <c r="E34" i="4"/>
  <c r="F34" i="4"/>
  <c r="H34" i="4"/>
  <c r="I34" i="4" s="1"/>
  <c r="E35" i="4"/>
  <c r="F35" i="4"/>
  <c r="H35" i="4"/>
  <c r="I35" i="4"/>
  <c r="E36" i="4"/>
  <c r="F36" i="4"/>
  <c r="H36" i="4"/>
  <c r="I36" i="4" s="1"/>
  <c r="E37" i="4"/>
  <c r="F37" i="4"/>
  <c r="H37" i="4"/>
  <c r="I37" i="4" s="1"/>
  <c r="E38" i="4"/>
  <c r="F38" i="4"/>
  <c r="H38" i="4"/>
  <c r="I38" i="4"/>
  <c r="E39" i="4"/>
  <c r="F39" i="4"/>
  <c r="H39" i="4"/>
  <c r="I39" i="4"/>
  <c r="E40" i="4"/>
  <c r="F40" i="4"/>
  <c r="H40" i="4"/>
  <c r="I40" i="4" s="1"/>
  <c r="E41" i="4"/>
  <c r="F41" i="4"/>
  <c r="H41" i="4"/>
  <c r="I41" i="4" s="1"/>
  <c r="E42" i="4"/>
  <c r="F42" i="4"/>
  <c r="H42" i="4"/>
  <c r="I42" i="4" s="1"/>
  <c r="E43" i="4"/>
  <c r="F43" i="4"/>
  <c r="H43" i="4"/>
  <c r="I43" i="4" s="1"/>
  <c r="E44" i="4"/>
  <c r="F44" i="4"/>
  <c r="H44" i="4"/>
  <c r="I44" i="4" s="1"/>
  <c r="E45" i="4"/>
  <c r="F45" i="4"/>
  <c r="H45" i="4"/>
  <c r="I45" i="4" s="1"/>
  <c r="E46" i="4"/>
  <c r="F46" i="4"/>
  <c r="H46" i="4"/>
  <c r="I46" i="4" s="1"/>
  <c r="E47" i="4"/>
  <c r="F47" i="4"/>
  <c r="H47" i="4"/>
  <c r="I47" i="4" s="1"/>
  <c r="E48" i="4"/>
  <c r="F48" i="4"/>
  <c r="H48" i="4"/>
  <c r="I48" i="4"/>
  <c r="E49" i="4"/>
  <c r="F49" i="4"/>
  <c r="H49" i="4"/>
  <c r="I49" i="4" s="1"/>
  <c r="E50" i="4"/>
  <c r="F50" i="4"/>
  <c r="H50" i="4"/>
  <c r="I50" i="4" s="1"/>
  <c r="E51" i="4"/>
  <c r="F51" i="4"/>
  <c r="H51" i="4"/>
  <c r="I51" i="4"/>
  <c r="E52" i="4"/>
  <c r="F52" i="4"/>
  <c r="H52" i="4"/>
  <c r="I52" i="4" s="1"/>
  <c r="E53" i="4"/>
  <c r="F53" i="4"/>
  <c r="H53" i="4"/>
  <c r="I53" i="4"/>
  <c r="E54" i="4"/>
  <c r="F54" i="4"/>
  <c r="H54" i="4"/>
  <c r="I54" i="4" s="1"/>
  <c r="E55" i="4"/>
  <c r="F55" i="4"/>
  <c r="H55" i="4"/>
  <c r="I55" i="4"/>
  <c r="E56" i="4"/>
  <c r="F56" i="4"/>
  <c r="H56" i="4"/>
  <c r="I56" i="4" s="1"/>
  <c r="E57" i="4"/>
  <c r="F57" i="4"/>
  <c r="H57" i="4"/>
  <c r="I57" i="4" s="1"/>
  <c r="E58" i="4"/>
  <c r="F58" i="4"/>
  <c r="H58" i="4"/>
  <c r="I58" i="4" s="1"/>
  <c r="E59" i="4"/>
  <c r="F59" i="4"/>
  <c r="H59" i="4"/>
  <c r="I59" i="4" s="1"/>
  <c r="E60" i="4"/>
  <c r="F60" i="4"/>
  <c r="H60" i="4"/>
  <c r="I60" i="4"/>
  <c r="E61" i="4"/>
  <c r="F61" i="4"/>
  <c r="H61" i="4"/>
  <c r="I61" i="4"/>
  <c r="E62" i="4"/>
  <c r="F62" i="4"/>
  <c r="H62" i="4"/>
  <c r="I62" i="4" s="1"/>
  <c r="E63" i="4"/>
  <c r="F63" i="4"/>
  <c r="H63" i="4"/>
  <c r="I63" i="4" s="1"/>
  <c r="E64" i="4"/>
  <c r="F64" i="4"/>
  <c r="H64" i="4"/>
  <c r="I64" i="4" s="1"/>
  <c r="E65" i="4"/>
  <c r="F65" i="4"/>
  <c r="H65" i="4"/>
  <c r="I65" i="4" s="1"/>
  <c r="E66" i="4"/>
  <c r="F66" i="4"/>
  <c r="H66" i="4"/>
  <c r="I66" i="4" s="1"/>
  <c r="E67" i="4"/>
  <c r="F67" i="4"/>
  <c r="H67" i="4"/>
  <c r="I67" i="4" s="1"/>
  <c r="E68" i="4"/>
  <c r="F68" i="4"/>
  <c r="H68" i="4"/>
  <c r="I68" i="4"/>
  <c r="E26" i="3"/>
  <c r="F26" i="3"/>
  <c r="H26" i="3"/>
  <c r="I26" i="3"/>
  <c r="E27" i="3"/>
  <c r="F27" i="3"/>
  <c r="H27" i="3"/>
  <c r="I27" i="3"/>
  <c r="E28" i="3"/>
  <c r="F28" i="3"/>
  <c r="H28" i="3"/>
  <c r="I28" i="3"/>
  <c r="E29" i="3"/>
  <c r="F29" i="3"/>
  <c r="H29" i="3"/>
  <c r="I29" i="3"/>
  <c r="E30" i="3"/>
  <c r="F30" i="3"/>
  <c r="H30" i="3"/>
  <c r="I30" i="3"/>
  <c r="E31" i="3"/>
  <c r="F31" i="3"/>
  <c r="H31" i="3"/>
  <c r="I31" i="3"/>
  <c r="E32" i="3"/>
  <c r="F32" i="3"/>
  <c r="H32" i="3"/>
  <c r="I32" i="3"/>
  <c r="E33" i="3"/>
  <c r="F33" i="3"/>
  <c r="H33" i="3"/>
  <c r="I33" i="3"/>
  <c r="E34" i="3"/>
  <c r="F34" i="3"/>
  <c r="H34" i="3"/>
  <c r="I34" i="3"/>
  <c r="E35" i="3"/>
  <c r="F35" i="3"/>
  <c r="H35" i="3"/>
  <c r="I35" i="3"/>
  <c r="E36" i="3"/>
  <c r="F36" i="3"/>
  <c r="H36" i="3"/>
  <c r="I36" i="3"/>
  <c r="E37" i="3"/>
  <c r="F37" i="3"/>
  <c r="H37" i="3"/>
  <c r="I37" i="3"/>
  <c r="E38" i="3"/>
  <c r="F38" i="3"/>
  <c r="H38" i="3"/>
  <c r="I38" i="3"/>
  <c r="E39" i="3"/>
  <c r="F39" i="3"/>
  <c r="H39" i="3"/>
  <c r="I39" i="3"/>
  <c r="F40" i="3"/>
  <c r="H40" i="3"/>
  <c r="I40" i="3"/>
  <c r="E41" i="3"/>
  <c r="F41" i="3"/>
  <c r="H41" i="3"/>
  <c r="E42" i="3"/>
  <c r="F42" i="3"/>
  <c r="H42" i="3"/>
  <c r="I42" i="3"/>
  <c r="E43" i="3"/>
  <c r="F43" i="3"/>
  <c r="H43" i="3"/>
  <c r="I43" i="3"/>
  <c r="E44" i="3"/>
  <c r="F44" i="3"/>
  <c r="H44" i="3"/>
  <c r="I44" i="3"/>
  <c r="E45" i="3"/>
  <c r="F45" i="3"/>
  <c r="H45" i="3"/>
  <c r="I45" i="3"/>
  <c r="E46" i="3"/>
  <c r="F46" i="3"/>
  <c r="H46" i="3"/>
  <c r="I46" i="3"/>
  <c r="E47" i="3"/>
  <c r="F47" i="3"/>
  <c r="H47" i="3"/>
  <c r="I47" i="3"/>
  <c r="F48" i="3"/>
  <c r="H48" i="3"/>
  <c r="I48" i="3"/>
  <c r="E49" i="3"/>
  <c r="F49" i="3"/>
  <c r="H49" i="3"/>
  <c r="I49" i="3"/>
  <c r="E50" i="3"/>
  <c r="F50" i="3"/>
  <c r="H50" i="3"/>
  <c r="I50" i="3"/>
  <c r="E51" i="3"/>
  <c r="F51" i="3"/>
  <c r="H51" i="3"/>
  <c r="I51" i="3"/>
  <c r="E52" i="3"/>
  <c r="F52" i="3"/>
  <c r="H52" i="3"/>
  <c r="I52" i="3"/>
  <c r="E53" i="3"/>
  <c r="F53" i="3"/>
  <c r="H53" i="3"/>
  <c r="I53" i="3"/>
  <c r="E54" i="3"/>
  <c r="F54" i="3"/>
  <c r="H54" i="3"/>
  <c r="I54" i="3"/>
  <c r="E55" i="3"/>
  <c r="F55" i="3"/>
  <c r="H55" i="3"/>
  <c r="I55" i="3"/>
  <c r="E56" i="3"/>
  <c r="F56" i="3"/>
  <c r="H56" i="3"/>
  <c r="I56" i="3"/>
  <c r="E57" i="3"/>
  <c r="F57" i="3"/>
  <c r="H57" i="3"/>
  <c r="I57" i="3"/>
  <c r="E58" i="3"/>
  <c r="F58" i="3"/>
  <c r="H58" i="3"/>
  <c r="I58" i="3"/>
  <c r="E59" i="3"/>
  <c r="F59" i="3"/>
  <c r="H59" i="3"/>
  <c r="I59" i="3"/>
  <c r="E60" i="3"/>
  <c r="F60" i="3"/>
  <c r="H60" i="3"/>
  <c r="I60" i="3"/>
  <c r="E61" i="3"/>
  <c r="F61" i="3"/>
  <c r="H61" i="3"/>
  <c r="I61" i="3"/>
  <c r="E62" i="3"/>
  <c r="F62" i="3"/>
  <c r="H62" i="3"/>
  <c r="I62" i="3"/>
  <c r="E63" i="3"/>
  <c r="F63" i="3"/>
  <c r="H63" i="3"/>
  <c r="I63" i="3"/>
  <c r="E64" i="3"/>
  <c r="F64" i="3"/>
  <c r="H64" i="3"/>
  <c r="I64" i="3"/>
  <c r="E65" i="3"/>
  <c r="F65" i="3"/>
  <c r="H65" i="3"/>
  <c r="I65" i="3"/>
  <c r="E66" i="3"/>
  <c r="F66" i="3"/>
  <c r="H66" i="3"/>
  <c r="I66" i="3"/>
  <c r="E67" i="3"/>
  <c r="F67" i="3"/>
  <c r="H67" i="3"/>
  <c r="I67" i="3"/>
  <c r="E68" i="3"/>
  <c r="F68" i="3"/>
  <c r="H68" i="3"/>
  <c r="I68" i="3"/>
  <c r="E26" i="72"/>
  <c r="F26" i="72"/>
  <c r="H26" i="72"/>
  <c r="I26" i="72"/>
  <c r="E27" i="72"/>
  <c r="F27" i="72"/>
  <c r="H27" i="72"/>
  <c r="I27" i="72"/>
  <c r="E28" i="72"/>
  <c r="F28" i="72"/>
  <c r="H28" i="72"/>
  <c r="E29" i="72"/>
  <c r="F29" i="72"/>
  <c r="H29" i="72"/>
  <c r="I29" i="72"/>
  <c r="E30" i="72"/>
  <c r="F30" i="72"/>
  <c r="H30" i="72"/>
  <c r="F31" i="72"/>
  <c r="H31" i="72"/>
  <c r="E32" i="72"/>
  <c r="F32" i="72"/>
  <c r="H32" i="72"/>
  <c r="I32" i="72"/>
  <c r="E33" i="72"/>
  <c r="F33" i="72"/>
  <c r="H33" i="72"/>
  <c r="E34" i="72"/>
  <c r="F34" i="72"/>
  <c r="H34" i="72"/>
  <c r="E35" i="72"/>
  <c r="F35" i="72"/>
  <c r="H35" i="72"/>
  <c r="I35" i="72"/>
  <c r="E36" i="72"/>
  <c r="F36" i="72"/>
  <c r="H36" i="72"/>
  <c r="I36" i="72"/>
  <c r="E37" i="72"/>
  <c r="F37" i="72"/>
  <c r="H37" i="72"/>
  <c r="E38" i="72"/>
  <c r="F38" i="72"/>
  <c r="H38" i="72"/>
  <c r="I38" i="72"/>
  <c r="E39" i="72"/>
  <c r="F39" i="72"/>
  <c r="H39" i="72"/>
  <c r="I39" i="72"/>
  <c r="E40" i="72"/>
  <c r="F40" i="72"/>
  <c r="H40" i="72"/>
  <c r="I40" i="72"/>
  <c r="E41" i="72"/>
  <c r="F41" i="72"/>
  <c r="E42" i="72"/>
  <c r="F42" i="72"/>
  <c r="H42" i="72"/>
  <c r="I42" i="72"/>
  <c r="E43" i="72"/>
  <c r="F43" i="72"/>
  <c r="H43" i="72"/>
  <c r="E44" i="72"/>
  <c r="F44" i="72"/>
  <c r="H44" i="72"/>
  <c r="I44" i="72"/>
  <c r="E45" i="72"/>
  <c r="F45" i="72"/>
  <c r="H45" i="72"/>
  <c r="E46" i="72"/>
  <c r="F46" i="72"/>
  <c r="H46" i="72"/>
  <c r="I46" i="72"/>
  <c r="E47" i="72"/>
  <c r="F47" i="72"/>
  <c r="H47" i="72"/>
  <c r="I47" i="72"/>
  <c r="E48" i="72"/>
  <c r="F48" i="72"/>
  <c r="H48" i="72"/>
  <c r="I48" i="72"/>
  <c r="E49" i="72"/>
  <c r="F49" i="72"/>
  <c r="H49" i="72"/>
  <c r="I49" i="72"/>
  <c r="E50" i="72"/>
  <c r="F50" i="72"/>
  <c r="H50" i="72"/>
  <c r="I50" i="72"/>
  <c r="E51" i="72"/>
  <c r="F51" i="72"/>
  <c r="H51" i="72"/>
  <c r="I51" i="72"/>
  <c r="E52" i="72"/>
  <c r="F52" i="72"/>
  <c r="H52" i="72"/>
  <c r="E53" i="72"/>
  <c r="F53" i="72"/>
  <c r="H53" i="72"/>
  <c r="I53" i="72"/>
  <c r="E54" i="72"/>
  <c r="F54" i="72"/>
  <c r="H54" i="72"/>
  <c r="I54" i="72"/>
  <c r="E55" i="72"/>
  <c r="F55" i="72"/>
  <c r="H55" i="72"/>
  <c r="E56" i="72"/>
  <c r="F56" i="72"/>
  <c r="H56" i="72"/>
  <c r="I56" i="72"/>
  <c r="E57" i="72"/>
  <c r="F57" i="72"/>
  <c r="H57" i="72"/>
  <c r="E58" i="72"/>
  <c r="F58" i="72"/>
  <c r="H58" i="72"/>
  <c r="I58" i="72"/>
  <c r="E59" i="72"/>
  <c r="F59" i="72"/>
  <c r="H59" i="72"/>
  <c r="I59" i="72"/>
  <c r="E60" i="72"/>
  <c r="F60" i="72"/>
  <c r="H60" i="72"/>
  <c r="I60" i="72"/>
  <c r="E61" i="72"/>
  <c r="F61" i="72"/>
  <c r="H61" i="72"/>
  <c r="I61" i="72"/>
  <c r="E62" i="72"/>
  <c r="F62" i="72"/>
  <c r="H62" i="72"/>
  <c r="I62" i="72"/>
  <c r="E63" i="72"/>
  <c r="F63" i="72"/>
  <c r="H63" i="72"/>
  <c r="I63" i="72"/>
  <c r="E64" i="72"/>
  <c r="F64" i="72"/>
  <c r="H64" i="72"/>
  <c r="I64" i="72"/>
  <c r="E65" i="72"/>
  <c r="F65" i="72"/>
  <c r="H65" i="72"/>
  <c r="I65" i="72"/>
  <c r="E66" i="72"/>
  <c r="F66" i="72"/>
  <c r="H66" i="72"/>
  <c r="I66" i="72"/>
  <c r="E67" i="72"/>
  <c r="F67" i="72"/>
  <c r="H67" i="72"/>
  <c r="E68" i="72"/>
  <c r="F68" i="72"/>
  <c r="H68" i="72"/>
  <c r="I68" i="72"/>
  <c r="G5" i="29"/>
  <c r="G6" i="29"/>
  <c r="G7" i="29"/>
  <c r="G8" i="29"/>
  <c r="G9" i="29"/>
  <c r="G10" i="29"/>
  <c r="G11" i="29"/>
  <c r="G12" i="29"/>
  <c r="G13" i="29"/>
  <c r="G14" i="29"/>
  <c r="G15" i="29"/>
  <c r="G16" i="29"/>
  <c r="G17" i="29"/>
  <c r="G18" i="29"/>
  <c r="G19" i="29"/>
  <c r="G20" i="29"/>
  <c r="G4" i="29"/>
  <c r="D4" i="29"/>
  <c r="H25" i="26"/>
  <c r="E25" i="26"/>
  <c r="F25" i="26" s="1"/>
  <c r="H24" i="26"/>
  <c r="E24" i="26"/>
  <c r="F24" i="26" s="1"/>
  <c r="H23" i="26"/>
  <c r="E23" i="26"/>
  <c r="F23" i="26" s="1"/>
  <c r="H22" i="26"/>
  <c r="E22" i="26"/>
  <c r="F22" i="26" s="1"/>
  <c r="H21" i="26"/>
  <c r="E21" i="26"/>
  <c r="F21" i="26" s="1"/>
  <c r="H20" i="26"/>
  <c r="E20" i="26"/>
  <c r="F20" i="26" s="1"/>
  <c r="H19" i="26"/>
  <c r="E19" i="26"/>
  <c r="F19" i="26" s="1"/>
  <c r="H18" i="26"/>
  <c r="I18" i="26" s="1"/>
  <c r="E18" i="26"/>
  <c r="F18" i="26" s="1"/>
  <c r="G25" i="1"/>
  <c r="H18" i="19"/>
  <c r="I18" i="19" s="1"/>
  <c r="H19" i="19"/>
  <c r="I19" i="19" s="1"/>
  <c r="H20" i="19"/>
  <c r="H20" i="18" s="1"/>
  <c r="I20" i="18" s="1"/>
  <c r="H21" i="19"/>
  <c r="I21" i="19" s="1"/>
  <c r="H22" i="19"/>
  <c r="I22" i="19" s="1"/>
  <c r="H23" i="19"/>
  <c r="I23" i="19" s="1"/>
  <c r="H24" i="19"/>
  <c r="I24" i="19" s="1"/>
  <c r="H25" i="19"/>
  <c r="I25" i="19" s="1"/>
  <c r="E18" i="19"/>
  <c r="E19" i="19"/>
  <c r="E20" i="19"/>
  <c r="E21" i="19"/>
  <c r="F21" i="19" s="1"/>
  <c r="E22" i="19"/>
  <c r="E23" i="19"/>
  <c r="F23" i="19" s="1"/>
  <c r="E24" i="19"/>
  <c r="E25" i="19"/>
  <c r="E18" i="20"/>
  <c r="E19" i="20"/>
  <c r="E20" i="20"/>
  <c r="E21" i="20"/>
  <c r="E22" i="20"/>
  <c r="E23" i="20"/>
  <c r="F23" i="20" s="1"/>
  <c r="E24" i="20"/>
  <c r="E25" i="20"/>
  <c r="H18" i="20"/>
  <c r="I18" i="20" s="1"/>
  <c r="H19" i="20"/>
  <c r="H20" i="20"/>
  <c r="I20" i="20" s="1"/>
  <c r="H21" i="20"/>
  <c r="I21" i="20" s="1"/>
  <c r="H22" i="20"/>
  <c r="I22" i="20" s="1"/>
  <c r="H23" i="20"/>
  <c r="H24" i="20"/>
  <c r="H25" i="20"/>
  <c r="G4" i="18"/>
  <c r="G6" i="18"/>
  <c r="G7" i="18"/>
  <c r="G8" i="18"/>
  <c r="G9" i="18"/>
  <c r="G10" i="18"/>
  <c r="G11" i="18"/>
  <c r="G12" i="18"/>
  <c r="G13" i="18"/>
  <c r="G14" i="18"/>
  <c r="G15" i="18"/>
  <c r="G5" i="18"/>
  <c r="G4" i="1"/>
  <c r="H18" i="21"/>
  <c r="I18" i="21" s="1"/>
  <c r="H19" i="21"/>
  <c r="H20" i="21"/>
  <c r="H21" i="21"/>
  <c r="H23" i="21"/>
  <c r="H24" i="21"/>
  <c r="H25" i="21"/>
  <c r="I25" i="21" s="1"/>
  <c r="E25" i="21"/>
  <c r="F25" i="21"/>
  <c r="E24" i="21"/>
  <c r="F24" i="21" s="1"/>
  <c r="E23" i="21"/>
  <c r="F23" i="21"/>
  <c r="E22" i="21"/>
  <c r="F22" i="21" s="1"/>
  <c r="E21" i="21"/>
  <c r="F21" i="21"/>
  <c r="E20" i="21"/>
  <c r="F20" i="21"/>
  <c r="E19" i="21"/>
  <c r="F19" i="21"/>
  <c r="E18" i="21"/>
  <c r="F18" i="21" s="1"/>
  <c r="H23" i="4"/>
  <c r="I23" i="4" s="1"/>
  <c r="H24" i="4"/>
  <c r="I24" i="4" s="1"/>
  <c r="H25" i="4"/>
  <c r="I25" i="4" s="1"/>
  <c r="E25" i="4"/>
  <c r="F25" i="4"/>
  <c r="E24" i="4"/>
  <c r="F24" i="4"/>
  <c r="E23" i="4"/>
  <c r="F23" i="4"/>
  <c r="E22" i="4"/>
  <c r="F22" i="4"/>
  <c r="E21" i="4"/>
  <c r="F21" i="4"/>
  <c r="E20" i="4"/>
  <c r="F20" i="4"/>
  <c r="E19" i="4"/>
  <c r="F19" i="4"/>
  <c r="E18" i="4"/>
  <c r="F18" i="4"/>
  <c r="H18" i="4"/>
  <c r="I18" i="4"/>
  <c r="H19" i="4"/>
  <c r="I19" i="4"/>
  <c r="H20" i="4"/>
  <c r="I20" i="4"/>
  <c r="H21" i="4"/>
  <c r="I21" i="4"/>
  <c r="H22" i="4"/>
  <c r="I22" i="4"/>
  <c r="E24" i="3"/>
  <c r="F24" i="3"/>
  <c r="E25" i="3"/>
  <c r="F25" i="3"/>
  <c r="E18" i="3"/>
  <c r="F18" i="3"/>
  <c r="E19" i="3"/>
  <c r="F19" i="3"/>
  <c r="E20" i="3"/>
  <c r="F20" i="3"/>
  <c r="E21" i="3"/>
  <c r="F21" i="3"/>
  <c r="E22" i="3"/>
  <c r="F22" i="3"/>
  <c r="E23" i="3"/>
  <c r="F23" i="3"/>
  <c r="H18" i="3"/>
  <c r="I18" i="3"/>
  <c r="H19" i="3"/>
  <c r="I19" i="3"/>
  <c r="H20" i="3"/>
  <c r="I20" i="3"/>
  <c r="H21" i="3"/>
  <c r="I21" i="3"/>
  <c r="H22" i="3"/>
  <c r="I22" i="3"/>
  <c r="H23" i="3"/>
  <c r="I23" i="3"/>
  <c r="H24" i="3"/>
  <c r="I24" i="3"/>
  <c r="H25" i="3"/>
  <c r="I25" i="3"/>
  <c r="C2" i="3"/>
  <c r="J2" i="3"/>
  <c r="C18" i="29"/>
  <c r="D18" i="29"/>
  <c r="E18" i="29" s="1"/>
  <c r="F18" i="29" s="1"/>
  <c r="C24" i="1"/>
  <c r="D24" i="1"/>
  <c r="E24" i="1"/>
  <c r="F24" i="1"/>
  <c r="C25" i="1"/>
  <c r="D25" i="1"/>
  <c r="C18" i="1"/>
  <c r="D18" i="1"/>
  <c r="G18" i="1"/>
  <c r="C19" i="1"/>
  <c r="D19" i="1"/>
  <c r="G19" i="1"/>
  <c r="C20" i="1"/>
  <c r="D20" i="1"/>
  <c r="G20" i="1"/>
  <c r="C21" i="1"/>
  <c r="D21" i="1"/>
  <c r="G21" i="1"/>
  <c r="C22" i="1"/>
  <c r="D22" i="1"/>
  <c r="G22" i="1"/>
  <c r="C23" i="1"/>
  <c r="D23" i="1"/>
  <c r="G23" i="1"/>
  <c r="G24" i="1"/>
  <c r="E18" i="72"/>
  <c r="F18" i="72"/>
  <c r="E19" i="72"/>
  <c r="F19" i="72"/>
  <c r="E20" i="72"/>
  <c r="F20" i="72"/>
  <c r="E21" i="72"/>
  <c r="F21" i="72"/>
  <c r="E22" i="72"/>
  <c r="F22" i="72"/>
  <c r="E23" i="72"/>
  <c r="F23" i="72"/>
  <c r="E24" i="72"/>
  <c r="F24" i="72"/>
  <c r="E25" i="72"/>
  <c r="F25" i="72"/>
  <c r="H18" i="72"/>
  <c r="H19" i="72"/>
  <c r="H20" i="72"/>
  <c r="I20" i="72"/>
  <c r="H21" i="72"/>
  <c r="H22" i="72"/>
  <c r="H23" i="72"/>
  <c r="H24" i="72"/>
  <c r="I24" i="72"/>
  <c r="H25" i="72"/>
  <c r="I25" i="72"/>
  <c r="C16" i="30"/>
  <c r="D16" i="30"/>
  <c r="C16" i="29"/>
  <c r="D16" i="29"/>
  <c r="C17" i="29"/>
  <c r="D17" i="29"/>
  <c r="C16" i="1"/>
  <c r="D16" i="1"/>
  <c r="G16" i="1"/>
  <c r="C17" i="1"/>
  <c r="D17" i="1"/>
  <c r="G17" i="1"/>
  <c r="H16" i="33"/>
  <c r="I16" i="33" s="1"/>
  <c r="E16" i="33"/>
  <c r="F16" i="33" s="1"/>
  <c r="H17" i="32"/>
  <c r="I17" i="32" s="1"/>
  <c r="E17" i="32"/>
  <c r="F17" i="32" s="1"/>
  <c r="H16" i="32"/>
  <c r="I16" i="32" s="1"/>
  <c r="E16" i="32"/>
  <c r="F16" i="32" s="1"/>
  <c r="E17" i="31"/>
  <c r="F17" i="31" s="1"/>
  <c r="H16" i="31"/>
  <c r="I16" i="31" s="1"/>
  <c r="E16" i="31"/>
  <c r="F16" i="31" s="1"/>
  <c r="H17" i="28"/>
  <c r="I17" i="28" s="1"/>
  <c r="E17" i="28"/>
  <c r="H16" i="28"/>
  <c r="I16" i="28" s="1"/>
  <c r="E16" i="28"/>
  <c r="H17" i="27"/>
  <c r="I17" i="27" s="1"/>
  <c r="E17" i="27"/>
  <c r="F17" i="27" s="1"/>
  <c r="H16" i="27"/>
  <c r="I16" i="27" s="1"/>
  <c r="E16" i="27"/>
  <c r="F16" i="27" s="1"/>
  <c r="H17" i="26"/>
  <c r="I17" i="26" s="1"/>
  <c r="E17" i="26"/>
  <c r="F17" i="26" s="1"/>
  <c r="H16" i="26"/>
  <c r="I16" i="26" s="1"/>
  <c r="E16" i="26"/>
  <c r="F16" i="26" s="1"/>
  <c r="H17" i="19"/>
  <c r="I17" i="19" s="1"/>
  <c r="E17" i="19"/>
  <c r="F17" i="19"/>
  <c r="H16" i="19"/>
  <c r="I16" i="19" s="1"/>
  <c r="E16" i="19"/>
  <c r="F16" i="19" s="1"/>
  <c r="H17" i="20"/>
  <c r="I17" i="20" s="1"/>
  <c r="E17" i="20"/>
  <c r="F17" i="20" s="1"/>
  <c r="H16" i="20"/>
  <c r="I16" i="20" s="1"/>
  <c r="E16" i="20"/>
  <c r="F16" i="20"/>
  <c r="H17" i="21"/>
  <c r="E17" i="21"/>
  <c r="F17" i="21"/>
  <c r="H16" i="21"/>
  <c r="H16" i="18" s="1"/>
  <c r="E16" i="21"/>
  <c r="F16" i="21"/>
  <c r="H17" i="4"/>
  <c r="I17" i="4"/>
  <c r="E17" i="4"/>
  <c r="F17" i="4"/>
  <c r="H16" i="4"/>
  <c r="I16" i="4"/>
  <c r="E16" i="4"/>
  <c r="F16" i="4"/>
  <c r="E16" i="3"/>
  <c r="F16" i="3"/>
  <c r="H16" i="3"/>
  <c r="I16" i="3"/>
  <c r="E17" i="3"/>
  <c r="F17" i="3"/>
  <c r="H17" i="3"/>
  <c r="I17" i="3"/>
  <c r="E16" i="72"/>
  <c r="F16" i="72"/>
  <c r="H16" i="72"/>
  <c r="E17" i="72"/>
  <c r="F17" i="72"/>
  <c r="H17" i="72"/>
  <c r="I17" i="72"/>
  <c r="E15" i="72"/>
  <c r="F15" i="72"/>
  <c r="E14" i="72"/>
  <c r="F14" i="72"/>
  <c r="E13" i="72"/>
  <c r="F13" i="72"/>
  <c r="E12" i="72"/>
  <c r="F12" i="72"/>
  <c r="E11" i="72"/>
  <c r="F11" i="72"/>
  <c r="E10" i="72"/>
  <c r="F10" i="72"/>
  <c r="E9" i="72"/>
  <c r="F9" i="72"/>
  <c r="E8" i="72"/>
  <c r="F8" i="72"/>
  <c r="E7" i="72"/>
  <c r="F7" i="72"/>
  <c r="E6" i="72"/>
  <c r="F6" i="72"/>
  <c r="E5" i="72"/>
  <c r="F5" i="72"/>
  <c r="E4" i="72"/>
  <c r="F4" i="72"/>
  <c r="B4" i="33" a="1"/>
  <c r="B4" i="33" s="1"/>
  <c r="A4" i="33" a="1"/>
  <c r="A4" i="33" s="1"/>
  <c r="B4" i="32" a="1"/>
  <c r="B4" i="32" s="1"/>
  <c r="A4" i="32" a="1"/>
  <c r="A4" i="32" s="1"/>
  <c r="B4" i="31" a="1"/>
  <c r="B4" i="31"/>
  <c r="B4" i="19" a="1"/>
  <c r="B4" i="19"/>
  <c r="A4" i="19" a="1"/>
  <c r="A4" i="19"/>
  <c r="B4" i="20" a="1"/>
  <c r="B4" i="20"/>
  <c r="A4" i="20" a="1"/>
  <c r="A4" i="20" s="1"/>
  <c r="B4" i="21" a="1"/>
  <c r="B4" i="21"/>
  <c r="A4" i="21" a="1"/>
  <c r="A4" i="21"/>
  <c r="B4" i="4" a="1"/>
  <c r="B4" i="4"/>
  <c r="A4" i="4" a="1"/>
  <c r="A4" i="4" s="1"/>
  <c r="B4" i="3" a="1"/>
  <c r="B4" i="3"/>
  <c r="A4" i="3" a="1"/>
  <c r="A4" i="3"/>
  <c r="B4" i="27" a="1"/>
  <c r="B4" i="27"/>
  <c r="A4" i="27" a="1"/>
  <c r="A4" i="27" s="1"/>
  <c r="B4" i="26" a="1"/>
  <c r="B4" i="26" s="1"/>
  <c r="A4" i="26" a="1"/>
  <c r="A4" i="26" s="1"/>
  <c r="A4" i="72" a="1"/>
  <c r="A4" i="72"/>
  <c r="A4" i="30" a="1"/>
  <c r="A4" i="30" s="1"/>
  <c r="B4" i="72" a="1"/>
  <c r="B4" i="72"/>
  <c r="E4" i="3"/>
  <c r="F4" i="3"/>
  <c r="H4" i="3"/>
  <c r="I4" i="3"/>
  <c r="E5" i="3"/>
  <c r="F5" i="3"/>
  <c r="H5" i="3"/>
  <c r="I5" i="3"/>
  <c r="E6" i="3"/>
  <c r="F6" i="3"/>
  <c r="H6" i="3"/>
  <c r="I6" i="3"/>
  <c r="E7" i="3"/>
  <c r="F7" i="3"/>
  <c r="H7" i="3"/>
  <c r="I7" i="3"/>
  <c r="E8" i="3"/>
  <c r="F8" i="3"/>
  <c r="H8" i="3"/>
  <c r="I8" i="3"/>
  <c r="E9" i="3"/>
  <c r="F9" i="3"/>
  <c r="H9" i="3"/>
  <c r="I9" i="3"/>
  <c r="E10" i="3"/>
  <c r="F10" i="3"/>
  <c r="H10" i="3"/>
  <c r="I10" i="3"/>
  <c r="E11" i="3"/>
  <c r="F11" i="3"/>
  <c r="H11" i="3"/>
  <c r="I11" i="3"/>
  <c r="E12" i="3"/>
  <c r="F12" i="3"/>
  <c r="H12" i="3"/>
  <c r="I12" i="3"/>
  <c r="E13" i="3"/>
  <c r="F13" i="3"/>
  <c r="H13" i="3"/>
  <c r="I13" i="3"/>
  <c r="E14" i="3"/>
  <c r="F14" i="3"/>
  <c r="H14" i="3"/>
  <c r="I14" i="3"/>
  <c r="E15" i="3"/>
  <c r="F15" i="3"/>
  <c r="H15" i="3"/>
  <c r="I15" i="3"/>
  <c r="G6" i="1"/>
  <c r="G7" i="1"/>
  <c r="G8" i="1"/>
  <c r="G9" i="1"/>
  <c r="G10" i="1"/>
  <c r="G11" i="1"/>
  <c r="G12" i="1"/>
  <c r="G13" i="1"/>
  <c r="G14" i="1"/>
  <c r="G15" i="1"/>
  <c r="G5" i="1"/>
  <c r="B4" i="34" a="1"/>
  <c r="B4" i="34"/>
  <c r="A4" i="34" a="1"/>
  <c r="A4" i="34"/>
  <c r="A1" i="34" a="1"/>
  <c r="A1" i="34"/>
  <c r="D15" i="30"/>
  <c r="C15" i="30"/>
  <c r="D14" i="30"/>
  <c r="C14" i="30"/>
  <c r="E14" i="30" s="1"/>
  <c r="F14" i="30" s="1"/>
  <c r="D13" i="30"/>
  <c r="C13" i="30"/>
  <c r="D12" i="30"/>
  <c r="C12" i="30"/>
  <c r="D11" i="30"/>
  <c r="C11" i="30"/>
  <c r="D10" i="30"/>
  <c r="C10" i="30"/>
  <c r="D9" i="30"/>
  <c r="C9" i="30"/>
  <c r="D8" i="30"/>
  <c r="C8" i="30"/>
  <c r="D7" i="30"/>
  <c r="C7" i="30"/>
  <c r="D6" i="30"/>
  <c r="C6" i="30"/>
  <c r="D5" i="30"/>
  <c r="C5" i="30"/>
  <c r="D4" i="30"/>
  <c r="C4" i="30"/>
  <c r="D15" i="29"/>
  <c r="C15" i="29"/>
  <c r="D14" i="29"/>
  <c r="C14" i="29"/>
  <c r="D13" i="29"/>
  <c r="C13" i="29"/>
  <c r="D12" i="29"/>
  <c r="C12" i="29"/>
  <c r="D11" i="29"/>
  <c r="C11" i="29"/>
  <c r="D10" i="29"/>
  <c r="C10" i="29"/>
  <c r="D9" i="29"/>
  <c r="C9" i="29"/>
  <c r="D8" i="29"/>
  <c r="C8" i="29"/>
  <c r="D7" i="29"/>
  <c r="C7" i="29"/>
  <c r="D6" i="29"/>
  <c r="C6" i="29"/>
  <c r="D5" i="29"/>
  <c r="C5" i="29"/>
  <c r="C4" i="29"/>
  <c r="D15" i="18"/>
  <c r="C15" i="18"/>
  <c r="D14" i="18"/>
  <c r="C14" i="18"/>
  <c r="D13" i="18"/>
  <c r="C13" i="18"/>
  <c r="D12" i="18"/>
  <c r="C12" i="18"/>
  <c r="D11" i="18"/>
  <c r="C11" i="18"/>
  <c r="D10" i="18"/>
  <c r="C10" i="18"/>
  <c r="D9" i="18"/>
  <c r="C9" i="18"/>
  <c r="D8" i="18"/>
  <c r="C8" i="18"/>
  <c r="D7" i="18"/>
  <c r="C7" i="18"/>
  <c r="D6" i="18"/>
  <c r="C6" i="18"/>
  <c r="D5" i="18"/>
  <c r="C5" i="18"/>
  <c r="D4" i="18"/>
  <c r="C4" i="18"/>
  <c r="B4" i="30" a="1"/>
  <c r="B4" i="30"/>
  <c r="A1" i="30" a="1"/>
  <c r="A1" i="30"/>
  <c r="B4" i="29" a="1"/>
  <c r="B4" i="29"/>
  <c r="A4" i="29" a="1"/>
  <c r="A4" i="29" s="1"/>
  <c r="A1" i="29" a="1"/>
  <c r="A1" i="29"/>
  <c r="B4" i="18" a="1"/>
  <c r="B4" i="18"/>
  <c r="A4" i="18" a="1"/>
  <c r="A4" i="18" s="1"/>
  <c r="A1" i="18" a="1"/>
  <c r="A1" i="18"/>
  <c r="C15" i="1"/>
  <c r="C14" i="1"/>
  <c r="C13" i="1"/>
  <c r="C12" i="1"/>
  <c r="C11" i="1"/>
  <c r="C10" i="1"/>
  <c r="C9" i="1"/>
  <c r="C8" i="1"/>
  <c r="C7" i="1"/>
  <c r="C6" i="1"/>
  <c r="C5" i="1"/>
  <c r="C4" i="1"/>
  <c r="D6" i="1"/>
  <c r="D7" i="1"/>
  <c r="D8" i="1"/>
  <c r="D9" i="1"/>
  <c r="D10" i="1"/>
  <c r="D11" i="1"/>
  <c r="D12" i="1"/>
  <c r="D13" i="1"/>
  <c r="D14" i="1"/>
  <c r="D15" i="1"/>
  <c r="E15" i="1" s="1"/>
  <c r="F15" i="1" s="1"/>
  <c r="D5" i="1"/>
  <c r="D4" i="1"/>
  <c r="B4" i="1" a="1"/>
  <c r="B4" i="1"/>
  <c r="A4" i="1" a="1"/>
  <c r="A4" i="1"/>
  <c r="A1" i="1" a="1"/>
  <c r="A1" i="1"/>
  <c r="H15" i="33"/>
  <c r="I15" i="33" s="1"/>
  <c r="E15" i="33"/>
  <c r="F15" i="33" s="1"/>
  <c r="H14" i="33"/>
  <c r="I14" i="33" s="1"/>
  <c r="E14" i="33"/>
  <c r="F14" i="33" s="1"/>
  <c r="H13" i="33"/>
  <c r="I13" i="33" s="1"/>
  <c r="E13" i="33"/>
  <c r="F13" i="33" s="1"/>
  <c r="H12" i="33"/>
  <c r="I12" i="33" s="1"/>
  <c r="E12" i="33"/>
  <c r="F12" i="33" s="1"/>
  <c r="H11" i="33"/>
  <c r="E11" i="33"/>
  <c r="F11" i="33" s="1"/>
  <c r="H10" i="33"/>
  <c r="E10" i="33"/>
  <c r="F10" i="33"/>
  <c r="H9" i="33"/>
  <c r="I9" i="33" s="1"/>
  <c r="E9" i="33"/>
  <c r="F9" i="33"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c r="H15" i="32"/>
  <c r="I15" i="32" s="1"/>
  <c r="E15" i="32"/>
  <c r="F15" i="32" s="1"/>
  <c r="H14" i="32"/>
  <c r="I14" i="32" s="1"/>
  <c r="E14" i="32"/>
  <c r="F14" i="32" s="1"/>
  <c r="H13" i="32"/>
  <c r="I13" i="32" s="1"/>
  <c r="E13" i="32"/>
  <c r="F13" i="32" s="1"/>
  <c r="H12" i="32"/>
  <c r="I12" i="32" s="1"/>
  <c r="E12" i="32"/>
  <c r="F12" i="32" s="1"/>
  <c r="H11" i="32"/>
  <c r="I11" i="32" s="1"/>
  <c r="E11" i="32"/>
  <c r="F11" i="32" s="1"/>
  <c r="H10" i="32"/>
  <c r="I10" i="32" s="1"/>
  <c r="E10" i="32"/>
  <c r="F10" i="32" s="1"/>
  <c r="H9" i="32"/>
  <c r="I9" i="32" s="1"/>
  <c r="E9" i="32"/>
  <c r="F9" i="32" s="1"/>
  <c r="H8" i="32"/>
  <c r="I8" i="32" s="1"/>
  <c r="E8" i="32"/>
  <c r="F8" i="32" s="1"/>
  <c r="H7" i="32"/>
  <c r="E7" i="32"/>
  <c r="F7" i="32" s="1"/>
  <c r="H6" i="32"/>
  <c r="I6" i="32" s="1"/>
  <c r="E6" i="32"/>
  <c r="F6" i="32" s="1"/>
  <c r="H5" i="32"/>
  <c r="I5" i="32" s="1"/>
  <c r="E5" i="32"/>
  <c r="F5" i="32" s="1"/>
  <c r="H4" i="32"/>
  <c r="I4" i="32" s="1"/>
  <c r="E4" i="32"/>
  <c r="F4" i="32" s="1"/>
  <c r="G2" i="32"/>
  <c r="D2" i="32"/>
  <c r="C2" i="32"/>
  <c r="A1" i="32" a="1"/>
  <c r="A1" i="32" s="1"/>
  <c r="H15" i="31"/>
  <c r="E15" i="31"/>
  <c r="F15" i="31" s="1"/>
  <c r="H14" i="31"/>
  <c r="E14" i="31"/>
  <c r="F14" i="31" s="1"/>
  <c r="H13" i="31"/>
  <c r="I13" i="31" s="1"/>
  <c r="E13" i="31"/>
  <c r="F13" i="31" s="1"/>
  <c r="H12" i="31"/>
  <c r="E12" i="31"/>
  <c r="F12" i="31" s="1"/>
  <c r="H11" i="31"/>
  <c r="E11" i="31"/>
  <c r="F11" i="31" s="1"/>
  <c r="H10" i="31"/>
  <c r="I10" i="31"/>
  <c r="E10" i="31"/>
  <c r="F10" i="31" s="1"/>
  <c r="H9" i="31"/>
  <c r="I9" i="31" s="1"/>
  <c r="E9" i="31"/>
  <c r="F9" i="31" s="1"/>
  <c r="H8" i="31"/>
  <c r="I8" i="31" s="1"/>
  <c r="E8" i="31"/>
  <c r="F8" i="31" s="1"/>
  <c r="H7" i="31"/>
  <c r="I7" i="31" s="1"/>
  <c r="E7" i="31"/>
  <c r="F7" i="31" s="1"/>
  <c r="H6" i="31"/>
  <c r="I6" i="31"/>
  <c r="E6" i="31"/>
  <c r="F6" i="31" s="1"/>
  <c r="H5" i="31"/>
  <c r="I5" i="31" s="1"/>
  <c r="E5" i="31"/>
  <c r="F5" i="31" s="1"/>
  <c r="H4" i="31"/>
  <c r="I4" i="31" s="1"/>
  <c r="E4" i="31"/>
  <c r="F4" i="31" s="1"/>
  <c r="G2" i="31"/>
  <c r="D2" i="31"/>
  <c r="C2" i="31"/>
  <c r="A1" i="31" a="1"/>
  <c r="A1" i="31" s="1"/>
  <c r="H15" i="28"/>
  <c r="E15" i="28"/>
  <c r="H14" i="28"/>
  <c r="I14" i="28" s="1"/>
  <c r="E14" i="28"/>
  <c r="H13" i="28"/>
  <c r="I13" i="28" s="1"/>
  <c r="E13" i="28"/>
  <c r="H12" i="28"/>
  <c r="I12" i="28"/>
  <c r="E12" i="28"/>
  <c r="H11" i="28"/>
  <c r="I11" i="28"/>
  <c r="E11" i="28"/>
  <c r="H10" i="28"/>
  <c r="I10" i="28" s="1"/>
  <c r="E10" i="28"/>
  <c r="H9" i="28"/>
  <c r="I9" i="28" s="1"/>
  <c r="E9" i="28"/>
  <c r="H8" i="28"/>
  <c r="I8" i="28" s="1"/>
  <c r="E8" i="28"/>
  <c r="H7" i="28"/>
  <c r="I7" i="28"/>
  <c r="E7" i="28"/>
  <c r="H6" i="28"/>
  <c r="I6" i="28"/>
  <c r="E6" i="28"/>
  <c r="H5" i="28"/>
  <c r="I5" i="28" s="1"/>
  <c r="E5" i="28"/>
  <c r="F5" i="28" s="1"/>
  <c r="H4" i="28"/>
  <c r="E4" i="28"/>
  <c r="F4" i="28"/>
  <c r="B4" i="28" a="1"/>
  <c r="B4" i="28"/>
  <c r="A4" i="28" a="1"/>
  <c r="A4" i="28"/>
  <c r="G2" i="28"/>
  <c r="D2" i="28"/>
  <c r="C2" i="28"/>
  <c r="J2" i="28" s="1"/>
  <c r="A1" i="28" a="1"/>
  <c r="A1" i="28"/>
  <c r="H15" i="27"/>
  <c r="I15" i="27" s="1"/>
  <c r="E15" i="27"/>
  <c r="F15" i="27" s="1"/>
  <c r="H14" i="27"/>
  <c r="I14" i="27" s="1"/>
  <c r="E14" i="27"/>
  <c r="F14" i="27" s="1"/>
  <c r="H13" i="27"/>
  <c r="I13" i="27"/>
  <c r="E13" i="27"/>
  <c r="F13" i="27" s="1"/>
  <c r="H12" i="27"/>
  <c r="I12" i="27"/>
  <c r="E12" i="27"/>
  <c r="F12" i="27" s="1"/>
  <c r="H11" i="27"/>
  <c r="I11" i="27" s="1"/>
  <c r="E11" i="27"/>
  <c r="F11" i="27" s="1"/>
  <c r="G2" i="27"/>
  <c r="D2" i="27"/>
  <c r="C2" i="27"/>
  <c r="J2" i="27" s="1"/>
  <c r="A1" i="27" a="1"/>
  <c r="A1" i="27"/>
  <c r="H15" i="26"/>
  <c r="I15" i="26" s="1"/>
  <c r="E15" i="26"/>
  <c r="F15" i="26" s="1"/>
  <c r="H14" i="26"/>
  <c r="I14" i="26"/>
  <c r="E14" i="26"/>
  <c r="F14" i="26" s="1"/>
  <c r="H13" i="26"/>
  <c r="E13" i="26"/>
  <c r="F13" i="26" s="1"/>
  <c r="H12" i="26"/>
  <c r="I12" i="26" s="1"/>
  <c r="E12" i="26"/>
  <c r="F12" i="26" s="1"/>
  <c r="H11" i="26"/>
  <c r="I11" i="26"/>
  <c r="E11" i="26"/>
  <c r="F11" i="26"/>
  <c r="H10" i="26"/>
  <c r="I10" i="26" s="1"/>
  <c r="E10" i="26"/>
  <c r="F10" i="26" s="1"/>
  <c r="H9" i="26"/>
  <c r="E9" i="26"/>
  <c r="F9" i="26" s="1"/>
  <c r="H8" i="26"/>
  <c r="E8" i="26"/>
  <c r="F8" i="26" s="1"/>
  <c r="H7" i="26"/>
  <c r="I7" i="26" s="1"/>
  <c r="E7" i="26"/>
  <c r="F7" i="26" s="1"/>
  <c r="H6" i="26"/>
  <c r="I6" i="26" s="1"/>
  <c r="E6" i="26"/>
  <c r="F6" i="26" s="1"/>
  <c r="H5" i="26"/>
  <c r="I5" i="26" s="1"/>
  <c r="E5" i="26"/>
  <c r="F5" i="26" s="1"/>
  <c r="H4" i="26"/>
  <c r="I4" i="26" s="1"/>
  <c r="E4" i="26"/>
  <c r="F4" i="26" s="1"/>
  <c r="G2" i="26"/>
  <c r="D2" i="26"/>
  <c r="C2" i="26"/>
  <c r="A1" i="26" a="1"/>
  <c r="A1" i="26" s="1"/>
  <c r="H15" i="19"/>
  <c r="I15" i="19" s="1"/>
  <c r="E15" i="19"/>
  <c r="F15" i="19" s="1"/>
  <c r="H14" i="19"/>
  <c r="I14" i="19"/>
  <c r="E14" i="19"/>
  <c r="F14" i="19" s="1"/>
  <c r="H13" i="19"/>
  <c r="I13" i="19" s="1"/>
  <c r="E13" i="19"/>
  <c r="F13" i="19" s="1"/>
  <c r="H12" i="19"/>
  <c r="I12" i="19"/>
  <c r="E12" i="19"/>
  <c r="F12" i="19"/>
  <c r="H11" i="19"/>
  <c r="I11" i="19"/>
  <c r="E11" i="19"/>
  <c r="F11" i="19" s="1"/>
  <c r="H10" i="19"/>
  <c r="I10" i="19" s="1"/>
  <c r="E10" i="19"/>
  <c r="F10" i="19"/>
  <c r="H9" i="19"/>
  <c r="I9" i="19" s="1"/>
  <c r="E9" i="19"/>
  <c r="F9" i="19" s="1"/>
  <c r="H8" i="19"/>
  <c r="I8" i="19" s="1"/>
  <c r="E8" i="19"/>
  <c r="F8" i="19" s="1"/>
  <c r="H7" i="19"/>
  <c r="I7" i="19"/>
  <c r="E7" i="19"/>
  <c r="F7" i="19"/>
  <c r="H6" i="19"/>
  <c r="I6" i="19" s="1"/>
  <c r="E6" i="19"/>
  <c r="F6" i="19" s="1"/>
  <c r="H5" i="19"/>
  <c r="I5" i="19" s="1"/>
  <c r="E5" i="19"/>
  <c r="F5" i="19" s="1"/>
  <c r="H4" i="19"/>
  <c r="I4" i="19" s="1"/>
  <c r="E4" i="19"/>
  <c r="F4" i="19" s="1"/>
  <c r="G2" i="19"/>
  <c r="D2" i="19"/>
  <c r="C2" i="19"/>
  <c r="J2" i="19" s="1"/>
  <c r="A1" i="19" a="1"/>
  <c r="A1" i="19"/>
  <c r="H15" i="20"/>
  <c r="I15" i="20"/>
  <c r="E15" i="20"/>
  <c r="F15" i="20"/>
  <c r="H14" i="20"/>
  <c r="I14" i="20"/>
  <c r="E14" i="20"/>
  <c r="F14" i="20"/>
  <c r="H13" i="20"/>
  <c r="I13" i="20" s="1"/>
  <c r="E13" i="20"/>
  <c r="F13" i="20" s="1"/>
  <c r="H12" i="20"/>
  <c r="I12" i="20" s="1"/>
  <c r="E12" i="20"/>
  <c r="F12" i="20"/>
  <c r="H11" i="20"/>
  <c r="I11" i="20"/>
  <c r="E11" i="20"/>
  <c r="F11" i="20"/>
  <c r="H10" i="20"/>
  <c r="I10" i="20" s="1"/>
  <c r="E10" i="20"/>
  <c r="F10" i="20" s="1"/>
  <c r="H9" i="20"/>
  <c r="I9" i="20" s="1"/>
  <c r="E9" i="20"/>
  <c r="F9" i="20" s="1"/>
  <c r="H8" i="20"/>
  <c r="I8" i="20"/>
  <c r="E8" i="20"/>
  <c r="F8" i="20"/>
  <c r="H7" i="20"/>
  <c r="I7" i="20"/>
  <c r="E7" i="20"/>
  <c r="F7" i="20"/>
  <c r="H6" i="20"/>
  <c r="I6" i="20" s="1"/>
  <c r="E6" i="20"/>
  <c r="F6" i="20" s="1"/>
  <c r="H5" i="20"/>
  <c r="I5" i="20"/>
  <c r="E5" i="20"/>
  <c r="F5" i="20" s="1"/>
  <c r="H4" i="20"/>
  <c r="I4" i="20"/>
  <c r="E4" i="20"/>
  <c r="F4" i="20" s="1"/>
  <c r="G2" i="20"/>
  <c r="D2" i="20"/>
  <c r="C2" i="20"/>
  <c r="J2" i="20" s="1"/>
  <c r="A1" i="20" a="1"/>
  <c r="A1" i="20"/>
  <c r="H15" i="21"/>
  <c r="I15" i="21" s="1"/>
  <c r="E15" i="21"/>
  <c r="F15" i="21"/>
  <c r="H14" i="21"/>
  <c r="I14" i="21"/>
  <c r="E14" i="21"/>
  <c r="F14" i="21"/>
  <c r="H13" i="21"/>
  <c r="E13" i="21"/>
  <c r="F13" i="21"/>
  <c r="H12" i="21"/>
  <c r="I12" i="21"/>
  <c r="E12" i="21"/>
  <c r="F12" i="21"/>
  <c r="H11" i="21"/>
  <c r="I11" i="21"/>
  <c r="E11" i="21"/>
  <c r="F11" i="21"/>
  <c r="H10" i="21"/>
  <c r="E10" i="21"/>
  <c r="F10" i="21" s="1"/>
  <c r="H9" i="21"/>
  <c r="I9" i="21"/>
  <c r="E9" i="21"/>
  <c r="F9" i="21"/>
  <c r="H8" i="21"/>
  <c r="I8" i="21"/>
  <c r="E8" i="21"/>
  <c r="F8" i="21"/>
  <c r="H7" i="21"/>
  <c r="I7" i="21" s="1"/>
  <c r="E7" i="21"/>
  <c r="F7" i="21"/>
  <c r="H6" i="21"/>
  <c r="I6" i="21"/>
  <c r="E6" i="21"/>
  <c r="F6" i="21"/>
  <c r="H5" i="21"/>
  <c r="I5" i="21" s="1"/>
  <c r="H5" i="18"/>
  <c r="E5" i="21"/>
  <c r="F5" i="21"/>
  <c r="H4" i="21"/>
  <c r="E4" i="21"/>
  <c r="F4" i="21"/>
  <c r="G2" i="21"/>
  <c r="D2" i="21"/>
  <c r="C2" i="21"/>
  <c r="A1" i="21" a="1"/>
  <c r="A1" i="21"/>
  <c r="H15" i="4"/>
  <c r="I15" i="4"/>
  <c r="E15" i="4"/>
  <c r="F15" i="4"/>
  <c r="H14" i="4"/>
  <c r="I14" i="4"/>
  <c r="E14" i="4"/>
  <c r="F14" i="4"/>
  <c r="H13" i="4"/>
  <c r="I13" i="4"/>
  <c r="E13" i="4"/>
  <c r="F13" i="4"/>
  <c r="H12" i="4"/>
  <c r="I12" i="4"/>
  <c r="E12" i="4"/>
  <c r="F12" i="4"/>
  <c r="H11" i="4"/>
  <c r="E11" i="4"/>
  <c r="F11" i="4"/>
  <c r="H10" i="4"/>
  <c r="I10" i="4"/>
  <c r="F10" i="4"/>
  <c r="H9" i="4"/>
  <c r="I9" i="4"/>
  <c r="F9" i="4"/>
  <c r="H8" i="4"/>
  <c r="I8" i="4"/>
  <c r="E8" i="4"/>
  <c r="F8" i="4" s="1"/>
  <c r="H7" i="4"/>
  <c r="I7" i="4"/>
  <c r="E7" i="4"/>
  <c r="F7" i="4"/>
  <c r="H6" i="4"/>
  <c r="E6" i="4"/>
  <c r="F6" i="4"/>
  <c r="H5" i="4"/>
  <c r="I5" i="4"/>
  <c r="E5" i="4"/>
  <c r="F5" i="4"/>
  <c r="H4" i="4"/>
  <c r="I4" i="4"/>
  <c r="E4" i="4"/>
  <c r="F4" i="4"/>
  <c r="G2" i="4"/>
  <c r="D2" i="4"/>
  <c r="C2" i="4"/>
  <c r="A1" i="4" a="1"/>
  <c r="A1" i="4"/>
  <c r="G2" i="3"/>
  <c r="D2" i="3"/>
  <c r="A1" i="3" a="1"/>
  <c r="A1" i="3"/>
  <c r="H6" i="72"/>
  <c r="H6" i="1" s="1"/>
  <c r="I6" i="72"/>
  <c r="H7" i="72"/>
  <c r="I7" i="72"/>
  <c r="H8" i="72"/>
  <c r="H9" i="72"/>
  <c r="I9" i="72"/>
  <c r="H10" i="72"/>
  <c r="I10" i="72"/>
  <c r="H11" i="72"/>
  <c r="I11" i="72"/>
  <c r="H12" i="72"/>
  <c r="I12" i="72"/>
  <c r="H13" i="72"/>
  <c r="H13" i="1" s="1"/>
  <c r="I13" i="72"/>
  <c r="H14" i="72"/>
  <c r="H15" i="72"/>
  <c r="H5" i="72"/>
  <c r="I5" i="72"/>
  <c r="H4" i="72"/>
  <c r="I4" i="72"/>
  <c r="G2" i="72"/>
  <c r="D2" i="72"/>
  <c r="C2" i="72"/>
  <c r="A1" i="72" a="1"/>
  <c r="A1" i="72"/>
  <c r="I9" i="26"/>
  <c r="H9" i="18"/>
  <c r="E20" i="1"/>
  <c r="F20" i="1"/>
  <c r="H15" i="1"/>
  <c r="I15" i="1"/>
  <c r="H14" i="1"/>
  <c r="H8" i="1"/>
  <c r="I8" i="1"/>
  <c r="H7" i="1"/>
  <c r="I7" i="1"/>
  <c r="I6" i="4"/>
  <c r="H2" i="4"/>
  <c r="I2" i="4"/>
  <c r="E45" i="1"/>
  <c r="F45" i="1"/>
  <c r="E30" i="1"/>
  <c r="F30" i="1"/>
  <c r="E8" i="1"/>
  <c r="F8" i="1"/>
  <c r="H41" i="1"/>
  <c r="I41" i="3"/>
  <c r="I13" i="1"/>
  <c r="E28" i="1"/>
  <c r="F28" i="1"/>
  <c r="E25" i="1"/>
  <c r="F25" i="1"/>
  <c r="E59" i="1"/>
  <c r="F59" i="1"/>
  <c r="E16" i="1"/>
  <c r="F16" i="1"/>
  <c r="E64" i="1"/>
  <c r="F64" i="1"/>
  <c r="E35" i="1"/>
  <c r="F35" i="1"/>
  <c r="E40" i="1"/>
  <c r="F40" i="1"/>
  <c r="E52" i="1"/>
  <c r="F52" i="1"/>
  <c r="I8" i="72"/>
  <c r="E33" i="1"/>
  <c r="F33" i="1"/>
  <c r="I14" i="1"/>
  <c r="E46" i="1"/>
  <c r="F46" i="1"/>
  <c r="E7" i="1"/>
  <c r="F7" i="1"/>
  <c r="I6" i="1"/>
  <c r="E23" i="1"/>
  <c r="F23" i="1"/>
  <c r="E19" i="1"/>
  <c r="F19" i="1"/>
  <c r="E17" i="1"/>
  <c r="F17" i="1"/>
  <c r="E13" i="1"/>
  <c r="F13" i="1"/>
  <c r="E11" i="1"/>
  <c r="F11" i="1"/>
  <c r="E6" i="1"/>
  <c r="F6" i="1"/>
  <c r="E2" i="72"/>
  <c r="F2" i="72"/>
  <c r="E5" i="1"/>
  <c r="F5" i="1"/>
  <c r="E4" i="1"/>
  <c r="F4" i="1"/>
  <c r="H24" i="1"/>
  <c r="I24" i="1"/>
  <c r="E58" i="1"/>
  <c r="F58" i="1"/>
  <c r="E21" i="1"/>
  <c r="F21" i="1"/>
  <c r="H20" i="1"/>
  <c r="I20" i="1"/>
  <c r="I15" i="72"/>
  <c r="I14" i="72"/>
  <c r="H10" i="1"/>
  <c r="I10" i="1"/>
  <c r="E9" i="1"/>
  <c r="F9" i="1"/>
  <c r="E47" i="1"/>
  <c r="F47" i="1"/>
  <c r="J2" i="72"/>
  <c r="H11" i="1"/>
  <c r="I11" i="1"/>
  <c r="D2" i="1"/>
  <c r="C2" i="1"/>
  <c r="E12" i="1"/>
  <c r="F12" i="1"/>
  <c r="E14" i="1"/>
  <c r="F14" i="1"/>
  <c r="G2" i="1"/>
  <c r="H4" i="1"/>
  <c r="I4" i="1"/>
  <c r="H16" i="1"/>
  <c r="I16" i="1"/>
  <c r="I16" i="72"/>
  <c r="H23" i="1"/>
  <c r="I23" i="1"/>
  <c r="I23" i="72"/>
  <c r="H22" i="1"/>
  <c r="I22" i="1"/>
  <c r="I22" i="72"/>
  <c r="H21" i="1"/>
  <c r="I21" i="1"/>
  <c r="I21" i="72"/>
  <c r="H19" i="1"/>
  <c r="I19" i="1"/>
  <c r="I19" i="72"/>
  <c r="H18" i="1"/>
  <c r="I18" i="1"/>
  <c r="I18" i="72"/>
  <c r="E22" i="1"/>
  <c r="F22" i="1"/>
  <c r="E18" i="1"/>
  <c r="F18" i="1"/>
  <c r="H25" i="1"/>
  <c r="I25" i="1"/>
  <c r="H67" i="1"/>
  <c r="I67" i="1"/>
  <c r="I67" i="72"/>
  <c r="I57" i="72"/>
  <c r="H57" i="1"/>
  <c r="I57" i="1"/>
  <c r="H55" i="1"/>
  <c r="I55" i="1"/>
  <c r="I55" i="72"/>
  <c r="H52" i="1"/>
  <c r="I52" i="1"/>
  <c r="I52" i="72"/>
  <c r="I45" i="72"/>
  <c r="H45" i="1"/>
  <c r="I45" i="1"/>
  <c r="I43" i="72"/>
  <c r="H43" i="1"/>
  <c r="I43" i="1"/>
  <c r="H37" i="1"/>
  <c r="I37" i="1"/>
  <c r="I37" i="72"/>
  <c r="H34" i="1"/>
  <c r="I34" i="1"/>
  <c r="I34" i="72"/>
  <c r="I33" i="72"/>
  <c r="H33" i="1"/>
  <c r="I33" i="1"/>
  <c r="H31" i="1"/>
  <c r="I31" i="1"/>
  <c r="I31" i="72"/>
  <c r="I30" i="72"/>
  <c r="H30" i="1"/>
  <c r="I30" i="1"/>
  <c r="I28" i="72"/>
  <c r="H28" i="1"/>
  <c r="I28" i="1"/>
  <c r="E67" i="1"/>
  <c r="F67" i="1"/>
  <c r="E65" i="1"/>
  <c r="F65" i="1"/>
  <c r="E63" i="1"/>
  <c r="F63" i="1"/>
  <c r="E62" i="1"/>
  <c r="F62" i="1"/>
  <c r="E60" i="1"/>
  <c r="F60" i="1"/>
  <c r="E56" i="1"/>
  <c r="F56" i="1"/>
  <c r="E55" i="1"/>
  <c r="F55" i="1"/>
  <c r="E54" i="1"/>
  <c r="F54" i="1"/>
  <c r="E53" i="1"/>
  <c r="F53" i="1"/>
  <c r="E51" i="1"/>
  <c r="F51" i="1"/>
  <c r="E50" i="1"/>
  <c r="F50" i="1"/>
  <c r="E49" i="1"/>
  <c r="F49" i="1"/>
  <c r="E48" i="1"/>
  <c r="F48" i="1"/>
  <c r="E44" i="1"/>
  <c r="F44" i="1"/>
  <c r="E43" i="1"/>
  <c r="F43" i="1"/>
  <c r="E41" i="1"/>
  <c r="F41" i="1"/>
  <c r="E39" i="1"/>
  <c r="F39" i="1"/>
  <c r="E38" i="1"/>
  <c r="F38" i="1"/>
  <c r="E37" i="1"/>
  <c r="F37" i="1"/>
  <c r="E36" i="1"/>
  <c r="F36" i="1"/>
  <c r="E31" i="1"/>
  <c r="F31" i="1"/>
  <c r="E29" i="1"/>
  <c r="F29" i="1"/>
  <c r="E27" i="1"/>
  <c r="F27" i="1"/>
  <c r="E26" i="1"/>
  <c r="F26" i="1"/>
  <c r="H2" i="3"/>
  <c r="I2" i="3"/>
  <c r="H44" i="1"/>
  <c r="I44" i="1"/>
  <c r="H26" i="1"/>
  <c r="I26" i="1"/>
  <c r="H9" i="1"/>
  <c r="I9" i="1"/>
  <c r="H17" i="1"/>
  <c r="I17" i="1"/>
  <c r="I11" i="4"/>
  <c r="H59" i="1"/>
  <c r="I59" i="1"/>
  <c r="E61" i="1"/>
  <c r="F61" i="1"/>
  <c r="H51" i="1"/>
  <c r="I51" i="1"/>
  <c r="H47" i="1"/>
  <c r="I47" i="1"/>
  <c r="H29" i="1"/>
  <c r="I29" i="1"/>
  <c r="H12" i="1"/>
  <c r="I12" i="1"/>
  <c r="H35" i="1"/>
  <c r="I35" i="1"/>
  <c r="H32" i="1"/>
  <c r="I32" i="1"/>
  <c r="E66" i="1"/>
  <c r="F66" i="1"/>
  <c r="H54" i="1"/>
  <c r="I54" i="1"/>
  <c r="H65" i="1"/>
  <c r="I65" i="1"/>
  <c r="H53" i="1"/>
  <c r="I53" i="1"/>
  <c r="H62" i="1"/>
  <c r="I62" i="1"/>
  <c r="H2" i="72"/>
  <c r="I2" i="72"/>
  <c r="E10" i="1"/>
  <c r="F10" i="1"/>
  <c r="I4" i="28"/>
  <c r="H61" i="1"/>
  <c r="I61" i="1"/>
  <c r="H42" i="1"/>
  <c r="I42" i="1"/>
  <c r="H64" i="1"/>
  <c r="I64" i="1"/>
  <c r="H38" i="1"/>
  <c r="I38" i="1"/>
  <c r="H50" i="1"/>
  <c r="I50" i="1"/>
  <c r="H63" i="1"/>
  <c r="I63" i="1"/>
  <c r="H58" i="1"/>
  <c r="I58" i="1"/>
  <c r="E2" i="3"/>
  <c r="F2" i="3"/>
  <c r="J2" i="4"/>
  <c r="E2" i="4"/>
  <c r="F2" i="4"/>
  <c r="H5" i="1"/>
  <c r="I5" i="1"/>
  <c r="H68" i="1"/>
  <c r="I68" i="1"/>
  <c r="H56" i="1"/>
  <c r="I56" i="1"/>
  <c r="I41" i="1"/>
  <c r="H66" i="1"/>
  <c r="I66" i="1"/>
  <c r="H60" i="1"/>
  <c r="I60" i="1"/>
  <c r="H40" i="1"/>
  <c r="I40" i="1"/>
  <c r="E68" i="1"/>
  <c r="F68" i="1"/>
  <c r="H49" i="1"/>
  <c r="I49" i="1"/>
  <c r="H46" i="1"/>
  <c r="I46" i="1"/>
  <c r="E32" i="1"/>
  <c r="F32" i="1"/>
  <c r="H48" i="1"/>
  <c r="I48" i="1"/>
  <c r="H39" i="1"/>
  <c r="I39" i="1"/>
  <c r="H36" i="1"/>
  <c r="I36" i="1"/>
  <c r="H27" i="1"/>
  <c r="I27" i="1"/>
  <c r="I11" i="33"/>
  <c r="I10" i="33"/>
  <c r="D33" i="34"/>
  <c r="H9" i="29"/>
  <c r="I15" i="28"/>
  <c r="E52" i="29"/>
  <c r="F52" i="29" s="1"/>
  <c r="E46" i="29"/>
  <c r="F46" i="29" s="1"/>
  <c r="E30" i="29"/>
  <c r="F30" i="29" s="1"/>
  <c r="E33" i="29"/>
  <c r="F33" i="29" s="1"/>
  <c r="E44" i="29"/>
  <c r="F44" i="29" s="1"/>
  <c r="E2" i="1"/>
  <c r="F2" i="1"/>
  <c r="H2" i="1"/>
  <c r="I2" i="1"/>
  <c r="D5" i="34" l="1"/>
  <c r="D13" i="34"/>
  <c r="I19" i="26"/>
  <c r="H19" i="29"/>
  <c r="I20" i="26"/>
  <c r="H20" i="29"/>
  <c r="I21" i="26"/>
  <c r="H21" i="29"/>
  <c r="I21" i="29" s="1"/>
  <c r="I22" i="26"/>
  <c r="H22" i="29"/>
  <c r="I22" i="29" s="1"/>
  <c r="I23" i="26"/>
  <c r="H23" i="29"/>
  <c r="I23" i="29" s="1"/>
  <c r="I24" i="26"/>
  <c r="H24" i="29"/>
  <c r="I24" i="29" s="1"/>
  <c r="I25" i="26"/>
  <c r="H25" i="29"/>
  <c r="I25" i="29" s="1"/>
  <c r="E4" i="29"/>
  <c r="F4" i="29" s="1"/>
  <c r="D2" i="29"/>
  <c r="I67" i="26"/>
  <c r="H67" i="29"/>
  <c r="I67" i="29" s="1"/>
  <c r="I66" i="26"/>
  <c r="H66" i="29"/>
  <c r="I66" i="29" s="1"/>
  <c r="I65" i="26"/>
  <c r="H65" i="29"/>
  <c r="I65" i="29" s="1"/>
  <c r="I64" i="26"/>
  <c r="H64" i="29"/>
  <c r="I64" i="29" s="1"/>
  <c r="I63" i="26"/>
  <c r="H63" i="29"/>
  <c r="I63" i="29" s="1"/>
  <c r="I62" i="26"/>
  <c r="H62" i="29"/>
  <c r="I62" i="29" s="1"/>
  <c r="I61" i="26"/>
  <c r="H61" i="29"/>
  <c r="I61" i="29" s="1"/>
  <c r="I60" i="26"/>
  <c r="H60" i="29"/>
  <c r="I60" i="29" s="1"/>
  <c r="I59" i="26"/>
  <c r="H59" i="29"/>
  <c r="I59" i="29" s="1"/>
  <c r="I58" i="26"/>
  <c r="H58" i="29"/>
  <c r="I58" i="29" s="1"/>
  <c r="I57" i="26"/>
  <c r="H57" i="29"/>
  <c r="I57" i="29" s="1"/>
  <c r="I56" i="26"/>
  <c r="H56" i="29"/>
  <c r="I56" i="29" s="1"/>
  <c r="I54" i="26"/>
  <c r="H54" i="29"/>
  <c r="I54" i="29" s="1"/>
  <c r="I53" i="26"/>
  <c r="H53" i="29"/>
  <c r="I53" i="29" s="1"/>
  <c r="I52" i="26"/>
  <c r="H52" i="29"/>
  <c r="I52" i="29" s="1"/>
  <c r="I51" i="26"/>
  <c r="H51" i="29"/>
  <c r="I51" i="29" s="1"/>
  <c r="I50" i="26"/>
  <c r="H50" i="29"/>
  <c r="I50" i="29" s="1"/>
  <c r="I49" i="26"/>
  <c r="H49" i="29"/>
  <c r="I49" i="29" s="1"/>
  <c r="I48" i="26"/>
  <c r="H48" i="29"/>
  <c r="I48" i="29" s="1"/>
  <c r="I47" i="26"/>
  <c r="H47" i="29"/>
  <c r="I47" i="29" s="1"/>
  <c r="I46" i="26"/>
  <c r="H46" i="29"/>
  <c r="I46" i="29" s="1"/>
  <c r="I45" i="26"/>
  <c r="H45" i="29"/>
  <c r="I45" i="29" s="1"/>
  <c r="I44" i="26"/>
  <c r="H44" i="29"/>
  <c r="I44" i="29" s="1"/>
  <c r="I43" i="26"/>
  <c r="H43" i="29"/>
  <c r="I43" i="29" s="1"/>
  <c r="I42" i="26"/>
  <c r="H42" i="29"/>
  <c r="I42" i="29" s="1"/>
  <c r="I41" i="26"/>
  <c r="H41" i="29"/>
  <c r="I41" i="29" s="1"/>
  <c r="I40" i="26"/>
  <c r="H40" i="29"/>
  <c r="I40" i="29" s="1"/>
  <c r="I37" i="26"/>
  <c r="H37" i="29"/>
  <c r="I37" i="29" s="1"/>
  <c r="I36" i="26"/>
  <c r="H36" i="29"/>
  <c r="I36" i="29" s="1"/>
  <c r="I35" i="26"/>
  <c r="H35" i="29"/>
  <c r="I35" i="29" s="1"/>
  <c r="I33" i="26"/>
  <c r="H33" i="29"/>
  <c r="I33" i="29" s="1"/>
  <c r="I32" i="26"/>
  <c r="H32" i="29"/>
  <c r="I32" i="29" s="1"/>
  <c r="I31" i="26"/>
  <c r="H31" i="29"/>
  <c r="I31" i="29" s="1"/>
  <c r="I29" i="26"/>
  <c r="H29" i="29"/>
  <c r="I29" i="29" s="1"/>
  <c r="I28" i="26"/>
  <c r="H28" i="29"/>
  <c r="I28" i="29" s="1"/>
  <c r="I27" i="26"/>
  <c r="H27" i="29"/>
  <c r="I27" i="29" s="1"/>
  <c r="I26" i="26"/>
  <c r="H26" i="29"/>
  <c r="I26" i="29" s="1"/>
  <c r="H30" i="30"/>
  <c r="E2" i="33"/>
  <c r="F2" i="33" s="1"/>
  <c r="H36" i="30"/>
  <c r="I36" i="30" s="1"/>
  <c r="H63" i="30"/>
  <c r="I63" i="30" s="1"/>
  <c r="H62" i="30"/>
  <c r="H53" i="30"/>
  <c r="I53" i="30" s="1"/>
  <c r="H38" i="30"/>
  <c r="H19" i="30"/>
  <c r="H15" i="30"/>
  <c r="I15" i="30" s="1"/>
  <c r="J2" i="33"/>
  <c r="E27" i="30"/>
  <c r="F27" i="30" s="1"/>
  <c r="H2" i="33"/>
  <c r="I2" i="33" s="1"/>
  <c r="E6" i="30"/>
  <c r="F6" i="30" s="1"/>
  <c r="H61" i="30"/>
  <c r="I61" i="30" s="1"/>
  <c r="H37" i="30"/>
  <c r="I37" i="30" s="1"/>
  <c r="H47" i="30"/>
  <c r="I47" i="30" s="1"/>
  <c r="H23" i="30"/>
  <c r="H58" i="30"/>
  <c r="I58" i="30" s="1"/>
  <c r="H46" i="30"/>
  <c r="I46" i="30" s="1"/>
  <c r="H22" i="30"/>
  <c r="I22" i="30" s="1"/>
  <c r="H44" i="30"/>
  <c r="I44" i="30" s="1"/>
  <c r="H20" i="30"/>
  <c r="I20" i="30" s="1"/>
  <c r="H28" i="30"/>
  <c r="I28" i="30" s="1"/>
  <c r="H39" i="30"/>
  <c r="I39" i="30" s="1"/>
  <c r="E2" i="32"/>
  <c r="F2" i="32" s="1"/>
  <c r="H25" i="30"/>
  <c r="I25" i="30" s="1"/>
  <c r="H48" i="30"/>
  <c r="E20" i="30"/>
  <c r="F20" i="30" s="1"/>
  <c r="H45" i="30"/>
  <c r="I45" i="30" s="1"/>
  <c r="H33" i="30"/>
  <c r="H21" i="30"/>
  <c r="I21" i="30" s="1"/>
  <c r="H11" i="30"/>
  <c r="I11" i="30" s="1"/>
  <c r="G20" i="34"/>
  <c r="E58" i="30"/>
  <c r="F58" i="30" s="1"/>
  <c r="I7" i="32"/>
  <c r="H7" i="30"/>
  <c r="I7" i="30" s="1"/>
  <c r="E21" i="30"/>
  <c r="F21" i="30" s="1"/>
  <c r="E57" i="30"/>
  <c r="F57" i="30" s="1"/>
  <c r="E23" i="30"/>
  <c r="F23" i="30" s="1"/>
  <c r="E45" i="30"/>
  <c r="F45" i="30" s="1"/>
  <c r="J2" i="32"/>
  <c r="H17" i="30"/>
  <c r="H14" i="30"/>
  <c r="I14" i="30" s="1"/>
  <c r="H12" i="30"/>
  <c r="I12" i="30" s="1"/>
  <c r="H10" i="30"/>
  <c r="I10" i="30" s="1"/>
  <c r="H6" i="30"/>
  <c r="I6" i="30" s="1"/>
  <c r="E31" i="30"/>
  <c r="F31" i="30" s="1"/>
  <c r="E29" i="30"/>
  <c r="F29" i="30" s="1"/>
  <c r="H2" i="32"/>
  <c r="I2" i="32" s="1"/>
  <c r="I17" i="30"/>
  <c r="E36" i="30"/>
  <c r="F36" i="30" s="1"/>
  <c r="E41" i="30"/>
  <c r="F41" i="30" s="1"/>
  <c r="E25" i="30"/>
  <c r="F25" i="30" s="1"/>
  <c r="E66" i="30"/>
  <c r="F66" i="30" s="1"/>
  <c r="E60" i="30"/>
  <c r="F60" i="30" s="1"/>
  <c r="E18" i="30"/>
  <c r="F18" i="30" s="1"/>
  <c r="D17" i="34"/>
  <c r="C17" i="34"/>
  <c r="I46" i="31"/>
  <c r="E5" i="30"/>
  <c r="F5" i="30" s="1"/>
  <c r="E13" i="30"/>
  <c r="F13" i="30" s="1"/>
  <c r="I45" i="31"/>
  <c r="E42" i="30"/>
  <c r="F42" i="30" s="1"/>
  <c r="I23" i="30"/>
  <c r="H4" i="30"/>
  <c r="I4" i="30" s="1"/>
  <c r="E8" i="30"/>
  <c r="F8" i="30" s="1"/>
  <c r="I51" i="30"/>
  <c r="E37" i="30"/>
  <c r="F37" i="30" s="1"/>
  <c r="H16" i="30"/>
  <c r="I16" i="30" s="1"/>
  <c r="I15" i="31"/>
  <c r="E9" i="30"/>
  <c r="F9" i="30" s="1"/>
  <c r="I33" i="30"/>
  <c r="E24" i="30"/>
  <c r="F24" i="30" s="1"/>
  <c r="D24" i="34"/>
  <c r="I48" i="30"/>
  <c r="E50" i="30"/>
  <c r="F50" i="30" s="1"/>
  <c r="E10" i="30"/>
  <c r="F10" i="30" s="1"/>
  <c r="E55" i="30"/>
  <c r="F55" i="30" s="1"/>
  <c r="G10" i="34"/>
  <c r="E12" i="30"/>
  <c r="F12" i="30" s="1"/>
  <c r="I44" i="31"/>
  <c r="D68" i="34"/>
  <c r="D48" i="34"/>
  <c r="H29" i="30"/>
  <c r="I29" i="30" s="1"/>
  <c r="H60" i="30"/>
  <c r="I60" i="30" s="1"/>
  <c r="E59" i="30"/>
  <c r="F59" i="30" s="1"/>
  <c r="I62" i="30"/>
  <c r="E52" i="30"/>
  <c r="F52" i="30" s="1"/>
  <c r="I53" i="31"/>
  <c r="E51" i="30"/>
  <c r="F51" i="30" s="1"/>
  <c r="I21" i="31"/>
  <c r="E32" i="30"/>
  <c r="F32" i="30" s="1"/>
  <c r="E35" i="30"/>
  <c r="F35" i="30" s="1"/>
  <c r="D16" i="34"/>
  <c r="I48" i="31"/>
  <c r="E33" i="30"/>
  <c r="F33" i="30" s="1"/>
  <c r="G49" i="34"/>
  <c r="E54" i="30"/>
  <c r="F54" i="30" s="1"/>
  <c r="E48" i="30"/>
  <c r="F48" i="30" s="1"/>
  <c r="I12" i="31"/>
  <c r="G65" i="34"/>
  <c r="I47" i="31"/>
  <c r="H64" i="30"/>
  <c r="I64" i="30" s="1"/>
  <c r="E56" i="30"/>
  <c r="F56" i="30" s="1"/>
  <c r="E46" i="30"/>
  <c r="F46" i="30" s="1"/>
  <c r="H57" i="30"/>
  <c r="I57" i="30" s="1"/>
  <c r="E30" i="30"/>
  <c r="F30" i="30" s="1"/>
  <c r="H32" i="30"/>
  <c r="I32" i="30" s="1"/>
  <c r="E47" i="30"/>
  <c r="F47" i="30" s="1"/>
  <c r="D58" i="34"/>
  <c r="I19" i="30"/>
  <c r="I22" i="31"/>
  <c r="D2" i="30"/>
  <c r="G37" i="34"/>
  <c r="D60" i="34"/>
  <c r="D51" i="34"/>
  <c r="I39" i="31"/>
  <c r="I20" i="31"/>
  <c r="D6" i="34"/>
  <c r="I30" i="30"/>
  <c r="E63" i="30"/>
  <c r="F63" i="30" s="1"/>
  <c r="E17" i="30"/>
  <c r="F17" i="30" s="1"/>
  <c r="E11" i="30"/>
  <c r="F11" i="30" s="1"/>
  <c r="D7" i="34"/>
  <c r="E43" i="30"/>
  <c r="F43" i="30" s="1"/>
  <c r="I11" i="31"/>
  <c r="E4" i="30"/>
  <c r="F4" i="30" s="1"/>
  <c r="I51" i="31"/>
  <c r="I19" i="31"/>
  <c r="H31" i="30"/>
  <c r="I31" i="30" s="1"/>
  <c r="D39" i="34"/>
  <c r="I38" i="30"/>
  <c r="I30" i="31"/>
  <c r="H35" i="30"/>
  <c r="I35" i="30" s="1"/>
  <c r="I17" i="31"/>
  <c r="D53" i="34"/>
  <c r="H34" i="30"/>
  <c r="I34" i="30" s="1"/>
  <c r="G22" i="34"/>
  <c r="D35" i="34"/>
  <c r="D21" i="34"/>
  <c r="D29" i="34"/>
  <c r="I63" i="31"/>
  <c r="H27" i="30"/>
  <c r="I27" i="30" s="1"/>
  <c r="D57" i="34"/>
  <c r="D45" i="34"/>
  <c r="D34" i="34"/>
  <c r="I61" i="31"/>
  <c r="C4" i="34"/>
  <c r="C11" i="34"/>
  <c r="E7" i="30"/>
  <c r="F7" i="30" s="1"/>
  <c r="E15" i="30"/>
  <c r="F15" i="30" s="1"/>
  <c r="G17" i="34"/>
  <c r="C63" i="34"/>
  <c r="I58" i="31"/>
  <c r="H8" i="30"/>
  <c r="I8" i="30" s="1"/>
  <c r="H18" i="30"/>
  <c r="I18" i="30" s="1"/>
  <c r="I33" i="31"/>
  <c r="I14" i="31"/>
  <c r="G16" i="34"/>
  <c r="G38" i="34"/>
  <c r="I28" i="31"/>
  <c r="E65" i="30"/>
  <c r="F65" i="30" s="1"/>
  <c r="H65" i="30"/>
  <c r="I65" i="30" s="1"/>
  <c r="I65" i="31"/>
  <c r="E64" i="30"/>
  <c r="F64" i="30" s="1"/>
  <c r="E62" i="30"/>
  <c r="F62" i="30" s="1"/>
  <c r="E68" i="30"/>
  <c r="F68" i="30" s="1"/>
  <c r="H54" i="30"/>
  <c r="I54" i="30" s="1"/>
  <c r="I54" i="31"/>
  <c r="E53" i="30"/>
  <c r="F53" i="30" s="1"/>
  <c r="E44" i="30"/>
  <c r="F44" i="30" s="1"/>
  <c r="H52" i="30"/>
  <c r="I52" i="30" s="1"/>
  <c r="I52" i="31"/>
  <c r="E39" i="30"/>
  <c r="F39" i="30" s="1"/>
  <c r="E38" i="30"/>
  <c r="F38" i="30" s="1"/>
  <c r="E26" i="30"/>
  <c r="F26" i="30" s="1"/>
  <c r="H59" i="30"/>
  <c r="I59" i="30" s="1"/>
  <c r="I59" i="31"/>
  <c r="E22" i="30"/>
  <c r="F22" i="30" s="1"/>
  <c r="E19" i="30"/>
  <c r="F19" i="30" s="1"/>
  <c r="E16" i="30"/>
  <c r="F16" i="30" s="1"/>
  <c r="E34" i="30"/>
  <c r="F34" i="30" s="1"/>
  <c r="E28" i="30"/>
  <c r="F28" i="30" s="1"/>
  <c r="E61" i="30"/>
  <c r="F61" i="30" s="1"/>
  <c r="H50" i="30"/>
  <c r="I50" i="30" s="1"/>
  <c r="I50" i="31"/>
  <c r="E40" i="30"/>
  <c r="F40" i="30" s="1"/>
  <c r="H41" i="30"/>
  <c r="I41" i="30" s="1"/>
  <c r="I41" i="31"/>
  <c r="H49" i="30"/>
  <c r="I49" i="30" s="1"/>
  <c r="I49" i="31"/>
  <c r="D67" i="34"/>
  <c r="E67" i="34" s="1"/>
  <c r="F67" i="34" s="1"/>
  <c r="E67" i="30"/>
  <c r="F67" i="30" s="1"/>
  <c r="H67" i="30"/>
  <c r="I67" i="30" s="1"/>
  <c r="I67" i="31"/>
  <c r="H66" i="30"/>
  <c r="I66" i="30" s="1"/>
  <c r="I66" i="31"/>
  <c r="H43" i="30"/>
  <c r="I43" i="30" s="1"/>
  <c r="I62" i="31"/>
  <c r="C68" i="34"/>
  <c r="H68" i="30"/>
  <c r="I68" i="30" s="1"/>
  <c r="H55" i="30"/>
  <c r="I55" i="30" s="1"/>
  <c r="H56" i="30"/>
  <c r="I56" i="30" s="1"/>
  <c r="G56" i="34"/>
  <c r="G45" i="34"/>
  <c r="H42" i="30"/>
  <c r="I42" i="30" s="1"/>
  <c r="I38" i="31"/>
  <c r="H26" i="30"/>
  <c r="I26" i="30" s="1"/>
  <c r="G25" i="34"/>
  <c r="I25" i="31"/>
  <c r="H24" i="30"/>
  <c r="I24" i="30" s="1"/>
  <c r="I23" i="31"/>
  <c r="C60" i="34"/>
  <c r="C21" i="34"/>
  <c r="G21" i="34"/>
  <c r="C19" i="34"/>
  <c r="G18" i="34"/>
  <c r="H13" i="30"/>
  <c r="I13" i="30" s="1"/>
  <c r="H9" i="30"/>
  <c r="I9" i="30" s="1"/>
  <c r="H5" i="30"/>
  <c r="I5" i="30" s="1"/>
  <c r="I37" i="31"/>
  <c r="I36" i="31"/>
  <c r="G36" i="34"/>
  <c r="G33" i="34"/>
  <c r="K33" i="34" s="1"/>
  <c r="G30" i="34"/>
  <c r="C2" i="30"/>
  <c r="H2" i="31"/>
  <c r="I2" i="31" s="1"/>
  <c r="G2" i="30"/>
  <c r="H40" i="30"/>
  <c r="I40" i="30" s="1"/>
  <c r="G40" i="34"/>
  <c r="G48" i="34"/>
  <c r="J2" i="31"/>
  <c r="E2" i="31"/>
  <c r="F2" i="31" s="1"/>
  <c r="E41" i="29"/>
  <c r="F41" i="29" s="1"/>
  <c r="E61" i="29"/>
  <c r="F61" i="29" s="1"/>
  <c r="E66" i="29"/>
  <c r="F66" i="29" s="1"/>
  <c r="E36" i="29"/>
  <c r="F36" i="29" s="1"/>
  <c r="E35" i="29"/>
  <c r="F35" i="29" s="1"/>
  <c r="E59" i="29"/>
  <c r="F59" i="29" s="1"/>
  <c r="H14" i="29"/>
  <c r="H13" i="29"/>
  <c r="C35" i="34"/>
  <c r="H2" i="28"/>
  <c r="I2" i="28" s="1"/>
  <c r="E2" i="28"/>
  <c r="F2" i="28" s="1"/>
  <c r="E65" i="29"/>
  <c r="F65" i="29" s="1"/>
  <c r="E53" i="29"/>
  <c r="F53" i="29" s="1"/>
  <c r="D18" i="34"/>
  <c r="E12" i="29"/>
  <c r="F12" i="29" s="1"/>
  <c r="E8" i="29"/>
  <c r="F8" i="29" s="1"/>
  <c r="E32" i="29"/>
  <c r="F32" i="29" s="1"/>
  <c r="E54" i="29"/>
  <c r="F54" i="29" s="1"/>
  <c r="E5" i="29"/>
  <c r="F5" i="29" s="1"/>
  <c r="E13" i="29"/>
  <c r="F13" i="29" s="1"/>
  <c r="E22" i="29"/>
  <c r="F22" i="29" s="1"/>
  <c r="E55" i="29"/>
  <c r="F55" i="29" s="1"/>
  <c r="E64" i="29"/>
  <c r="F64" i="29" s="1"/>
  <c r="E63" i="29"/>
  <c r="F63" i="29" s="1"/>
  <c r="C53" i="34"/>
  <c r="E21" i="29"/>
  <c r="F21" i="29" s="1"/>
  <c r="I20" i="29"/>
  <c r="H18" i="29"/>
  <c r="I18" i="29" s="1"/>
  <c r="H11" i="29"/>
  <c r="I11" i="29" s="1"/>
  <c r="H8" i="29"/>
  <c r="E28" i="29"/>
  <c r="F28" i="29" s="1"/>
  <c r="H2" i="27"/>
  <c r="I2" i="27" s="1"/>
  <c r="E2" i="27"/>
  <c r="F2" i="27" s="1"/>
  <c r="E16" i="29"/>
  <c r="F16" i="29" s="1"/>
  <c r="E25" i="29"/>
  <c r="F25" i="29" s="1"/>
  <c r="E58" i="29"/>
  <c r="F58" i="29" s="1"/>
  <c r="E49" i="29"/>
  <c r="F49" i="29" s="1"/>
  <c r="E40" i="29"/>
  <c r="F40" i="29" s="1"/>
  <c r="E27" i="29"/>
  <c r="F27" i="29" s="1"/>
  <c r="E67" i="29"/>
  <c r="F67" i="29" s="1"/>
  <c r="E68" i="29"/>
  <c r="F68" i="29" s="1"/>
  <c r="E62" i="29"/>
  <c r="F62" i="29" s="1"/>
  <c r="E57" i="29"/>
  <c r="F57" i="29" s="1"/>
  <c r="E56" i="29"/>
  <c r="F56" i="29" s="1"/>
  <c r="E51" i="29"/>
  <c r="F51" i="29" s="1"/>
  <c r="E48" i="29"/>
  <c r="F48" i="29" s="1"/>
  <c r="E45" i="29"/>
  <c r="F45" i="29" s="1"/>
  <c r="E43" i="29"/>
  <c r="F43" i="29" s="1"/>
  <c r="E38" i="29"/>
  <c r="F38" i="29" s="1"/>
  <c r="E34" i="29"/>
  <c r="F34" i="29" s="1"/>
  <c r="D28" i="34"/>
  <c r="E26" i="29"/>
  <c r="F26" i="29" s="1"/>
  <c r="E24" i="29"/>
  <c r="F24" i="29" s="1"/>
  <c r="E9" i="29"/>
  <c r="F9" i="29" s="1"/>
  <c r="C56" i="34"/>
  <c r="E42" i="29"/>
  <c r="F42" i="29" s="1"/>
  <c r="I19" i="29"/>
  <c r="E15" i="29"/>
  <c r="F15" i="29" s="1"/>
  <c r="H15" i="29"/>
  <c r="I15" i="29" s="1"/>
  <c r="E14" i="29"/>
  <c r="F14" i="29" s="1"/>
  <c r="I13" i="29"/>
  <c r="H12" i="29"/>
  <c r="I12" i="29" s="1"/>
  <c r="E11" i="29"/>
  <c r="F11" i="29" s="1"/>
  <c r="E10" i="29"/>
  <c r="F10" i="29" s="1"/>
  <c r="H10" i="29"/>
  <c r="I10" i="29" s="1"/>
  <c r="I9" i="29"/>
  <c r="H6" i="29"/>
  <c r="I6" i="29" s="1"/>
  <c r="H5" i="29"/>
  <c r="I5" i="29" s="1"/>
  <c r="E37" i="29"/>
  <c r="F37" i="29" s="1"/>
  <c r="E31" i="29"/>
  <c r="F31" i="29" s="1"/>
  <c r="C51" i="34"/>
  <c r="H2" i="26"/>
  <c r="I2" i="26" s="1"/>
  <c r="H7" i="29"/>
  <c r="I7" i="29" s="1"/>
  <c r="H17" i="29"/>
  <c r="I17" i="29" s="1"/>
  <c r="E29" i="29"/>
  <c r="F29" i="29" s="1"/>
  <c r="E19" i="29"/>
  <c r="F19" i="29" s="1"/>
  <c r="D22" i="34"/>
  <c r="E17" i="29"/>
  <c r="F17" i="29" s="1"/>
  <c r="I8" i="29"/>
  <c r="E60" i="29"/>
  <c r="F60" i="29" s="1"/>
  <c r="E20" i="29"/>
  <c r="F20" i="29" s="1"/>
  <c r="I14" i="29"/>
  <c r="E39" i="29"/>
  <c r="F39" i="29" s="1"/>
  <c r="E23" i="29"/>
  <c r="F23" i="29" s="1"/>
  <c r="C2" i="29"/>
  <c r="G2" i="29"/>
  <c r="E2" i="26"/>
  <c r="F2" i="26" s="1"/>
  <c r="J2" i="26"/>
  <c r="E6" i="29"/>
  <c r="F6" i="29" s="1"/>
  <c r="H16" i="29"/>
  <c r="I16" i="29" s="1"/>
  <c r="I8" i="26"/>
  <c r="H4" i="29"/>
  <c r="I4" i="29" s="1"/>
  <c r="E7" i="29"/>
  <c r="F7" i="29" s="1"/>
  <c r="I55" i="26"/>
  <c r="I39" i="26"/>
  <c r="I38" i="26"/>
  <c r="I30" i="26"/>
  <c r="I13" i="26"/>
  <c r="I34" i="26"/>
  <c r="C5" i="34"/>
  <c r="E5" i="34" s="1"/>
  <c r="F5" i="34" s="1"/>
  <c r="C8" i="34"/>
  <c r="C13" i="34"/>
  <c r="E13" i="34" s="1"/>
  <c r="F13" i="34" s="1"/>
  <c r="C14" i="34"/>
  <c r="G5" i="34"/>
  <c r="G15" i="34"/>
  <c r="G14" i="34"/>
  <c r="G13" i="34"/>
  <c r="G12" i="34"/>
  <c r="G11" i="34"/>
  <c r="G9" i="34"/>
  <c r="G8" i="34"/>
  <c r="G7" i="34"/>
  <c r="G6" i="34"/>
  <c r="G4" i="34"/>
  <c r="G68" i="34"/>
  <c r="G67" i="34"/>
  <c r="G66" i="34"/>
  <c r="C66" i="34"/>
  <c r="C65" i="34"/>
  <c r="G64" i="34"/>
  <c r="G63" i="34"/>
  <c r="G62" i="34"/>
  <c r="G61" i="34"/>
  <c r="G60" i="34"/>
  <c r="G59" i="34"/>
  <c r="C59" i="34"/>
  <c r="E59" i="34" s="1"/>
  <c r="F59" i="34" s="1"/>
  <c r="G58" i="34"/>
  <c r="C58" i="34"/>
  <c r="G57" i="34"/>
  <c r="C57" i="34"/>
  <c r="G55" i="34"/>
  <c r="G54" i="34"/>
  <c r="C54" i="34"/>
  <c r="G53" i="34"/>
  <c r="G52" i="34"/>
  <c r="K52" i="34" s="1"/>
  <c r="G51" i="34"/>
  <c r="G50" i="34"/>
  <c r="C50" i="34"/>
  <c r="C48" i="34"/>
  <c r="G47" i="34"/>
  <c r="G46" i="34"/>
  <c r="G44" i="34"/>
  <c r="G43" i="34"/>
  <c r="G42" i="34"/>
  <c r="G39" i="34"/>
  <c r="C38" i="34"/>
  <c r="G35" i="34"/>
  <c r="G34" i="34"/>
  <c r="G32" i="34"/>
  <c r="G31" i="34"/>
  <c r="G29" i="34"/>
  <c r="G28" i="34"/>
  <c r="G26" i="34"/>
  <c r="C25" i="34"/>
  <c r="G24" i="34"/>
  <c r="C24" i="34"/>
  <c r="G23" i="34"/>
  <c r="C22" i="34"/>
  <c r="G19" i="34"/>
  <c r="C18" i="34"/>
  <c r="C16" i="34"/>
  <c r="H69" i="1"/>
  <c r="I69" i="1" s="1"/>
  <c r="I69" i="72"/>
  <c r="H69" i="34"/>
  <c r="I69" i="34" s="1"/>
  <c r="E69" i="1"/>
  <c r="F69" i="1" s="1"/>
  <c r="C55" i="34"/>
  <c r="C47" i="34"/>
  <c r="C46" i="34"/>
  <c r="D46" i="34"/>
  <c r="C44" i="34"/>
  <c r="E44" i="34" s="1"/>
  <c r="F44" i="34" s="1"/>
  <c r="C43" i="34"/>
  <c r="C42" i="34"/>
  <c r="D64" i="34"/>
  <c r="D63" i="34"/>
  <c r="C41" i="34"/>
  <c r="K41" i="34" s="1"/>
  <c r="D61" i="34"/>
  <c r="H60" i="18"/>
  <c r="D56" i="34"/>
  <c r="C39" i="34"/>
  <c r="D54" i="34"/>
  <c r="D55" i="34"/>
  <c r="D49" i="34"/>
  <c r="D47" i="34"/>
  <c r="D42" i="34"/>
  <c r="D41" i="34"/>
  <c r="C37" i="34"/>
  <c r="D37" i="34"/>
  <c r="C34" i="34"/>
  <c r="H35" i="18"/>
  <c r="C32" i="34"/>
  <c r="E32" i="34" s="1"/>
  <c r="F32" i="34" s="1"/>
  <c r="C31" i="34"/>
  <c r="D30" i="34"/>
  <c r="C30" i="34"/>
  <c r="C29" i="34"/>
  <c r="D27" i="34"/>
  <c r="C27" i="34"/>
  <c r="D26" i="34"/>
  <c r="C26" i="34"/>
  <c r="D25" i="34"/>
  <c r="C23" i="34"/>
  <c r="D19" i="34"/>
  <c r="D15" i="34"/>
  <c r="D14" i="34"/>
  <c r="D12" i="34"/>
  <c r="E20" i="18"/>
  <c r="F20" i="18" s="1"/>
  <c r="D11" i="34"/>
  <c r="D10" i="34"/>
  <c r="D9" i="34"/>
  <c r="D8" i="34"/>
  <c r="D4" i="34"/>
  <c r="E67" i="18"/>
  <c r="F67" i="18" s="1"/>
  <c r="E22" i="18"/>
  <c r="F22" i="18" s="1"/>
  <c r="E53" i="18"/>
  <c r="F53" i="18" s="1"/>
  <c r="E10" i="18"/>
  <c r="F10" i="18" s="1"/>
  <c r="E12" i="18"/>
  <c r="F12" i="18" s="1"/>
  <c r="E51" i="18"/>
  <c r="F51" i="18" s="1"/>
  <c r="I5" i="18"/>
  <c r="E66" i="18"/>
  <c r="F66" i="18" s="1"/>
  <c r="E50" i="18"/>
  <c r="F50" i="18" s="1"/>
  <c r="E37" i="18"/>
  <c r="F37" i="18" s="1"/>
  <c r="E16" i="18"/>
  <c r="F16" i="18" s="1"/>
  <c r="E52" i="18"/>
  <c r="F52" i="18" s="1"/>
  <c r="E52" i="34"/>
  <c r="F52" i="34" s="1"/>
  <c r="E11" i="18"/>
  <c r="F11" i="18" s="1"/>
  <c r="E15" i="18"/>
  <c r="F15" i="18" s="1"/>
  <c r="E49" i="18"/>
  <c r="F49" i="18" s="1"/>
  <c r="E65" i="18"/>
  <c r="F65" i="18" s="1"/>
  <c r="E59" i="18"/>
  <c r="F59" i="18" s="1"/>
  <c r="E41" i="18"/>
  <c r="F41" i="18" s="1"/>
  <c r="C49" i="34"/>
  <c r="D65" i="34"/>
  <c r="D50" i="34"/>
  <c r="D66" i="34"/>
  <c r="H62" i="18"/>
  <c r="H62" i="34" s="1"/>
  <c r="H68" i="18"/>
  <c r="E68" i="18"/>
  <c r="F68" i="18" s="1"/>
  <c r="H55" i="18"/>
  <c r="E55" i="18"/>
  <c r="F55" i="18" s="1"/>
  <c r="H45" i="18"/>
  <c r="H42" i="18"/>
  <c r="H38" i="18"/>
  <c r="I38" i="18" s="1"/>
  <c r="E38" i="18"/>
  <c r="F38" i="18" s="1"/>
  <c r="E23" i="18"/>
  <c r="F23" i="18" s="1"/>
  <c r="I60" i="19"/>
  <c r="I60" i="18"/>
  <c r="E60" i="18"/>
  <c r="F60" i="18" s="1"/>
  <c r="H21" i="18"/>
  <c r="I20" i="19"/>
  <c r="C20" i="34"/>
  <c r="H19" i="18"/>
  <c r="H13" i="18"/>
  <c r="I13" i="18" s="1"/>
  <c r="C12" i="34"/>
  <c r="H8" i="18"/>
  <c r="H7" i="18"/>
  <c r="I7" i="18" s="1"/>
  <c r="H4" i="18"/>
  <c r="I35" i="18"/>
  <c r="I35" i="19"/>
  <c r="E35" i="18"/>
  <c r="F35" i="18" s="1"/>
  <c r="E32" i="18"/>
  <c r="F32" i="18" s="1"/>
  <c r="E31" i="18"/>
  <c r="F31" i="18" s="1"/>
  <c r="H28" i="18"/>
  <c r="H51" i="18"/>
  <c r="H51" i="34" s="1"/>
  <c r="H2" i="19"/>
  <c r="I2" i="19" s="1"/>
  <c r="E27" i="18"/>
  <c r="F27" i="18" s="1"/>
  <c r="E2" i="19"/>
  <c r="F2" i="19" s="1"/>
  <c r="D38" i="34"/>
  <c r="E9" i="18"/>
  <c r="F9" i="18" s="1"/>
  <c r="E7" i="18"/>
  <c r="F7" i="18" s="1"/>
  <c r="E6" i="18"/>
  <c r="F6" i="18" s="1"/>
  <c r="E4" i="18"/>
  <c r="F4" i="18" s="1"/>
  <c r="E33" i="34"/>
  <c r="F33" i="34" s="1"/>
  <c r="D31" i="34"/>
  <c r="D2" i="18"/>
  <c r="D40" i="34"/>
  <c r="E54" i="18"/>
  <c r="F54" i="18" s="1"/>
  <c r="E64" i="18"/>
  <c r="F64" i="18" s="1"/>
  <c r="E61" i="18"/>
  <c r="F61" i="18" s="1"/>
  <c r="E56" i="18"/>
  <c r="F56" i="18" s="1"/>
  <c r="E28" i="18"/>
  <c r="F28" i="18" s="1"/>
  <c r="E17" i="18"/>
  <c r="F17" i="18" s="1"/>
  <c r="E69" i="18"/>
  <c r="F69" i="18" s="1"/>
  <c r="I69" i="18"/>
  <c r="C64" i="34"/>
  <c r="I68" i="20"/>
  <c r="I68" i="18"/>
  <c r="H53" i="18"/>
  <c r="H53" i="34" s="1"/>
  <c r="I55" i="18"/>
  <c r="I55" i="20"/>
  <c r="H44" i="18"/>
  <c r="E44" i="18"/>
  <c r="F44" i="18" s="1"/>
  <c r="E26" i="18"/>
  <c r="F26" i="18" s="1"/>
  <c r="H24" i="18"/>
  <c r="H23" i="18"/>
  <c r="H23" i="34" s="1"/>
  <c r="H58" i="18"/>
  <c r="E58" i="18"/>
  <c r="F58" i="18" s="1"/>
  <c r="H22" i="18"/>
  <c r="E21" i="18"/>
  <c r="F21" i="18" s="1"/>
  <c r="I19" i="20"/>
  <c r="E18" i="18"/>
  <c r="F18" i="18" s="1"/>
  <c r="H17" i="18"/>
  <c r="H14" i="18"/>
  <c r="I14" i="18" s="1"/>
  <c r="E13" i="18"/>
  <c r="F13" i="18" s="1"/>
  <c r="H12" i="18"/>
  <c r="H11" i="18"/>
  <c r="H10" i="18"/>
  <c r="I9" i="18"/>
  <c r="E8" i="18"/>
  <c r="F8" i="18" s="1"/>
  <c r="C7" i="34"/>
  <c r="H6" i="18"/>
  <c r="C6" i="34"/>
  <c r="H47" i="18"/>
  <c r="H36" i="18"/>
  <c r="I36" i="18" s="1"/>
  <c r="H34" i="18"/>
  <c r="I34" i="18" s="1"/>
  <c r="E34" i="18"/>
  <c r="F34" i="18" s="1"/>
  <c r="H32" i="18"/>
  <c r="I32" i="18" s="1"/>
  <c r="H31" i="18"/>
  <c r="H30" i="18"/>
  <c r="I28" i="18"/>
  <c r="C28" i="34"/>
  <c r="I28" i="20"/>
  <c r="H2" i="20"/>
  <c r="I2" i="20" s="1"/>
  <c r="C61" i="34"/>
  <c r="H61" i="18"/>
  <c r="H61" i="34" s="1"/>
  <c r="E2" i="20"/>
  <c r="F2" i="20" s="1"/>
  <c r="H65" i="18"/>
  <c r="I65" i="21"/>
  <c r="H59" i="18"/>
  <c r="I59" i="21"/>
  <c r="H54" i="18"/>
  <c r="I54" i="21"/>
  <c r="H52" i="18"/>
  <c r="I52" i="21"/>
  <c r="E63" i="18"/>
  <c r="F63" i="18" s="1"/>
  <c r="E62" i="18"/>
  <c r="F62" i="18" s="1"/>
  <c r="E57" i="18"/>
  <c r="F57" i="18" s="1"/>
  <c r="E47" i="18"/>
  <c r="F47" i="18" s="1"/>
  <c r="E46" i="18"/>
  <c r="F46" i="18" s="1"/>
  <c r="E45" i="18"/>
  <c r="F45" i="18" s="1"/>
  <c r="E43" i="18"/>
  <c r="F43" i="18" s="1"/>
  <c r="E42" i="18"/>
  <c r="F42" i="18" s="1"/>
  <c r="E40" i="18"/>
  <c r="F40" i="18" s="1"/>
  <c r="E39" i="18"/>
  <c r="F39" i="18" s="1"/>
  <c r="E36" i="18"/>
  <c r="F36" i="18" s="1"/>
  <c r="E33" i="18"/>
  <c r="F33" i="18" s="1"/>
  <c r="E30" i="18"/>
  <c r="F30" i="18" s="1"/>
  <c r="E29" i="18"/>
  <c r="F29" i="18" s="1"/>
  <c r="E25" i="18"/>
  <c r="F25" i="18" s="1"/>
  <c r="E24" i="18"/>
  <c r="F24" i="18" s="1"/>
  <c r="E19" i="18"/>
  <c r="F19" i="18" s="1"/>
  <c r="H41" i="18"/>
  <c r="I41" i="21"/>
  <c r="H49" i="18"/>
  <c r="I49" i="21"/>
  <c r="H50" i="18"/>
  <c r="I50" i="21"/>
  <c r="H67" i="18"/>
  <c r="I67" i="21"/>
  <c r="H66" i="18"/>
  <c r="I66" i="21"/>
  <c r="H48" i="18"/>
  <c r="I48" i="21"/>
  <c r="H43" i="18"/>
  <c r="I64" i="18"/>
  <c r="I64" i="21"/>
  <c r="H63" i="18"/>
  <c r="C62" i="34"/>
  <c r="I62" i="21"/>
  <c r="I53" i="21"/>
  <c r="H56" i="18"/>
  <c r="H46" i="18"/>
  <c r="I45" i="21"/>
  <c r="C45" i="34"/>
  <c r="H39" i="18"/>
  <c r="I42" i="18"/>
  <c r="I38" i="21"/>
  <c r="I26" i="18"/>
  <c r="I26" i="21"/>
  <c r="H25" i="18"/>
  <c r="I24" i="21"/>
  <c r="I23" i="21"/>
  <c r="H57" i="18"/>
  <c r="I21" i="18"/>
  <c r="H18" i="18"/>
  <c r="I17" i="21"/>
  <c r="I16" i="18"/>
  <c r="I16" i="21"/>
  <c r="H15" i="18"/>
  <c r="C15" i="34"/>
  <c r="E14" i="18"/>
  <c r="F14" i="18" s="1"/>
  <c r="I13" i="21"/>
  <c r="I12" i="18"/>
  <c r="C10" i="34"/>
  <c r="I10" i="21"/>
  <c r="C9" i="34"/>
  <c r="E5" i="18"/>
  <c r="F5" i="18" s="1"/>
  <c r="I47" i="18"/>
  <c r="I4" i="21"/>
  <c r="I4" i="18"/>
  <c r="H37" i="18"/>
  <c r="C36" i="34"/>
  <c r="H33" i="18"/>
  <c r="I32" i="21"/>
  <c r="H2" i="21"/>
  <c r="I2" i="21" s="1"/>
  <c r="I31" i="21"/>
  <c r="I30" i="21"/>
  <c r="J2" i="21"/>
  <c r="H29" i="18"/>
  <c r="I61" i="21"/>
  <c r="G2" i="18"/>
  <c r="H27" i="18"/>
  <c r="G27" i="34"/>
  <c r="H40" i="18"/>
  <c r="C2" i="18"/>
  <c r="C40" i="34"/>
  <c r="E2" i="21"/>
  <c r="F2" i="21" s="1"/>
  <c r="H20" i="34" l="1"/>
  <c r="I20" i="34" s="1"/>
  <c r="H47" i="34"/>
  <c r="I47" i="34" s="1"/>
  <c r="K25" i="34"/>
  <c r="H10" i="34"/>
  <c r="I10" i="34" s="1"/>
  <c r="H6" i="34"/>
  <c r="I6" i="34" s="1"/>
  <c r="K19" i="34"/>
  <c r="E58" i="34"/>
  <c r="F58" i="34" s="1"/>
  <c r="E68" i="34"/>
  <c r="F68" i="34" s="1"/>
  <c r="E17" i="34"/>
  <c r="F17" i="34" s="1"/>
  <c r="E57" i="34"/>
  <c r="F57" i="34" s="1"/>
  <c r="E35" i="34"/>
  <c r="F35" i="34" s="1"/>
  <c r="K17" i="34"/>
  <c r="K49" i="34"/>
  <c r="H8" i="34"/>
  <c r="I8" i="34" s="1"/>
  <c r="E24" i="34"/>
  <c r="F24" i="34" s="1"/>
  <c r="E29" i="34"/>
  <c r="F29" i="34" s="1"/>
  <c r="H68" i="34"/>
  <c r="I68" i="34" s="1"/>
  <c r="E60" i="34"/>
  <c r="F60" i="34" s="1"/>
  <c r="E21" i="34"/>
  <c r="F21" i="34" s="1"/>
  <c r="K21" i="34"/>
  <c r="K56" i="34"/>
  <c r="K65" i="34"/>
  <c r="K48" i="34"/>
  <c r="K63" i="34"/>
  <c r="E2" i="30"/>
  <c r="F2" i="30" s="1"/>
  <c r="E51" i="34"/>
  <c r="F51" i="34" s="1"/>
  <c r="K37" i="34"/>
  <c r="E19" i="34"/>
  <c r="F19" i="34" s="1"/>
  <c r="H9" i="34"/>
  <c r="I9" i="34" s="1"/>
  <c r="H35" i="34"/>
  <c r="I35" i="34" s="1"/>
  <c r="E39" i="34"/>
  <c r="F39" i="34" s="1"/>
  <c r="E34" i="34"/>
  <c r="F34" i="34" s="1"/>
  <c r="E50" i="34"/>
  <c r="F50" i="34" s="1"/>
  <c r="H26" i="34"/>
  <c r="I26" i="34" s="1"/>
  <c r="E4" i="34"/>
  <c r="F4" i="34" s="1"/>
  <c r="K4" i="34"/>
  <c r="K16" i="34"/>
  <c r="K35" i="34"/>
  <c r="E18" i="34"/>
  <c r="F18" i="34" s="1"/>
  <c r="H55" i="34"/>
  <c r="I55" i="34" s="1"/>
  <c r="E11" i="34"/>
  <c r="F11" i="34" s="1"/>
  <c r="E63" i="34"/>
  <c r="F63" i="34" s="1"/>
  <c r="K22" i="34"/>
  <c r="K60" i="34"/>
  <c r="E53" i="34"/>
  <c r="F53" i="34" s="1"/>
  <c r="K30" i="34"/>
  <c r="K11" i="34"/>
  <c r="E14" i="34"/>
  <c r="F14" i="34" s="1"/>
  <c r="H2" i="30"/>
  <c r="I2" i="30" s="1"/>
  <c r="K12" i="34"/>
  <c r="K47" i="34"/>
  <c r="K53" i="34"/>
  <c r="H19" i="34"/>
  <c r="I19" i="34" s="1"/>
  <c r="K66" i="34"/>
  <c r="K54" i="34"/>
  <c r="I53" i="34"/>
  <c r="E66" i="34"/>
  <c r="F66" i="34" s="1"/>
  <c r="H5" i="34"/>
  <c r="I5" i="34" s="1"/>
  <c r="K51" i="34"/>
  <c r="K5" i="34"/>
  <c r="H64" i="34"/>
  <c r="I64" i="34" s="1"/>
  <c r="I62" i="34"/>
  <c r="E55" i="34"/>
  <c r="F55" i="34" s="1"/>
  <c r="E56" i="34"/>
  <c r="F56" i="34" s="1"/>
  <c r="H45" i="34"/>
  <c r="I45" i="34" s="1"/>
  <c r="H42" i="34"/>
  <c r="I42" i="34" s="1"/>
  <c r="I23" i="34"/>
  <c r="K14" i="34"/>
  <c r="H12" i="34"/>
  <c r="I12" i="34" s="1"/>
  <c r="H11" i="34"/>
  <c r="I11" i="34" s="1"/>
  <c r="H31" i="34"/>
  <c r="I31" i="34" s="1"/>
  <c r="H30" i="34"/>
  <c r="I30" i="34" s="1"/>
  <c r="H28" i="34"/>
  <c r="I28" i="34" s="1"/>
  <c r="E27" i="34"/>
  <c r="F27" i="34" s="1"/>
  <c r="K34" i="34"/>
  <c r="E38" i="34"/>
  <c r="F38" i="34" s="1"/>
  <c r="K42" i="34"/>
  <c r="K44" i="34"/>
  <c r="K50" i="34"/>
  <c r="E31" i="34"/>
  <c r="F31" i="34" s="1"/>
  <c r="E26" i="34"/>
  <c r="F26" i="34" s="1"/>
  <c r="K38" i="34"/>
  <c r="E25" i="34"/>
  <c r="F25" i="34" s="1"/>
  <c r="H24" i="34"/>
  <c r="I24" i="34" s="1"/>
  <c r="H60" i="34"/>
  <c r="I60" i="34" s="1"/>
  <c r="H58" i="34"/>
  <c r="I58" i="34" s="1"/>
  <c r="E22" i="34"/>
  <c r="F22" i="34" s="1"/>
  <c r="H2" i="29"/>
  <c r="I2" i="29" s="1"/>
  <c r="H17" i="34"/>
  <c r="I17" i="34" s="1"/>
  <c r="I51" i="34"/>
  <c r="H21" i="34"/>
  <c r="I21" i="34" s="1"/>
  <c r="K18" i="34"/>
  <c r="E54" i="34"/>
  <c r="F54" i="34" s="1"/>
  <c r="K59" i="34"/>
  <c r="E47" i="34"/>
  <c r="F47" i="34" s="1"/>
  <c r="K31" i="34"/>
  <c r="K43" i="34"/>
  <c r="K24" i="34"/>
  <c r="K55" i="34"/>
  <c r="K67" i="34"/>
  <c r="E8" i="34"/>
  <c r="F8" i="34" s="1"/>
  <c r="K64" i="34"/>
  <c r="E65" i="34"/>
  <c r="F65" i="34" s="1"/>
  <c r="K23" i="34"/>
  <c r="E30" i="34"/>
  <c r="F30" i="34" s="1"/>
  <c r="E42" i="34"/>
  <c r="F42" i="34" s="1"/>
  <c r="E46" i="34"/>
  <c r="F46" i="34" s="1"/>
  <c r="K26" i="34"/>
  <c r="K39" i="34"/>
  <c r="K13" i="34"/>
  <c r="H4" i="34"/>
  <c r="I4" i="34" s="1"/>
  <c r="H16" i="34"/>
  <c r="I16" i="34" s="1"/>
  <c r="I61" i="34"/>
  <c r="E16" i="34"/>
  <c r="F16" i="34" s="1"/>
  <c r="K57" i="34"/>
  <c r="K61" i="34"/>
  <c r="E43" i="34"/>
  <c r="F43" i="34" s="1"/>
  <c r="K46" i="34"/>
  <c r="K29" i="34"/>
  <c r="K32" i="34"/>
  <c r="G2" i="34"/>
  <c r="E23" i="34"/>
  <c r="F23" i="34" s="1"/>
  <c r="E48" i="34"/>
  <c r="F48" i="34" s="1"/>
  <c r="E2" i="29"/>
  <c r="F2" i="29" s="1"/>
  <c r="E37" i="34"/>
  <c r="F37" i="34" s="1"/>
  <c r="K68" i="34"/>
  <c r="E12" i="34"/>
  <c r="F12" i="34" s="1"/>
  <c r="E41" i="34"/>
  <c r="F41" i="34" s="1"/>
  <c r="E64" i="34"/>
  <c r="F64" i="34" s="1"/>
  <c r="K58" i="34"/>
  <c r="K8" i="34"/>
  <c r="D2" i="34"/>
  <c r="I23" i="18"/>
  <c r="I17" i="18"/>
  <c r="I24" i="18"/>
  <c r="H7" i="34"/>
  <c r="I7" i="34" s="1"/>
  <c r="I8" i="18"/>
  <c r="E49" i="34"/>
  <c r="F49" i="34" s="1"/>
  <c r="I62" i="18"/>
  <c r="E62" i="34"/>
  <c r="F62" i="34" s="1"/>
  <c r="K62" i="34"/>
  <c r="I53" i="18"/>
  <c r="E45" i="34"/>
  <c r="F45" i="34" s="1"/>
  <c r="K45" i="34"/>
  <c r="I45" i="18"/>
  <c r="H38" i="34"/>
  <c r="I38" i="34" s="1"/>
  <c r="E20" i="34"/>
  <c r="F20" i="34" s="1"/>
  <c r="K20" i="34"/>
  <c r="I19" i="18"/>
  <c r="E15" i="34"/>
  <c r="F15" i="34" s="1"/>
  <c r="K15" i="34"/>
  <c r="H14" i="34"/>
  <c r="I14" i="34" s="1"/>
  <c r="H13" i="34"/>
  <c r="I13" i="34" s="1"/>
  <c r="I11" i="18"/>
  <c r="E10" i="34"/>
  <c r="F10" i="34" s="1"/>
  <c r="K10" i="34"/>
  <c r="I10" i="18"/>
  <c r="E9" i="34"/>
  <c r="F9" i="34" s="1"/>
  <c r="K9" i="34"/>
  <c r="E7" i="34"/>
  <c r="F7" i="34" s="1"/>
  <c r="K7" i="34"/>
  <c r="E6" i="34"/>
  <c r="F6" i="34" s="1"/>
  <c r="K6" i="34"/>
  <c r="E36" i="34"/>
  <c r="F36" i="34" s="1"/>
  <c r="K36" i="34"/>
  <c r="H36" i="34"/>
  <c r="I36" i="34" s="1"/>
  <c r="H34" i="34"/>
  <c r="I34" i="34" s="1"/>
  <c r="E28" i="34"/>
  <c r="F28" i="34" s="1"/>
  <c r="K28" i="34"/>
  <c r="E61" i="34"/>
  <c r="F61" i="34" s="1"/>
  <c r="I51" i="18"/>
  <c r="K27" i="34"/>
  <c r="E40" i="34"/>
  <c r="F40" i="34" s="1"/>
  <c r="K40" i="34"/>
  <c r="H44" i="34"/>
  <c r="I44" i="34" s="1"/>
  <c r="I44" i="18"/>
  <c r="I58" i="18"/>
  <c r="H22" i="34"/>
  <c r="I22" i="34" s="1"/>
  <c r="I22" i="18"/>
  <c r="I6" i="18"/>
  <c r="C2" i="34"/>
  <c r="H32" i="34"/>
  <c r="I32" i="34" s="1"/>
  <c r="I31" i="18"/>
  <c r="I30" i="18"/>
  <c r="I61" i="18"/>
  <c r="I65" i="18"/>
  <c r="H65" i="34"/>
  <c r="I65" i="34" s="1"/>
  <c r="I59" i="18"/>
  <c r="H59" i="34"/>
  <c r="I59" i="34" s="1"/>
  <c r="I54" i="18"/>
  <c r="H54" i="34"/>
  <c r="I54" i="34" s="1"/>
  <c r="I52" i="18"/>
  <c r="H52" i="34"/>
  <c r="I52" i="34" s="1"/>
  <c r="I41" i="18"/>
  <c r="H41" i="34"/>
  <c r="I41" i="34" s="1"/>
  <c r="I49" i="18"/>
  <c r="H49" i="34"/>
  <c r="I49" i="34" s="1"/>
  <c r="I50" i="18"/>
  <c r="H50" i="34"/>
  <c r="I50" i="34" s="1"/>
  <c r="I67" i="18"/>
  <c r="H67" i="34"/>
  <c r="I67" i="34" s="1"/>
  <c r="I66" i="18"/>
  <c r="H66" i="34"/>
  <c r="I66" i="34" s="1"/>
  <c r="H48" i="34"/>
  <c r="I48" i="34" s="1"/>
  <c r="I48" i="18"/>
  <c r="I43" i="18"/>
  <c r="H43" i="34"/>
  <c r="I43" i="34" s="1"/>
  <c r="I63" i="18"/>
  <c r="H63" i="34"/>
  <c r="I63" i="34" s="1"/>
  <c r="H56" i="34"/>
  <c r="I56" i="34" s="1"/>
  <c r="I56" i="18"/>
  <c r="H46" i="34"/>
  <c r="I46" i="34" s="1"/>
  <c r="I46" i="18"/>
  <c r="I39" i="18"/>
  <c r="H39" i="34"/>
  <c r="I39" i="34" s="1"/>
  <c r="I25" i="18"/>
  <c r="H25" i="34"/>
  <c r="I25" i="34" s="1"/>
  <c r="H57" i="34"/>
  <c r="I57" i="34" s="1"/>
  <c r="I57" i="18"/>
  <c r="H18" i="34"/>
  <c r="I18" i="34" s="1"/>
  <c r="I18" i="18"/>
  <c r="H15" i="34"/>
  <c r="I15" i="34" s="1"/>
  <c r="I15" i="18"/>
  <c r="I37" i="18"/>
  <c r="H37" i="34"/>
  <c r="I37" i="34" s="1"/>
  <c r="I33" i="18"/>
  <c r="H33" i="34"/>
  <c r="I33" i="34" s="1"/>
  <c r="H2" i="18"/>
  <c r="I2" i="18" s="1"/>
  <c r="E2" i="18"/>
  <c r="F2" i="18" s="1"/>
  <c r="H29" i="34"/>
  <c r="I29" i="34" s="1"/>
  <c r="I29" i="18"/>
  <c r="I27" i="18"/>
  <c r="H27" i="34"/>
  <c r="I27" i="34" s="1"/>
  <c r="H40" i="34"/>
  <c r="I40" i="34" s="1"/>
  <c r="I40" i="18"/>
  <c r="E2" i="34" l="1"/>
  <c r="F2" i="34" s="1"/>
  <c r="H2" i="34"/>
  <c r="I2"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tc={4952F409-6E45-4AEF-B24D-A04DDC225189}</author>
    <author>tc={CCBCB1E3-6BFF-4E73-BE23-7715326CEA40}</author>
    <author>tc={FA3229AD-4956-43E8-82BE-1BAD4F677D82}</author>
  </authors>
  <commentList>
    <comment ref="C6" authorId="0" shapeId="0" xr:uid="{4952F409-6E45-4AEF-B24D-A04DDC225189}">
      <text>
        <t>[Threaded comment]
Your version of Excel allows you to read this threaded comment; however, any edits to it will get removed if the file is opened in a newer version of Excel. Learn more: https://go.microsoft.com/fwlink/?linkid=870924
Comment:
    Actual energy is taken from total inverter energy</t>
      </text>
    </comment>
    <comment ref="C11" authorId="1" shapeId="0" xr:uid="{CCBCB1E3-6BFF-4E73-BE23-7715326CEA40}">
      <text>
        <t>[Threaded comment]
Your version of Excel allows you to read this threaded comment; however, any edits to it will get removed if the file is opened in a newer version of Excel. Learn more: https://go.microsoft.com/fwlink/?linkid=870924
Comment:
    Actual energy is taken from total inverter energy</t>
      </text>
    </comment>
    <comment ref="C37" authorId="2" shapeId="0" xr:uid="{FA3229AD-4956-43E8-82BE-1BAD4F677D82}">
      <text>
        <t>[Threaded comment]
Your version of Excel allows you to read this threaded comment; however, any edits to it will get removed if the file is opened in a newer version of Excel. Learn more: https://go.microsoft.com/fwlink/?linkid=870924
Comment:
    Actual energy is taken from total inverter energy</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<sst xmlns="http://schemas.openxmlformats.org/spreadsheetml/2006/main" count="2409" uniqueCount="1190">
  <si>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</si>
  <si>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</si>
  <si>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</si>
  <si>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</si>
  <si>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</si>
  <si>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</si>
  <si>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</si>
  <si>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</si>
  <si>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</si>
  <si>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</si>
  <si>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</si>
  <si>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</si>
  <si>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</si>
  <si>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</si>
  <si>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</si>
  <si>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</si>
  <si>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</si>
  <si>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</si>
  <si>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</si>
  <si>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</si>
  <si>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</si>
  <si>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</si>
  <si>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tripped offline at 12:25PM on 01/20 due to Asymetrical Array fault and back online on 01/21.</t>
  </si>
  <si>
    <t>1.SR094211</t>
  </si>
  <si>
    <t>N/A</t>
  </si>
  <si>
    <t xml:space="preserve">1.Inverters 7 and 8 are offline from 12/03, due to Grid contactor Open fault and after reset done by technician inverter 7 was back online at 14:25 and inverter 8 was back online at 15:40 on 01/31/25. 
2.Inverter 4 tripped offline from 13:35 on 12/30, due to Grid contactor Open fault through out the month.
</t>
  </si>
  <si>
    <t>1.SR093917, SR096145
2.SR095177</t>
  </si>
  <si>
    <t>SR096145</t>
  </si>
  <si>
    <t>SR095177</t>
  </si>
  <si>
    <t>1.Low generation due to weather/snow.</t>
  </si>
  <si>
    <t>1.Inverter was offline on 01/22 and back online on 01/23.</t>
  </si>
  <si>
    <t>1.SR095860</t>
  </si>
  <si>
    <t>1.Inverter started late for its production at 12:15PM on 01/17 due to Idle State fault.</t>
  </si>
  <si>
    <t>1.SR095654</t>
  </si>
  <si>
    <t>1. Site tripped offline at 09:30am from 08/12/24, due to system removal for roof repair and to start rebuilding the roof.</t>
  </si>
  <si>
    <t>1.SR093440,SR093861</t>
  </si>
  <si>
    <t>SR093861</t>
  </si>
  <si>
    <t>1. Site tripped offline at 09:05Am on 08/17/24  due to roof replacement and back online at 14:25 on 01/09/25 after technician site walkthrough.
2. Inverter 7 tripped offline at 15:20 from 01/10.
Inverter 8 was offline due to Internal hardware “Error E018” fault till date.
Inverter 20 was offline from 07/22/24 due to Internal Error -E018 fault.
Inverter 21 was tripped offline at 09:05Am on 08/17/24 due to Internal Error - E018 fault.</t>
  </si>
  <si>
    <t>1.SR089189
2.SR095623,SR078720 &amp;SR087994</t>
  </si>
  <si>
    <t>SR095623</t>
  </si>
  <si>
    <t>SR078720</t>
  </si>
  <si>
    <t>SR087994</t>
  </si>
  <si>
    <t>1.Site was offline on 01/30,  01/31 technician checked-in and confirmed that cell modem is offline due to error and need to be replaced.</t>
  </si>
  <si>
    <t>1.SR093127</t>
  </si>
  <si>
    <t>1. Inverter 1 is still not communicating, and as of 01/27/25, production is not being recorded at the meter. It may be offline due to the need for a new MOXA device</t>
  </si>
  <si>
    <t>1. SR089763</t>
  </si>
  <si>
    <t xml:space="preserve">1. Inverter 2 Pad B back online at 12:50 on 01/02/25 after the technician replaced the faulty capacitors.
2. Inverter 1 Pad A started production late at 11:10 AM on 01/30/25 due to an AC overvoltage fault.
</t>
  </si>
  <si>
    <t>1. SR089669
2. SR096157</t>
  </si>
  <si>
    <t>SR096157</t>
  </si>
  <si>
    <t>1.Meter reporting half of inverter production since 6/11/22 further repairs are requried.</t>
  </si>
  <si>
    <t>1. SR094440</t>
  </si>
  <si>
    <t>1. Site back communication at  9:15AM on 12/30/2024 and  Inverter remains offline because of Inverter down hard - Power supply critical failure. 
2. Weather station began reporting erroneous values on 12/30/2024, and the POA sensor needed to be replaced along with additional repairs.</t>
  </si>
  <si>
    <t>1. SR092023, SR089707
2. SR093065</t>
  </si>
  <si>
    <t>SR089707</t>
  </si>
  <si>
    <t>SR093065</t>
  </si>
  <si>
    <t>1.No communication to DAS, need a replacement for meter and modem.</t>
  </si>
  <si>
    <t>1.SR089464, SR093180, SR093174 &amp; SR095356</t>
  </si>
  <si>
    <t>SR093180</t>
  </si>
  <si>
    <t>SR093174</t>
  </si>
  <si>
    <t>SR095356</t>
  </si>
  <si>
    <t>1. Inverter 3 is offline on 01/01/25 and back online on 01/02, again tripped offline at 8:10AM on 01/05/25 and came back online on 01/06/25 due to a fan 5 and asymmetrical array fault beacuse of  array is covered with damaged DC equipment.</t>
  </si>
  <si>
    <t>1. SR095083</t>
  </si>
  <si>
    <t>1.Inverters 3 &amp; 8 are offline through out the month due to additional parts needed.</t>
  </si>
  <si>
    <t>1. SR089461, SR090375</t>
  </si>
  <si>
    <t>SR090375</t>
  </si>
  <si>
    <t>1. Weather station is not communicating through out the month because the entire station needs to be replaced.</t>
  </si>
  <si>
    <t>1. SR092276</t>
  </si>
  <si>
    <t>1. Weather station is not communicating through out the month because the entire station needs to be replaced.
2. Pad 1 inverter 1 is offline through the month due to cantacted bold and Pad 1 inverter 2  regained its communication at 10:50 on 01/10/25 and pad 2 the inverter 1 is not communicating but production is at the meter because of  bold on possible comms card issues.</t>
  </si>
  <si>
    <t xml:space="preserve">1. SR085968
2. SR092256, SR090090 &amp; SR095592  </t>
  </si>
  <si>
    <t>SR092256</t>
  </si>
  <si>
    <t>SR090090</t>
  </si>
  <si>
    <t>SR095592</t>
  </si>
  <si>
    <t>1. Weather station is not communicating through out the month, It was found that the pyranometer is not installed on-site. The installation of a new pyranometer will be required.</t>
  </si>
  <si>
    <t>1. SR089470, SR092603</t>
  </si>
  <si>
    <t>SR092603</t>
  </si>
  <si>
    <t xml:space="preserve">1. Inverters A back online on 01/03/25 after the technician replacement of 2 badpower supplies and ac surge protectors found MOXA is not working. 24v being supplied but moxa needs to be replaced. also wire managed low hanging wires.
2. Meter B regulary capturing data from 7:20AM to 10:00AM rescpective with Inverter B, but Inverter B capturing data from 10:05AM to 4:45PM due to MOXA is not working.
</t>
  </si>
  <si>
    <t>1.SR089612, SR095339
2. SR089612</t>
  </si>
  <si>
    <t>SR095339</t>
  </si>
  <si>
    <t>SR089612</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</si>
  <si>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t>
  </si>
  <si>
    <t>1. SR092166
2. SR086220
3. SR091312</t>
  </si>
  <si>
    <t>SR086220</t>
  </si>
  <si>
    <t>SR091312</t>
  </si>
  <si>
    <t>1. Weather station is reporting 0w/m2</t>
  </si>
  <si>
    <t>1. SR090370</t>
  </si>
  <si>
    <t xml:space="preserve">1. Inverter 1 is tripped offline at 16:05 on 12/30/2024 and back online at 10:00AM on 01/06/25 after the technician power-cycled the inverter. </t>
  </si>
  <si>
    <t>1. SR095191</t>
  </si>
  <si>
    <t>1.Inverter trips on and offline  through out the month frequently due to company chip replacement needed and Wires are all hanging and in poor condition.</t>
  </si>
  <si>
    <t>1.SR090965, SR094547
&amp; SR094545</t>
  </si>
  <si>
    <t>SR094547</t>
  </si>
  <si>
    <t>SR094545</t>
  </si>
  <si>
    <t>1. 23 Modules need to be replace.</t>
  </si>
  <si>
    <t>1. SR090734</t>
  </si>
  <si>
    <t>1. Weather station does not report irradiance during the day. Likely a faulty pyranometer through out the month.</t>
  </si>
  <si>
    <t>1. SR090293, SR095854</t>
  </si>
  <si>
    <t>SR095854</t>
  </si>
  <si>
    <t>1.Inverters 3, 7, 10, 11, 14, and 21 are offline. Inverter 2 may have a string down through out the month and parts are needed to bring these inverters back online.</t>
  </si>
  <si>
    <t>1. SR095449, SR089474, SR090381 &amp; SR090380</t>
  </si>
  <si>
    <t>SR089474</t>
  </si>
  <si>
    <t>SR090381</t>
  </si>
  <si>
    <t>SR090380</t>
  </si>
  <si>
    <t>1.Inverter 3 back online at 10:15AM on 01/27/25 and again offline on 01/28/25, remaind offline through out the month due to additional parts needed.
2. Inverter 7 is offline through out the month and parts needed to bring these inverter back online.
3. Inverter 12 is back online on 01/27/25 after technician tightening the terminals and but remained offline again from 01/30/25 and parts are needed to bring these inverter back online.</t>
  </si>
  <si>
    <t>1. SR089477
2. SR089477
3. SR089477</t>
  </si>
  <si>
    <t>SR089477</t>
  </si>
  <si>
    <t xml:space="preserve">1.Low generation due to weather/snow.
</t>
  </si>
  <si>
    <t>1.Inverter 2 is offline and parts needed to bring these inverter back online.</t>
  </si>
  <si>
    <t>1. SR089732, SR094323</t>
  </si>
  <si>
    <t>SR094323</t>
  </si>
  <si>
    <t>1. Inverter 1 is offline on 01/19/25 due to AE Solaron Fault Coolant Flow and back online on 01/20/25.
2. Inverter 1 production is being affected in the morning hours due to stuck trackers.</t>
  </si>
  <si>
    <t>1. SR095705
2. SR092170, SR092456</t>
  </si>
  <si>
    <t>SR092170</t>
  </si>
  <si>
    <t>SR092456</t>
  </si>
  <si>
    <t>1. Inverter 2's production being affected in the afternoon hours possibly due to stuck trackers.
2. Inverter 1 is underperforming and needs to have its surge protectors replaced.</t>
  </si>
  <si>
    <t xml:space="preserve">1. SR092171, SR092455
2. SR090296  </t>
  </si>
  <si>
    <t>SR092455</t>
  </si>
  <si>
    <t>SR090296</t>
  </si>
  <si>
    <t>1. Inverter A.02.08 tripped offline at 10:00AM on 01/30/25 and remained offline throught the month.</t>
  </si>
  <si>
    <t>1. SR096146</t>
  </si>
  <si>
    <t>February Actual v. Expected</t>
  </si>
  <si>
    <t>February Actual v. Forecasted</t>
  </si>
  <si>
    <t>1. Low generation due to weather/snow.</t>
  </si>
  <si>
    <t>1.Inverter was offline on 02/20 due to Asymmetrical Array fault and back online on 02/21.</t>
  </si>
  <si>
    <t>1.SR097572</t>
  </si>
  <si>
    <t>1.Site stopped communicating on 02/01 at 2:55 AM and remained throughout the month due to a faulty modem, which needs to be replaced</t>
  </si>
  <si>
    <t xml:space="preserve">1.SR093917, SR096145 </t>
  </si>
  <si>
    <t xml:space="preserve">1.Inverter 7 tripped offline at 1:20 on 01/10 and powerfactors was onsite on 02/19 RMA'd inverer 21 got inverter 7 back online at 14:50 on 02/19.
   Inverter 8 was offline due to Internal hardware “Error E018” fault till date.
   Inverter 20 was offline from 07/22/24 due to Internal Error -E018 fault.
   Inverter 21 was tripped offline at 09:05Am on 08/17/24 due to Internal Error - E018 fault and was being RMA'd.
   Inverter 10 was offline from 02/04 due to Standby mode fault and back online at 11:55 on 02/20 after technician check-in.
</t>
  </si>
  <si>
    <t xml:space="preserve">1.SR095623
</t>
  </si>
  <si>
    <t>1. Meter reporting no production since 02/17, required health check.</t>
  </si>
  <si>
    <t>1. SR097907</t>
  </si>
  <si>
    <t>1. Inverter PAD 1 was still not communicating, and as of 01/27/25, production is not being recorded at the meter. The issue may be due to the need for a new MOXA device, and serial port 2 of the data logger is malfunctioning. To restore functionality, the data logger needs to be replaced, or an Nport 2 device can be installed to isolate this equipment from the data logger.</t>
  </si>
  <si>
    <t>1.SR089763</t>
  </si>
  <si>
    <t>1.Meter reporting half of inverter production since 6/11/22 waiting for client approval for investigation</t>
  </si>
  <si>
    <t>1. SR095163, SR092023 &amp; SR089707
2. SR093065</t>
  </si>
  <si>
    <t>SR092023</t>
  </si>
  <si>
    <t>1. Site came back online at 09:40 AM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t>
  </si>
  <si>
    <t>1.SR089464, SR093180, SR093174 &amp; SR095356
2. SR096916</t>
  </si>
  <si>
    <t>SR096916</t>
  </si>
  <si>
    <t>1. Inverter 2 was taken offline from 09:15 AM to 12:25 PM on 02/05/25. The technician met with a BOLD technician to refill the coolant.
2. Inverter 1 was taken offline from 08:45 AM to 11:30 AM on 02/06/25. The technician met with a BOLD technician to refill the coolant, and all other inverters have been filled to normal limits
3. Inverter 2 was derating by 50kW due to two non-working fans. On 02/28/25, the technician restored expected production by replacing fans 6 and 9.
4. 43 Damaged (Thermal) SF 290-36-P Modules onsite, needed replacement.</t>
  </si>
  <si>
    <t>1. SR092739
2. SR092739
3. SR096514
4. SR092753</t>
  </si>
  <si>
    <t>SR092739</t>
  </si>
  <si>
    <t>SR096514</t>
  </si>
  <si>
    <t xml:space="preserve">1. Inverters 3 &amp; 8 are offline through out the month due to additional parts needed. On 02/26/25, FIMER tested replacement logic boards, but they failed their internal bench tests. They have not been able to address our needs, and no ETA is available yet.
2. Inverter 9 has been offline since 02/25.
</t>
  </si>
  <si>
    <t>1. SR089461, SR090375
2. SR098018</t>
  </si>
  <si>
    <t>SR098018</t>
  </si>
  <si>
    <t>1. Weather station was not communicating through out the month because the entire station needs to be replaced. Waiting for approval to dispatch.</t>
  </si>
  <si>
    <t>1. Weather station was not communicating through out the month because the entire station needs to be replaced.
2. Pad 1 inverter 1 was offline through the month and pad 2 the inverter 1 is not communicating but production is at the meter. Waiting for approval to dive into auxiliary equipment installed and fault logs with BOLD.
3. Site was taken offline from 09:00 AM to 12:55 PM on 02/26/25. The technician worked on the PM and confirmed that we cannot gather data normally. We will need to perform a deep dive with BOLD on the power flow through the distribution card.</t>
  </si>
  <si>
    <t>1. SR085968
2. SR092256, SR090090 &amp; SR095592  
3. SR095592</t>
  </si>
  <si>
    <t>1. Inverter A and Meter A have faulty MOXAs, which need to be replaced. Additionally, the low-hanging wires were managed and secured.
2. Meter B regulary capturing data from 7:20AM to 10:00AM respective with Inverter B, but Inverter B capturing data from 10:05AM to 4:45PM due to MOXA is not working.</t>
  </si>
  <si>
    <t>1.SR089612, SR095339 &amp; SR095385, SR097012
2. SR089612, SR095385</t>
  </si>
  <si>
    <t>SR095385</t>
  </si>
  <si>
    <t>SR097012</t>
  </si>
  <si>
    <t>1. SR092166, SR097558
2. SR086220
3. SR091312</t>
  </si>
  <si>
    <t>SR097558</t>
  </si>
  <si>
    <t>1. Inverter 1 has been offline since 02/27/25 due to an watchdog timer fault and remained offline through out the month.</t>
  </si>
  <si>
    <t>1. SR097912</t>
  </si>
  <si>
    <t>1. Inverter trips on and offline  through out the month frequently due to company chip replacement needed and Wires are all hanging and in poor condition.</t>
  </si>
  <si>
    <t>1. Weather station does not report irradiance during the day. Likely a faulty pyranometer through out the month. Waiting for approval</t>
  </si>
  <si>
    <t>1. SR095449, SR093474, SR089474, SR090381 &amp; SR090380</t>
  </si>
  <si>
    <t>SR093474</t>
  </si>
  <si>
    <t>1.Inverter 3 has been offline since 01/28/25, remained offline through out the month due to additional parts needed.
2. Inverter 7 was offline through out the month and parts needed to bring these inverter back online.
3. Inverter 12 has been offline since 01/30/25, remaind offline through out the month and parts are needed to bring these inverter back online.</t>
  </si>
  <si>
    <t>1. SR089477, SR096348
2. SR089477, SR096348
3. SR089477, SR096348</t>
  </si>
  <si>
    <t>SR096348</t>
  </si>
  <si>
    <t xml:space="preserve">1. Low generation due to weather/snow.
</t>
  </si>
  <si>
    <t>1. Inverter 2 was brought back online at 11:20 AM on 02/21/25 after the technician replaced 5 filters inside the inverter and swapped the logic board with a new one received from Bold.</t>
  </si>
  <si>
    <t>1. Site has been offline since 07:40 AM on 02/25/25 and may remain offline throughout the month, possibly due to issues with the arrays at the switchgear.
2. Inverter 1 production is being affected in the morning hours due to stuck trackers.</t>
  </si>
  <si>
    <t>1. SR097774
2. SR092170, SR092456</t>
  </si>
  <si>
    <t>1. Inverter 2's production being affected in the afternoon hours possibly due to stuck trackers.
2. Inverter 1 was underperforming and needs to have its surge protectors replaced.</t>
  </si>
  <si>
    <t>1. Inverter A.02.08 back online at 14:10 on 02/03/25, after technician Re-energized the inverter by closing the Combiner handle.</t>
  </si>
  <si>
    <t>March Actual v. Expected</t>
  </si>
  <si>
    <t>March Actual v. Forecasted</t>
  </si>
  <si>
    <t>1. Site has been intermittently communicating throught the month and later data will backfill, due to a faulty modem, which needs replacement. The last update was on 03/30/25</t>
  </si>
  <si>
    <t>1. SR098590</t>
  </si>
  <si>
    <t>1. Inverter 4 is offline throught the month due to an  INV 4 was thermally damaged in the DC box.
2. Inverter 7 back online at 13:25 on 03/13/25, after the technician isolated the strings, reset the system, and conducted a thorough inspection using thermal imaging, addressing any visible issues, which led to the inverter being brought back online.
3. Inverter 5 derating to about 19kw, most operating around 22Kw since 03/11/25.</t>
  </si>
  <si>
    <t>1. SR096145, SR096237
2. SR095177, SR096145
3. SR095177</t>
  </si>
  <si>
    <t>SR096237</t>
  </si>
  <si>
    <t>1. Inverter 8 was offline due to Internal hardware “Error E018” fault till date.
   Inverter 20 was offline from 07/22/24 due to Internal Error -E018 fault.
   Inverter 21 was tripped offline at 09:05Am on 08/17/24 due to Internal Error - E018 fault and was being RMA'd.
2. Site was offline from 03/05/25 due to a defective DAS mini transformer and blown in-line fuses. On 03/10/25, the technician temporarily powered the DAS for site visibility but required a quote for the replacement transformer and fuses. The site was brought back online at 13:20 the same day. It went offline again on 03/17/25 at 19:50, came back online on 03/19/25, went offline on 03/20/25, returned on 03/24/25, and went offline again on 03/27/25, remaining offline throughout the rest of the month.</t>
  </si>
  <si>
    <t>1. SR095623
2. SR098185</t>
  </si>
  <si>
    <t>SR098185</t>
  </si>
  <si>
    <t>1. Meter has been reporting no production since 02/17/25. On 03/03/25, the technician power-cycled the inverter to restore production, but communication was not regained. However, the meter regained communication and confirmed production.</t>
  </si>
  <si>
    <t>1. Meter lost communication on 03/25/25 but production confirmed at Inverter level.</t>
  </si>
  <si>
    <t>1. SR098973</t>
  </si>
  <si>
    <t>1. Inverter PAD 1 was still not communicating, but as of 13:20 on 03/03/25, production is being recorded at the meter. The issue may be related to the need for a new MOXA device to restore communication with the inverter.</t>
  </si>
  <si>
    <t>1. 1.SR089763</t>
  </si>
  <si>
    <t>1. Site production was low on 03/06, 03/13, 03/14, 03/17,  due to rain.</t>
  </si>
  <si>
    <t>1. Inverter 1 meter has been down for a while. On 03/14, the technician replaced the modem and power cable but faced issues requiring GPM IT escalation. Further meter investigation is scheduled for 04/04/25.</t>
  </si>
  <si>
    <t>1. SR092298</t>
  </si>
  <si>
    <t>1. Meter reporting zero from 03/30, production can be confirmed at inverter level.</t>
  </si>
  <si>
    <t>1. SR099206</t>
  </si>
  <si>
    <t>1. Site came back online at 09:40 AM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t>
  </si>
  <si>
    <t>1. Inverter 1 tripped offline on 03/02/25 due to an "Asymetrical Array Fault" and back online on 03/03/25.
2. Inverter 3 has been  offline since 03/13/25 due to an "Asymetrical Array Fault" and self resolved on 03/17/25.
3. Inverter 2 has been offline since 03/14/25 due to an "Ground Overcurrent Fault" and self resolved at 10:05AM on 03/17/25.
4. 43 Damaged (Thermal) SF 290-36-P Modules onsite are needed for replacement.</t>
  </si>
  <si>
    <t>1. SR097976
2. SR098524
3. SR098586
4. SR092753</t>
  </si>
  <si>
    <t>SR098524</t>
  </si>
  <si>
    <t>SR098586</t>
  </si>
  <si>
    <t>SR092753</t>
  </si>
  <si>
    <t>1. Site production was low on 03/12 to 03/14 and 03/17 due to rain.</t>
  </si>
  <si>
    <t>1. Inverters 3 &amp; 8 are offline through out the month due to additional parts needed. On 02/26/25, FIMER tested replacement logic boards, but they failed their internal bench tests. They have not been able to address our needs, and no ETA is available yet.
2. Inverter 9 has been offline since 02/25/25, remaind offline through out the month and parts are needed to bring these inverter back online.</t>
  </si>
  <si>
    <t xml:space="preserve">1. SR089461, SR090375
2. SR098018
</t>
  </si>
  <si>
    <t>1. Weather station was not communicating through out the month because the entire station needs to be replaced.
2. Pad 1 Inverter 1 was offline throughout the month, and on Pad 2, Inverter 1 is not communicating, although production data is being captured at the meter. On 03/13/25, it was approved to investigate the auxiliary equipment installed and the fault logs, with BOLD.</t>
  </si>
  <si>
    <t xml:space="preserve">1. SR085968
2. SR092256, SR090090 &amp; SR095592  
</t>
  </si>
  <si>
    <t>1. Inverter A and Meter A have faulty MOXAs, which need to be replaced. Additionally, the low-hanging wires were managed and secured.
2. Meter B is regularly capturing data from 7:20 AM to 10:00 AM, in sync with Inverter B. However, Inverter B is capturing data from 10:05 AM to 4:45 PM due to the MOXA not functioning. On 04/01/25, the technician installed the MOXA (datalogger), but the communication failed, and additional troubleshooting is required..</t>
  </si>
  <si>
    <t>1. Inverter 1 is not communicating, and according to the meter data, it is offline due to a breaker issue. A case was raised on 03/24/25 to request support for the breaker replacement.</t>
  </si>
  <si>
    <t>1. SR098397</t>
  </si>
  <si>
    <t>1. Meter loses communications intermittently. Inverter is reporting production
2. Weather station is reporting 0w/m2</t>
  </si>
  <si>
    <t>1. SR098178
2. SR090370</t>
  </si>
  <si>
    <t>SR090370</t>
  </si>
  <si>
    <t xml:space="preserve">1. Inverter 1 was back online at 12:55 on 03/04/25 after the technician pulled log files. It tripped offline again on 03/18/25 due to a watchdog timer fault and remained offline for the rest of the month.
2. Inverter 3 tripped offline at 13:45 on 03/04/25 during repairs for a burnt feeder cable, with a power distribution card failure. It was down until 03/09/25, then tripped offline again at 09:55 on 03/10/25, and was back online on 03/11/25.
</t>
  </si>
  <si>
    <t xml:space="preserve">1. SR097912, SR098713
2. SR097912, SR098177
</t>
  </si>
  <si>
    <t>SR098713</t>
  </si>
  <si>
    <t>SR097912</t>
  </si>
  <si>
    <t>SR098177</t>
  </si>
  <si>
    <t>1. Site production was low on 03/05, 03/12 to 03/14, 03/17 and 03/31 due to rain.</t>
  </si>
  <si>
    <t>1.Inverter trips frequently. On 03/17/25, the technician replaced the comms card at 11:30, connected to the inverter, and pulled log files. The manufacturer requires a full day of operation to diagnose the issue. The inverter was back online by 13:05 but lost communication. Production can be verified at the meter, and further troubleshooting is needed to restore communication and resolve the intermittent tripping</t>
  </si>
  <si>
    <t>1. SR094545</t>
  </si>
  <si>
    <t>1. Site production was low on 03/05 and 03/11 due to rain.</t>
  </si>
  <si>
    <t>1. 23 modules need replacement; quote declined by client on 11/07/24</t>
  </si>
  <si>
    <t>1. Inverter 1 offline from 10:20 to 12:35 on 03/17 for surge trap replacement by technician</t>
  </si>
  <si>
    <t>1. SR095418</t>
  </si>
  <si>
    <t>1. Weather station does not report irradiance during the day. Likely a faulty pyranometer through out the month. Waiting for approval
2. Inverter 1 tripped offline at 13:15 on 03/31 due to a Xantrex fault (state 592: "contactor open") and remained offline for the rest of the month.</t>
  </si>
  <si>
    <t>1. SR090293, SR095854
2. SR099225</t>
  </si>
  <si>
    <t>SR099225</t>
  </si>
  <si>
    <t>1. SR098183, SR095449, SR093474, SR090380 &amp; SR089474.</t>
  </si>
  <si>
    <t>SR095449</t>
  </si>
  <si>
    <t>1. Inverter 1 has been underperforming by 90kW since 11:40 on 08/21/24. During the Annual Preventative Maintenance on 03/24/25, the technician found poor filters and a potential hazard with the AC switch. New filters are needed to restore performance.
2. Site was offline from 09:35 to 13:15 on 03/24/25 for the Full Annual Preventative Maintenance Inspection.</t>
  </si>
  <si>
    <t>1. SR098826, PM11103
2. PM11103</t>
  </si>
  <si>
    <t xml:space="preserve">1. SR089477, SR096348
2. SR089477, SR096348
3. SR089477, SR096348
</t>
  </si>
  <si>
    <t xml:space="preserve">1. Metering Energy values are much lower than expected vs meter Power. 
</t>
  </si>
  <si>
    <t>1. SR097948</t>
  </si>
  <si>
    <t>1. Meter was not communicating production at the inverters. so we considered inverter productionas site production.</t>
  </si>
  <si>
    <t>1. SR095559</t>
  </si>
  <si>
    <t>1. Site was back online at 14:00 on 03/03/25 after the technician reset the breaker
2. Inverter 1 production is being affected in the morning hours due to stuck trackers.
3. Site was taken offline from 07:40 on 03/25/25 for generator testing and was brought back online at 09:30 on 03/27/25 after the technician re-energized it.</t>
  </si>
  <si>
    <t>1. SR097774
2. SR092170, SR092456
3. SR098476, SR096410</t>
  </si>
  <si>
    <t>SR098476</t>
  </si>
  <si>
    <t>SR096410</t>
  </si>
  <si>
    <t>1. Inverter 2's production being affected in the afternoon hours possibly due to stuck trackers.
2. Inverter 1's production increased slightly on 03/18/25 after the technician replaced the faulty surge protectors with new ones.
3. Inverter 2 tripped offline at 09:15 AM on 03/17/25 due to a FAN 5 FAULT and returned online at 07:45 AM on 03/18/25. It tripped again at 10:50 AM and came back online at 12:20 PM after the technician cleared the fault. The inverter continued to trip offline on 03/28, 03/29,03/30 and 03/31 around 09:00 AM due to the same issue. FAN 5 needs to be replaced to restore expected production.
4. Inverter 3 is underperforming by approximately 200 kW. On 03/27/25, the technician found two faulty fuses and burnt negative homeruns at combiner box 3.3. These were isolated, and the inverter was power-cycled and brought back online at 14:15. Additional troubleshooting is required to restore expected production.</t>
  </si>
  <si>
    <t>1.SR092171, SR092455
2. SR090296 
3. SR098666
4. SR098778</t>
  </si>
  <si>
    <t>SR098666</t>
  </si>
  <si>
    <t>SR098778</t>
  </si>
  <si>
    <t>1. Inverter 1 has been offline since 03/08/25 due to a watchdog timer fault and remained offline throughout the month.</t>
  </si>
  <si>
    <t>1. SR098343</t>
  </si>
  <si>
    <t>1. The site experienced an outages on 03/02/25 from 08:00AM to 03:30PM, On 03/10/25 from 02:00PM to 04:30PM due to PG&amp;E curtailments.
2. Block A01 tripped offline at 7:20 AM on 03/11/25. On 03/12/25, the technician found that transformer 1 had a blown B-phase bayonet fuse. After replacing the fuse, all equipment on Pad 1 was restored at 08:50AM the same day.
3. The technician inspected the transformer 2, took a DGA sample for testing, and confirmed all gauges are within the acceptable range. The transformer appears to be in great condition.</t>
  </si>
  <si>
    <t>1.SR097960, SR098350
2.SR098382 
3.SR098434</t>
  </si>
  <si>
    <t>SR098350</t>
  </si>
  <si>
    <t>SR098382</t>
  </si>
  <si>
    <t>SR098434</t>
  </si>
  <si>
    <t>April Actual v. Expected</t>
  </si>
  <si>
    <t>April Actual v. Forecasted</t>
  </si>
  <si>
    <t>1. Site has communicated intermittently throughout the month due to a faulty modem, with data expected to backfill later. On 04/17/2024, the technician found the inverter online and producing, but the cell modem's indicator lights were not flashing, indicating no data transmission. DAS was power cycled with no change. Multiple attempts to contact Green Power Monitor for support went unanswered. The modem had been previously replaced and updated with a new IP address, suggesting a possible SIM card or data issue. The site last update was on 04/24/25.</t>
  </si>
  <si>
    <t>1.SR098590</t>
  </si>
  <si>
    <t>1. Inverter 4 is offline throught the month due to an  INV 4 was thermally damaged in the DC box.
2. Inverter 5 derating to about 19kw, most operating around 22Kw since 03/11/25.</t>
  </si>
  <si>
    <t>1.SR096145, SR096237
2. SR095177</t>
  </si>
  <si>
    <t>1. Inverter 1 tripped offline at 10:50 AM on 04/29/25 due to an "Sleep state" fault and remained offline throught the month.</t>
  </si>
  <si>
    <t>1. SR100632</t>
  </si>
  <si>
    <t>1. Low production/generation due to rain on 04/05,04/08,04/10,04/11 &amp; 04/21</t>
  </si>
  <si>
    <t>1. Low production/generation due to rain on 04/01,04/05,04/08 &amp; 04/10</t>
  </si>
  <si>
    <t>1. Low production/generation due to rain on 04/11,04/12 &amp; 04/27</t>
  </si>
  <si>
    <t xml:space="preserve">1. Site was brought back online at 12:00 PM on 04/17/25 after Power Factor crew completed testing and energization. On 04/18/25, technician accessed the rooftop with Power Factor crew, confirmed the string with broken panels was left disconnected with the fuse holder open in the combiner box, and verified the site is online
</t>
  </si>
  <si>
    <t>1. SR093861, SR100060</t>
  </si>
  <si>
    <t>SR100060</t>
  </si>
  <si>
    <t xml:space="preserve">1. Inverter 8 was offline due to Internal hardware “Error E018” fault till date.
     Inverter 20 was offline from 07/22/24 due to Internal Error -E018 fault.
     Inverter 21 was tripped offline at 09:05Am on 08/17/24 due to Internal Error - E018 fault and was being RMA'd.
2. Site back online on 04/01/25 after the technician replaced the mini auxiliary power transformer. Due to layout incompatibility, the tech reconfigured the strut, used flex conduit, and pulled new conductors to the transformer and DAS.
3. Site communication at 12:05 PM on 04/05/25 and was restored at 7:25 AM on 04/08/25. On 04/09, the technician found the Radlepoint modem had no signal lights. Tech reseated all connections, antennas, and moved the SIM card from slot 1 to slot 2. Signal was restored.
</t>
  </si>
  <si>
    <t xml:space="preserve">1. SR095623
2. SR098185
3. SR099451
</t>
  </si>
  <si>
    <t>SR099451</t>
  </si>
  <si>
    <t>1. Meter regained communication on 03/29/25.</t>
  </si>
  <si>
    <t>1. 	SR098973</t>
  </si>
  <si>
    <t>1. Inverter 2 went offline on 04/03/25 due to a hardware fault and DPCB ISO +5V fault. On 04/04/25, the technician cleared the faults and re-energized the inverter at 2:55 PM.</t>
  </si>
  <si>
    <t>1. SR099380</t>
  </si>
  <si>
    <t xml:space="preserve">1. Pad 1 - inverters 1, 2  tripped offline at 6:20PM on 04/17/25 and remained offline throught the month pending for schedule queue.
</t>
  </si>
  <si>
    <t>1. SR100011</t>
  </si>
  <si>
    <t>1. Inverter  Pad 1 was brought back online at 15:10 on 04/30/25 after a restart limit fault was found. Technician pulled log files to send to Bold Renewables the next day and power cycled the inverter.</t>
  </si>
  <si>
    <t xml:space="preserve">1. SR100743,  SR092112 &amp; SR089763
</t>
  </si>
  <si>
    <t>SR092112</t>
  </si>
  <si>
    <t>SR089763</t>
  </si>
  <si>
    <t>1. Inverter 4 (Pad 2 Inv 2) was underproducing by ~20kW, showing 26kW vs. 43kW from peer inverter (Pad A Inv 1) since 01/02/25 at 12:50. On 04/15/25, technician found two strings disconnected due to broken MC4 connectors and open fuses in Combiner 1. Replaced MC4s, reconnected strings, closed fuses, and restored production to over 40kW by 11:40 AM
2. Inverter 1 ( Pad 1) has been offline since 04/27/25 due to an "Pre-Charge fault" and remained offline throught the month.</t>
  </si>
  <si>
    <t>1. SR099725
2. SR100459</t>
  </si>
  <si>
    <t>SR100459</t>
  </si>
  <si>
    <t>1. Low production/generation due to rain on 04/26 &amp; 04/27</t>
  </si>
  <si>
    <t xml:space="preserve">1. Inverter 1 meter has been down for some time. On 04/30/25, technician worked with GPM support to connect to the modem and data logger but was unsuccessful. GPM is escalating the comms issue; return visit needed. Inverter is on and producing.
</t>
  </si>
  <si>
    <t>1. SR092298, 	SR099912</t>
  </si>
  <si>
    <t>SR099912</t>
  </si>
  <si>
    <t>1. Meter reporting zero from 03/30, later from 04/06 at 13:30 meter reading its production but issue has been occurring intermittently, production can be confirmed at inverter level.</t>
  </si>
  <si>
    <t>1. Site came back online at 09:40 AM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
3. Meter communications have dropped onsite 04/27/25</t>
  </si>
  <si>
    <t>1.SR089464, SR093180, SR093174 &amp; SR095356
2. SR096916
3. SR100537</t>
  </si>
  <si>
    <t>SR100537</t>
  </si>
  <si>
    <t xml:space="preserve">1. 43 Damaged (Thermal) SF 290-36-P Modules onsite are needed for replacement
</t>
  </si>
  <si>
    <t xml:space="preserve">1. SR092753
</t>
  </si>
  <si>
    <t>1. Low production/generation due to rain on 04/26</t>
  </si>
  <si>
    <t>1. Inverters 3 &amp; 8 have been offline throughout the month due to parts delays. On 02/26/25, FIMER tested replacement logic boards, but they failed bench tests. As of 04/10/25, remanufactured boards are still failing functional tests. FIMER is working with the repair center and engineering team in Italy, but no ETA is available.
2. Inverter 9 has been offline since 02/25/25, remaind offline through out the month and parts are needed to bring these inverter back online.</t>
  </si>
  <si>
    <t>1. SR090375, SR089461
2. SR098018</t>
  </si>
  <si>
    <t>SR089461</t>
  </si>
  <si>
    <t>1. SR085968
2. SR092256, SR090090 &amp; SR095592</t>
  </si>
  <si>
    <t xml:space="preserve">1. SR089470, SR092603
</t>
  </si>
  <si>
    <t>1. Inverter A and Meter A resumed communication on 04/07/25 at 7:00 AM. On 04/08/25, technician swapped red and blue Ethernet cables and confirmed with ROC that data was reporting
2. Meter B is regularly capturing data from 7:20 AM to 10:00 AM, in sync with Inverter B. However, Inverter B is capturing data from 10:05 AM to 4:45 PM due to the MOXA not functioning. On 04/01/25, the technician installed the MOXA (datalogger), but the communication failed. On 04/09,04/10 Inverter and meter are interfered due sharing ports and both lost communication at 17:40 on 04/10/25 due to faulty dataloggers, and additional troubleshooting is required.
3. Inverter 2 pad C intermittently tripping during high irradiance; possibly due to overheating.</t>
  </si>
  <si>
    <t>1.SR089612, SR095339 &amp; SR095385, SR097012
2. SR089612, SR095385
3. SR099766</t>
  </si>
  <si>
    <t>SR099766</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</si>
  <si>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t>
  </si>
  <si>
    <t>1. SR092166, SR097558, SR098717
2. SR086220, SR098717
3. SR091312</t>
  </si>
  <si>
    <t>SR098717</t>
  </si>
  <si>
    <t>1. Meter experiences intermittent communication loss, but inverter continues reporting production. Meter communication has been consistent since 04/01/25, as confirmed by inverter data
2. Weather station is reporting 0w/m2. Waiting for appoval</t>
  </si>
  <si>
    <t>1. Inverter 1 was brought online at 11:35 on 04/10/25 after the technician re-energized it and completed PM inspection. It tripped offline again at 18:25 on 04/12/25 due to a watchdog timer fault and remained offline for the rest of the month.</t>
  </si>
  <si>
    <t>1. SR099747, PM10476, SR099540
2. SR098177</t>
  </si>
  <si>
    <t>SR099540</t>
  </si>
  <si>
    <t>1. Inverter 2 went offline on 04/21/25 due to system, latching, RTC, and restart limit faults. On 04/22/25 at 12:10 PM, technician found a Restart Limit fault, verified AC/DC voltages and fuses (all good), and cleaned out heavy dust. A power supply error was noted, indicating potential failure. Event logs were pulled and a ticket was submitted to Bold Renewables. Inverter was restarted and is online pending further support</t>
  </si>
  <si>
    <t>1. SR100064, SR100858</t>
  </si>
  <si>
    <t>SR100858</t>
  </si>
  <si>
    <t>1. Inverter has been tripping frequently. On 04/28/25, technician power cycled DAS equipment and inverter, tested Cat5 (checked good), but comms were not restored. Contacted Bold, sent photos of the comms card, and opened a case. Bold recommended replacing the comms and comm max boards. Awaiting parts quote; further troubleshooting is needed to restore communication and resolve tripping</t>
  </si>
  <si>
    <t>1. SR094545, SR100842</t>
  </si>
  <si>
    <t>SR100842</t>
  </si>
  <si>
    <t>1. Site production was low on 04/26 and 04/27 due to bad weather.</t>
  </si>
  <si>
    <t xml:space="preserve">1. 23 modules need replacement; quote declined by client on 11/07/24
</t>
  </si>
  <si>
    <t xml:space="preserve">1. SR090734
</t>
  </si>
  <si>
    <t>1. Weather station is started reporting from 03/31/25.
1. Inverter 1 tripped offline at 13:15 on 03/31 due to a Xantrex fault (state 592: ""contactor open"") and remained offline for the rest of the month.</t>
  </si>
  <si>
    <t>1. Inverters 3, 7, 10, 14, and 21 are offline through out the month and parts are needed to bring these inverters back online.
2. Inverter 11 was brought online at 10:45 AM on 04/14/25 after replacing the AC GFCI and re-terminating wires. It tripped offline again at 10:00 AM on 04/24/25 and remained down; additional parts are needed. For Inverter 2, technician verified LOTO, removed two broken/burned fuse holders, installed new parts with two Ameresco 15A fuses, and removed LOTO the same day.</t>
  </si>
  <si>
    <t>1. SR098183, SR095449, SR093474, SR090380 &amp; SR089474.
2. SR098183</t>
  </si>
  <si>
    <t>SR098183</t>
  </si>
  <si>
    <t xml:space="preserve">1. Inverter 1 has been underperforming by 90kW since 11:40 on 08/21/24. During the Annual Preventative Maintenance on 04/02/25, the technician found poor filters and a potential hazard with the AC switch. New filters are needed to restore performance.
2. Inverter 1 went offline at 11:30 AM on 04/01/25, followed by Inverter 2 at 12:45 PM. The meter still shows voltage. Inverter 1 has a status code of 1,314 (FAULT, WARNING, MPP, AUTO START), while Inverter 2 shows 1,792 (MPP, SLEEP, AUTO START). On 04/04/25, the technician confirmed that the site would remain offline due to ongoing contractor activity. Additional information from the Kohls team indicated that large-scale electrical work was being carried out inside the facility. As a safety measure, the utility feed was disconnected at 09:10 AM on the same day. The site has remained offline throughout the month due to continued electrical work.
</t>
  </si>
  <si>
    <t>1. SR098826, PM11103
2. SR099327, PM11103</t>
  </si>
  <si>
    <t>SR099327</t>
  </si>
  <si>
    <t xml:space="preserve">1. Metering Energy values are much lower than expected vs meter Power.
</t>
  </si>
  <si>
    <t>1. Meter was not communicating production at the inverters. so we considered inverter productionas site production.
2. Inverter A stopped communicating since at 11:15 AM on 04/08/25 due to a loss of communication with the meter. Production cannot be confirmed and the inverter may be offline.</t>
  </si>
  <si>
    <t>1.SR095559, SR099641
2. SR099641</t>
  </si>
  <si>
    <t>SR099641</t>
  </si>
  <si>
    <t>1. Inverter 1 production is being affected in the morning hours due to stuck trackers. but expected production restored from 04/11/25.
2. Site has been not communicating from 12:50PM on 04/08/25 to 10:05AM on 04/09/25, energy has not backfilled.</t>
  </si>
  <si>
    <t>1. SR092170, SR092456
2. SR101007</t>
  </si>
  <si>
    <t>SR101007</t>
  </si>
  <si>
    <t>1. Inverter 2's production being affected in the afternoon hours possibly due to stuck trackers.
2. Inverter 2 tripped offline at 09:35 AM on 04/09/25 due to a FAN 5 fault. The onsite technician confirmed the issue and requested a quote from BOLD. It was restored at 06:45 AM on 04/10/25. The inverter tripped again at 09:25 AM on 04/16/25 and came back online at 06:50 AM on 04/17/25. It went offline at 12:10 PM on 04/24/25 due to an Asymmetrical Array Fault and was restored at 06:40 AM on 04/25/25. Further trips occurred on 04/26/25 and 04/27/25 due to the FAN 5 fault, with recovery on 04/28/25 and again tripped offline at 07:50AM on 04/30 . FAN 5 needs replacement to restore expected production.
3. Inverter 3 is underperforming by approximately 200 kW and It has been offline since at 11:30AM on 04/29/25, remaind offline through out the month and parts are needed to bring these inverter back online.
4. Site tripped offline at 12:30 PM on 04/07/25 and was brought back online at 09:25 AM on 04/09/25 after the technician closed the breaker at the switchgear and repaired the malfunctioning trackers</t>
  </si>
  <si>
    <t>1. SR092171, SR092455
2. SR099609
3. SR098778
4. 	SR099493</t>
  </si>
  <si>
    <t>SR099609</t>
  </si>
  <si>
    <t>SR099493</t>
  </si>
  <si>
    <t>1. Inverter 1 back online at 11:00AM on 04/16/25 after technician performed all tests and reenergised it but it requires new Air filter.</t>
  </si>
  <si>
    <t>1. SR098343, PM10928</t>
  </si>
  <si>
    <t xml:space="preserve">1. Site Curtailed to 5.2MW from 17:11PM to 17:18 PM. No production was impacted during the curtailment event as the on-site production production was around 1.5MW which is much lower than the curtailed command power (5.2MW). </t>
  </si>
  <si>
    <t>1. SR097960</t>
  </si>
  <si>
    <t>May Actual v. Expected</t>
  </si>
  <si>
    <t>May Actual v. Forecasted</t>
  </si>
  <si>
    <t>1. Low production/generation due to rain on 05/05, 05/09 &amp; 05/22.</t>
  </si>
  <si>
    <t>1. Low production/generation due to rain on 05/03, 05/04, 05/07 &amp; 05/09.</t>
  </si>
  <si>
    <t>1. Site has communicated intermittently throughout the month due to a faulty modem, with data expected to backfill later. On 04/17/2024, the technician found the inverter online and producing, but the cell modem's indicator lights were not flashing, indicating no data transmission. DAS was power cycled with no change. Multiple attempts to contact Green Power Monitor for support went unanswered. The modem had been previously replaced and updated with a new IP address, suggesting a possible SIM card or data issue. The site last update was on 04/24/25. On 05/08/25  need to dispatch to power cycle as well as provide the modems nameplate to GPM.</t>
  </si>
  <si>
    <t xml:space="preserve">1. Inverter tripped offline at 09:45 On 05/06/25 due to "GFI device fault" and back online at 07:50 on 05/11/25 self resoved and again tripped offline at 09:55 the same day and back online at 08:45 on 05/13/25,  Technician found the fault, and rebooted it. Troubleshooting with Bold Renewables revealed the "tickle" wire needed a second loop through the GFI device. Adding a wire splice and looping it again increased current flow, extending the device’s life and resolving the issue.
</t>
  </si>
  <si>
    <t>1.SR101056</t>
  </si>
  <si>
    <t>1. Inverter 4 is offline throught the month due to an  INV 4 was thermally damaged in the DC box.
2. Inverter 5 derating to about 19kW, most operating around 22kW since 03/11/25.</t>
  </si>
  <si>
    <t>1. Inverter 1 tripped offline at 10:50 AM on 04/29/25 due to a "Sleep state" fault. On 05/01/25, a technician found all equipment manually shut down by non-Ameresco personnel; main disconnect was locked (not tagged), and meter, DAS, and inverter disconnects were off. On 05/09/25, a technician cut the lock on the AC disconnect, restored power, and brought the inverter back online at 09:25 AM. Inverter is now operating but shows an active DC surge warning; surge protectors need replacement. Advance Energy (Bold Renewables) was contacted, and a callback is pending.</t>
  </si>
  <si>
    <t>1. Inverter 1 tripped offline at 14:50 on 05/26/25 due to "Fan 7 fault" and back online at 08:25 on 05/27/25.</t>
  </si>
  <si>
    <t>1. SR101939</t>
  </si>
  <si>
    <t>1. Low production/generation due to rain on 05/13, 05/21 &amp; 05/28</t>
  </si>
  <si>
    <t>1. Low production/generation due to rain on 05/13, 05/14 &amp; 05/21</t>
  </si>
  <si>
    <t>1. Low production/generation due to rain on 05/03, 05/22, 05/23 &amp; 05/24</t>
  </si>
  <si>
    <t>1. Low production/generation due to rain on 05/04, 05/09 &amp; 05/22.</t>
  </si>
  <si>
    <t>1. Low production/generation due to rain on 05/04, 05/05 &amp; 05/09.</t>
  </si>
  <si>
    <t>1. Low production/generation due to rain on 05/04, 05/09 &amp; 05/31.</t>
  </si>
  <si>
    <t>1. Low production/generation due to rain on 05/04, 05/05, 05/09 &amp; 05/22</t>
  </si>
  <si>
    <t>1. Low production/generation due to rain on 05/13 &amp; 05/28.</t>
  </si>
  <si>
    <t>1. Inverter 01 tripped on 05/02/25 due to an "Ambient temperature fault" and self-resolved on 05/03/25. Multiple trips occurred starting 05/10/25. On 05/13/25, a technician found an "Aux Supply" fault after pulling logs and restarting the inverter. Bold Renewables identified aging IDC connectors as the issue and further multiple tripes occured on 05/20, 05/22 &amp; 05/23 and tripped at 12:35 on 05/24/25 and remained offline through the month, in order to bring inverter online ICD connectors are need to be replaced.</t>
  </si>
  <si>
    <t>1. SR100937, SR101331</t>
  </si>
  <si>
    <t>SR101331</t>
  </si>
  <si>
    <t xml:space="preserve">1. 5 faulty Modules and one faulty fuse are need to be replaced.
</t>
  </si>
  <si>
    <t>1. SR100060, SR093440, PM4000</t>
  </si>
  <si>
    <t>SR093440</t>
  </si>
  <si>
    <t>1. 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t>
  </si>
  <si>
    <t>1. SR102013, SR095623</t>
  </si>
  <si>
    <t>1. Site tripped offline at 16:00 on 05/05/25 and was brought back online at 11:00 on 05/08/25 after the technician after resetting site.</t>
  </si>
  <si>
    <t>1. SR101039</t>
  </si>
  <si>
    <t>1. Pad 1 - inverters 1, 2 were brought back online at 11:25 on 05/12/25 after the technician closed both inverters' AC/DC disconnects.
2. Weather station has intermittent comms losses since 05/12/25. It frequently loses comms for 15 minutes to 1 hour several times a day.
3. Pad 2 - inverter 1 tripped offline at 12:00 on 05/22/25 due to an overcurrent fault and remained offline throught the month pending for schedule queue.</t>
  </si>
  <si>
    <t>1. SR100011
2. SR101440
3. SR101862</t>
  </si>
  <si>
    <t>SR101440</t>
  </si>
  <si>
    <t>SR101862</t>
  </si>
  <si>
    <t xml:space="preserve">1. Inverter 1 Pad 1 tripped offline at 08:50 on 05/02/25 and remained offline through the month. Pending approval for a Comm Card replacement.
</t>
  </si>
  <si>
    <t>1. SR100743</t>
  </si>
  <si>
    <t>1. Inverter 1 ( Pad 1) has been offline since 04/27/25 due to an "Pre-Charge fault". On 05/12/25, the technician  inverter had DC contactor fault and swapped contactor with AC contactor. Inverter began producing at 10:25 the same day and was left to run. Fault has now followed to AC contactor so will need to replace contactor. Quote is pending.
2. Pad A Inverter 2 has been intermittently tripping online/offline. Status 128, Fault 0: 96, Fault 1: 5. It tripped offline at 5:55 PM on 05/07/25. On 05/12/25, the technician removed the AC contactor and found worn contacts replacement needed. A P10 power supply fault was also found; BOLD recommends replacing the power distribution card. Inverter was power cycled and brought back online at 10:20. and again tripped offline at 18:25 on 05/19/25.
3. Inverter 1 (Pad B) tripping on and offline multiple times on 05/28/25, 05/29/25 and resolved on 05/30/25.</t>
  </si>
  <si>
    <t>1. SR100459
2. SR101131
3. SR102150</t>
  </si>
  <si>
    <t>SR101131</t>
  </si>
  <si>
    <t>SR102150</t>
  </si>
  <si>
    <t>1. Site production was low on 05/04 and 05/13 due to cloudy weather.</t>
  </si>
  <si>
    <t xml:space="preserve">1. Inverter 1 meter has been down for some time. On 04/30/25, technician worked with GPM support to connect to the modem and data logger but was unsuccessful. GPM is escalating the comms issue; return visit needed. 
</t>
  </si>
  <si>
    <t>1. SR099912</t>
  </si>
  <si>
    <t>1. 	SR099206</t>
  </si>
  <si>
    <t>1. Site back communication at  9:15 on 12/30/2024 and  Inverter remains offline because of Inverter down hard - Power supply critical failure. 
2. Weather station began reporting erroneous values on 12/30/2024, and the POA sensor needed to be replaced along with additional repairs.</t>
  </si>
  <si>
    <t>1. SR095163
2. SR093065</t>
  </si>
  <si>
    <t>1. Site came back online at 09:40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
3. Meter communications have dropped onsite 04/27/25</t>
  </si>
  <si>
    <t>1. 43 Damaged (Thermal) SF 290-36-P Modules onsite are needed for replacement</t>
  </si>
  <si>
    <t>1. SR092753</t>
  </si>
  <si>
    <t xml:space="preserve">1. Site tripped offline from 15:00 to 19:55 on 05/10/25 </t>
  </si>
  <si>
    <t>1. Inverters 3 &amp; 8 have been offline throughout the month due to parts delays. On 02/26/25, FIMER tested replacement logic boards, but they failed bench tests. As of 04/10/25, remanufactured boards are still failing functional tests. FIMER is working with the repair center and engineering team in Italy, but no ETA is available.
2. Inverter 9 back online at 14:45 on 05/06/25, after technician swapped Breaker from Inverter 8 which is offline for RMA to Inverter 9.
3.  Inverters 2 and 5 are underperforming, likely due to soiling. Inverter 2  is down 1 kW, and inverter 5 is down 3 kW and also inverter 9 down a string from 05/15/25.</t>
  </si>
  <si>
    <t>1. SR090375, SR089461
2. SR098018
3. SR101562, SR101561</t>
  </si>
  <si>
    <t>SR101562</t>
  </si>
  <si>
    <t>SR101561</t>
  </si>
  <si>
    <t>1.  SR092276</t>
  </si>
  <si>
    <t>1. Weather station was not communicating through out the month because the entire station needs to be replaced.
2. Pad 1 Inverter 1 was offline throughout the month, and on Pad 2, Inverter 1 is not communicating, although production data is being captured at the meter. On 03/13/25, it was approved to investigate the auxiliary equipment installed and the fault logs, with BOLD.
3. Pad 1 Inverter 2 went offline at 12:05 on 05/05. The technician power-cycled Inverters 1 and 2; both came back online briefly but tripped offline again. The technician contacted Bold Renewables for further troubleshooting. Currently, Inverters 1 and 2 remain offline, while Inverter 3 is online and producing.</t>
  </si>
  <si>
    <t>1. SR085968
2. SR092256, SR090090 &amp; SR095592
3. SR095592, PM9954</t>
  </si>
  <si>
    <t>1. Site was taken offline from 08:40 to 10:35 on 05/27/25 to work on Preventative Maintenance.
2. Weather station is not communicating through out the month, It was found that the pyranometer is not installed on-site. The installation of a new pyranometer will be required.</t>
  </si>
  <si>
    <t>1. PM11514
2. SR089470, SR092603</t>
  </si>
  <si>
    <t>1. Meter B is regularly capturing data from 7:20  to 10:00 , in sync with Inverter B. However, Inverter B is capturing data from 10:05  to 4:45  due to the MOXA not functioning. On 04/01/25, the technician installed the MOXA (datalogger), but the communication failed. On 05/03/25, 05/09/25 and 05/20/25 meter communiting intermitently and on 05/22/25 stopped communication both  at 11:15  due to faulty dataloggers, and additional troubleshooting is required.
2. Inverter 2 (Pad C) is intermittently tripping during high irradiance, possibly due to overheating. On 05/20/25, tech contacted SMA no immediate response. SMA later advised checking AC and DC voltages. AC wire was found improperly stripped and was corrected. SMA suspects unstable incoming AC power. Awaiting their follow-up on voltage readings
3. Weather station reporting zero from 16:20 on 05/20/25. Will nvestigate after the bulk production work is completed onsite.</t>
  </si>
  <si>
    <t>1. SR089612, SR095385 &amp; SR102060
2. SR099766</t>
  </si>
  <si>
    <t>SR102060</t>
  </si>
  <si>
    <t>1. Inverter 1 is not communicating, and according to the meter data, it is offline due to a breaker issue. A case was raised on 03/24/25 to request support for the breaker replacement.
2. Site was taken offline from 10:20 to 12:20 on 05/14/25, to work on inverter 1 and tracker troubleshooting. Additionally, working on wire management.</t>
  </si>
  <si>
    <t>1. SR098397
2. SR098397</t>
  </si>
  <si>
    <t>SR098397</t>
  </si>
  <si>
    <t>1. Inverter 1 was brought online at 10:05 on 05/21/25 after technician reopened doors to check voltages for an AC Contactor Restart Limit Current Imbalance fault. No loose wires found. Logs pulled; Bold advised replacing Power Distribution Cards.  and it again tripped offline at 13:50 on 05/29/25 and remained offline throught the month. 
2. Inverter 2 has been frequently tripping offline this month due to fault code 21: Peak Power Tracking. On 05/21/25, the technician shut down the inverter from 08:30 to 09:25 to pull logs, then brought it back online. Logs were sent to Bold Renewables,  the Power Distribution Card are need to be replaced and it again tripped offline at 19:45 on 05/24/25 due to an "watch dog timer fault". and remained offline throught the month.</t>
  </si>
  <si>
    <t>1. SR101829, PM10476 
2. SR101132</t>
  </si>
  <si>
    <t>SR101132</t>
  </si>
  <si>
    <t>1. Inverter 2 went offline on 05/16/25 due to system, latching  faults, remaind offline through out the month and parts are needed to bring these inverter back online.</t>
  </si>
  <si>
    <t>1. SR100858</t>
  </si>
  <si>
    <t xml:space="preserve">1. SR094545, SR100842
</t>
  </si>
  <si>
    <t>1. Site production was low on 0/04 &amp; 05/05 due to cloudy weather.</t>
  </si>
  <si>
    <t>1. 23 modules need replacement; quote declined by client on 11/07/24
2. Site was offline from 08:20 to 18:20 05/03/25.</t>
  </si>
  <si>
    <t>1. SR080516
2. SR100976</t>
  </si>
  <si>
    <t>SR100976</t>
  </si>
  <si>
    <t>1. Site production was low on 05/04 to 05/06 due to bad weather.</t>
  </si>
  <si>
    <t>1. Inverters 3, 7, 10, 14, and 21 are offline through out the month and parts are needed to bring these inverters back online.
2. Inverter 11 was brought online at 10:45  on 04/14/25 after replacing the AC GFCI and re-terminating wires. It tripped offline again at 10:00 on 04/24/25 and remained down; additional parts are needed. For Inverter 2, technician verified LOTO, removed two broken/burned fuse holders, installed new parts with two Ameresco 15A fuses, and removed LOTO the same day.
3. Inverter 16 offline since 05/20/25 due to "Standby" fault and remained offline throught out the month.</t>
  </si>
  <si>
    <t xml:space="preserve">1. SR098183, SR095449, SR093474, SR090380 &amp; SR089474.
2. SR098183
3. SR101740
</t>
  </si>
  <si>
    <t>SR101740</t>
  </si>
  <si>
    <t xml:space="preserve">1. Inverter 1 has been underperforming by 90kW since 11:40 on 08/21/24. During the Annual Preventative Maintenance on 04/02/25, the technician found poor filters and a potential hazard with the AC switch. New filters are needed to restore performance.
2. Inverter 1 went offline at 11:30 on 04/01/25, followed by Inverter 2 at 12:45. The meter still shows voltage. Inverter 1 has a status code of 1,314 (FAULT, WARNING, MPP, AUTO START), while Inverter 2 shows 1,792 (MPP, SLEEP, AUTO START). On 04/04/25, the technician confirmed that the site would remain offline due to ongoing contractor activity. Additional information from the Kohls team indicated that large-scale electrical work was being carried out inside the facility. As a safety measure, the utility feed was disconnected at 09:10 on the same day. The site has remained offline throughout the month due to continued electrical work.
</t>
  </si>
  <si>
    <t xml:space="preserve">1. SR098826, SR099338, PM11103
2. SR099327, PM11103,  &amp; 	SR102082
</t>
  </si>
  <si>
    <t>SR099338</t>
  </si>
  <si>
    <t>SR102082</t>
  </si>
  <si>
    <t>1. Inverter 3 has been offline since 01/28/25. on 05/27/25, the technician replaced the old circuit breaker and a broken AC disconnect switch and brought back online at 10:45.
2. Inverter 7 was offline through out the month and parts needed to bring these inverter back online.
3. Inverter 12 has been offline since 01/30/25, remaind offline through out the month and parts are needed to bring these inverter back online.
4. Inverter 2 was offline from 05/11/25 to 05/27/25 due to tripped local circuit breakers. It was shut down and inspected. String isolation and system tests found no issues and brought back online at 10:45 by closing breaker and again offline from 05/29/25, remained offline throught the month.
5. Inverter 4 tripped offline at 14:00 on 05/27/25 and remained offline throught the month.</t>
  </si>
  <si>
    <t>1. SR089477, SR096348 &amp; SR101285
2. SR089477, SR096348
3. SR089477, SR096348
4. SR102153, SR101285
5. SR102153</t>
  </si>
  <si>
    <t>SR101285</t>
  </si>
  <si>
    <t>SR102153</t>
  </si>
  <si>
    <t>1. Meter was not communicating production at the inverters. So we considered inverter productionas site production.
2. Inverter A stopped communicating since at 11:15 on 04/08/25 due to a loss of communication with the meter. Production cannot be confirmed and the inverter may be offline.</t>
  </si>
  <si>
    <t>1. Site tripped offline at 12:00AM on 05/16/25 and was brought back online at 11:40 AM on 05/17/25 after the technician closed the breaker at the switchgear.</t>
  </si>
  <si>
    <t>1.SR101606</t>
  </si>
  <si>
    <t>1. Inverter 2's production being affected in the afternoon hours possibly due to stuck trackers.
2. Inverter 2 back online at 06:20 on 05/01/25, then tripped again at 07:30 on 05/02/25 and recovered at 06:50 on 05/03/25. It went offline from 11:00 to 11:55 on 05/06/25 due to an Asymmetrical Array Fault. It tripped again at 11:55 on 05/15/25 due to a FAN 5 fault and came back online on 05/16/25. FAN 5 replacement is required to restore expected production.
3. Inverter 3 has been underperforming by 200 kW and went offline at 11:30 on 04/29/25. On 05/06/25, the technician replaced the filters with new ones from Bold Renewables, but the inverter remained offline through the month. Combiner fuses are needed to bring it back online.</t>
  </si>
  <si>
    <t>1. SR092171, SR092455
2. SR101475
3. SR098778</t>
  </si>
  <si>
    <t>SR101475</t>
  </si>
  <si>
    <t>1. Inverter 1 tripped offline at 7:40 on 05/15/25 due to faulty air filters and remained offline through the month.</t>
  </si>
  <si>
    <t>1. SR101624</t>
  </si>
  <si>
    <t>1. Site taken offline from 08:20 to 9:20 and 11:45 to 12:30 on 05/02/25 due to technician worked on  Re-Pressurizing Sealed Transformer with Nitrogen (XMFR B03).
2. Inverter A.02.15 tripped offline at 08:35 on 05/23/25 due to islanding and remained offline through the month. On 05/27, a technician identified a thermal relay failure as the cause. Sungrow was contacted, and a replacement was RMA’d.</t>
  </si>
  <si>
    <t>1. SR100820, PM8852
2. SR101886</t>
  </si>
  <si>
    <t>SR101886</t>
  </si>
  <si>
    <t>June Actual v. Expected</t>
  </si>
  <si>
    <t>June Actual v. Forecasted</t>
  </si>
  <si>
    <t>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</si>
  <si>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Meter is reporting zero from 19:25, 06/22 but production can be verified at inverters. Will investigate after getting response from GPM.</t>
  </si>
  <si>
    <t>1.SR103346</t>
  </si>
  <si>
    <t>1. Site tripped offline at 8:45 on 06/02 and the inverter is reporting a DNS Server Fault and Sleep State. Site will remain offline through out the month until that work is finished</t>
  </si>
  <si>
    <t>1.SR102277</t>
  </si>
  <si>
    <t>1.The inverter has been experiencing repeated trip events from 06/06</t>
  </si>
  <si>
    <t>1.SR102623</t>
  </si>
  <si>
    <t>1.Meter 3 stopped communicating at 16:23 from 06/23 but production can be verified at inverter level.</t>
  </si>
  <si>
    <t>1.SR102796</t>
  </si>
  <si>
    <t>1.1 string and CB offline from 06/18</t>
  </si>
  <si>
    <t>1.SR103142</t>
  </si>
  <si>
    <t>1. Inverter tripped offline at 10:00 on 06/27 and back online at 06/28 at 07:00</t>
  </si>
  <si>
    <t>1.SR103669</t>
  </si>
  <si>
    <t>1.Meter power  dropped to zero at 13:50 from 06/05 through out the month.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</si>
  <si>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1.SR102624</t>
  </si>
  <si>
    <t>1.Site tripped offline at 11:50 on 06/24 through out the month</t>
  </si>
  <si>
    <t>1.SR103424</t>
  </si>
  <si>
    <t>1.Meter is reporting zero value from 19:50, 06/24. Production can be confirmed at inverter level.</t>
  </si>
  <si>
    <t>1.SR103623</t>
  </si>
  <si>
    <t>1.Inverter 1 tripped offline on 05/02 and was offline through out the month</t>
  </si>
  <si>
    <t>1.SR101331</t>
  </si>
  <si>
    <t>1.SR100060</t>
  </si>
  <si>
    <t>1. 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t>
  </si>
  <si>
    <t>1.Meter is reporting erroneous value from 15:50 on 06/12 but production is confirmed at inverter level and later technician powercycled the meter on 06/20 at 07:00.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</si>
  <si>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1.SR102907</t>
  </si>
  <si>
    <t>1. The weather station has been reporting low irradiance (approximately 40 W/m²) since 06/25. The pyranometer recorded normal irradiance starting at 16:00 on 06/25, but the levels dropped back to around 40 W/m² by 09:00  on 06/26</t>
  </si>
  <si>
    <t>1.SR103534</t>
  </si>
  <si>
    <t>1.Inverter 1 was offline from 06/03. After being re-energized, it came back online at 09:20  on 06/26.</t>
  </si>
  <si>
    <t>1.SR102456</t>
  </si>
  <si>
    <t>1. Pad 2 - inverter 1 tripped offline at 12:00 on 05/22 due to an overcurrent fault. Inverter came back online at 09:45 on 06/02</t>
  </si>
  <si>
    <t>1.SR101862</t>
  </si>
  <si>
    <t>1.Inverter 1 Pad 1 tripped offline at 08:50 on 05/02. After replacing the communication card on inverter 1 came back online at 09:15 on 06/17</t>
  </si>
  <si>
    <t>1.	SR100743</t>
  </si>
  <si>
    <t>1. Pad A Inverter 2 has been intermittently tripping online and offline. Status: 128, Fault 0: 96, Fault 1: 5. It tripped offline at 17:55. After replacing the AC contactor and the power distribution board, Inverter 2 came back online on 06/27.
2.Inverter 1 (Pad B) tripped offline  and reported "watch dog, over current fault". from 06/22</t>
  </si>
  <si>
    <t>1.SR101131
2.SR102150</t>
  </si>
  <si>
    <t xml:space="preserve">1. Inverter 1 meter has been down for some time. On 04/30/25, technician worked with GPM support to connect to the modem and data logger but was unsuccessful. GPM is escalating the comms issue; return visit needed. </t>
  </si>
  <si>
    <t>1.SR099912</t>
  </si>
  <si>
    <t>1.	SR099206</t>
  </si>
  <si>
    <t>1.Meter reporting half of inverter production since 6/11/22 waiting for client approval for investigation.</t>
  </si>
  <si>
    <t>1.SR094440</t>
  </si>
  <si>
    <t>1.	SR095163
2.SR093065</t>
  </si>
  <si>
    <t>1. Site came back online at 09:40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
3. Meter communications have dropped onsite 04/27/25. Will be investigated once parts were received.</t>
  </si>
  <si>
    <t>1.43 Damaged (Thermal) SF 290-36-P Modules onsite are needed for replacement. On Hold Currently during fire remediation, will be investigated once completion of priority tasks.</t>
  </si>
  <si>
    <t>1. Inverters 3 &amp; 8 have been offline throughout the month due to parts delays. On 02/26/25, FIMER tested replacement logic boards, but they failed bench tests. As of 04/10/25, remanufactured boards are still failing functional tests. FIMER is working with the repair center and engineering team in Italy, but no ETA is available and 0n 06/25/25 FIMER confirms that inverter 8 is under RMA. 
2. Inverters 2 and 5 are underperforming, likely due to soiling. Inverter 2  is down 1 kW, and inverter 5 is down 3 kW and also inverter 9 down a string from 05/15/25. and on 06/12/25, technician confirmed that inverter 9 remains underperforming by 4 kW has an internal issue manufacturer was contacted. inverter 5 string repaired. 
3.  Inverter 1 tripped offline at 08:40 on 06/02/25 and reporting "Ground Fault" and was offline throughout the month.</t>
  </si>
  <si>
    <t>1. SR090375, SR089461,SR101136
2. SR101562, SR101561, SR103159
3. SR102346</t>
  </si>
  <si>
    <t>SR101136</t>
  </si>
  <si>
    <t>SR103159</t>
  </si>
  <si>
    <t>SR102346</t>
  </si>
  <si>
    <t xml:space="preserve">1. Weather station was not communicating through out the month because the entire station needs to be replaced.
2. Pad 1 Inverter 1 was offline throughout the month, and on Pad 2, Inverter 1 is not communicating, although production data is being captured at the meter. On 03/13/25, it was approved to investigate the auxiliary equipment installed and the fault logs, with BOLD.
3. Pad 1 Inverter 2 went offline sine 05/05 . The technician contacted Bold Renewables for further troubleshooting. Currently, Inverters 1 and 2 remain offline and pending filter to be replace. </t>
  </si>
  <si>
    <t>1. SR085968
2. SR092256, SR090090, SR095592 &amp; SR101190
3. SR095592, SR101190 PM9954</t>
  </si>
  <si>
    <t>SR101190</t>
  </si>
  <si>
    <t>1. Meter B is regularly capturing data from 7:20  to 10:00 , in sync with Inverter B. However, Inverter B is capturing data from 10:05  to 16:45  due to the MOXA not functioning. On 04/01/25, the technician installed the MOXA (datalogger), but the communication failed.  on 05/22/25 stopped communication both  at 11:15  due to faulty dataloggers, and additional troubleshooting is required.
2. Inverter 2 (Pad C) is intermittently tripping during high irradiance, possibly due to overheating. On 05/20/25, tech contacted SMA no immediate response. SMA later advised checking AC and DC voltages. AC wire was found improperly stripped and was corrected. SMA suspects unstable incoming AC power. Awaiting their follow-up on voltage readings
3. Weather station reporting zero from 16:20 on 05/20/25. Will nvestigate after the bulk production work is completed onsite.</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</si>
  <si>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t>
  </si>
  <si>
    <t>1. Inverter 1  tripped offline at 13:50 on 05/29/25 and remained offline throught the month pending parts to be replace.
2. Inverter 2  again tripped offline at 19:45 on 05/24/25 due to an "watch dog timer fault". and remained offline throught the month and needed install power distribution cards.</t>
  </si>
  <si>
    <t>1. Inverter 2 went offline on 05/16/25 due to system, latching  faults and back online at 12:40 on 06/03/25.</t>
  </si>
  <si>
    <t>1. Inverter has been tripping frequently. On 04/28/25, technician power cycled DAS equipment and inverter, tested Cat5 (checked good), but comms were not restored. Contacted Bold, sent photos of the comms card, and opened a case. Bold recommended replacing the comms and comm max boards. Awaiting parts quote; further troubleshooting is needed to restore communication and resolve tripping issue.</t>
  </si>
  <si>
    <t>1. Site tripped offline at 15:15 on 06/10 and back online at 11:30 on 06/13.
2. Inverter 2 tripped offline at 14:55 on 06/10 and remained offline throughout the month.</t>
  </si>
  <si>
    <t>1. SR102808
2. SR102808</t>
  </si>
  <si>
    <t>SR102808</t>
  </si>
  <si>
    <t>1. The inverter is underperforming by approximately 70kW since 06/12. Will need to be investigate.</t>
  </si>
  <si>
    <t xml:space="preserve">1. SR102897, SR80516, SR90734 </t>
  </si>
  <si>
    <t>SR80516,</t>
  </si>
  <si>
    <t xml:space="preserve">SR90734 </t>
  </si>
  <si>
    <t>1. Weather station was reporting irradiance during the day. Likely a faulty pyranometer. Due to that expected energy values are low.Waiting for approval</t>
  </si>
  <si>
    <t>1. SR090293</t>
  </si>
  <si>
    <t>1. Inverters 3, 7, 10, 14, and 21 are offline through out the month and parts are needed to bring these inverters back online.
2. Inverter 11 tripped offline again at 10:00 on 04/24/25 and remained down; additional parts are needed and  is back online at 09:20 on 06/27/25.
3. Inverter 16 offline since 05/20/25 due to "Standby" fault and remained offline throught out the month and inverter is under replacement.</t>
  </si>
  <si>
    <t>1. SR098183, SR095449, SR093474, SR090380 &amp; SR089474.
2. SR098183
3. SR101740</t>
  </si>
  <si>
    <t>1. Inverter 1 has been underperforming by 90kW since 11:40 on 08/21/24. During the Annual Preventative Maintenance on 04/02/25, the technician found poor filters and a potential hazard with the AC switch. New filters are needed to restore performance and  Later, a technician re-energized the inverter, and it was brought back online at 14:00 on 06/27/2025 and producing as expected.
2. Inverter 1 went offline at 11:30 on 04/01/25, followed by Inverter 2 at 12:45, though the meter still showed voltage. Status codes indicated faults and auto-start attempts. On 04/04/25, the technician confirmed the site would stay offline due to contractor electrical work, and the utility feed was disconnected at 09:10 for safety. The site was re-energized and brought back online at 14:00 on 06/27/25.</t>
  </si>
  <si>
    <t>1. SR098826, SR099338, PM11103
2. SR099327, PM11103,  &amp; 	SR102082</t>
  </si>
  <si>
    <t>1. Inverter 7 was offline through out the month and parts needed to bring these inverter back online and it's under RMA.
2. Inverter 12 has been offline since 01/30, remained offline through out the month and parts are needed to bring these inverter back online and it's under RMA..
3. Inverter 2 tripped offline from 05/29 and back online at 09:50 on 06/25.
4. Inverter 4 tripped offline at 14:00 on 05/27 and back online at 09:50 on 06/25.</t>
  </si>
  <si>
    <t>1. SR089477, SR096348
2. SR089477, SR096348
3. SR102153, SR101285
4. SR102153</t>
  </si>
  <si>
    <t>1. Inverter 1 was tripping on &amp; off intermittently since 05/29, seems to be heating issue. Dispatch scheduled on 07/03.</t>
  </si>
  <si>
    <t>1. SR102151</t>
  </si>
  <si>
    <t>1.  Meter is reporting erroneous energy readings since 06/27.
2.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</si>
  <si>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 SR103666</t>
  </si>
  <si>
    <t>1. Inverter A stopped communicating since at 11:15 on 04/08/25 due to a loss of communication with the meter. Production cannot be confirmed and the inverter may be offline. The work is scheduled during the next PM on 07/09/2025.</t>
  </si>
  <si>
    <t>1. SR099641</t>
  </si>
  <si>
    <t>1. Site was offline from 9:50 to 10:05 on 06/24 due to technicians were onsite  repair a broken PVC conduits.
2.  At system 1 tracker is not working and on 06/24 PVC conduits has been replaced. Required further troubleshooting.</t>
  </si>
  <si>
    <t>1. SR096410
2. SR092456</t>
  </si>
  <si>
    <t>1. Inverter 3 has been underperforming by 200 kW and went offline at 11:30 on 04/29. Replaced the filters with new ones from Bold Renewables, but the inverter remained offline through the month. Combiner fuses are needed to bring it back online.
2.  Inverter 2 tripped offline at 19:40 on 06/28 and reporting "AC Current imbalance fault".</t>
  </si>
  <si>
    <t>1. SR098778
2. SR103724</t>
  </si>
  <si>
    <t>SR103724</t>
  </si>
  <si>
    <t>1. Inverter 1 tripped offline at 07:40 on 05/15/2025 due to faulty air filters and remained offline throughout the month. Parts need to be replaced, and additional troubleshooting is required.</t>
  </si>
  <si>
    <t>1. SR101624, SR102522</t>
  </si>
  <si>
    <t>SR102522</t>
  </si>
  <si>
    <t>1. Inverter A.02.15 tripped offline at 08:35 on 05/23 and reporting islanding. After replacing the inverter, it was back online at 13:50 on 06/03.</t>
  </si>
  <si>
    <t>1. SR101886</t>
  </si>
  <si>
    <t>July Actual v. Expected</t>
  </si>
  <si>
    <t>July Actual v. Forecasted</t>
  </si>
  <si>
    <t>1.	SR098590</t>
  </si>
  <si>
    <t>NA</t>
  </si>
  <si>
    <t>1. Meter is reporting zero from 19:25, 06/22 but production can be verified at inverters. Meter regained its communication on 07/17
2.Inverter 6 offline from 07/22 and it came back online at 13:35 on 07/29 and again tripped offline from 07/30
3.Meter reporting zero at 17:50 on 07/23 but production can be confirmed at Inverter level.On 07/29 Meter communication restored. Issue resolved.</t>
  </si>
  <si>
    <t>1.	SR103346
2.	SR104755
3.	SR104916</t>
  </si>
  <si>
    <t>SR104755</t>
  </si>
  <si>
    <t>SR104916</t>
  </si>
  <si>
    <t>1. Site tripped offline at 8:45 on 06/02 and the inverter is reporting a DNS Server Fault and Sleep State. Site will remain offline through out the month until that work is finished.Technician found site offline for R&amp;R work</t>
  </si>
  <si>
    <t>1. SR102467 ,SR102277</t>
  </si>
  <si>
    <t>SR102277</t>
  </si>
  <si>
    <t>1.Inverter was offline from 07/04 and reporting "Tension AC fault and Thermal connection error". Inverter came back online at 03:30 on 07/22</t>
  </si>
  <si>
    <t>1.	SR104016</t>
  </si>
  <si>
    <t xml:space="preserve">1.Meter 3 stopped communicating at 16:23 from 06/23 but production can be verified at inverter level.Meter has failed and needs to be replaced.
2.Inverter 2 tripped offline frequently throughout the month starting on 07/05. On 07/21, a technician, in coordination with Bold Renewables, identified a fault in the array. Resolving the issue will require an additional  troubleshoot and repair the fault.
</t>
  </si>
  <si>
    <t>1.	SR102796
2.SR104045</t>
  </si>
  <si>
    <t>SR104045</t>
  </si>
  <si>
    <t>1.Inverter offline from 07/02 and it came back online on 07/06</t>
  </si>
  <si>
    <t>1.	SR103669</t>
  </si>
  <si>
    <t>1.Meter power reporting Zero at 13:30 from 06/25  through out the month.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</si>
  <si>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	SR103499</t>
  </si>
  <si>
    <t xml:space="preserve">1.Meter power restored at 09:35 from 07/02 </t>
  </si>
  <si>
    <t>1.Meter is reporting zero value from 19:50, 06/24. Production can be confirmed at inverter level. On 07/30 Meter regained its communication.</t>
  </si>
  <si>
    <t>1.Site stopped communicating at 16:55 from 07/18. On 07/25  Technician has reached out to GPM support for assistance, GPM has mentioned the Cradlepoint/modem is the older version and will no longer support for any updates  GPM stated that the Cradlepoint/modem needs to be replaced in order to restore the communication and they will be sending a quote for the replacement</t>
  </si>
  <si>
    <t>1.	SR104634</t>
  </si>
  <si>
    <t>1.Inverter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 Service requests was closed due to no warranty, and no replacement options
2. Inverters 7,11 an 23 are tripped offline from 07/29 and came back online at 13:00 on 07/30</t>
  </si>
  <si>
    <t>1. SR102013, SR095623
2.	SR105300</t>
  </si>
  <si>
    <t>SR105300</t>
  </si>
  <si>
    <t>1. Inverter offline since 07/03 Waiting on Parts quote from BOLD</t>
  </si>
  <si>
    <t>1.SR104085 , SR104907</t>
  </si>
  <si>
    <t>SR104907</t>
  </si>
  <si>
    <t>1. Inverter is offline from 7/12 reporting watchdog timer fault. On 07/30  inverter has been reenergized at 08:30. Bold recommends replacing the air filters as well.</t>
  </si>
  <si>
    <t>1.SR104402</t>
  </si>
  <si>
    <t>1.Inverter 1 (Pad B) tripped offline  and reported "watch dog, over current fault". from 06/22. It came back online at 10:25 on 07/09
2.Inverter 2 pad A offline from 07/12 and reporting "WATCHDOG TIMER FAULT".</t>
  </si>
  <si>
    <t>1.	SR102150
2.SR104343</t>
  </si>
  <si>
    <t>SR104343</t>
  </si>
  <si>
    <t>1.On 07/30Technician restored the communication for SMA inverter, currently all 7 SMA inverters are communicating. Additional troubleshooting required to restore the communication for PVP meter.</t>
  </si>
  <si>
    <t>1. SR104165 , SR103032</t>
  </si>
  <si>
    <t>SR103032</t>
  </si>
  <si>
    <t>1. SR104919, SR099206</t>
  </si>
  <si>
    <t>SR099206</t>
  </si>
  <si>
    <t>1.	SR094440</t>
  </si>
  <si>
    <t xml:space="preserve">1. Site back communication at  9:15AM on 12/30/2024 and  Inverter remains offline because of Inverter down hard - Power supply critical failure. </t>
  </si>
  <si>
    <t>1. SR095163</t>
  </si>
  <si>
    <t>1. The meter has been reporting 60 kW of production onsite since 07/25.
2. 14 replacement modules and connector repairs are needed onsite, along with 16 strings that require repair.</t>
  </si>
  <si>
    <t>1. SR105065
2. SR105063</t>
  </si>
  <si>
    <t>SR105063</t>
  </si>
  <si>
    <t>1. Inverter 1 has been offline since 07/19 due to "ASYMMETRICAL ARRAY".
2. 43 Damaged (Thermal) SF 290-36-P Modules onsite are needed for replacement. On Hold Currently during fire remediation, will be investigated once completion of priority tasks.</t>
  </si>
  <si>
    <t>1. SR104640
2. SR092753</t>
  </si>
  <si>
    <t>1.  Inverter 9 has been offline since 12:30 on 07/05.
2.  Inverter 1 tripped offline at 08:40 on 06/02/25, reporting "Ground Fault", and has remained offline since then.
3. Inverters 2 and 5 are underperforming, likely due to soiling. Inverter 2 is down by 1 kW, and inverter 5 is down by 3 kW. Inverter 9 has been down a string since 05/15/25. On 06/12/25, it was confirmed that inverter 9 remains underperforming by 4 kW due to an internal issue; the manufacturer has been contacted. The string on inverter 5 has been repaired.</t>
  </si>
  <si>
    <t>1. SR104027
2. SR102346
3. SR103159, SR105161, SR105162</t>
  </si>
  <si>
    <t>SR105161</t>
  </si>
  <si>
    <t>SR105162</t>
  </si>
  <si>
    <t>1. The weather station was not communicating throughout the month as the entire station needs to be replaced.</t>
  </si>
  <si>
    <t>1. Site has no communications since 07/11.Inverter 2 Needs a Communication Card and 5A fuses - Inverter 1 Needs additional troubleshooting</t>
  </si>
  <si>
    <t>1. SR101137, SR104917</t>
  </si>
  <si>
    <t>SR104917</t>
  </si>
  <si>
    <t xml:space="preserve">1. Weather station reporting zero from 16:20 on 05/20/25. Pending PO for weather station sensor
2. Meter B is regularly capturing data from 7:20  to 10:00 , in sync with Inverter B. However, Inverter B is capturing data from 10:05  to 16:45  due to the MOXA not functioning. On 04/01/25, the technician installed the MOXA (datalogger), but the communication failed.  on 05/22/25 stopped communication both  at 11:15  due to faulty dataloggers, and additional troubleshooting is required.
</t>
  </si>
  <si>
    <t>1.SR105133
2.SR089612, SR095385 &amp; SR102060</t>
  </si>
  <si>
    <t>1.Inverter 2 offline at 06:50 on 07/04
2. Inverter 1 is not communicating, and according to the meter data, it is offline due to a breaker issue. A case was raised on 03/24/25 to request support for the breaker replacement.</t>
  </si>
  <si>
    <t>1.	SR104021
2.	SR098397</t>
  </si>
  <si>
    <t>1. Site had no communications since 07/03 and need to replace Modem and Datalogger.</t>
  </si>
  <si>
    <t>1. SR094234, SR104249</t>
  </si>
  <si>
    <t>SR104249</t>
  </si>
  <si>
    <t>1.Inverter 2 came back online at 13:45 on 007/03 
2.Inverter 1 came back online at 13:45 on 07/03</t>
  </si>
  <si>
    <t>1.SR101132
2.	SR101829</t>
  </si>
  <si>
    <t>SR101829</t>
  </si>
  <si>
    <t>1. Inverter 2 tripped offline at 14:55 on 06/10 and came back online at 15:10 on 07/09</t>
  </si>
  <si>
    <t>1.SR102808</t>
  </si>
  <si>
    <t>1.SR102897</t>
  </si>
  <si>
    <t>1.	SR090293</t>
  </si>
  <si>
    <t>1. Inverter 7 was offline through out the month and parts needed to bring these inverter back online and it's under RMA.
2. Inverter 12 has been offline since 01/30, remained offline through out the month and parts are needed to bring these inverter back online and it's under RMA.
3. Inverter 2 went offline at 07:00 on 06/27. Later, on 07/25, the technician replaced the OCPD, and the inverter came back online at 10:10 on 07/25. and again tripped offline at 07:00 on 07/28 and remained offline.</t>
  </si>
  <si>
    <t>1. SR089477, SR096348
2. SR089477, SR096348
3. SR103802, SR105126</t>
  </si>
  <si>
    <t>SR103802</t>
  </si>
  <si>
    <t>SR105126</t>
  </si>
  <si>
    <t>1. Inverter 1 was tripping on &amp; off intermittently since 05/29, seems to be heating issue. Dispatch scheduled on 08/11.</t>
  </si>
  <si>
    <t xml:space="preserve">1. SR103666, SR104943 </t>
  </si>
  <si>
    <t>SR104943</t>
  </si>
  <si>
    <t>1. Inverter 1 tripped offline at 14:30 on 07/11 and  reporting "overcurrent fault" and back online at 13:25 on 07/31.</t>
  </si>
  <si>
    <t>1. SR104404</t>
  </si>
  <si>
    <t>1. Inverter A stopped communicating since at 11:15 on 04/08/25 due to a loss of communication with the meter. Production cannot be confirmed and the inverter may be offline. The work is scheduled during the next PM.</t>
  </si>
  <si>
    <t>1. Site was offline at 21:25 on 07/04 due to main bracker trip late back online at 13:35 on 07/07.
2. Site was tripped offline at 12:30 on 07/31. 
3. At system 1 tracker is not working and on 06/24 PVC conduits has been replaced.  later on tracker are back online on 07/10.</t>
  </si>
  <si>
    <t>1. SR104035
2. SR105453
3. SR092456</t>
  </si>
  <si>
    <t>SR105453</t>
  </si>
  <si>
    <t xml:space="preserve">1. Inverter 3 has been underperforming by 200 kW and went offline at 11:30 on 04/29. Replaced the filters with new ones from Bold Renewables, but the inverter remained offline through the month. Combiner fuses are needed to bring it back online.
2.  Inverter 2 tripped offline at 19:40 on 06/28 and reporting "AC Current imbalance fault" and back online at 07:00 on 07/01.
3. Site was offline at 21:25 on 07/04 due to main bracker trip late back online at 12:35 on 07/07.
4. Site was tripped offline at 12:30 on 07/31. </t>
  </si>
  <si>
    <t>1. SR098778, SR103948
2. SR103724
3. SR104036
4. SR105452</t>
  </si>
  <si>
    <t>SR103948</t>
  </si>
  <si>
    <t>SR104036</t>
  </si>
  <si>
    <t>SR105452</t>
  </si>
  <si>
    <t>1. Inverter 1 tripped offline at 07:40 on 05/15/2025 due to faulty air filters. After installing new fuses, the inverter came back online at 13:10 on 07/24.</t>
  </si>
  <si>
    <t>1. SR102522</t>
  </si>
  <si>
    <t>August Actual v. Expected</t>
  </si>
  <si>
    <t>August Actual v. Forecasted</t>
  </si>
  <si>
    <t>1. Site has communicated intermittently throughout the month due to a faulty modem, with data expected to backfill later. On 04/17/2024, the technician found the inverter online and producing, but the cell modem's indicator lights were not flashing, indicating no data transmission. DAS was power cycled with no change. Multiple attempts to contact Green Power Monitor for support went unanswered. The modem had been previously replaced and updated with a new IP address, suggesting a possible SIM card or data issue. The site last update was on 04/24/25. On 05/08/25  need to dispatch to power cycle as well as provide the modems nameplate to GPM. on 08/27 some parts are needed to be replaced.</t>
  </si>
  <si>
    <t>1. Inverter 1 tripped offline at 16:00 on 08/20, reporting a "GFI Device Fault." After the technician closed the AC and DC disconnects, the inverter back online at 09:30 on 08/22.</t>
  </si>
  <si>
    <t>1. SR106649</t>
  </si>
  <si>
    <t>1. Inverter 6 tripped offline at 07:00 on 07/30 and back online at 13:10 on 08/01and again tripped offline on 08/02 and is currently pending replacement with a new inverter, scheduled for installation on 09/02.
2. Meter is reporting zero from 07:00 on 07/30 but production can be verified at inverters.
3. Inverter 4 has tripped offline at 13:30 on 12/30/24 and is currently pending replacement with a new inverter.
4.  Inverter 9 tripped offline at 13:35 on 08/25 may be dueto arc-fault detected and it's under pending RMA appruval process on 09/02.</t>
  </si>
  <si>
    <t>1. SR105534
2. SR105560
3. SR105651
4. SR106870</t>
  </si>
  <si>
    <t>SR105560</t>
  </si>
  <si>
    <t>SR105651</t>
  </si>
  <si>
    <t>SR106870</t>
  </si>
  <si>
    <t>1. Meter reporting zero power from 07/30 but production can be verified at inverter level. LaterOn 08/12, the technician power cycled the meter, and communication was restored. Issue resolved.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</si>
  <si>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 SR105446</t>
  </si>
  <si>
    <t>1.Meter 3 stopped communicating at 16:23 from 06/23 but production can be verified at inverter level.Meter has failed and needs to be replaced.
2.Inverter 2 tripped offline frequently throughout the month starting from 08/02. a technician, in coordination with Bold Renewables, identified a fault in the array. Resolving the issue will require an additional  troubleshoot and repair the fault.
08/28 technician confirmed that Logic board needed to be replaced untill inveter will remain offline.</t>
  </si>
  <si>
    <t>1. 1 string and CB offline from 06/18. This issue will be addressed during PM event.</t>
  </si>
  <si>
    <t>1. SR103142</t>
  </si>
  <si>
    <t>1.  Meter is reporting zero from 11:00 on 08/02 but production can be verified at inverters and later resumed production at 10:55 on 08/12.
2.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</si>
  <si>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 SR103499</t>
  </si>
  <si>
    <t>1. Inverter was offline at 07:00 on 08/18 and reporting "MPP AUTO START" and inverter is offline through out the month.</t>
  </si>
  <si>
    <t>1. SR106427</t>
  </si>
  <si>
    <t>1.Inverter 1 tripped offline on 05/02 and was offline through out the month. pending Installation on 09/02.</t>
  </si>
  <si>
    <t xml:space="preserve">1.Site stopped communicating at 16:55 from 07/18. On 07/25  Technician has reached out to GPM support for assistance, GPM has mentioned the Cradlepoint/modem is the older version and will no longer support for any updates  GPM stated that the Cradlepoint/modem needs to be replaced in order to restore the communication and they will be sending a quote for the replacement. on 08/25 technician after Installed new modem and site restored communication slowley. </t>
  </si>
  <si>
    <t>1. SR104634</t>
  </si>
  <si>
    <t>1. 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 Service requests was closed due to no warranty, and no replacement options
2. Inverter 23 was offline at 10:20 on 08/06. on 08/13 technician closed the AC switch then inverter is back online at 10:35 o 08/13.and again Inverter 23 is was offline at 07:00 on 08/18 and reporting "Inverter state as Stand By" and  on 08/27 technician closed the AC switch and reset the inverter is back online at 09:10 on 08/25.</t>
  </si>
  <si>
    <t>1. SR102013, SR095623
2. SR105793,
SR106438</t>
  </si>
  <si>
    <t>SR105793</t>
  </si>
  <si>
    <t>SR106438</t>
  </si>
  <si>
    <t>1. Inverter was offline since 07/03 and on 08/27, Technician replaced the DC power board and DC conductor for inverter. then inverter is back online at 13:45 on 08/27.</t>
  </si>
  <si>
    <t>1.  Inverter 1 tripped offline at 17:15 on 07/31 and reporting "Watch dog timer fault" 0n 08/13 technician after replaceing the 4 brocken modules then Inverter 1 is back online at 09:55 on 08/13.</t>
  </si>
  <si>
    <t>1. SR104402, SR105870,SR104158,
SR103759</t>
  </si>
  <si>
    <t>SR105870</t>
  </si>
  <si>
    <t>SR104158</t>
  </si>
  <si>
    <t>SR103759</t>
  </si>
  <si>
    <t>1. Inverter 2 pad A offline from 07/12 and reporting "WATCHDOG TIMER FAULT". on 08/05 technician restart limit fault and replaced a card cage filter. Then inverter is back online at 09:55 on 08/05.</t>
  </si>
  <si>
    <t>1. SR104343</t>
  </si>
  <si>
    <t>1. The PVP meter is stopped communicating at 12:15 on 04/30 and meter resumed its communication at 10:10 on 08/27.</t>
  </si>
  <si>
    <t>1. SR104165 , SR103032, SR105073</t>
  </si>
  <si>
    <t>SR105073</t>
  </si>
  <si>
    <t>1.	SR094440, SR106741</t>
  </si>
  <si>
    <t>SR106741</t>
  </si>
  <si>
    <t>1. Inverter 1 has been offline since 07/19 due to "ASYMMETRICAL ARRAY".
2. 43 Damaged (Thermal) SF 290-36-P Modules onsite are needed for replacement. On Hold Currently during fire remediation, will be investigated once completion of priority tasks.
3. Site was tripped offline at 12:20 on 08/23 and back online at 07:45 on 08/26.
4. Inverter 2 tripped offline at 10:10 on 08/11 and back online at 13:20 on 08/12.</t>
  </si>
  <si>
    <t>1. SR104640, SR106181
2. SR092753
3. SR106812
4. SR101902</t>
  </si>
  <si>
    <t>SR106181</t>
  </si>
  <si>
    <t>SR106812</t>
  </si>
  <si>
    <t>SR101902</t>
  </si>
  <si>
    <t>1.  Inverter 9 has been offline since 12:30 on 07/05.
2.  Inverter 1 tripped offline at 08:40 on 06/02/25, reporting "Ground Fault", and has remained offline since then.
3. Inverters 2 and 5 are underperforming, likely due to soiling. Inverter 2 is down by 1 kW, and inverter 5 is down by 3 kW. Inverter 9 has been down a string since 05/15/25. On 06/12/25, it was confirmed that inverter 9 remains underperforming by 4 kW due to an internal issue; the manufacturer has been contacted. The string on inverter 5 has been repaired.
4. Inverter 8 is offline Since 02/07/2024 and inverter is under RMA'd.
5.  Inverters 3 was offline since 08/23/2024 and inverter is under RMA'd.</t>
  </si>
  <si>
    <t>1. SR104027
2. SR102346
3. SR103159, SR105161, SR105162
4. SR090375, SR105124
5. SR089461, SR105124, SR101136</t>
  </si>
  <si>
    <t>SR105124</t>
  </si>
  <si>
    <t>1. The weather station was not communicating throughout the month as the entire station needs to be replaced and Site was offline since 07/11.</t>
  </si>
  <si>
    <t>1. SR092276, SR104333</t>
  </si>
  <si>
    <t>SR104333</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</si>
  <si>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
4. The site was offline on 08/13 and 08/14 due to technician was on site to do some inverter work.</t>
  </si>
  <si>
    <t>1. SR092166, SR097558, SR098717
2. SR086220, SR098717
3. SR091312
4. SR106272</t>
  </si>
  <si>
    <t>SR106272</t>
  </si>
  <si>
    <t>1.Inverter 2 was offline at 06:50 on 07/04 and back online at 14:10 on 08/04.
2. Inverter 1 is not communicating, and according to the meter data, it is offline due to a breaker issue. A case was raised on 03/24/25 to request support for the breaker replacement.</t>
  </si>
  <si>
    <t>1. SR094234, SR104249,SR105086</t>
  </si>
  <si>
    <t>SR105086</t>
  </si>
  <si>
    <t>1. Inverter 2 was tripped offline at 07:00 on 08/06 and reporting "watchdog timer fault and pre-charge fault. Before this trip the inverter was intermittently tripping" and inverter is offline through out the month.</t>
  </si>
  <si>
    <t>1. SR105759</t>
  </si>
  <si>
    <t>1.Site had no communication since 10:05 on 08/05 due to inverter 1's Comms card is under replacemt and issue occured through out the month.</t>
  </si>
  <si>
    <t>1. SR105836</t>
  </si>
  <si>
    <t>1. The inverter is underperforming by approximately 70kW since 06/12 due to 
11 strings are disconnected until the broken and stolen modules are replaced. 
Will need to be investigate.</t>
  </si>
  <si>
    <t>1. SR102897</t>
  </si>
  <si>
    <t>1. Weather station was reporting irradiance during the day. Likely a faulty pyranometer. Due to that expected energy values are low.Waiting for approval.</t>
  </si>
  <si>
    <t>1. Inverters 3, 7, 10, 14, and 21 are offline through out the month and parts are needed to bring these inverters back online. and Inverter 21 is under RMA'd since 08/21. 
2. Inverter 16 offline since 05/20/25 due to "Standby" fault and remained offline throught out the month and inverter is under replacement.
3.  Inverter 11 tripped offline at 16:30 on 07/08 and reporting "standby" and remained offline throught out the month and inverter is under replacement.</t>
  </si>
  <si>
    <t>1. SR098183, SR095449, SR093474, SR090380 &amp; SR089474, SR105125.
2. SR101740, SR103833
3. SR104174</t>
  </si>
  <si>
    <t>SR105125</t>
  </si>
  <si>
    <t>SR103833</t>
  </si>
  <si>
    <t>SR104174</t>
  </si>
  <si>
    <t>1. Inverter 7 was offline through out the month and parts needed to bring these inverter back online and it's under RMA.
2. Inverter 12 has been offline since 01/30, remained offline through out the month and parts are needed to bring these inverter back online and it's under RMA.
3. Inverter 2 again tripped offline at 07:00 on 07/28 and remained offline.</t>
  </si>
  <si>
    <t>1. Inverter was offline from 15:50 on 08/09 to 12:30 on 08/20.</t>
  </si>
  <si>
    <t>1. SR106155</t>
  </si>
  <si>
    <t>1. Inverter was offline for whole month.</t>
  </si>
  <si>
    <t>1. SR106653</t>
  </si>
  <si>
    <t>1. Site was offline from 12:15 on 07/31 to 10:30 on 08/01.</t>
  </si>
  <si>
    <t>1. SR105453</t>
  </si>
  <si>
    <t>1. Site was offline from 12:15 on 07/31 to 11:30 on 08/01.
2. Inverter 3 was offline from 06:00 on 08/01 to 15:00 on 08/04
3. Inverter 2 was offline from 07:40 on 08/13 to 09:40 on 08/15.</t>
  </si>
  <si>
    <t>1. SR105452
2. SR103948
3. SR106212</t>
  </si>
  <si>
    <t>SR106212</t>
  </si>
  <si>
    <t>1. Inverter A01.16 was offline from 12:25 on 08/27 to 15:55 on 08/29</t>
  </si>
  <si>
    <t>1. 	SR107088</t>
  </si>
  <si>
    <t>September Actual v. Expected</t>
  </si>
  <si>
    <t>September Actual v. Forecasted</t>
  </si>
  <si>
    <t>1. Site has communicated intermittently throughout the month due to a faulty modem, with data expected to backfill later. On 04/17/2024, the technician found the inverter online and producing, but the cell modem's indicator lights were not flashing, indicating no data transmission. DAS was power cycled with no change. Multiple attempts to contact Green Power Monitor for support went unanswered. The modem had been previously replaced and updated with a new IP address, suggesting a possible SIM card or data issue. The site last update was on 04/24/25. On 05/08/25  need to dispatch to power cycle as well as provide the modems nameplate to GPM. on 09/18 Site remain offline.  A backplane and the ribbon cables will be required to complete the inverter repairs.</t>
  </si>
  <si>
    <t>1. Inverter 6 tripped offline at 07:00 on 07/30 and back online at 13:10 on 08/01 And again tripped offline on 08/02 and is currently pending replacement with a new inverter,  and Waiting on response from SMA 
2. Meter is reporting zero from 07:00 on 07/30 but production can be verified at inverters. Meter reporting power on 09/03 at 16:20
3. Inverter 4 was back online at 14:40 on 09/03
4.  Inverter 9 tripped offline at 13:35 on 08/25 may be dueto arc-fault detected and it's under pending RMA approval process on 09/02.</t>
  </si>
  <si>
    <t>1. Site tripped offline at 8:45 on 06/02 and the inverter is reporting a DNS Server Fault and Sleep State. Site will remain offline through out the month until work is finished. Technician found site offline for R&amp;R work.</t>
  </si>
  <si>
    <t>1.Inverter tripped offline at 14:50 on 09/06 and it came back online at 08:25 on 09/07</t>
  </si>
  <si>
    <t>1.SR107561</t>
  </si>
  <si>
    <t>1.Meter 3 stopped communicating at 16:23 from 06/23 but production can be verified at inverter level. Meter has failed and needs to be replaced. . Due to this the overall meter is reporting 200kW down than the produced value.
2. Inverter 2 came back online at 14:55 on 09/17</t>
  </si>
  <si>
    <t>1.	SR107924
2.SR107229</t>
  </si>
  <si>
    <t>SR107229</t>
  </si>
  <si>
    <t>1. 1 string and CB offline from 06/18. Came back online on 09/15</t>
  </si>
  <si>
    <t>1.	SR103142</t>
  </si>
  <si>
    <t>1.The inverters are not communicating but production can be seen at the meter level. Currently the meter is peaking at 65kW under the maximum site capacity.</t>
  </si>
  <si>
    <t>1.	SR107455</t>
  </si>
  <si>
    <t>1.  Meter is reporting zero from 11:00 on 08/02 but production can be verified at inverters.
2.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</si>
  <si>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The inverter is not reporting production but it is being captured at the meter level.</t>
  </si>
  <si>
    <t>1. SR107460</t>
  </si>
  <si>
    <t>1.	SR106427</t>
  </si>
  <si>
    <t>1.Inverter was offline since 05/02 and back online on 09/22</t>
  </si>
  <si>
    <t>1.	SR084948</t>
  </si>
  <si>
    <t xml:space="preserve">1. 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 Service requests was closed due to no warranty, and no replacement options
</t>
  </si>
  <si>
    <t xml:space="preserve">1. SR102013, SR095623
</t>
  </si>
  <si>
    <t>1. Inverter 2 was offline from 9/6/25, reporting hardware fault and DPCB ISO +5V.</t>
  </si>
  <si>
    <t>1.SR107638</t>
  </si>
  <si>
    <t xml:space="preserve">1. Weather station has intermittent comms losses. It frequently loses comms for several hours or up to a day. - pending formal quote for dispatch
</t>
  </si>
  <si>
    <t>1.SR108134</t>
  </si>
  <si>
    <t>1. Inverter 1 pad is offline from on 09/11 this morning and is reporting a pre charge fault. It came back online at 11:40 on 09/19.</t>
  </si>
  <si>
    <t>1.SR107861</t>
  </si>
  <si>
    <t xml:space="preserve">1.Inverter 1 (PVP inverter, not SMA) and meter 1 lost communication on 09/17, possibly offline. On 09/18 Self-resolved and again on 09/20 Meter &amp; Inverter frequently Data dropping out - Need onsite investigation to verify datalogger health and continue troubleshooting - Pending formal quote
</t>
  </si>
  <si>
    <t>1.SR108136</t>
  </si>
  <si>
    <t>1.Meter dropped to zero production but confirmed at inverter from  10:50 to 13:35 on 09/01 and again Meter dropped to zero , production confirmed at inverter from 11:30 to 14:30 on 09/07</t>
  </si>
  <si>
    <t>1.	SR107266</t>
  </si>
  <si>
    <t>1.Meter reporting half of inverter production since 6/11/22 waiting for 
client approval for investigation.</t>
  </si>
  <si>
    <t>1.Site was not communicated for whole month</t>
  </si>
  <si>
    <t>1. SR095163 , SR107533</t>
  </si>
  <si>
    <t>SR107533</t>
  </si>
  <si>
    <t xml:space="preserve">1. Inverter 1 has been offline since 07/19 due to ""ASYMMETRICAL ARRAY"".
2. 43 Damaged (Thermal) SF 290-36-P Modules onsite are needed for replacement. On Hold Currently during fire remediation, will be investigated once completion of priority tasks.
</t>
  </si>
  <si>
    <t xml:space="preserve">1. SR104640, SR106181
2. SR092753
</t>
  </si>
  <si>
    <t>1. The weather station was not communicating throughout the month as the entire station needs to be replaced  pending analysis of onsite findings and quote for sensor form GPM and Site was offline since 07/11.  Communication restored on 09/09 Technician installed the new modem, but it is not responding, re-installed the old one. Currently site is not communicating, and additional troubleshooting is required.
2. Inverter 1 tripped offline on 09/12 at 12:30, no fault code provided</t>
  </si>
  <si>
    <t>1.	SR104333 , SR092276
2.	SR107910</t>
  </si>
  <si>
    <t>SR092276</t>
  </si>
  <si>
    <t>SR107910</t>
  </si>
  <si>
    <t>1. Site has no communications since 07/11. Inverter 2 requires a Communication Card and 5A fuses - Inverter 1 tripped offline at 12:35 on 09/12 and requires additional troubleshooting</t>
  </si>
  <si>
    <t>1. SR101137, SR104917 , SR107974</t>
  </si>
  <si>
    <t>SR107974</t>
  </si>
  <si>
    <t>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</si>
  <si>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 xml:space="preserve">1. Weather station reporting zero from 16:20 on 05/20/25. Pending PO for weather station sensor
2. Meter B was regularly capturing data from 7:20  to 10:00 , in sync with Inverter B. However, Inverter B is capturing data from 10:05  to 16:45  due to the MOXA not functioning. On 04/01/25, the technician installed the MOXA (datalogger), but the communication failed.  on 05/22/25 stopped communication both  at 11:15  due to faulty dataloggers, and additional troubleshooting is required.
</t>
  </si>
  <si>
    <t>1.SR105133
2.SR089612, SR095385 &amp; SR102060,	SR108327</t>
  </si>
  <si>
    <t>SR108327</t>
  </si>
  <si>
    <t>1. Site was retrofitted to trimark.</t>
  </si>
  <si>
    <t>1. SR108500, SR108289, SR106577</t>
  </si>
  <si>
    <t>SR108289</t>
  </si>
  <si>
    <t>SR106577</t>
  </si>
  <si>
    <t>1. Inverter 1 was not communicating, and according to the meter data, it is offline due to a breaker issue. A case was raised on 03/24/25 to request support for the breaker replacement."Inverter came back online at 10:30 on 09/04 and again tripped offline at 14:45 on same day and again back online at 10:20 on 09/11 it tripped offline again at 13:45on 09/11</t>
  </si>
  <si>
    <t>1.SR098397 , SR107891</t>
  </si>
  <si>
    <t>SR107891</t>
  </si>
  <si>
    <t>1. Inverter 2 was offline from to 07:00 on 08/06 to 11:45 on 09/05 and inverter 3 fan being replaced.
2. Site was not communicating from 11:40 on 09/23</t>
  </si>
  <si>
    <t>1. SR105759
2. SR108487</t>
  </si>
  <si>
    <t>SR108487</t>
  </si>
  <si>
    <t>1. Site was not communicated for whole month, possibly offline.</t>
  </si>
  <si>
    <t>1. SR105836, SR106614, SR108040</t>
  </si>
  <si>
    <t>SR106614</t>
  </si>
  <si>
    <t>SR108040</t>
  </si>
  <si>
    <t>1. The meter is intermittently reporting zero on alternate days throughout the month.</t>
  </si>
  <si>
    <t>1. SR107941</t>
  </si>
  <si>
    <t>1. Site was not communicated from 15:15 on 09/10 to whole month, possibly offline.</t>
  </si>
  <si>
    <t>1. SR107807</t>
  </si>
  <si>
    <t>1. Inverters 7 and 12 were offline for whole month.
2. Inverter 2 was offline for whole month.</t>
  </si>
  <si>
    <t>1. SR096348
2. SR105126</t>
  </si>
  <si>
    <t>1. Inverter 1 was offline from 09:35 on 09/17 to 15:10 on 09/22</t>
  </si>
  <si>
    <t>1. SR108137, 	SR106078</t>
  </si>
  <si>
    <t>SR106078</t>
  </si>
  <si>
    <t>1. Site was offline from 10:20 to 11:50 on 09/10</t>
  </si>
  <si>
    <t>1. SR105096</t>
  </si>
  <si>
    <t>1. Site was offline for whole month.</t>
  </si>
  <si>
    <t>1. Site was offline from 12:00 on 09/09 to 10:00 on 09/11.</t>
  </si>
  <si>
    <t>1. SR107716</t>
  </si>
  <si>
    <t>1. SR107726</t>
  </si>
  <si>
    <t>1. Site was offline from 14:30 on 09/16 to end of the month</t>
  </si>
  <si>
    <t>1. SR108116</t>
  </si>
  <si>
    <t>1. Site was not visible in GPM.</t>
  </si>
  <si>
    <t>October Actual v. Expected</t>
  </si>
  <si>
    <t>October Actual v. Forecasted</t>
  </si>
  <si>
    <t>Status</t>
  </si>
  <si>
    <t>1. Site is producing as expected.</t>
  </si>
  <si>
    <t>1. SR107527, SR110262</t>
  </si>
  <si>
    <t>1. Closed, Pending</t>
  </si>
  <si>
    <t>SR110262</t>
  </si>
  <si>
    <t>1. Inverter tripped offline at 17:15 on 10/15 not reporting any faults. It came back online on 10/16</t>
  </si>
  <si>
    <t>1.SR109562</t>
  </si>
  <si>
    <t>1.Closed</t>
  </si>
  <si>
    <t>1. Inverter 9 tripped offline at 13:35 on 08/25 may be dueto arc-fault detected and it's under pending RMA approval process on 09/02. On 10/23  Technician  Inverter 9 has replaced it is online and producing but not communicating. 
2. Inverter 6 tripped offline at 07:00 on 07/30 and back online at 13:10 on 08/01 And again tripped offline on 08/02 and is currently pending replacement with a new inverter,  and  data logger need to purchase and installation.</t>
  </si>
  <si>
    <t>1. SR106870
2. SR109643 , 	SR106870</t>
  </si>
  <si>
    <t>1.Completed
2.Pending</t>
  </si>
  <si>
    <t>SR109643</t>
  </si>
  <si>
    <t>1.SR102467</t>
  </si>
  <si>
    <t>1.Pending</t>
  </si>
  <si>
    <t>1. Meter stopped communicating on 09/23 but production can be confirmed at inverter.</t>
  </si>
  <si>
    <t>1.SR108676</t>
  </si>
  <si>
    <t>1. Meter 3 stopped communicating at 16:23 from 06/23 but production can be verified at inverter level. Meter has failed and needs to be replaced. . Due to this the overall meter is reporting 200kW down than the produced value.</t>
  </si>
  <si>
    <t>1.SR107924 ,SR102796</t>
  </si>
  <si>
    <t>SR102796</t>
  </si>
  <si>
    <t>1. The inverters are not communicating but production can be seen at the meter level. Currently the meter is peaking at 65kW under the maximum site capacity.
2. Inverter 2 is being RMA'd.  Inverter 2 found faulted when technician was on site.</t>
  </si>
  <si>
    <t>1.	SR107455
2.	SR109327</t>
  </si>
  <si>
    <t>1.Pending
2.Pending</t>
  </si>
  <si>
    <t>SR109327</t>
  </si>
  <si>
    <t>1.SR107460</t>
  </si>
  <si>
    <t>1.Inverter came back onlne on 10/08</t>
  </si>
  <si>
    <t>1. Site not started production on 10/08  Fault 1 reported, possibly ground fault. On 10/10 Tech replaced "C" phase fuse on inverter AC sled, replaced inverter to production and again  Inverter tripped offline at 09:45 10/11 and reporting " AC low Voltage on C Phase". On 10/20 technician confirms inverter remains offline needs a new conductor cooler. Waiting for bold to respond, may need case number</t>
  </si>
  <si>
    <t>1.	SR109232</t>
  </si>
  <si>
    <t>1. 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 Service requests was closed due to no warranty, and no replacement options
2. Pyranometer has been displaying irradiance values of 0 W/m^2 since 9/23/2024 @ 15:30 EDT. Model number is Hukseflux SR05
3. The inverters are not communicating on 10/07 but production is visible at the meter level.</t>
  </si>
  <si>
    <t>1.	SR095623
2.	SR108240
3.SR109136</t>
  </si>
  <si>
    <t>1.Pending
2.Pending
3.Pending</t>
  </si>
  <si>
    <t>SR108240</t>
  </si>
  <si>
    <t>SR109136</t>
  </si>
  <si>
    <t>1. Site was not communicated from 10/17 to end of the month, but tech confirmed the site was producing.</t>
  </si>
  <si>
    <t>1. 	SR107459</t>
  </si>
  <si>
    <t>1. New</t>
  </si>
  <si>
    <t>1.Inverter 2 back online on 10/18</t>
  </si>
  <si>
    <t xml:space="preserve">1.Completed
</t>
  </si>
  <si>
    <t xml:space="preserve">1. Weather station has intermittent comms losses. It frequently loses comms for several hours or up to a day. - pending formal quote for dispatch
2. Inverter 1 pad 1 tripped offline at 12:15 Oon 10/14 and is not communicating. No faults reported
</t>
  </si>
  <si>
    <t>1.	SR108134
2.SR109478</t>
  </si>
  <si>
    <t>SR109478</t>
  </si>
  <si>
    <t>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</si>
  <si>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Site representatives from McKee reporting Module failure. On 10/17 technician  Replaced module but found 12 additional damaged modules.  Combiner left offline beginning 10:00</t>
  </si>
  <si>
    <t>1.SR109483</t>
  </si>
  <si>
    <t>1. Inverters 5 &amp; 6 has morning and evening shading.</t>
  </si>
  <si>
    <t>1.Meter dropped to zero production but confirmed at inverter from  10:50 to 13:35 on 09/01 and again Meter dropped to zero , production confirmed at inverter from 11:30 to 14:30 on 09/07.  Client did not approve investigation.</t>
  </si>
  <si>
    <t>1.SR107266</t>
  </si>
  <si>
    <t>1. SR107533</t>
  </si>
  <si>
    <t>1. Closed</t>
  </si>
  <si>
    <t xml:space="preserve">1. Inverter 1 has been offline since 07/19 due to ""ASYMMETRICAL ARRAY"".
2. 43 Damaged (Thermal) SF 290-36-P Modules onsite are needed for replacement. On Hold Currently during fire remediation, will be investigated once completion of priority tasks.
3. site stopped communicating on 10/01 at 22:00 PDT. It came back online at 12:30 on 10/02
</t>
  </si>
  <si>
    <t>1. SR106181
2. SR092753
3.SR108912</t>
  </si>
  <si>
    <t>1.Workin progress
2.Pending
3.Closed</t>
  </si>
  <si>
    <t>SR108912</t>
  </si>
  <si>
    <t>1. Site was underproducing by 25kW for whole month.</t>
  </si>
  <si>
    <t>1. SR107787</t>
  </si>
  <si>
    <t>1. Pending</t>
  </si>
  <si>
    <t>1.Closed
2.Closed
3.Closed
4.Pending
5.Closed</t>
  </si>
  <si>
    <t>1.	 SR092276
2.		SR108962</t>
  </si>
  <si>
    <t>1.Pending
2.	 Pending</t>
  </si>
  <si>
    <t>SR108962</t>
  </si>
  <si>
    <t>1. Site has no communications since 07/11. Inverter 2 requires a Communication Card and 5A fuses - Inverter 1 tripped offline at 12:35 on 09/12 and requires additional troubleshooting.  Parts quote form BOLD for additional failed equipment identified is in</t>
  </si>
  <si>
    <t>1.	SR110028,	SR108839</t>
  </si>
  <si>
    <t>SR108839</t>
  </si>
  <si>
    <t>1.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</si>
  <si>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 xml:space="preserve">1. Weather station reporting zero from 16:20 on 05/20/25. Pending PO for weather station sensor
2. Meter B was regularly capturing data from 7:20  to 10:00 , in sync with Inverter B. However, Inverter B is capturing data from 10:05  to 16:45  due to the MOXA not functioning. On 04/01/25, the technician installed the MOXA (datalogger), but the communication failed.  on 05/22/25 stopped communication both  at 11:15  due to faulty dataloggers. On 10/22 technician confirmed additional troubleshooting is required.
</t>
  </si>
  <si>
    <t>1.SR105133
2.SR105907, SR108327</t>
  </si>
  <si>
    <t>1.Closed
2.Pending</t>
  </si>
  <si>
    <t>SR105907</t>
  </si>
  <si>
    <t>1.	SR107891</t>
  </si>
  <si>
    <t>1. Site had no communications since 07/03 and need to replace Modem and Datalogger.
2.One inverter was offline  or due to the active comms failure</t>
  </si>
  <si>
    <t>1.SR104249
2.	SR108213</t>
  </si>
  <si>
    <t>SR108213</t>
  </si>
  <si>
    <t>1.SR109811
2.	SR108487</t>
  </si>
  <si>
    <t>1. Inverter 2 didn't start for production since 09/28 and reporting "Latching Fault State".</t>
  </si>
  <si>
    <t>1.	SR108694</t>
  </si>
  <si>
    <t>1.	SR109509</t>
  </si>
  <si>
    <t>1.SR107941</t>
  </si>
  <si>
    <t xml:space="preserve">1. The inverter is underperforming by approximately 70kW since 06/12 due to 
11 strings are disconnected until the broken and stolen modules are replaced. 
Will need to be investigate.
</t>
  </si>
  <si>
    <t>1.	SR102897</t>
  </si>
  <si>
    <t>1. Weather station has intermittent communication issue(irradiance is dropping to zero intermittently)</t>
  </si>
  <si>
    <t>1. SR110590</t>
  </si>
  <si>
    <t>1. Site was not communicated from 15:15 on 09/10 to whole month, possibly offline. On 10/09 technician  Dried and repaired DAS connections and reenergized site.  Weather station and DAS fan missing.  Site back online.</t>
  </si>
  <si>
    <t>1.SR107807</t>
  </si>
  <si>
    <t>1.SR109852 ,	SR095449
2.	SR103833
3.SR108212</t>
  </si>
  <si>
    <t>1.Pending
2.Closed
3.Pending</t>
  </si>
  <si>
    <t>SR108212</t>
  </si>
  <si>
    <t>1.SR096348
2.	SR105126</t>
  </si>
  <si>
    <t>1.	SR108137</t>
  </si>
  <si>
    <t>1. The production meter is reporting incorrect energy values, so the actual energy has been taken from the inverter total energy instead. Since the expected energy is calculated using the PR derived from the meter’s actual value, the expected energy data is also erroneous. Reached out to GPM support on this.</t>
  </si>
  <si>
    <t>1. SR110601</t>
  </si>
  <si>
    <t>1. The inverter is not communicating and is offline per the meter on 10/14</t>
  </si>
  <si>
    <t>1.	SR109477</t>
  </si>
  <si>
    <t>1. Site stopped communicating on 10/14 at 13:15. on 10/16 Technician found inverter breaker was tripped, inspected inverter, and re-energized.  Inverter was online and producing</t>
  </si>
  <si>
    <t>1.SR109499</t>
  </si>
  <si>
    <t>1.Completed</t>
  </si>
  <si>
    <t>1. Inverter 1 didn't started for production on 10/13  and reporting "Coolant fault". It came back online on 10/14
2.Site offline at 10:45 to 12:46 on 10/15 
3.Site offline at 10:30 on 10/21  and it came back online on 10/23</t>
  </si>
  <si>
    <t>1.SR109406
2.	SR109516
3.	SR109789</t>
  </si>
  <si>
    <t>1.Closed
2.Closed
3.Workin progress</t>
  </si>
  <si>
    <t>SR109516</t>
  </si>
  <si>
    <t>SR109789</t>
  </si>
  <si>
    <t>1.Inverter 2 tripped offline at 08:10 on 10/06 and it came back online 10/09
2.Site tripped offline at 10:45 to 12:46  on 10/15</t>
  </si>
  <si>
    <t>1.SR109098
2.SR109517</t>
  </si>
  <si>
    <t>1.Closed
2.Closed</t>
  </si>
  <si>
    <t>SR109517</t>
  </si>
  <si>
    <t>1. Site was offline from 14:30 on 09/16 to end of the month. Communications for for Inverter 1 repairs - pending approval for BOLD parts needed</t>
  </si>
  <si>
    <t>1.SR109808</t>
  </si>
  <si>
    <t>1.Site was not vissible in GPM</t>
  </si>
  <si>
    <t>November Actual v. Expected</t>
  </si>
  <si>
    <t>November Actual v. Forecasted</t>
  </si>
  <si>
    <t>1. Site is producing as expected</t>
  </si>
  <si>
    <t>1. Site was offline from 11/01 to 09:30 on 11/20.
2.  Meter was not communicated for whole month but production can be verified at interver</t>
  </si>
  <si>
    <t>1. SR110262
2. SR111409</t>
  </si>
  <si>
    <t>1. Clsoed
2. Pending</t>
  </si>
  <si>
    <t>SR111409</t>
  </si>
  <si>
    <t>1. Site production was low on 11/10, 11/11, 11/30 due to snow.</t>
  </si>
  <si>
    <t>1. Site production was low on 11/10 to11/12, 11/27 to 11/30 due to snow.</t>
  </si>
  <si>
    <t>1. Meter was not communicated for whole month but production can be verified at interver</t>
  </si>
  <si>
    <t>1. SR108676</t>
  </si>
  <si>
    <t>1. pending</t>
  </si>
  <si>
    <t xml:space="preserve">1. Inverter 2 was offline from 06:00 on 11/11 to 10:05 on 11/13, 09:05 on 11/16 to 08:00 on 11/19  and again from 06:00 on 11/20 to 07:30 on 11/22.
2. Meter 3 stopped communicating at 16:23 from 06/23 but production can be verified at inverter level. Meter has failed and needs to be replaced. Due to this the overall meter is reporting 200kW down than the produced value.
3. Site was not communicated from 23:00 on 11/05 to 07:00 on 11/06.	</t>
  </si>
  <si>
    <t>1. SR110944
2.SR107924</t>
  </si>
  <si>
    <t>1. Pending
2.Denied</t>
  </si>
  <si>
    <t>SR107924</t>
  </si>
  <si>
    <t>1. Inverter 2 was offline from 10/10 to 11/19.</t>
  </si>
  <si>
    <t>1. SR109327</t>
  </si>
  <si>
    <t>1. Site was producing as expected</t>
  </si>
  <si>
    <t xml:space="preserve">1. Pending
</t>
  </si>
  <si>
    <t>1. Inverter was offline from 11/01 to 11/17 at 11:25.</t>
  </si>
  <si>
    <t>1. SR109232</t>
  </si>
  <si>
    <t>1. Inverter was offline from 11/27 to 11/30 due to 1.2inch snow.</t>
  </si>
  <si>
    <t>1. SR111831</t>
  </si>
  <si>
    <t>1. 13 modules nee to bereplaced.
2. Inverter 8, 20, 21 were offline for whole month.
3. Pyronometer was displaying 0w/m2 for whole month.</t>
  </si>
  <si>
    <t>1. SR105403
2. SR095623	
3. SR108240</t>
  </si>
  <si>
    <t>1. Pending
2. Pending 
3. Denied</t>
  </si>
  <si>
    <t>1. Site was not communicated for whole month gpm need to troubleshoot from their end.</t>
  </si>
  <si>
    <t>1. SR107459</t>
  </si>
  <si>
    <t>1. Inverter 1 PAD 1 was offline for whole month.</t>
  </si>
  <si>
    <t>1. SR109478</t>
  </si>
  <si>
    <t>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</si>
  <si>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SR109483</t>
  </si>
  <si>
    <t xml:space="preserve">1. Inverters 5 and 6 have shading morning and evening shading.
</t>
  </si>
  <si>
    <t>1. Meter was reported to zero from 17:45 on 11/07 to 12:10 on 11/09 and again reported to zero 12:00 on 11/12 to 17:00 on 11/13</t>
  </si>
  <si>
    <t>1. SR107266</t>
  </si>
  <si>
    <t>1. Site was offline from 06:25 to 15:45 on 11/27.
2.Meter reporting half of inverter production since 6/11/22 waiting for client approval for investigation.</t>
  </si>
  <si>
    <t>1. SR111800
2.	SR106741</t>
  </si>
  <si>
    <t>1. closed
2.Pending</t>
  </si>
  <si>
    <t>1. Site was not communicated for whole month GPM recommended NPort failure.</t>
  </si>
  <si>
    <t>1. SR111715</t>
  </si>
  <si>
    <t xml:space="preserve">1. The meter has been reporting 60 kW of production onsite since 07/25.
2. 14 replacement modules and connector repairs are needed onsite, along with 16 strings that require repair.
3. Inverter was reporting 0 since 10/10 to 17:30 on 11/24 </t>
  </si>
  <si>
    <t>1. 43 Damaged (Thermal) SF 290-36-P Modules onsite are needed for replacement. On Hold Currently during fire remediation, will be investigated once completion of priority tasks.</t>
  </si>
  <si>
    <t>1. Pending
2.	 Pending</t>
  </si>
  <si>
    <t>1. Inverter 1 was  offline from 11/01 to 09:10 on 11/20.</t>
  </si>
  <si>
    <t>1. SR110028,	  SR108839</t>
  </si>
  <si>
    <t>1. Closed
2. Pending</t>
  </si>
  <si>
    <t>1. Meter is reporting very low energy values for the month of November, possibly due to an energy configuration issue. Production is not affected and can be confirmed through meter power. Reached out to Trimark support for further assistance.
2. Trackers NCU 1 SPC 1.1.13, 1.1.16, 1.2.17, 1.2.38 and NCU 2 SPC 2.2.07, 2.2.22, 2.2.37, 2.2.38 were stuck for whole month.</t>
  </si>
  <si>
    <t>1. SR112280
2. SR108289</t>
  </si>
  <si>
    <t>1. New
2. Pending</t>
  </si>
  <si>
    <t>1. Inverter 1 was not communicating, and according to the meter data, it is offline due to a breaker issue. A case was raised on 03/24/25 to request support for the breaker replacement. it tripped offline again at 13:45 on 09/11 and back online at 12:35 on 11/20
2. The site tripped offline at 12:00 on 11/13 and came back online at 12:35 on 11/20. Additionally, Inverter 3 was offline starting on 11/20 and came back online at 14:20 on 11/26.
3. All inverters have morning and evening shading.</t>
  </si>
  <si>
    <t>1. SR107891
2. SR111065</t>
  </si>
  <si>
    <t>1.Pending
2. Closed</t>
  </si>
  <si>
    <t>SR111065</t>
  </si>
  <si>
    <t>1. Site had no communications since 07/03 and need to replace Modem and Datalogger.
2.One inverter was offline  or due to the active comms failure.</t>
  </si>
  <si>
    <t>1. SR104249, SR110688
2. SR108213, SR104249</t>
  </si>
  <si>
    <t>SR110688</t>
  </si>
  <si>
    <t>1. Inverters 1 and 2 tripped offline at 13:55 on 05/29 due to bad circuit breakers. Until the CBs are replaced, the inverters will remain offline.</t>
  </si>
  <si>
    <t>1. SR105759, SR109811</t>
  </si>
  <si>
    <t>1. Denied</t>
  </si>
  <si>
    <t>SR109811</t>
  </si>
  <si>
    <t>1. SR109509</t>
  </si>
  <si>
    <t>1. Work in 
Progress</t>
  </si>
  <si>
    <t>1. SR096348 SR111374
2. SR105126</t>
  </si>
  <si>
    <t>SR111374</t>
  </si>
  <si>
    <t>1. Inverter 1 was underproduced by 30kW compared to inverter 2 for whole month.</t>
  </si>
  <si>
    <t>1. SR108137</t>
  </si>
  <si>
    <t>. pending</t>
  </si>
  <si>
    <t>1. The inverter went offline at 10:50 on 10/14. After the technician replaced the RMA’d parts, the inverter came back online at 13:40 on 11/13.</t>
  </si>
  <si>
    <t>1. SR109477, SR110251</t>
  </si>
  <si>
    <t>SR110251</t>
  </si>
  <si>
    <t>1.  The inverter has tripped offline at 9:40 on 10/27/25 and reporting voltage fault, +5V fault and back online at 16:40 on 11/03.</t>
  </si>
  <si>
    <t>1. SR110142</t>
  </si>
  <si>
    <t>1. Inverter A stopped communicating at 11:15 on 04/08/25 due to a loss of communication with the meter. Production cannot be confirmed, and the inverter may have been offline. After the technician replaced the busbars and breaker, the inverter came back online at 16:40 on 11/26; however, the meter is still not communicating and requires further troubleshooting.
2. The site was offline from 12:50 to 16:40 on 11/26 while the technician was onsite working on Inverter A.</t>
  </si>
  <si>
    <t>1. SR099641, SR108625
2. SR108625</t>
  </si>
  <si>
    <t>1. Work in Progress
2. Work in Progress</t>
  </si>
  <si>
    <t>SR108625</t>
  </si>
  <si>
    <t>1. All Inverters was offline at 19:30 from 10/31 and back online at 09:35 on 11/06.
2. The site went offline at 15:40 on 11/06. After the technician re-energized the site, it came back online at 13:30 on 11/12.
3. SIte was offline at 11:00 on 11/13 and back online at 11:10 on 11/24.</t>
  </si>
  <si>
    <t>1. SR110496
2. SR110496
3. SR111066</t>
  </si>
  <si>
    <t>1. Closed
2. Closed
3. Pending</t>
  </si>
  <si>
    <t>SR110496</t>
  </si>
  <si>
    <t>SR111066</t>
  </si>
  <si>
    <t>1. All Inverters was offline at 08:47 from 11/01 and back online at 10:10 on 11/06.</t>
  </si>
  <si>
    <t>1. SR110496</t>
  </si>
  <si>
    <t>1. SR109808</t>
  </si>
  <si>
    <t>1. Inverter C06.017 was offline from 10/31 and it's under LOTO.
2. Inverters 6-17 was offline from 11/06 due to ground fault.
3. Site was offline at 08:25 on 11/19 and back online at 10:05 on 11/20
4. Inverter A.01.17 is being RMAD, and additionally, inverter C04.17 has been offline since 09/29.
5. Meter is reporting inaccurate energy values from 11/19.</t>
  </si>
  <si>
    <t>1. SR110538
2. SR110538
3. SR111367
4. SR108602
5. SR111336</t>
  </si>
  <si>
    <t xml:space="preserve">1. Pending
2. Pending 
3. Closed
4. Pending 
5. Pending 
</t>
  </si>
  <si>
    <t>SR110538</t>
  </si>
  <si>
    <t>SR111367</t>
  </si>
  <si>
    <t>SR108602</t>
  </si>
  <si>
    <t>SR111336</t>
  </si>
  <si>
    <t>December Actual v. Expected</t>
  </si>
  <si>
    <t>December Actual v. Forecasted</t>
  </si>
  <si>
    <t>1. Site production was low on 12/02, 12/14, 12/27 to 12/29.</t>
  </si>
  <si>
    <t>1. Site is producing barely for whole month due to snow.</t>
  </si>
  <si>
    <t>1.Meter was not communicated for whole month but production can be verified at interver</t>
  </si>
  <si>
    <t>1.	SR111409</t>
  </si>
  <si>
    <t>1.pending</t>
  </si>
  <si>
    <t>1. Site was offline on 12/02, 12/14 to 12/17, 12/30 due to snow.</t>
  </si>
  <si>
    <t>1. Site has low production on 12/02, 12/03, 12/06, 12/07, 12/10, 12/13 to 12/17 due to snow.</t>
  </si>
  <si>
    <t>1. Site production was low from 12/27 to 12/31 due to snow.</t>
  </si>
  <si>
    <t>1. Site production was low from 12/06 to 12/17 due to snow.</t>
  </si>
  <si>
    <t xml:space="preserve">1.Inverter 2 back online at 14:45 on 12/04
2. Meter 3 stopped communicating at 16:23 from 06/23 but production can be verified at inverter level. Meter has failed and needs to be replaced. Due to this the overall meter is reporting 200kW down than the produced value.
</t>
  </si>
  <si>
    <t>1.	SR110944
2.	SR107924</t>
  </si>
  <si>
    <t>1.closed
2.Deined</t>
  </si>
  <si>
    <t>1. Site production was low on 12/02 to 12/16, 12/23, 12/27, 12/28, due to snow.</t>
  </si>
  <si>
    <t>1. Meter was not communicated for whole month but production can be verified at interver
2. Site production was low due to snow.</t>
  </si>
  <si>
    <t xml:space="preserve">1.closed
</t>
  </si>
  <si>
    <t>1. Site production was low on 12/02 to 12/16, 12/23, due to snow.
2. Site was offline from 12/27 to end of the month.</t>
  </si>
  <si>
    <t>2. SR114087</t>
  </si>
  <si>
    <t>1. Inverter is barely producing, mostly remained offline and reporting "AC Surge Warning" from 11/27. There was snow accumulation and clearing at the site from past couple of days</t>
  </si>
  <si>
    <t>1.	SR111831</t>
  </si>
  <si>
    <t>1. Site was not communicated for whole month gpm need to troubleshoot from their end.  Tracking GPM support on identifying issue with site comms.</t>
  </si>
  <si>
    <t>1.	SR107459, 	SR113242</t>
  </si>
  <si>
    <t>1.closed , pending</t>
  </si>
  <si>
    <t>1.	SR109478</t>
  </si>
  <si>
    <t>1.workin progress</t>
  </si>
  <si>
    <t>1.	SR109483</t>
  </si>
  <si>
    <t>1.Meter was reported Zero on 12/24  to 12/28</t>
  </si>
  <si>
    <t>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
2. Site production was low on 12/3, 12/08, 12/09,12/10, 12/11, 12/13, 12/14, 12/15.</t>
  </si>
  <si>
    <t>1.SR106741</t>
  </si>
  <si>
    <t>1.SR111715</t>
  </si>
  <si>
    <t>1. The meter has been reporting 60 kW of production onsite since 07/25.
2. 14 replacement modules and connector repairs are needed onsite, along with 16 strings that require repair.
3. Inverter was offline from 12/20 to end of the month.</t>
  </si>
  <si>
    <t>1.SR105065
2.SR105063
3. SR113382</t>
  </si>
  <si>
    <t>1.pending
2.pending
3. Pending</t>
  </si>
  <si>
    <t>SR113382</t>
  </si>
  <si>
    <t>1.Incerter 3 was offline on 12/28 and it came back online on 12/31 at 14:30
2.site lost communication at 07:45 on 12/29 and site communication resoved on 12/31 at 14:30</t>
  </si>
  <si>
    <t>1.SR113697</t>
  </si>
  <si>
    <t>1.	 SR092276
2.		SR108962 ,SR113878</t>
  </si>
  <si>
    <t>1. Pending
2.closed,pending</t>
  </si>
  <si>
    <t>SR113878</t>
  </si>
  <si>
    <t>1.Inverter 1 was back online at 12:20 on 12/08</t>
  </si>
  <si>
    <t>1.	SR108839</t>
  </si>
  <si>
    <t>1. Weather station reporting zero from 16:20 on 05/20/25. Pending PO for weather station sensor
2. Combiner Box 1-4 - Multiple Strings reading low - string 1 has a blown fuse. Combiner Box 1-3 - string one reading low due to modules have some sort of fading in the front, Combiner Box 1-5 - May have multiple strings low on this one</t>
  </si>
  <si>
    <t>1.SR105133
2. SR110453</t>
  </si>
  <si>
    <t xml:space="preserve">1. Closed
2. Pending
</t>
  </si>
  <si>
    <t>1. Meter is reporting very low energy values for the month of November, possibly due to an energy configuration issue. Production is not affected and can be confirmed through meter power. Reached out to Trimark support for further assistance and inverter 3 was offline and inverter 4 was not communicating.
2. Trackers NCU 1 SPC 1.1.13, 1.1.16, 1.2.17, 1.2.38 and NCU 2 SPC 2.2.07, 2.2.22, 2.2.37, 2.2.38 were stuck for whole month.</t>
  </si>
  <si>
    <t>1. pending
2. Pending</t>
  </si>
  <si>
    <t xml:space="preserve">1.Inverter 1 tripped offline at 13:35 on 12/23 and it came back online at 12:40 on 12/29
2.All inverters have morning and evening shading.
</t>
  </si>
  <si>
    <t xml:space="preserve">1.SR102551
</t>
  </si>
  <si>
    <t>1.Pending
2. closed</t>
  </si>
  <si>
    <t>1.closed, deined</t>
  </si>
  <si>
    <t>1. 16 modules need to be replaced.</t>
  </si>
  <si>
    <t>1. 	SR109932</t>
  </si>
  <si>
    <t>1.Meter lost communication but inverter reporting production at 13:35 on 12/01
2. Site was back online on 12/01 at 13:35.</t>
  </si>
  <si>
    <t>1.SR112430
2. SR109509</t>
  </si>
  <si>
    <t>1.	SR110590</t>
  </si>
  <si>
    <t>1.pemding</t>
  </si>
  <si>
    <t>1.Weather station is reporting 0w/m2 during day timr.</t>
  </si>
  <si>
    <t>1.	SR107807</t>
  </si>
  <si>
    <t>1.closed</t>
  </si>
  <si>
    <t>1.  SR111374
2. SR105126</t>
  </si>
  <si>
    <t>1. Inverter 1 was underproduced by 30kW compared to inverter 2 for whole month</t>
  </si>
  <si>
    <t>1. SR108137 , SR112530</t>
  </si>
  <si>
    <t>1.SR110601</t>
  </si>
  <si>
    <t>1. PAD A meter reporting zero for whole month.</t>
  </si>
  <si>
    <t>1.Inverter 1 offline on 12/28
2.Site was offline at 08:20 on 12/09 and it came back online at 17:55 on 12/12</t>
  </si>
  <si>
    <t>1.	SR113696
2.	SR111066</t>
  </si>
  <si>
    <t xml:space="preserve">1.Closed
2.Closed
</t>
  </si>
  <si>
    <t>1. Inverter was offline from 12/01 to 12/17 at 07:00 and from 12/17 the inverter was derated to 20kW</t>
  </si>
  <si>
    <t>1. SR109808, SR113035</t>
  </si>
  <si>
    <t>1. closed, pending</t>
  </si>
  <si>
    <t>1.Inverter A02.15 tripped offline on 12/6/25 at 11:50 and it came back online at 11:50 on 12/31</t>
  </si>
  <si>
    <t>1.	SR112362</t>
  </si>
  <si>
    <t>1.Inverter C06.017 was offline from 10/31 and it's under LOTO.
2. site was offline at 8:55  on 12/10 and came back online at 10:55 on 12/12 but Pad 1 is not communication but online and producing on site.
3. Inverter D07.12  offline on 12/29 and not throwing any fault in the GPM portal.
4. Meter is reporting inaccurate energy values from 11/19.</t>
  </si>
  <si>
    <t>1.	SR112022
2.	SR112560
3.	SR113885
4.SR111336</t>
  </si>
  <si>
    <t>1.pending
2.pending
3.work inprogress
4.closed</t>
  </si>
  <si>
    <t>SR113885</t>
  </si>
  <si>
    <t>Portfolio:</t>
  </si>
  <si>
    <t>Silicon Ranch</t>
  </si>
  <si>
    <t>Site DAS Name</t>
  </si>
  <si>
    <t>Column1</t>
  </si>
  <si>
    <t>DAS</t>
  </si>
  <si>
    <t>zz.Iron Mountain - Windsor</t>
  </si>
  <si>
    <t>Iron Mountain - Windsor</t>
  </si>
  <si>
    <t>CT</t>
  </si>
  <si>
    <t>FA</t>
  </si>
  <si>
    <t>Green Power Monitor</t>
  </si>
  <si>
    <t>zz.Kohls - Auburn</t>
  </si>
  <si>
    <t>Kohls - Auburn</t>
  </si>
  <si>
    <t>NY</t>
  </si>
  <si>
    <t>zz.Kohls - Bensalem</t>
  </si>
  <si>
    <t>Kohls - Bensalem</t>
  </si>
  <si>
    <t>PA</t>
  </si>
  <si>
    <t>zz.Kohls - Brick</t>
  </si>
  <si>
    <t>Kohls - Brick</t>
  </si>
  <si>
    <t>NJ</t>
  </si>
  <si>
    <t>zz.Kohls - Buffalo</t>
  </si>
  <si>
    <t>Kohls - Buffalo</t>
  </si>
  <si>
    <t>zz.Kohls - Canton</t>
  </si>
  <si>
    <t>Kohls - Canton</t>
  </si>
  <si>
    <t>zz.Kohls - East Amherst</t>
  </si>
  <si>
    <t>Kohls - East Amherst</t>
  </si>
  <si>
    <t>zz.Kohls - East Brunswick</t>
  </si>
  <si>
    <t>Kohls - East Brunswick</t>
  </si>
  <si>
    <t>zz.Kohls - Edgewood</t>
  </si>
  <si>
    <t>Kohls - Edgewood</t>
  </si>
  <si>
    <t>MD</t>
  </si>
  <si>
    <t>zz.Kohls - Granite Run</t>
  </si>
  <si>
    <t>Kohls - Granite Run</t>
  </si>
  <si>
    <t>zz.Kohls - Greece</t>
  </si>
  <si>
    <t>Kohls - Greece</t>
  </si>
  <si>
    <t>zz.Kohls - Hanover</t>
  </si>
  <si>
    <t>Kohls - Hanover</t>
  </si>
  <si>
    <t>zz.Kohls - Horsehead</t>
  </si>
  <si>
    <t>Kohls - Horsehead</t>
  </si>
  <si>
    <t>zz.Kohls - Hudson</t>
  </si>
  <si>
    <t>Kohls - Hudson</t>
  </si>
  <si>
    <t>zz.Kohls - Ithaca</t>
  </si>
  <si>
    <t>Kohls - Ithaca</t>
  </si>
  <si>
    <t>zz.Kohls - Kingston</t>
  </si>
  <si>
    <t>Kohls - Kingston</t>
  </si>
  <si>
    <t>zz.Kohls - Mechanicsburg</t>
  </si>
  <si>
    <t>Kohls - Mechanicsburg</t>
  </si>
  <si>
    <t>zz.Kohls - Middletown</t>
  </si>
  <si>
    <t>Kohls - Middletown</t>
  </si>
  <si>
    <t>zz.Kohls - North Amherst</t>
  </si>
  <si>
    <t>Kohls - North Amherst</t>
  </si>
  <si>
    <t>zz.Kohls - Staten Island</t>
  </si>
  <si>
    <t>Kohls - Staten Island</t>
  </si>
  <si>
    <t>zz.Kohls - Warminster</t>
  </si>
  <si>
    <t>Kohls - Warminster</t>
  </si>
  <si>
    <t xml:space="preserve">zz.Kohls - Waterbury </t>
  </si>
  <si>
    <t xml:space="preserve">Kohls - Waterbury </t>
  </si>
  <si>
    <t>zz.Mojave Water Agency - Headquarters</t>
  </si>
  <si>
    <t>Mojave Water Agency - Headquarters</t>
  </si>
  <si>
    <t>CA</t>
  </si>
  <si>
    <t>zz.CSU - Bakersfield</t>
  </si>
  <si>
    <t>CSU - Bakersfield</t>
  </si>
  <si>
    <t>zz.Greenfield USD - Fairfield ES</t>
  </si>
  <si>
    <t>Greenfield USD - Fairfield ES</t>
  </si>
  <si>
    <t>zz.Greenfield USD - Granite Point ES</t>
  </si>
  <si>
    <t>Greenfield USD - Granite Point ES</t>
  </si>
  <si>
    <t>zz.Greenfield USD - Greenfield MS</t>
  </si>
  <si>
    <t>Greenfield USD - Greenfield MS</t>
  </si>
  <si>
    <t>zz.Greenfield USD - Horizon ES</t>
  </si>
  <si>
    <t>Greenfield USD - Horizon ES</t>
  </si>
  <si>
    <t>zz.Greenfield USD - McKee MS</t>
  </si>
  <si>
    <t>Greenfield USD - McKee MS</t>
  </si>
  <si>
    <t>zz.Greenfield USD - Plantation ES</t>
  </si>
  <si>
    <t>Greenfield USD - Plantation ES</t>
  </si>
  <si>
    <t>zz.Greenfield USD - Planz ES</t>
  </si>
  <si>
    <t>Greenfield USD - Planz ES</t>
  </si>
  <si>
    <t>zz.Greenfield USD - Raffaello Palla ES</t>
  </si>
  <si>
    <t>Greenfield USD - Raffaello Palla ES</t>
  </si>
  <si>
    <t>zz.Greenfield USD - Valle Verde ES</t>
  </si>
  <si>
    <t>Greenfield USD - Valle Verde ES</t>
  </si>
  <si>
    <t>zz.Greenfield USD - W.A. Kendrick ES</t>
  </si>
  <si>
    <t>Greenfield USD - W.A. Kendrick ES</t>
  </si>
  <si>
    <t>zz.Muroc Joint USD - Boron HS</t>
  </si>
  <si>
    <t>Muroc Joint USD - Boron HS</t>
  </si>
  <si>
    <t>zz.Muroc Joint USD - W. Boron ES</t>
  </si>
  <si>
    <t>Muroc Joint USD - W. Boron ES</t>
  </si>
  <si>
    <t>zz.Colusa - WTP</t>
  </si>
  <si>
    <t>Colusa - WTP</t>
  </si>
  <si>
    <t>zz.CDCR-North Kern State Prision</t>
  </si>
  <si>
    <t>CDCR-North Kern State Prision</t>
  </si>
  <si>
    <t>zz.Muroc Joint USD - District Office</t>
  </si>
  <si>
    <t>Muroc Joint USD - District Office</t>
  </si>
  <si>
    <t>zz.Whole Foods - Manhattan Beach</t>
  </si>
  <si>
    <t>Whole Foods - Manhattan Beach</t>
  </si>
  <si>
    <t>zz.Pioneer USD - Frontier ES</t>
  </si>
  <si>
    <t>Pioneer USD - Frontier ES</t>
  </si>
  <si>
    <t>zz.Pioneer USD - Pioneer ES</t>
  </si>
  <si>
    <t>Pioneer USD - Pioneer ES</t>
  </si>
  <si>
    <t>zz.Pioneer USD - Pioneer MS</t>
  </si>
  <si>
    <t>Pioneer USD - Pioneer MS</t>
  </si>
  <si>
    <t>zz.Kingsburg Joint UHSD - Kingsburg HS</t>
  </si>
  <si>
    <t>Kingsburg Joint UHSD - Kingsburg HS</t>
  </si>
  <si>
    <t>CADRB</t>
  </si>
  <si>
    <t>zz.CDCR-CA State Prison LA County</t>
  </si>
  <si>
    <t>CDCR-CA State Prison LA County</t>
  </si>
  <si>
    <t>zz.Central USD Akers ES</t>
  </si>
  <si>
    <t>Central USD Akers ES</t>
  </si>
  <si>
    <t>zz.CUSD - District Office</t>
  </si>
  <si>
    <t>CUSD - District Office</t>
  </si>
  <si>
    <t>zz.Parlier - WTP</t>
  </si>
  <si>
    <t>Parlier - WTP</t>
  </si>
  <si>
    <t>zz.Snowline SD - Quail Valley MS</t>
  </si>
  <si>
    <t>Snowline SD - Quail Valley MS</t>
  </si>
  <si>
    <t>zz.Snowline SD - Serrano HS - Middle Lot</t>
  </si>
  <si>
    <t>Snowline SD - Serrano HS - Middle Lot</t>
  </si>
  <si>
    <t>zz.Snowline SD - Pinon Hills ES</t>
  </si>
  <si>
    <t>Snowline SD - Pinon Hills ES</t>
  </si>
  <si>
    <t>zz.Ramona - Santa Maria WTP</t>
  </si>
  <si>
    <t>Ramona - Santa Maria WTP</t>
  </si>
  <si>
    <t>zz.Kohls - Redding</t>
  </si>
  <si>
    <t>Kohls - Redding</t>
  </si>
  <si>
    <t>zz.Kohls - Salinas</t>
  </si>
  <si>
    <t>Kohls - Salinas</t>
  </si>
  <si>
    <t>zz.Kohls - San Bernardino - Central</t>
  </si>
  <si>
    <t>Kohls - San Bernardino - Central</t>
  </si>
  <si>
    <t>zz.Kohls - Sonora</t>
  </si>
  <si>
    <t>Kohls - Sonora</t>
  </si>
  <si>
    <t>zz.CUSD - Stratford ES</t>
  </si>
  <si>
    <t>CUSD - Stratford ES</t>
  </si>
  <si>
    <t>zz.Taft - City Hall</t>
  </si>
  <si>
    <t>Taft - City Hall</t>
  </si>
  <si>
    <t>zz.Taft - Federal Prison</t>
  </si>
  <si>
    <t>Taft - Federal Prison</t>
  </si>
  <si>
    <t>zz.Taft - Police Department</t>
  </si>
  <si>
    <t>Taft - Police Department</t>
  </si>
  <si>
    <t>Taft - WTP</t>
  </si>
  <si>
    <t>zz.CDCR - CA Correctional Institution</t>
  </si>
  <si>
    <t>CDCR - CA Correctional Institution</t>
  </si>
  <si>
    <t>zz.CDCR - CA Correctional Institution II</t>
  </si>
  <si>
    <t>CDCR - CA Correctional Institution II</t>
  </si>
  <si>
    <t>zz.Snowline SD - Vista Verde ES</t>
  </si>
  <si>
    <t>Snowline SD - Vista Verde ES</t>
  </si>
  <si>
    <t>North Stonington - 450 Providence-New London Tpk</t>
  </si>
  <si>
    <t>North Stonington</t>
  </si>
  <si>
    <t>Litchfield</t>
  </si>
  <si>
    <t>CT: Torrington - 2-298 Rossi Road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</si>
</sst>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6">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theme="1"/>
      <name val="Calibri Light"/>
      <family val="2"/>
      <scheme val="major"/>
    </font>
    <font>
      <sz val="11"/>
      <color rgb="FF000000"/>
      <name val="Aptos Narrow"/>
      <family val="2"/>
    </font>
    <font>
      <sz val="8"/>
      <name val="Arial"/>
      <family val="2"/>
    </font>
    <font>
      <sz val="11"/>
      <name val="Calibri"/>
      <family val="2"/>
      <scheme val="minor"/>
    </font>
    <font>
      <sz val="11"/>
      <color rgb="FF000000"/>
      <name val="Calibri"/>
      <family val="2"/>
      <scheme val="minor"/>
    </font>
    <font>
      <sz val="12"/>
      <color theme="1"/>
      <name val="Calibri"/>
      <family val="2"/>
      <scheme val="minor"/>
    </font>
    <font>
      <sz val="12"/>
      <color rgb="FF000000"/>
      <name val="Calibri"/>
      <family val="2"/>
      <scheme val="minor"/>
    </font>
    <font>
      <sz val="11"/>
      <color rgb="FF242424"/>
      <name val="Calibri"/>
      <family val="2"/>
      <scheme val="minor"/>
    </font>
    <font>
      <u/>
      <sz val="10"/>
      <color theme="10"/>
      <name val="Arial"/>
      <family val="2"/>
    </font>
    <font>
      <u/>
      <sz val="10"/>
      <color rgb="FF0563C1"/>
      <name val="Arial"/>
      <charset val="1"/>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44" fillId="0" borderId="0" applyNumberFormat="0" applyFill="0" applyBorder="0" applyAlignment="0" applyProtection="0"/>
  </cellStyleXfs>
  <cellXfs count="135">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0" fillId="0" borderId="0" xfId="0" applyAlignment="1">
      <alignment horizontal="center" wrapText="1"/>
    </xf>
    <xf numFmtId="0" fontId="0" fillId="0" borderId="0" xfId="0" applyAlignment="1">
      <alignment horizontal="center" vertical="center"/>
    </xf>
    <xf numFmtId="0" fontId="23" fillId="0" borderId="0" xfId="43" applyFont="1" applyAlignment="1">
      <alignment horizontal="center" vertical="center"/>
    </xf>
    <xf numFmtId="49" fontId="28" fillId="40" borderId="0" xfId="0" applyNumberFormat="1" applyFont="1" applyFill="1" applyAlignment="1">
      <alignment horizontal="left" vertical="center"/>
    </xf>
    <xf numFmtId="49" fontId="28" fillId="0" borderId="0" xfId="0" applyNumberFormat="1" applyFont="1" applyAlignment="1">
      <alignment horizontal="left" vertical="center"/>
    </xf>
    <xf numFmtId="0" fontId="0" fillId="0" borderId="0" xfId="0" applyAlignment="1">
      <alignment horizontal="left" wrapText="1"/>
    </xf>
    <xf numFmtId="0" fontId="35" fillId="40" borderId="0" xfId="0" applyFont="1" applyFill="1" applyAlignment="1">
      <alignment horizontal="left"/>
    </xf>
    <xf numFmtId="0" fontId="28" fillId="0" borderId="0" xfId="0" applyFont="1" applyAlignment="1">
      <alignment horizontal="left" vertical="center"/>
    </xf>
    <xf numFmtId="0" fontId="28" fillId="40" borderId="0" xfId="0" applyFont="1" applyFill="1" applyAlignment="1">
      <alignment horizontal="left" vertical="center"/>
    </xf>
    <xf numFmtId="49" fontId="29" fillId="0" borderId="0" xfId="0" applyNumberFormat="1" applyFont="1" applyAlignment="1">
      <alignment vertical="top" wrapText="1"/>
    </xf>
    <xf numFmtId="49" fontId="29" fillId="0" borderId="0" xfId="0" applyNumberFormat="1" applyFont="1" applyAlignment="1">
      <alignment horizontal="left" vertical="top" wrapText="1"/>
    </xf>
    <xf numFmtId="49" fontId="36" fillId="0" borderId="0" xfId="0" applyNumberFormat="1" applyFont="1" applyAlignment="1">
      <alignment vertical="center" wrapText="1"/>
    </xf>
    <xf numFmtId="49" fontId="31" fillId="38" borderId="0" xfId="2" applyNumberFormat="1" applyFont="1" applyFill="1" applyBorder="1" applyAlignment="1">
      <alignment horizontal="left" vertical="top" wrapText="1"/>
    </xf>
    <xf numFmtId="49" fontId="28" fillId="0" borderId="0" xfId="0" applyNumberFormat="1" applyFont="1" applyAlignment="1">
      <alignment horizontal="left" vertical="top" wrapText="1"/>
    </xf>
    <xf numFmtId="49" fontId="29" fillId="0" borderId="0" xfId="0" applyNumberFormat="1" applyFont="1" applyAlignment="1">
      <alignment horizontal="left" vertical="center" wrapText="1"/>
    </xf>
    <xf numFmtId="49" fontId="28" fillId="0" borderId="0" xfId="0" applyNumberFormat="1" applyFont="1" applyAlignment="1">
      <alignment horizontal="left" vertical="center" wrapText="1"/>
    </xf>
    <xf numFmtId="49" fontId="28" fillId="0" borderId="0" xfId="0" applyNumberFormat="1" applyFont="1" applyAlignment="1">
      <alignment vertical="top" wrapText="1"/>
    </xf>
    <xf numFmtId="3" fontId="31" fillId="0" borderId="0" xfId="1" applyNumberFormat="1" applyFont="1" applyAlignment="1">
      <alignment vertical="center"/>
    </xf>
    <xf numFmtId="3" fontId="31" fillId="4" borderId="0" xfId="1" applyNumberFormat="1" applyFont="1" applyFill="1" applyAlignment="1">
      <alignment vertical="center"/>
    </xf>
    <xf numFmtId="164" fontId="29" fillId="44" borderId="0" xfId="1" applyNumberFormat="1" applyFont="1" applyFill="1" applyAlignment="1">
      <alignment horizontal="center" vertical="center"/>
    </xf>
    <xf numFmtId="49" fontId="31" fillId="38" borderId="0" xfId="2" applyNumberFormat="1" applyFont="1" applyFill="1" applyAlignment="1">
      <alignment vertical="top" wrapText="1"/>
    </xf>
    <xf numFmtId="164" fontId="29" fillId="0" borderId="0" xfId="1" applyNumberFormat="1" applyFont="1" applyAlignment="1">
      <alignment horizontal="center" vertical="center"/>
    </xf>
    <xf numFmtId="0" fontId="30" fillId="2" borderId="1" xfId="0" applyFont="1" applyFill="1" applyBorder="1" applyAlignment="1">
      <alignment horizontal="left" vertical="center" wrapText="1" indent="2"/>
    </xf>
    <xf numFmtId="0" fontId="29" fillId="40" borderId="0" xfId="0" applyFont="1" applyFill="1" applyAlignment="1">
      <alignment horizontal="left" vertical="center" indent="2"/>
    </xf>
    <xf numFmtId="0" fontId="29" fillId="0" borderId="0" xfId="0" applyFont="1" applyAlignment="1">
      <alignment horizontal="left" vertical="center" indent="2"/>
    </xf>
    <xf numFmtId="3" fontId="31" fillId="0" borderId="0" xfId="1" applyNumberFormat="1" applyFont="1" applyAlignment="1">
      <alignment horizontal="left" vertical="center" indent="2"/>
    </xf>
    <xf numFmtId="0" fontId="31" fillId="0" borderId="0" xfId="0" applyFont="1" applyAlignment="1">
      <alignment horizontal="left" indent="2"/>
    </xf>
    <xf numFmtId="0" fontId="26" fillId="0" borderId="0" xfId="0" applyFont="1" applyAlignment="1">
      <alignment horizontal="left" indent="2"/>
    </xf>
    <xf numFmtId="0" fontId="39" fillId="0" borderId="0" xfId="0" applyFont="1"/>
    <xf numFmtId="49" fontId="41" fillId="0" borderId="0" xfId="0" applyNumberFormat="1" applyFont="1" applyAlignment="1">
      <alignment horizontal="left" vertical="top" wrapText="1"/>
    </xf>
    <xf numFmtId="49" fontId="42" fillId="0" borderId="0" xfId="0" applyNumberFormat="1" applyFont="1" applyAlignment="1">
      <alignment horizontal="left" vertical="top" wrapText="1"/>
    </xf>
    <xf numFmtId="49" fontId="40" fillId="0" borderId="0" xfId="0" applyNumberFormat="1" applyFont="1" applyAlignment="1">
      <alignment horizontal="left" vertical="top" wrapText="1"/>
    </xf>
    <xf numFmtId="49" fontId="39" fillId="38" borderId="0" xfId="2" applyNumberFormat="1" applyFont="1" applyFill="1" applyBorder="1" applyAlignment="1">
      <alignment horizontal="left" vertical="top" wrapText="1"/>
    </xf>
    <xf numFmtId="0" fontId="43" fillId="0" borderId="0" xfId="0" applyFont="1" applyAlignment="1">
      <alignment horizontal="left" vertical="top" wrapText="1"/>
    </xf>
    <xf numFmtId="2" fontId="2" fillId="0" borderId="0" xfId="43" applyNumberFormat="1" applyAlignment="1">
      <alignment wrapText="1"/>
    </xf>
    <xf numFmtId="49" fontId="29" fillId="0" borderId="0" xfId="0" applyNumberFormat="1" applyFont="1" applyAlignment="1">
      <alignment horizontal="left" wrapText="1"/>
    </xf>
    <xf numFmtId="0" fontId="0" fillId="0" borderId="0" xfId="0" applyAlignment="1">
      <alignment wrapText="1"/>
    </xf>
    <xf numFmtId="3" fontId="31" fillId="0" borderId="0" xfId="1" applyNumberFormat="1" applyFont="1" applyFill="1" applyBorder="1" applyAlignment="1">
      <alignment horizontal="right" vertical="center"/>
    </xf>
    <xf numFmtId="3" fontId="26" fillId="36" borderId="1" xfId="1" applyNumberFormat="1" applyFont="1" applyFill="1" applyBorder="1" applyAlignment="1">
      <alignment horizontal="right" vertical="center"/>
    </xf>
    <xf numFmtId="0" fontId="25" fillId="42" borderId="1" xfId="0" applyFont="1" applyFill="1" applyBorder="1" applyAlignment="1">
      <alignment horizontal="right" vertical="center" wrapText="1"/>
    </xf>
    <xf numFmtId="0" fontId="33" fillId="0" borderId="0" xfId="0" applyFont="1" applyAlignment="1">
      <alignment horizontal="right" vertical="center"/>
    </xf>
    <xf numFmtId="0" fontId="0" fillId="0" borderId="0" xfId="0" applyAlignment="1">
      <alignment horizontal="right" vertical="center"/>
    </xf>
    <xf numFmtId="49" fontId="31" fillId="38" borderId="0" xfId="2" applyNumberFormat="1" applyFont="1" applyFill="1" applyAlignment="1">
      <alignment horizontal="left" vertical="top" wrapText="1"/>
    </xf>
    <xf numFmtId="49" fontId="44" fillId="0" borderId="0" xfId="45" applyNumberFormat="1" applyAlignment="1">
      <alignment vertical="top" wrapText="1"/>
    </xf>
    <xf numFmtId="49" fontId="44" fillId="38" borderId="0" xfId="45" applyNumberFormat="1" applyFill="1" applyBorder="1" applyAlignment="1">
      <alignment vertical="top" wrapText="1"/>
    </xf>
    <xf numFmtId="0" fontId="44" fillId="0" borderId="0" xfId="45"/>
    <xf numFmtId="49" fontId="44" fillId="0" borderId="0" xfId="45" applyNumberFormat="1" applyAlignment="1">
      <alignment horizontal="left" vertical="top" wrapText="1"/>
    </xf>
    <xf numFmtId="49" fontId="44" fillId="38" borderId="0" xfId="45" applyNumberFormat="1" applyFill="1" applyBorder="1" applyAlignment="1">
      <alignment horizontal="left" vertical="top" wrapText="1"/>
    </xf>
    <xf numFmtId="49" fontId="44" fillId="0" borderId="0" xfId="45" applyNumberFormat="1" applyAlignment="1">
      <alignment vertical="center" wrapText="1"/>
    </xf>
    <xf numFmtId="0" fontId="44" fillId="0" borderId="0" xfId="45" applyAlignment="1">
      <alignment horizontal="left" vertical="top" wrapText="1"/>
    </xf>
    <xf numFmtId="0" fontId="23" fillId="0" borderId="0" xfId="43" applyFont="1" applyAlignment="1">
      <alignment horizontal="left" wrapText="1"/>
    </xf>
    <xf numFmtId="0" fontId="23" fillId="0" borderId="0" xfId="43" applyFont="1"/>
    <xf numFmtId="9" fontId="31" fillId="0" borderId="0" xfId="2" applyFont="1" applyAlignment="1">
      <alignment horizontal="center" vertical="center"/>
    </xf>
    <xf numFmtId="0" fontId="0" fillId="0" borderId="0" xfId="0" applyAlignment="1">
      <alignment horizontal="left" vertical="top"/>
    </xf>
    <xf numFmtId="0" fontId="44" fillId="0" borderId="0" xfId="45" applyAlignment="1">
      <alignment horizontal="left" vertical="top"/>
    </xf>
    <xf numFmtId="0" fontId="37" fillId="0" borderId="0" xfId="0" applyFont="1" applyAlignment="1">
      <alignment horizontal="left" vertical="top" wrapText="1"/>
    </xf>
    <xf numFmtId="164" fontId="0" fillId="0" borderId="0" xfId="0" applyNumberFormat="1"/>
    <xf numFmtId="49" fontId="39" fillId="38" borderId="0" xfId="2" applyNumberFormat="1" applyFont="1" applyFill="1" applyAlignment="1">
      <alignment horizontal="left" vertical="top" wrapText="1"/>
    </xf>
    <xf numFmtId="49" fontId="29" fillId="0" borderId="0" xfId="0" applyNumberFormat="1" applyFont="1" applyAlignment="1">
      <alignment wrapText="1"/>
    </xf>
    <xf numFmtId="0" fontId="28" fillId="46" borderId="0" xfId="0" applyFont="1" applyFill="1" applyAlignment="1">
      <alignment horizontal="center" vertical="center"/>
    </xf>
    <xf numFmtId="0" fontId="29" fillId="46" borderId="0" xfId="0" applyFont="1" applyFill="1" applyAlignment="1">
      <alignment horizontal="center" vertical="center"/>
    </xf>
    <xf numFmtId="164" fontId="29" fillId="46" borderId="0" xfId="1" applyNumberFormat="1" applyFont="1" applyFill="1" applyBorder="1" applyAlignment="1">
      <alignment horizontal="center" vertical="center"/>
    </xf>
    <xf numFmtId="3" fontId="31" fillId="46" borderId="0" xfId="0" applyNumberFormat="1" applyFont="1" applyFill="1" applyAlignment="1">
      <alignment horizontal="right" vertical="center"/>
    </xf>
    <xf numFmtId="9" fontId="31" fillId="46" borderId="0" xfId="2" applyFont="1" applyFill="1" applyBorder="1" applyAlignment="1">
      <alignment horizontal="center" vertical="center"/>
    </xf>
    <xf numFmtId="3" fontId="31" fillId="46" borderId="0" xfId="1" applyNumberFormat="1" applyFont="1" applyFill="1" applyBorder="1" applyAlignment="1">
      <alignment vertical="center"/>
    </xf>
    <xf numFmtId="49" fontId="29" fillId="46" borderId="0" xfId="0" applyNumberFormat="1" applyFont="1" applyFill="1" applyAlignment="1">
      <alignment vertical="center" wrapText="1"/>
    </xf>
    <xf numFmtId="49" fontId="28" fillId="46" borderId="0" xfId="0" applyNumberFormat="1" applyFont="1" applyFill="1" applyAlignment="1">
      <alignment vertical="center" wrapText="1"/>
    </xf>
    <xf numFmtId="0" fontId="0" fillId="46" borderId="0" xfId="0" applyFill="1"/>
    <xf numFmtId="0" fontId="0" fillId="46" borderId="0" xfId="0" applyFill="1" applyAlignment="1">
      <alignment horizontal="left" vertical="top"/>
    </xf>
    <xf numFmtId="3" fontId="31" fillId="0" borderId="0" xfId="1" applyNumberFormat="1" applyFont="1" applyAlignment="1">
      <alignment horizontal="right" vertical="center"/>
    </xf>
    <xf numFmtId="0" fontId="6" fillId="0" borderId="0" xfId="0" applyFont="1" applyAlignment="1">
      <alignment horizontal="left" vertical="top"/>
    </xf>
    <xf numFmtId="0" fontId="34" fillId="0" borderId="0" xfId="0" applyFont="1" applyAlignment="1">
      <alignment horizontal="left" vertical="top"/>
    </xf>
    <xf numFmtId="0" fontId="6" fillId="45" borderId="1" xfId="0" applyFont="1" applyFill="1" applyBorder="1" applyAlignment="1">
      <alignment horizontal="left" vertical="top"/>
    </xf>
    <xf numFmtId="0" fontId="33" fillId="0" borderId="0" xfId="0" applyFont="1" applyAlignment="1">
      <alignment horizontal="left" vertical="top"/>
    </xf>
    <xf numFmtId="3" fontId="31" fillId="0" borderId="0" xfId="1" applyNumberFormat="1" applyFont="1" applyAlignment="1">
      <alignment vertical="top" wrapText="1"/>
    </xf>
    <xf numFmtId="3" fontId="44" fillId="0" borderId="0" xfId="45" applyNumberFormat="1" applyAlignment="1">
      <alignment vertical="top"/>
    </xf>
    <xf numFmtId="49" fontId="44" fillId="38" borderId="0" xfId="45" applyNumberFormat="1" applyFill="1" applyAlignment="1">
      <alignment vertical="top" wrapText="1"/>
    </xf>
    <xf numFmtId="0" fontId="28" fillId="0" borderId="0" xfId="0" applyFont="1" applyAlignment="1">
      <alignment horizontal="left" vertical="top"/>
    </xf>
    <xf numFmtId="3" fontId="31" fillId="0" borderId="0" xfId="1" applyNumberFormat="1" applyFont="1" applyAlignment="1">
      <alignment horizontal="left" vertical="top" wrapText="1"/>
    </xf>
    <xf numFmtId="3" fontId="31" fillId="0" borderId="0" xfId="1" applyNumberFormat="1" applyFont="1" applyFill="1" applyBorder="1" applyAlignment="1">
      <alignment horizontal="right"/>
    </xf>
    <xf numFmtId="0" fontId="0" fillId="0" borderId="0" xfId="0" applyAlignment="1">
      <alignment horizontal="left" vertical="top" wrapText="1"/>
    </xf>
    <xf numFmtId="3" fontId="31" fillId="4" borderId="0" xfId="1" applyNumberFormat="1" applyFont="1" applyFill="1" applyAlignment="1">
      <alignment horizontal="right" vertical="center"/>
    </xf>
    <xf numFmtId="0" fontId="0" fillId="0" borderId="0" xfId="0" applyAlignment="1">
      <alignment vertical="center"/>
    </xf>
    <xf numFmtId="3" fontId="31" fillId="4" borderId="0" xfId="1" applyNumberFormat="1" applyFont="1" applyFill="1" applyBorder="1" applyAlignment="1">
      <alignment horizontal="right"/>
    </xf>
    <xf numFmtId="49" fontId="44" fillId="38" borderId="0" xfId="45" applyNumberFormat="1" applyFill="1" applyAlignment="1">
      <alignment horizontal="left" vertical="top" wrapText="1"/>
    </xf>
    <xf numFmtId="0" fontId="45" fillId="0" borderId="0" xfId="0" applyFont="1"/>
    <xf numFmtId="49" fontId="1" fillId="0" borderId="0" xfId="0" applyNumberFormat="1" applyFont="1" applyAlignment="1">
      <alignment horizontal="left" vertical="top"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71">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Structure" Target="richData/rdrichvaluestructure.xml"/><Relationship Id="rId39" Type="http://schemas.openxmlformats.org/officeDocument/2006/relationships/customXml" Target="../customXml/item9.xml"/><Relationship Id="rId21" Type="http://schemas.openxmlformats.org/officeDocument/2006/relationships/connections" Target="connections.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17/10/relationships/person" Target="persons/person.xml"/><Relationship Id="rId11" Type="http://schemas.openxmlformats.org/officeDocument/2006/relationships/worksheet" Target="worksheets/sheet11.xml"/><Relationship Id="rId24" Type="http://schemas.openxmlformats.org/officeDocument/2006/relationships/sheetMetadata" Target="metadata.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powerPivotData" Target="model/item.data"/><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microsoft.com/office/2017/06/relationships/rdRichValueTypes" Target="richData/rdRichValueTyp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 Target="richData/rdrichvalue.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theme" Target="theme/theme1.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s>
</file>

<file path=xl/persons/person.xml><?xml version="1.0" encoding="utf-8"?>
<personList xmlns="http://schemas.microsoft.com/office/spreadsheetml/2018/threadedcomments" xmlns:x="http://schemas.openxmlformats.org/spreadsheetml/2006/main">
  <person displayName="Kusuma Potlada [AGS]" id="{FB56CCA9-C6B3-4A45-BA07-5F37199B638F}" userId="S::kusumapotlada@amgsol.com::a4794fd0-fb2a-418d-b379-bb3c7e6c0e3d" providerId="AD"/>
  <person displayName="Jayasri  Garapati [AGS]" id="{9926D1DD-A286-4523-8D5C-9CB3570AB5F9}" userId="S::JayasriGarapati@amgsol.com::282c909e-c88d-461e-8dcb-55676bfed37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66</v>
    <v>1</v>
  </rv>
</rvData>
</file>

<file path=xl/richData/rdrichvaluestructure.xml><?xml version="1.0" encoding="utf-8"?>
<rvStructures xmlns="http://schemas.microsoft.com/office/spreadsheetml/2017/richdata" count="1">
  <s t="_error">
    <k n="colOffset" t="i"/>
    <k n="errorType" t="i"/>
    <k n="rwOffset"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70" totalsRowShown="0">
  <autoFilter ref="A3:E70" xr:uid="{C9C95D9E-67ED-41E0-9F41-9C3DA4ACF4CD}"/>
  <sortState xmlns:xlrd2="http://schemas.microsoft.com/office/spreadsheetml/2017/richdata2" ref="A4:D6">
    <sortCondition ref="C3:C6"/>
  </sortState>
  <tableColumns count="5">
    <tableColumn id="3" xr3:uid="{3FB6FBC9-911C-415A-89D1-91E602B41CD0}" name="Site DAS Name" dataDxfId="10" dataCellStyle="Normal 2"/>
    <tableColumn id="1" xr3:uid="{9A753695-C18C-437C-AD9C-C2CE5C1A806E}" name="Site" dataDxfId="9" dataCellStyle="Normal 2"/>
    <tableColumn id="2" xr3:uid="{250F229D-34D2-4043-BE8F-6D9C210E223F}" name="State" dataDxfId="8" dataCellStyle="Normal 2"/>
    <tableColumn id="5" xr3:uid="{61DF2E38-E0FD-4D7E-AE61-BDFE8D5E1312}" name="Column1"/>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6" dT="2025-12-04T09:24:37.08" personId="{FB56CCA9-C6B3-4A45-BA07-5F37199B638F}" id="{4952F409-6E45-4AEF-B24D-A04DDC225189}">
    <text>Actual energy is taken from total inverter energy</text>
  </threadedComment>
  <threadedComment ref="C11" dT="2025-12-04T09:39:19.26" personId="{FB56CCA9-C6B3-4A45-BA07-5F37199B638F}" id="{CCBCB1E3-6BFF-4E73-BE23-7715326CEA40}">
    <text>Actual energy is taken from total inverter energy</text>
  </threadedComment>
  <threadedComment ref="C37" dT="2025-12-04T11:11:11.43" personId="{9926D1DD-A286-4523-8D5C-9CB3570AB5F9}" id="{FA3229AD-4956-43E8-82BE-1BAD4F677D82}">
    <text>Actual energy is taken from total inverter energy</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3" Type="http://schemas.openxmlformats.org/officeDocument/2006/relationships/hyperlink" Target="https://us3.assetplanner.com/service_request?ID=093127" TargetMode="External"/><Relationship Id="rId18" Type="http://schemas.openxmlformats.org/officeDocument/2006/relationships/hyperlink" Target="https://us3.assetplanner.com/service_request?ID=092023" TargetMode="External"/><Relationship Id="rId26" Type="http://schemas.openxmlformats.org/officeDocument/2006/relationships/hyperlink" Target="https://us3.assetplanner.com/service_request?ID=089461" TargetMode="External"/><Relationship Id="rId39" Type="http://schemas.openxmlformats.org/officeDocument/2006/relationships/hyperlink" Target="https://us3.assetplanner.com/service_request?ID=086220" TargetMode="External"/><Relationship Id="rId21" Type="http://schemas.openxmlformats.org/officeDocument/2006/relationships/hyperlink" Target="https://us3.assetplanner.com/service_request?ID=089464" TargetMode="External"/><Relationship Id="rId34" Type="http://schemas.openxmlformats.org/officeDocument/2006/relationships/hyperlink" Target="https://us3.assetplanner.com/service_request?ID=092603" TargetMode="External"/><Relationship Id="rId42" Type="http://schemas.openxmlformats.org/officeDocument/2006/relationships/hyperlink" Target="https://us3.assetplanner.com/service_request?ID=095191" TargetMode="External"/><Relationship Id="rId47" Type="http://schemas.openxmlformats.org/officeDocument/2006/relationships/hyperlink" Target="https://us3.assetplanner.com/service_request?ID=090293" TargetMode="External"/><Relationship Id="rId50" Type="http://schemas.openxmlformats.org/officeDocument/2006/relationships/hyperlink" Target="https://us3.assetplanner.com/service_request?ID=089474" TargetMode="External"/><Relationship Id="rId55" Type="http://schemas.openxmlformats.org/officeDocument/2006/relationships/hyperlink" Target="https://us3.assetplanner.com/service_request?ID=089477" TargetMode="External"/><Relationship Id="rId63" Type="http://schemas.openxmlformats.org/officeDocument/2006/relationships/hyperlink" Target="https://us3.assetplanner.com/service_request?ID=090296" TargetMode="External"/><Relationship Id="rId7" Type="http://schemas.openxmlformats.org/officeDocument/2006/relationships/hyperlink" Target="https://us3.assetplanner.com/service_request?ID=093440" TargetMode="External"/><Relationship Id="rId2" Type="http://schemas.openxmlformats.org/officeDocument/2006/relationships/hyperlink" Target="https://us3.assetplanner.com/service_request?ID=093917" TargetMode="External"/><Relationship Id="rId16" Type="http://schemas.openxmlformats.org/officeDocument/2006/relationships/hyperlink" Target="https://us3.assetplanner.com/service_request?ID=096157" TargetMode="External"/><Relationship Id="rId29" Type="http://schemas.openxmlformats.org/officeDocument/2006/relationships/hyperlink" Target="https://us3.assetplanner.com/service_request?ID=085968" TargetMode="External"/><Relationship Id="rId11" Type="http://schemas.openxmlformats.org/officeDocument/2006/relationships/hyperlink" Target="https://us3.assetplanner.com/service_request?ID=078720" TargetMode="External"/><Relationship Id="rId24" Type="http://schemas.openxmlformats.org/officeDocument/2006/relationships/hyperlink" Target="https://us3.assetplanner.com/service_request?ID=095356" TargetMode="External"/><Relationship Id="rId32" Type="http://schemas.openxmlformats.org/officeDocument/2006/relationships/hyperlink" Target="https://us3.assetplanner.com/service_request?ID=095592" TargetMode="External"/><Relationship Id="rId37" Type="http://schemas.openxmlformats.org/officeDocument/2006/relationships/hyperlink" Target="https://us3.assetplanner.com/service_request?ID=089612" TargetMode="External"/><Relationship Id="rId40" Type="http://schemas.openxmlformats.org/officeDocument/2006/relationships/hyperlink" Target="https://us3.assetplanner.com/service_request?ID=091312" TargetMode="External"/><Relationship Id="rId45" Type="http://schemas.openxmlformats.org/officeDocument/2006/relationships/hyperlink" Target="https://us3.assetplanner.com/service_request?ID=094545" TargetMode="External"/><Relationship Id="rId53" Type="http://schemas.openxmlformats.org/officeDocument/2006/relationships/hyperlink" Target="https://us3.assetplanner.com/service_request?ID=089477" TargetMode="External"/><Relationship Id="rId58" Type="http://schemas.openxmlformats.org/officeDocument/2006/relationships/hyperlink" Target="https://us3.assetplanner.com/service_request?ID=095705" TargetMode="External"/><Relationship Id="rId5" Type="http://schemas.openxmlformats.org/officeDocument/2006/relationships/hyperlink" Target="https://us3.assetplanner.com/service_request?ID=095860" TargetMode="External"/><Relationship Id="rId61" Type="http://schemas.openxmlformats.org/officeDocument/2006/relationships/hyperlink" Target="https://us3.assetplanner.com/service_request?ID=092171" TargetMode="External"/><Relationship Id="rId19" Type="http://schemas.openxmlformats.org/officeDocument/2006/relationships/hyperlink" Target="https://us3.assetplanner.com/service_request?ID=089707" TargetMode="External"/><Relationship Id="rId14" Type="http://schemas.openxmlformats.org/officeDocument/2006/relationships/hyperlink" Target="https://us3.assetplanner.com/service_request?ID=089763" TargetMode="External"/><Relationship Id="rId22" Type="http://schemas.openxmlformats.org/officeDocument/2006/relationships/hyperlink" Target="https://us3.assetplanner.com/service_request?ID=093180" TargetMode="External"/><Relationship Id="rId27" Type="http://schemas.openxmlformats.org/officeDocument/2006/relationships/hyperlink" Target="https://us3.assetplanner.com/service_request?ID=090375" TargetMode="External"/><Relationship Id="rId30" Type="http://schemas.openxmlformats.org/officeDocument/2006/relationships/hyperlink" Target="https://us3.assetplanner.com/service_request?ID=092256" TargetMode="External"/><Relationship Id="rId35" Type="http://schemas.openxmlformats.org/officeDocument/2006/relationships/hyperlink" Target="https://us3.assetplanner.com/service_request?ID=089612" TargetMode="External"/><Relationship Id="rId43" Type="http://schemas.openxmlformats.org/officeDocument/2006/relationships/hyperlink" Target="https://us3.assetplanner.com/service_request?ID=090965" TargetMode="External"/><Relationship Id="rId48" Type="http://schemas.openxmlformats.org/officeDocument/2006/relationships/hyperlink" Target="https://us3.assetplanner.com/service_request?ID=095854" TargetMode="External"/><Relationship Id="rId56" Type="http://schemas.openxmlformats.org/officeDocument/2006/relationships/hyperlink" Target="https://us3.assetplanner.com/service_request?ID=089732" TargetMode="External"/><Relationship Id="rId64" Type="http://schemas.openxmlformats.org/officeDocument/2006/relationships/printerSettings" Target="../printerSettings/printerSettings3.bin"/><Relationship Id="rId8" Type="http://schemas.openxmlformats.org/officeDocument/2006/relationships/hyperlink" Target="https://us3.assetplanner.com/service_request?ID=093861" TargetMode="External"/><Relationship Id="rId51" Type="http://schemas.openxmlformats.org/officeDocument/2006/relationships/hyperlink" Target="https://us3.assetplanner.com/service_request?ID=090381" TargetMode="External"/><Relationship Id="rId3" Type="http://schemas.openxmlformats.org/officeDocument/2006/relationships/hyperlink" Target="https://us3.assetplanner.com/service_request?ID=096145" TargetMode="External"/><Relationship Id="rId12" Type="http://schemas.openxmlformats.org/officeDocument/2006/relationships/hyperlink" Target="https://us3.assetplanner.com/service_request?ID=087994" TargetMode="External"/><Relationship Id="rId17" Type="http://schemas.openxmlformats.org/officeDocument/2006/relationships/hyperlink" Target="https://us3.assetplanner.com/service_request?ID=094440" TargetMode="External"/><Relationship Id="rId25" Type="http://schemas.openxmlformats.org/officeDocument/2006/relationships/hyperlink" Target="https://us3.assetplanner.com/service_request?ID=095083" TargetMode="External"/><Relationship Id="rId33" Type="http://schemas.openxmlformats.org/officeDocument/2006/relationships/hyperlink" Target="https://us3.assetplanner.com/service_request?ID=089470" TargetMode="External"/><Relationship Id="rId38" Type="http://schemas.openxmlformats.org/officeDocument/2006/relationships/hyperlink" Target="https://us3.assetplanner.com/service_request?ID=092166" TargetMode="External"/><Relationship Id="rId46" Type="http://schemas.openxmlformats.org/officeDocument/2006/relationships/hyperlink" Target="https://us3.assetplanner.com/service_request?ID=090734" TargetMode="External"/><Relationship Id="rId59" Type="http://schemas.openxmlformats.org/officeDocument/2006/relationships/hyperlink" Target="https://us3.assetplanner.com/service_request?ID=092170" TargetMode="External"/><Relationship Id="rId20" Type="http://schemas.openxmlformats.org/officeDocument/2006/relationships/hyperlink" Target="https://us3.assetplanner.com/service_request?ID=093065" TargetMode="External"/><Relationship Id="rId41" Type="http://schemas.openxmlformats.org/officeDocument/2006/relationships/hyperlink" Target="https://us3.assetplanner.com/service_request?ID=090370" TargetMode="External"/><Relationship Id="rId54" Type="http://schemas.openxmlformats.org/officeDocument/2006/relationships/hyperlink" Target="https://us3.assetplanner.com/service_request?ID=089477" TargetMode="External"/><Relationship Id="rId62" Type="http://schemas.openxmlformats.org/officeDocument/2006/relationships/hyperlink" Target="https://us3.assetplanner.com/service_request?ID=092455" TargetMode="External"/><Relationship Id="rId1" Type="http://schemas.openxmlformats.org/officeDocument/2006/relationships/hyperlink" Target="https://us3.assetplanner.com/service_request?ID=094211" TargetMode="External"/><Relationship Id="rId6" Type="http://schemas.openxmlformats.org/officeDocument/2006/relationships/hyperlink" Target="https://us3.assetplanner.com/service_request?ID=095654" TargetMode="External"/><Relationship Id="rId15" Type="http://schemas.openxmlformats.org/officeDocument/2006/relationships/hyperlink" Target="https://us3.assetplanner.com/service_request?ID=089669" TargetMode="External"/><Relationship Id="rId23" Type="http://schemas.openxmlformats.org/officeDocument/2006/relationships/hyperlink" Target="https://us3.assetplanner.com/service_request?ID=093174" TargetMode="External"/><Relationship Id="rId28" Type="http://schemas.openxmlformats.org/officeDocument/2006/relationships/hyperlink" Target="https://us3.assetplanner.com/service_request?ID=092276" TargetMode="External"/><Relationship Id="rId36" Type="http://schemas.openxmlformats.org/officeDocument/2006/relationships/hyperlink" Target="https://us3.assetplanner.com/service_request?ID=095339" TargetMode="External"/><Relationship Id="rId49" Type="http://schemas.openxmlformats.org/officeDocument/2006/relationships/hyperlink" Target="https://us3.assetplanner.com/service_request?ID=095449" TargetMode="External"/><Relationship Id="rId57" Type="http://schemas.openxmlformats.org/officeDocument/2006/relationships/hyperlink" Target="https://us3.assetplanner.com/service_request?ID=094323" TargetMode="External"/><Relationship Id="rId10" Type="http://schemas.openxmlformats.org/officeDocument/2006/relationships/hyperlink" Target="https://us3.assetplanner.com/service_request?ID=095623" TargetMode="External"/><Relationship Id="rId31" Type="http://schemas.openxmlformats.org/officeDocument/2006/relationships/hyperlink" Target="https://us3.assetplanner.com/service_request?ID=090090" TargetMode="External"/><Relationship Id="rId44" Type="http://schemas.openxmlformats.org/officeDocument/2006/relationships/hyperlink" Target="https://us3.assetplanner.com/service_request?ID=094547" TargetMode="External"/><Relationship Id="rId52" Type="http://schemas.openxmlformats.org/officeDocument/2006/relationships/hyperlink" Target="https://us3.assetplanner.com/service_request?ID=090380" TargetMode="External"/><Relationship Id="rId60" Type="http://schemas.openxmlformats.org/officeDocument/2006/relationships/hyperlink" Target="https://us3.assetplanner.com/service_request?ID=092456" TargetMode="External"/><Relationship Id="rId4" Type="http://schemas.openxmlformats.org/officeDocument/2006/relationships/hyperlink" Target="https://us3.assetplanner.com/service_request?ID=095177" TargetMode="External"/><Relationship Id="rId9" Type="http://schemas.openxmlformats.org/officeDocument/2006/relationships/hyperlink" Target="https://us3.assetplanner.com/service_request?ID=089189"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us3.assetplanner.com/service_request?ID=092171" TargetMode="External"/><Relationship Id="rId21" Type="http://schemas.openxmlformats.org/officeDocument/2006/relationships/hyperlink" Target="https://us3.assetplanner.com/service_request?ID=090293" TargetMode="External"/><Relationship Id="rId42" Type="http://schemas.openxmlformats.org/officeDocument/2006/relationships/hyperlink" Target="https://us3.assetplanner.com/service_request?ID=095592" TargetMode="External"/><Relationship Id="rId47" Type="http://schemas.openxmlformats.org/officeDocument/2006/relationships/hyperlink" Target="https://us3.assetplanner.com/service_request?ID=097012" TargetMode="External"/><Relationship Id="rId63" Type="http://schemas.openxmlformats.org/officeDocument/2006/relationships/hyperlink" Target="https://us3.assetplanner.com/service_request?ID=089477" TargetMode="External"/><Relationship Id="rId68" Type="http://schemas.openxmlformats.org/officeDocument/2006/relationships/hyperlink" Target="https://us3.assetplanner.com/service_request?ID=092455" TargetMode="External"/><Relationship Id="rId7" Type="http://schemas.openxmlformats.org/officeDocument/2006/relationships/hyperlink" Target="https://us3.assetplanner.com/service_request?ID=094440" TargetMode="External"/><Relationship Id="rId2" Type="http://schemas.openxmlformats.org/officeDocument/2006/relationships/hyperlink" Target="https://us3.assetplanner.com/service_request?ID=093917" TargetMode="External"/><Relationship Id="rId16" Type="http://schemas.openxmlformats.org/officeDocument/2006/relationships/hyperlink" Target="https://us3.assetplanner.com/service_request?ID=092166" TargetMode="External"/><Relationship Id="rId29" Type="http://schemas.openxmlformats.org/officeDocument/2006/relationships/hyperlink" Target="https://us3.assetplanner.com/service_request?ID=092023" TargetMode="External"/><Relationship Id="rId11" Type="http://schemas.openxmlformats.org/officeDocument/2006/relationships/hyperlink" Target="https://us3.assetplanner.com/service_request?ID=089461" TargetMode="External"/><Relationship Id="rId24" Type="http://schemas.openxmlformats.org/officeDocument/2006/relationships/hyperlink" Target="https://us3.assetplanner.com/service_request?ID=089732" TargetMode="External"/><Relationship Id="rId32" Type="http://schemas.openxmlformats.org/officeDocument/2006/relationships/hyperlink" Target="https://us3.assetplanner.com/service_request?ID=093180" TargetMode="External"/><Relationship Id="rId37" Type="http://schemas.openxmlformats.org/officeDocument/2006/relationships/hyperlink" Target="https://us3.assetplanner.com/service_request?ID=096514" TargetMode="External"/><Relationship Id="rId40" Type="http://schemas.openxmlformats.org/officeDocument/2006/relationships/hyperlink" Target="https://us3.assetplanner.com/service_request?ID=092256" TargetMode="External"/><Relationship Id="rId45" Type="http://schemas.openxmlformats.org/officeDocument/2006/relationships/hyperlink" Target="https://us3.assetplanner.com/service_request?ID=095339" TargetMode="External"/><Relationship Id="rId53" Type="http://schemas.openxmlformats.org/officeDocument/2006/relationships/hyperlink" Target="https://us3.assetplanner.com/service_request?ID=094547" TargetMode="External"/><Relationship Id="rId58" Type="http://schemas.openxmlformats.org/officeDocument/2006/relationships/hyperlink" Target="https://us3.assetplanner.com/service_request?ID=090381" TargetMode="External"/><Relationship Id="rId66" Type="http://schemas.openxmlformats.org/officeDocument/2006/relationships/hyperlink" Target="https://us3.assetplanner.com/service_request?ID=092170" TargetMode="External"/><Relationship Id="rId5" Type="http://schemas.openxmlformats.org/officeDocument/2006/relationships/hyperlink" Target="https://us3.assetplanner.com/service_request?ID=097907" TargetMode="External"/><Relationship Id="rId61" Type="http://schemas.openxmlformats.org/officeDocument/2006/relationships/hyperlink" Target="https://us3.assetplanner.com/service_request?ID=089477" TargetMode="External"/><Relationship Id="rId19" Type="http://schemas.openxmlformats.org/officeDocument/2006/relationships/hyperlink" Target="https://us3.assetplanner.com/service_request?ID=090965" TargetMode="External"/><Relationship Id="rId14" Type="http://schemas.openxmlformats.org/officeDocument/2006/relationships/hyperlink" Target="https://us3.assetplanner.com/service_request?ID=089470" TargetMode="External"/><Relationship Id="rId22" Type="http://schemas.openxmlformats.org/officeDocument/2006/relationships/hyperlink" Target="https://us3.assetplanner.com/service_request?ID=095449" TargetMode="External"/><Relationship Id="rId27" Type="http://schemas.openxmlformats.org/officeDocument/2006/relationships/hyperlink" Target="https://us3.assetplanner.com/service_request?ID=096145" TargetMode="External"/><Relationship Id="rId30" Type="http://schemas.openxmlformats.org/officeDocument/2006/relationships/hyperlink" Target="https://us3.assetplanner.com/service_request?ID=089707" TargetMode="External"/><Relationship Id="rId35" Type="http://schemas.openxmlformats.org/officeDocument/2006/relationships/hyperlink" Target="https://us3.assetplanner.com/service_request?ID=096916" TargetMode="External"/><Relationship Id="rId43" Type="http://schemas.openxmlformats.org/officeDocument/2006/relationships/hyperlink" Target="https://us3.assetplanner.com/service_request?ID=095592" TargetMode="External"/><Relationship Id="rId48" Type="http://schemas.openxmlformats.org/officeDocument/2006/relationships/hyperlink" Target="https://us3.assetplanner.com/service_request?ID=089612" TargetMode="External"/><Relationship Id="rId56" Type="http://schemas.openxmlformats.org/officeDocument/2006/relationships/hyperlink" Target="https://us3.assetplanner.com/service_request?ID=093474" TargetMode="External"/><Relationship Id="rId64" Type="http://schemas.openxmlformats.org/officeDocument/2006/relationships/hyperlink" Target="https://us3.assetplanner.com/service_request?ID=096348" TargetMode="External"/><Relationship Id="rId69" Type="http://schemas.openxmlformats.org/officeDocument/2006/relationships/hyperlink" Target="https://us3.assetplanner.com/service_request?ID=090296" TargetMode="External"/><Relationship Id="rId8" Type="http://schemas.openxmlformats.org/officeDocument/2006/relationships/hyperlink" Target="https://us3.assetplanner.com/service_request?ID=095163" TargetMode="External"/><Relationship Id="rId51" Type="http://schemas.openxmlformats.org/officeDocument/2006/relationships/hyperlink" Target="https://us3.assetplanner.com/service_request?ID=086220" TargetMode="External"/><Relationship Id="rId3" Type="http://schemas.openxmlformats.org/officeDocument/2006/relationships/hyperlink" Target="https://us3.assetplanner.com/service_request?ID=093440" TargetMode="External"/><Relationship Id="rId12" Type="http://schemas.openxmlformats.org/officeDocument/2006/relationships/hyperlink" Target="https://us3.assetplanner.com/service_request?ID=092276" TargetMode="External"/><Relationship Id="rId17" Type="http://schemas.openxmlformats.org/officeDocument/2006/relationships/hyperlink" Target="https://us3.assetplanner.com/service_request?ID=090370" TargetMode="External"/><Relationship Id="rId25" Type="http://schemas.openxmlformats.org/officeDocument/2006/relationships/hyperlink" Target="https://us3.assetplanner.com/service_request?ID=097774" TargetMode="External"/><Relationship Id="rId33" Type="http://schemas.openxmlformats.org/officeDocument/2006/relationships/hyperlink" Target="https://us3.assetplanner.com/service_request?ID=093174" TargetMode="External"/><Relationship Id="rId38" Type="http://schemas.openxmlformats.org/officeDocument/2006/relationships/hyperlink" Target="https://us3.assetplanner.com/service_request?ID=090375" TargetMode="External"/><Relationship Id="rId46" Type="http://schemas.openxmlformats.org/officeDocument/2006/relationships/hyperlink" Target="https://us3.assetplanner.com/service_request?ID=095385" TargetMode="External"/><Relationship Id="rId59" Type="http://schemas.openxmlformats.org/officeDocument/2006/relationships/hyperlink" Target="https://us3.assetplanner.com/service_request?ID=090380" TargetMode="External"/><Relationship Id="rId67" Type="http://schemas.openxmlformats.org/officeDocument/2006/relationships/hyperlink" Target="https://us3.assetplanner.com/service_request?ID=092456" TargetMode="External"/><Relationship Id="rId20" Type="http://schemas.openxmlformats.org/officeDocument/2006/relationships/hyperlink" Target="https://us3.assetplanner.com/service_request?ID=090734" TargetMode="External"/><Relationship Id="rId41" Type="http://schemas.openxmlformats.org/officeDocument/2006/relationships/hyperlink" Target="https://us3.assetplanner.com/service_request?ID=090090" TargetMode="External"/><Relationship Id="rId54" Type="http://schemas.openxmlformats.org/officeDocument/2006/relationships/hyperlink" Target="https://us3.assetplanner.com/service_request?ID=094545" TargetMode="External"/><Relationship Id="rId62" Type="http://schemas.openxmlformats.org/officeDocument/2006/relationships/hyperlink" Target="https://us3.assetplanner.com/service_request?ID=096348" TargetMode="External"/><Relationship Id="rId1" Type="http://schemas.openxmlformats.org/officeDocument/2006/relationships/hyperlink" Target="https://us3.assetplanner.com/service_request?ID=097572" TargetMode="External"/><Relationship Id="rId6" Type="http://schemas.openxmlformats.org/officeDocument/2006/relationships/hyperlink" Target="https://us3.assetplanner.com/service_request?ID=089763" TargetMode="External"/><Relationship Id="rId15" Type="http://schemas.openxmlformats.org/officeDocument/2006/relationships/hyperlink" Target="https://us3.assetplanner.com/service_request?ID=089612" TargetMode="External"/><Relationship Id="rId23" Type="http://schemas.openxmlformats.org/officeDocument/2006/relationships/hyperlink" Target="https://us3.assetplanner.com/service_request?ID=089477" TargetMode="External"/><Relationship Id="rId28" Type="http://schemas.openxmlformats.org/officeDocument/2006/relationships/hyperlink" Target="https://us3.assetplanner.com/service_request?ID=093861" TargetMode="External"/><Relationship Id="rId36" Type="http://schemas.openxmlformats.org/officeDocument/2006/relationships/hyperlink" Target="https://us3.assetplanner.com/service_request?ID=092739" TargetMode="External"/><Relationship Id="rId49" Type="http://schemas.openxmlformats.org/officeDocument/2006/relationships/hyperlink" Target="https://us3.assetplanner.com/service_request?ID=095385" TargetMode="External"/><Relationship Id="rId57" Type="http://schemas.openxmlformats.org/officeDocument/2006/relationships/hyperlink" Target="https://us3.assetplanner.com/service_request?ID=089474" TargetMode="External"/><Relationship Id="rId10" Type="http://schemas.openxmlformats.org/officeDocument/2006/relationships/hyperlink" Target="https://us3.assetplanner.com/service_request?ID=092739" TargetMode="External"/><Relationship Id="rId31" Type="http://schemas.openxmlformats.org/officeDocument/2006/relationships/hyperlink" Target="https://us3.assetplanner.com/service_request?ID=093065" TargetMode="External"/><Relationship Id="rId44" Type="http://schemas.openxmlformats.org/officeDocument/2006/relationships/hyperlink" Target="https://us3.assetplanner.com/service_request?ID=092603" TargetMode="External"/><Relationship Id="rId52" Type="http://schemas.openxmlformats.org/officeDocument/2006/relationships/hyperlink" Target="https://us3.assetplanner.com/service_request?ID=091312" TargetMode="External"/><Relationship Id="rId60" Type="http://schemas.openxmlformats.org/officeDocument/2006/relationships/hyperlink" Target="https://us3.assetplanner.com/service_request?ID=096348" TargetMode="External"/><Relationship Id="rId65" Type="http://schemas.openxmlformats.org/officeDocument/2006/relationships/hyperlink" Target="https://us3.assetplanner.com/service_request?ID=094323" TargetMode="External"/><Relationship Id="rId4" Type="http://schemas.openxmlformats.org/officeDocument/2006/relationships/hyperlink" Target="https://us3.assetplanner.com/service_request?ID=095623" TargetMode="External"/><Relationship Id="rId9" Type="http://schemas.openxmlformats.org/officeDocument/2006/relationships/hyperlink" Target="https://us3.assetplanner.com/service_request?ID=089464" TargetMode="External"/><Relationship Id="rId13" Type="http://schemas.openxmlformats.org/officeDocument/2006/relationships/hyperlink" Target="https://us3.assetplanner.com/service_request?ID=085968" TargetMode="External"/><Relationship Id="rId18" Type="http://schemas.openxmlformats.org/officeDocument/2006/relationships/hyperlink" Target="https://us3.assetplanner.com/service_request?ID=097912" TargetMode="External"/><Relationship Id="rId39" Type="http://schemas.openxmlformats.org/officeDocument/2006/relationships/hyperlink" Target="https://us3.assetplanner.com/service_request?ID=098018" TargetMode="External"/><Relationship Id="rId34" Type="http://schemas.openxmlformats.org/officeDocument/2006/relationships/hyperlink" Target="https://us3.assetplanner.com/service_request?ID=095356" TargetMode="External"/><Relationship Id="rId50" Type="http://schemas.openxmlformats.org/officeDocument/2006/relationships/hyperlink" Target="https://us3.assetplanner.com/service_request?ID=097558" TargetMode="External"/><Relationship Id="rId55" Type="http://schemas.openxmlformats.org/officeDocument/2006/relationships/hyperlink" Target="https://us3.assetplanner.com/service_request?ID=095854"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us3.assetplanner.com/service_request?ID=098524" TargetMode="External"/><Relationship Id="rId21" Type="http://schemas.openxmlformats.org/officeDocument/2006/relationships/hyperlink" Target="https://us3.assetplanner.com/service_request?ID=093180" TargetMode="External"/><Relationship Id="rId42" Type="http://schemas.openxmlformats.org/officeDocument/2006/relationships/hyperlink" Target="https://us3.assetplanner.com/service_request?ID=097012" TargetMode="External"/><Relationship Id="rId47" Type="http://schemas.openxmlformats.org/officeDocument/2006/relationships/hyperlink" Target="https://us3.assetplanner.com/service_request?ID=086220" TargetMode="External"/><Relationship Id="rId63" Type="http://schemas.openxmlformats.org/officeDocument/2006/relationships/hyperlink" Target="https://us3.assetplanner.com/service_request?ID=095449" TargetMode="External"/><Relationship Id="rId68" Type="http://schemas.openxmlformats.org/officeDocument/2006/relationships/hyperlink" Target="https://us3.assetplanner.com/service_request?ID=089477" TargetMode="External"/><Relationship Id="rId84" Type="http://schemas.openxmlformats.org/officeDocument/2006/relationships/hyperlink" Target="https://us3.assetplanner.com/service_request?ID=098666" TargetMode="External"/><Relationship Id="rId89" Type="http://schemas.openxmlformats.org/officeDocument/2006/relationships/hyperlink" Target="https://us3.assetplanner.com/service_request?ID=098382" TargetMode="External"/><Relationship Id="rId16" Type="http://schemas.openxmlformats.org/officeDocument/2006/relationships/hyperlink" Target="https://us3.assetplanner.com/service_request?ID=095163" TargetMode="External"/><Relationship Id="rId11" Type="http://schemas.openxmlformats.org/officeDocument/2006/relationships/hyperlink" Target="https://us3.assetplanner.com/service_request?ID=097907" TargetMode="External"/><Relationship Id="rId32" Type="http://schemas.openxmlformats.org/officeDocument/2006/relationships/hyperlink" Target="https://us3.assetplanner.com/service_request?ID=092276" TargetMode="External"/><Relationship Id="rId37" Type="http://schemas.openxmlformats.org/officeDocument/2006/relationships/hyperlink" Target="https://us3.assetplanner.com/service_request?ID=089470" TargetMode="External"/><Relationship Id="rId53" Type="http://schemas.openxmlformats.org/officeDocument/2006/relationships/hyperlink" Target="https://us3.assetplanner.com/service_request?ID=098713" TargetMode="External"/><Relationship Id="rId58" Type="http://schemas.openxmlformats.org/officeDocument/2006/relationships/hyperlink" Target="https://us3.assetplanner.com/service_request?ID=095418" TargetMode="External"/><Relationship Id="rId74" Type="http://schemas.openxmlformats.org/officeDocument/2006/relationships/hyperlink" Target="https://us3.assetplanner.com/service_request?ID=097948" TargetMode="External"/><Relationship Id="rId79" Type="http://schemas.openxmlformats.org/officeDocument/2006/relationships/hyperlink" Target="https://us3.assetplanner.com/service_request?ID=098476" TargetMode="External"/><Relationship Id="rId5" Type="http://schemas.openxmlformats.org/officeDocument/2006/relationships/hyperlink" Target="https://us3.assetplanner.com/service_request?ID=096145" TargetMode="External"/><Relationship Id="rId90" Type="http://schemas.openxmlformats.org/officeDocument/2006/relationships/hyperlink" Target="https://us3.assetplanner.com/service_request?ID=098434" TargetMode="External"/><Relationship Id="rId14" Type="http://schemas.openxmlformats.org/officeDocument/2006/relationships/hyperlink" Target="https://us3.assetplanner.com/service_request?ID=092298" TargetMode="External"/><Relationship Id="rId22" Type="http://schemas.openxmlformats.org/officeDocument/2006/relationships/hyperlink" Target="https://us3.assetplanner.com/service_request?ID=093174" TargetMode="External"/><Relationship Id="rId27" Type="http://schemas.openxmlformats.org/officeDocument/2006/relationships/hyperlink" Target="https://us3.assetplanner.com/service_request?ID=098586" TargetMode="External"/><Relationship Id="rId30" Type="http://schemas.openxmlformats.org/officeDocument/2006/relationships/hyperlink" Target="https://us3.assetplanner.com/service_request?ID=090375" TargetMode="External"/><Relationship Id="rId35" Type="http://schemas.openxmlformats.org/officeDocument/2006/relationships/hyperlink" Target="https://us3.assetplanner.com/service_request?ID=090090" TargetMode="External"/><Relationship Id="rId43" Type="http://schemas.openxmlformats.org/officeDocument/2006/relationships/hyperlink" Target="https://us3.assetplanner.com/service_request?ID=089612" TargetMode="External"/><Relationship Id="rId48" Type="http://schemas.openxmlformats.org/officeDocument/2006/relationships/hyperlink" Target="https://us3.assetplanner.com/service_request?ID=091312" TargetMode="External"/><Relationship Id="rId56" Type="http://schemas.openxmlformats.org/officeDocument/2006/relationships/hyperlink" Target="https://us3.assetplanner.com/service_request?ID=094545" TargetMode="External"/><Relationship Id="rId64" Type="http://schemas.openxmlformats.org/officeDocument/2006/relationships/hyperlink" Target="https://us3.assetplanner.com/service_request?ID=093474" TargetMode="External"/><Relationship Id="rId69" Type="http://schemas.openxmlformats.org/officeDocument/2006/relationships/hyperlink" Target="https://us3.assetplanner.com/service_request?ID=096348" TargetMode="External"/><Relationship Id="rId77" Type="http://schemas.openxmlformats.org/officeDocument/2006/relationships/hyperlink" Target="https://us3.assetplanner.com/service_request?ID=092170" TargetMode="External"/><Relationship Id="rId8" Type="http://schemas.openxmlformats.org/officeDocument/2006/relationships/hyperlink" Target="https://us3.assetplanner.com/service_request?ID=093861" TargetMode="External"/><Relationship Id="rId51" Type="http://schemas.openxmlformats.org/officeDocument/2006/relationships/hyperlink" Target="https://us3.assetplanner.com/service_request?ID=090370" TargetMode="External"/><Relationship Id="rId72" Type="http://schemas.openxmlformats.org/officeDocument/2006/relationships/hyperlink" Target="https://us3.assetplanner.com/service_request?ID=089477" TargetMode="External"/><Relationship Id="rId80" Type="http://schemas.openxmlformats.org/officeDocument/2006/relationships/hyperlink" Target="https://us3.assetplanner.com/service_request?ID=096410" TargetMode="External"/><Relationship Id="rId85" Type="http://schemas.openxmlformats.org/officeDocument/2006/relationships/hyperlink" Target="https://us3.assetplanner.com/service_request?ID=098778" TargetMode="External"/><Relationship Id="rId3" Type="http://schemas.openxmlformats.org/officeDocument/2006/relationships/hyperlink" Target="https://us3.assetplanner.com/service_request?ID=096237" TargetMode="External"/><Relationship Id="rId12" Type="http://schemas.openxmlformats.org/officeDocument/2006/relationships/hyperlink" Target="https://us3.assetplanner.com/service_request?ID=098973" TargetMode="External"/><Relationship Id="rId17" Type="http://schemas.openxmlformats.org/officeDocument/2006/relationships/hyperlink" Target="https://us3.assetplanner.com/service_request?ID=092023" TargetMode="External"/><Relationship Id="rId25" Type="http://schemas.openxmlformats.org/officeDocument/2006/relationships/hyperlink" Target="https://us3.assetplanner.com/service_request?ID=097976" TargetMode="External"/><Relationship Id="rId33" Type="http://schemas.openxmlformats.org/officeDocument/2006/relationships/hyperlink" Target="https://us3.assetplanner.com/service_request?ID=085968" TargetMode="External"/><Relationship Id="rId38" Type="http://schemas.openxmlformats.org/officeDocument/2006/relationships/hyperlink" Target="https://us3.assetplanner.com/service_request?ID=092603" TargetMode="External"/><Relationship Id="rId46" Type="http://schemas.openxmlformats.org/officeDocument/2006/relationships/hyperlink" Target="https://us3.assetplanner.com/service_request?ID=097558" TargetMode="External"/><Relationship Id="rId59" Type="http://schemas.openxmlformats.org/officeDocument/2006/relationships/hyperlink" Target="https://us3.assetplanner.com/service_request?ID=090293" TargetMode="External"/><Relationship Id="rId67" Type="http://schemas.openxmlformats.org/officeDocument/2006/relationships/hyperlink" Target="https://us3.assetplanner.com/service_request?ID=098826" TargetMode="External"/><Relationship Id="rId20" Type="http://schemas.openxmlformats.org/officeDocument/2006/relationships/hyperlink" Target="https://us3.assetplanner.com/service_request?ID=089464" TargetMode="External"/><Relationship Id="rId41" Type="http://schemas.openxmlformats.org/officeDocument/2006/relationships/hyperlink" Target="https://us3.assetplanner.com/service_request?ID=095385" TargetMode="External"/><Relationship Id="rId54" Type="http://schemas.openxmlformats.org/officeDocument/2006/relationships/hyperlink" Target="https://us3.assetplanner.com/service_request?ID=097912" TargetMode="External"/><Relationship Id="rId62" Type="http://schemas.openxmlformats.org/officeDocument/2006/relationships/hyperlink" Target="https://us3.assetplanner.com/service_request?ID=098183" TargetMode="External"/><Relationship Id="rId70" Type="http://schemas.openxmlformats.org/officeDocument/2006/relationships/hyperlink" Target="https://us3.assetplanner.com/service_request?ID=089477" TargetMode="External"/><Relationship Id="rId75" Type="http://schemas.openxmlformats.org/officeDocument/2006/relationships/hyperlink" Target="https://us3.assetplanner.com/service_request?ID=095559" TargetMode="External"/><Relationship Id="rId83" Type="http://schemas.openxmlformats.org/officeDocument/2006/relationships/hyperlink" Target="https://us3.assetplanner.com/service_request?ID=090296" TargetMode="External"/><Relationship Id="rId88" Type="http://schemas.openxmlformats.org/officeDocument/2006/relationships/hyperlink" Target="https://us3.assetplanner.com/service_request?ID=098350" TargetMode="External"/><Relationship Id="rId91" Type="http://schemas.openxmlformats.org/officeDocument/2006/relationships/hyperlink" Target="http://us3.assetplanner.com/service_request?FindQS=RepID%3D397%26DateField%3DCREATED%26DateRange%3D0%26FacilityID%3D41931%26FacilityStatus%3DActive%26Find%3D1&amp;ID=99206" TargetMode="External"/><Relationship Id="rId1" Type="http://schemas.openxmlformats.org/officeDocument/2006/relationships/hyperlink" Target="https://us3.assetplanner.com/service_request?ID=096237" TargetMode="External"/><Relationship Id="rId6" Type="http://schemas.openxmlformats.org/officeDocument/2006/relationships/hyperlink" Target="https://us3.assetplanner.com/service_request?ID=095177" TargetMode="External"/><Relationship Id="rId15" Type="http://schemas.openxmlformats.org/officeDocument/2006/relationships/hyperlink" Target="https://us3.assetplanner.com/service_request?ID=094440" TargetMode="External"/><Relationship Id="rId23" Type="http://schemas.openxmlformats.org/officeDocument/2006/relationships/hyperlink" Target="https://us3.assetplanner.com/service_request?ID=095356" TargetMode="External"/><Relationship Id="rId28" Type="http://schemas.openxmlformats.org/officeDocument/2006/relationships/hyperlink" Target="https://us3.assetplanner.com/service_request?ID=092753" TargetMode="External"/><Relationship Id="rId36" Type="http://schemas.openxmlformats.org/officeDocument/2006/relationships/hyperlink" Target="https://us3.assetplanner.com/service_request?ID=095592" TargetMode="External"/><Relationship Id="rId49" Type="http://schemas.openxmlformats.org/officeDocument/2006/relationships/hyperlink" Target="https://us3.assetplanner.com/service_request?ID=098397" TargetMode="External"/><Relationship Id="rId57" Type="http://schemas.openxmlformats.org/officeDocument/2006/relationships/hyperlink" Target="https://us3.assetplanner.com/service_request?ID=090734" TargetMode="External"/><Relationship Id="rId10" Type="http://schemas.openxmlformats.org/officeDocument/2006/relationships/hyperlink" Target="https://us3.assetplanner.com/service_request?ID=098185" TargetMode="External"/><Relationship Id="rId31" Type="http://schemas.openxmlformats.org/officeDocument/2006/relationships/hyperlink" Target="https://us3.assetplanner.com/service_request?ID=098018" TargetMode="External"/><Relationship Id="rId44" Type="http://schemas.openxmlformats.org/officeDocument/2006/relationships/hyperlink" Target="https://us3.assetplanner.com/service_request?ID=095385" TargetMode="External"/><Relationship Id="rId52" Type="http://schemas.openxmlformats.org/officeDocument/2006/relationships/hyperlink" Target="https://us3.assetplanner.com/service_request?ID=097912" TargetMode="External"/><Relationship Id="rId60" Type="http://schemas.openxmlformats.org/officeDocument/2006/relationships/hyperlink" Target="https://us3.assetplanner.com/service_request?ID=095854" TargetMode="External"/><Relationship Id="rId65" Type="http://schemas.openxmlformats.org/officeDocument/2006/relationships/hyperlink" Target="https://us3.assetplanner.com/service_request?ID=090380" TargetMode="External"/><Relationship Id="rId73" Type="http://schemas.openxmlformats.org/officeDocument/2006/relationships/hyperlink" Target="https://us3.assetplanner.com/service_request?ID=096348" TargetMode="External"/><Relationship Id="rId78" Type="http://schemas.openxmlformats.org/officeDocument/2006/relationships/hyperlink" Target="https://us3.assetplanner.com/service_request?ID=092456" TargetMode="External"/><Relationship Id="rId81" Type="http://schemas.openxmlformats.org/officeDocument/2006/relationships/hyperlink" Target="https://us3.assetplanner.com/service_request?ID=092171" TargetMode="External"/><Relationship Id="rId86" Type="http://schemas.openxmlformats.org/officeDocument/2006/relationships/hyperlink" Target="https://us3.assetplanner.com/service_request?ID=098343" TargetMode="External"/><Relationship Id="rId4" Type="http://schemas.openxmlformats.org/officeDocument/2006/relationships/hyperlink" Target="https://us3.assetplanner.com/service_request?ID=095177" TargetMode="External"/><Relationship Id="rId9" Type="http://schemas.openxmlformats.org/officeDocument/2006/relationships/hyperlink" Target="https://us3.assetplanner.com/service_request?ID=095623" TargetMode="External"/><Relationship Id="rId13" Type="http://schemas.openxmlformats.org/officeDocument/2006/relationships/hyperlink" Target="https://us3.assetplanner.com/service_request?ID=089763" TargetMode="External"/><Relationship Id="rId18" Type="http://schemas.openxmlformats.org/officeDocument/2006/relationships/hyperlink" Target="https://us3.assetplanner.com/service_request?ID=089707" TargetMode="External"/><Relationship Id="rId39" Type="http://schemas.openxmlformats.org/officeDocument/2006/relationships/hyperlink" Target="https://us3.assetplanner.com/service_request?ID=089612" TargetMode="External"/><Relationship Id="rId34" Type="http://schemas.openxmlformats.org/officeDocument/2006/relationships/hyperlink" Target="https://us3.assetplanner.com/service_request?ID=092256" TargetMode="External"/><Relationship Id="rId50" Type="http://schemas.openxmlformats.org/officeDocument/2006/relationships/hyperlink" Target="https://us3.assetplanner.com/service_request?ID=098178" TargetMode="External"/><Relationship Id="rId55" Type="http://schemas.openxmlformats.org/officeDocument/2006/relationships/hyperlink" Target="https://us3.assetplanner.com/service_request?ID=098177" TargetMode="External"/><Relationship Id="rId76" Type="http://schemas.openxmlformats.org/officeDocument/2006/relationships/hyperlink" Target="https://us3.assetplanner.com/service_request?ID=097774" TargetMode="External"/><Relationship Id="rId7" Type="http://schemas.openxmlformats.org/officeDocument/2006/relationships/hyperlink" Target="https://us3.assetplanner.com/service_request?ID=093440" TargetMode="External"/><Relationship Id="rId71" Type="http://schemas.openxmlformats.org/officeDocument/2006/relationships/hyperlink" Target="https://us3.assetplanner.com/service_request?ID=096348" TargetMode="External"/><Relationship Id="rId2" Type="http://schemas.openxmlformats.org/officeDocument/2006/relationships/hyperlink" Target="https://us3.assetplanner.com/service_request?ID=096145" TargetMode="External"/><Relationship Id="rId29" Type="http://schemas.openxmlformats.org/officeDocument/2006/relationships/hyperlink" Target="https://us3.assetplanner.com/service_request?ID=089461" TargetMode="External"/><Relationship Id="rId24" Type="http://schemas.openxmlformats.org/officeDocument/2006/relationships/hyperlink" Target="https://us3.assetplanner.com/service_request?ID=096916" TargetMode="External"/><Relationship Id="rId40" Type="http://schemas.openxmlformats.org/officeDocument/2006/relationships/hyperlink" Target="https://us3.assetplanner.com/service_request?ID=095339" TargetMode="External"/><Relationship Id="rId45" Type="http://schemas.openxmlformats.org/officeDocument/2006/relationships/hyperlink" Target="https://us3.assetplanner.com/service_request?ID=092166" TargetMode="External"/><Relationship Id="rId66" Type="http://schemas.openxmlformats.org/officeDocument/2006/relationships/hyperlink" Target="https://us3.assetplanner.com/service_request?ID=089474" TargetMode="External"/><Relationship Id="rId87" Type="http://schemas.openxmlformats.org/officeDocument/2006/relationships/hyperlink" Target="https://us3.assetplanner.com/service_request?ID=097960" TargetMode="External"/><Relationship Id="rId61" Type="http://schemas.openxmlformats.org/officeDocument/2006/relationships/hyperlink" Target="https://us3.assetplanner.com/service_request?ID=099225" TargetMode="External"/><Relationship Id="rId82" Type="http://schemas.openxmlformats.org/officeDocument/2006/relationships/hyperlink" Target="https://us3.assetplanner.com/service_request?ID=092455" TargetMode="External"/><Relationship Id="rId19" Type="http://schemas.openxmlformats.org/officeDocument/2006/relationships/hyperlink" Target="https://us3.assetplanner.com/service_request?ID=093065"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us3.assetplanner.com/service_request?ID=093065" TargetMode="External"/><Relationship Id="rId21" Type="http://schemas.openxmlformats.org/officeDocument/2006/relationships/hyperlink" Target="https://us3.assetplanner.com/service_request?ID=099206" TargetMode="External"/><Relationship Id="rId42" Type="http://schemas.openxmlformats.org/officeDocument/2006/relationships/hyperlink" Target="https://us3.assetplanner.com/service_request?ID=089470" TargetMode="External"/><Relationship Id="rId47" Type="http://schemas.openxmlformats.org/officeDocument/2006/relationships/hyperlink" Target="https://us3.assetplanner.com/service_request?ID=097012" TargetMode="External"/><Relationship Id="rId63" Type="http://schemas.openxmlformats.org/officeDocument/2006/relationships/hyperlink" Target="https://us3.assetplanner.com/service_request?ID=100064" TargetMode="External"/><Relationship Id="rId68" Type="http://schemas.openxmlformats.org/officeDocument/2006/relationships/hyperlink" Target="https://us3.assetplanner.com/service_request?ID=090293" TargetMode="External"/><Relationship Id="rId84" Type="http://schemas.openxmlformats.org/officeDocument/2006/relationships/hyperlink" Target="https://us3.assetplanner.com/service_request?ID=096348" TargetMode="External"/><Relationship Id="rId89" Type="http://schemas.openxmlformats.org/officeDocument/2006/relationships/hyperlink" Target="https://us3.assetplanner.com/service_request?ID=092456" TargetMode="External"/><Relationship Id="rId16" Type="http://schemas.openxmlformats.org/officeDocument/2006/relationships/hyperlink" Target="https://us3.assetplanner.com/service_request?ID=089763" TargetMode="External"/><Relationship Id="rId11" Type="http://schemas.openxmlformats.org/officeDocument/2006/relationships/hyperlink" Target="https://us3.assetplanner.com/service_request?ID=098973" TargetMode="External"/><Relationship Id="rId32" Type="http://schemas.openxmlformats.org/officeDocument/2006/relationships/hyperlink" Target="https://us3.assetplanner.com/service_request?ID=100537" TargetMode="External"/><Relationship Id="rId37" Type="http://schemas.openxmlformats.org/officeDocument/2006/relationships/hyperlink" Target="https://us3.assetplanner.com/service_request?ID=092276" TargetMode="External"/><Relationship Id="rId53" Type="http://schemas.openxmlformats.org/officeDocument/2006/relationships/hyperlink" Target="https://us3.assetplanner.com/service_request?ID=098717" TargetMode="External"/><Relationship Id="rId58" Type="http://schemas.openxmlformats.org/officeDocument/2006/relationships/hyperlink" Target="https://us3.assetplanner.com/service_request?ID=098178" TargetMode="External"/><Relationship Id="rId74" Type="http://schemas.openxmlformats.org/officeDocument/2006/relationships/hyperlink" Target="https://us3.assetplanner.com/service_request?ID=090380" TargetMode="External"/><Relationship Id="rId79" Type="http://schemas.openxmlformats.org/officeDocument/2006/relationships/hyperlink" Target="https://us3.assetplanner.com/service_request?ID=089477" TargetMode="External"/><Relationship Id="rId5" Type="http://schemas.openxmlformats.org/officeDocument/2006/relationships/hyperlink" Target="https://us3.assetplanner.com/service_request?ID=100632" TargetMode="External"/><Relationship Id="rId90" Type="http://schemas.openxmlformats.org/officeDocument/2006/relationships/hyperlink" Target="https://us3.assetplanner.com/service_request?ID=101007" TargetMode="External"/><Relationship Id="rId95" Type="http://schemas.openxmlformats.org/officeDocument/2006/relationships/hyperlink" Target="https://us3.assetplanner.com/service_request?ID=099493" TargetMode="External"/><Relationship Id="rId22" Type="http://schemas.openxmlformats.org/officeDocument/2006/relationships/hyperlink" Target="https://us3.assetplanner.com/service_request?ID=094440" TargetMode="External"/><Relationship Id="rId27" Type="http://schemas.openxmlformats.org/officeDocument/2006/relationships/hyperlink" Target="https://us3.assetplanner.com/service_request?ID=089464" TargetMode="External"/><Relationship Id="rId43" Type="http://schemas.openxmlformats.org/officeDocument/2006/relationships/hyperlink" Target="https://us3.assetplanner.com/service_request?ID=092603" TargetMode="External"/><Relationship Id="rId48" Type="http://schemas.openxmlformats.org/officeDocument/2006/relationships/hyperlink" Target="https://us3.assetplanner.com/service_request?ID=089612" TargetMode="External"/><Relationship Id="rId64" Type="http://schemas.openxmlformats.org/officeDocument/2006/relationships/hyperlink" Target="https://us3.assetplanner.com/service_request?ID=100858" TargetMode="External"/><Relationship Id="rId69" Type="http://schemas.openxmlformats.org/officeDocument/2006/relationships/hyperlink" Target="https://us3.assetplanner.com/service_request?ID=095854" TargetMode="External"/><Relationship Id="rId80" Type="http://schemas.openxmlformats.org/officeDocument/2006/relationships/hyperlink" Target="https://us3.assetplanner.com/service_request?ID=096348" TargetMode="External"/><Relationship Id="rId85" Type="http://schemas.openxmlformats.org/officeDocument/2006/relationships/hyperlink" Target="https://us3.assetplanner.com/service_request?ID=095559" TargetMode="External"/><Relationship Id="rId3" Type="http://schemas.openxmlformats.org/officeDocument/2006/relationships/hyperlink" Target="https://us3.assetplanner.com/service_request?ID=096237" TargetMode="External"/><Relationship Id="rId12" Type="http://schemas.openxmlformats.org/officeDocument/2006/relationships/hyperlink" Target="https://us3.assetplanner.com/service_request?ID=099380" TargetMode="External"/><Relationship Id="rId17" Type="http://schemas.openxmlformats.org/officeDocument/2006/relationships/hyperlink" Target="https://us3.assetplanner.com/service_request?ID=099725" TargetMode="External"/><Relationship Id="rId25" Type="http://schemas.openxmlformats.org/officeDocument/2006/relationships/hyperlink" Target="https://us3.assetplanner.com/service_request?ID=089707" TargetMode="External"/><Relationship Id="rId33" Type="http://schemas.openxmlformats.org/officeDocument/2006/relationships/hyperlink" Target="https://us3.assetplanner.com/service_request?ID=092753" TargetMode="External"/><Relationship Id="rId38" Type="http://schemas.openxmlformats.org/officeDocument/2006/relationships/hyperlink" Target="https://us3.assetplanner.com/service_request?ID=085968" TargetMode="External"/><Relationship Id="rId46" Type="http://schemas.openxmlformats.org/officeDocument/2006/relationships/hyperlink" Target="https://us3.assetplanner.com/service_request?ID=095385" TargetMode="External"/><Relationship Id="rId59" Type="http://schemas.openxmlformats.org/officeDocument/2006/relationships/hyperlink" Target="https://us3.assetplanner.com/service_request?ID=090370" TargetMode="External"/><Relationship Id="rId67" Type="http://schemas.openxmlformats.org/officeDocument/2006/relationships/hyperlink" Target="https://us3.assetplanner.com/service_request?ID=090734" TargetMode="External"/><Relationship Id="rId20" Type="http://schemas.openxmlformats.org/officeDocument/2006/relationships/hyperlink" Target="https://us3.assetplanner.com/service_request?ID=099912" TargetMode="External"/><Relationship Id="rId41" Type="http://schemas.openxmlformats.org/officeDocument/2006/relationships/hyperlink" Target="https://us3.assetplanner.com/service_request?ID=095592" TargetMode="External"/><Relationship Id="rId54" Type="http://schemas.openxmlformats.org/officeDocument/2006/relationships/hyperlink" Target="https://us3.assetplanner.com/service_request?ID=086220" TargetMode="External"/><Relationship Id="rId62" Type="http://schemas.openxmlformats.org/officeDocument/2006/relationships/hyperlink" Target="https://us3.assetplanner.com/service_request?ID=098177" TargetMode="External"/><Relationship Id="rId70" Type="http://schemas.openxmlformats.org/officeDocument/2006/relationships/hyperlink" Target="https://us3.assetplanner.com/service_request?ID=099225" TargetMode="External"/><Relationship Id="rId75" Type="http://schemas.openxmlformats.org/officeDocument/2006/relationships/hyperlink" Target="https://us3.assetplanner.com/service_request?ID=089474" TargetMode="External"/><Relationship Id="rId83" Type="http://schemas.openxmlformats.org/officeDocument/2006/relationships/hyperlink" Target="https://us3.assetplanner.com/service_request?ID=089477" TargetMode="External"/><Relationship Id="rId88" Type="http://schemas.openxmlformats.org/officeDocument/2006/relationships/hyperlink" Target="https://us3.assetplanner.com/service_request?ID=092170" TargetMode="External"/><Relationship Id="rId91" Type="http://schemas.openxmlformats.org/officeDocument/2006/relationships/hyperlink" Target="https://us3.assetplanner.com/service_request?ID=092171" TargetMode="External"/><Relationship Id="rId96" Type="http://schemas.openxmlformats.org/officeDocument/2006/relationships/hyperlink" Target="https://us3.assetplanner.com/service_request?ID=098343"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093861" TargetMode="External"/><Relationship Id="rId15" Type="http://schemas.openxmlformats.org/officeDocument/2006/relationships/hyperlink" Target="https://us3.assetplanner.com/service_request?ID=092112" TargetMode="External"/><Relationship Id="rId23" Type="http://schemas.openxmlformats.org/officeDocument/2006/relationships/hyperlink" Target="https://us3.assetplanner.com/service_request?ID=095163" TargetMode="External"/><Relationship Id="rId28" Type="http://schemas.openxmlformats.org/officeDocument/2006/relationships/hyperlink" Target="https://us3.assetplanner.com/service_request?ID=093180" TargetMode="External"/><Relationship Id="rId36" Type="http://schemas.openxmlformats.org/officeDocument/2006/relationships/hyperlink" Target="https://us3.assetplanner.com/service_request?ID=098018" TargetMode="External"/><Relationship Id="rId49" Type="http://schemas.openxmlformats.org/officeDocument/2006/relationships/hyperlink" Target="https://us3.assetplanner.com/service_request?ID=095385" TargetMode="External"/><Relationship Id="rId57" Type="http://schemas.openxmlformats.org/officeDocument/2006/relationships/hyperlink" Target="https://us3.assetplanner.com/service_request?ID=098397" TargetMode="External"/><Relationship Id="rId10" Type="http://schemas.openxmlformats.org/officeDocument/2006/relationships/hyperlink" Target="https://us3.assetplanner.com/service_request?ID=099451" TargetMode="External"/><Relationship Id="rId31" Type="http://schemas.openxmlformats.org/officeDocument/2006/relationships/hyperlink" Target="https://us3.assetplanner.com/service_request?ID=096916" TargetMode="External"/><Relationship Id="rId44" Type="http://schemas.openxmlformats.org/officeDocument/2006/relationships/hyperlink" Target="https://us3.assetplanner.com/service_request?ID=089612" TargetMode="External"/><Relationship Id="rId52" Type="http://schemas.openxmlformats.org/officeDocument/2006/relationships/hyperlink" Target="https://us3.assetplanner.com/service_request?ID=097558" TargetMode="External"/><Relationship Id="rId60" Type="http://schemas.openxmlformats.org/officeDocument/2006/relationships/hyperlink" Target="https://us3.assetplanner.com/service_request?ID=099747" TargetMode="External"/><Relationship Id="rId65" Type="http://schemas.openxmlformats.org/officeDocument/2006/relationships/hyperlink" Target="https://us3.assetplanner.com/service_request?ID=094545" TargetMode="External"/><Relationship Id="rId73" Type="http://schemas.openxmlformats.org/officeDocument/2006/relationships/hyperlink" Target="https://us3.assetplanner.com/service_request?ID=093474" TargetMode="External"/><Relationship Id="rId78" Type="http://schemas.openxmlformats.org/officeDocument/2006/relationships/hyperlink" Target="https://us3.assetplanner.com/service_request?ID=099327" TargetMode="External"/><Relationship Id="rId81" Type="http://schemas.openxmlformats.org/officeDocument/2006/relationships/hyperlink" Target="https://us3.assetplanner.com/service_request?ID=089477" TargetMode="External"/><Relationship Id="rId86" Type="http://schemas.openxmlformats.org/officeDocument/2006/relationships/hyperlink" Target="https://us3.assetplanner.com/service_request?ID=099641" TargetMode="External"/><Relationship Id="rId94" Type="http://schemas.openxmlformats.org/officeDocument/2006/relationships/hyperlink" Target="https://us3.assetplanner.com/service_request?ID=098778" TargetMode="External"/><Relationship Id="rId4" Type="http://schemas.openxmlformats.org/officeDocument/2006/relationships/hyperlink" Target="https://us3.assetplanner.com/service_request?ID=095177" TargetMode="External"/><Relationship Id="rId9" Type="http://schemas.openxmlformats.org/officeDocument/2006/relationships/hyperlink" Target="https://us3.assetplanner.com/service_request?ID=098185" TargetMode="External"/><Relationship Id="rId13" Type="http://schemas.openxmlformats.org/officeDocument/2006/relationships/hyperlink" Target="https://us3.assetplanner.com/service_request?ID=100011" TargetMode="External"/><Relationship Id="rId18" Type="http://schemas.openxmlformats.org/officeDocument/2006/relationships/hyperlink" Target="https://us3.assetplanner.com/service_request?ID=100459" TargetMode="External"/><Relationship Id="rId39" Type="http://schemas.openxmlformats.org/officeDocument/2006/relationships/hyperlink" Target="https://us3.assetplanner.com/service_request?ID=092256" TargetMode="External"/><Relationship Id="rId34" Type="http://schemas.openxmlformats.org/officeDocument/2006/relationships/hyperlink" Target="https://us3.assetplanner.com/service_request?ID=090375" TargetMode="External"/><Relationship Id="rId50" Type="http://schemas.openxmlformats.org/officeDocument/2006/relationships/hyperlink" Target="https://us3.assetplanner.com/service_request?ID=099766" TargetMode="External"/><Relationship Id="rId55" Type="http://schemas.openxmlformats.org/officeDocument/2006/relationships/hyperlink" Target="https://us3.assetplanner.com/service_request?ID=098717" TargetMode="External"/><Relationship Id="rId76" Type="http://schemas.openxmlformats.org/officeDocument/2006/relationships/hyperlink" Target="https://us3.assetplanner.com/service_request?ID=098183" TargetMode="External"/><Relationship Id="rId97" Type="http://schemas.openxmlformats.org/officeDocument/2006/relationships/hyperlink" Target="https://us3.assetplanner.com/service_request?ID=097960" TargetMode="External"/><Relationship Id="rId7" Type="http://schemas.openxmlformats.org/officeDocument/2006/relationships/hyperlink" Target="https://us3.assetplanner.com/service_request?ID=100060" TargetMode="External"/><Relationship Id="rId71" Type="http://schemas.openxmlformats.org/officeDocument/2006/relationships/hyperlink" Target="https://us3.assetplanner.com/service_request?ID=098183" TargetMode="External"/><Relationship Id="rId92" Type="http://schemas.openxmlformats.org/officeDocument/2006/relationships/hyperlink" Target="https://us3.assetplanner.com/service_request?ID=092455" TargetMode="External"/><Relationship Id="rId2" Type="http://schemas.openxmlformats.org/officeDocument/2006/relationships/hyperlink" Target="https://us3.assetplanner.com/service_request?ID=096145" TargetMode="External"/><Relationship Id="rId29" Type="http://schemas.openxmlformats.org/officeDocument/2006/relationships/hyperlink" Target="https://us3.assetplanner.com/service_request?ID=093174" TargetMode="External"/><Relationship Id="rId24" Type="http://schemas.openxmlformats.org/officeDocument/2006/relationships/hyperlink" Target="https://us3.assetplanner.com/service_request?ID=092023" TargetMode="External"/><Relationship Id="rId40" Type="http://schemas.openxmlformats.org/officeDocument/2006/relationships/hyperlink" Target="https://us3.assetplanner.com/service_request?ID=090090" TargetMode="External"/><Relationship Id="rId45" Type="http://schemas.openxmlformats.org/officeDocument/2006/relationships/hyperlink" Target="https://us3.assetplanner.com/service_request?ID=095339" TargetMode="External"/><Relationship Id="rId66" Type="http://schemas.openxmlformats.org/officeDocument/2006/relationships/hyperlink" Target="https://us3.assetplanner.com/service_request?ID=100842" TargetMode="External"/><Relationship Id="rId87" Type="http://schemas.openxmlformats.org/officeDocument/2006/relationships/hyperlink" Target="https://us3.assetplanner.com/service_request?ID=099641" TargetMode="External"/><Relationship Id="rId61" Type="http://schemas.openxmlformats.org/officeDocument/2006/relationships/hyperlink" Target="https://us3.assetplanner.com/service_request?ID=099540" TargetMode="External"/><Relationship Id="rId82" Type="http://schemas.openxmlformats.org/officeDocument/2006/relationships/hyperlink" Target="https://us3.assetplanner.com/service_request?ID=096348" TargetMode="External"/><Relationship Id="rId19" Type="http://schemas.openxmlformats.org/officeDocument/2006/relationships/hyperlink" Target="https://us3.assetplanner.com/service_request?ID=092298" TargetMode="External"/><Relationship Id="rId14" Type="http://schemas.openxmlformats.org/officeDocument/2006/relationships/hyperlink" Target="https://us3.assetplanner.com/service_request?ID=100743" TargetMode="External"/><Relationship Id="rId30" Type="http://schemas.openxmlformats.org/officeDocument/2006/relationships/hyperlink" Target="https://us3.assetplanner.com/service_request?ID=095356" TargetMode="External"/><Relationship Id="rId35" Type="http://schemas.openxmlformats.org/officeDocument/2006/relationships/hyperlink" Target="https://us3.assetplanner.com/service_request?ID=089461" TargetMode="External"/><Relationship Id="rId56" Type="http://schemas.openxmlformats.org/officeDocument/2006/relationships/hyperlink" Target="https://us3.assetplanner.com/service_request?ID=091312" TargetMode="External"/><Relationship Id="rId77" Type="http://schemas.openxmlformats.org/officeDocument/2006/relationships/hyperlink" Target="https://us3.assetplanner.com/service_request?ID=098826" TargetMode="External"/><Relationship Id="rId8" Type="http://schemas.openxmlformats.org/officeDocument/2006/relationships/hyperlink" Target="https://us3.assetplanner.com/service_request?ID=095623" TargetMode="External"/><Relationship Id="rId51" Type="http://schemas.openxmlformats.org/officeDocument/2006/relationships/hyperlink" Target="https://us3.assetplanner.com/service_request?ID=092166" TargetMode="External"/><Relationship Id="rId72" Type="http://schemas.openxmlformats.org/officeDocument/2006/relationships/hyperlink" Target="https://us3.assetplanner.com/service_request?ID=095449" TargetMode="External"/><Relationship Id="rId93" Type="http://schemas.openxmlformats.org/officeDocument/2006/relationships/hyperlink" Target="https://us3.assetplanner.com/service_request?ID=099609"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us3.assetplanner.com/service_request?ID=093065" TargetMode="External"/><Relationship Id="rId21" Type="http://schemas.openxmlformats.org/officeDocument/2006/relationships/hyperlink" Target="https://us3.assetplanner.com/service_request?ID=102150" TargetMode="External"/><Relationship Id="rId42" Type="http://schemas.openxmlformats.org/officeDocument/2006/relationships/hyperlink" Target="https://us3.assetplanner.com/service_request?ID=090090" TargetMode="External"/><Relationship Id="rId47" Type="http://schemas.openxmlformats.org/officeDocument/2006/relationships/hyperlink" Target="https://us3.assetplanner.com/service_request?ID=089612" TargetMode="External"/><Relationship Id="rId63" Type="http://schemas.openxmlformats.org/officeDocument/2006/relationships/hyperlink" Target="https://us3.assetplanner.com/service_request?ID=100842" TargetMode="External"/><Relationship Id="rId68" Type="http://schemas.openxmlformats.org/officeDocument/2006/relationships/hyperlink" Target="https://us3.assetplanner.com/service_request?ID=093474" TargetMode="External"/><Relationship Id="rId84" Type="http://schemas.openxmlformats.org/officeDocument/2006/relationships/hyperlink" Target="https://us3.assetplanner.com/service_request?ID=102153" TargetMode="External"/><Relationship Id="rId89" Type="http://schemas.openxmlformats.org/officeDocument/2006/relationships/hyperlink" Target="https://us3.assetplanner.com/service_request?ID=099641" TargetMode="External"/><Relationship Id="rId16" Type="http://schemas.openxmlformats.org/officeDocument/2006/relationships/hyperlink" Target="https://us3.assetplanner.com/service_request?ID=101440" TargetMode="External"/><Relationship Id="rId11" Type="http://schemas.openxmlformats.org/officeDocument/2006/relationships/hyperlink" Target="https://us3.assetplanner.com/service_request?ID=093440" TargetMode="External"/><Relationship Id="rId32" Type="http://schemas.openxmlformats.org/officeDocument/2006/relationships/hyperlink" Target="https://us3.assetplanner.com/service_request?ID=100537" TargetMode="External"/><Relationship Id="rId37" Type="http://schemas.openxmlformats.org/officeDocument/2006/relationships/hyperlink" Target="https://us3.assetplanner.com/service_request?ID=101562" TargetMode="External"/><Relationship Id="rId53" Type="http://schemas.openxmlformats.org/officeDocument/2006/relationships/hyperlink" Target="https://us3.assetplanner.com/service_request?ID=098717" TargetMode="External"/><Relationship Id="rId58" Type="http://schemas.openxmlformats.org/officeDocument/2006/relationships/hyperlink" Target="https://us3.assetplanner.com/service_request?ID=098397" TargetMode="External"/><Relationship Id="rId74" Type="http://schemas.openxmlformats.org/officeDocument/2006/relationships/hyperlink" Target="https://us3.assetplanner.com/service_request?ID=099338" TargetMode="External"/><Relationship Id="rId79" Type="http://schemas.openxmlformats.org/officeDocument/2006/relationships/hyperlink" Target="https://us3.assetplanner.com/service_request?ID=101285" TargetMode="External"/><Relationship Id="rId5" Type="http://schemas.openxmlformats.org/officeDocument/2006/relationships/hyperlink" Target="https://us3.assetplanner.com/service_request?ID=095177" TargetMode="External"/><Relationship Id="rId90" Type="http://schemas.openxmlformats.org/officeDocument/2006/relationships/hyperlink" Target="https://us3.assetplanner.com/service_request?ID=099641" TargetMode="External"/><Relationship Id="rId95" Type="http://schemas.openxmlformats.org/officeDocument/2006/relationships/hyperlink" Target="https://us3.assetplanner.com/service_request?ID=098778" TargetMode="External"/><Relationship Id="rId22" Type="http://schemas.openxmlformats.org/officeDocument/2006/relationships/hyperlink" Target="https://us3.assetplanner.com/service_request?ID=099912" TargetMode="External"/><Relationship Id="rId27" Type="http://schemas.openxmlformats.org/officeDocument/2006/relationships/hyperlink" Target="https://us3.assetplanner.com/service_request?ID=089464" TargetMode="External"/><Relationship Id="rId43" Type="http://schemas.openxmlformats.org/officeDocument/2006/relationships/hyperlink" Target="https://us3.assetplanner.com/service_request?ID=095592" TargetMode="External"/><Relationship Id="rId48" Type="http://schemas.openxmlformats.org/officeDocument/2006/relationships/hyperlink" Target="https://us3.assetplanner.com/service_request?ID=095385" TargetMode="External"/><Relationship Id="rId64" Type="http://schemas.openxmlformats.org/officeDocument/2006/relationships/hyperlink" Target="https://us3.assetplanner.com/service_request?ID=080516" TargetMode="External"/><Relationship Id="rId69" Type="http://schemas.openxmlformats.org/officeDocument/2006/relationships/hyperlink" Target="https://us3.assetplanner.com/service_request?ID=090380" TargetMode="External"/><Relationship Id="rId80" Type="http://schemas.openxmlformats.org/officeDocument/2006/relationships/hyperlink" Target="https://us3.assetplanner.com/service_request?ID=089477" TargetMode="External"/><Relationship Id="rId85" Type="http://schemas.openxmlformats.org/officeDocument/2006/relationships/hyperlink" Target="https://us3.assetplanner.com/service_request?ID=101285" TargetMode="External"/><Relationship Id="rId3" Type="http://schemas.openxmlformats.org/officeDocument/2006/relationships/hyperlink" Target="https://us3.assetplanner.com/service_request?ID=096145" TargetMode="External"/><Relationship Id="rId12" Type="http://schemas.openxmlformats.org/officeDocument/2006/relationships/hyperlink" Target="https://us3.assetplanner.com/service_request?ID=102013" TargetMode="External"/><Relationship Id="rId17" Type="http://schemas.openxmlformats.org/officeDocument/2006/relationships/hyperlink" Target="https://us3.assetplanner.com/service_request?ID=101862" TargetMode="External"/><Relationship Id="rId25" Type="http://schemas.openxmlformats.org/officeDocument/2006/relationships/hyperlink" Target="https://us3.assetplanner.com/service_request?ID=095163" TargetMode="External"/><Relationship Id="rId33" Type="http://schemas.openxmlformats.org/officeDocument/2006/relationships/hyperlink" Target="https://us3.assetplanner.com/service_request?ID=092753" TargetMode="External"/><Relationship Id="rId38" Type="http://schemas.openxmlformats.org/officeDocument/2006/relationships/hyperlink" Target="https://us3.assetplanner.com/service_request?ID=101561" TargetMode="External"/><Relationship Id="rId46" Type="http://schemas.openxmlformats.org/officeDocument/2006/relationships/hyperlink" Target="https://us3.assetplanner.com/service_request?ID=092603" TargetMode="External"/><Relationship Id="rId59" Type="http://schemas.openxmlformats.org/officeDocument/2006/relationships/hyperlink" Target="https://us3.assetplanner.com/service_request?ID=101829" TargetMode="External"/><Relationship Id="rId67" Type="http://schemas.openxmlformats.org/officeDocument/2006/relationships/hyperlink" Target="https://us3.assetplanner.com/service_request?ID=095449" TargetMode="External"/><Relationship Id="rId20" Type="http://schemas.openxmlformats.org/officeDocument/2006/relationships/hyperlink" Target="https://us3.assetplanner.com/service_request?ID=101131" TargetMode="External"/><Relationship Id="rId41" Type="http://schemas.openxmlformats.org/officeDocument/2006/relationships/hyperlink" Target="https://us3.assetplanner.com/service_request?ID=092256" TargetMode="External"/><Relationship Id="rId54" Type="http://schemas.openxmlformats.org/officeDocument/2006/relationships/hyperlink" Target="https://us3.assetplanner.com/service_request?ID=086220" TargetMode="External"/><Relationship Id="rId62" Type="http://schemas.openxmlformats.org/officeDocument/2006/relationships/hyperlink" Target="https://us3.assetplanner.com/service_request?ID=094545" TargetMode="External"/><Relationship Id="rId70" Type="http://schemas.openxmlformats.org/officeDocument/2006/relationships/hyperlink" Target="https://us3.assetplanner.com/service_request?ID=089474" TargetMode="External"/><Relationship Id="rId75" Type="http://schemas.openxmlformats.org/officeDocument/2006/relationships/hyperlink" Target="https://us3.assetplanner.com/service_request?ID=099327" TargetMode="External"/><Relationship Id="rId83" Type="http://schemas.openxmlformats.org/officeDocument/2006/relationships/hyperlink" Target="https://us3.assetplanner.com/service_request?ID=096348" TargetMode="External"/><Relationship Id="rId88" Type="http://schemas.openxmlformats.org/officeDocument/2006/relationships/hyperlink" Target="https://us3.assetplanner.com/service_request?ID=095559" TargetMode="External"/><Relationship Id="rId91" Type="http://schemas.openxmlformats.org/officeDocument/2006/relationships/hyperlink" Target="https://us3.assetplanner.com/service_request?ID=101606" TargetMode="External"/><Relationship Id="rId96" Type="http://schemas.openxmlformats.org/officeDocument/2006/relationships/hyperlink" Target="https://us3.assetplanner.com/service_request?ID=101624"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100632" TargetMode="External"/><Relationship Id="rId15" Type="http://schemas.openxmlformats.org/officeDocument/2006/relationships/hyperlink" Target="https://us3.assetplanner.com/service_request?ID=100011" TargetMode="External"/><Relationship Id="rId23" Type="http://schemas.openxmlformats.org/officeDocument/2006/relationships/hyperlink" Target="https://us3.assetplanner.com/service_request?ID=099206" TargetMode="External"/><Relationship Id="rId28" Type="http://schemas.openxmlformats.org/officeDocument/2006/relationships/hyperlink" Target="https://us3.assetplanner.com/service_request?ID=093180" TargetMode="External"/><Relationship Id="rId36" Type="http://schemas.openxmlformats.org/officeDocument/2006/relationships/hyperlink" Target="https://us3.assetplanner.com/service_request?ID=098018" TargetMode="External"/><Relationship Id="rId49" Type="http://schemas.openxmlformats.org/officeDocument/2006/relationships/hyperlink" Target="https://us3.assetplanner.com/service_request?ID=102060" TargetMode="External"/><Relationship Id="rId57" Type="http://schemas.openxmlformats.org/officeDocument/2006/relationships/hyperlink" Target="https://us3.assetplanner.com/service_request?ID=098397" TargetMode="External"/><Relationship Id="rId10" Type="http://schemas.openxmlformats.org/officeDocument/2006/relationships/hyperlink" Target="https://us3.assetplanner.com/service_request?ID=100060" TargetMode="External"/><Relationship Id="rId31" Type="http://schemas.openxmlformats.org/officeDocument/2006/relationships/hyperlink" Target="https://us3.assetplanner.com/service_request?ID=096916" TargetMode="External"/><Relationship Id="rId44" Type="http://schemas.openxmlformats.org/officeDocument/2006/relationships/hyperlink" Target="https://us3.assetplanner.com/service_request?ID=095592" TargetMode="External"/><Relationship Id="rId52" Type="http://schemas.openxmlformats.org/officeDocument/2006/relationships/hyperlink" Target="https://us3.assetplanner.com/service_request?ID=097558" TargetMode="External"/><Relationship Id="rId60" Type="http://schemas.openxmlformats.org/officeDocument/2006/relationships/hyperlink" Target="https://us3.assetplanner.com/service_request?ID=101132" TargetMode="External"/><Relationship Id="rId65" Type="http://schemas.openxmlformats.org/officeDocument/2006/relationships/hyperlink" Target="https://us3.assetplanner.com/service_request?ID=100976" TargetMode="External"/><Relationship Id="rId73" Type="http://schemas.openxmlformats.org/officeDocument/2006/relationships/hyperlink" Target="https://us3.assetplanner.com/service_request?ID=098826" TargetMode="External"/><Relationship Id="rId78" Type="http://schemas.openxmlformats.org/officeDocument/2006/relationships/hyperlink" Target="https://us3.assetplanner.com/service_request?ID=096348" TargetMode="External"/><Relationship Id="rId81" Type="http://schemas.openxmlformats.org/officeDocument/2006/relationships/hyperlink" Target="https://us3.assetplanner.com/service_request?ID=096348" TargetMode="External"/><Relationship Id="rId86" Type="http://schemas.openxmlformats.org/officeDocument/2006/relationships/hyperlink" Target="https://us3.assetplanner.com/service_request?ID=102153" TargetMode="External"/><Relationship Id="rId94" Type="http://schemas.openxmlformats.org/officeDocument/2006/relationships/hyperlink" Target="https://us3.assetplanner.com/service_request?ID=101475" TargetMode="External"/><Relationship Id="rId4" Type="http://schemas.openxmlformats.org/officeDocument/2006/relationships/hyperlink" Target="https://us3.assetplanner.com/service_request?ID=096237" TargetMode="External"/><Relationship Id="rId9" Type="http://schemas.openxmlformats.org/officeDocument/2006/relationships/hyperlink" Target="https://us3.assetplanner.com/service_request?ID=101331" TargetMode="External"/><Relationship Id="rId13" Type="http://schemas.openxmlformats.org/officeDocument/2006/relationships/hyperlink" Target="https://us3.assetplanner.com/service_request?ID=095623" TargetMode="External"/><Relationship Id="rId18" Type="http://schemas.openxmlformats.org/officeDocument/2006/relationships/hyperlink" Target="https://us3.assetplanner.com/service_request?ID=100743" TargetMode="External"/><Relationship Id="rId39" Type="http://schemas.openxmlformats.org/officeDocument/2006/relationships/hyperlink" Target="https://us3.assetplanner.com/service_request?ID=092276" TargetMode="External"/><Relationship Id="rId34" Type="http://schemas.openxmlformats.org/officeDocument/2006/relationships/hyperlink" Target="https://us3.assetplanner.com/service_request?ID=090375" TargetMode="External"/><Relationship Id="rId50" Type="http://schemas.openxmlformats.org/officeDocument/2006/relationships/hyperlink" Target="https://us3.assetplanner.com/service_request?ID=099766" TargetMode="External"/><Relationship Id="rId55" Type="http://schemas.openxmlformats.org/officeDocument/2006/relationships/hyperlink" Target="https://us3.assetplanner.com/service_request?ID=098717" TargetMode="External"/><Relationship Id="rId76" Type="http://schemas.openxmlformats.org/officeDocument/2006/relationships/hyperlink" Target="https://us3.assetplanner.com/service_request?ID=102082" TargetMode="External"/><Relationship Id="rId97" Type="http://schemas.openxmlformats.org/officeDocument/2006/relationships/hyperlink" Target="https://us3.assetplanner.com/service_request?ID=100820" TargetMode="External"/><Relationship Id="rId7" Type="http://schemas.openxmlformats.org/officeDocument/2006/relationships/hyperlink" Target="https://us3.assetplanner.com/service_request?ID=101939" TargetMode="External"/><Relationship Id="rId71" Type="http://schemas.openxmlformats.org/officeDocument/2006/relationships/hyperlink" Target="https://us3.assetplanner.com/service_request?ID=098183" TargetMode="External"/><Relationship Id="rId92" Type="http://schemas.openxmlformats.org/officeDocument/2006/relationships/hyperlink" Target="https://us3.assetplanner.com/service_request?ID=092171" TargetMode="External"/><Relationship Id="rId2" Type="http://schemas.openxmlformats.org/officeDocument/2006/relationships/hyperlink" Target="https://us3.assetplanner.com/service_request?ID=101056" TargetMode="External"/><Relationship Id="rId29" Type="http://schemas.openxmlformats.org/officeDocument/2006/relationships/hyperlink" Target="https://us3.assetplanner.com/service_request?ID=093174" TargetMode="External"/><Relationship Id="rId24" Type="http://schemas.openxmlformats.org/officeDocument/2006/relationships/hyperlink" Target="https://us3.assetplanner.com/service_request?ID=094440" TargetMode="External"/><Relationship Id="rId40" Type="http://schemas.openxmlformats.org/officeDocument/2006/relationships/hyperlink" Target="https://us3.assetplanner.com/service_request?ID=085968" TargetMode="External"/><Relationship Id="rId45" Type="http://schemas.openxmlformats.org/officeDocument/2006/relationships/hyperlink" Target="https://us3.assetplanner.com/service_request?ID=089470" TargetMode="External"/><Relationship Id="rId66" Type="http://schemas.openxmlformats.org/officeDocument/2006/relationships/hyperlink" Target="https://us3.assetplanner.com/service_request?ID=098183" TargetMode="External"/><Relationship Id="rId87" Type="http://schemas.openxmlformats.org/officeDocument/2006/relationships/hyperlink" Target="https://us3.assetplanner.com/service_request?ID=097948" TargetMode="External"/><Relationship Id="rId61" Type="http://schemas.openxmlformats.org/officeDocument/2006/relationships/hyperlink" Target="https://us3.assetplanner.com/service_request?ID=100858" TargetMode="External"/><Relationship Id="rId82" Type="http://schemas.openxmlformats.org/officeDocument/2006/relationships/hyperlink" Target="https://us3.assetplanner.com/service_request?ID=089477" TargetMode="External"/><Relationship Id="rId19" Type="http://schemas.openxmlformats.org/officeDocument/2006/relationships/hyperlink" Target="https://us3.assetplanner.com/service_request?ID=100459" TargetMode="External"/><Relationship Id="rId14" Type="http://schemas.openxmlformats.org/officeDocument/2006/relationships/hyperlink" Target="https://us3.assetplanner.com/service_request?ID=101039" TargetMode="External"/><Relationship Id="rId30" Type="http://schemas.openxmlformats.org/officeDocument/2006/relationships/hyperlink" Target="https://us3.assetplanner.com/service_request?ID=095356" TargetMode="External"/><Relationship Id="rId35" Type="http://schemas.openxmlformats.org/officeDocument/2006/relationships/hyperlink" Target="https://us3.assetplanner.com/service_request?ID=089461" TargetMode="External"/><Relationship Id="rId56" Type="http://schemas.openxmlformats.org/officeDocument/2006/relationships/hyperlink" Target="https://us3.assetplanner.com/service_request?ID=091312" TargetMode="External"/><Relationship Id="rId77" Type="http://schemas.openxmlformats.org/officeDocument/2006/relationships/hyperlink" Target="https://us3.assetplanner.com/service_request?ID=089477" TargetMode="External"/><Relationship Id="rId8" Type="http://schemas.openxmlformats.org/officeDocument/2006/relationships/hyperlink" Target="https://us3.assetplanner.com/service_request?ID=100937" TargetMode="External"/><Relationship Id="rId51" Type="http://schemas.openxmlformats.org/officeDocument/2006/relationships/hyperlink" Target="https://us3.assetplanner.com/service_request?ID=092166" TargetMode="External"/><Relationship Id="rId72" Type="http://schemas.openxmlformats.org/officeDocument/2006/relationships/hyperlink" Target="https://us3.assetplanner.com/service_request?ID=101740" TargetMode="External"/><Relationship Id="rId93" Type="http://schemas.openxmlformats.org/officeDocument/2006/relationships/hyperlink" Target="https://us3.assetplanner.com/service_request?ID=092455" TargetMode="External"/><Relationship Id="rId98" Type="http://schemas.openxmlformats.org/officeDocument/2006/relationships/hyperlink" Target="https://us3.assetplanner.com/service_request?ID=101886"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us3.assetplanner.com/service_request?ID=093065" TargetMode="External"/><Relationship Id="rId21" Type="http://schemas.openxmlformats.org/officeDocument/2006/relationships/hyperlink" Target="https://us3.assetplanner.com/service_request?ID=102150" TargetMode="External"/><Relationship Id="rId42" Type="http://schemas.openxmlformats.org/officeDocument/2006/relationships/hyperlink" Target="https://us3.assetplanner.com/service_request?ID=085968" TargetMode="External"/><Relationship Id="rId47" Type="http://schemas.openxmlformats.org/officeDocument/2006/relationships/hyperlink" Target="https://us3.assetplanner.com/service_request?ID=095592" TargetMode="External"/><Relationship Id="rId63" Type="http://schemas.openxmlformats.org/officeDocument/2006/relationships/hyperlink" Target="https://us3.assetplanner.com/service_request?ID=094545" TargetMode="External"/><Relationship Id="rId68" Type="http://schemas.openxmlformats.org/officeDocument/2006/relationships/hyperlink" Target="https://us3.assetplanner.com/service_request?ID=80516," TargetMode="External"/><Relationship Id="rId84" Type="http://schemas.openxmlformats.org/officeDocument/2006/relationships/hyperlink" Target="https://us3.assetplanner.com/service_request?ID=089477" TargetMode="External"/><Relationship Id="rId89" Type="http://schemas.openxmlformats.org/officeDocument/2006/relationships/hyperlink" Target="https://us3.assetplanner.com/service_request?ID=102151" TargetMode="External"/><Relationship Id="rId16" Type="http://schemas.openxmlformats.org/officeDocument/2006/relationships/hyperlink" Target="https://us3.assetplanner.com/service_request?ID=103534" TargetMode="External"/><Relationship Id="rId11" Type="http://schemas.openxmlformats.org/officeDocument/2006/relationships/hyperlink" Target="https://us3.assetplanner.com/service_request?ID=101331" TargetMode="External"/><Relationship Id="rId32" Type="http://schemas.openxmlformats.org/officeDocument/2006/relationships/hyperlink" Target="https://us3.assetplanner.com/service_request?ID=100537" TargetMode="External"/><Relationship Id="rId37" Type="http://schemas.openxmlformats.org/officeDocument/2006/relationships/hyperlink" Target="https://us3.assetplanner.com/service_request?ID=101562" TargetMode="External"/><Relationship Id="rId53" Type="http://schemas.openxmlformats.org/officeDocument/2006/relationships/hyperlink" Target="https://us3.assetplanner.com/service_request?ID=092166" TargetMode="External"/><Relationship Id="rId58" Type="http://schemas.openxmlformats.org/officeDocument/2006/relationships/hyperlink" Target="https://us3.assetplanner.com/service_request?ID=091312" TargetMode="External"/><Relationship Id="rId74" Type="http://schemas.openxmlformats.org/officeDocument/2006/relationships/hyperlink" Target="https://us3.assetplanner.com/service_request?ID=090380" TargetMode="External"/><Relationship Id="rId79" Type="http://schemas.openxmlformats.org/officeDocument/2006/relationships/hyperlink" Target="https://us3.assetplanner.com/service_request?ID=099338" TargetMode="External"/><Relationship Id="rId5" Type="http://schemas.openxmlformats.org/officeDocument/2006/relationships/hyperlink" Target="https://us3.assetplanner.com/service_request?ID=102796" TargetMode="External"/><Relationship Id="rId90" Type="http://schemas.openxmlformats.org/officeDocument/2006/relationships/hyperlink" Target="https://us3.assetplanner.com/service_request?ID=103666" TargetMode="External"/><Relationship Id="rId95" Type="http://schemas.openxmlformats.org/officeDocument/2006/relationships/hyperlink" Target="https://us3.assetplanner.com/service_request?ID=103724" TargetMode="External"/><Relationship Id="rId22" Type="http://schemas.openxmlformats.org/officeDocument/2006/relationships/hyperlink" Target="https://us3.assetplanner.com/service_request?ID=099912" TargetMode="External"/><Relationship Id="rId27" Type="http://schemas.openxmlformats.org/officeDocument/2006/relationships/hyperlink" Target="https://us3.assetplanner.com/service_request?ID=089464" TargetMode="External"/><Relationship Id="rId43" Type="http://schemas.openxmlformats.org/officeDocument/2006/relationships/hyperlink" Target="https://us3.assetplanner.com/service_request?ID=092256" TargetMode="External"/><Relationship Id="rId48" Type="http://schemas.openxmlformats.org/officeDocument/2006/relationships/hyperlink" Target="https://us3.assetplanner.com/service_request?ID=101190" TargetMode="External"/><Relationship Id="rId64" Type="http://schemas.openxmlformats.org/officeDocument/2006/relationships/hyperlink" Target="https://us3.assetplanner.com/service_request?ID=100842" TargetMode="External"/><Relationship Id="rId69" Type="http://schemas.openxmlformats.org/officeDocument/2006/relationships/hyperlink" Target="https://us3.assetplanner.com/service_request?ID=90734" TargetMode="External"/><Relationship Id="rId80" Type="http://schemas.openxmlformats.org/officeDocument/2006/relationships/hyperlink" Target="https://us3.assetplanner.com/service_request?ID=099327" TargetMode="External"/><Relationship Id="rId85" Type="http://schemas.openxmlformats.org/officeDocument/2006/relationships/hyperlink" Target="https://us3.assetplanner.com/service_request?ID=096348" TargetMode="External"/><Relationship Id="rId3" Type="http://schemas.openxmlformats.org/officeDocument/2006/relationships/hyperlink" Target="https://us3.assetplanner.com/service_request?ID=102277" TargetMode="External"/><Relationship Id="rId12" Type="http://schemas.openxmlformats.org/officeDocument/2006/relationships/hyperlink" Target="https://us3.assetplanner.com/service_request?ID=100060" TargetMode="External"/><Relationship Id="rId17" Type="http://schemas.openxmlformats.org/officeDocument/2006/relationships/hyperlink" Target="https://us3.assetplanner.com/service_request?ID=102456" TargetMode="External"/><Relationship Id="rId25" Type="http://schemas.openxmlformats.org/officeDocument/2006/relationships/hyperlink" Target="https://us3.assetplanner.com/service_request?ID=095163" TargetMode="External"/><Relationship Id="rId33" Type="http://schemas.openxmlformats.org/officeDocument/2006/relationships/hyperlink" Target="https://us3.assetplanner.com/service_request?ID=092753" TargetMode="External"/><Relationship Id="rId38" Type="http://schemas.openxmlformats.org/officeDocument/2006/relationships/hyperlink" Target="https://us3.assetplanner.com/service_request?ID=101561" TargetMode="External"/><Relationship Id="rId46" Type="http://schemas.openxmlformats.org/officeDocument/2006/relationships/hyperlink" Target="https://us3.assetplanner.com/service_request?ID=101190" TargetMode="External"/><Relationship Id="rId59" Type="http://schemas.openxmlformats.org/officeDocument/2006/relationships/hyperlink" Target="https://us3.assetplanner.com/service_request?ID=098397" TargetMode="External"/><Relationship Id="rId67" Type="http://schemas.openxmlformats.org/officeDocument/2006/relationships/hyperlink" Target="https://us3.assetplanner.com/service_request?ID=102897" TargetMode="External"/><Relationship Id="rId20" Type="http://schemas.openxmlformats.org/officeDocument/2006/relationships/hyperlink" Target="https://us3.assetplanner.com/service_request?ID=101131" TargetMode="External"/><Relationship Id="rId41" Type="http://schemas.openxmlformats.org/officeDocument/2006/relationships/hyperlink" Target="https://us3.assetplanner.com/service_request?ID=092276" TargetMode="External"/><Relationship Id="rId54" Type="http://schemas.openxmlformats.org/officeDocument/2006/relationships/hyperlink" Target="https://us3.assetplanner.com/service_request?ID=097558" TargetMode="External"/><Relationship Id="rId62" Type="http://schemas.openxmlformats.org/officeDocument/2006/relationships/hyperlink" Target="https://us3.assetplanner.com/service_request?ID=100858" TargetMode="External"/><Relationship Id="rId70" Type="http://schemas.openxmlformats.org/officeDocument/2006/relationships/hyperlink" Target="https://us3.assetplanner.com/service_request?ID=090293" TargetMode="External"/><Relationship Id="rId75" Type="http://schemas.openxmlformats.org/officeDocument/2006/relationships/hyperlink" Target="https://us3.assetplanner.com/service_request?ID=089474" TargetMode="External"/><Relationship Id="rId83" Type="http://schemas.openxmlformats.org/officeDocument/2006/relationships/hyperlink" Target="https://us3.assetplanner.com/service_request?ID=096348" TargetMode="External"/><Relationship Id="rId88" Type="http://schemas.openxmlformats.org/officeDocument/2006/relationships/hyperlink" Target="https://us3.assetplanner.com/service_request?ID=102153" TargetMode="External"/><Relationship Id="rId91" Type="http://schemas.openxmlformats.org/officeDocument/2006/relationships/hyperlink" Target="https://us3.assetplanner.com/service_request?ID=099641" TargetMode="External"/><Relationship Id="rId96" Type="http://schemas.openxmlformats.org/officeDocument/2006/relationships/hyperlink" Target="https://us3.assetplanner.com/service_request?ID=101624"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103142" TargetMode="External"/><Relationship Id="rId15" Type="http://schemas.openxmlformats.org/officeDocument/2006/relationships/hyperlink" Target="https://us3.assetplanner.com/service_request?ID=102907" TargetMode="External"/><Relationship Id="rId23" Type="http://schemas.openxmlformats.org/officeDocument/2006/relationships/hyperlink" Target="https://us3.assetplanner.com/service_request?ID=099206" TargetMode="External"/><Relationship Id="rId28" Type="http://schemas.openxmlformats.org/officeDocument/2006/relationships/hyperlink" Target="https://us3.assetplanner.com/service_request?ID=093180" TargetMode="External"/><Relationship Id="rId36" Type="http://schemas.openxmlformats.org/officeDocument/2006/relationships/hyperlink" Target="https://us3.assetplanner.com/service_request?ID=101136" TargetMode="External"/><Relationship Id="rId49" Type="http://schemas.openxmlformats.org/officeDocument/2006/relationships/hyperlink" Target="https://us3.assetplanner.com/service_request?ID=089612" TargetMode="External"/><Relationship Id="rId57" Type="http://schemas.openxmlformats.org/officeDocument/2006/relationships/hyperlink" Target="https://us3.assetplanner.com/service_request?ID=098717" TargetMode="External"/><Relationship Id="rId10" Type="http://schemas.openxmlformats.org/officeDocument/2006/relationships/hyperlink" Target="https://us3.assetplanner.com/service_request?ID=103623" TargetMode="External"/><Relationship Id="rId31" Type="http://schemas.openxmlformats.org/officeDocument/2006/relationships/hyperlink" Target="https://us3.assetplanner.com/service_request?ID=096916" TargetMode="External"/><Relationship Id="rId44" Type="http://schemas.openxmlformats.org/officeDocument/2006/relationships/hyperlink" Target="https://us3.assetplanner.com/service_request?ID=090090" TargetMode="External"/><Relationship Id="rId52" Type="http://schemas.openxmlformats.org/officeDocument/2006/relationships/hyperlink" Target="https://us3.assetplanner.com/service_request?ID=099766" TargetMode="External"/><Relationship Id="rId60" Type="http://schemas.openxmlformats.org/officeDocument/2006/relationships/hyperlink" Target="https://us3.assetplanner.com/service_request?ID=101829" TargetMode="External"/><Relationship Id="rId65" Type="http://schemas.openxmlformats.org/officeDocument/2006/relationships/hyperlink" Target="https://us3.assetplanner.com/service_request?ID=102808" TargetMode="External"/><Relationship Id="rId73" Type="http://schemas.openxmlformats.org/officeDocument/2006/relationships/hyperlink" Target="https://us3.assetplanner.com/service_request?ID=093474" TargetMode="External"/><Relationship Id="rId78" Type="http://schemas.openxmlformats.org/officeDocument/2006/relationships/hyperlink" Target="https://us3.assetplanner.com/service_request?ID=098826" TargetMode="External"/><Relationship Id="rId81" Type="http://schemas.openxmlformats.org/officeDocument/2006/relationships/hyperlink" Target="https://us3.assetplanner.com/service_request?ID=102082" TargetMode="External"/><Relationship Id="rId86" Type="http://schemas.openxmlformats.org/officeDocument/2006/relationships/hyperlink" Target="https://us3.assetplanner.com/service_request?ID=102153" TargetMode="External"/><Relationship Id="rId94" Type="http://schemas.openxmlformats.org/officeDocument/2006/relationships/hyperlink" Target="https://us3.assetplanner.com/service_request?ID=098778" TargetMode="External"/><Relationship Id="rId4" Type="http://schemas.openxmlformats.org/officeDocument/2006/relationships/hyperlink" Target="https://us3.assetplanner.com/service_request?ID=102623" TargetMode="External"/><Relationship Id="rId9" Type="http://schemas.openxmlformats.org/officeDocument/2006/relationships/hyperlink" Target="https://us3.assetplanner.com/service_request?ID=103424" TargetMode="External"/><Relationship Id="rId13" Type="http://schemas.openxmlformats.org/officeDocument/2006/relationships/hyperlink" Target="https://us3.assetplanner.com/service_request?ID=102013" TargetMode="External"/><Relationship Id="rId18" Type="http://schemas.openxmlformats.org/officeDocument/2006/relationships/hyperlink" Target="https://us3.assetplanner.com/service_request?ID=101862" TargetMode="External"/><Relationship Id="rId39" Type="http://schemas.openxmlformats.org/officeDocument/2006/relationships/hyperlink" Target="https://us3.assetplanner.com/service_request?ID=103159" TargetMode="External"/><Relationship Id="rId34" Type="http://schemas.openxmlformats.org/officeDocument/2006/relationships/hyperlink" Target="https://us3.assetplanner.com/service_request?ID=090375" TargetMode="External"/><Relationship Id="rId50" Type="http://schemas.openxmlformats.org/officeDocument/2006/relationships/hyperlink" Target="https://us3.assetplanner.com/service_request?ID=095385" TargetMode="External"/><Relationship Id="rId55" Type="http://schemas.openxmlformats.org/officeDocument/2006/relationships/hyperlink" Target="https://us3.assetplanner.com/service_request?ID=098717" TargetMode="External"/><Relationship Id="rId76" Type="http://schemas.openxmlformats.org/officeDocument/2006/relationships/hyperlink" Target="https://us3.assetplanner.com/service_request?ID=098183" TargetMode="External"/><Relationship Id="rId97" Type="http://schemas.openxmlformats.org/officeDocument/2006/relationships/hyperlink" Target="https://us3.assetplanner.com/service_request?ID=102522" TargetMode="External"/><Relationship Id="rId7" Type="http://schemas.openxmlformats.org/officeDocument/2006/relationships/hyperlink" Target="https://us3.assetplanner.com/service_request?ID=103669" TargetMode="External"/><Relationship Id="rId71" Type="http://schemas.openxmlformats.org/officeDocument/2006/relationships/hyperlink" Target="https://us3.assetplanner.com/service_request?ID=098183" TargetMode="External"/><Relationship Id="rId92" Type="http://schemas.openxmlformats.org/officeDocument/2006/relationships/hyperlink" Target="https://us3.assetplanner.com/service_request?ID=096410" TargetMode="External"/><Relationship Id="rId2" Type="http://schemas.openxmlformats.org/officeDocument/2006/relationships/hyperlink" Target="https://us3.assetplanner.com/service_request?ID=103346" TargetMode="External"/><Relationship Id="rId29" Type="http://schemas.openxmlformats.org/officeDocument/2006/relationships/hyperlink" Target="https://us3.assetplanner.com/service_request?ID=093174" TargetMode="External"/><Relationship Id="rId24" Type="http://schemas.openxmlformats.org/officeDocument/2006/relationships/hyperlink" Target="https://us3.assetplanner.com/service_request?ID=094440" TargetMode="External"/><Relationship Id="rId40" Type="http://schemas.openxmlformats.org/officeDocument/2006/relationships/hyperlink" Target="https://us3.assetplanner.com/service_request?ID=102346" TargetMode="External"/><Relationship Id="rId45" Type="http://schemas.openxmlformats.org/officeDocument/2006/relationships/hyperlink" Target="https://us3.assetplanner.com/service_request?ID=095592" TargetMode="External"/><Relationship Id="rId66" Type="http://schemas.openxmlformats.org/officeDocument/2006/relationships/hyperlink" Target="https://us3.assetplanner.com/service_request?ID=102808" TargetMode="External"/><Relationship Id="rId87" Type="http://schemas.openxmlformats.org/officeDocument/2006/relationships/hyperlink" Target="https://us3.assetplanner.com/service_request?ID=101285" TargetMode="External"/><Relationship Id="rId61" Type="http://schemas.openxmlformats.org/officeDocument/2006/relationships/hyperlink" Target="https://us3.assetplanner.com/service_request?ID=101132" TargetMode="External"/><Relationship Id="rId82" Type="http://schemas.openxmlformats.org/officeDocument/2006/relationships/hyperlink" Target="https://us3.assetplanner.com/service_request?ID=089477" TargetMode="External"/><Relationship Id="rId19" Type="http://schemas.openxmlformats.org/officeDocument/2006/relationships/hyperlink" Target="https://us3.assetplanner.com/service_request?ID=100743" TargetMode="External"/><Relationship Id="rId14" Type="http://schemas.openxmlformats.org/officeDocument/2006/relationships/hyperlink" Target="https://us3.assetplanner.com/service_request?ID=095623" TargetMode="External"/><Relationship Id="rId30" Type="http://schemas.openxmlformats.org/officeDocument/2006/relationships/hyperlink" Target="https://us3.assetplanner.com/service_request?ID=095356" TargetMode="External"/><Relationship Id="rId35" Type="http://schemas.openxmlformats.org/officeDocument/2006/relationships/hyperlink" Target="https://us3.assetplanner.com/service_request?ID=089461" TargetMode="External"/><Relationship Id="rId56" Type="http://schemas.openxmlformats.org/officeDocument/2006/relationships/hyperlink" Target="https://us3.assetplanner.com/service_request?ID=086220" TargetMode="External"/><Relationship Id="rId77" Type="http://schemas.openxmlformats.org/officeDocument/2006/relationships/hyperlink" Target="https://us3.assetplanner.com/service_request?ID=101740" TargetMode="External"/><Relationship Id="rId8" Type="http://schemas.openxmlformats.org/officeDocument/2006/relationships/hyperlink" Target="https://us3.assetplanner.com/service_request?ID=102624" TargetMode="External"/><Relationship Id="rId51" Type="http://schemas.openxmlformats.org/officeDocument/2006/relationships/hyperlink" Target="https://us3.assetplanner.com/service_request?ID=102060" TargetMode="External"/><Relationship Id="rId72" Type="http://schemas.openxmlformats.org/officeDocument/2006/relationships/hyperlink" Target="https://us3.assetplanner.com/service_request?ID=095449" TargetMode="External"/><Relationship Id="rId93" Type="http://schemas.openxmlformats.org/officeDocument/2006/relationships/hyperlink" Target="https://us3.assetplanner.com/service_request?ID=092456" TargetMode="External"/><Relationship Id="rId98" Type="http://schemas.openxmlformats.org/officeDocument/2006/relationships/hyperlink" Target="https://us3.assetplanner.com/service_request?ID=101886"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s://us3.assetplanner.com/service_request?ID=104165" TargetMode="External"/><Relationship Id="rId21" Type="http://schemas.openxmlformats.org/officeDocument/2006/relationships/hyperlink" Target="https://us3.assetplanner.com/service_request?ID=104085" TargetMode="External"/><Relationship Id="rId42" Type="http://schemas.openxmlformats.org/officeDocument/2006/relationships/hyperlink" Target="https://us3.assetplanner.com/service_request?ID=101137" TargetMode="External"/><Relationship Id="rId47" Type="http://schemas.openxmlformats.org/officeDocument/2006/relationships/hyperlink" Target="https://us3.assetplanner.com/service_request?ID=102060" TargetMode="External"/><Relationship Id="rId63" Type="http://schemas.openxmlformats.org/officeDocument/2006/relationships/hyperlink" Target="https://us3.assetplanner.com/service_request?ID=093474" TargetMode="External"/><Relationship Id="rId68" Type="http://schemas.openxmlformats.org/officeDocument/2006/relationships/hyperlink" Target="https://us3.assetplanner.com/service_request?ID=089477" TargetMode="External"/><Relationship Id="rId84" Type="http://schemas.openxmlformats.org/officeDocument/2006/relationships/hyperlink" Target="https://us3.assetplanner.com/service_request?ID=103724" TargetMode="External"/><Relationship Id="rId16" Type="http://schemas.openxmlformats.org/officeDocument/2006/relationships/hyperlink" Target="https://us3.assetplanner.com/service_request?ID=101331" TargetMode="External"/><Relationship Id="rId11" Type="http://schemas.openxmlformats.org/officeDocument/2006/relationships/hyperlink" Target="https://us3.assetplanner.com/service_request?ID=104045" TargetMode="External"/><Relationship Id="rId32" Type="http://schemas.openxmlformats.org/officeDocument/2006/relationships/hyperlink" Target="https://us3.assetplanner.com/service_request?ID=105065" TargetMode="External"/><Relationship Id="rId37" Type="http://schemas.openxmlformats.org/officeDocument/2006/relationships/hyperlink" Target="https://us3.assetplanner.com/service_request?ID=102346" TargetMode="External"/><Relationship Id="rId53" Type="http://schemas.openxmlformats.org/officeDocument/2006/relationships/hyperlink" Target="https://us3.assetplanner.com/service_request?ID=104021" TargetMode="External"/><Relationship Id="rId58" Type="http://schemas.openxmlformats.org/officeDocument/2006/relationships/hyperlink" Target="https://us3.assetplanner.com/service_request?ID=101829" TargetMode="External"/><Relationship Id="rId74" Type="http://schemas.openxmlformats.org/officeDocument/2006/relationships/hyperlink" Target="https://us3.assetplanner.com/service_request?ID=102151" TargetMode="External"/><Relationship Id="rId79" Type="http://schemas.openxmlformats.org/officeDocument/2006/relationships/hyperlink" Target="https://us3.assetplanner.com/service_request?ID=104035" TargetMode="External"/><Relationship Id="rId5" Type="http://schemas.openxmlformats.org/officeDocument/2006/relationships/hyperlink" Target="https://us3.assetplanner.com/service_request?ID=104755" TargetMode="External"/><Relationship Id="rId19" Type="http://schemas.openxmlformats.org/officeDocument/2006/relationships/hyperlink" Target="https://us3.assetplanner.com/service_request?ID=095623" TargetMode="External"/><Relationship Id="rId14" Type="http://schemas.openxmlformats.org/officeDocument/2006/relationships/hyperlink" Target="https://us3.assetplanner.com/service_request?ID=103424" TargetMode="External"/><Relationship Id="rId22" Type="http://schemas.openxmlformats.org/officeDocument/2006/relationships/hyperlink" Target="https://us3.assetplanner.com/service_request?ID=104907" TargetMode="External"/><Relationship Id="rId27" Type="http://schemas.openxmlformats.org/officeDocument/2006/relationships/hyperlink" Target="https://us3.assetplanner.com/service_request?ID=103032" TargetMode="External"/><Relationship Id="rId30" Type="http://schemas.openxmlformats.org/officeDocument/2006/relationships/hyperlink" Target="https://us3.assetplanner.com/service_request?ID=094440" TargetMode="External"/><Relationship Id="rId35" Type="http://schemas.openxmlformats.org/officeDocument/2006/relationships/hyperlink" Target="https://us3.assetplanner.com/service_request?ID=092753" TargetMode="External"/><Relationship Id="rId43" Type="http://schemas.openxmlformats.org/officeDocument/2006/relationships/hyperlink" Target="https://us3.assetplanner.com/service_request?ID=104917" TargetMode="External"/><Relationship Id="rId48" Type="http://schemas.openxmlformats.org/officeDocument/2006/relationships/hyperlink" Target="https://us3.assetplanner.com/service_request?ID=097558" TargetMode="External"/><Relationship Id="rId56" Type="http://schemas.openxmlformats.org/officeDocument/2006/relationships/hyperlink" Target="https://us3.assetplanner.com/service_request?ID=104249" TargetMode="External"/><Relationship Id="rId64" Type="http://schemas.openxmlformats.org/officeDocument/2006/relationships/hyperlink" Target="https://us3.assetplanner.com/service_request?ID=090380" TargetMode="External"/><Relationship Id="rId69" Type="http://schemas.openxmlformats.org/officeDocument/2006/relationships/hyperlink" Target="https://us3.assetplanner.com/service_request?ID=096348" TargetMode="External"/><Relationship Id="rId77" Type="http://schemas.openxmlformats.org/officeDocument/2006/relationships/hyperlink" Target="https://us3.assetplanner.com/service_request?ID=104404" TargetMode="External"/><Relationship Id="rId8" Type="http://schemas.openxmlformats.org/officeDocument/2006/relationships/hyperlink" Target="https://us3.assetplanner.com/service_request?ID=102277" TargetMode="External"/><Relationship Id="rId51" Type="http://schemas.openxmlformats.org/officeDocument/2006/relationships/hyperlink" Target="https://us3.assetplanner.com/service_request?ID=098717" TargetMode="External"/><Relationship Id="rId72" Type="http://schemas.openxmlformats.org/officeDocument/2006/relationships/hyperlink" Target="https://us3.assetplanner.com/service_request?ID=103802" TargetMode="External"/><Relationship Id="rId80" Type="http://schemas.openxmlformats.org/officeDocument/2006/relationships/hyperlink" Target="https://us3.assetplanner.com/service_request?ID=105453" TargetMode="External"/><Relationship Id="rId85" Type="http://schemas.openxmlformats.org/officeDocument/2006/relationships/hyperlink" Target="https://us3.assetplanner.com/service_request?ID=104036" TargetMode="External"/><Relationship Id="rId3" Type="http://schemas.openxmlformats.org/officeDocument/2006/relationships/hyperlink" Target="https://us3.assetplanner.com/service_request?ID=098590" TargetMode="External"/><Relationship Id="rId12" Type="http://schemas.openxmlformats.org/officeDocument/2006/relationships/hyperlink" Target="https://us3.assetplanner.com/service_request?ID=103669" TargetMode="External"/><Relationship Id="rId17" Type="http://schemas.openxmlformats.org/officeDocument/2006/relationships/hyperlink" Target="https://us3.assetplanner.com/service_request?ID=104634" TargetMode="External"/><Relationship Id="rId25" Type="http://schemas.openxmlformats.org/officeDocument/2006/relationships/hyperlink" Target="https://us3.assetplanner.com/service_request?ID=104343" TargetMode="External"/><Relationship Id="rId33" Type="http://schemas.openxmlformats.org/officeDocument/2006/relationships/hyperlink" Target="https://us3.assetplanner.com/service_request?ID=105063" TargetMode="External"/><Relationship Id="rId38" Type="http://schemas.openxmlformats.org/officeDocument/2006/relationships/hyperlink" Target="https://us3.assetplanner.com/service_request?ID=103159" TargetMode="External"/><Relationship Id="rId46" Type="http://schemas.openxmlformats.org/officeDocument/2006/relationships/hyperlink" Target="https://us3.assetplanner.com/service_request?ID=095385" TargetMode="External"/><Relationship Id="rId59" Type="http://schemas.openxmlformats.org/officeDocument/2006/relationships/hyperlink" Target="https://us3.assetplanner.com/service_request?ID=102808" TargetMode="External"/><Relationship Id="rId67" Type="http://schemas.openxmlformats.org/officeDocument/2006/relationships/hyperlink" Target="https://us3.assetplanner.com/service_request?ID=101740" TargetMode="External"/><Relationship Id="rId20" Type="http://schemas.openxmlformats.org/officeDocument/2006/relationships/hyperlink" Target="https://us3.assetplanner.com/service_request?ID=105300" TargetMode="External"/><Relationship Id="rId41" Type="http://schemas.openxmlformats.org/officeDocument/2006/relationships/hyperlink" Target="https://us3.assetplanner.com/service_request?ID=092276" TargetMode="External"/><Relationship Id="rId54" Type="http://schemas.openxmlformats.org/officeDocument/2006/relationships/hyperlink" Target="https://us3.assetplanner.com/service_request?ID=098397" TargetMode="External"/><Relationship Id="rId62" Type="http://schemas.openxmlformats.org/officeDocument/2006/relationships/hyperlink" Target="https://us3.assetplanner.com/service_request?ID=095449" TargetMode="External"/><Relationship Id="rId70" Type="http://schemas.openxmlformats.org/officeDocument/2006/relationships/hyperlink" Target="https://us3.assetplanner.com/service_request?ID=089477" TargetMode="External"/><Relationship Id="rId75" Type="http://schemas.openxmlformats.org/officeDocument/2006/relationships/hyperlink" Target="https://us3.assetplanner.com/service_request?ID=103666" TargetMode="External"/><Relationship Id="rId83" Type="http://schemas.openxmlformats.org/officeDocument/2006/relationships/hyperlink" Target="https://us3.assetplanner.com/service_request?ID=103948" TargetMode="External"/><Relationship Id="rId1" Type="http://schemas.openxmlformats.org/officeDocument/2006/relationships/hyperlink" Target="https://us3.assetplanner.com/service_request?ID=092166" TargetMode="External"/><Relationship Id="rId6" Type="http://schemas.openxmlformats.org/officeDocument/2006/relationships/hyperlink" Target="https://us3.assetplanner.com/service_request?ID=104916" TargetMode="External"/><Relationship Id="rId15" Type="http://schemas.openxmlformats.org/officeDocument/2006/relationships/hyperlink" Target="https://us3.assetplanner.com/service_request?ID=103623" TargetMode="External"/><Relationship Id="rId23" Type="http://schemas.openxmlformats.org/officeDocument/2006/relationships/hyperlink" Target="https://us3.assetplanner.com/service_request?ID=104402" TargetMode="External"/><Relationship Id="rId28" Type="http://schemas.openxmlformats.org/officeDocument/2006/relationships/hyperlink" Target="https://us3.assetplanner.com/service_request?ID=104919" TargetMode="External"/><Relationship Id="rId36" Type="http://schemas.openxmlformats.org/officeDocument/2006/relationships/hyperlink" Target="https://us3.assetplanner.com/service_request?ID=104027" TargetMode="External"/><Relationship Id="rId49" Type="http://schemas.openxmlformats.org/officeDocument/2006/relationships/hyperlink" Target="https://us3.assetplanner.com/service_request?ID=098717" TargetMode="External"/><Relationship Id="rId57" Type="http://schemas.openxmlformats.org/officeDocument/2006/relationships/hyperlink" Target="https://us3.assetplanner.com/service_request?ID=101132" TargetMode="External"/><Relationship Id="rId10" Type="http://schemas.openxmlformats.org/officeDocument/2006/relationships/hyperlink" Target="https://us3.assetplanner.com/service_request?ID=102796" TargetMode="External"/><Relationship Id="rId31" Type="http://schemas.openxmlformats.org/officeDocument/2006/relationships/hyperlink" Target="https://us3.assetplanner.com/service_request?ID=095163" TargetMode="External"/><Relationship Id="rId44" Type="http://schemas.openxmlformats.org/officeDocument/2006/relationships/hyperlink" Target="https://us3.assetplanner.com/service_request?ID=105133" TargetMode="External"/><Relationship Id="rId52" Type="http://schemas.openxmlformats.org/officeDocument/2006/relationships/hyperlink" Target="https://us3.assetplanner.com/service_request?ID=091312" TargetMode="External"/><Relationship Id="rId60" Type="http://schemas.openxmlformats.org/officeDocument/2006/relationships/hyperlink" Target="https://us3.assetplanner.com/service_request?ID=102897" TargetMode="External"/><Relationship Id="rId65" Type="http://schemas.openxmlformats.org/officeDocument/2006/relationships/hyperlink" Target="https://us3.assetplanner.com/service_request?ID=089474" TargetMode="External"/><Relationship Id="rId73" Type="http://schemas.openxmlformats.org/officeDocument/2006/relationships/hyperlink" Target="https://us3.assetplanner.com/service_request?ID=105126" TargetMode="External"/><Relationship Id="rId78" Type="http://schemas.openxmlformats.org/officeDocument/2006/relationships/hyperlink" Target="https://us3.assetplanner.com/service_request?ID=099641" TargetMode="External"/><Relationship Id="rId81" Type="http://schemas.openxmlformats.org/officeDocument/2006/relationships/hyperlink" Target="https://us3.assetplanner.com/service_request?ID=092456" TargetMode="External"/><Relationship Id="rId86" Type="http://schemas.openxmlformats.org/officeDocument/2006/relationships/hyperlink" Target="https://us3.assetplanner.com/service_request?ID=105452" TargetMode="External"/><Relationship Id="rId4" Type="http://schemas.openxmlformats.org/officeDocument/2006/relationships/hyperlink" Target="https://us3.assetplanner.com/service_request?ID=103346" TargetMode="External"/><Relationship Id="rId9" Type="http://schemas.openxmlformats.org/officeDocument/2006/relationships/hyperlink" Target="https://us3.assetplanner.com/service_request?ID=104016" TargetMode="External"/><Relationship Id="rId13" Type="http://schemas.openxmlformats.org/officeDocument/2006/relationships/hyperlink" Target="https://us3.assetplanner.com/service_request?ID=103499" TargetMode="External"/><Relationship Id="rId18" Type="http://schemas.openxmlformats.org/officeDocument/2006/relationships/hyperlink" Target="https://us3.assetplanner.com/service_request?ID=102013" TargetMode="External"/><Relationship Id="rId39" Type="http://schemas.openxmlformats.org/officeDocument/2006/relationships/hyperlink" Target="https://us3.assetplanner.com/service_request?ID=105161" TargetMode="External"/><Relationship Id="rId34" Type="http://schemas.openxmlformats.org/officeDocument/2006/relationships/hyperlink" Target="https://us3.assetplanner.com/service_request?ID=104640" TargetMode="External"/><Relationship Id="rId50" Type="http://schemas.openxmlformats.org/officeDocument/2006/relationships/hyperlink" Target="https://us3.assetplanner.com/service_request?ID=086220" TargetMode="External"/><Relationship Id="rId55" Type="http://schemas.openxmlformats.org/officeDocument/2006/relationships/hyperlink" Target="https://us3.assetplanner.com/service_request?ID=094234" TargetMode="External"/><Relationship Id="rId76" Type="http://schemas.openxmlformats.org/officeDocument/2006/relationships/hyperlink" Target="https://us3.assetplanner.com/service_request?ID=104943" TargetMode="External"/><Relationship Id="rId7" Type="http://schemas.openxmlformats.org/officeDocument/2006/relationships/hyperlink" Target="https://us3.assetplanner.com/service_request?ID=102467" TargetMode="External"/><Relationship Id="rId71" Type="http://schemas.openxmlformats.org/officeDocument/2006/relationships/hyperlink" Target="https://us3.assetplanner.com/service_request?ID=096348" TargetMode="External"/><Relationship Id="rId2" Type="http://schemas.openxmlformats.org/officeDocument/2006/relationships/hyperlink" Target="https://us3.assetplanner.com/service_request?ID=098183" TargetMode="External"/><Relationship Id="rId29" Type="http://schemas.openxmlformats.org/officeDocument/2006/relationships/hyperlink" Target="https://us3.assetplanner.com/service_request?ID=099206" TargetMode="External"/><Relationship Id="rId24" Type="http://schemas.openxmlformats.org/officeDocument/2006/relationships/hyperlink" Target="https://us3.assetplanner.com/service_request?ID=102150" TargetMode="External"/><Relationship Id="rId40" Type="http://schemas.openxmlformats.org/officeDocument/2006/relationships/hyperlink" Target="https://us3.assetplanner.com/service_request?ID=105162" TargetMode="External"/><Relationship Id="rId45" Type="http://schemas.openxmlformats.org/officeDocument/2006/relationships/hyperlink" Target="https://us3.assetplanner.com/service_request?ID=089612" TargetMode="External"/><Relationship Id="rId66" Type="http://schemas.openxmlformats.org/officeDocument/2006/relationships/hyperlink" Target="https://us3.assetplanner.com/service_request?ID=098183" TargetMode="External"/><Relationship Id="rId87" Type="http://schemas.openxmlformats.org/officeDocument/2006/relationships/hyperlink" Target="https://us3.assetplanner.com/service_request?ID=102522" TargetMode="External"/><Relationship Id="rId61" Type="http://schemas.openxmlformats.org/officeDocument/2006/relationships/hyperlink" Target="https://us3.assetplanner.com/service_request?ID=090293" TargetMode="External"/><Relationship Id="rId82" Type="http://schemas.openxmlformats.org/officeDocument/2006/relationships/hyperlink" Target="https://us3.assetplanner.com/service_request?ID=098778"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s://us3.assetplanner.com/service_request?ID=103759" TargetMode="External"/><Relationship Id="rId21" Type="http://schemas.openxmlformats.org/officeDocument/2006/relationships/hyperlink" Target="https://us3.assetplanner.com/service_request?ID=104085" TargetMode="External"/><Relationship Id="rId42" Type="http://schemas.openxmlformats.org/officeDocument/2006/relationships/hyperlink" Target="https://us3.assetplanner.com/service_request?ID=101902" TargetMode="External"/><Relationship Id="rId47" Type="http://schemas.openxmlformats.org/officeDocument/2006/relationships/hyperlink" Target="https://us3.assetplanner.com/service_request?ID=105162" TargetMode="External"/><Relationship Id="rId63" Type="http://schemas.openxmlformats.org/officeDocument/2006/relationships/hyperlink" Target="https://us3.assetplanner.com/service_request?ID=098717" TargetMode="External"/><Relationship Id="rId68" Type="http://schemas.openxmlformats.org/officeDocument/2006/relationships/hyperlink" Target="https://us3.assetplanner.com/service_request?ID=104021" TargetMode="External"/><Relationship Id="rId84" Type="http://schemas.openxmlformats.org/officeDocument/2006/relationships/hyperlink" Target="https://us3.assetplanner.com/service_request?ID=103833" TargetMode="External"/><Relationship Id="rId89" Type="http://schemas.openxmlformats.org/officeDocument/2006/relationships/hyperlink" Target="https://us3.assetplanner.com/service_request?ID=096348" TargetMode="External"/><Relationship Id="rId16" Type="http://schemas.openxmlformats.org/officeDocument/2006/relationships/hyperlink" Target="https://us3.assetplanner.com/service_request?ID=104634" TargetMode="External"/><Relationship Id="rId11" Type="http://schemas.openxmlformats.org/officeDocument/2006/relationships/hyperlink" Target="https://us3.assetplanner.com/service_request?ID=104045" TargetMode="External"/><Relationship Id="rId32" Type="http://schemas.openxmlformats.org/officeDocument/2006/relationships/hyperlink" Target="https://us3.assetplanner.com/service_request?ID=099206" TargetMode="External"/><Relationship Id="rId37" Type="http://schemas.openxmlformats.org/officeDocument/2006/relationships/hyperlink" Target="https://us3.assetplanner.com/service_request?ID=105063" TargetMode="External"/><Relationship Id="rId53" Type="http://schemas.openxmlformats.org/officeDocument/2006/relationships/hyperlink" Target="https://us3.assetplanner.com/service_request?ID=092276" TargetMode="External"/><Relationship Id="rId58" Type="http://schemas.openxmlformats.org/officeDocument/2006/relationships/hyperlink" Target="https://us3.assetplanner.com/service_request?ID=089612" TargetMode="External"/><Relationship Id="rId74" Type="http://schemas.openxmlformats.org/officeDocument/2006/relationships/hyperlink" Target="https://us3.assetplanner.com/service_request?ID=105836" TargetMode="External"/><Relationship Id="rId79" Type="http://schemas.openxmlformats.org/officeDocument/2006/relationships/hyperlink" Target="https://us3.assetplanner.com/service_request?ID=093474" TargetMode="External"/><Relationship Id="rId5" Type="http://schemas.openxmlformats.org/officeDocument/2006/relationships/hyperlink" Target="https://us3.assetplanner.com/service_request?ID=105651" TargetMode="External"/><Relationship Id="rId90" Type="http://schemas.openxmlformats.org/officeDocument/2006/relationships/hyperlink" Target="https://us3.assetplanner.com/service_request?ID=103802" TargetMode="External"/><Relationship Id="rId95" Type="http://schemas.openxmlformats.org/officeDocument/2006/relationships/hyperlink" Target="https://us3.assetplanner.com/service_request?ID=106155" TargetMode="External"/><Relationship Id="rId22" Type="http://schemas.openxmlformats.org/officeDocument/2006/relationships/hyperlink" Target="https://us3.assetplanner.com/service_request?ID=104907" TargetMode="External"/><Relationship Id="rId27" Type="http://schemas.openxmlformats.org/officeDocument/2006/relationships/hyperlink" Target="https://us3.assetplanner.com/service_request?ID=104343" TargetMode="External"/><Relationship Id="rId43" Type="http://schemas.openxmlformats.org/officeDocument/2006/relationships/hyperlink" Target="https://us3.assetplanner.com/service_request?ID=104027" TargetMode="External"/><Relationship Id="rId48" Type="http://schemas.openxmlformats.org/officeDocument/2006/relationships/hyperlink" Target="https://us3.assetplanner.com/service_request?ID=090375" TargetMode="External"/><Relationship Id="rId64" Type="http://schemas.openxmlformats.org/officeDocument/2006/relationships/hyperlink" Target="https://us3.assetplanner.com/service_request?ID=086220" TargetMode="External"/><Relationship Id="rId69" Type="http://schemas.openxmlformats.org/officeDocument/2006/relationships/hyperlink" Target="https://us3.assetplanner.com/service_request?ID=098397" TargetMode="External"/><Relationship Id="rId80" Type="http://schemas.openxmlformats.org/officeDocument/2006/relationships/hyperlink" Target="https://us3.assetplanner.com/service_request?ID=090380" TargetMode="External"/><Relationship Id="rId85" Type="http://schemas.openxmlformats.org/officeDocument/2006/relationships/hyperlink" Target="https://us3.assetplanner.com/service_request?ID=104174" TargetMode="External"/><Relationship Id="rId12" Type="http://schemas.openxmlformats.org/officeDocument/2006/relationships/hyperlink" Target="https://us3.assetplanner.com/service_request?ID=103142" TargetMode="External"/><Relationship Id="rId17" Type="http://schemas.openxmlformats.org/officeDocument/2006/relationships/hyperlink" Target="https://us3.assetplanner.com/service_request?ID=102013" TargetMode="External"/><Relationship Id="rId25" Type="http://schemas.openxmlformats.org/officeDocument/2006/relationships/hyperlink" Target="https://us3.assetplanner.com/service_request?ID=104158" TargetMode="External"/><Relationship Id="rId33" Type="http://schemas.openxmlformats.org/officeDocument/2006/relationships/hyperlink" Target="https://us3.assetplanner.com/service_request?ID=094440" TargetMode="External"/><Relationship Id="rId38" Type="http://schemas.openxmlformats.org/officeDocument/2006/relationships/hyperlink" Target="https://us3.assetplanner.com/service_request?ID=104640" TargetMode="External"/><Relationship Id="rId46" Type="http://schemas.openxmlformats.org/officeDocument/2006/relationships/hyperlink" Target="https://us3.assetplanner.com/service_request?ID=105161" TargetMode="External"/><Relationship Id="rId59" Type="http://schemas.openxmlformats.org/officeDocument/2006/relationships/hyperlink" Target="https://us3.assetplanner.com/service_request?ID=095385" TargetMode="External"/><Relationship Id="rId67" Type="http://schemas.openxmlformats.org/officeDocument/2006/relationships/hyperlink" Target="https://us3.assetplanner.com/service_request?ID=106272" TargetMode="External"/><Relationship Id="rId20" Type="http://schemas.openxmlformats.org/officeDocument/2006/relationships/hyperlink" Target="https://us3.assetplanner.com/service_request?ID=106438" TargetMode="External"/><Relationship Id="rId41" Type="http://schemas.openxmlformats.org/officeDocument/2006/relationships/hyperlink" Target="https://us3.assetplanner.com/service_request?ID=106812" TargetMode="External"/><Relationship Id="rId54" Type="http://schemas.openxmlformats.org/officeDocument/2006/relationships/hyperlink" Target="https://us3.assetplanner.com/service_request?ID=104333" TargetMode="External"/><Relationship Id="rId62" Type="http://schemas.openxmlformats.org/officeDocument/2006/relationships/hyperlink" Target="https://us3.assetplanner.com/service_request?ID=097558" TargetMode="External"/><Relationship Id="rId70" Type="http://schemas.openxmlformats.org/officeDocument/2006/relationships/hyperlink" Target="https://us3.assetplanner.com/service_request?ID=094234" TargetMode="External"/><Relationship Id="rId75" Type="http://schemas.openxmlformats.org/officeDocument/2006/relationships/hyperlink" Target="https://us3.assetplanner.com/service_request?ID=102897" TargetMode="External"/><Relationship Id="rId83" Type="http://schemas.openxmlformats.org/officeDocument/2006/relationships/hyperlink" Target="https://us3.assetplanner.com/service_request?ID=101740" TargetMode="External"/><Relationship Id="rId88" Type="http://schemas.openxmlformats.org/officeDocument/2006/relationships/hyperlink" Target="https://us3.assetplanner.com/service_request?ID=089477" TargetMode="External"/><Relationship Id="rId91" Type="http://schemas.openxmlformats.org/officeDocument/2006/relationships/hyperlink" Target="https://us3.assetplanner.com/service_request?ID=105126" TargetMode="External"/><Relationship Id="rId96" Type="http://schemas.openxmlformats.org/officeDocument/2006/relationships/hyperlink" Target="https://us3.assetplanner.com/service_request?ID=106653"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106870" TargetMode="External"/><Relationship Id="rId15" Type="http://schemas.openxmlformats.org/officeDocument/2006/relationships/hyperlink" Target="https://us3.assetplanner.com/service_request?ID=101331" TargetMode="External"/><Relationship Id="rId23" Type="http://schemas.openxmlformats.org/officeDocument/2006/relationships/hyperlink" Target="https://us3.assetplanner.com/service_request?ID=104402" TargetMode="External"/><Relationship Id="rId28" Type="http://schemas.openxmlformats.org/officeDocument/2006/relationships/hyperlink" Target="https://us3.assetplanner.com/service_request?ID=104165" TargetMode="External"/><Relationship Id="rId36" Type="http://schemas.openxmlformats.org/officeDocument/2006/relationships/hyperlink" Target="https://us3.assetplanner.com/service_request?ID=105065" TargetMode="External"/><Relationship Id="rId49" Type="http://schemas.openxmlformats.org/officeDocument/2006/relationships/hyperlink" Target="https://us3.assetplanner.com/service_request?ID=105124" TargetMode="External"/><Relationship Id="rId57" Type="http://schemas.openxmlformats.org/officeDocument/2006/relationships/hyperlink" Target="https://us3.assetplanner.com/service_request?ID=105133" TargetMode="External"/><Relationship Id="rId10" Type="http://schemas.openxmlformats.org/officeDocument/2006/relationships/hyperlink" Target="https://us3.assetplanner.com/service_request?ID=102796" TargetMode="External"/><Relationship Id="rId31" Type="http://schemas.openxmlformats.org/officeDocument/2006/relationships/hyperlink" Target="https://us3.assetplanner.com/service_request?ID=104919" TargetMode="External"/><Relationship Id="rId44" Type="http://schemas.openxmlformats.org/officeDocument/2006/relationships/hyperlink" Target="https://us3.assetplanner.com/service_request?ID=102346" TargetMode="External"/><Relationship Id="rId52" Type="http://schemas.openxmlformats.org/officeDocument/2006/relationships/hyperlink" Target="https://us3.assetplanner.com/service_request?ID=101136" TargetMode="External"/><Relationship Id="rId60" Type="http://schemas.openxmlformats.org/officeDocument/2006/relationships/hyperlink" Target="https://us3.assetplanner.com/service_request?ID=102060" TargetMode="External"/><Relationship Id="rId65" Type="http://schemas.openxmlformats.org/officeDocument/2006/relationships/hyperlink" Target="https://us3.assetplanner.com/service_request?ID=098717" TargetMode="External"/><Relationship Id="rId73" Type="http://schemas.openxmlformats.org/officeDocument/2006/relationships/hyperlink" Target="https://us3.assetplanner.com/service_request?ID=105759" TargetMode="External"/><Relationship Id="rId78" Type="http://schemas.openxmlformats.org/officeDocument/2006/relationships/hyperlink" Target="https://us3.assetplanner.com/service_request?ID=095449" TargetMode="External"/><Relationship Id="rId81" Type="http://schemas.openxmlformats.org/officeDocument/2006/relationships/hyperlink" Target="https://us3.assetplanner.com/service_request?ID=089474" TargetMode="External"/><Relationship Id="rId86" Type="http://schemas.openxmlformats.org/officeDocument/2006/relationships/hyperlink" Target="https://us3.assetplanner.com/service_request?ID=089477" TargetMode="External"/><Relationship Id="rId94" Type="http://schemas.openxmlformats.org/officeDocument/2006/relationships/hyperlink" Target="https://us3.assetplanner.com/service_request?ID=104943" TargetMode="External"/><Relationship Id="rId99" Type="http://schemas.openxmlformats.org/officeDocument/2006/relationships/hyperlink" Target="https://us3.assetplanner.com/service_request?ID=103948" TargetMode="External"/><Relationship Id="rId101" Type="http://schemas.openxmlformats.org/officeDocument/2006/relationships/hyperlink" Target="https://us3.assetplanner.com/service_request?ID=107088" TargetMode="External"/><Relationship Id="rId4" Type="http://schemas.openxmlformats.org/officeDocument/2006/relationships/hyperlink" Target="https://us3.assetplanner.com/service_request?ID=105560" TargetMode="External"/><Relationship Id="rId9" Type="http://schemas.openxmlformats.org/officeDocument/2006/relationships/hyperlink" Target="https://us3.assetplanner.com/service_request?ID=105446" TargetMode="External"/><Relationship Id="rId13" Type="http://schemas.openxmlformats.org/officeDocument/2006/relationships/hyperlink" Target="https://us3.assetplanner.com/service_request?ID=103499" TargetMode="External"/><Relationship Id="rId18" Type="http://schemas.openxmlformats.org/officeDocument/2006/relationships/hyperlink" Target="https://us3.assetplanner.com/service_request?ID=095623" TargetMode="External"/><Relationship Id="rId39" Type="http://schemas.openxmlformats.org/officeDocument/2006/relationships/hyperlink" Target="https://us3.assetplanner.com/service_request?ID=106181" TargetMode="External"/><Relationship Id="rId34" Type="http://schemas.openxmlformats.org/officeDocument/2006/relationships/hyperlink" Target="https://us3.assetplanner.com/service_request?ID=106741" TargetMode="External"/><Relationship Id="rId50" Type="http://schemas.openxmlformats.org/officeDocument/2006/relationships/hyperlink" Target="https://us3.assetplanner.com/service_request?ID=089461" TargetMode="External"/><Relationship Id="rId55" Type="http://schemas.openxmlformats.org/officeDocument/2006/relationships/hyperlink" Target="https://us3.assetplanner.com/service_request?ID=101137" TargetMode="External"/><Relationship Id="rId76" Type="http://schemas.openxmlformats.org/officeDocument/2006/relationships/hyperlink" Target="https://us3.assetplanner.com/service_request?ID=090293" TargetMode="External"/><Relationship Id="rId97" Type="http://schemas.openxmlformats.org/officeDocument/2006/relationships/hyperlink" Target="https://us3.assetplanner.com/service_request?ID=105453" TargetMode="External"/><Relationship Id="rId7" Type="http://schemas.openxmlformats.org/officeDocument/2006/relationships/hyperlink" Target="https://us3.assetplanner.com/service_request?ID=102467" TargetMode="External"/><Relationship Id="rId71" Type="http://schemas.openxmlformats.org/officeDocument/2006/relationships/hyperlink" Target="https://us3.assetplanner.com/service_request?ID=104249" TargetMode="External"/><Relationship Id="rId92" Type="http://schemas.openxmlformats.org/officeDocument/2006/relationships/hyperlink" Target="https://us3.assetplanner.com/service_request?ID=102151" TargetMode="External"/><Relationship Id="rId2" Type="http://schemas.openxmlformats.org/officeDocument/2006/relationships/hyperlink" Target="https://us3.assetplanner.com/service_request?ID=106649" TargetMode="External"/><Relationship Id="rId29" Type="http://schemas.openxmlformats.org/officeDocument/2006/relationships/hyperlink" Target="https://us3.assetplanner.com/service_request?ID=103032" TargetMode="External"/><Relationship Id="rId24" Type="http://schemas.openxmlformats.org/officeDocument/2006/relationships/hyperlink" Target="https://us3.assetplanner.com/service_request?ID=105870" TargetMode="External"/><Relationship Id="rId40" Type="http://schemas.openxmlformats.org/officeDocument/2006/relationships/hyperlink" Target="https://us3.assetplanner.com/service_request?ID=092753" TargetMode="External"/><Relationship Id="rId45" Type="http://schemas.openxmlformats.org/officeDocument/2006/relationships/hyperlink" Target="https://us3.assetplanner.com/service_request?ID=103159" TargetMode="External"/><Relationship Id="rId66" Type="http://schemas.openxmlformats.org/officeDocument/2006/relationships/hyperlink" Target="https://us3.assetplanner.com/service_request?ID=091312" TargetMode="External"/><Relationship Id="rId87" Type="http://schemas.openxmlformats.org/officeDocument/2006/relationships/hyperlink" Target="https://us3.assetplanner.com/service_request?ID=096348" TargetMode="External"/><Relationship Id="rId61" Type="http://schemas.openxmlformats.org/officeDocument/2006/relationships/hyperlink" Target="https://us3.assetplanner.com/service_request?ID=092166" TargetMode="External"/><Relationship Id="rId82" Type="http://schemas.openxmlformats.org/officeDocument/2006/relationships/hyperlink" Target="https://us3.assetplanner.com/service_request?ID=105125" TargetMode="External"/><Relationship Id="rId19" Type="http://schemas.openxmlformats.org/officeDocument/2006/relationships/hyperlink" Target="https://us3.assetplanner.com/service_request?ID=105793" TargetMode="External"/><Relationship Id="rId14" Type="http://schemas.openxmlformats.org/officeDocument/2006/relationships/hyperlink" Target="https://us3.assetplanner.com/service_request?ID=106427" TargetMode="External"/><Relationship Id="rId30" Type="http://schemas.openxmlformats.org/officeDocument/2006/relationships/hyperlink" Target="https://us3.assetplanner.com/service_request?ID=105073" TargetMode="External"/><Relationship Id="rId35" Type="http://schemas.openxmlformats.org/officeDocument/2006/relationships/hyperlink" Target="https://us3.assetplanner.com/service_request?ID=095163" TargetMode="External"/><Relationship Id="rId56" Type="http://schemas.openxmlformats.org/officeDocument/2006/relationships/hyperlink" Target="https://us3.assetplanner.com/service_request?ID=104917" TargetMode="External"/><Relationship Id="rId77" Type="http://schemas.openxmlformats.org/officeDocument/2006/relationships/hyperlink" Target="https://us3.assetplanner.com/service_request?ID=098183" TargetMode="External"/><Relationship Id="rId100" Type="http://schemas.openxmlformats.org/officeDocument/2006/relationships/hyperlink" Target="https://us3.assetplanner.com/service_request?ID=106212" TargetMode="External"/><Relationship Id="rId8" Type="http://schemas.openxmlformats.org/officeDocument/2006/relationships/hyperlink" Target="https://us3.assetplanner.com/service_request?ID=102277" TargetMode="External"/><Relationship Id="rId51" Type="http://schemas.openxmlformats.org/officeDocument/2006/relationships/hyperlink" Target="https://us3.assetplanner.com/service_request?ID=105124" TargetMode="External"/><Relationship Id="rId72" Type="http://schemas.openxmlformats.org/officeDocument/2006/relationships/hyperlink" Target="https://us3.assetplanner.com/service_request?ID=105086" TargetMode="External"/><Relationship Id="rId93" Type="http://schemas.openxmlformats.org/officeDocument/2006/relationships/hyperlink" Target="https://us3.assetplanner.com/service_request?ID=103666" TargetMode="External"/><Relationship Id="rId98" Type="http://schemas.openxmlformats.org/officeDocument/2006/relationships/hyperlink" Target="https://us3.assetplanner.com/service_request?ID=105452" TargetMode="External"/><Relationship Id="rId3" Type="http://schemas.openxmlformats.org/officeDocument/2006/relationships/hyperlink" Target="https://us3.assetplanner.com/service_request?ID=105534" TargetMode="External"/></Relationships>
</file>

<file path=xl/worksheets/_rels/sheet14.xml.rels><?xml version="1.0" encoding="UTF-8" standalone="yes"?>
<Relationships xmlns="http://schemas.openxmlformats.org/package/2006/relationships"><Relationship Id="rId26" Type="http://schemas.openxmlformats.org/officeDocument/2006/relationships/hyperlink" Target="https://us3.assetplanner.com/service_request?ID=107266" TargetMode="External"/><Relationship Id="rId21" Type="http://schemas.openxmlformats.org/officeDocument/2006/relationships/hyperlink" Target="https://us3.assetplanner.com/service_request?ID=095623" TargetMode="External"/><Relationship Id="rId42" Type="http://schemas.openxmlformats.org/officeDocument/2006/relationships/hyperlink" Target="https://us3.assetplanner.com/service_request?ID=105124" TargetMode="External"/><Relationship Id="rId47" Type="http://schemas.openxmlformats.org/officeDocument/2006/relationships/hyperlink" Target="https://us3.assetplanner.com/service_request?ID=092276" TargetMode="External"/><Relationship Id="rId63" Type="http://schemas.openxmlformats.org/officeDocument/2006/relationships/hyperlink" Target="https://us3.assetplanner.com/service_request?ID=105086" TargetMode="External"/><Relationship Id="rId68" Type="http://schemas.openxmlformats.org/officeDocument/2006/relationships/hyperlink" Target="https://us3.assetplanner.com/service_request?ID=108040" TargetMode="External"/><Relationship Id="rId84" Type="http://schemas.openxmlformats.org/officeDocument/2006/relationships/hyperlink" Target="https://us3.assetplanner.com/service_request?ID=106653" TargetMode="External"/><Relationship Id="rId16" Type="http://schemas.openxmlformats.org/officeDocument/2006/relationships/hyperlink" Target="https://us3.assetplanner.com/service_request?ID=103499" TargetMode="External"/><Relationship Id="rId11" Type="http://schemas.openxmlformats.org/officeDocument/2006/relationships/hyperlink" Target="https://us3.assetplanner.com/service_request?ID=107561" TargetMode="External"/><Relationship Id="rId32" Type="http://schemas.openxmlformats.org/officeDocument/2006/relationships/hyperlink" Target="https://us3.assetplanner.com/service_request?ID=105063" TargetMode="External"/><Relationship Id="rId37" Type="http://schemas.openxmlformats.org/officeDocument/2006/relationships/hyperlink" Target="https://us3.assetplanner.com/service_request?ID=102346" TargetMode="External"/><Relationship Id="rId53" Type="http://schemas.openxmlformats.org/officeDocument/2006/relationships/hyperlink" Target="https://us3.assetplanner.com/service_request?ID=089612" TargetMode="External"/><Relationship Id="rId58" Type="http://schemas.openxmlformats.org/officeDocument/2006/relationships/hyperlink" Target="https://us3.assetplanner.com/service_request?ID=108289" TargetMode="External"/><Relationship Id="rId74" Type="http://schemas.openxmlformats.org/officeDocument/2006/relationships/hyperlink" Target="https://us3.assetplanner.com/service_request?ID=089474" TargetMode="External"/><Relationship Id="rId79" Type="http://schemas.openxmlformats.org/officeDocument/2006/relationships/hyperlink" Target="https://us3.assetplanner.com/service_request?ID=096348" TargetMode="External"/><Relationship Id="rId5" Type="http://schemas.openxmlformats.org/officeDocument/2006/relationships/hyperlink" Target="https://us3.assetplanner.com/service_request?ID=105534" TargetMode="External"/><Relationship Id="rId19" Type="http://schemas.openxmlformats.org/officeDocument/2006/relationships/hyperlink" Target="https://us3.assetplanner.com/service_request?ID=084948" TargetMode="External"/><Relationship Id="rId14" Type="http://schemas.openxmlformats.org/officeDocument/2006/relationships/hyperlink" Target="https://us3.assetplanner.com/service_request?ID=103142" TargetMode="External"/><Relationship Id="rId22" Type="http://schemas.openxmlformats.org/officeDocument/2006/relationships/hyperlink" Target="https://us3.assetplanner.com/service_request?ID=107638" TargetMode="External"/><Relationship Id="rId27" Type="http://schemas.openxmlformats.org/officeDocument/2006/relationships/hyperlink" Target="https://us3.assetplanner.com/service_request?ID=094440" TargetMode="External"/><Relationship Id="rId30" Type="http://schemas.openxmlformats.org/officeDocument/2006/relationships/hyperlink" Target="https://us3.assetplanner.com/service_request?ID=107533" TargetMode="External"/><Relationship Id="rId35" Type="http://schemas.openxmlformats.org/officeDocument/2006/relationships/hyperlink" Target="https://us3.assetplanner.com/service_request?ID=092753" TargetMode="External"/><Relationship Id="rId43" Type="http://schemas.openxmlformats.org/officeDocument/2006/relationships/hyperlink" Target="https://us3.assetplanner.com/service_request?ID=089461" TargetMode="External"/><Relationship Id="rId48" Type="http://schemas.openxmlformats.org/officeDocument/2006/relationships/hyperlink" Target="https://us3.assetplanner.com/service_request?ID=107910" TargetMode="External"/><Relationship Id="rId56" Type="http://schemas.openxmlformats.org/officeDocument/2006/relationships/hyperlink" Target="https://us3.assetplanner.com/service_request?ID=108327" TargetMode="External"/><Relationship Id="rId64" Type="http://schemas.openxmlformats.org/officeDocument/2006/relationships/hyperlink" Target="https://us3.assetplanner.com/service_request?ID=105759" TargetMode="External"/><Relationship Id="rId69" Type="http://schemas.openxmlformats.org/officeDocument/2006/relationships/hyperlink" Target="https://us3.assetplanner.com/service_request?ID=107941" TargetMode="External"/><Relationship Id="rId77" Type="http://schemas.openxmlformats.org/officeDocument/2006/relationships/hyperlink" Target="https://us3.assetplanner.com/service_request?ID=103833" TargetMode="External"/><Relationship Id="rId8" Type="http://schemas.openxmlformats.org/officeDocument/2006/relationships/hyperlink" Target="https://us3.assetplanner.com/service_request?ID=106870" TargetMode="External"/><Relationship Id="rId51" Type="http://schemas.openxmlformats.org/officeDocument/2006/relationships/hyperlink" Target="https://us3.assetplanner.com/service_request?ID=107974" TargetMode="External"/><Relationship Id="rId72" Type="http://schemas.openxmlformats.org/officeDocument/2006/relationships/hyperlink" Target="https://us3.assetplanner.com/service_request?ID=093474" TargetMode="External"/><Relationship Id="rId80" Type="http://schemas.openxmlformats.org/officeDocument/2006/relationships/hyperlink" Target="https://us3.assetplanner.com/service_request?ID=105126" TargetMode="External"/><Relationship Id="rId85" Type="http://schemas.openxmlformats.org/officeDocument/2006/relationships/hyperlink" Target="https://us3.assetplanner.com/service_request?ID=107716" TargetMode="External"/><Relationship Id="rId3" Type="http://schemas.openxmlformats.org/officeDocument/2006/relationships/hyperlink" Target="https://us3.assetplanner.com/service_request?ID=094234" TargetMode="External"/><Relationship Id="rId12" Type="http://schemas.openxmlformats.org/officeDocument/2006/relationships/hyperlink" Target="https://us3.assetplanner.com/service_request?ID=107924" TargetMode="External"/><Relationship Id="rId17" Type="http://schemas.openxmlformats.org/officeDocument/2006/relationships/hyperlink" Target="https://us3.assetplanner.com/service_request?ID=107460" TargetMode="External"/><Relationship Id="rId25" Type="http://schemas.openxmlformats.org/officeDocument/2006/relationships/hyperlink" Target="https://us3.assetplanner.com/service_request?ID=108136" TargetMode="External"/><Relationship Id="rId33" Type="http://schemas.openxmlformats.org/officeDocument/2006/relationships/hyperlink" Target="https://us3.assetplanner.com/service_request?ID=104640" TargetMode="External"/><Relationship Id="rId38" Type="http://schemas.openxmlformats.org/officeDocument/2006/relationships/hyperlink" Target="https://us3.assetplanner.com/service_request?ID=103159" TargetMode="External"/><Relationship Id="rId46" Type="http://schemas.openxmlformats.org/officeDocument/2006/relationships/hyperlink" Target="https://us3.assetplanner.com/service_request?ID=104333" TargetMode="External"/><Relationship Id="rId59" Type="http://schemas.openxmlformats.org/officeDocument/2006/relationships/hyperlink" Target="https://us3.assetplanner.com/service_request?ID=106577" TargetMode="External"/><Relationship Id="rId67" Type="http://schemas.openxmlformats.org/officeDocument/2006/relationships/hyperlink" Target="https://us3.assetplanner.com/service_request?ID=106614" TargetMode="External"/><Relationship Id="rId20" Type="http://schemas.openxmlformats.org/officeDocument/2006/relationships/hyperlink" Target="https://us3.assetplanner.com/service_request?ID=102013" TargetMode="External"/><Relationship Id="rId41" Type="http://schemas.openxmlformats.org/officeDocument/2006/relationships/hyperlink" Target="https://us3.assetplanner.com/service_request?ID=090375" TargetMode="External"/><Relationship Id="rId54" Type="http://schemas.openxmlformats.org/officeDocument/2006/relationships/hyperlink" Target="https://us3.assetplanner.com/service_request?ID=095385" TargetMode="External"/><Relationship Id="rId62" Type="http://schemas.openxmlformats.org/officeDocument/2006/relationships/hyperlink" Target="https://us3.assetplanner.com/service_request?ID=104249" TargetMode="External"/><Relationship Id="rId70" Type="http://schemas.openxmlformats.org/officeDocument/2006/relationships/hyperlink" Target="https://us3.assetplanner.com/service_request?ID=107807" TargetMode="External"/><Relationship Id="rId75" Type="http://schemas.openxmlformats.org/officeDocument/2006/relationships/hyperlink" Target="https://us3.assetplanner.com/service_request?ID=105125" TargetMode="External"/><Relationship Id="rId83" Type="http://schemas.openxmlformats.org/officeDocument/2006/relationships/hyperlink" Target="https://us3.assetplanner.com/service_request?ID=105096" TargetMode="External"/><Relationship Id="rId1" Type="http://schemas.openxmlformats.org/officeDocument/2006/relationships/hyperlink" Target="https://us3.assetplanner.com/service_request?ID=098183" TargetMode="External"/><Relationship Id="rId6" Type="http://schemas.openxmlformats.org/officeDocument/2006/relationships/hyperlink" Target="https://us3.assetplanner.com/service_request?ID=105560" TargetMode="External"/><Relationship Id="rId15" Type="http://schemas.openxmlformats.org/officeDocument/2006/relationships/hyperlink" Target="https://us3.assetplanner.com/service_request?ID=107455" TargetMode="External"/><Relationship Id="rId23" Type="http://schemas.openxmlformats.org/officeDocument/2006/relationships/hyperlink" Target="https://us3.assetplanner.com/service_request?ID=108134" TargetMode="External"/><Relationship Id="rId28" Type="http://schemas.openxmlformats.org/officeDocument/2006/relationships/hyperlink" Target="https://us3.assetplanner.com/service_request?ID=106741" TargetMode="External"/><Relationship Id="rId36" Type="http://schemas.openxmlformats.org/officeDocument/2006/relationships/hyperlink" Target="https://us3.assetplanner.com/service_request?ID=104027" TargetMode="External"/><Relationship Id="rId49" Type="http://schemas.openxmlformats.org/officeDocument/2006/relationships/hyperlink" Target="https://us3.assetplanner.com/service_request?ID=101137" TargetMode="External"/><Relationship Id="rId57" Type="http://schemas.openxmlformats.org/officeDocument/2006/relationships/hyperlink" Target="https://us3.assetplanner.com/service_request?ID=108500" TargetMode="External"/><Relationship Id="rId10" Type="http://schemas.openxmlformats.org/officeDocument/2006/relationships/hyperlink" Target="https://us3.assetplanner.com/service_request?ID=102277" TargetMode="External"/><Relationship Id="rId31" Type="http://schemas.openxmlformats.org/officeDocument/2006/relationships/hyperlink" Target="https://us3.assetplanner.com/service_request?ID=105065" TargetMode="External"/><Relationship Id="rId44" Type="http://schemas.openxmlformats.org/officeDocument/2006/relationships/hyperlink" Target="https://us3.assetplanner.com/service_request?ID=105124" TargetMode="External"/><Relationship Id="rId52" Type="http://schemas.openxmlformats.org/officeDocument/2006/relationships/hyperlink" Target="https://us3.assetplanner.com/service_request?ID=105133" TargetMode="External"/><Relationship Id="rId60" Type="http://schemas.openxmlformats.org/officeDocument/2006/relationships/hyperlink" Target="https://us3.assetplanner.com/service_request?ID=098397" TargetMode="External"/><Relationship Id="rId65" Type="http://schemas.openxmlformats.org/officeDocument/2006/relationships/hyperlink" Target="https://us3.assetplanner.com/service_request?ID=108487" TargetMode="External"/><Relationship Id="rId73" Type="http://schemas.openxmlformats.org/officeDocument/2006/relationships/hyperlink" Target="https://us3.assetplanner.com/service_request?ID=090380" TargetMode="External"/><Relationship Id="rId78" Type="http://schemas.openxmlformats.org/officeDocument/2006/relationships/hyperlink" Target="https://us3.assetplanner.com/service_request?ID=104174" TargetMode="External"/><Relationship Id="rId81" Type="http://schemas.openxmlformats.org/officeDocument/2006/relationships/hyperlink" Target="https://us3.assetplanner.com/service_request?ID=108137" TargetMode="External"/><Relationship Id="rId86" Type="http://schemas.openxmlformats.org/officeDocument/2006/relationships/hyperlink" Target="https://us3.assetplanner.com/service_request?ID=107726" TargetMode="External"/><Relationship Id="rId4" Type="http://schemas.openxmlformats.org/officeDocument/2006/relationships/hyperlink" Target="https://us3.assetplanner.com/service_request?ID=098590" TargetMode="External"/><Relationship Id="rId9" Type="http://schemas.openxmlformats.org/officeDocument/2006/relationships/hyperlink" Target="https://us3.assetplanner.com/service_request?ID=102467" TargetMode="External"/><Relationship Id="rId13" Type="http://schemas.openxmlformats.org/officeDocument/2006/relationships/hyperlink" Target="https://us3.assetplanner.com/service_request?ID=107229" TargetMode="External"/><Relationship Id="rId18" Type="http://schemas.openxmlformats.org/officeDocument/2006/relationships/hyperlink" Target="https://us3.assetplanner.com/service_request?ID=106427" TargetMode="External"/><Relationship Id="rId39" Type="http://schemas.openxmlformats.org/officeDocument/2006/relationships/hyperlink" Target="https://us3.assetplanner.com/service_request?ID=105161" TargetMode="External"/><Relationship Id="rId34" Type="http://schemas.openxmlformats.org/officeDocument/2006/relationships/hyperlink" Target="https://us3.assetplanner.com/service_request?ID=106181" TargetMode="External"/><Relationship Id="rId50" Type="http://schemas.openxmlformats.org/officeDocument/2006/relationships/hyperlink" Target="https://us3.assetplanner.com/service_request?ID=104917" TargetMode="External"/><Relationship Id="rId55" Type="http://schemas.openxmlformats.org/officeDocument/2006/relationships/hyperlink" Target="https://us3.assetplanner.com/service_request?ID=102060" TargetMode="External"/><Relationship Id="rId76" Type="http://schemas.openxmlformats.org/officeDocument/2006/relationships/hyperlink" Target="https://us3.assetplanner.com/service_request?ID=101740" TargetMode="External"/><Relationship Id="rId7" Type="http://schemas.openxmlformats.org/officeDocument/2006/relationships/hyperlink" Target="https://us3.assetplanner.com/service_request?ID=105651" TargetMode="External"/><Relationship Id="rId71" Type="http://schemas.openxmlformats.org/officeDocument/2006/relationships/hyperlink" Target="https://us3.assetplanner.com/service_request?ID=095449" TargetMode="External"/><Relationship Id="rId2" Type="http://schemas.openxmlformats.org/officeDocument/2006/relationships/hyperlink" Target="https://us3.assetplanner.com/service_request?ID=102897" TargetMode="External"/><Relationship Id="rId29" Type="http://schemas.openxmlformats.org/officeDocument/2006/relationships/hyperlink" Target="https://us3.assetplanner.com/service_request?ID=095163" TargetMode="External"/><Relationship Id="rId24" Type="http://schemas.openxmlformats.org/officeDocument/2006/relationships/hyperlink" Target="https://us3.assetplanner.com/service_request?ID=107861" TargetMode="External"/><Relationship Id="rId40" Type="http://schemas.openxmlformats.org/officeDocument/2006/relationships/hyperlink" Target="https://us3.assetplanner.com/service_request?ID=105162" TargetMode="External"/><Relationship Id="rId45" Type="http://schemas.openxmlformats.org/officeDocument/2006/relationships/hyperlink" Target="https://us3.assetplanner.com/service_request?ID=101136" TargetMode="External"/><Relationship Id="rId66" Type="http://schemas.openxmlformats.org/officeDocument/2006/relationships/hyperlink" Target="https://us3.assetplanner.com/service_request?ID=105836" TargetMode="External"/><Relationship Id="rId87" Type="http://schemas.openxmlformats.org/officeDocument/2006/relationships/hyperlink" Target="https://us3.assetplanner.com/service_request?ID=108116" TargetMode="External"/><Relationship Id="rId61" Type="http://schemas.openxmlformats.org/officeDocument/2006/relationships/hyperlink" Target="https://us3.assetplanner.com/service_request?ID=107891" TargetMode="External"/><Relationship Id="rId82" Type="http://schemas.openxmlformats.org/officeDocument/2006/relationships/hyperlink" Target="https://us3.assetplanner.com/service_request?ID=106078" TargetMode="External"/></Relationships>
</file>

<file path=xl/worksheets/_rels/sheet15.xml.rels><?xml version="1.0" encoding="UTF-8" standalone="yes"?>
<Relationships xmlns="http://schemas.openxmlformats.org/package/2006/relationships"><Relationship Id="rId26" Type="http://schemas.openxmlformats.org/officeDocument/2006/relationships/hyperlink" Target="https://us3.assetplanner.com/service_request?ID=104027" TargetMode="External"/><Relationship Id="rId21" Type="http://schemas.openxmlformats.org/officeDocument/2006/relationships/hyperlink" Target="https://us3.assetplanner.com/service_request?ID=107533" TargetMode="External"/><Relationship Id="rId42" Type="http://schemas.openxmlformats.org/officeDocument/2006/relationships/hyperlink" Target="https://us3.assetplanner.com/service_request?ID=109811" TargetMode="External"/><Relationship Id="rId47" Type="http://schemas.openxmlformats.org/officeDocument/2006/relationships/hyperlink" Target="https://us3.assetplanner.com/service_request?ID=110590" TargetMode="External"/><Relationship Id="rId63" Type="http://schemas.openxmlformats.org/officeDocument/2006/relationships/hyperlink" Target="https://us3.assetplanner.com/service_request?ID=105126" TargetMode="External"/><Relationship Id="rId68" Type="http://schemas.openxmlformats.org/officeDocument/2006/relationships/hyperlink" Target="https://us3.assetplanner.com/service_request?ID=105907" TargetMode="External"/><Relationship Id="rId16" Type="http://schemas.openxmlformats.org/officeDocument/2006/relationships/hyperlink" Target="https://us3.assetplanner.com/service_request?ID=107459" TargetMode="External"/><Relationship Id="rId11" Type="http://schemas.openxmlformats.org/officeDocument/2006/relationships/hyperlink" Target="https://us3.assetplanner.com/service_request?ID=107460" TargetMode="External"/><Relationship Id="rId24" Type="http://schemas.openxmlformats.org/officeDocument/2006/relationships/hyperlink" Target="https://us3.assetplanner.com/service_request?ID=108912" TargetMode="External"/><Relationship Id="rId32" Type="http://schemas.openxmlformats.org/officeDocument/2006/relationships/hyperlink" Target="https://us3.assetplanner.com/service_request?ID=105124" TargetMode="External"/><Relationship Id="rId37" Type="http://schemas.openxmlformats.org/officeDocument/2006/relationships/hyperlink" Target="https://us3.assetplanner.com/service_request?ID=108327" TargetMode="External"/><Relationship Id="rId40" Type="http://schemas.openxmlformats.org/officeDocument/2006/relationships/hyperlink" Target="https://us3.assetplanner.com/service_request?ID=107891" TargetMode="External"/><Relationship Id="rId45" Type="http://schemas.openxmlformats.org/officeDocument/2006/relationships/hyperlink" Target="https://us3.assetplanner.com/service_request?ID=107941" TargetMode="External"/><Relationship Id="rId53" Type="http://schemas.openxmlformats.org/officeDocument/2006/relationships/hyperlink" Target="https://us3.assetplanner.com/service_request?ID=108137" TargetMode="External"/><Relationship Id="rId58" Type="http://schemas.openxmlformats.org/officeDocument/2006/relationships/hyperlink" Target="https://us3.assetplanner.com/service_request?ID=109789" TargetMode="External"/><Relationship Id="rId66" Type="http://schemas.openxmlformats.org/officeDocument/2006/relationships/hyperlink" Target="https://us3.assetplanner.com/service_request?ID=108213" TargetMode="External"/><Relationship Id="rId74" Type="http://schemas.openxmlformats.org/officeDocument/2006/relationships/hyperlink" Target="https://us3.assetplanner.com/service_request?ID=106741" TargetMode="External"/><Relationship Id="rId79" Type="http://schemas.openxmlformats.org/officeDocument/2006/relationships/hyperlink" Target="https://us3.assetplanner.com/service_request?ID=109643" TargetMode="External"/><Relationship Id="rId5" Type="http://schemas.openxmlformats.org/officeDocument/2006/relationships/hyperlink" Target="https://us3.assetplanner.com/service_request?ID=106870" TargetMode="External"/><Relationship Id="rId61" Type="http://schemas.openxmlformats.org/officeDocument/2006/relationships/hyperlink" Target="https://us3.assetplanner.com/service_request?ID=109517" TargetMode="External"/><Relationship Id="rId19" Type="http://schemas.openxmlformats.org/officeDocument/2006/relationships/hyperlink" Target="https://us3.assetplanner.com/service_request?ID=109483" TargetMode="External"/><Relationship Id="rId14" Type="http://schemas.openxmlformats.org/officeDocument/2006/relationships/hyperlink" Target="https://us3.assetplanner.com/service_request?ID=095623" TargetMode="External"/><Relationship Id="rId22" Type="http://schemas.openxmlformats.org/officeDocument/2006/relationships/hyperlink" Target="https://us3.assetplanner.com/service_request?ID=105065" TargetMode="External"/><Relationship Id="rId27" Type="http://schemas.openxmlformats.org/officeDocument/2006/relationships/hyperlink" Target="https://us3.assetplanner.com/service_request?ID=103159" TargetMode="External"/><Relationship Id="rId30" Type="http://schemas.openxmlformats.org/officeDocument/2006/relationships/hyperlink" Target="https://us3.assetplanner.com/service_request?ID=105124" TargetMode="External"/><Relationship Id="rId35" Type="http://schemas.openxmlformats.org/officeDocument/2006/relationships/hyperlink" Target="https://us3.assetplanner.com/service_request?ID=110028" TargetMode="External"/><Relationship Id="rId43" Type="http://schemas.openxmlformats.org/officeDocument/2006/relationships/hyperlink" Target="https://us3.assetplanner.com/service_request?ID=108694" TargetMode="External"/><Relationship Id="rId48" Type="http://schemas.openxmlformats.org/officeDocument/2006/relationships/hyperlink" Target="https://us3.assetplanner.com/service_request?ID=107807" TargetMode="External"/><Relationship Id="rId56" Type="http://schemas.openxmlformats.org/officeDocument/2006/relationships/hyperlink" Target="https://us3.assetplanner.com/service_request?ID=109499" TargetMode="External"/><Relationship Id="rId64" Type="http://schemas.openxmlformats.org/officeDocument/2006/relationships/hyperlink" Target="https://us3.assetplanner.com/service_request?ID=095449" TargetMode="External"/><Relationship Id="rId69" Type="http://schemas.openxmlformats.org/officeDocument/2006/relationships/hyperlink" Target="https://us3.assetplanner.com/service_request?ID=108839" TargetMode="External"/><Relationship Id="rId77" Type="http://schemas.openxmlformats.org/officeDocument/2006/relationships/hyperlink" Target="https://us3.assetplanner.com/service_request?ID=109327" TargetMode="External"/><Relationship Id="rId8" Type="http://schemas.openxmlformats.org/officeDocument/2006/relationships/hyperlink" Target="https://us3.assetplanner.com/service_request?ID=107924" TargetMode="External"/><Relationship Id="rId51" Type="http://schemas.openxmlformats.org/officeDocument/2006/relationships/hyperlink" Target="https://us3.assetplanner.com/service_request?ID=108212" TargetMode="External"/><Relationship Id="rId72" Type="http://schemas.openxmlformats.org/officeDocument/2006/relationships/hyperlink" Target="https://us3.assetplanner.com/service_request?ID=092753" TargetMode="External"/><Relationship Id="rId80" Type="http://schemas.openxmlformats.org/officeDocument/2006/relationships/hyperlink" Target="https://us3.assetplanner.com/service_request?ID=110262" TargetMode="External"/><Relationship Id="rId3" Type="http://schemas.openxmlformats.org/officeDocument/2006/relationships/hyperlink" Target="https://us3.assetplanner.com/service_request?ID=109562" TargetMode="External"/><Relationship Id="rId12" Type="http://schemas.openxmlformats.org/officeDocument/2006/relationships/hyperlink" Target="https://us3.assetplanner.com/service_request?ID=106427" TargetMode="External"/><Relationship Id="rId17" Type="http://schemas.openxmlformats.org/officeDocument/2006/relationships/hyperlink" Target="https://us3.assetplanner.com/service_request?ID=107638" TargetMode="External"/><Relationship Id="rId25" Type="http://schemas.openxmlformats.org/officeDocument/2006/relationships/hyperlink" Target="https://us3.assetplanner.com/service_request?ID=107787" TargetMode="External"/><Relationship Id="rId33" Type="http://schemas.openxmlformats.org/officeDocument/2006/relationships/hyperlink" Target="https://us3.assetplanner.com/service_request?ID=101136" TargetMode="External"/><Relationship Id="rId38" Type="http://schemas.openxmlformats.org/officeDocument/2006/relationships/hyperlink" Target="https://us3.assetplanner.com/service_request?ID=108500" TargetMode="External"/><Relationship Id="rId46" Type="http://schemas.openxmlformats.org/officeDocument/2006/relationships/hyperlink" Target="https://us3.assetplanner.com/service_request?ID=102897" TargetMode="External"/><Relationship Id="rId59" Type="http://schemas.openxmlformats.org/officeDocument/2006/relationships/hyperlink" Target="https://us3.assetplanner.com/service_request?ID=109098" TargetMode="External"/><Relationship Id="rId67" Type="http://schemas.openxmlformats.org/officeDocument/2006/relationships/hyperlink" Target="https://us3.assetplanner.com/service_request?ID=108289" TargetMode="External"/><Relationship Id="rId20" Type="http://schemas.openxmlformats.org/officeDocument/2006/relationships/hyperlink" Target="https://us3.assetplanner.com/service_request?ID=107266" TargetMode="External"/><Relationship Id="rId41" Type="http://schemas.openxmlformats.org/officeDocument/2006/relationships/hyperlink" Target="https://us3.assetplanner.com/service_request?ID=104249" TargetMode="External"/><Relationship Id="rId54" Type="http://schemas.openxmlformats.org/officeDocument/2006/relationships/hyperlink" Target="https://us3.assetplanner.com/service_request?ID=110601" TargetMode="External"/><Relationship Id="rId62" Type="http://schemas.openxmlformats.org/officeDocument/2006/relationships/hyperlink" Target="https://us3.assetplanner.com/service_request?ID=109516" TargetMode="External"/><Relationship Id="rId70" Type="http://schemas.openxmlformats.org/officeDocument/2006/relationships/hyperlink" Target="https://us3.assetplanner.com/service_request?ID=108962" TargetMode="External"/><Relationship Id="rId75" Type="http://schemas.openxmlformats.org/officeDocument/2006/relationships/hyperlink" Target="https://us3.assetplanner.com/service_request?ID=109478" TargetMode="External"/><Relationship Id="rId1" Type="http://schemas.openxmlformats.org/officeDocument/2006/relationships/hyperlink" Target="https://us3.assetplanner.com/service_request?ID=094440" TargetMode="External"/><Relationship Id="rId6" Type="http://schemas.openxmlformats.org/officeDocument/2006/relationships/hyperlink" Target="https://us3.assetplanner.com/service_request?ID=102467" TargetMode="External"/><Relationship Id="rId15" Type="http://schemas.openxmlformats.org/officeDocument/2006/relationships/hyperlink" Target="https://us3.assetplanner.com/service_request?ID=109136" TargetMode="External"/><Relationship Id="rId23" Type="http://schemas.openxmlformats.org/officeDocument/2006/relationships/hyperlink" Target="https://us3.assetplanner.com/service_request?ID=106181" TargetMode="External"/><Relationship Id="rId28" Type="http://schemas.openxmlformats.org/officeDocument/2006/relationships/hyperlink" Target="https://us3.assetplanner.com/service_request?ID=105161" TargetMode="External"/><Relationship Id="rId36" Type="http://schemas.openxmlformats.org/officeDocument/2006/relationships/hyperlink" Target="https://us3.assetplanner.com/service_request?ID=105133" TargetMode="External"/><Relationship Id="rId49" Type="http://schemas.openxmlformats.org/officeDocument/2006/relationships/hyperlink" Target="https://us3.assetplanner.com/service_request?ID=109852" TargetMode="External"/><Relationship Id="rId57" Type="http://schemas.openxmlformats.org/officeDocument/2006/relationships/hyperlink" Target="https://us3.assetplanner.com/service_request?ID=109406" TargetMode="External"/><Relationship Id="rId10" Type="http://schemas.openxmlformats.org/officeDocument/2006/relationships/hyperlink" Target="https://us3.assetplanner.com/service_request?ID=103499" TargetMode="External"/><Relationship Id="rId31" Type="http://schemas.openxmlformats.org/officeDocument/2006/relationships/hyperlink" Target="https://us3.assetplanner.com/service_request?ID=089461" TargetMode="External"/><Relationship Id="rId44" Type="http://schemas.openxmlformats.org/officeDocument/2006/relationships/hyperlink" Target="https://us3.assetplanner.com/service_request?ID=109509" TargetMode="External"/><Relationship Id="rId52" Type="http://schemas.openxmlformats.org/officeDocument/2006/relationships/hyperlink" Target="https://us3.assetplanner.com/service_request?ID=096348" TargetMode="External"/><Relationship Id="rId60" Type="http://schemas.openxmlformats.org/officeDocument/2006/relationships/hyperlink" Target="https://us3.assetplanner.com/service_request?ID=109808" TargetMode="External"/><Relationship Id="rId65" Type="http://schemas.openxmlformats.org/officeDocument/2006/relationships/hyperlink" Target="https://us3.assetplanner.com/service_request?ID=108487" TargetMode="External"/><Relationship Id="rId73" Type="http://schemas.openxmlformats.org/officeDocument/2006/relationships/hyperlink" Target="https://us3.assetplanner.com/service_request?ID=105063" TargetMode="External"/><Relationship Id="rId78" Type="http://schemas.openxmlformats.org/officeDocument/2006/relationships/hyperlink" Target="https://us3.assetplanner.com/service_request?ID=102796" TargetMode="External"/><Relationship Id="rId4" Type="http://schemas.openxmlformats.org/officeDocument/2006/relationships/hyperlink" Target="https://us3.assetplanner.com/service_request?ID=106870" TargetMode="External"/><Relationship Id="rId9" Type="http://schemas.openxmlformats.org/officeDocument/2006/relationships/hyperlink" Target="https://us3.assetplanner.com/service_request?ID=107455" TargetMode="External"/><Relationship Id="rId13" Type="http://schemas.openxmlformats.org/officeDocument/2006/relationships/hyperlink" Target="https://us3.assetplanner.com/service_request?ID=109232" TargetMode="External"/><Relationship Id="rId18" Type="http://schemas.openxmlformats.org/officeDocument/2006/relationships/hyperlink" Target="https://us3.assetplanner.com/service_request?ID=108134" TargetMode="External"/><Relationship Id="rId39" Type="http://schemas.openxmlformats.org/officeDocument/2006/relationships/hyperlink" Target="https://us3.assetplanner.com/service_request?ID=106577" TargetMode="External"/><Relationship Id="rId34" Type="http://schemas.openxmlformats.org/officeDocument/2006/relationships/hyperlink" Target="https://us3.assetplanner.com/service_request?ID=092276" TargetMode="External"/><Relationship Id="rId50" Type="http://schemas.openxmlformats.org/officeDocument/2006/relationships/hyperlink" Target="https://us3.assetplanner.com/service_request?ID=103833" TargetMode="External"/><Relationship Id="rId55" Type="http://schemas.openxmlformats.org/officeDocument/2006/relationships/hyperlink" Target="https://us3.assetplanner.com/service_request?ID=109477" TargetMode="External"/><Relationship Id="rId76" Type="http://schemas.openxmlformats.org/officeDocument/2006/relationships/hyperlink" Target="https://us3.assetplanner.com/service_request?ID=108240" TargetMode="External"/><Relationship Id="rId7" Type="http://schemas.openxmlformats.org/officeDocument/2006/relationships/hyperlink" Target="https://us3.assetplanner.com/service_request?ID=108676" TargetMode="External"/><Relationship Id="rId71" Type="http://schemas.openxmlformats.org/officeDocument/2006/relationships/hyperlink" Target="https://us3.assetplanner.com/service_request?ID=102346" TargetMode="External"/><Relationship Id="rId2" Type="http://schemas.openxmlformats.org/officeDocument/2006/relationships/hyperlink" Target="https://us3.assetplanner.com/service_request?ID=107527" TargetMode="External"/><Relationship Id="rId29" Type="http://schemas.openxmlformats.org/officeDocument/2006/relationships/hyperlink" Target="https://us3.assetplanner.com/service_request?ID=105162" TargetMode="External"/></Relationships>
</file>

<file path=xl/worksheets/_rels/sheet16.xml.rels><?xml version="1.0" encoding="UTF-8" standalone="yes"?>
<Relationships xmlns="http://schemas.openxmlformats.org/package/2006/relationships"><Relationship Id="rId26" Type="http://schemas.openxmlformats.org/officeDocument/2006/relationships/hyperlink" Target="https://us3.assetplanner.com/service_request?ID=103159" TargetMode="External"/><Relationship Id="rId21" Type="http://schemas.openxmlformats.org/officeDocument/2006/relationships/hyperlink" Target="https://us3.assetplanner.com/service_request?ID=105063" TargetMode="External"/><Relationship Id="rId42" Type="http://schemas.openxmlformats.org/officeDocument/2006/relationships/hyperlink" Target="https://us3.assetplanner.com/service_request?ID=107891" TargetMode="External"/><Relationship Id="rId47" Type="http://schemas.openxmlformats.org/officeDocument/2006/relationships/hyperlink" Target="https://us3.assetplanner.com/service_request?ID=104249" TargetMode="External"/><Relationship Id="rId63" Type="http://schemas.openxmlformats.org/officeDocument/2006/relationships/hyperlink" Target="https://us3.assetplanner.com/service_request?ID=109477" TargetMode="External"/><Relationship Id="rId68" Type="http://schemas.openxmlformats.org/officeDocument/2006/relationships/hyperlink" Target="https://us3.assetplanner.com/service_request?ID=108625" TargetMode="External"/><Relationship Id="rId16" Type="http://schemas.openxmlformats.org/officeDocument/2006/relationships/hyperlink" Target="https://us3.assetplanner.com/service_request?ID=107266" TargetMode="External"/><Relationship Id="rId11" Type="http://schemas.openxmlformats.org/officeDocument/2006/relationships/hyperlink" Target="https://us3.assetplanner.com/service_request?ID=095623" TargetMode="External"/><Relationship Id="rId32" Type="http://schemas.openxmlformats.org/officeDocument/2006/relationships/hyperlink" Target="https://us3.assetplanner.com/service_request?ID=105124" TargetMode="External"/><Relationship Id="rId37" Type="http://schemas.openxmlformats.org/officeDocument/2006/relationships/hyperlink" Target="https://us3.assetplanner.com/service_request?ID=108839" TargetMode="External"/><Relationship Id="rId53" Type="http://schemas.openxmlformats.org/officeDocument/2006/relationships/hyperlink" Target="https://us3.assetplanner.com/service_request?ID=110590" TargetMode="External"/><Relationship Id="rId58" Type="http://schemas.openxmlformats.org/officeDocument/2006/relationships/hyperlink" Target="https://us3.assetplanner.com/service_request?ID=096348" TargetMode="External"/><Relationship Id="rId74" Type="http://schemas.openxmlformats.org/officeDocument/2006/relationships/hyperlink" Target="https://us3.assetplanner.com/service_request?ID=110538" TargetMode="External"/><Relationship Id="rId79" Type="http://schemas.openxmlformats.org/officeDocument/2006/relationships/printerSettings" Target="../printerSettings/printerSettings4.bin"/><Relationship Id="rId5" Type="http://schemas.openxmlformats.org/officeDocument/2006/relationships/hyperlink" Target="https://us3.assetplanner.com/service_request?ID=107924" TargetMode="External"/><Relationship Id="rId61" Type="http://schemas.openxmlformats.org/officeDocument/2006/relationships/hyperlink" Target="https://us3.assetplanner.com/service_request?ID=108137" TargetMode="External"/><Relationship Id="rId82" Type="http://schemas.microsoft.com/office/2017/10/relationships/threadedComment" Target="../threadedComments/threadedComment1.xml"/><Relationship Id="rId19" Type="http://schemas.openxmlformats.org/officeDocument/2006/relationships/hyperlink" Target="https://us3.assetplanner.com/service_request?ID=111715" TargetMode="External"/><Relationship Id="rId14" Type="http://schemas.openxmlformats.org/officeDocument/2006/relationships/hyperlink" Target="https://us3.assetplanner.com/service_request?ID=109478" TargetMode="External"/><Relationship Id="rId22" Type="http://schemas.openxmlformats.org/officeDocument/2006/relationships/hyperlink" Target="https://us3.assetplanner.com/service_request?ID=092753" TargetMode="External"/><Relationship Id="rId27" Type="http://schemas.openxmlformats.org/officeDocument/2006/relationships/hyperlink" Target="https://us3.assetplanner.com/service_request?ID=105161" TargetMode="External"/><Relationship Id="rId30" Type="http://schemas.openxmlformats.org/officeDocument/2006/relationships/hyperlink" Target="https://us3.assetplanner.com/service_request?ID=105124" TargetMode="External"/><Relationship Id="rId35" Type="http://schemas.openxmlformats.org/officeDocument/2006/relationships/hyperlink" Target="https://us3.assetplanner.com/service_request?ID=108962" TargetMode="External"/><Relationship Id="rId43" Type="http://schemas.openxmlformats.org/officeDocument/2006/relationships/hyperlink" Target="https://us3.assetplanner.com/service_request?ID=111065" TargetMode="External"/><Relationship Id="rId48" Type="http://schemas.openxmlformats.org/officeDocument/2006/relationships/hyperlink" Target="https://us3.assetplanner.com/service_request?ID=105759" TargetMode="External"/><Relationship Id="rId56" Type="http://schemas.openxmlformats.org/officeDocument/2006/relationships/hyperlink" Target="https://us3.assetplanner.com/service_request?ID=103833" TargetMode="External"/><Relationship Id="rId64" Type="http://schemas.openxmlformats.org/officeDocument/2006/relationships/hyperlink" Target="https://us3.assetplanner.com/service_request?ID=110251" TargetMode="External"/><Relationship Id="rId69" Type="http://schemas.openxmlformats.org/officeDocument/2006/relationships/hyperlink" Target="https://us3.assetplanner.com/service_request?ID=110496" TargetMode="External"/><Relationship Id="rId77" Type="http://schemas.openxmlformats.org/officeDocument/2006/relationships/hyperlink" Target="https://us3.assetplanner.com/service_request?ID=108602" TargetMode="External"/><Relationship Id="rId8" Type="http://schemas.openxmlformats.org/officeDocument/2006/relationships/hyperlink" Target="https://us3.assetplanner.com/service_request?ID=109232" TargetMode="External"/><Relationship Id="rId51" Type="http://schemas.openxmlformats.org/officeDocument/2006/relationships/hyperlink" Target="https://us3.assetplanner.com/service_request?ID=107941" TargetMode="External"/><Relationship Id="rId72" Type="http://schemas.openxmlformats.org/officeDocument/2006/relationships/hyperlink" Target="https://us3.assetplanner.com/service_request?ID=110496" TargetMode="External"/><Relationship Id="rId80" Type="http://schemas.openxmlformats.org/officeDocument/2006/relationships/vmlDrawing" Target="../drawings/vmlDrawing1.vml"/><Relationship Id="rId3" Type="http://schemas.openxmlformats.org/officeDocument/2006/relationships/hyperlink" Target="https://us3.assetplanner.com/service_request?ID=108676" TargetMode="External"/><Relationship Id="rId12" Type="http://schemas.openxmlformats.org/officeDocument/2006/relationships/hyperlink" Target="https://us3.assetplanner.com/service_request?ID=108240" TargetMode="External"/><Relationship Id="rId17" Type="http://schemas.openxmlformats.org/officeDocument/2006/relationships/hyperlink" Target="https://us3.assetplanner.com/service_request?ID=111800" TargetMode="External"/><Relationship Id="rId25" Type="http://schemas.openxmlformats.org/officeDocument/2006/relationships/hyperlink" Target="https://us3.assetplanner.com/service_request?ID=102346" TargetMode="External"/><Relationship Id="rId33" Type="http://schemas.openxmlformats.org/officeDocument/2006/relationships/hyperlink" Target="https://us3.assetplanner.com/service_request?ID=101136" TargetMode="External"/><Relationship Id="rId38" Type="http://schemas.openxmlformats.org/officeDocument/2006/relationships/hyperlink" Target="https://us3.assetplanner.com/service_request?ID=105133" TargetMode="External"/><Relationship Id="rId46" Type="http://schemas.openxmlformats.org/officeDocument/2006/relationships/hyperlink" Target="https://us3.assetplanner.com/service_request?ID=108213" TargetMode="External"/><Relationship Id="rId59" Type="http://schemas.openxmlformats.org/officeDocument/2006/relationships/hyperlink" Target="https://us3.assetplanner.com/service_request?ID=111374" TargetMode="External"/><Relationship Id="rId67" Type="http://schemas.openxmlformats.org/officeDocument/2006/relationships/hyperlink" Target="https://us3.assetplanner.com/service_request?ID=108625" TargetMode="External"/><Relationship Id="rId20" Type="http://schemas.openxmlformats.org/officeDocument/2006/relationships/hyperlink" Target="https://us3.assetplanner.com/service_request?ID=105065" TargetMode="External"/><Relationship Id="rId41" Type="http://schemas.openxmlformats.org/officeDocument/2006/relationships/hyperlink" Target="https://us3.assetplanner.com/service_request?ID=108289" TargetMode="External"/><Relationship Id="rId54" Type="http://schemas.openxmlformats.org/officeDocument/2006/relationships/hyperlink" Target="https://us3.assetplanner.com/service_request?ID=109852" TargetMode="External"/><Relationship Id="rId62" Type="http://schemas.openxmlformats.org/officeDocument/2006/relationships/hyperlink" Target="https://us3.assetplanner.com/service_request?ID=110601" TargetMode="External"/><Relationship Id="rId70" Type="http://schemas.openxmlformats.org/officeDocument/2006/relationships/hyperlink" Target="https://us3.assetplanner.com/service_request?ID=110496" TargetMode="External"/><Relationship Id="rId75" Type="http://schemas.openxmlformats.org/officeDocument/2006/relationships/hyperlink" Target="https://us3.assetplanner.com/service_request?ID=110538" TargetMode="External"/><Relationship Id="rId1" Type="http://schemas.openxmlformats.org/officeDocument/2006/relationships/hyperlink" Target="https://us3.assetplanner.com/service_request?ID=110262" TargetMode="External"/><Relationship Id="rId6" Type="http://schemas.openxmlformats.org/officeDocument/2006/relationships/hyperlink" Target="https://us3.assetplanner.com/service_request?ID=109327" TargetMode="External"/><Relationship Id="rId15" Type="http://schemas.openxmlformats.org/officeDocument/2006/relationships/hyperlink" Target="https://us3.assetplanner.com/service_request?ID=109483" TargetMode="External"/><Relationship Id="rId23" Type="http://schemas.openxmlformats.org/officeDocument/2006/relationships/hyperlink" Target="https://us3.assetplanner.com/service_request?ID=107787" TargetMode="External"/><Relationship Id="rId28" Type="http://schemas.openxmlformats.org/officeDocument/2006/relationships/hyperlink" Target="https://us3.assetplanner.com/service_request?ID=105162" TargetMode="External"/><Relationship Id="rId36" Type="http://schemas.openxmlformats.org/officeDocument/2006/relationships/hyperlink" Target="https://us3.assetplanner.com/service_request?ID=110028" TargetMode="External"/><Relationship Id="rId49" Type="http://schemas.openxmlformats.org/officeDocument/2006/relationships/hyperlink" Target="https://us3.assetplanner.com/service_request?ID=109811" TargetMode="External"/><Relationship Id="rId57" Type="http://schemas.openxmlformats.org/officeDocument/2006/relationships/hyperlink" Target="https://us3.assetplanner.com/service_request?ID=108212" TargetMode="External"/><Relationship Id="rId10" Type="http://schemas.openxmlformats.org/officeDocument/2006/relationships/hyperlink" Target="https://us3.assetplanner.com/service_request?ID=105403" TargetMode="External"/><Relationship Id="rId31" Type="http://schemas.openxmlformats.org/officeDocument/2006/relationships/hyperlink" Target="https://us3.assetplanner.com/service_request?ID=089461" TargetMode="External"/><Relationship Id="rId44" Type="http://schemas.openxmlformats.org/officeDocument/2006/relationships/hyperlink" Target="https://us3.assetplanner.com/service_request?ID=104249" TargetMode="External"/><Relationship Id="rId52" Type="http://schemas.openxmlformats.org/officeDocument/2006/relationships/hyperlink" Target="https://us3.assetplanner.com/service_request?ID=102897" TargetMode="External"/><Relationship Id="rId60" Type="http://schemas.openxmlformats.org/officeDocument/2006/relationships/hyperlink" Target="https://us3.assetplanner.com/service_request?ID=105126" TargetMode="External"/><Relationship Id="rId65" Type="http://schemas.openxmlformats.org/officeDocument/2006/relationships/hyperlink" Target="https://us3.assetplanner.com/service_request?ID=110142" TargetMode="External"/><Relationship Id="rId73" Type="http://schemas.openxmlformats.org/officeDocument/2006/relationships/hyperlink" Target="https://us3.assetplanner.com/service_request?ID=109808" TargetMode="External"/><Relationship Id="rId78" Type="http://schemas.openxmlformats.org/officeDocument/2006/relationships/hyperlink" Target="https://us3.assetplanner.com/service_request?ID=111336" TargetMode="External"/><Relationship Id="rId81" Type="http://schemas.openxmlformats.org/officeDocument/2006/relationships/comments" Target="../comments1.xml"/><Relationship Id="rId4" Type="http://schemas.openxmlformats.org/officeDocument/2006/relationships/hyperlink" Target="https://us3.assetplanner.com/service_request?ID=110944" TargetMode="External"/><Relationship Id="rId9" Type="http://schemas.openxmlformats.org/officeDocument/2006/relationships/hyperlink" Target="https://us3.assetplanner.com/service_request?ID=111831" TargetMode="External"/><Relationship Id="rId13" Type="http://schemas.openxmlformats.org/officeDocument/2006/relationships/hyperlink" Target="https://us3.assetplanner.com/service_request?ID=107459" TargetMode="External"/><Relationship Id="rId18" Type="http://schemas.openxmlformats.org/officeDocument/2006/relationships/hyperlink" Target="https://us3.assetplanner.com/service_request?ID=106741" TargetMode="External"/><Relationship Id="rId39" Type="http://schemas.openxmlformats.org/officeDocument/2006/relationships/hyperlink" Target="https://us3.assetplanner.com/service_request?ID=105907" TargetMode="External"/><Relationship Id="rId34" Type="http://schemas.openxmlformats.org/officeDocument/2006/relationships/hyperlink" Target="https://us3.assetplanner.com/service_request?ID=092276" TargetMode="External"/><Relationship Id="rId50" Type="http://schemas.openxmlformats.org/officeDocument/2006/relationships/hyperlink" Target="https://us3.assetplanner.com/service_request?ID=109509" TargetMode="External"/><Relationship Id="rId55" Type="http://schemas.openxmlformats.org/officeDocument/2006/relationships/hyperlink" Target="https://us3.assetplanner.com/service_request?ID=095449" TargetMode="External"/><Relationship Id="rId76" Type="http://schemas.openxmlformats.org/officeDocument/2006/relationships/hyperlink" Target="https://us3.assetplanner.com/service_request?ID=111367" TargetMode="External"/><Relationship Id="rId7" Type="http://schemas.openxmlformats.org/officeDocument/2006/relationships/hyperlink" Target="https://us3.assetplanner.com/service_request?ID=103499" TargetMode="External"/><Relationship Id="rId71" Type="http://schemas.openxmlformats.org/officeDocument/2006/relationships/hyperlink" Target="https://us3.assetplanner.com/service_request?ID=111066" TargetMode="External"/><Relationship Id="rId2" Type="http://schemas.openxmlformats.org/officeDocument/2006/relationships/hyperlink" Target="https://us3.assetplanner.com/service_request?ID=111409" TargetMode="External"/><Relationship Id="rId29" Type="http://schemas.openxmlformats.org/officeDocument/2006/relationships/hyperlink" Target="https://us3.assetplanner.com/service_request?ID=090375" TargetMode="External"/><Relationship Id="rId24" Type="http://schemas.openxmlformats.org/officeDocument/2006/relationships/hyperlink" Target="https://us3.assetplanner.com/service_request?ID=104027" TargetMode="External"/><Relationship Id="rId40" Type="http://schemas.openxmlformats.org/officeDocument/2006/relationships/hyperlink" Target="https://us3.assetplanner.com/service_request?ID=108327" TargetMode="External"/><Relationship Id="rId45" Type="http://schemas.openxmlformats.org/officeDocument/2006/relationships/hyperlink" Target="https://us3.assetplanner.com/service_request?ID=110688" TargetMode="External"/><Relationship Id="rId66" Type="http://schemas.openxmlformats.org/officeDocument/2006/relationships/hyperlink" Target="https://us3.assetplanner.com/service_request?ID=099641" TargetMode="External"/></Relationships>
</file>

<file path=xl/worksheets/_rels/sheet17.xml.rels><?xml version="1.0" encoding="UTF-8" standalone="yes"?>
<Relationships xmlns="http://schemas.openxmlformats.org/package/2006/relationships"><Relationship Id="rId13" Type="http://schemas.openxmlformats.org/officeDocument/2006/relationships/hyperlink" Target="https://us3.assetplanner.com/service_request?ID=111715" TargetMode="External"/><Relationship Id="rId18" Type="http://schemas.openxmlformats.org/officeDocument/2006/relationships/hyperlink" Target="https://us3.assetplanner.com/service_request?ID=103159" TargetMode="External"/><Relationship Id="rId26" Type="http://schemas.openxmlformats.org/officeDocument/2006/relationships/hyperlink" Target="https://us3.assetplanner.com/service_request?ID=092276" TargetMode="External"/><Relationship Id="rId39" Type="http://schemas.openxmlformats.org/officeDocument/2006/relationships/hyperlink" Target="https://us3.assetplanner.com/service_request?ID=107807" TargetMode="External"/><Relationship Id="rId21" Type="http://schemas.openxmlformats.org/officeDocument/2006/relationships/hyperlink" Target="https://us3.assetplanner.com/service_request?ID=090375" TargetMode="External"/><Relationship Id="rId34" Type="http://schemas.openxmlformats.org/officeDocument/2006/relationships/hyperlink" Target="https://us3.assetplanner.com/service_request?ID=104249" TargetMode="External"/><Relationship Id="rId42" Type="http://schemas.openxmlformats.org/officeDocument/2006/relationships/hyperlink" Target="https://us3.assetplanner.com/service_request?ID=110601" TargetMode="External"/><Relationship Id="rId47" Type="http://schemas.openxmlformats.org/officeDocument/2006/relationships/hyperlink" Target="https://us3.assetplanner.com/service_request?ID=113885" TargetMode="External"/><Relationship Id="rId7" Type="http://schemas.openxmlformats.org/officeDocument/2006/relationships/hyperlink" Target="https://us3.assetplanner.com/service_request?ID=105403" TargetMode="External"/><Relationship Id="rId2" Type="http://schemas.openxmlformats.org/officeDocument/2006/relationships/hyperlink" Target="https://us3.assetplanner.com/service_request?ID=108676" TargetMode="External"/><Relationship Id="rId16" Type="http://schemas.openxmlformats.org/officeDocument/2006/relationships/hyperlink" Target="https://us3.assetplanner.com/service_request?ID=113697" TargetMode="External"/><Relationship Id="rId29" Type="http://schemas.openxmlformats.org/officeDocument/2006/relationships/hyperlink" Target="https://us3.assetplanner.com/service_request?ID=105133" TargetMode="External"/><Relationship Id="rId1" Type="http://schemas.openxmlformats.org/officeDocument/2006/relationships/hyperlink" Target="https://us3.assetplanner.com/service_request?ID=111409" TargetMode="External"/><Relationship Id="rId6" Type="http://schemas.openxmlformats.org/officeDocument/2006/relationships/hyperlink" Target="https://us3.assetplanner.com/service_request?ID=111831" TargetMode="External"/><Relationship Id="rId11" Type="http://schemas.openxmlformats.org/officeDocument/2006/relationships/hyperlink" Target="https://us3.assetplanner.com/service_request?ID=109483" TargetMode="External"/><Relationship Id="rId24" Type="http://schemas.openxmlformats.org/officeDocument/2006/relationships/hyperlink" Target="https://us3.assetplanner.com/service_request?ID=105124" TargetMode="External"/><Relationship Id="rId32" Type="http://schemas.openxmlformats.org/officeDocument/2006/relationships/hyperlink" Target="https://us3.assetplanner.com/service_request?ID=104249" TargetMode="External"/><Relationship Id="rId37" Type="http://schemas.openxmlformats.org/officeDocument/2006/relationships/hyperlink" Target="https://us3.assetplanner.com/service_request?ID=112430" TargetMode="External"/><Relationship Id="rId40" Type="http://schemas.openxmlformats.org/officeDocument/2006/relationships/hyperlink" Target="https://us3.assetplanner.com/service_request?ID=111374" TargetMode="External"/><Relationship Id="rId45" Type="http://schemas.openxmlformats.org/officeDocument/2006/relationships/hyperlink" Target="https://us3.assetplanner.com/service_request?ID=112362" TargetMode="External"/><Relationship Id="rId5" Type="http://schemas.openxmlformats.org/officeDocument/2006/relationships/hyperlink" Target="https://us3.assetplanner.com/service_request?ID=114087" TargetMode="External"/><Relationship Id="rId15" Type="http://schemas.openxmlformats.org/officeDocument/2006/relationships/hyperlink" Target="https://us3.assetplanner.com/service_request?ID=113382" TargetMode="External"/><Relationship Id="rId23" Type="http://schemas.openxmlformats.org/officeDocument/2006/relationships/hyperlink" Target="https://us3.assetplanner.com/service_request?ID=089461" TargetMode="External"/><Relationship Id="rId28" Type="http://schemas.openxmlformats.org/officeDocument/2006/relationships/hyperlink" Target="https://us3.assetplanner.com/service_request?ID=108839" TargetMode="External"/><Relationship Id="rId36" Type="http://schemas.openxmlformats.org/officeDocument/2006/relationships/hyperlink" Target="https://us3.assetplanner.com/service_request?ID=109932" TargetMode="External"/><Relationship Id="rId10" Type="http://schemas.openxmlformats.org/officeDocument/2006/relationships/hyperlink" Target="https://us3.assetplanner.com/service_request?ID=109478" TargetMode="External"/><Relationship Id="rId19" Type="http://schemas.openxmlformats.org/officeDocument/2006/relationships/hyperlink" Target="https://us3.assetplanner.com/service_request?ID=105161" TargetMode="External"/><Relationship Id="rId31" Type="http://schemas.openxmlformats.org/officeDocument/2006/relationships/hyperlink" Target="https://us3.assetplanner.com/service_request?ID=102551" TargetMode="External"/><Relationship Id="rId44" Type="http://schemas.openxmlformats.org/officeDocument/2006/relationships/hyperlink" Target="https://us3.assetplanner.com/service_request?ID=109808" TargetMode="External"/><Relationship Id="rId4" Type="http://schemas.openxmlformats.org/officeDocument/2006/relationships/hyperlink" Target="https://us3.assetplanner.com/service_request?ID=103499" TargetMode="External"/><Relationship Id="rId9" Type="http://schemas.openxmlformats.org/officeDocument/2006/relationships/hyperlink" Target="https://us3.assetplanner.com/service_request?ID=107459" TargetMode="External"/><Relationship Id="rId14" Type="http://schemas.openxmlformats.org/officeDocument/2006/relationships/hyperlink" Target="https://us3.assetplanner.com/service_request?ID=105065" TargetMode="External"/><Relationship Id="rId22" Type="http://schemas.openxmlformats.org/officeDocument/2006/relationships/hyperlink" Target="https://us3.assetplanner.com/service_request?ID=105124" TargetMode="External"/><Relationship Id="rId27" Type="http://schemas.openxmlformats.org/officeDocument/2006/relationships/hyperlink" Target="https://us3.assetplanner.com/service_request?ID=113878" TargetMode="External"/><Relationship Id="rId30" Type="http://schemas.openxmlformats.org/officeDocument/2006/relationships/hyperlink" Target="https://us3.assetplanner.com/service_request?ID=112280" TargetMode="External"/><Relationship Id="rId35" Type="http://schemas.openxmlformats.org/officeDocument/2006/relationships/hyperlink" Target="https://us3.assetplanner.com/service_request?ID=105759" TargetMode="External"/><Relationship Id="rId43" Type="http://schemas.openxmlformats.org/officeDocument/2006/relationships/hyperlink" Target="https://us3.assetplanner.com/service_request?ID=113696" TargetMode="External"/><Relationship Id="rId48" Type="http://schemas.openxmlformats.org/officeDocument/2006/relationships/hyperlink" Target="https://us3.assetplanner.com/service_request?ID=111336" TargetMode="External"/><Relationship Id="rId8" Type="http://schemas.openxmlformats.org/officeDocument/2006/relationships/hyperlink" Target="https://us3.assetplanner.com/service_request?ID=108240" TargetMode="External"/><Relationship Id="rId3" Type="http://schemas.openxmlformats.org/officeDocument/2006/relationships/hyperlink" Target="https://us3.assetplanner.com/service_request?ID=110944" TargetMode="External"/><Relationship Id="rId12" Type="http://schemas.openxmlformats.org/officeDocument/2006/relationships/hyperlink" Target="https://us3.assetplanner.com/service_request?ID=106741" TargetMode="External"/><Relationship Id="rId17" Type="http://schemas.openxmlformats.org/officeDocument/2006/relationships/hyperlink" Target="https://us3.assetplanner.com/service_request?ID=104027" TargetMode="External"/><Relationship Id="rId25" Type="http://schemas.openxmlformats.org/officeDocument/2006/relationships/hyperlink" Target="https://us3.assetplanner.com/service_request?ID=101136" TargetMode="External"/><Relationship Id="rId33" Type="http://schemas.openxmlformats.org/officeDocument/2006/relationships/hyperlink" Target="https://us3.assetplanner.com/service_request?ID=108213" TargetMode="External"/><Relationship Id="rId38" Type="http://schemas.openxmlformats.org/officeDocument/2006/relationships/hyperlink" Target="https://us3.assetplanner.com/service_request?ID=110590" TargetMode="External"/><Relationship Id="rId46" Type="http://schemas.openxmlformats.org/officeDocument/2006/relationships/hyperlink" Target="https://us3.assetplanner.com/service_request?ID=112022" TargetMode="External"/><Relationship Id="rId20" Type="http://schemas.openxmlformats.org/officeDocument/2006/relationships/hyperlink" Target="https://us3.assetplanner.com/service_request?ID=105162" TargetMode="External"/><Relationship Id="rId41" Type="http://schemas.openxmlformats.org/officeDocument/2006/relationships/hyperlink" Target="https://us3.assetplanner.com/service_request?ID=108137"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3" Type="http://schemas.openxmlformats.org/officeDocument/2006/relationships/hyperlink" Target="https://us3.assetplanner.com/service_request?ID=108213" TargetMode="External"/><Relationship Id="rId2" Type="http://schemas.openxmlformats.org/officeDocument/2006/relationships/hyperlink" Target="https://us3.assetplanner.com/service_request?ID=104249" TargetMode="External"/><Relationship Id="rId1" Type="http://schemas.openxmlformats.org/officeDocument/2006/relationships/hyperlink" Target="https://us3.assetplanner.com/service_request?ID=111715" TargetMode="External"/><Relationship Id="rId5" Type="http://schemas.openxmlformats.org/officeDocument/2006/relationships/hyperlink" Target="https://us3.assetplanner.com/service_request?ID=107459" TargetMode="External"/><Relationship Id="rId4" Type="http://schemas.openxmlformats.org/officeDocument/2006/relationships/hyperlink" Target="https://us3.assetplanner.com/service_request?ID=10424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42"/>
  <sheetViews>
    <sheetView zoomScale="90" zoomScaleNormal="90" workbookViewId="0">
      <pane xSplit="2" ySplit="3" topLeftCell="C4" activePane="bottomRight" state="frozen"/>
      <selection pane="bottomRight" activeCell="C38" sqref="C38"/>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1" max="11" width="11.140625" hidden="1" customWidth="1"/>
  </cols>
  <sheetData>
    <row r="1" spans="1:11" ht="19.5" customHeight="1">
      <c r="A1" s="132" t="str" cm="1">
        <f t="array" ref="A1">portfolio</f>
        <v>Silicon Ranch</v>
      </c>
      <c r="B1" s="132"/>
      <c r="C1" s="132"/>
      <c r="D1" s="133" t="s">
        <v>0</v>
      </c>
      <c r="E1" s="133"/>
      <c r="F1" s="133"/>
      <c r="G1" s="131" t="s">
        <v>1</v>
      </c>
      <c r="H1" s="131"/>
      <c r="I1" s="131"/>
    </row>
    <row r="2" spans="1:11" ht="19.5" customHeight="1">
      <c r="A2" s="134" t="s">
        <v>2</v>
      </c>
      <c r="B2" s="134"/>
      <c r="C2" s="5">
        <f>SUM(C4:C100)</f>
        <v>41963539.099999994</v>
      </c>
      <c r="D2" s="5">
        <f>SUM(D4:D100)</f>
        <v>24541294</v>
      </c>
      <c r="E2" s="5">
        <f>C2-D2</f>
        <v>17422245.099999994</v>
      </c>
      <c r="F2" s="6">
        <f>IFERROR(E2/D2, 0)</f>
        <v>0.70991550404799331</v>
      </c>
      <c r="G2" s="5">
        <f>SUM(G4:G100)</f>
        <v>45609349.739999995</v>
      </c>
      <c r="H2" s="7">
        <f>C2-G2</f>
        <v>-3645810.6400000006</v>
      </c>
      <c r="I2" s="6">
        <f>IFERROR(H2/G2, 0)</f>
        <v>-7.9935597871560474E-2</v>
      </c>
    </row>
    <row r="3" spans="1:11" ht="14.25" customHeight="1">
      <c r="A3" s="8" t="s">
        <v>3</v>
      </c>
      <c r="B3" s="8" t="s">
        <v>4</v>
      </c>
      <c r="C3" s="23" t="s">
        <v>5</v>
      </c>
      <c r="D3" s="35" t="s">
        <v>6</v>
      </c>
      <c r="E3" s="35" t="s">
        <v>7</v>
      </c>
      <c r="F3" s="36" t="s">
        <v>8</v>
      </c>
      <c r="G3" s="37" t="s">
        <v>9</v>
      </c>
      <c r="H3" s="38" t="s">
        <v>7</v>
      </c>
      <c r="I3" s="39" t="s">
        <v>8</v>
      </c>
    </row>
    <row r="4" spans="1:11" ht="15.6">
      <c r="A4" s="50" t="str" cm="1">
        <f t="array" ref="A4:A70">Sites[Site]</f>
        <v>Iron Mountain - Windsor</v>
      </c>
      <c r="B4" s="32" t="str" cm="1">
        <f t="array" ref="B4:B70">Sites[State]</f>
        <v>CT</v>
      </c>
      <c r="C4" s="24">
        <f>SUM('1st Qtr'!C4, '2nd Qtr'!C4, '3rd Qtr'!C4, '4th Qtr'!C4)</f>
        <v>295344</v>
      </c>
      <c r="D4" s="13">
        <f>SUM('1st Qtr'!D4, '2nd Qtr'!D4, '3rd Qtr'!D4, '4th Qtr'!D4)</f>
        <v>294130</v>
      </c>
      <c r="E4" s="13">
        <f>IF(AND(ISNUMBER(C4),ISNUMBER(D4)), C4-D4, "")</f>
        <v>1214</v>
      </c>
      <c r="F4" s="14">
        <f>IFERROR(E4/D4, "")</f>
        <v>4.1274266480807809E-3</v>
      </c>
      <c r="G4" s="15">
        <f>SUM('1st Qtr'!G4, '2nd Qtr'!G4, '3rd Qtr'!G4, '4th Qtr'!G4)</f>
        <v>294969.48</v>
      </c>
      <c r="H4" s="15">
        <f>SUM('1st Qtr'!H4, '2nd Qtr'!H4, '3rd Qtr'!H4, '4th Qtr'!H4)</f>
        <v>374.52000000000771</v>
      </c>
      <c r="I4" s="16">
        <f>IFERROR(H4/G4, "")</f>
        <v>1.2696906812189781E-3</v>
      </c>
      <c r="K4" s="100">
        <f>C4-G4</f>
        <v>374.52000000001863</v>
      </c>
    </row>
    <row r="5" spans="1:11" ht="15.6">
      <c r="A5" s="51" t="str">
        <v>Kohls - Auburn</v>
      </c>
      <c r="B5" s="30" t="str">
        <v>NY</v>
      </c>
      <c r="C5" s="11">
        <f>SUM('1st Qtr'!C5, '2nd Qtr'!C5, '3rd Qtr'!C5, '4th Qtr'!C5)</f>
        <v>298485</v>
      </c>
      <c r="D5" s="18">
        <f>SUM('1st Qtr'!D5, '2nd Qtr'!D5, '3rd Qtr'!D5, '4th Qtr'!D5)</f>
        <v>295559</v>
      </c>
      <c r="E5" s="18">
        <f t="shared" ref="E5:E15" si="0">IF(AND(ISNUMBER(C5),ISNUMBER(D5)), C5-D5, "")</f>
        <v>2926</v>
      </c>
      <c r="F5" s="19">
        <f>IFERROR(E5/D5, "")</f>
        <v>9.8998846254047413E-3</v>
      </c>
      <c r="G5" s="20">
        <f>SUM('1st Qtr'!G5, '2nd Qtr'!G5, '3rd Qtr'!G5, '4th Qtr'!G5)</f>
        <v>319271.96000000002</v>
      </c>
      <c r="H5" s="20">
        <f>SUM('1st Qtr'!H5, '2nd Qtr'!H5, '3rd Qtr'!H5, '4th Qtr'!H5)</f>
        <v>-20786.960000000003</v>
      </c>
      <c r="I5" s="19">
        <f>IFERROR(H5/G5, "")</f>
        <v>-6.5107377422057369E-2</v>
      </c>
      <c r="K5" s="100">
        <f t="shared" ref="K5:K68" si="1">C5-G5</f>
        <v>-20786.960000000021</v>
      </c>
    </row>
    <row r="6" spans="1:11" ht="15.6">
      <c r="A6" s="52" t="str">
        <v>Kohls - Bensalem</v>
      </c>
      <c r="B6" s="28" t="str">
        <v>PA</v>
      </c>
      <c r="C6" s="24">
        <f>SUM('1st Qtr'!C6, '2nd Qtr'!C6, '3rd Qtr'!C6, '4th Qtr'!C6)</f>
        <v>116903</v>
      </c>
      <c r="D6" s="13">
        <f>SUM('1st Qtr'!D6, '2nd Qtr'!D6, '3rd Qtr'!D6, '4th Qtr'!D6)</f>
        <v>93259</v>
      </c>
      <c r="E6" s="13">
        <f t="shared" si="0"/>
        <v>23644</v>
      </c>
      <c r="F6" s="14">
        <f t="shared" ref="F6:F15" si="2">IFERROR(E6/D6, "")</f>
        <v>0.25353049035481828</v>
      </c>
      <c r="G6" s="15">
        <f>SUM('1st Qtr'!G6, '2nd Qtr'!G6, '3rd Qtr'!G6, '4th Qtr'!G6)</f>
        <v>336856.81</v>
      </c>
      <c r="H6" s="15">
        <f>SUM('1st Qtr'!H6, '2nd Qtr'!H6, '3rd Qtr'!H6, '4th Qtr'!H6)</f>
        <v>-219953.81</v>
      </c>
      <c r="I6" s="16">
        <f t="shared" ref="I6:I15" si="3">IFERROR(H6/G6, "")</f>
        <v>-0.65295936870030924</v>
      </c>
      <c r="K6" s="100">
        <f t="shared" si="1"/>
        <v>-219953.81</v>
      </c>
    </row>
    <row r="7" spans="1:11" ht="15.6">
      <c r="A7" s="51" t="str">
        <v>Kohls - Brick</v>
      </c>
      <c r="B7" s="30" t="str">
        <v>NJ</v>
      </c>
      <c r="C7" s="11">
        <f>SUM('1st Qtr'!C7, '2nd Qtr'!C7, '3rd Qtr'!C7, '4th Qtr'!C7)</f>
        <v>412513</v>
      </c>
      <c r="D7" s="18">
        <f>SUM('1st Qtr'!D7, '2nd Qtr'!D7, '3rd Qtr'!D7, '4th Qtr'!D7)</f>
        <v>404947</v>
      </c>
      <c r="E7" s="18">
        <f t="shared" si="0"/>
        <v>7566</v>
      </c>
      <c r="F7" s="19">
        <f t="shared" si="2"/>
        <v>1.8683926538534672E-2</v>
      </c>
      <c r="G7" s="20">
        <f>SUM('1st Qtr'!G7, '2nd Qtr'!G7, '3rd Qtr'!G7, '4th Qtr'!G7)</f>
        <v>402375.73</v>
      </c>
      <c r="H7" s="20">
        <f>SUM('1st Qtr'!H7, '2nd Qtr'!H7, '3rd Qtr'!H7, '4th Qtr'!H7)</f>
        <v>10137.270000000004</v>
      </c>
      <c r="I7" s="19">
        <f t="shared" si="3"/>
        <v>2.5193542363998952E-2</v>
      </c>
      <c r="K7" s="100">
        <f t="shared" si="1"/>
        <v>10137.270000000019</v>
      </c>
    </row>
    <row r="8" spans="1:11" ht="15.6">
      <c r="A8" s="52" t="str">
        <v>Kohls - Buffalo</v>
      </c>
      <c r="B8" s="28" t="str">
        <v>NY</v>
      </c>
      <c r="C8" s="24">
        <f>SUM('1st Qtr'!C8, '2nd Qtr'!C8, '3rd Qtr'!C8, '4th Qtr'!C8)</f>
        <v>319921</v>
      </c>
      <c r="D8" s="13">
        <f>SUM('1st Qtr'!D8, '2nd Qtr'!D8, '3rd Qtr'!D8, '4th Qtr'!D8)</f>
        <v>0</v>
      </c>
      <c r="E8" s="13">
        <f t="shared" si="0"/>
        <v>319921</v>
      </c>
      <c r="F8" s="14" t="str">
        <f t="shared" si="2"/>
        <v/>
      </c>
      <c r="G8" s="15">
        <f>SUM('1st Qtr'!G8, '2nd Qtr'!G8, '3rd Qtr'!G8, '4th Qtr'!G8)</f>
        <v>387602.69</v>
      </c>
      <c r="H8" s="15">
        <f>SUM('1st Qtr'!H8, '2nd Qtr'!H8, '3rd Qtr'!H8, '4th Qtr'!H8)</f>
        <v>-67681.69</v>
      </c>
      <c r="I8" s="16">
        <f t="shared" si="3"/>
        <v>-0.17461615139977485</v>
      </c>
      <c r="K8" s="100">
        <f t="shared" si="1"/>
        <v>-67681.69</v>
      </c>
    </row>
    <row r="9" spans="1:11" ht="15.6">
      <c r="A9" s="51" t="str">
        <v>Kohls - Canton</v>
      </c>
      <c r="B9" s="30" t="str">
        <v>CT</v>
      </c>
      <c r="C9" s="11">
        <f>SUM('1st Qtr'!C9, '2nd Qtr'!C9, '3rd Qtr'!C9, '4th Qtr'!C9)</f>
        <v>145771</v>
      </c>
      <c r="D9" s="18">
        <f>SUM('1st Qtr'!D9, '2nd Qtr'!D9, '3rd Qtr'!D9, '4th Qtr'!D9)</f>
        <v>144053</v>
      </c>
      <c r="E9" s="18">
        <f t="shared" si="0"/>
        <v>1718</v>
      </c>
      <c r="F9" s="19">
        <f t="shared" si="2"/>
        <v>1.1926166063879267E-2</v>
      </c>
      <c r="G9" s="20">
        <f>SUM('1st Qtr'!G9, '2nd Qtr'!G9, '3rd Qtr'!G9, '4th Qtr'!G9)</f>
        <v>133195.95000000001</v>
      </c>
      <c r="H9" s="20">
        <f>SUM('1st Qtr'!H9, '2nd Qtr'!H9, '3rd Qtr'!H9, '4th Qtr'!H9)</f>
        <v>12575.05</v>
      </c>
      <c r="I9" s="19">
        <f t="shared" si="3"/>
        <v>9.4410152861254398E-2</v>
      </c>
      <c r="K9" s="100">
        <f t="shared" si="1"/>
        <v>12575.049999999988</v>
      </c>
    </row>
    <row r="10" spans="1:11" ht="15.6">
      <c r="A10" s="52" t="str">
        <v>Kohls - East Amherst</v>
      </c>
      <c r="B10" s="28" t="str">
        <v>NY</v>
      </c>
      <c r="C10" s="24">
        <f>SUM('1st Qtr'!C10, '2nd Qtr'!C10, '3rd Qtr'!C10, '4th Qtr'!C10)</f>
        <v>116941</v>
      </c>
      <c r="D10" s="13">
        <f>SUM('1st Qtr'!D10, '2nd Qtr'!D10, '3rd Qtr'!D10, '4th Qtr'!D10)</f>
        <v>115188</v>
      </c>
      <c r="E10" s="13">
        <f t="shared" si="0"/>
        <v>1753</v>
      </c>
      <c r="F10" s="14">
        <f t="shared" si="2"/>
        <v>1.5218599159634685E-2</v>
      </c>
      <c r="G10" s="15">
        <f>SUM('1st Qtr'!G10, '2nd Qtr'!G10, '3rd Qtr'!G10, '4th Qtr'!G10)</f>
        <v>350111</v>
      </c>
      <c r="H10" s="15">
        <f>SUM('1st Qtr'!H10, '2nd Qtr'!H10, '3rd Qtr'!H10, '4th Qtr'!H10)</f>
        <v>-233170</v>
      </c>
      <c r="I10" s="16">
        <f t="shared" si="3"/>
        <v>-0.66598878641345172</v>
      </c>
      <c r="K10" s="100">
        <f t="shared" si="1"/>
        <v>-233170</v>
      </c>
    </row>
    <row r="11" spans="1:11" ht="15.6">
      <c r="A11" s="51" t="str">
        <v>Kohls - East Brunswick</v>
      </c>
      <c r="B11" s="30" t="str">
        <v>NJ</v>
      </c>
      <c r="C11" s="11">
        <f>SUM('1st Qtr'!C11, '2nd Qtr'!C11, '3rd Qtr'!C11, '4th Qtr'!C11)</f>
        <v>448224.2</v>
      </c>
      <c r="D11" s="18">
        <f>SUM('1st Qtr'!D11, '2nd Qtr'!D11, '3rd Qtr'!D11, '4th Qtr'!D11)</f>
        <v>336905</v>
      </c>
      <c r="E11" s="18">
        <f t="shared" si="0"/>
        <v>111319.20000000001</v>
      </c>
      <c r="F11" s="19">
        <f t="shared" si="2"/>
        <v>0.33041717991718739</v>
      </c>
      <c r="G11" s="20">
        <f>SUM('1st Qtr'!G11, '2nd Qtr'!G11, '3rd Qtr'!G11, '4th Qtr'!G11)</f>
        <v>521076.26</v>
      </c>
      <c r="H11" s="20">
        <f>SUM('1st Qtr'!H11, '2nd Qtr'!H11, '3rd Qtr'!H11, '4th Qtr'!H11)</f>
        <v>-72852.059999999983</v>
      </c>
      <c r="I11" s="19">
        <f t="shared" si="3"/>
        <v>-0.13981074478426628</v>
      </c>
      <c r="K11" s="100">
        <f t="shared" si="1"/>
        <v>-72852.06</v>
      </c>
    </row>
    <row r="12" spans="1:11" ht="15.6">
      <c r="A12" s="52" t="str">
        <v>Kohls - Edgewood</v>
      </c>
      <c r="B12" s="28" t="str">
        <v>MD</v>
      </c>
      <c r="C12" s="24">
        <f>SUM('1st Qtr'!C12, '2nd Qtr'!C12, '3rd Qtr'!C12, '4th Qtr'!C12)</f>
        <v>2096574</v>
      </c>
      <c r="D12" s="13">
        <f>SUM('1st Qtr'!D12, '2nd Qtr'!D12, '3rd Qtr'!D12, '4th Qtr'!D12)</f>
        <v>2073004</v>
      </c>
      <c r="E12" s="13">
        <f t="shared" si="0"/>
        <v>23570</v>
      </c>
      <c r="F12" s="14">
        <f t="shared" si="2"/>
        <v>1.1369973236906441E-2</v>
      </c>
      <c r="G12" s="15">
        <f>SUM('1st Qtr'!G12, '2nd Qtr'!G12, '3rd Qtr'!G12, '4th Qtr'!G12)</f>
        <v>2786370.4099999997</v>
      </c>
      <c r="H12" s="15">
        <f>SUM('1st Qtr'!H12, '2nd Qtr'!H12, '3rd Qtr'!H12, '4th Qtr'!H12)</f>
        <v>-689796.40999999992</v>
      </c>
      <c r="I12" s="16">
        <f t="shared" si="3"/>
        <v>-0.24756091563576429</v>
      </c>
      <c r="K12" s="100">
        <f t="shared" si="1"/>
        <v>-689796.40999999968</v>
      </c>
    </row>
    <row r="13" spans="1:11" ht="15.6">
      <c r="A13" s="51" t="str">
        <v>Kohls - Granite Run</v>
      </c>
      <c r="B13" s="30" t="str">
        <v>PA</v>
      </c>
      <c r="C13" s="11">
        <f>SUM('1st Qtr'!C13, '2nd Qtr'!C13, '3rd Qtr'!C13, '4th Qtr'!C13)</f>
        <v>331479</v>
      </c>
      <c r="D13" s="18">
        <f>SUM('1st Qtr'!D13, '2nd Qtr'!D13, '3rd Qtr'!D13, '4th Qtr'!D13)</f>
        <v>328435</v>
      </c>
      <c r="E13" s="18">
        <f t="shared" si="0"/>
        <v>3044</v>
      </c>
      <c r="F13" s="19">
        <f t="shared" si="2"/>
        <v>9.2681961423112646E-3</v>
      </c>
      <c r="G13" s="20">
        <f>SUM('1st Qtr'!G13, '2nd Qtr'!G13, '3rd Qtr'!G13, '4th Qtr'!G13)</f>
        <v>335691.81</v>
      </c>
      <c r="H13" s="20">
        <f>SUM('1st Qtr'!H13, '2nd Qtr'!H13, '3rd Qtr'!H13, '4th Qtr'!H13)</f>
        <v>-4212.8099999999922</v>
      </c>
      <c r="I13" s="19">
        <f t="shared" si="3"/>
        <v>-1.2549635929455629E-2</v>
      </c>
      <c r="K13" s="100">
        <f t="shared" si="1"/>
        <v>-4212.8099999999977</v>
      </c>
    </row>
    <row r="14" spans="1:11" ht="15.6">
      <c r="A14" s="52" t="str">
        <v>Kohls - Greece</v>
      </c>
      <c r="B14" s="28" t="str">
        <v>NY</v>
      </c>
      <c r="C14" s="24">
        <f>SUM('1st Qtr'!C14, '2nd Qtr'!C14, '3rd Qtr'!C14, '4th Qtr'!C14)</f>
        <v>285474</v>
      </c>
      <c r="D14" s="13">
        <f>SUM('1st Qtr'!D14, '2nd Qtr'!D14, '3rd Qtr'!D14, '4th Qtr'!D14)</f>
        <v>282700</v>
      </c>
      <c r="E14" s="13">
        <f t="shared" si="0"/>
        <v>2774</v>
      </c>
      <c r="F14" s="14">
        <f t="shared" si="2"/>
        <v>9.8125221082419525E-3</v>
      </c>
      <c r="G14" s="15">
        <f>SUM('1st Qtr'!G14, '2nd Qtr'!G14, '3rd Qtr'!G14, '4th Qtr'!G14)</f>
        <v>374718.29000000004</v>
      </c>
      <c r="H14" s="15">
        <f>SUM('1st Qtr'!H14, '2nd Qtr'!H14, '3rd Qtr'!H14, '4th Qtr'!H14)</f>
        <v>-89244.29</v>
      </c>
      <c r="I14" s="16">
        <f t="shared" si="3"/>
        <v>-0.23816368824697612</v>
      </c>
      <c r="K14" s="100">
        <f t="shared" si="1"/>
        <v>-89244.290000000037</v>
      </c>
    </row>
    <row r="15" spans="1:11" ht="15.6">
      <c r="A15" s="51" t="str">
        <v>Kohls - Hanover</v>
      </c>
      <c r="B15" s="30" t="str">
        <v>PA</v>
      </c>
      <c r="C15" s="11">
        <f>SUM('1st Qtr'!C15, '2nd Qtr'!C15, '3rd Qtr'!C15, '4th Qtr'!C15)</f>
        <v>378248</v>
      </c>
      <c r="D15" s="18">
        <f>SUM('1st Qtr'!D15, '2nd Qtr'!D15, '3rd Qtr'!D15, '4th Qtr'!D15)</f>
        <v>375562</v>
      </c>
      <c r="E15" s="18">
        <f t="shared" si="0"/>
        <v>2686</v>
      </c>
      <c r="F15" s="19">
        <f t="shared" si="2"/>
        <v>7.1519482801774411E-3</v>
      </c>
      <c r="G15" s="20">
        <f>SUM('1st Qtr'!G15, '2nd Qtr'!G15, '3rd Qtr'!G15, '4th Qtr'!G15)</f>
        <v>372278.2</v>
      </c>
      <c r="H15" s="20">
        <f>SUM('1st Qtr'!H15, '2nd Qtr'!H15, '3rd Qtr'!H15, '4th Qtr'!H15)</f>
        <v>5969.7999999999956</v>
      </c>
      <c r="I15" s="19">
        <f t="shared" si="3"/>
        <v>1.6035857055288212E-2</v>
      </c>
      <c r="K15" s="100">
        <f t="shared" si="1"/>
        <v>5969.7999999999884</v>
      </c>
    </row>
    <row r="16" spans="1:11" ht="15.6">
      <c r="A16" s="52" t="str">
        <v>Kohls - Horsehead</v>
      </c>
      <c r="B16" s="28" t="str">
        <v>NY</v>
      </c>
      <c r="C16" s="24">
        <f>SUM('1st Qtr'!C16, '2nd Qtr'!C16, '3rd Qtr'!C16, '4th Qtr'!C16)</f>
        <v>271698</v>
      </c>
      <c r="D16" s="13">
        <f>SUM('1st Qtr'!D16, '2nd Qtr'!D16, '3rd Qtr'!D16, '4th Qtr'!D16)</f>
        <v>232267</v>
      </c>
      <c r="E16" s="13">
        <f t="shared" ref="E16:E19" si="4">IF(AND(ISNUMBER(C16),ISNUMBER(D16)), C16-D16, "")</f>
        <v>39431</v>
      </c>
      <c r="F16" s="14">
        <f t="shared" ref="F16:F19" si="5">IFERROR(E16/D16, "")</f>
        <v>0.16976582984237967</v>
      </c>
      <c r="G16" s="15">
        <f>SUM('1st Qtr'!G16, '2nd Qtr'!G16, '3rd Qtr'!G16, '4th Qtr'!G16)</f>
        <v>294046.61</v>
      </c>
      <c r="H16" s="15">
        <f>SUM('1st Qtr'!H16, '2nd Qtr'!H16, '3rd Qtr'!H16, '4th Qtr'!H16)</f>
        <v>-22348.609999999993</v>
      </c>
      <c r="I16" s="16">
        <f t="shared" ref="I16:I19" si="6">IFERROR(H16/G16, "")</f>
        <v>-7.600363085294537E-2</v>
      </c>
      <c r="K16" s="100">
        <f t="shared" si="1"/>
        <v>-22348.609999999986</v>
      </c>
    </row>
    <row r="17" spans="1:11" ht="15.6">
      <c r="A17" s="51" t="str">
        <v>Kohls - Hudson</v>
      </c>
      <c r="B17" s="30" t="str">
        <v>NY</v>
      </c>
      <c r="C17" s="11">
        <f>SUM('1st Qtr'!C17, '2nd Qtr'!C17, '3rd Qtr'!C17, '4th Qtr'!C17)</f>
        <v>244257</v>
      </c>
      <c r="D17" s="18">
        <f>SUM('1st Qtr'!D17, '2nd Qtr'!D17, '3rd Qtr'!D17, '4th Qtr'!D17)</f>
        <v>165566</v>
      </c>
      <c r="E17" s="18">
        <f t="shared" si="4"/>
        <v>78691</v>
      </c>
      <c r="F17" s="19">
        <f t="shared" si="5"/>
        <v>0.47528478069168789</v>
      </c>
      <c r="G17" s="20">
        <f>SUM('1st Qtr'!G17, '2nd Qtr'!G17, '3rd Qtr'!G17, '4th Qtr'!G17)</f>
        <v>329872.27999999997</v>
      </c>
      <c r="H17" s="20">
        <f>SUM('1st Qtr'!H17, '2nd Qtr'!H17, '3rd Qtr'!H17, '4th Qtr'!H17)</f>
        <v>-85615.28</v>
      </c>
      <c r="I17" s="19">
        <f t="shared" si="6"/>
        <v>-0.25954069253712381</v>
      </c>
      <c r="K17" s="100">
        <f t="shared" si="1"/>
        <v>-85615.27999999997</v>
      </c>
    </row>
    <row r="18" spans="1:11" ht="12.75" customHeight="1">
      <c r="A18" s="52" t="str">
        <v>Kohls - Ithaca</v>
      </c>
      <c r="B18" s="28" t="str">
        <v>NY</v>
      </c>
      <c r="C18" s="24">
        <f>SUM('1st Qtr'!C18, '2nd Qtr'!C18, '3rd Qtr'!C18, '4th Qtr'!C18)</f>
        <v>274338</v>
      </c>
      <c r="D18" s="13">
        <f>SUM('1st Qtr'!D18, '2nd Qtr'!D18, '3rd Qtr'!D18, '4th Qtr'!D18)</f>
        <v>272640</v>
      </c>
      <c r="E18" s="13">
        <f t="shared" si="4"/>
        <v>1698</v>
      </c>
      <c r="F18" s="14">
        <f t="shared" si="5"/>
        <v>6.2279929577464792E-3</v>
      </c>
      <c r="G18" s="15">
        <f>SUM('1st Qtr'!G18, '2nd Qtr'!G18, '3rd Qtr'!G18, '4th Qtr'!G18)</f>
        <v>333811.66000000003</v>
      </c>
      <c r="H18" s="15">
        <f>SUM('1st Qtr'!H18, '2nd Qtr'!H18, '3rd Qtr'!H18, '4th Qtr'!H18)</f>
        <v>-59473.66</v>
      </c>
      <c r="I18" s="16">
        <f t="shared" si="6"/>
        <v>-0.1781653163343665</v>
      </c>
      <c r="K18" s="100">
        <f t="shared" si="1"/>
        <v>-59473.660000000033</v>
      </c>
    </row>
    <row r="19" spans="1:11" ht="15.6">
      <c r="A19" s="51" t="str">
        <v>Kohls - Kingston</v>
      </c>
      <c r="B19" s="30" t="str">
        <v>NY</v>
      </c>
      <c r="C19" s="11">
        <f>SUM('1st Qtr'!C19, '2nd Qtr'!C19, '3rd Qtr'!C19, '4th Qtr'!C19)</f>
        <v>404782</v>
      </c>
      <c r="D19" s="18">
        <f>SUM('1st Qtr'!D19, '2nd Qtr'!D19, '3rd Qtr'!D19, '4th Qtr'!D19)</f>
        <v>388940</v>
      </c>
      <c r="E19" s="18">
        <f t="shared" si="4"/>
        <v>15842</v>
      </c>
      <c r="F19" s="19">
        <f t="shared" si="5"/>
        <v>4.0731218182753125E-2</v>
      </c>
      <c r="G19" s="20">
        <f>SUM('1st Qtr'!G19, '2nd Qtr'!G19, '3rd Qtr'!G19, '4th Qtr'!G19)</f>
        <v>507707.94</v>
      </c>
      <c r="H19" s="20">
        <f>SUM('1st Qtr'!H19, '2nd Qtr'!H19, '3rd Qtr'!H19, '4th Qtr'!H19)</f>
        <v>-102925.93999999999</v>
      </c>
      <c r="I19" s="19">
        <f t="shared" si="6"/>
        <v>-0.20272666998274635</v>
      </c>
      <c r="K19" s="100">
        <f t="shared" si="1"/>
        <v>-102925.94</v>
      </c>
    </row>
    <row r="20" spans="1:11" ht="15.6">
      <c r="A20" s="52" t="str">
        <v>Kohls - Mechanicsburg</v>
      </c>
      <c r="B20" s="28" t="str">
        <v>PA</v>
      </c>
      <c r="C20" s="24">
        <f>SUM('1st Qtr'!C20, '2nd Qtr'!C20, '3rd Qtr'!C20, '4th Qtr'!C20)</f>
        <v>305071</v>
      </c>
      <c r="D20" s="13">
        <f>SUM('1st Qtr'!D20, '2nd Qtr'!D20, '3rd Qtr'!D20, '4th Qtr'!D20)</f>
        <v>302272</v>
      </c>
      <c r="E20" s="13">
        <f t="shared" ref="E20:E25" si="7">IF(AND(ISNUMBER(C20),ISNUMBER(D20)), C20-D20, "")</f>
        <v>2799</v>
      </c>
      <c r="F20" s="14">
        <f t="shared" ref="F20:F25" si="8">IFERROR(E20/D20, "")</f>
        <v>9.2598719034511969E-3</v>
      </c>
      <c r="G20" s="15">
        <f>SUM('1st Qtr'!G20, '2nd Qtr'!G20, '3rd Qtr'!G20, '4th Qtr'!G20)</f>
        <v>432656.66000000003</v>
      </c>
      <c r="H20" s="15">
        <f>SUM('1st Qtr'!H20, '2nd Qtr'!H20, '3rd Qtr'!H20, '4th Qtr'!H20)</f>
        <v>-127585.65999999999</v>
      </c>
      <c r="I20" s="16">
        <f t="shared" ref="I20:I25" si="9">IFERROR(H20/G20, "")</f>
        <v>-0.29488893109839098</v>
      </c>
      <c r="K20" s="100">
        <f t="shared" si="1"/>
        <v>-127585.66000000003</v>
      </c>
    </row>
    <row r="21" spans="1:11" ht="15.6">
      <c r="A21" s="51" t="str">
        <v>Kohls - Middletown</v>
      </c>
      <c r="B21" s="30" t="str">
        <v>NJ</v>
      </c>
      <c r="C21" s="11">
        <f>SUM('1st Qtr'!C21, '2nd Qtr'!C21, '3rd Qtr'!C21, '4th Qtr'!C21)</f>
        <v>331483</v>
      </c>
      <c r="D21" s="18">
        <f>SUM('1st Qtr'!D21, '2nd Qtr'!D21, '3rd Qtr'!D21, '4th Qtr'!D21)</f>
        <v>303914</v>
      </c>
      <c r="E21" s="18">
        <f t="shared" si="7"/>
        <v>27569</v>
      </c>
      <c r="F21" s="19">
        <f t="shared" si="8"/>
        <v>9.0713162276170226E-2</v>
      </c>
      <c r="G21" s="20">
        <f>SUM('1st Qtr'!G21, '2nd Qtr'!G21, '3rd Qtr'!G21, '4th Qtr'!G21)</f>
        <v>614792.69999999995</v>
      </c>
      <c r="H21" s="20">
        <f>SUM('1st Qtr'!H21, '2nd Qtr'!H21, '3rd Qtr'!H21, '4th Qtr'!H21)</f>
        <v>-283309.7</v>
      </c>
      <c r="I21" s="19">
        <f t="shared" si="9"/>
        <v>-0.46082150942911332</v>
      </c>
      <c r="K21" s="100">
        <f t="shared" si="1"/>
        <v>-283309.69999999995</v>
      </c>
    </row>
    <row r="22" spans="1:11" ht="15.6">
      <c r="A22" s="52" t="str">
        <v>Kohls - North Amherst</v>
      </c>
      <c r="B22" s="28" t="str">
        <v>NY</v>
      </c>
      <c r="C22" s="24">
        <f>SUM('1st Qtr'!C22, '2nd Qtr'!C22, '3rd Qtr'!C22, '4th Qtr'!C22)</f>
        <v>203088</v>
      </c>
      <c r="D22" s="13">
        <f>SUM('1st Qtr'!D22, '2nd Qtr'!D22, '3rd Qtr'!D22, '4th Qtr'!D22)</f>
        <v>201990</v>
      </c>
      <c r="E22" s="13">
        <f t="shared" si="7"/>
        <v>1098</v>
      </c>
      <c r="F22" s="14">
        <f t="shared" si="8"/>
        <v>5.4359126689440072E-3</v>
      </c>
      <c r="G22" s="15">
        <f>SUM('1st Qtr'!G22, '2nd Qtr'!G22, '3rd Qtr'!G22, '4th Qtr'!G22)</f>
        <v>328541.19</v>
      </c>
      <c r="H22" s="15">
        <f>SUM('1st Qtr'!H22, '2nd Qtr'!H22, '3rd Qtr'!H22, '4th Qtr'!H22)</f>
        <v>-125453.19</v>
      </c>
      <c r="I22" s="16">
        <f t="shared" si="9"/>
        <v>-0.38184919826947727</v>
      </c>
      <c r="K22" s="100">
        <f t="shared" si="1"/>
        <v>-125453.19</v>
      </c>
    </row>
    <row r="23" spans="1:11" ht="15.6">
      <c r="A23" s="51" t="str">
        <v>Kohls - Staten Island</v>
      </c>
      <c r="B23" s="30" t="str">
        <v>NY</v>
      </c>
      <c r="C23" s="11">
        <f>SUM('1st Qtr'!C23, '2nd Qtr'!C23, '3rd Qtr'!C23, '4th Qtr'!C23)</f>
        <v>295891</v>
      </c>
      <c r="D23" s="18">
        <f>SUM('1st Qtr'!D23, '2nd Qtr'!D23, '3rd Qtr'!D23, '4th Qtr'!D23)</f>
        <v>0</v>
      </c>
      <c r="E23" s="18">
        <f t="shared" si="7"/>
        <v>295891</v>
      </c>
      <c r="F23" s="19" t="str">
        <f t="shared" si="8"/>
        <v/>
      </c>
      <c r="G23" s="20">
        <f>SUM('1st Qtr'!G23, '2nd Qtr'!G23, '3rd Qtr'!G23, '4th Qtr'!G23)</f>
        <v>365897.24</v>
      </c>
      <c r="H23" s="20">
        <f>SUM('1st Qtr'!H23, '2nd Qtr'!H23, '3rd Qtr'!H23, '4th Qtr'!H23)</f>
        <v>-65494.62</v>
      </c>
      <c r="I23" s="19">
        <f t="shared" si="9"/>
        <v>-0.17899730536365893</v>
      </c>
      <c r="K23" s="100">
        <f t="shared" si="1"/>
        <v>-70006.239999999991</v>
      </c>
    </row>
    <row r="24" spans="1:11" ht="15.6">
      <c r="A24" s="52" t="str">
        <v>Kohls - Warminster</v>
      </c>
      <c r="B24" s="28" t="str">
        <v>PA</v>
      </c>
      <c r="C24" s="24">
        <f>SUM('1st Qtr'!C24, '2nd Qtr'!C24, '3rd Qtr'!C24, '4th Qtr'!C24)</f>
        <v>434487</v>
      </c>
      <c r="D24" s="13">
        <f>SUM('1st Qtr'!D24, '2nd Qtr'!D24, '3rd Qtr'!D24, '4th Qtr'!D24)</f>
        <v>424727</v>
      </c>
      <c r="E24" s="13">
        <f t="shared" si="7"/>
        <v>9760</v>
      </c>
      <c r="F24" s="14">
        <f t="shared" si="8"/>
        <v>2.2979466810445298E-2</v>
      </c>
      <c r="G24" s="15">
        <f>SUM('1st Qtr'!G24, '2nd Qtr'!G24, '3rd Qtr'!G24, '4th Qtr'!G24)</f>
        <v>404786.82</v>
      </c>
      <c r="H24" s="15">
        <f>SUM('1st Qtr'!H24, '2nd Qtr'!H24, '3rd Qtr'!H24, '4th Qtr'!H24)</f>
        <v>21740.15</v>
      </c>
      <c r="I24" s="16">
        <f t="shared" si="9"/>
        <v>5.3707652833162901E-2</v>
      </c>
      <c r="K24" s="100">
        <f t="shared" si="1"/>
        <v>29700.179999999993</v>
      </c>
    </row>
    <row r="25" spans="1:11" ht="15.6">
      <c r="A25" s="51" t="str">
        <v xml:space="preserve">Kohls - Waterbury </v>
      </c>
      <c r="B25" s="30" t="str">
        <v>CT</v>
      </c>
      <c r="C25" s="11">
        <f>SUM('1st Qtr'!C25, '2nd Qtr'!C25, '3rd Qtr'!C25, '4th Qtr'!C25)</f>
        <v>307116</v>
      </c>
      <c r="D25" s="18">
        <f>SUM('1st Qtr'!D25, '2nd Qtr'!D25, '3rd Qtr'!D25, '4th Qtr'!D25)</f>
        <v>304094</v>
      </c>
      <c r="E25" s="18">
        <f t="shared" si="7"/>
        <v>3022</v>
      </c>
      <c r="F25" s="19">
        <f t="shared" si="8"/>
        <v>9.9377166270955691E-3</v>
      </c>
      <c r="G25" s="20">
        <f>SUM('1st Qtr'!G25, '2nd Qtr'!G25, '3rd Qtr'!G25, '4th Qtr'!G25)</f>
        <v>352212.27</v>
      </c>
      <c r="H25" s="20">
        <f>SUM('1st Qtr'!H25, '2nd Qtr'!H25, '3rd Qtr'!H25, '4th Qtr'!H25)</f>
        <v>-45096.27</v>
      </c>
      <c r="I25" s="19">
        <f t="shared" si="9"/>
        <v>-0.12803719188999291</v>
      </c>
      <c r="K25" s="100">
        <f t="shared" si="1"/>
        <v>-45096.270000000019</v>
      </c>
    </row>
    <row r="26" spans="1:11" ht="15.6">
      <c r="A26" s="52" t="str">
        <v>Mojave Water Agency - Headquarters</v>
      </c>
      <c r="B26" s="28" t="str">
        <v>CA</v>
      </c>
      <c r="C26" s="24">
        <f>SUM('1st Qtr'!C26, '2nd Qtr'!C26, '3rd Qtr'!C26, '4th Qtr'!C26)</f>
        <v>376904</v>
      </c>
      <c r="D26" s="13">
        <f>SUM('1st Qtr'!D26, '2nd Qtr'!D26, '3rd Qtr'!D26, '4th Qtr'!D26)</f>
        <v>365092</v>
      </c>
      <c r="E26" s="13">
        <f t="shared" ref="E26:E69" si="10">IF(AND(ISNUMBER(C26),ISNUMBER(D26)), C26-D26, "")</f>
        <v>11812</v>
      </c>
      <c r="F26" s="14">
        <f t="shared" ref="F26:F69" si="11">IFERROR(E26/D26, "")</f>
        <v>3.2353488983598654E-2</v>
      </c>
      <c r="G26" s="15">
        <f>SUM('1st Qtr'!G26, '2nd Qtr'!G26, '3rd Qtr'!G26, '4th Qtr'!G26)</f>
        <v>485040.88</v>
      </c>
      <c r="H26" s="15">
        <f>SUM('1st Qtr'!H26, '2nd Qtr'!H26, '3rd Qtr'!H26, '4th Qtr'!H26)</f>
        <v>-25003.019999999997</v>
      </c>
      <c r="I26" s="16">
        <f t="shared" ref="I26:I69" si="12">IFERROR(H26/G26, "")</f>
        <v>-5.1548273621802761E-2</v>
      </c>
      <c r="K26" s="100">
        <f t="shared" si="1"/>
        <v>-108136.88</v>
      </c>
    </row>
    <row r="27" spans="1:11" ht="15.6">
      <c r="A27" s="51" t="str">
        <v>CSU - Bakersfield</v>
      </c>
      <c r="B27" s="30" t="str">
        <v>CA</v>
      </c>
      <c r="C27" s="11">
        <f>SUM('1st Qtr'!C27, '2nd Qtr'!C27, '3rd Qtr'!C27, '4th Qtr'!C27)</f>
        <v>1423747</v>
      </c>
      <c r="D27" s="18">
        <f>SUM('1st Qtr'!D27, '2nd Qtr'!D27, '3rd Qtr'!D27, '4th Qtr'!D27)</f>
        <v>1430406</v>
      </c>
      <c r="E27" s="18">
        <f t="shared" si="10"/>
        <v>-6659</v>
      </c>
      <c r="F27" s="19">
        <f t="shared" si="11"/>
        <v>-4.6553216359551067E-3</v>
      </c>
      <c r="G27" s="20">
        <f>SUM('1st Qtr'!G27, '2nd Qtr'!G27, '3rd Qtr'!G27, '4th Qtr'!G27)</f>
        <v>1518003.94</v>
      </c>
      <c r="H27" s="20">
        <f>SUM('1st Qtr'!H27, '2nd Qtr'!H27, '3rd Qtr'!H27, '4th Qtr'!H27)</f>
        <v>-94256.939999999959</v>
      </c>
      <c r="I27" s="19">
        <f t="shared" si="12"/>
        <v>-6.2092684686971211E-2</v>
      </c>
      <c r="K27" s="100">
        <f t="shared" si="1"/>
        <v>-94256.939999999944</v>
      </c>
    </row>
    <row r="28" spans="1:11" ht="15.6">
      <c r="A28" s="52" t="str">
        <v>Greenfield USD - Fairfield ES</v>
      </c>
      <c r="B28" s="28" t="str">
        <v>CA</v>
      </c>
      <c r="C28" s="24">
        <f>SUM('1st Qtr'!C28, '2nd Qtr'!C28, '3rd Qtr'!C28, '4th Qtr'!C28)</f>
        <v>114138</v>
      </c>
      <c r="D28" s="13">
        <f>SUM('1st Qtr'!D28, '2nd Qtr'!D28, '3rd Qtr'!D28, '4th Qtr'!D28)</f>
        <v>112644</v>
      </c>
      <c r="E28" s="13">
        <f t="shared" si="10"/>
        <v>1494</v>
      </c>
      <c r="F28" s="14">
        <f t="shared" si="11"/>
        <v>1.3263023330137425E-2</v>
      </c>
      <c r="G28" s="15">
        <f>SUM('1st Qtr'!G28, '2nd Qtr'!G28, '3rd Qtr'!G28, '4th Qtr'!G28)</f>
        <v>168414.32</v>
      </c>
      <c r="H28" s="15">
        <f>SUM('1st Qtr'!H28, '2nd Qtr'!H28, '3rd Qtr'!H28, '4th Qtr'!H28)</f>
        <v>-36081.550000000003</v>
      </c>
      <c r="I28" s="16">
        <f t="shared" si="12"/>
        <v>-0.21424276747963</v>
      </c>
      <c r="K28" s="100">
        <f t="shared" si="1"/>
        <v>-54276.320000000007</v>
      </c>
    </row>
    <row r="29" spans="1:11" ht="15.6">
      <c r="A29" s="51" t="str">
        <v>Greenfield USD - Granite Point ES</v>
      </c>
      <c r="B29" s="30" t="str">
        <v>CA</v>
      </c>
      <c r="C29" s="11">
        <f>SUM('1st Qtr'!C29, '2nd Qtr'!C29, '3rd Qtr'!C29, '4th Qtr'!C29)</f>
        <v>355251</v>
      </c>
      <c r="D29" s="18">
        <f>SUM('1st Qtr'!D29, '2nd Qtr'!D29, '3rd Qtr'!D29, '4th Qtr'!D29)</f>
        <v>352155</v>
      </c>
      <c r="E29" s="18">
        <f t="shared" si="10"/>
        <v>3096</v>
      </c>
      <c r="F29" s="19">
        <f t="shared" si="11"/>
        <v>8.7915832516931459E-3</v>
      </c>
      <c r="G29" s="20">
        <f>SUM('1st Qtr'!G29, '2nd Qtr'!G29, '3rd Qtr'!G29, '4th Qtr'!G29)</f>
        <v>395844.81000000006</v>
      </c>
      <c r="H29" s="20">
        <f>SUM('1st Qtr'!H29, '2nd Qtr'!H29, '3rd Qtr'!H29, '4th Qtr'!H29)</f>
        <v>-40593.810000000005</v>
      </c>
      <c r="I29" s="19">
        <f t="shared" si="12"/>
        <v>-0.10254980986109177</v>
      </c>
      <c r="K29" s="100">
        <f t="shared" si="1"/>
        <v>-40593.810000000056</v>
      </c>
    </row>
    <row r="30" spans="1:11" ht="15.6">
      <c r="A30" s="52" t="str">
        <v>Greenfield USD - Greenfield MS</v>
      </c>
      <c r="B30" s="28" t="str">
        <v>CA</v>
      </c>
      <c r="C30" s="24">
        <f>SUM('1st Qtr'!C30, '2nd Qtr'!C30, '3rd Qtr'!C30, '4th Qtr'!C30)</f>
        <v>211086</v>
      </c>
      <c r="D30" s="13">
        <f>SUM('1st Qtr'!D30, '2nd Qtr'!D30, '3rd Qtr'!D30, '4th Qtr'!D30)</f>
        <v>194087</v>
      </c>
      <c r="E30" s="13">
        <f t="shared" si="10"/>
        <v>16999</v>
      </c>
      <c r="F30" s="14">
        <f t="shared" si="11"/>
        <v>8.7584433784849064E-2</v>
      </c>
      <c r="G30" s="15">
        <f>SUM('1st Qtr'!G30, '2nd Qtr'!G30, '3rd Qtr'!G30, '4th Qtr'!G30)</f>
        <v>272430.17000000004</v>
      </c>
      <c r="H30" s="15">
        <f>SUM('1st Qtr'!H30, '2nd Qtr'!H30, '3rd Qtr'!H30, '4th Qtr'!H30)</f>
        <v>-51242.608</v>
      </c>
      <c r="I30" s="16">
        <f t="shared" si="12"/>
        <v>-0.18809446839166158</v>
      </c>
      <c r="K30" s="100">
        <f t="shared" si="1"/>
        <v>-61344.170000000042</v>
      </c>
    </row>
    <row r="31" spans="1:11" ht="15.6">
      <c r="A31" s="51" t="str">
        <v>Greenfield USD - Horizon ES</v>
      </c>
      <c r="B31" s="30" t="str">
        <v>CA</v>
      </c>
      <c r="C31" s="11">
        <f>SUM('1st Qtr'!C31, '2nd Qtr'!C31, '3rd Qtr'!C31, '4th Qtr'!C31)</f>
        <v>342248</v>
      </c>
      <c r="D31" s="18">
        <f>SUM('1st Qtr'!D31, '2nd Qtr'!D31, '3rd Qtr'!D31, '4th Qtr'!D31)</f>
        <v>339742</v>
      </c>
      <c r="E31" s="18">
        <f t="shared" si="10"/>
        <v>2506</v>
      </c>
      <c r="F31" s="19">
        <f t="shared" si="11"/>
        <v>7.3761854583772393E-3</v>
      </c>
      <c r="G31" s="20">
        <f>SUM('1st Qtr'!G31, '2nd Qtr'!G31, '3rd Qtr'!G31, '4th Qtr'!G31)</f>
        <v>408406.76</v>
      </c>
      <c r="H31" s="20">
        <f>SUM('1st Qtr'!H31, '2nd Qtr'!H31, '3rd Qtr'!H31, '4th Qtr'!H31)</f>
        <v>-66158.760000000009</v>
      </c>
      <c r="I31" s="19">
        <f t="shared" si="12"/>
        <v>-0.16199232353548704</v>
      </c>
      <c r="K31" s="100">
        <f t="shared" si="1"/>
        <v>-66158.760000000009</v>
      </c>
    </row>
    <row r="32" spans="1:11" ht="15.6">
      <c r="A32" s="52" t="str">
        <v>Greenfield USD - McKee MS</v>
      </c>
      <c r="B32" s="28" t="str">
        <v>CA</v>
      </c>
      <c r="C32" s="24">
        <f>SUM('1st Qtr'!C32, '2nd Qtr'!C32, '3rd Qtr'!C32, '4th Qtr'!C32)</f>
        <v>167893</v>
      </c>
      <c r="D32" s="13">
        <f>SUM('1st Qtr'!D32, '2nd Qtr'!D32, '3rd Qtr'!D32, '4th Qtr'!D32)</f>
        <v>166657</v>
      </c>
      <c r="E32" s="13">
        <f t="shared" si="10"/>
        <v>1236</v>
      </c>
      <c r="F32" s="14">
        <f t="shared" si="11"/>
        <v>7.4164301529488713E-3</v>
      </c>
      <c r="G32" s="15">
        <f>SUM('1st Qtr'!G32, '2nd Qtr'!G32, '3rd Qtr'!G32, '4th Qtr'!G32)</f>
        <v>244370.91</v>
      </c>
      <c r="H32" s="15">
        <f>SUM('1st Qtr'!H32, '2nd Qtr'!H32, '3rd Qtr'!H32, '4th Qtr'!H32)</f>
        <v>-81726.320000000007</v>
      </c>
      <c r="I32" s="16">
        <f t="shared" si="12"/>
        <v>-0.33443555126917524</v>
      </c>
      <c r="K32" s="100">
        <f t="shared" si="1"/>
        <v>-76477.91</v>
      </c>
    </row>
    <row r="33" spans="1:11" ht="15.6">
      <c r="A33" s="51" t="str">
        <v>Greenfield USD - Plantation ES</v>
      </c>
      <c r="B33" s="30" t="str">
        <v>CA</v>
      </c>
      <c r="C33" s="11">
        <f>SUM('1st Qtr'!C33, '2nd Qtr'!C33, '3rd Qtr'!C33, '4th Qtr'!C33)</f>
        <v>169537</v>
      </c>
      <c r="D33" s="18">
        <f>SUM('1st Qtr'!D33, '2nd Qtr'!D33, '3rd Qtr'!D33, '4th Qtr'!D33)</f>
        <v>168975</v>
      </c>
      <c r="E33" s="18">
        <f t="shared" si="10"/>
        <v>562</v>
      </c>
      <c r="F33" s="19">
        <f t="shared" si="11"/>
        <v>3.3259357893179464E-3</v>
      </c>
      <c r="G33" s="20">
        <f>SUM('1st Qtr'!G33, '2nd Qtr'!G33, '3rd Qtr'!G33, '4th Qtr'!G33)</f>
        <v>178362.66</v>
      </c>
      <c r="H33" s="20">
        <f>SUM('1st Qtr'!H33, '2nd Qtr'!H33, '3rd Qtr'!H33, '4th Qtr'!H33)</f>
        <v>-8825.6599999999962</v>
      </c>
      <c r="I33" s="19">
        <f t="shared" si="12"/>
        <v>-4.948154507227015E-2</v>
      </c>
      <c r="K33" s="100">
        <f t="shared" si="1"/>
        <v>-8825.6600000000035</v>
      </c>
    </row>
    <row r="34" spans="1:11" ht="15.6">
      <c r="A34" s="52" t="str">
        <v>Greenfield USD - Planz ES</v>
      </c>
      <c r="B34" s="28" t="str">
        <v>CA</v>
      </c>
      <c r="C34" s="24">
        <f>SUM('1st Qtr'!C34, '2nd Qtr'!C34, '3rd Qtr'!C34, '4th Qtr'!C34)</f>
        <v>94823</v>
      </c>
      <c r="D34" s="13">
        <f>SUM('1st Qtr'!D34, '2nd Qtr'!D34, '3rd Qtr'!D34, '4th Qtr'!D34)</f>
        <v>92203</v>
      </c>
      <c r="E34" s="13">
        <f t="shared" si="10"/>
        <v>2620</v>
      </c>
      <c r="F34" s="14">
        <f t="shared" si="11"/>
        <v>2.8415561315792329E-2</v>
      </c>
      <c r="G34" s="15">
        <f>SUM('1st Qtr'!G34, '2nd Qtr'!G34, '3rd Qtr'!G34, '4th Qtr'!G34)</f>
        <v>220383.43999999997</v>
      </c>
      <c r="H34" s="15">
        <f>SUM('1st Qtr'!H34, '2nd Qtr'!H34, '3rd Qtr'!H34, '4th Qtr'!H34)</f>
        <v>-107443.79999999999</v>
      </c>
      <c r="I34" s="16">
        <f t="shared" si="12"/>
        <v>-0.48753118655376287</v>
      </c>
      <c r="K34" s="100">
        <f t="shared" si="1"/>
        <v>-125560.43999999997</v>
      </c>
    </row>
    <row r="35" spans="1:11" ht="15.6">
      <c r="A35" s="51" t="str">
        <v>Greenfield USD - Raffaello Palla ES</v>
      </c>
      <c r="B35" s="30" t="str">
        <v>CA</v>
      </c>
      <c r="C35" s="11">
        <f>SUM('1st Qtr'!C35, '2nd Qtr'!C35, '3rd Qtr'!C35, '4th Qtr'!C35)</f>
        <v>305255</v>
      </c>
      <c r="D35" s="18">
        <f>SUM('1st Qtr'!D35, '2nd Qtr'!D35, '3rd Qtr'!D35, '4th Qtr'!D35)</f>
        <v>300557</v>
      </c>
      <c r="E35" s="18">
        <f t="shared" si="10"/>
        <v>4698</v>
      </c>
      <c r="F35" s="19">
        <f t="shared" si="11"/>
        <v>1.5630978483282706E-2</v>
      </c>
      <c r="G35" s="20">
        <f>SUM('1st Qtr'!G35, '2nd Qtr'!G35, '3rd Qtr'!G35, '4th Qtr'!G35)</f>
        <v>444166.19999999995</v>
      </c>
      <c r="H35" s="20">
        <f>SUM('1st Qtr'!H35, '2nd Qtr'!H35, '3rd Qtr'!H35, '4th Qtr'!H35)</f>
        <v>-138911.20000000001</v>
      </c>
      <c r="I35" s="19">
        <f t="shared" si="12"/>
        <v>-0.31274599462993813</v>
      </c>
      <c r="K35" s="100">
        <f t="shared" si="1"/>
        <v>-138911.19999999995</v>
      </c>
    </row>
    <row r="36" spans="1:11" ht="15.6">
      <c r="A36" s="52" t="str">
        <v>Greenfield USD - Valle Verde ES</v>
      </c>
      <c r="B36" s="28" t="str">
        <v>CA</v>
      </c>
      <c r="C36" s="24">
        <f>SUM('1st Qtr'!C36, '2nd Qtr'!C36, '3rd Qtr'!C36, '4th Qtr'!C36)</f>
        <v>399802</v>
      </c>
      <c r="D36" s="13">
        <f>SUM('1st Qtr'!D36, '2nd Qtr'!D36, '3rd Qtr'!D36, '4th Qtr'!D36)</f>
        <v>397605</v>
      </c>
      <c r="E36" s="13">
        <f t="shared" si="10"/>
        <v>2197</v>
      </c>
      <c r="F36" s="14">
        <f t="shared" si="11"/>
        <v>5.5255844368154328E-3</v>
      </c>
      <c r="G36" s="15">
        <f>SUM('1st Qtr'!G36, '2nd Qtr'!G36, '3rd Qtr'!G36, '4th Qtr'!G36)</f>
        <v>396095.47</v>
      </c>
      <c r="H36" s="15">
        <f>SUM('1st Qtr'!H36, '2nd Qtr'!H36, '3rd Qtr'!H36, '4th Qtr'!H36)</f>
        <v>-15209.779999999995</v>
      </c>
      <c r="I36" s="16">
        <f t="shared" si="12"/>
        <v>-3.8399277830670459E-2</v>
      </c>
      <c r="K36" s="100">
        <f t="shared" si="1"/>
        <v>3706.5300000000279</v>
      </c>
    </row>
    <row r="37" spans="1:11" ht="15.6">
      <c r="A37" s="51" t="str">
        <v>Greenfield USD - W.A. Kendrick ES</v>
      </c>
      <c r="B37" s="30" t="str">
        <v>CA</v>
      </c>
      <c r="C37" s="11">
        <f>SUM('1st Qtr'!C37, '2nd Qtr'!C37, '3rd Qtr'!C37, '4th Qtr'!C37)</f>
        <v>31823</v>
      </c>
      <c r="D37" s="18">
        <f>SUM('1st Qtr'!D37, '2nd Qtr'!D37, '3rd Qtr'!D37, '4th Qtr'!D37)</f>
        <v>0</v>
      </c>
      <c r="E37" s="18">
        <f t="shared" si="10"/>
        <v>31823</v>
      </c>
      <c r="F37" s="19" t="str">
        <f t="shared" si="11"/>
        <v/>
      </c>
      <c r="G37" s="20">
        <f>SUM('1st Qtr'!G37, '2nd Qtr'!G37, '3rd Qtr'!G37, '4th Qtr'!G37)</f>
        <v>159947.43</v>
      </c>
      <c r="H37" s="20">
        <f>SUM('1st Qtr'!H37, '2nd Qtr'!H37, '3rd Qtr'!H37, '4th Qtr'!H37)</f>
        <v>-128124.43</v>
      </c>
      <c r="I37" s="19">
        <f t="shared" si="12"/>
        <v>-0.80104087949396874</v>
      </c>
      <c r="K37" s="100">
        <f t="shared" si="1"/>
        <v>-128124.43</v>
      </c>
    </row>
    <row r="38" spans="1:11" ht="15.6">
      <c r="A38" s="52" t="str">
        <v>Muroc Joint USD - Boron HS</v>
      </c>
      <c r="B38" s="28" t="str">
        <v>CA</v>
      </c>
      <c r="C38" s="24">
        <f>SUM('1st Qtr'!C38, '2nd Qtr'!C38, '3rd Qtr'!C38, '4th Qtr'!C38)</f>
        <v>0</v>
      </c>
      <c r="D38" s="13">
        <f>SUM('1st Qtr'!D38, '2nd Qtr'!D38, '3rd Qtr'!D38, '4th Qtr'!D38)</f>
        <v>0</v>
      </c>
      <c r="E38" s="13">
        <f t="shared" si="10"/>
        <v>0</v>
      </c>
      <c r="F38" s="14" t="str">
        <f t="shared" si="11"/>
        <v/>
      </c>
      <c r="G38" s="15">
        <f>SUM('1st Qtr'!G38, '2nd Qtr'!G38, '3rd Qtr'!G38, '4th Qtr'!G38)</f>
        <v>370856.01</v>
      </c>
      <c r="H38" s="15">
        <f>SUM('1st Qtr'!H38, '2nd Qtr'!H38, '3rd Qtr'!H38, '4th Qtr'!H38)</f>
        <v>-393093.88</v>
      </c>
      <c r="I38" s="16">
        <f t="shared" si="12"/>
        <v>-1.0599636230784018</v>
      </c>
      <c r="K38" s="100">
        <f t="shared" si="1"/>
        <v>-370856.01</v>
      </c>
    </row>
    <row r="39" spans="1:11" ht="15.6">
      <c r="A39" s="51" t="str">
        <v>Muroc Joint USD - W. Boron ES</v>
      </c>
      <c r="B39" s="30" t="str">
        <v>CA</v>
      </c>
      <c r="C39" s="11">
        <f>SUM('1st Qtr'!C39, '2nd Qtr'!C39, '3rd Qtr'!C39, '4th Qtr'!C39)</f>
        <v>133263</v>
      </c>
      <c r="D39" s="18">
        <f>SUM('1st Qtr'!D39, '2nd Qtr'!D39, '3rd Qtr'!D39, '4th Qtr'!D39)</f>
        <v>132953</v>
      </c>
      <c r="E39" s="18">
        <f t="shared" si="10"/>
        <v>310</v>
      </c>
      <c r="F39" s="19">
        <f t="shared" si="11"/>
        <v>2.3316510345761285E-3</v>
      </c>
      <c r="G39" s="20">
        <f>SUM('1st Qtr'!G39, '2nd Qtr'!G39, '3rd Qtr'!G39, '4th Qtr'!G39)</f>
        <v>144861.26</v>
      </c>
      <c r="H39" s="20">
        <f>SUM('1st Qtr'!H39, '2nd Qtr'!H39, '3rd Qtr'!H39, '4th Qtr'!H39)</f>
        <v>-11598.260000000002</v>
      </c>
      <c r="I39" s="19">
        <f t="shared" si="12"/>
        <v>-8.0064608025637779E-2</v>
      </c>
      <c r="K39" s="100">
        <f t="shared" si="1"/>
        <v>-11598.260000000009</v>
      </c>
    </row>
    <row r="40" spans="1:11" ht="15.6">
      <c r="A40" s="52" t="str">
        <v>Colusa - WTP</v>
      </c>
      <c r="B40" s="28" t="str">
        <v>CA</v>
      </c>
      <c r="C40" s="24">
        <f>SUM('1st Qtr'!C40, '2nd Qtr'!C40, '3rd Qtr'!C40, '4th Qtr'!C40)</f>
        <v>4303</v>
      </c>
      <c r="D40" s="13">
        <f>SUM('1st Qtr'!D40, '2nd Qtr'!D40, '3rd Qtr'!D40, '4th Qtr'!D40)</f>
        <v>0</v>
      </c>
      <c r="E40" s="13">
        <f t="shared" si="10"/>
        <v>4303</v>
      </c>
      <c r="F40" s="14" t="str">
        <f t="shared" si="11"/>
        <v/>
      </c>
      <c r="G40" s="15">
        <f>SUM('1st Qtr'!G40, '2nd Qtr'!G40, '3rd Qtr'!G40, '4th Qtr'!G40)</f>
        <v>619866.78</v>
      </c>
      <c r="H40" s="15">
        <f>SUM('1st Qtr'!H40, '2nd Qtr'!H40, '3rd Qtr'!H40, '4th Qtr'!H40)</f>
        <v>-508592.33999999997</v>
      </c>
      <c r="I40" s="16">
        <f t="shared" si="12"/>
        <v>-0.8204865245399986</v>
      </c>
      <c r="K40" s="100">
        <f t="shared" si="1"/>
        <v>-615563.78</v>
      </c>
    </row>
    <row r="41" spans="1:11" ht="15.6">
      <c r="A41" s="51" t="str">
        <v>CDCR-North Kern State Prision</v>
      </c>
      <c r="B41" s="30" t="str">
        <v>CA</v>
      </c>
      <c r="C41" s="11">
        <f>SUM('1st Qtr'!C41, '2nd Qtr'!C41, '3rd Qtr'!C41, '4th Qtr'!C41)</f>
        <v>1185796</v>
      </c>
      <c r="D41" s="18">
        <f>SUM('1st Qtr'!D41, '2nd Qtr'!D41, '3rd Qtr'!D41, '4th Qtr'!D41)</f>
        <v>1178440</v>
      </c>
      <c r="E41" s="18">
        <f t="shared" si="10"/>
        <v>7356</v>
      </c>
      <c r="F41" s="19">
        <f t="shared" si="11"/>
        <v>6.2421506398289261E-3</v>
      </c>
      <c r="G41" s="20">
        <f>SUM('1st Qtr'!G41, '2nd Qtr'!G41, '3rd Qtr'!G41, '4th Qtr'!G41)</f>
        <v>2118811.21</v>
      </c>
      <c r="H41" s="20">
        <f>SUM('1st Qtr'!H41, '2nd Qtr'!H41, '3rd Qtr'!H41, '4th Qtr'!H41)</f>
        <v>-933015.21000000008</v>
      </c>
      <c r="I41" s="19">
        <f t="shared" si="12"/>
        <v>-0.44034843953841463</v>
      </c>
      <c r="K41" s="100">
        <f t="shared" si="1"/>
        <v>-933015.21</v>
      </c>
    </row>
    <row r="42" spans="1:11" ht="15.6">
      <c r="A42" s="52" t="str">
        <v>Muroc Joint USD - District Office</v>
      </c>
      <c r="B42" s="28" t="str">
        <v>CA</v>
      </c>
      <c r="C42" s="24">
        <f>SUM('1st Qtr'!C42, '2nd Qtr'!C42, '3rd Qtr'!C42, '4th Qtr'!C42)</f>
        <v>76822</v>
      </c>
      <c r="D42" s="13">
        <f>SUM('1st Qtr'!D42, '2nd Qtr'!D42, '3rd Qtr'!D42, '4th Qtr'!D42)</f>
        <v>88031</v>
      </c>
      <c r="E42" s="13">
        <f t="shared" si="10"/>
        <v>-11209</v>
      </c>
      <c r="F42" s="14">
        <f t="shared" si="11"/>
        <v>-0.12733014506253479</v>
      </c>
      <c r="G42" s="15">
        <f>SUM('1st Qtr'!G42, '2nd Qtr'!G42, '3rd Qtr'!G42, '4th Qtr'!G42)</f>
        <v>112159.53</v>
      </c>
      <c r="H42" s="15">
        <f>SUM('1st Qtr'!H42, '2nd Qtr'!H42, '3rd Qtr'!H42, '4th Qtr'!H42)</f>
        <v>-25304.649999999998</v>
      </c>
      <c r="I42" s="16">
        <f t="shared" si="12"/>
        <v>-0.22561301745825788</v>
      </c>
      <c r="K42" s="100">
        <f t="shared" si="1"/>
        <v>-35337.53</v>
      </c>
    </row>
    <row r="43" spans="1:11" ht="15.6">
      <c r="A43" s="51" t="str">
        <v>Whole Foods - Manhattan Beach</v>
      </c>
      <c r="B43" s="30" t="str">
        <v>CA</v>
      </c>
      <c r="C43" s="11">
        <f>SUM('1st Qtr'!C43, '2nd Qtr'!C43, '3rd Qtr'!C43, '4th Qtr'!C43)</f>
        <v>176034</v>
      </c>
      <c r="D43" s="18">
        <f>SUM('1st Qtr'!D43, '2nd Qtr'!D43, '3rd Qtr'!D43, '4th Qtr'!D43)</f>
        <v>176133</v>
      </c>
      <c r="E43" s="18">
        <f t="shared" si="10"/>
        <v>-99</v>
      </c>
      <c r="F43" s="19">
        <f t="shared" si="11"/>
        <v>-5.6207524995316037E-4</v>
      </c>
      <c r="G43" s="20">
        <f>SUM('1st Qtr'!G43, '2nd Qtr'!G43, '3rd Qtr'!G43, '4th Qtr'!G43)</f>
        <v>221896.47999999998</v>
      </c>
      <c r="H43" s="20">
        <f>SUM('1st Qtr'!H43, '2nd Qtr'!H43, '3rd Qtr'!H43, '4th Qtr'!H43)</f>
        <v>-45862.48</v>
      </c>
      <c r="I43" s="19">
        <f t="shared" si="12"/>
        <v>-0.20668412585904927</v>
      </c>
      <c r="K43" s="100">
        <f t="shared" si="1"/>
        <v>-45862.479999999981</v>
      </c>
    </row>
    <row r="44" spans="1:11" ht="15.6">
      <c r="A44" s="52" t="str">
        <v>Pioneer USD - Frontier ES</v>
      </c>
      <c r="B44" s="28" t="str">
        <v>CA</v>
      </c>
      <c r="C44" s="24">
        <f>SUM('1st Qtr'!C44, '2nd Qtr'!C44, '3rd Qtr'!C44, '4th Qtr'!C44)</f>
        <v>231059</v>
      </c>
      <c r="D44" s="13">
        <f>SUM('1st Qtr'!D44, '2nd Qtr'!D44, '3rd Qtr'!D44, '4th Qtr'!D44)</f>
        <v>0</v>
      </c>
      <c r="E44" s="13">
        <f t="shared" si="10"/>
        <v>231059</v>
      </c>
      <c r="F44" s="14" t="str">
        <f t="shared" si="11"/>
        <v/>
      </c>
      <c r="G44" s="15">
        <f>SUM('1st Qtr'!G44, '2nd Qtr'!G44, '3rd Qtr'!G44, '4th Qtr'!G44)</f>
        <v>351020.36000000004</v>
      </c>
      <c r="H44" s="15">
        <f>SUM('1st Qtr'!H44, '2nd Qtr'!H44, '3rd Qtr'!H44, '4th Qtr'!H44)</f>
        <v>-119171.16</v>
      </c>
      <c r="I44" s="16">
        <f t="shared" si="12"/>
        <v>-0.33949928146618047</v>
      </c>
      <c r="K44" s="100">
        <f t="shared" si="1"/>
        <v>-119961.36000000004</v>
      </c>
    </row>
    <row r="45" spans="1:11" ht="15.6">
      <c r="A45" s="51" t="str">
        <v>Pioneer USD - Pioneer ES</v>
      </c>
      <c r="B45" s="30" t="str">
        <v>CA</v>
      </c>
      <c r="C45" s="11">
        <f>SUM('1st Qtr'!C45, '2nd Qtr'!C45, '3rd Qtr'!C45, '4th Qtr'!C45)</f>
        <v>123186</v>
      </c>
      <c r="D45" s="18">
        <f>SUM('1st Qtr'!D45, '2nd Qtr'!D45, '3rd Qtr'!D45, '4th Qtr'!D45)</f>
        <v>0</v>
      </c>
      <c r="E45" s="18">
        <f t="shared" si="10"/>
        <v>123186</v>
      </c>
      <c r="F45" s="19" t="str">
        <f t="shared" si="11"/>
        <v/>
      </c>
      <c r="G45" s="20">
        <f>SUM('1st Qtr'!G45, '2nd Qtr'!G45, '3rd Qtr'!G45, '4th Qtr'!G45)</f>
        <v>356721.8</v>
      </c>
      <c r="H45" s="20">
        <f>SUM('1st Qtr'!H45, '2nd Qtr'!H45, '3rd Qtr'!H45, '4th Qtr'!H45)</f>
        <v>-233535.8</v>
      </c>
      <c r="I45" s="19">
        <f t="shared" si="12"/>
        <v>-0.6546720721862247</v>
      </c>
      <c r="K45" s="100">
        <f t="shared" si="1"/>
        <v>-233535.8</v>
      </c>
    </row>
    <row r="46" spans="1:11" ht="15.6">
      <c r="A46" s="52" t="str">
        <v>Pioneer USD - Pioneer MS</v>
      </c>
      <c r="B46" s="28" t="str">
        <v>CA</v>
      </c>
      <c r="C46" s="24">
        <f>SUM('1st Qtr'!C46, '2nd Qtr'!C46, '3rd Qtr'!C46, '4th Qtr'!C46)</f>
        <v>440311</v>
      </c>
      <c r="D46" s="13">
        <f>SUM('1st Qtr'!D46, '2nd Qtr'!D46, '3rd Qtr'!D46, '4th Qtr'!D46)</f>
        <v>0</v>
      </c>
      <c r="E46" s="13">
        <f t="shared" si="10"/>
        <v>440311</v>
      </c>
      <c r="F46" s="14" t="str">
        <f t="shared" si="11"/>
        <v/>
      </c>
      <c r="G46" s="15">
        <f>SUM('1st Qtr'!G46, '2nd Qtr'!G46, '3rd Qtr'!G46, '4th Qtr'!G46)</f>
        <v>496958.16000000003</v>
      </c>
      <c r="H46" s="15">
        <f>SUM('1st Qtr'!H46, '2nd Qtr'!H46, '3rd Qtr'!H46, '4th Qtr'!H46)</f>
        <v>-38954.649999999994</v>
      </c>
      <c r="I46" s="16">
        <f t="shared" si="12"/>
        <v>-7.8386176413724626E-2</v>
      </c>
      <c r="K46" s="100">
        <f t="shared" si="1"/>
        <v>-56647.160000000033</v>
      </c>
    </row>
    <row r="47" spans="1:11" ht="15.6">
      <c r="A47" s="51" t="str">
        <v>Kingsburg Joint UHSD - Kingsburg HS</v>
      </c>
      <c r="B47" s="30" t="str">
        <v>CA</v>
      </c>
      <c r="C47" s="11">
        <f>SUM('1st Qtr'!C47, '2nd Qtr'!C47, '3rd Qtr'!C47, '4th Qtr'!C47)</f>
        <v>533693</v>
      </c>
      <c r="D47" s="18">
        <f>SUM('1st Qtr'!D47, '2nd Qtr'!D47, '3rd Qtr'!D47, '4th Qtr'!D47)</f>
        <v>273862</v>
      </c>
      <c r="E47" s="18">
        <f t="shared" si="10"/>
        <v>259831</v>
      </c>
      <c r="F47" s="19">
        <f t="shared" si="11"/>
        <v>0.94876616690157811</v>
      </c>
      <c r="G47" s="20">
        <f>SUM('1st Qtr'!G47, '2nd Qtr'!G47, '3rd Qtr'!G47, '4th Qtr'!G47)</f>
        <v>831906.65000000014</v>
      </c>
      <c r="H47" s="20">
        <f>SUM('1st Qtr'!H47, '2nd Qtr'!H47, '3rd Qtr'!H47, '4th Qtr'!H47)</f>
        <v>-298213.65000000002</v>
      </c>
      <c r="I47" s="19">
        <f t="shared" si="12"/>
        <v>-0.35847008795998925</v>
      </c>
      <c r="K47" s="100">
        <f t="shared" si="1"/>
        <v>-298213.65000000014</v>
      </c>
    </row>
    <row r="48" spans="1:11" ht="15.6">
      <c r="A48" s="52" t="str">
        <v>CADRB</v>
      </c>
      <c r="B48" s="28" t="str">
        <v>CA</v>
      </c>
      <c r="C48" s="24">
        <f>SUM('1st Qtr'!C48, '2nd Qtr'!C48, '3rd Qtr'!C48, '4th Qtr'!C48)</f>
        <v>4132.7</v>
      </c>
      <c r="D48" s="13">
        <f>SUM('1st Qtr'!D48, '2nd Qtr'!D48, '3rd Qtr'!D48, '4th Qtr'!D48)</f>
        <v>1122</v>
      </c>
      <c r="E48" s="13">
        <f t="shared" si="10"/>
        <v>3010.7</v>
      </c>
      <c r="F48" s="14">
        <f t="shared" si="11"/>
        <v>2.6833333333333331</v>
      </c>
      <c r="G48" s="15">
        <f>SUM('1st Qtr'!G48, '2nd Qtr'!G48, '3rd Qtr'!G48, '4th Qtr'!G48)</f>
        <v>6571938.7800000003</v>
      </c>
      <c r="H48" s="15">
        <f>SUM('1st Qtr'!H48, '2nd Qtr'!H48, '3rd Qtr'!H48, '4th Qtr'!H48)</f>
        <v>-6856301</v>
      </c>
      <c r="I48" s="16">
        <f t="shared" si="12"/>
        <v>-1.0432691523033328</v>
      </c>
      <c r="K48" s="100">
        <f t="shared" si="1"/>
        <v>-6567806.0800000001</v>
      </c>
    </row>
    <row r="49" spans="1:11" ht="15.6">
      <c r="A49" s="51" t="str">
        <v>CDCR-CA State Prison LA County</v>
      </c>
      <c r="B49" s="30" t="str">
        <v>CA</v>
      </c>
      <c r="C49" s="11">
        <f>SUM('1st Qtr'!C49, '2nd Qtr'!C49, '3rd Qtr'!C49, '4th Qtr'!C49)</f>
        <v>2619582</v>
      </c>
      <c r="D49" s="18">
        <f>SUM('1st Qtr'!D49, '2nd Qtr'!D49, '3rd Qtr'!D49, '4th Qtr'!D49)</f>
        <v>2703101</v>
      </c>
      <c r="E49" s="18">
        <f t="shared" si="10"/>
        <v>-83519</v>
      </c>
      <c r="F49" s="19">
        <f t="shared" si="11"/>
        <v>-3.089747663886773E-2</v>
      </c>
      <c r="G49" s="20">
        <f>SUM('1st Qtr'!G49, '2nd Qtr'!G49, '3rd Qtr'!G49, '4th Qtr'!G49)</f>
        <v>4989155.6900000004</v>
      </c>
      <c r="H49" s="20">
        <f>SUM('1st Qtr'!H49, '2nd Qtr'!H49, '3rd Qtr'!H49, '4th Qtr'!H49)</f>
        <v>-2369573.6900000004</v>
      </c>
      <c r="I49" s="19">
        <f t="shared" si="12"/>
        <v>-0.47494482778908836</v>
      </c>
      <c r="K49" s="100">
        <f t="shared" si="1"/>
        <v>-2369573.6900000004</v>
      </c>
    </row>
    <row r="50" spans="1:11" ht="15.6">
      <c r="A50" s="52" t="str">
        <v>Central USD Akers ES</v>
      </c>
      <c r="B50" s="28" t="str">
        <v>CA</v>
      </c>
      <c r="C50" s="24">
        <f>SUM('1st Qtr'!C50, '2nd Qtr'!C50, '3rd Qtr'!C50, '4th Qtr'!C50)</f>
        <v>256492</v>
      </c>
      <c r="D50" s="13">
        <f>SUM('1st Qtr'!D50, '2nd Qtr'!D50, '3rd Qtr'!D50, '4th Qtr'!D50)</f>
        <v>38998</v>
      </c>
      <c r="E50" s="13">
        <f t="shared" si="10"/>
        <v>217494</v>
      </c>
      <c r="F50" s="14">
        <f t="shared" si="11"/>
        <v>5.5770552336017234</v>
      </c>
      <c r="G50" s="15">
        <f>SUM('1st Qtr'!G50, '2nd Qtr'!G50, '3rd Qtr'!G50, '4th Qtr'!G50)</f>
        <v>329632.20999999996</v>
      </c>
      <c r="H50" s="15">
        <f>SUM('1st Qtr'!H50, '2nd Qtr'!H50, '3rd Qtr'!H50, '4th Qtr'!H50)</f>
        <v>-80201.97000000003</v>
      </c>
      <c r="I50" s="16">
        <f t="shared" si="12"/>
        <v>-0.24330744255848066</v>
      </c>
      <c r="K50" s="100">
        <f t="shared" si="1"/>
        <v>-73140.209999999963</v>
      </c>
    </row>
    <row r="51" spans="1:11" ht="15.6">
      <c r="A51" s="51" t="str">
        <v>CUSD - District Office</v>
      </c>
      <c r="B51" s="30" t="str">
        <v>CA</v>
      </c>
      <c r="C51" s="11">
        <f>SUM('1st Qtr'!C51, '2nd Qtr'!C51, '3rd Qtr'!C51, '4th Qtr'!C51)</f>
        <v>189842</v>
      </c>
      <c r="D51" s="18">
        <f>SUM('1st Qtr'!D51, '2nd Qtr'!D51, '3rd Qtr'!D51, '4th Qtr'!D51)</f>
        <v>188627</v>
      </c>
      <c r="E51" s="18">
        <f t="shared" si="10"/>
        <v>1215</v>
      </c>
      <c r="F51" s="19">
        <f t="shared" si="11"/>
        <v>6.4412835914264659E-3</v>
      </c>
      <c r="G51" s="20">
        <f>SUM('1st Qtr'!G51, '2nd Qtr'!G51, '3rd Qtr'!G51, '4th Qtr'!G51)</f>
        <v>300401.95</v>
      </c>
      <c r="H51" s="20">
        <f>SUM('1st Qtr'!H51, '2nd Qtr'!H51, '3rd Qtr'!H51, '4th Qtr'!H51)</f>
        <v>-110559.94999999998</v>
      </c>
      <c r="I51" s="19">
        <f t="shared" si="12"/>
        <v>-0.36804005433386827</v>
      </c>
      <c r="K51" s="100">
        <f t="shared" si="1"/>
        <v>-110559.95000000001</v>
      </c>
    </row>
    <row r="52" spans="1:11" ht="15.6">
      <c r="A52" s="52" t="str">
        <v>Parlier - WTP</v>
      </c>
      <c r="B52" s="28" t="str">
        <v>CA</v>
      </c>
      <c r="C52" s="24">
        <f>SUM('1st Qtr'!C52, '2nd Qtr'!C52, '3rd Qtr'!C52, '4th Qtr'!C52)</f>
        <v>363652</v>
      </c>
      <c r="D52" s="13">
        <f>SUM('1st Qtr'!D52, '2nd Qtr'!D52, '3rd Qtr'!D52, '4th Qtr'!D52)</f>
        <v>407422</v>
      </c>
      <c r="E52" s="13">
        <f t="shared" si="10"/>
        <v>-43770</v>
      </c>
      <c r="F52" s="14">
        <f t="shared" si="11"/>
        <v>-0.10743160654063845</v>
      </c>
      <c r="G52" s="15">
        <f>SUM('1st Qtr'!G52, '2nd Qtr'!G52, '3rd Qtr'!G52, '4th Qtr'!G52)</f>
        <v>722724.05999999994</v>
      </c>
      <c r="H52" s="15">
        <f>SUM('1st Qtr'!H52, '2nd Qtr'!H52, '3rd Qtr'!H52, '4th Qtr'!H52)</f>
        <v>-388329.48000000004</v>
      </c>
      <c r="I52" s="16">
        <f t="shared" si="12"/>
        <v>-0.53731361869978433</v>
      </c>
      <c r="K52" s="100">
        <f t="shared" si="1"/>
        <v>-359072.05999999994</v>
      </c>
    </row>
    <row r="53" spans="1:11" ht="15.6">
      <c r="A53" s="51" t="str">
        <v>Snowline SD - Quail Valley MS</v>
      </c>
      <c r="B53" s="30" t="str">
        <v>CA</v>
      </c>
      <c r="C53" s="11">
        <f>SUM('1st Qtr'!C53, '2nd Qtr'!C53, '3rd Qtr'!C53, '4th Qtr'!C53)</f>
        <v>283351</v>
      </c>
      <c r="D53" s="18">
        <f>SUM('1st Qtr'!D53, '2nd Qtr'!D53, '3rd Qtr'!D53, '4th Qtr'!D53)</f>
        <v>256473</v>
      </c>
      <c r="E53" s="18">
        <f t="shared" si="10"/>
        <v>26878</v>
      </c>
      <c r="F53" s="19">
        <f t="shared" si="11"/>
        <v>0.10479855579339735</v>
      </c>
      <c r="G53" s="20">
        <f>SUM('1st Qtr'!G53, '2nd Qtr'!G53, '3rd Qtr'!G53, '4th Qtr'!G53)</f>
        <v>441339.59000000008</v>
      </c>
      <c r="H53" s="20">
        <f>SUM('1st Qtr'!H53, '2nd Qtr'!H53, '3rd Qtr'!H53, '4th Qtr'!H53)</f>
        <v>-157988.59000000003</v>
      </c>
      <c r="I53" s="19">
        <f t="shared" si="12"/>
        <v>-0.35797511390265258</v>
      </c>
      <c r="K53" s="100">
        <f t="shared" si="1"/>
        <v>-157988.59000000008</v>
      </c>
    </row>
    <row r="54" spans="1:11" ht="15.6">
      <c r="A54" s="52" t="str">
        <v>Snowline SD - Serrano HS - Middle Lot</v>
      </c>
      <c r="B54" s="28" t="str">
        <v>CA</v>
      </c>
      <c r="C54" s="24">
        <f>SUM('1st Qtr'!C54, '2nd Qtr'!C54, '3rd Qtr'!C54, '4th Qtr'!C54)</f>
        <v>364343</v>
      </c>
      <c r="D54" s="13">
        <f>SUM('1st Qtr'!D54, '2nd Qtr'!D54, '3rd Qtr'!D54, '4th Qtr'!D54)</f>
        <v>405905</v>
      </c>
      <c r="E54" s="13">
        <f t="shared" si="10"/>
        <v>-41562</v>
      </c>
      <c r="F54" s="14">
        <f t="shared" si="11"/>
        <v>-0.10239341717889654</v>
      </c>
      <c r="G54" s="15">
        <f>SUM('1st Qtr'!G54, '2nd Qtr'!G54, '3rd Qtr'!G54, '4th Qtr'!G54)</f>
        <v>446945.05000000005</v>
      </c>
      <c r="H54" s="15">
        <f>SUM('1st Qtr'!H54, '2nd Qtr'!H54, '3rd Qtr'!H54, '4th Qtr'!H54)</f>
        <v>-105465.82</v>
      </c>
      <c r="I54" s="16">
        <f t="shared" si="12"/>
        <v>-0.23597043976658874</v>
      </c>
      <c r="K54" s="100">
        <f t="shared" si="1"/>
        <v>-82602.050000000047</v>
      </c>
    </row>
    <row r="55" spans="1:11" ht="15.6">
      <c r="A55" s="51" t="str">
        <v>Snowline SD - Pinon Hills ES</v>
      </c>
      <c r="B55" s="30" t="str">
        <v>CA</v>
      </c>
      <c r="C55" s="11">
        <f>SUM('1st Qtr'!C55, '2nd Qtr'!C55, '3rd Qtr'!C55, '4th Qtr'!C55)</f>
        <v>164891</v>
      </c>
      <c r="D55" s="18">
        <f>SUM('1st Qtr'!D55, '2nd Qtr'!D55, '3rd Qtr'!D55, '4th Qtr'!D55)</f>
        <v>165428</v>
      </c>
      <c r="E55" s="18">
        <f t="shared" si="10"/>
        <v>-537</v>
      </c>
      <c r="F55" s="19">
        <f t="shared" si="11"/>
        <v>-3.2461252025050174E-3</v>
      </c>
      <c r="G55" s="20">
        <f>SUM('1st Qtr'!G55, '2nd Qtr'!G55, '3rd Qtr'!G55, '4th Qtr'!G55)</f>
        <v>255595.47</v>
      </c>
      <c r="H55" s="20">
        <f>SUM('1st Qtr'!H55, '2nd Qtr'!H55, '3rd Qtr'!H55, '4th Qtr'!H55)</f>
        <v>-90704.47</v>
      </c>
      <c r="I55" s="19">
        <f t="shared" si="12"/>
        <v>-0.3548751079195574</v>
      </c>
      <c r="K55" s="100">
        <f t="shared" si="1"/>
        <v>-90704.47</v>
      </c>
    </row>
    <row r="56" spans="1:11" ht="15.6">
      <c r="A56" s="52" t="str">
        <v>Ramona - Santa Maria WTP</v>
      </c>
      <c r="B56" s="28" t="str">
        <v>CA</v>
      </c>
      <c r="C56" s="24">
        <f>SUM('1st Qtr'!C56, '2nd Qtr'!C56, '3rd Qtr'!C56, '4th Qtr'!C56)</f>
        <v>754039</v>
      </c>
      <c r="D56" s="13">
        <f>SUM('1st Qtr'!D56, '2nd Qtr'!D56, '3rd Qtr'!D56, '4th Qtr'!D56)</f>
        <v>725321</v>
      </c>
      <c r="E56" s="13">
        <f t="shared" si="10"/>
        <v>28718</v>
      </c>
      <c r="F56" s="14">
        <f t="shared" si="11"/>
        <v>3.9593504117487292E-2</v>
      </c>
      <c r="G56" s="15">
        <f>SUM('1st Qtr'!G56, '2nd Qtr'!G56, '3rd Qtr'!G56, '4th Qtr'!G56)</f>
        <v>797260.21000000008</v>
      </c>
      <c r="H56" s="15">
        <f>SUM('1st Qtr'!H56, '2nd Qtr'!H56, '3rd Qtr'!H56, '4th Qtr'!H56)</f>
        <v>-89471.93</v>
      </c>
      <c r="I56" s="16">
        <f t="shared" si="12"/>
        <v>-0.11222425110115553</v>
      </c>
      <c r="K56" s="100">
        <f t="shared" si="1"/>
        <v>-43221.210000000079</v>
      </c>
    </row>
    <row r="57" spans="1:11" ht="15.6">
      <c r="A57" s="51" t="str">
        <v>Kohls - Redding</v>
      </c>
      <c r="B57" s="30" t="str">
        <v>CA</v>
      </c>
      <c r="C57" s="11">
        <f>SUM('1st Qtr'!C57, '2nd Qtr'!C57, '3rd Qtr'!C57, '4th Qtr'!C57)</f>
        <v>291100</v>
      </c>
      <c r="D57" s="18">
        <f>SUM('1st Qtr'!D57, '2nd Qtr'!D57, '3rd Qtr'!D57, '4th Qtr'!D57)</f>
        <v>222</v>
      </c>
      <c r="E57" s="18">
        <f t="shared" si="10"/>
        <v>290878</v>
      </c>
      <c r="F57" s="19">
        <f t="shared" si="11"/>
        <v>1310.2612612612613</v>
      </c>
      <c r="G57" s="20">
        <f>SUM('1st Qtr'!G57, '2nd Qtr'!G57, '3rd Qtr'!G57, '4th Qtr'!G57)</f>
        <v>320859.16000000003</v>
      </c>
      <c r="H57" s="20">
        <f>SUM('1st Qtr'!H57, '2nd Qtr'!H57, '3rd Qtr'!H57, '4th Qtr'!H57)</f>
        <v>-29759.159999999996</v>
      </c>
      <c r="I57" s="19">
        <f t="shared" si="12"/>
        <v>-9.2748357254316793E-2</v>
      </c>
      <c r="K57" s="100">
        <f t="shared" si="1"/>
        <v>-29759.160000000033</v>
      </c>
    </row>
    <row r="58" spans="1:11" ht="15.6">
      <c r="A58" s="52" t="str">
        <v>Kohls - Salinas</v>
      </c>
      <c r="B58" s="28" t="str">
        <v>CA</v>
      </c>
      <c r="C58" s="24">
        <f>SUM('1st Qtr'!C58, '2nd Qtr'!C58, '3rd Qtr'!C58, '4th Qtr'!C58)</f>
        <v>380193</v>
      </c>
      <c r="D58" s="13">
        <f>SUM('1st Qtr'!D58, '2nd Qtr'!D58, '3rd Qtr'!D58, '4th Qtr'!D58)</f>
        <v>375061</v>
      </c>
      <c r="E58" s="13">
        <f t="shared" si="10"/>
        <v>5132</v>
      </c>
      <c r="F58" s="14">
        <f t="shared" si="11"/>
        <v>1.3683107547838885E-2</v>
      </c>
      <c r="G58" s="15">
        <f>SUM('1st Qtr'!G58, '2nd Qtr'!G58, '3rd Qtr'!G58, '4th Qtr'!G58)</f>
        <v>582825.89999999991</v>
      </c>
      <c r="H58" s="15">
        <f>SUM('1st Qtr'!H58, '2nd Qtr'!H58, '3rd Qtr'!H58, '4th Qtr'!H58)</f>
        <v>-102846.15999999999</v>
      </c>
      <c r="I58" s="16">
        <f t="shared" si="12"/>
        <v>-0.17646120393757381</v>
      </c>
      <c r="K58" s="100">
        <f t="shared" si="1"/>
        <v>-202632.89999999991</v>
      </c>
    </row>
    <row r="59" spans="1:11" ht="15.6">
      <c r="A59" s="51" t="str">
        <v>Kohls - San Bernardino - Central</v>
      </c>
      <c r="B59" s="30" t="str">
        <v>CA</v>
      </c>
      <c r="C59" s="11">
        <f>SUM('1st Qtr'!C59, '2nd Qtr'!C59, '3rd Qtr'!C59, '4th Qtr'!C59)</f>
        <v>703693</v>
      </c>
      <c r="D59" s="18">
        <f>SUM('1st Qtr'!D59, '2nd Qtr'!D59, '3rd Qtr'!D59, '4th Qtr'!D59)</f>
        <v>699528</v>
      </c>
      <c r="E59" s="18">
        <f t="shared" si="10"/>
        <v>4165</v>
      </c>
      <c r="F59" s="19">
        <f t="shared" si="11"/>
        <v>5.9540147070596171E-3</v>
      </c>
      <c r="G59" s="20">
        <f>SUM('1st Qtr'!G59, '2nd Qtr'!G59, '3rd Qtr'!G59, '4th Qtr'!G59)</f>
        <v>1427027.06</v>
      </c>
      <c r="H59" s="20">
        <f>SUM('1st Qtr'!H59, '2nd Qtr'!H59, '3rd Qtr'!H59, '4th Qtr'!H59)</f>
        <v>-723334.06</v>
      </c>
      <c r="I59" s="19">
        <f t="shared" si="12"/>
        <v>-0.506881810636443</v>
      </c>
      <c r="K59" s="100">
        <f t="shared" si="1"/>
        <v>-723334.06</v>
      </c>
    </row>
    <row r="60" spans="1:11" ht="15.6">
      <c r="A60" s="52" t="str">
        <v>Kohls - Sonora</v>
      </c>
      <c r="B60" s="28" t="str">
        <v>CA</v>
      </c>
      <c r="C60" s="24">
        <f>SUM('1st Qtr'!C60, '2nd Qtr'!C60, '3rd Qtr'!C60, '4th Qtr'!C60)</f>
        <v>296359</v>
      </c>
      <c r="D60" s="13">
        <f>SUM('1st Qtr'!D60, '2nd Qtr'!D60, '3rd Qtr'!D60, '4th Qtr'!D60)</f>
        <v>276200</v>
      </c>
      <c r="E60" s="13">
        <f t="shared" si="10"/>
        <v>20159</v>
      </c>
      <c r="F60" s="14">
        <f t="shared" si="11"/>
        <v>7.2986965966690798E-2</v>
      </c>
      <c r="G60" s="15">
        <f>SUM('1st Qtr'!G60, '2nd Qtr'!G60, '3rd Qtr'!G60, '4th Qtr'!G60)</f>
        <v>326502.98</v>
      </c>
      <c r="H60" s="15">
        <f>SUM('1st Qtr'!H60, '2nd Qtr'!H60, '3rd Qtr'!H60, '4th Qtr'!H60)</f>
        <v>-38212.37000000001</v>
      </c>
      <c r="I60" s="16">
        <f t="shared" si="12"/>
        <v>-0.11703528708987591</v>
      </c>
      <c r="K60" s="100">
        <f t="shared" si="1"/>
        <v>-30143.979999999981</v>
      </c>
    </row>
    <row r="61" spans="1:11" ht="15.6">
      <c r="A61" s="51" t="str">
        <v>CUSD - Stratford ES</v>
      </c>
      <c r="B61" s="30" t="str">
        <v>CA</v>
      </c>
      <c r="C61" s="11">
        <f>SUM('1st Qtr'!C61, '2nd Qtr'!C61, '3rd Qtr'!C61, '4th Qtr'!C61)</f>
        <v>241516</v>
      </c>
      <c r="D61" s="18">
        <f>SUM('1st Qtr'!D61, '2nd Qtr'!D61, '3rd Qtr'!D61, '4th Qtr'!D61)</f>
        <v>241174</v>
      </c>
      <c r="E61" s="18">
        <f t="shared" si="10"/>
        <v>342</v>
      </c>
      <c r="F61" s="19">
        <f t="shared" si="11"/>
        <v>1.418063306989974E-3</v>
      </c>
      <c r="G61" s="20">
        <f>SUM('1st Qtr'!G61, '2nd Qtr'!G61, '3rd Qtr'!G61, '4th Qtr'!G61)</f>
        <v>233538.97000000003</v>
      </c>
      <c r="H61" s="20">
        <f>SUM('1st Qtr'!H61, '2nd Qtr'!H61, '3rd Qtr'!H61, '4th Qtr'!H61)</f>
        <v>7977.0299999999988</v>
      </c>
      <c r="I61" s="19">
        <f t="shared" si="12"/>
        <v>3.4157168715782199E-2</v>
      </c>
      <c r="K61" s="100">
        <f t="shared" si="1"/>
        <v>7977.0299999999697</v>
      </c>
    </row>
    <row r="62" spans="1:11" ht="15.6">
      <c r="A62" s="52" t="str">
        <v>Taft - City Hall</v>
      </c>
      <c r="B62" s="28" t="str">
        <v>CA</v>
      </c>
      <c r="C62" s="24">
        <f>SUM('1st Qtr'!C62, '2nd Qtr'!C62, '3rd Qtr'!C62, '4th Qtr'!C62)</f>
        <v>19479</v>
      </c>
      <c r="D62" s="13">
        <f>SUM('1st Qtr'!D62, '2nd Qtr'!D62, '3rd Qtr'!D62, '4th Qtr'!D62)</f>
        <v>-859</v>
      </c>
      <c r="E62" s="13">
        <f t="shared" si="10"/>
        <v>20338</v>
      </c>
      <c r="F62" s="14">
        <f t="shared" si="11"/>
        <v>-23.676367869615831</v>
      </c>
      <c r="G62" s="15">
        <f>SUM('1st Qtr'!G62, '2nd Qtr'!G62, '3rd Qtr'!G62, '4th Qtr'!G62)</f>
        <v>101810.68</v>
      </c>
      <c r="H62" s="15">
        <f>SUM('1st Qtr'!H62, '2nd Qtr'!H62, '3rd Qtr'!H62, '4th Qtr'!H62)</f>
        <v>-77700.510000000009</v>
      </c>
      <c r="I62" s="16">
        <f t="shared" si="12"/>
        <v>-0.76318623940042452</v>
      </c>
      <c r="K62" s="100">
        <f t="shared" si="1"/>
        <v>-82331.679999999993</v>
      </c>
    </row>
    <row r="63" spans="1:11" ht="15.6">
      <c r="A63" s="51" t="str">
        <v>Taft - Federal Prison</v>
      </c>
      <c r="B63" s="30" t="str">
        <v>CA</v>
      </c>
      <c r="C63" s="11">
        <f>SUM('1st Qtr'!C63, '2nd Qtr'!C63, '3rd Qtr'!C63, '4th Qtr'!C63)</f>
        <v>143264</v>
      </c>
      <c r="D63" s="18">
        <f>SUM('1st Qtr'!D63, '2nd Qtr'!D63, '3rd Qtr'!D63, '4th Qtr'!D63)</f>
        <v>144266</v>
      </c>
      <c r="E63" s="18">
        <f t="shared" si="10"/>
        <v>-1002</v>
      </c>
      <c r="F63" s="19">
        <f t="shared" si="11"/>
        <v>-6.9455034450251621E-3</v>
      </c>
      <c r="G63" s="20">
        <f>SUM('1st Qtr'!G63, '2nd Qtr'!G63, '3rd Qtr'!G63, '4th Qtr'!G63)</f>
        <v>157756.26</v>
      </c>
      <c r="H63" s="20">
        <f>SUM('1st Qtr'!H63, '2nd Qtr'!H63, '3rd Qtr'!H63, '4th Qtr'!H63)</f>
        <v>-14492.26</v>
      </c>
      <c r="I63" s="19">
        <f t="shared" si="12"/>
        <v>-9.1864880670979393E-2</v>
      </c>
      <c r="K63" s="100">
        <f t="shared" si="1"/>
        <v>-14492.260000000009</v>
      </c>
    </row>
    <row r="64" spans="1:11" ht="15.6">
      <c r="A64" s="52" t="str">
        <v>Taft - Police Department</v>
      </c>
      <c r="B64" s="28" t="str">
        <v>CA</v>
      </c>
      <c r="C64" s="24">
        <f>SUM('1st Qtr'!C64, '2nd Qtr'!C64, '3rd Qtr'!C64, '4th Qtr'!C64)</f>
        <v>118196</v>
      </c>
      <c r="D64" s="13">
        <f>SUM('1st Qtr'!D64, '2nd Qtr'!D64, '3rd Qtr'!D64, '4th Qtr'!D64)</f>
        <v>118267</v>
      </c>
      <c r="E64" s="13">
        <f t="shared" si="10"/>
        <v>-71</v>
      </c>
      <c r="F64" s="14">
        <f t="shared" si="11"/>
        <v>-6.0033652667269822E-4</v>
      </c>
      <c r="G64" s="15">
        <f>SUM('1st Qtr'!G64, '2nd Qtr'!G64, '3rd Qtr'!G64, '4th Qtr'!G64)</f>
        <v>135720.38</v>
      </c>
      <c r="H64" s="15">
        <f>SUM('1st Qtr'!H64, '2nd Qtr'!H64, '3rd Qtr'!H64, '4th Qtr'!H64)</f>
        <v>6902.3100000000022</v>
      </c>
      <c r="I64" s="16">
        <f t="shared" si="12"/>
        <v>5.0856842575890238E-2</v>
      </c>
      <c r="K64" s="100">
        <f t="shared" si="1"/>
        <v>-17524.380000000005</v>
      </c>
    </row>
    <row r="65" spans="1:11" ht="15.6">
      <c r="A65" s="51" t="str">
        <v>Taft - WTP</v>
      </c>
      <c r="B65" s="30" t="str">
        <v>CA</v>
      </c>
      <c r="C65" s="11">
        <f>SUM('1st Qtr'!C65, '2nd Qtr'!C65, '3rd Qtr'!C65, '4th Qtr'!C65)</f>
        <v>426409.69</v>
      </c>
      <c r="D65" s="18">
        <f>SUM('1st Qtr'!D65, '2nd Qtr'!D65, '3rd Qtr'!D65, '4th Qtr'!D65)</f>
        <v>504279</v>
      </c>
      <c r="E65" s="18">
        <f t="shared" si="10"/>
        <v>-77869.31</v>
      </c>
      <c r="F65" s="19">
        <f t="shared" si="11"/>
        <v>-0.15441711830157512</v>
      </c>
      <c r="G65" s="20">
        <f>SUM('1st Qtr'!G65, '2nd Qtr'!G65, '3rd Qtr'!G65, '4th Qtr'!G65)</f>
        <v>594150.02</v>
      </c>
      <c r="H65" s="20">
        <f>SUM('1st Qtr'!H65, '2nd Qtr'!H65, '3rd Qtr'!H65, '4th Qtr'!H65)</f>
        <v>-167740.33000000002</v>
      </c>
      <c r="I65" s="19">
        <f t="shared" si="12"/>
        <v>-0.28231982555516871</v>
      </c>
      <c r="K65" s="100">
        <f t="shared" si="1"/>
        <v>-167740.33000000002</v>
      </c>
    </row>
    <row r="66" spans="1:11" ht="15.6">
      <c r="A66" s="52" t="str">
        <v>CDCR - CA Correctional Institution</v>
      </c>
      <c r="B66" s="28" t="str">
        <v>CA</v>
      </c>
      <c r="C66" s="24">
        <f>SUM('1st Qtr'!C66, '2nd Qtr'!C66, '3rd Qtr'!C66, '4th Qtr'!C66)</f>
        <v>1845846</v>
      </c>
      <c r="D66" s="13">
        <f>SUM('1st Qtr'!D66, '2nd Qtr'!D66, '3rd Qtr'!D66, '4th Qtr'!D66)</f>
        <v>1916008</v>
      </c>
      <c r="E66" s="13">
        <f t="shared" si="10"/>
        <v>-70162</v>
      </c>
      <c r="F66" s="14">
        <f t="shared" si="11"/>
        <v>-3.6618845015260894E-2</v>
      </c>
      <c r="G66" s="15">
        <f>SUM('1st Qtr'!G66, '2nd Qtr'!G66, '3rd Qtr'!G66, '4th Qtr'!G66)</f>
        <v>2107896.7600000002</v>
      </c>
      <c r="H66" s="15">
        <f>SUM('1st Qtr'!H66, '2nd Qtr'!H66, '3rd Qtr'!H66, '4th Qtr'!H66)</f>
        <v>-369137.56</v>
      </c>
      <c r="I66" s="16">
        <f t="shared" si="12"/>
        <v>-0.175121271119559</v>
      </c>
      <c r="K66" s="100">
        <f t="shared" si="1"/>
        <v>-262050.76000000024</v>
      </c>
    </row>
    <row r="67" spans="1:11" ht="15.6">
      <c r="A67" s="51" t="str">
        <v>CDCR - CA Correctional Institution II</v>
      </c>
      <c r="B67" s="30" t="str">
        <v>CA</v>
      </c>
      <c r="C67" s="11">
        <f>SUM('1st Qtr'!C67, '2nd Qtr'!C67, '3rd Qtr'!C67, '4th Qtr'!C67)</f>
        <v>2270346.6799999997</v>
      </c>
      <c r="D67" s="18">
        <f>SUM('1st Qtr'!D67, '2nd Qtr'!D67, '3rd Qtr'!D67, '4th Qtr'!D67)</f>
        <v>2130234</v>
      </c>
      <c r="E67" s="18">
        <f t="shared" si="10"/>
        <v>140112.6799999997</v>
      </c>
      <c r="F67" s="19">
        <f t="shared" si="11"/>
        <v>6.5773375131558176E-2</v>
      </c>
      <c r="G67" s="20">
        <f>SUM('1st Qtr'!G67, '2nd Qtr'!G67, '3rd Qtr'!G67, '4th Qtr'!G67)</f>
        <v>3375658.59</v>
      </c>
      <c r="H67" s="20">
        <f>SUM('1st Qtr'!H67, '2nd Qtr'!H67, '3rd Qtr'!H67, '4th Qtr'!H67)</f>
        <v>-1105311.9099999999</v>
      </c>
      <c r="I67" s="19">
        <f t="shared" si="12"/>
        <v>-0.32743593006542759</v>
      </c>
      <c r="K67" s="100">
        <f t="shared" si="1"/>
        <v>-1105311.9100000001</v>
      </c>
    </row>
    <row r="68" spans="1:11" ht="15.6">
      <c r="A68" s="52" t="str">
        <v>Snowline SD - Vista Verde ES</v>
      </c>
      <c r="B68" s="28" t="str">
        <v>CA</v>
      </c>
      <c r="C68" s="24">
        <f>SUM('1st Qtr'!C68, '2nd Qtr'!C68, '3rd Qtr'!C68, '4th Qtr'!C68)</f>
        <v>133610</v>
      </c>
      <c r="D68" s="13">
        <f>SUM('1st Qtr'!D68, '2nd Qtr'!D68, '3rd Qtr'!D68, '4th Qtr'!D68)</f>
        <v>134823</v>
      </c>
      <c r="E68" s="13">
        <f t="shared" si="10"/>
        <v>-1213</v>
      </c>
      <c r="F68" s="14">
        <f t="shared" si="11"/>
        <v>-8.9969812272386752E-3</v>
      </c>
      <c r="G68" s="15">
        <f>SUM('1st Qtr'!G68, '2nd Qtr'!G68, '3rd Qtr'!G68, '4th Qtr'!G68)</f>
        <v>295240.77999999997</v>
      </c>
      <c r="H68" s="15">
        <f>SUM('1st Qtr'!H68, '2nd Qtr'!H68, '3rd Qtr'!H68, '4th Qtr'!H68)</f>
        <v>-189732.69</v>
      </c>
      <c r="I68" s="16">
        <f t="shared" si="12"/>
        <v>-0.64263713840615111</v>
      </c>
      <c r="K68" s="100">
        <f t="shared" si="1"/>
        <v>-161630.77999999997</v>
      </c>
    </row>
    <row r="69" spans="1:11" s="2" customFormat="1" ht="15.6">
      <c r="A69" s="51" t="str">
        <v>North Stonington</v>
      </c>
      <c r="B69" s="30" t="str">
        <v>CT</v>
      </c>
      <c r="C69" s="11">
        <f>SUM('1st Qtr'!C69, '2nd Qtr'!C69, '3rd Qtr'!C69, '4th Qtr'!C69)</f>
        <v>14876140</v>
      </c>
      <c r="D69" s="18">
        <f>SUM('1st Qtr'!D69, '2nd Qtr'!D69, '3rd Qtr'!D69, '4th Qtr'!D69)</f>
        <v>0</v>
      </c>
      <c r="E69" s="18">
        <f t="shared" si="10"/>
        <v>14876140</v>
      </c>
      <c r="F69" s="19" t="str">
        <f t="shared" si="11"/>
        <v/>
      </c>
      <c r="G69" s="20">
        <f>SUM('1st Qtr'!G69, '2nd Qtr'!G69, '3rd Qtr'!G69, '4th Qtr'!G69)</f>
        <v>0</v>
      </c>
      <c r="H69" s="20">
        <f>SUM('1st Qtr'!H69, '2nd Qtr'!H69, '3rd Qtr'!H69, '4th Qtr'!H69)</f>
        <v>4544320</v>
      </c>
      <c r="I69" s="19" t="str">
        <f t="shared" si="12"/>
        <v/>
      </c>
      <c r="J69"/>
      <c r="K69" s="100"/>
    </row>
    <row r="70" spans="1:11" ht="15.6">
      <c r="A70" s="52" t="str">
        <v>CT: Torrington - 2-298 Rossi Road</v>
      </c>
      <c r="B70" s="28" t="str">
        <v>CT</v>
      </c>
      <c r="C70" s="24">
        <f>SUM('1st Qtr'!C70, '2nd Qtr'!C70, '3rd Qtr'!C70, '4th Qtr'!C70)</f>
        <v>1999.83</v>
      </c>
      <c r="D70" s="13">
        <f>SUM('1st Qtr'!D70, '2nd Qtr'!D70, '3rd Qtr'!D70, '4th Qtr'!D70)</f>
        <v>0</v>
      </c>
      <c r="E70" s="13">
        <f t="shared" ref="E70" si="13">IF(AND(ISNUMBER(C70),ISNUMBER(D70)), C70-D70, "")</f>
        <v>1999.83</v>
      </c>
      <c r="F70" s="14" t="str">
        <f t="shared" ref="F70" si="14">IFERROR(E70/D70, "")</f>
        <v/>
      </c>
      <c r="G70" s="15">
        <f>SUM('1st Qtr'!G70, '2nd Qtr'!G70, '3rd Qtr'!G70, '4th Qtr'!G70)</f>
        <v>0</v>
      </c>
      <c r="H70" s="15">
        <f>SUM('1st Qtr'!H70, '2nd Qtr'!H70, '3rd Qtr'!H70, '4th Qtr'!H70)</f>
        <v>0</v>
      </c>
      <c r="I70" s="16" t="str">
        <f t="shared" ref="I70" si="15">IFERROR(H70/G70, "")</f>
        <v/>
      </c>
      <c r="K70" s="100"/>
    </row>
    <row r="71" spans="1:11" ht="13.9">
      <c r="A71" s="21"/>
      <c r="B71" s="21"/>
      <c r="C71" s="21"/>
      <c r="D71" s="21"/>
      <c r="E71" s="21"/>
      <c r="F71" s="22"/>
      <c r="G71" s="21"/>
      <c r="H71" s="21"/>
      <c r="I71" s="22"/>
    </row>
    <row r="72" spans="1:11" ht="13.9">
      <c r="A72" s="21"/>
      <c r="B72" s="21"/>
      <c r="C72" s="21"/>
      <c r="D72" s="21"/>
      <c r="E72" s="21"/>
      <c r="F72" s="22"/>
      <c r="G72" s="21"/>
      <c r="H72" s="21"/>
      <c r="I72" s="22"/>
    </row>
    <row r="73" spans="1:11" ht="13.9">
      <c r="A73" s="21"/>
      <c r="B73" s="21"/>
      <c r="C73" s="21"/>
      <c r="D73" s="21"/>
      <c r="E73" s="21"/>
      <c r="F73" s="22"/>
      <c r="G73" s="21"/>
      <c r="H73" s="21"/>
      <c r="I73" s="22"/>
    </row>
    <row r="74" spans="1:11" ht="13.9">
      <c r="A74" s="21"/>
      <c r="B74" s="21"/>
      <c r="C74" s="21"/>
      <c r="D74" s="21"/>
      <c r="E74" s="21"/>
      <c r="F74" s="22"/>
      <c r="G74" s="21"/>
      <c r="H74" s="21"/>
      <c r="I74" s="22"/>
    </row>
    <row r="75" spans="1:11" ht="13.9">
      <c r="A75" s="21"/>
      <c r="B75" s="21"/>
      <c r="C75" s="21"/>
      <c r="D75" s="21"/>
      <c r="E75" s="21"/>
      <c r="F75" s="22"/>
      <c r="G75" s="21"/>
      <c r="H75" s="21"/>
      <c r="I75" s="22"/>
    </row>
    <row r="76" spans="1:11" ht="13.9">
      <c r="A76" s="21"/>
      <c r="B76" s="21"/>
      <c r="C76" s="21"/>
      <c r="D76" s="21"/>
      <c r="E76" s="21"/>
      <c r="F76" s="22"/>
      <c r="G76" s="21"/>
      <c r="H76" s="21"/>
      <c r="I76" s="22"/>
    </row>
    <row r="77" spans="1:11" ht="13.9">
      <c r="A77" s="21"/>
      <c r="B77" s="21"/>
      <c r="C77" s="21"/>
      <c r="D77" s="21"/>
      <c r="E77" s="21"/>
      <c r="F77" s="22"/>
      <c r="G77" s="21"/>
      <c r="H77" s="21"/>
      <c r="I77" s="22"/>
    </row>
    <row r="78" spans="1:11" ht="13.9">
      <c r="A78" s="21"/>
      <c r="B78" s="21"/>
      <c r="C78" s="21"/>
      <c r="D78" s="21"/>
      <c r="E78" s="21"/>
      <c r="F78" s="22"/>
      <c r="G78" s="21"/>
      <c r="H78" s="21"/>
      <c r="I78" s="22"/>
    </row>
    <row r="79" spans="1:11" ht="13.9">
      <c r="A79" s="21"/>
      <c r="B79" s="21"/>
      <c r="C79" s="21"/>
      <c r="D79" s="21"/>
      <c r="E79" s="21"/>
      <c r="F79" s="22"/>
      <c r="G79" s="21"/>
      <c r="H79" s="21"/>
      <c r="I79" s="22"/>
    </row>
    <row r="80" spans="1:11"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autoFilter ref="A2:I2" xr:uid="{D5C25034-9971-4A61-864F-C938F31EB1B8}"/>
  <mergeCells count="4">
    <mergeCell ref="G1:I1"/>
    <mergeCell ref="A1:C1"/>
    <mergeCell ref="D1:F1"/>
    <mergeCell ref="A2:B2"/>
  </mergeCells>
  <conditionalFormatting sqref="F2 I2 F4:F100 I4:I100">
    <cfRule type="cellIs" dxfId="70" priority="1" stopIfTrue="1" operator="lessThanOrEqual">
      <formula>-0.1</formula>
    </cfRule>
    <cfRule type="expression" dxfId="6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2"/>
  <sheetViews>
    <sheetView workbookViewId="0">
      <pane xSplit="2" ySplit="3" topLeftCell="C58" activePane="bottomRight" state="frozen"/>
      <selection pane="bottomRight" activeCell="D69" sqref="D69"/>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32" t="str" cm="1">
        <f t="array" ref="A1">portfolio</f>
        <v>Silicon Ranch</v>
      </c>
      <c r="B1" s="132"/>
      <c r="C1" s="132"/>
      <c r="D1" s="133" t="s">
        <v>10</v>
      </c>
      <c r="E1" s="133"/>
      <c r="F1" s="133"/>
      <c r="G1" s="131" t="s">
        <v>11</v>
      </c>
      <c r="H1" s="131"/>
      <c r="I1" s="131"/>
    </row>
    <row r="2" spans="1:9" ht="19.5" customHeight="1">
      <c r="A2" s="134" t="s">
        <v>2</v>
      </c>
      <c r="B2" s="134"/>
      <c r="C2" s="5">
        <f>SUM(C4:C100)</f>
        <v>8848504</v>
      </c>
      <c r="D2" s="5">
        <f>SUM(D4:D100)</f>
        <v>5427770</v>
      </c>
      <c r="E2" s="5">
        <f>C2-D2</f>
        <v>3420734</v>
      </c>
      <c r="F2" s="6">
        <f>IFERROR(E2/D2, 0)</f>
        <v>0.63022825211827327</v>
      </c>
      <c r="G2" s="5">
        <f>SUM(G4:G100)</f>
        <v>8534815.9900000002</v>
      </c>
      <c r="H2" s="7">
        <f>C2-G2</f>
        <v>313688.00999999978</v>
      </c>
      <c r="I2" s="6">
        <f>IFERROR(H2/G2, 0)</f>
        <v>3.6753927720004631E-2</v>
      </c>
    </row>
    <row r="3" spans="1:9" ht="14.25" customHeight="1">
      <c r="A3" s="8" t="s">
        <v>3</v>
      </c>
      <c r="B3" s="8" t="s">
        <v>4</v>
      </c>
      <c r="C3" s="23" t="s">
        <v>5</v>
      </c>
      <c r="D3" s="35" t="s">
        <v>6</v>
      </c>
      <c r="E3" s="35" t="s">
        <v>7</v>
      </c>
      <c r="F3" s="36" t="s">
        <v>8</v>
      </c>
      <c r="G3" s="37" t="s">
        <v>9</v>
      </c>
      <c r="H3" s="38" t="s">
        <v>7</v>
      </c>
      <c r="I3" s="39" t="s">
        <v>8</v>
      </c>
    </row>
    <row r="4" spans="1:9" ht="15.6">
      <c r="A4" s="47" t="str" cm="1">
        <f t="array" ref="A4:A70">Sites[Site]</f>
        <v>Iron Mountain - Windsor</v>
      </c>
      <c r="B4" s="9" t="str" cm="1">
        <f t="array" ref="B4:B70">Sites[State]</f>
        <v>CT</v>
      </c>
      <c r="C4" s="24">
        <f>SUM(Jan!C4, Feb!C4, Mar!C4)</f>
        <v>49256</v>
      </c>
      <c r="D4" s="13">
        <f>SUM(Jan!D4, Feb!D4, Mar!D4)</f>
        <v>48997</v>
      </c>
      <c r="E4" s="13">
        <f>IF(AND(ISNUMBER(C4),ISNUMBER(D4)), C4-D4, "")</f>
        <v>259</v>
      </c>
      <c r="F4" s="14">
        <f>IFERROR(E4/D4, "")</f>
        <v>5.2860379206890219E-3</v>
      </c>
      <c r="G4" s="15">
        <f>SUM(Jan!G4, Feb!G4, Mar!G4)</f>
        <v>54649.74</v>
      </c>
      <c r="H4" s="15">
        <f>SUM(Jan!H4, Feb!H4, Mar!H4)</f>
        <v>-5393.739999999998</v>
      </c>
      <c r="I4" s="16">
        <f>IFERROR(H4/G4, "")</f>
        <v>-9.8696535427249946E-2</v>
      </c>
    </row>
    <row r="5" spans="1:9" ht="15.6">
      <c r="A5" s="48" t="str">
        <v>Kohls - Auburn</v>
      </c>
      <c r="B5" s="10" t="str">
        <v>NY</v>
      </c>
      <c r="C5" s="11">
        <f>SUM(Jan!C5, Feb!C5, Mar!C5)</f>
        <v>38514</v>
      </c>
      <c r="D5" s="18">
        <f>SUM(Jan!D5, Feb!D5, Mar!D5)</f>
        <v>38129</v>
      </c>
      <c r="E5" s="18">
        <f t="shared" ref="E5:E15" si="0">IF(AND(ISNUMBER(C5),ISNUMBER(D5)), C5-D5, "")</f>
        <v>385</v>
      </c>
      <c r="F5" s="19">
        <f>IFERROR(E5/D5, "")</f>
        <v>1.009730126675234E-2</v>
      </c>
      <c r="G5" s="20">
        <f>SUM(Jan!G5, Feb!G5, Mar!G5)</f>
        <v>39136.03</v>
      </c>
      <c r="H5" s="20">
        <f>SUM(Jan!H5, Feb!H5, Mar!H5)</f>
        <v>-622.03000000000156</v>
      </c>
      <c r="I5" s="19">
        <f>IFERROR(H5/G5, "")</f>
        <v>-1.5894049549737201E-2</v>
      </c>
    </row>
    <row r="6" spans="1:9" ht="15.6">
      <c r="A6" s="47" t="str">
        <v>Kohls - Bensalem</v>
      </c>
      <c r="B6" s="9" t="str">
        <v>PA</v>
      </c>
      <c r="C6" s="24">
        <f>SUM(Jan!C6, Feb!C6, Mar!C6)</f>
        <v>72426</v>
      </c>
      <c r="D6" s="13">
        <f>SUM(Jan!D6, Feb!D6, Mar!D6)</f>
        <v>68354</v>
      </c>
      <c r="E6" s="13">
        <f t="shared" si="0"/>
        <v>4072</v>
      </c>
      <c r="F6" s="14">
        <f t="shared" ref="F6:F15" si="1">IFERROR(E6/D6, "")</f>
        <v>5.9572226936243672E-2</v>
      </c>
      <c r="G6" s="15">
        <f>SUM(Jan!G6, Feb!G6, Mar!G6)</f>
        <v>65202.38</v>
      </c>
      <c r="H6" s="15">
        <f>SUM(Jan!H6, Feb!H6, Mar!H6)</f>
        <v>7223.6200000000008</v>
      </c>
      <c r="I6" s="16">
        <f t="shared" ref="I6:I69" si="2">IFERROR(H6/G6, "")</f>
        <v>0.11078767370148146</v>
      </c>
    </row>
    <row r="7" spans="1:9" ht="15.6">
      <c r="A7" s="48" t="str">
        <v>Kohls - Brick</v>
      </c>
      <c r="B7" s="10" t="str">
        <v>NJ</v>
      </c>
      <c r="C7" s="11">
        <f>SUM(Jan!C7, Feb!C7, Mar!C7)</f>
        <v>91939</v>
      </c>
      <c r="D7" s="18">
        <f>SUM(Jan!D7, Feb!D7, Mar!D7)</f>
        <v>90004</v>
      </c>
      <c r="E7" s="18">
        <f t="shared" si="0"/>
        <v>1935</v>
      </c>
      <c r="F7" s="19">
        <f t="shared" si="1"/>
        <v>2.1499044486911693E-2</v>
      </c>
      <c r="G7" s="20">
        <f>SUM(Jan!G7, Feb!G7, Mar!G7)</f>
        <v>74753.88</v>
      </c>
      <c r="H7" s="20">
        <f>SUM(Jan!H7, Feb!H7, Mar!H7)</f>
        <v>17185.120000000003</v>
      </c>
      <c r="I7" s="19">
        <f t="shared" si="2"/>
        <v>0.22988933818552296</v>
      </c>
    </row>
    <row r="8" spans="1:9" ht="15.6">
      <c r="A8" s="47" t="str">
        <v>Kohls - Buffalo</v>
      </c>
      <c r="B8" s="9" t="str">
        <v>NY</v>
      </c>
      <c r="C8" s="24">
        <f>SUM(Jan!C8, Feb!C8, Mar!C8)</f>
        <v>29451</v>
      </c>
      <c r="D8" s="13">
        <f>SUM(Jan!D8, Feb!D8, Mar!D8)</f>
        <v>0</v>
      </c>
      <c r="E8" s="13">
        <f t="shared" si="0"/>
        <v>29451</v>
      </c>
      <c r="F8" s="14" t="str">
        <f t="shared" si="1"/>
        <v/>
      </c>
      <c r="G8" s="15">
        <f>SUM(Jan!G8, Feb!G8, Mar!G8)</f>
        <v>54344.28</v>
      </c>
      <c r="H8" s="15">
        <f>SUM(Jan!H8, Feb!H8, Mar!H8)</f>
        <v>-24893.279999999999</v>
      </c>
      <c r="I8" s="16">
        <f t="shared" si="2"/>
        <v>-0.45806623990602136</v>
      </c>
    </row>
    <row r="9" spans="1:9" ht="15.6">
      <c r="A9" s="48" t="str">
        <v>Kohls - Canton</v>
      </c>
      <c r="B9" s="10" t="str">
        <v>CT</v>
      </c>
      <c r="C9" s="11">
        <f>SUM(Jan!C9, Feb!C9, Mar!C9)</f>
        <v>22796</v>
      </c>
      <c r="D9" s="18">
        <f>SUM(Jan!D9, Feb!D9, Mar!D9)</f>
        <v>22526</v>
      </c>
      <c r="E9" s="18">
        <f t="shared" si="0"/>
        <v>270</v>
      </c>
      <c r="F9" s="19">
        <f t="shared" si="1"/>
        <v>1.198614933854213E-2</v>
      </c>
      <c r="G9" s="20">
        <f>SUM(Jan!G9, Feb!G9, Mar!G9)</f>
        <v>23886.670000000002</v>
      </c>
      <c r="H9" s="20">
        <f>SUM(Jan!H9, Feb!H9, Mar!H9)</f>
        <v>-1090.670000000001</v>
      </c>
      <c r="I9" s="19">
        <f t="shared" si="2"/>
        <v>-4.5660194577142856E-2</v>
      </c>
    </row>
    <row r="10" spans="1:9" ht="15.6">
      <c r="A10" s="47" t="str">
        <v>Kohls - East Amherst</v>
      </c>
      <c r="B10" s="9" t="str">
        <v>NY</v>
      </c>
      <c r="C10" s="24">
        <f>SUM(Jan!C10, Feb!C10, Mar!C10)</f>
        <v>38997</v>
      </c>
      <c r="D10" s="13">
        <f>SUM(Jan!D10, Feb!D10, Mar!D10)</f>
        <v>38434</v>
      </c>
      <c r="E10" s="13">
        <f t="shared" si="0"/>
        <v>563</v>
      </c>
      <c r="F10" s="14">
        <f t="shared" si="1"/>
        <v>1.4648488317635428E-2</v>
      </c>
      <c r="G10" s="15">
        <f>SUM(Jan!G10, Feb!G10, Mar!G10)</f>
        <v>51187.85</v>
      </c>
      <c r="H10" s="15">
        <f>SUM(Jan!H10, Feb!H10, Mar!H10)</f>
        <v>-12190.849999999999</v>
      </c>
      <c r="I10" s="16">
        <f t="shared" si="2"/>
        <v>-0.23815905532269863</v>
      </c>
    </row>
    <row r="11" spans="1:9" ht="15.6">
      <c r="A11" s="48" t="str">
        <v>Kohls - East Brunswick</v>
      </c>
      <c r="B11" s="10" t="str">
        <v>NJ</v>
      </c>
      <c r="C11" s="11">
        <f>SUM(Jan!C11, Feb!C11, Mar!C11)</f>
        <v>100414</v>
      </c>
      <c r="D11" s="18">
        <f>SUM(Jan!D11, Feb!D11, Mar!D11)</f>
        <v>100690</v>
      </c>
      <c r="E11" s="18">
        <f t="shared" si="0"/>
        <v>-276</v>
      </c>
      <c r="F11" s="19">
        <f t="shared" si="1"/>
        <v>-2.7410865031284141E-3</v>
      </c>
      <c r="G11" s="20">
        <f>SUM(Jan!G11, Feb!G11, Mar!G11)</f>
        <v>99741.599999999991</v>
      </c>
      <c r="H11" s="20">
        <f>SUM(Jan!H11, Feb!H11, Mar!H11)</f>
        <v>672.40000000000509</v>
      </c>
      <c r="I11" s="19">
        <f t="shared" si="2"/>
        <v>6.7414198288377686E-3</v>
      </c>
    </row>
    <row r="12" spans="1:9" ht="15.6">
      <c r="A12" s="47" t="str">
        <v>Kohls - Edgewood</v>
      </c>
      <c r="B12" s="9" t="str">
        <v>MD</v>
      </c>
      <c r="C12" s="24">
        <f>SUM(Jan!C12, Feb!C12, Mar!C12)</f>
        <v>500770</v>
      </c>
      <c r="D12" s="13">
        <f>SUM(Jan!D12, Feb!D12, Mar!D12)</f>
        <v>496013</v>
      </c>
      <c r="E12" s="13">
        <f t="shared" si="0"/>
        <v>4757</v>
      </c>
      <c r="F12" s="14">
        <f t="shared" si="1"/>
        <v>9.5904744432101577E-3</v>
      </c>
      <c r="G12" s="15">
        <f>SUM(Jan!G12, Feb!G12, Mar!G12)</f>
        <v>540853.19999999995</v>
      </c>
      <c r="H12" s="15">
        <f>SUM(Jan!H12, Feb!H12, Mar!H12)</f>
        <v>-40083.200000000012</v>
      </c>
      <c r="I12" s="16">
        <f t="shared" si="2"/>
        <v>-7.4111052684906031E-2</v>
      </c>
    </row>
    <row r="13" spans="1:9" ht="15.6">
      <c r="A13" s="48" t="str">
        <v>Kohls - Granite Run</v>
      </c>
      <c r="B13" s="10" t="str">
        <v>PA</v>
      </c>
      <c r="C13" s="11">
        <f>SUM(Jan!C13, Feb!C13, Mar!C13)</f>
        <v>65152</v>
      </c>
      <c r="D13" s="18">
        <f>SUM(Jan!D13, Feb!D13, Mar!D13)</f>
        <v>64562</v>
      </c>
      <c r="E13" s="18">
        <f t="shared" si="0"/>
        <v>590</v>
      </c>
      <c r="F13" s="19">
        <f t="shared" si="1"/>
        <v>9.1385025247049355E-3</v>
      </c>
      <c r="G13" s="20">
        <f>SUM(Jan!G13, Feb!G13, Mar!G13)</f>
        <v>65257.14</v>
      </c>
      <c r="H13" s="20">
        <f>SUM(Jan!H13, Feb!H13, Mar!H13)</f>
        <v>-105.1399999999976</v>
      </c>
      <c r="I13" s="19">
        <f t="shared" si="2"/>
        <v>-1.6111646940089252E-3</v>
      </c>
    </row>
    <row r="14" spans="1:9" ht="15.6">
      <c r="A14" s="47" t="str">
        <v>Kohls - Greece</v>
      </c>
      <c r="B14" s="9" t="str">
        <v>NY</v>
      </c>
      <c r="C14" s="24">
        <f>SUM(Jan!C14, Feb!C14, Mar!C14)</f>
        <v>33497</v>
      </c>
      <c r="D14" s="13">
        <f>SUM(Jan!D14, Feb!D14, Mar!D14)</f>
        <v>33004</v>
      </c>
      <c r="E14" s="13">
        <f t="shared" si="0"/>
        <v>493</v>
      </c>
      <c r="F14" s="14">
        <f t="shared" si="1"/>
        <v>1.4937583323233547E-2</v>
      </c>
      <c r="G14" s="15">
        <f>SUM(Jan!G14, Feb!G14, Mar!G14)</f>
        <v>51595.13</v>
      </c>
      <c r="H14" s="15">
        <f>SUM(Jan!H14, Feb!H14, Mar!H14)</f>
        <v>-18098.129999999997</v>
      </c>
      <c r="I14" s="16">
        <f t="shared" si="2"/>
        <v>-0.35077205930094563</v>
      </c>
    </row>
    <row r="15" spans="1:9" ht="15.6">
      <c r="A15" s="48" t="str">
        <v>Kohls - Hanover</v>
      </c>
      <c r="B15" s="10" t="str">
        <v>PA</v>
      </c>
      <c r="C15" s="11">
        <f>SUM(Jan!C15, Feb!C15, Mar!C15)</f>
        <v>74462</v>
      </c>
      <c r="D15" s="18">
        <f>SUM(Jan!D15, Feb!D15, Mar!D15)</f>
        <v>73824</v>
      </c>
      <c r="E15" s="18">
        <f t="shared" si="0"/>
        <v>638</v>
      </c>
      <c r="F15" s="19">
        <f t="shared" si="1"/>
        <v>8.6421759861291716E-3</v>
      </c>
      <c r="G15" s="20">
        <f>SUM(Jan!G15, Feb!G15, Mar!G15)</f>
        <v>73222.490000000005</v>
      </c>
      <c r="H15" s="20">
        <f>SUM(Jan!H15, Feb!H15, Mar!H15)</f>
        <v>1239.5099999999984</v>
      </c>
      <c r="I15" s="19">
        <f t="shared" si="2"/>
        <v>1.692799575649501E-2</v>
      </c>
    </row>
    <row r="16" spans="1:9" ht="15.6">
      <c r="A16" s="47" t="str">
        <v>Kohls - Horsehead</v>
      </c>
      <c r="B16" s="9" t="str">
        <v>NY</v>
      </c>
      <c r="C16" s="24">
        <f>SUM(Jan!C16, Feb!C16, Mar!C16)</f>
        <v>44770</v>
      </c>
      <c r="D16" s="13">
        <f>SUM(Jan!D16, Feb!D16, Mar!D16)</f>
        <v>44242</v>
      </c>
      <c r="E16" s="13">
        <f t="shared" ref="E16:E18" si="3">IF(AND(ISNUMBER(C16),ISNUMBER(D16)), C16-D16, "")</f>
        <v>528</v>
      </c>
      <c r="F16" s="14">
        <f t="shared" ref="F16:F18" si="4">IFERROR(E16/D16, "")</f>
        <v>1.1934361014420686E-2</v>
      </c>
      <c r="G16" s="15">
        <f>SUM(Jan!G16, Feb!G16, Mar!G16)</f>
        <v>53409.39</v>
      </c>
      <c r="H16" s="15">
        <f>SUM(Jan!H16, Feb!H16, Mar!H16)</f>
        <v>-8639.39</v>
      </c>
      <c r="I16" s="16">
        <f t="shared" si="2"/>
        <v>-0.16175788564520208</v>
      </c>
    </row>
    <row r="17" spans="1:9" ht="15.6">
      <c r="A17" s="48" t="str">
        <v>Kohls - Hudson</v>
      </c>
      <c r="B17" s="10" t="str">
        <v>NY</v>
      </c>
      <c r="C17" s="11">
        <f>SUM(Jan!C17, Feb!C17, Mar!C17)</f>
        <v>55206</v>
      </c>
      <c r="D17" s="18">
        <f>SUM(Jan!D17, Feb!D17, Mar!D17)</f>
        <v>54849</v>
      </c>
      <c r="E17" s="18">
        <f t="shared" si="3"/>
        <v>357</v>
      </c>
      <c r="F17" s="19">
        <f t="shared" si="4"/>
        <v>6.5087786468303885E-3</v>
      </c>
      <c r="G17" s="20">
        <f>SUM(Jan!G17, Feb!G17, Mar!G17)</f>
        <v>60860.770000000004</v>
      </c>
      <c r="H17" s="20">
        <f>SUM(Jan!H17, Feb!H17, Mar!H17)</f>
        <v>-5654.7700000000023</v>
      </c>
      <c r="I17" s="19">
        <f t="shared" si="2"/>
        <v>-9.2913218153500218E-2</v>
      </c>
    </row>
    <row r="18" spans="1:9" ht="12.75" customHeight="1">
      <c r="A18" s="47" t="str">
        <v>Kohls - Ithaca</v>
      </c>
      <c r="B18" s="9" t="str">
        <v>NY</v>
      </c>
      <c r="C18" s="24">
        <f>SUM(Jan!C18, Feb!C18, Mar!C18)</f>
        <v>43855</v>
      </c>
      <c r="D18" s="13">
        <f>SUM(Jan!D18, Feb!D18, Mar!D18)</f>
        <v>43541</v>
      </c>
      <c r="E18" s="13">
        <f t="shared" si="3"/>
        <v>314</v>
      </c>
      <c r="F18" s="14">
        <f t="shared" si="4"/>
        <v>7.2115936703337083E-3</v>
      </c>
      <c r="G18" s="15">
        <f>SUM(Jan!G18, Feb!G18, Mar!G18)</f>
        <v>56649.120000000003</v>
      </c>
      <c r="H18" s="15">
        <f>SUM(Jan!H18, Feb!H18, Mar!H18)</f>
        <v>-12794.12</v>
      </c>
      <c r="I18" s="16">
        <f t="shared" si="2"/>
        <v>-0.22584852156573659</v>
      </c>
    </row>
    <row r="19" spans="1:9" ht="15.6">
      <c r="A19" s="48" t="str">
        <v>Kohls - Kingston</v>
      </c>
      <c r="B19" s="10" t="str">
        <v>NY</v>
      </c>
      <c r="C19" s="11">
        <f>SUM(Jan!C19, Feb!C19, Mar!C19)</f>
        <v>71928</v>
      </c>
      <c r="D19" s="18">
        <f>SUM(Jan!D19, Feb!D19, Mar!D19)</f>
        <v>71217</v>
      </c>
      <c r="E19" s="18">
        <f t="shared" ref="E19:E25" si="5">IF(AND(ISNUMBER(C19),ISNUMBER(D19)), C19-D19, "")</f>
        <v>711</v>
      </c>
      <c r="F19" s="19">
        <f t="shared" ref="F19:F25" si="6">IFERROR(E19/D19, "")</f>
        <v>9.9835713383040568E-3</v>
      </c>
      <c r="G19" s="20">
        <f>SUM(Jan!G19, Feb!G19, Mar!G19)</f>
        <v>88222.68</v>
      </c>
      <c r="H19" s="20">
        <f>SUM(Jan!H19, Feb!H19, Mar!H19)</f>
        <v>-16294.679999999997</v>
      </c>
      <c r="I19" s="19">
        <f t="shared" si="2"/>
        <v>-0.18469944463260465</v>
      </c>
    </row>
    <row r="20" spans="1:9" ht="15.6">
      <c r="A20" s="47" t="str">
        <v>Kohls - Mechanicsburg</v>
      </c>
      <c r="B20" s="9" t="str">
        <v>PA</v>
      </c>
      <c r="C20" s="24">
        <f>SUM(Jan!C20, Feb!C20, Mar!C20)</f>
        <v>84942</v>
      </c>
      <c r="D20" s="13">
        <f>SUM(Jan!D20, Feb!D20, Mar!D20)</f>
        <v>84174</v>
      </c>
      <c r="E20" s="13">
        <f t="shared" si="5"/>
        <v>768</v>
      </c>
      <c r="F20" s="14">
        <f t="shared" si="6"/>
        <v>9.1239575165728143E-3</v>
      </c>
      <c r="G20" s="15">
        <f>SUM(Jan!G20, Feb!G20, Mar!G20)</f>
        <v>83857.58</v>
      </c>
      <c r="H20" s="15">
        <f>SUM(Jan!H20, Feb!H20, Mar!H20)</f>
        <v>1084.4199999999983</v>
      </c>
      <c r="I20" s="16">
        <f t="shared" si="2"/>
        <v>1.2931687272635321E-2</v>
      </c>
    </row>
    <row r="21" spans="1:9" ht="15.6">
      <c r="A21" s="48" t="str">
        <v>Kohls - Middletown</v>
      </c>
      <c r="B21" s="10" t="str">
        <v>NJ</v>
      </c>
      <c r="C21" s="11">
        <f>SUM(Jan!C21, Feb!C21, Mar!C21)</f>
        <v>130027</v>
      </c>
      <c r="D21" s="18">
        <f>SUM(Jan!D21, Feb!D21, Mar!D21)</f>
        <v>128071</v>
      </c>
      <c r="E21" s="18">
        <f t="shared" si="5"/>
        <v>1956</v>
      </c>
      <c r="F21" s="19">
        <f t="shared" si="6"/>
        <v>1.5272778380741932E-2</v>
      </c>
      <c r="G21" s="20">
        <f>SUM(Jan!G21, Feb!G21, Mar!G21)</f>
        <v>118223.06</v>
      </c>
      <c r="H21" s="20">
        <f>SUM(Jan!H21, Feb!H21, Mar!H21)</f>
        <v>11803.939999999999</v>
      </c>
      <c r="I21" s="19">
        <f t="shared" si="2"/>
        <v>9.9844649597125967E-2</v>
      </c>
    </row>
    <row r="22" spans="1:9" ht="15.6">
      <c r="A22" s="47" t="str">
        <v>Kohls - North Amherst</v>
      </c>
      <c r="B22" s="9" t="str">
        <v>NY</v>
      </c>
      <c r="C22" s="24">
        <f>SUM(Jan!C22, Feb!C22, Mar!C22)</f>
        <v>0</v>
      </c>
      <c r="D22" s="13">
        <f>SUM(Jan!D22, Feb!D22, Mar!D22)</f>
        <v>0</v>
      </c>
      <c r="E22" s="13">
        <f t="shared" si="5"/>
        <v>0</v>
      </c>
      <c r="F22" s="14" t="str">
        <f t="shared" si="6"/>
        <v/>
      </c>
      <c r="G22" s="15">
        <f>SUM(Jan!G22, Feb!G22, Mar!G22)</f>
        <v>44245.55</v>
      </c>
      <c r="H22" s="15">
        <f>SUM(Jan!H22, Feb!H22, Mar!H22)</f>
        <v>-44245.55</v>
      </c>
      <c r="I22" s="16">
        <f t="shared" si="2"/>
        <v>-1</v>
      </c>
    </row>
    <row r="23" spans="1:9" ht="15.6">
      <c r="A23" s="48" t="str">
        <v>Kohls - Staten Island</v>
      </c>
      <c r="B23" s="10" t="str">
        <v>NY</v>
      </c>
      <c r="C23" s="11">
        <f>SUM(Jan!C23, Feb!C23, Mar!C23)</f>
        <v>58874</v>
      </c>
      <c r="D23" s="18">
        <f>SUM(Jan!D23, Feb!D23, Mar!D23)</f>
        <v>0</v>
      </c>
      <c r="E23" s="18">
        <f t="shared" si="5"/>
        <v>58874</v>
      </c>
      <c r="F23" s="19" t="str">
        <f t="shared" si="6"/>
        <v/>
      </c>
      <c r="G23" s="20">
        <f>SUM(Jan!G23, Feb!G23, Mar!G24)</f>
        <v>72887.91</v>
      </c>
      <c r="H23" s="20">
        <f>SUM(Jan!H23, Feb!H23, Mar!H23)</f>
        <v>-9502.2899999999991</v>
      </c>
      <c r="I23" s="19">
        <f t="shared" si="2"/>
        <v>-0.13036853437010334</v>
      </c>
    </row>
    <row r="24" spans="1:9" ht="15.6">
      <c r="A24" s="47" t="str">
        <v>Kohls - Warminster</v>
      </c>
      <c r="B24" s="9" t="str">
        <v>PA</v>
      </c>
      <c r="C24" s="24">
        <f>SUM(Jan!C24, Feb!C24, Mar!C24)</f>
        <v>86449</v>
      </c>
      <c r="D24" s="13">
        <f>SUM(Jan!D24, Feb!D24, Mar!D24)</f>
        <v>86782</v>
      </c>
      <c r="E24" s="13">
        <f t="shared" si="5"/>
        <v>-333</v>
      </c>
      <c r="F24" s="14">
        <f t="shared" si="6"/>
        <v>-3.8372012629347097E-3</v>
      </c>
      <c r="G24" s="15">
        <f>SUM(Jan!G24, Feb!G24, Mar!G25)</f>
        <v>72227.48000000001</v>
      </c>
      <c r="H24" s="15">
        <f>SUM(Jan!H24, Feb!H24, Mar!H24)</f>
        <v>6261.4900000000016</v>
      </c>
      <c r="I24" s="16">
        <f t="shared" si="2"/>
        <v>8.6691242723683573E-2</v>
      </c>
    </row>
    <row r="25" spans="1:9" ht="15.6">
      <c r="A25" s="48" t="str">
        <v xml:space="preserve">Kohls - Waterbury </v>
      </c>
      <c r="B25" s="10" t="str">
        <v>CT</v>
      </c>
      <c r="C25" s="11">
        <f>SUM(Jan!C25, Feb!C25, Mar!C25)</f>
        <v>52627</v>
      </c>
      <c r="D25" s="18">
        <f>SUM(Jan!D25, Feb!D25, Mar!D25)</f>
        <v>51880</v>
      </c>
      <c r="E25" s="18">
        <f t="shared" si="5"/>
        <v>747</v>
      </c>
      <c r="F25" s="19">
        <f t="shared" si="6"/>
        <v>1.4398612181958365E-2</v>
      </c>
      <c r="G25" s="20">
        <f>SUM(Jan!G25, Feb!G25,Mar!G25)</f>
        <v>63024.39</v>
      </c>
      <c r="H25" s="20">
        <f>SUM(Jan!H25, Feb!H25, Mar!H25)</f>
        <v>-10397.389999999998</v>
      </c>
      <c r="I25" s="19">
        <f t="shared" si="2"/>
        <v>-0.1649740679759058</v>
      </c>
    </row>
    <row r="26" spans="1:9" ht="15.6">
      <c r="A26" s="47" t="str">
        <v>Mojave Water Agency - Headquarters</v>
      </c>
      <c r="B26" s="9" t="str">
        <v>CA</v>
      </c>
      <c r="C26" s="24">
        <f>SUM(Jan!C26, Feb!C26, Mar!C26)</f>
        <v>98584</v>
      </c>
      <c r="D26" s="13">
        <f>SUM(Jan!D26, Feb!D26, Mar!D26)</f>
        <v>92436</v>
      </c>
      <c r="E26" s="13">
        <f t="shared" ref="E26:E69" si="7">IF(AND(ISNUMBER(C26),ISNUMBER(D26)), C26-D26, "")</f>
        <v>6148</v>
      </c>
      <c r="F26" s="14">
        <f t="shared" ref="F26:F69" si="8">IFERROR(E26/D26, "")</f>
        <v>6.651088320567744E-2</v>
      </c>
      <c r="G26" s="15">
        <f>SUM(Jan!G26, Feb!G26, Mar!G27)</f>
        <v>169730.46</v>
      </c>
      <c r="H26" s="15">
        <f>SUM(Jan!H26, Feb!H26, Mar!H26)</f>
        <v>11987.400000000001</v>
      </c>
      <c r="I26" s="16">
        <f t="shared" si="2"/>
        <v>7.0626097401727428E-2</v>
      </c>
    </row>
    <row r="27" spans="1:9" ht="15.6">
      <c r="A27" s="48" t="str">
        <v>CSU - Bakersfield</v>
      </c>
      <c r="B27" s="10" t="str">
        <v>CA</v>
      </c>
      <c r="C27" s="11">
        <f>SUM(Jan!C27, Feb!C27, Mar!C27)</f>
        <v>290309</v>
      </c>
      <c r="D27" s="18">
        <f>SUM(Jan!D27, Feb!D27, Mar!D27)</f>
        <v>288798</v>
      </c>
      <c r="E27" s="18">
        <f t="shared" si="7"/>
        <v>1511</v>
      </c>
      <c r="F27" s="19">
        <f t="shared" si="8"/>
        <v>5.2320306927333294E-3</v>
      </c>
      <c r="G27" s="20">
        <f>SUM(Jan!G27, Feb!G27,Mar!G27)</f>
        <v>257127.57</v>
      </c>
      <c r="H27" s="20">
        <f>SUM(Jan!H27, Feb!H27, Mar!H27)</f>
        <v>33181.430000000008</v>
      </c>
      <c r="I27" s="19">
        <f t="shared" si="2"/>
        <v>0.1290465662628088</v>
      </c>
    </row>
    <row r="28" spans="1:9" ht="15.6">
      <c r="A28" s="47" t="str">
        <v>Greenfield USD - Fairfield ES</v>
      </c>
      <c r="B28" s="9" t="str">
        <v>CA</v>
      </c>
      <c r="C28" s="24">
        <f>SUM(Jan!C28, Feb!C28, Mar!C28)</f>
        <v>31004</v>
      </c>
      <c r="D28" s="13">
        <f>SUM(Jan!D28, Feb!D28, Mar!D28)</f>
        <v>30796</v>
      </c>
      <c r="E28" s="13">
        <f t="shared" si="7"/>
        <v>208</v>
      </c>
      <c r="F28" s="14">
        <f t="shared" si="8"/>
        <v>6.7541239121963895E-3</v>
      </c>
      <c r="G28" s="15">
        <f>SUM(Jan!G28, Feb!G28, Mar!G29)</f>
        <v>44355.33</v>
      </c>
      <c r="H28" s="15">
        <f>SUM(Jan!H28, Feb!H28, Mar!H28)</f>
        <v>4843.4400000000005</v>
      </c>
      <c r="I28" s="16">
        <f t="shared" si="2"/>
        <v>0.10919634686519072</v>
      </c>
    </row>
    <row r="29" spans="1:9" ht="15.6">
      <c r="A29" s="48" t="str">
        <v>Greenfield USD - Granite Point ES</v>
      </c>
      <c r="B29" s="10" t="str">
        <v>CA</v>
      </c>
      <c r="C29" s="11">
        <f>SUM(Jan!C29, Feb!C29, Mar!C29)</f>
        <v>85429</v>
      </c>
      <c r="D29" s="18">
        <f>SUM(Jan!D29, Feb!D29, Mar!D29)</f>
        <v>85217</v>
      </c>
      <c r="E29" s="18">
        <f t="shared" si="7"/>
        <v>212</v>
      </c>
      <c r="F29" s="19">
        <f t="shared" si="8"/>
        <v>2.4877665254585354E-3</v>
      </c>
      <c r="G29" s="20">
        <f>SUM(Jan!G29, Feb!G29,Mar!G29)</f>
        <v>68700.23000000001</v>
      </c>
      <c r="H29" s="20">
        <f>SUM(Jan!H29, Feb!H29, Mar!H29)</f>
        <v>16728.77</v>
      </c>
      <c r="I29" s="19">
        <f t="shared" si="2"/>
        <v>0.24350384270911463</v>
      </c>
    </row>
    <row r="30" spans="1:9" ht="15.6">
      <c r="A30" s="47" t="str">
        <v>Greenfield USD - Greenfield MS</v>
      </c>
      <c r="B30" s="9" t="str">
        <v>CA</v>
      </c>
      <c r="C30" s="24">
        <f>SUM(Jan!C30, Feb!C30, Mar!C30)</f>
        <v>46320</v>
      </c>
      <c r="D30" s="13">
        <f>SUM(Jan!D30, Feb!D30, Mar!D30)</f>
        <v>32166</v>
      </c>
      <c r="E30" s="13">
        <f t="shared" si="7"/>
        <v>14154</v>
      </c>
      <c r="F30" s="14">
        <f t="shared" si="8"/>
        <v>0.44002984517813842</v>
      </c>
      <c r="G30" s="15">
        <f>SUM(Jan!G30, Feb!G30, Mar!G31)</f>
        <v>49111.119999999995</v>
      </c>
      <c r="H30" s="15">
        <f>SUM(Jan!H30, Feb!H30, Mar!H30)</f>
        <v>7310.4419999999991</v>
      </c>
      <c r="I30" s="16">
        <f t="shared" si="2"/>
        <v>0.14885512690404942</v>
      </c>
    </row>
    <row r="31" spans="1:9" ht="15.6">
      <c r="A31" s="48" t="str">
        <v>Greenfield USD - Horizon ES</v>
      </c>
      <c r="B31" s="10" t="str">
        <v>CA</v>
      </c>
      <c r="C31" s="11">
        <f>SUM(Jan!C31, Feb!C31, Mar!C31)</f>
        <v>77999</v>
      </c>
      <c r="D31" s="18">
        <f>SUM(Jan!D31, Feb!D31, Mar!D31)</f>
        <v>77925</v>
      </c>
      <c r="E31" s="18">
        <f t="shared" si="7"/>
        <v>74</v>
      </c>
      <c r="F31" s="19">
        <f t="shared" si="8"/>
        <v>9.4963105550208539E-4</v>
      </c>
      <c r="G31" s="20">
        <f>SUM(Jan!G31, Feb!G31,Mar!G31)</f>
        <v>70247.87999999999</v>
      </c>
      <c r="H31" s="20">
        <f>SUM(Jan!H31, Feb!H31, Mar!H31)</f>
        <v>7751.1200000000026</v>
      </c>
      <c r="I31" s="19">
        <f t="shared" si="2"/>
        <v>0.11033955757810775</v>
      </c>
    </row>
    <row r="32" spans="1:9" ht="15.6">
      <c r="A32" s="47" t="str">
        <v>Greenfield USD - McKee MS</v>
      </c>
      <c r="B32" s="9" t="str">
        <v>CA</v>
      </c>
      <c r="C32" s="24">
        <f>SUM(Jan!C32, Feb!C32, Mar!C32)</f>
        <v>37769</v>
      </c>
      <c r="D32" s="13">
        <f>SUM(Jan!D32, Feb!D32, Mar!D32)</f>
        <v>37672</v>
      </c>
      <c r="E32" s="13">
        <f t="shared" si="7"/>
        <v>97</v>
      </c>
      <c r="F32" s="14">
        <f t="shared" si="8"/>
        <v>2.5748566574644296E-3</v>
      </c>
      <c r="G32" s="15">
        <f>SUM(Jan!G32, Feb!G32, Mar!G33)</f>
        <v>37725.43</v>
      </c>
      <c r="H32" s="15">
        <f>SUM(Jan!H32, Feb!H32, Mar!H32)</f>
        <v>-5204.84</v>
      </c>
      <c r="I32" s="16">
        <f t="shared" si="2"/>
        <v>-0.13796635319995026</v>
      </c>
    </row>
    <row r="33" spans="1:9" ht="15.6">
      <c r="A33" s="48" t="str">
        <v>Greenfield USD - Plantation ES</v>
      </c>
      <c r="B33" s="10" t="str">
        <v>CA</v>
      </c>
      <c r="C33" s="11">
        <f>SUM(Jan!C33, Feb!C33, Mar!C33)</f>
        <v>36700</v>
      </c>
      <c r="D33" s="18">
        <f>SUM(Jan!D33, Feb!D33, Mar!D33)</f>
        <v>36583</v>
      </c>
      <c r="E33" s="18">
        <f t="shared" si="7"/>
        <v>117</v>
      </c>
      <c r="F33" s="19">
        <f t="shared" si="8"/>
        <v>3.1982068173741903E-3</v>
      </c>
      <c r="G33" s="20">
        <f>SUM(Jan!G33, Feb!G33,Mar!G33)</f>
        <v>30727.229999999996</v>
      </c>
      <c r="H33" s="20">
        <f>SUM(Jan!H33, Feb!H33, Mar!H33)</f>
        <v>5972.77</v>
      </c>
      <c r="I33" s="19">
        <f t="shared" si="2"/>
        <v>0.19438035904961173</v>
      </c>
    </row>
    <row r="34" spans="1:9" ht="15.6">
      <c r="A34" s="47" t="str">
        <v>Greenfield USD - Planz ES</v>
      </c>
      <c r="B34" s="9" t="str">
        <v>CA</v>
      </c>
      <c r="C34" s="24">
        <f>SUM(Jan!C34, Feb!C34, Mar!C34)</f>
        <v>14100</v>
      </c>
      <c r="D34" s="13">
        <f>SUM(Jan!D34, Feb!D34, Mar!D34)</f>
        <v>14007</v>
      </c>
      <c r="E34" s="13">
        <f t="shared" si="7"/>
        <v>93</v>
      </c>
      <c r="F34" s="14">
        <f t="shared" si="8"/>
        <v>6.6395373741700578E-3</v>
      </c>
      <c r="G34" s="15">
        <f>SUM(Jan!G34, Feb!G34, Mar!G35)</f>
        <v>52884.98</v>
      </c>
      <c r="H34" s="15">
        <f>SUM(Jan!H34, Feb!H34, Mar!H34)</f>
        <v>-20668.34</v>
      </c>
      <c r="I34" s="16">
        <f t="shared" si="2"/>
        <v>-0.39081682549563218</v>
      </c>
    </row>
    <row r="35" spans="1:9" ht="15.6">
      <c r="A35" s="48" t="str">
        <v>Greenfield USD - Raffaello Palla ES</v>
      </c>
      <c r="B35" s="10" t="str">
        <v>CA</v>
      </c>
      <c r="C35" s="11">
        <f>SUM(Jan!C35, Feb!C35, Mar!C35)</f>
        <v>78218</v>
      </c>
      <c r="D35" s="18">
        <f>SUM(Jan!D35, Feb!D35, Mar!D35)</f>
        <v>76905</v>
      </c>
      <c r="E35" s="18">
        <f t="shared" si="7"/>
        <v>1313</v>
      </c>
      <c r="F35" s="19">
        <f t="shared" si="8"/>
        <v>1.7073012157857097E-2</v>
      </c>
      <c r="G35" s="20">
        <f>SUM(Jan!G35, Feb!G35,Mar!G35)</f>
        <v>77136.540000000008</v>
      </c>
      <c r="H35" s="20">
        <f>SUM(Jan!H35, Feb!H35, Mar!H35)</f>
        <v>1081.4599999999991</v>
      </c>
      <c r="I35" s="19">
        <f t="shared" si="2"/>
        <v>1.4020074014209077E-2</v>
      </c>
    </row>
    <row r="36" spans="1:9" ht="15.6">
      <c r="A36" s="47" t="str">
        <v>Greenfield USD - Valle Verde ES</v>
      </c>
      <c r="B36" s="9" t="str">
        <v>CA</v>
      </c>
      <c r="C36" s="24">
        <f>SUM(Jan!C36, Feb!C36, Mar!C36)</f>
        <v>94530</v>
      </c>
      <c r="D36" s="13">
        <f>SUM(Jan!D36, Feb!D36, Mar!D36)</f>
        <v>93825</v>
      </c>
      <c r="E36" s="13">
        <f t="shared" si="7"/>
        <v>705</v>
      </c>
      <c r="F36" s="14">
        <f t="shared" si="8"/>
        <v>7.513988808952838E-3</v>
      </c>
      <c r="G36" s="15">
        <f>SUM(Jan!G36, Feb!G36, Mar!G37)</f>
        <v>53460.28</v>
      </c>
      <c r="H36" s="15">
        <f>SUM(Jan!H36, Feb!H36, Mar!H36)</f>
        <v>22153.41</v>
      </c>
      <c r="I36" s="16">
        <f t="shared" si="2"/>
        <v>0.41439008549899103</v>
      </c>
    </row>
    <row r="37" spans="1:9" ht="15.6">
      <c r="A37" s="48" t="str">
        <v>Greenfield USD - W.A. Kendrick ES</v>
      </c>
      <c r="B37" s="10" t="str">
        <v>CA</v>
      </c>
      <c r="C37" s="11">
        <f>SUM(Jan!C37, Feb!C37, Mar!C37)</f>
        <v>9316</v>
      </c>
      <c r="D37" s="18">
        <f>SUM(Jan!D37, Feb!D37, Mar!D37)</f>
        <v>0</v>
      </c>
      <c r="E37" s="18">
        <f t="shared" si="7"/>
        <v>9316</v>
      </c>
      <c r="F37" s="19" t="str">
        <f t="shared" si="8"/>
        <v/>
      </c>
      <c r="G37" s="20">
        <f>SUM(Jan!G37, Feb!G37,Mar!G37)</f>
        <v>27900.949999999997</v>
      </c>
      <c r="H37" s="20">
        <f>SUM(Jan!H37, Feb!H37, Mar!H37)</f>
        <v>-18584.95</v>
      </c>
      <c r="I37" s="19">
        <f t="shared" si="2"/>
        <v>-0.66610455916375622</v>
      </c>
    </row>
    <row r="38" spans="1:9" ht="15.6">
      <c r="A38" s="47" t="str">
        <v>Muroc Joint USD - Boron HS</v>
      </c>
      <c r="B38" s="9" t="str">
        <v>CA</v>
      </c>
      <c r="C38" s="24">
        <f>SUM(Jan!C38, Feb!C38, Mar!C38)</f>
        <v>0</v>
      </c>
      <c r="D38" s="13">
        <f>SUM(Jan!D38, Feb!D38, Mar!D38)</f>
        <v>0</v>
      </c>
      <c r="E38" s="13">
        <f t="shared" si="7"/>
        <v>0</v>
      </c>
      <c r="F38" s="14" t="str">
        <f t="shared" si="8"/>
        <v/>
      </c>
      <c r="G38" s="15">
        <f>SUM(Jan!G38, Feb!G38, Mar!G39)</f>
        <v>61204.34</v>
      </c>
      <c r="H38" s="15">
        <f>SUM(Jan!H38, Feb!H38, Mar!H38)</f>
        <v>-83442.209999999992</v>
      </c>
      <c r="I38" s="16">
        <f t="shared" si="2"/>
        <v>-1.36333812275404</v>
      </c>
    </row>
    <row r="39" spans="1:9" ht="15.6">
      <c r="A39" s="48" t="str">
        <v>Muroc Joint USD - W. Boron ES</v>
      </c>
      <c r="B39" s="10" t="str">
        <v>CA</v>
      </c>
      <c r="C39" s="11">
        <f>SUM(Jan!C39, Feb!C39, Mar!C39)</f>
        <v>32769</v>
      </c>
      <c r="D39" s="18">
        <f>SUM(Jan!D39, Feb!D39, Mar!D39)</f>
        <v>32760</v>
      </c>
      <c r="E39" s="18">
        <f t="shared" si="7"/>
        <v>9</v>
      </c>
      <c r="F39" s="19">
        <f t="shared" si="8"/>
        <v>2.7472527472527473E-4</v>
      </c>
      <c r="G39" s="20">
        <f>SUM(Jan!G39, Feb!G39,Mar!G39)</f>
        <v>30870.400000000001</v>
      </c>
      <c r="H39" s="20">
        <f>SUM(Jan!H39, Feb!H39, Mar!H39)</f>
        <v>1898.5999999999985</v>
      </c>
      <c r="I39" s="19">
        <f t="shared" si="2"/>
        <v>6.1502280501710326E-2</v>
      </c>
    </row>
    <row r="40" spans="1:9" ht="15.6">
      <c r="A40" s="47" t="str">
        <v>Colusa - WTP</v>
      </c>
      <c r="B40" s="9" t="str">
        <v>CA</v>
      </c>
      <c r="C40" s="24">
        <f>SUM(Jan!C40, Feb!C40, Mar!C40)</f>
        <v>0</v>
      </c>
      <c r="D40" s="13">
        <f>SUM(Jan!D40, Feb!D40, Mar!D40)</f>
        <v>0</v>
      </c>
      <c r="E40" s="13">
        <f t="shared" si="7"/>
        <v>0</v>
      </c>
      <c r="F40" s="14" t="str">
        <f t="shared" si="8"/>
        <v/>
      </c>
      <c r="G40" s="15">
        <f>SUM(Jan!G40, Feb!G40, Mar!G41)</f>
        <v>190622.74</v>
      </c>
      <c r="H40" s="15">
        <f>SUM(Jan!H40, Feb!H40, Mar!H40)</f>
        <v>-83651.299999999988</v>
      </c>
      <c r="I40" s="16">
        <f t="shared" si="2"/>
        <v>-0.43883169447674497</v>
      </c>
    </row>
    <row r="41" spans="1:9" ht="15.6">
      <c r="A41" s="48" t="str">
        <v>CDCR-North Kern State Prision</v>
      </c>
      <c r="B41" s="10" t="str">
        <v>CA</v>
      </c>
      <c r="C41" s="11">
        <f>SUM(Jan!C41, Feb!C41, Mar!C41)</f>
        <v>237075</v>
      </c>
      <c r="D41" s="18">
        <f>SUM(Jan!D41, Feb!D41, Mar!D41)</f>
        <v>235320</v>
      </c>
      <c r="E41" s="18">
        <f t="shared" si="7"/>
        <v>1755</v>
      </c>
      <c r="F41" s="19">
        <f t="shared" si="8"/>
        <v>7.4579296277409489E-3</v>
      </c>
      <c r="G41" s="20">
        <f>SUM(Jan!G41, Feb!G41,Mar!G41)</f>
        <v>335883.02</v>
      </c>
      <c r="H41" s="20">
        <f>SUM(Jan!H41, Feb!H41, Mar!H41)</f>
        <v>-98808.02</v>
      </c>
      <c r="I41" s="19">
        <f t="shared" si="2"/>
        <v>-0.29417390614148936</v>
      </c>
    </row>
    <row r="42" spans="1:9" ht="15.6">
      <c r="A42" s="47" t="str">
        <v>Muroc Joint USD - District Office</v>
      </c>
      <c r="B42" s="9" t="str">
        <v>CA</v>
      </c>
      <c r="C42" s="24">
        <f>SUM(Jan!C42, Feb!C42, Mar!C42)</f>
        <v>16393</v>
      </c>
      <c r="D42" s="13">
        <f>SUM(Jan!D42, Feb!D42, Mar!D42)</f>
        <v>27687</v>
      </c>
      <c r="E42" s="13">
        <f t="shared" si="7"/>
        <v>-11294</v>
      </c>
      <c r="F42" s="14">
        <f t="shared" si="8"/>
        <v>-0.40791707299454616</v>
      </c>
      <c r="G42" s="15">
        <f>SUM(Jan!G42, Feb!G42, Mar!G43)</f>
        <v>31773.82</v>
      </c>
      <c r="H42" s="15">
        <f>SUM(Jan!H42, Feb!H42, Mar!H42)</f>
        <v>-5347.9399999999987</v>
      </c>
      <c r="I42" s="16">
        <f t="shared" si="2"/>
        <v>-0.1683127807736054</v>
      </c>
    </row>
    <row r="43" spans="1:9" ht="15.6">
      <c r="A43" s="48" t="str">
        <v>Whole Foods - Manhattan Beach</v>
      </c>
      <c r="B43" s="10" t="str">
        <v>CA</v>
      </c>
      <c r="C43" s="11">
        <f>SUM(Jan!C43, Feb!C43, Mar!C43)</f>
        <v>39546</v>
      </c>
      <c r="D43" s="18">
        <f>SUM(Jan!D43, Feb!D43, Mar!D43)</f>
        <v>39678</v>
      </c>
      <c r="E43" s="18">
        <f t="shared" si="7"/>
        <v>-132</v>
      </c>
      <c r="F43" s="19">
        <f t="shared" si="8"/>
        <v>-3.3267805836987752E-3</v>
      </c>
      <c r="G43" s="20">
        <f>SUM(Jan!G43, Feb!G43,Mar!G43)</f>
        <v>48623.56</v>
      </c>
      <c r="H43" s="20">
        <f>SUM(Jan!H43, Feb!H43, Mar!H43)</f>
        <v>-9077.5599999999977</v>
      </c>
      <c r="I43" s="19">
        <f t="shared" si="2"/>
        <v>-0.18669056728877931</v>
      </c>
    </row>
    <row r="44" spans="1:9" ht="15.6">
      <c r="A44" s="47" t="str">
        <v>Pioneer USD - Frontier ES</v>
      </c>
      <c r="B44" s="9" t="str">
        <v>CA</v>
      </c>
      <c r="C44" s="24">
        <f>SUM(Jan!C44, Feb!C44, Mar!C44)</f>
        <v>69193</v>
      </c>
      <c r="D44" s="13">
        <f>SUM(Jan!D44, Feb!D44, Mar!D44)</f>
        <v>0</v>
      </c>
      <c r="E44" s="13">
        <f t="shared" si="7"/>
        <v>69193</v>
      </c>
      <c r="F44" s="14" t="str">
        <f t="shared" si="8"/>
        <v/>
      </c>
      <c r="G44" s="15">
        <f>SUM(Jan!G44, Feb!G44, Mar!G45)</f>
        <v>61922.17</v>
      </c>
      <c r="H44" s="15">
        <f>SUM(Jan!H44, Feb!H44, Mar!H44)</f>
        <v>8061.0299999999988</v>
      </c>
      <c r="I44" s="16">
        <f t="shared" si="2"/>
        <v>0.13018003083548266</v>
      </c>
    </row>
    <row r="45" spans="1:9" ht="15.6">
      <c r="A45" s="48" t="str">
        <v>Pioneer USD - Pioneer ES</v>
      </c>
      <c r="B45" s="10" t="str">
        <v>CA</v>
      </c>
      <c r="C45" s="11">
        <f>SUM(Jan!C45, Feb!C45, Mar!C45)</f>
        <v>41281</v>
      </c>
      <c r="D45" s="18">
        <f>SUM(Jan!D45, Feb!D45, Mar!D45)</f>
        <v>0</v>
      </c>
      <c r="E45" s="18">
        <f t="shared" si="7"/>
        <v>41281</v>
      </c>
      <c r="F45" s="19" t="str">
        <f t="shared" si="8"/>
        <v/>
      </c>
      <c r="G45" s="20">
        <f>SUM(Jan!G45, Feb!G45,Mar!G45)</f>
        <v>62281.26</v>
      </c>
      <c r="H45" s="20">
        <f>SUM(Jan!H45, Feb!H45, Mar!H45)</f>
        <v>-21000.260000000002</v>
      </c>
      <c r="I45" s="19">
        <f t="shared" si="2"/>
        <v>-0.33718425092877058</v>
      </c>
    </row>
    <row r="46" spans="1:9" ht="15.6">
      <c r="A46" s="47" t="str">
        <v>Pioneer USD - Pioneer MS</v>
      </c>
      <c r="B46" s="9" t="str">
        <v>CA</v>
      </c>
      <c r="C46" s="24">
        <f>SUM(Jan!C46, Feb!C46, Mar!C46)</f>
        <v>95802</v>
      </c>
      <c r="D46" s="13">
        <f>SUM(Jan!D46, Feb!D46, Mar!D46)</f>
        <v>0</v>
      </c>
      <c r="E46" s="13">
        <f t="shared" si="7"/>
        <v>95802</v>
      </c>
      <c r="F46" s="14" t="str">
        <f t="shared" si="8"/>
        <v/>
      </c>
      <c r="G46" s="15">
        <f>SUM(Jan!G46, Feb!G46, Mar!G47)</f>
        <v>101766.18</v>
      </c>
      <c r="H46" s="15">
        <f>SUM(Jan!H46, Feb!H46, Mar!H46)</f>
        <v>11728.330000000002</v>
      </c>
      <c r="I46" s="16">
        <f t="shared" si="2"/>
        <v>0.11524781612123008</v>
      </c>
    </row>
    <row r="47" spans="1:9" ht="15.6">
      <c r="A47" s="48" t="str">
        <v>Kingsburg Joint UHSD - Kingsburg HS</v>
      </c>
      <c r="B47" s="10" t="str">
        <v>CA</v>
      </c>
      <c r="C47" s="11">
        <f>SUM(Jan!C47, Feb!C47, Mar!C47)</f>
        <v>154011</v>
      </c>
      <c r="D47" s="18">
        <f>SUM(Jan!D47, Feb!D47, Mar!D47)</f>
        <v>133941</v>
      </c>
      <c r="E47" s="18">
        <f t="shared" si="7"/>
        <v>20070</v>
      </c>
      <c r="F47" s="19">
        <f t="shared" si="8"/>
        <v>0.14984209465361614</v>
      </c>
      <c r="G47" s="20">
        <f>SUM(Jan!G47, Feb!G47,Mar!G47)</f>
        <v>144517.65000000002</v>
      </c>
      <c r="H47" s="20">
        <f>SUM(Jan!H47, Feb!H47, Mar!H47)</f>
        <v>9493.3499999999985</v>
      </c>
      <c r="I47" s="19">
        <f t="shared" si="2"/>
        <v>6.5689900160983777E-2</v>
      </c>
    </row>
    <row r="48" spans="1:9" ht="15.6">
      <c r="A48" s="47" t="str">
        <v>CADRB</v>
      </c>
      <c r="B48" s="9" t="str">
        <v>CA</v>
      </c>
      <c r="C48" s="24">
        <f>SUM(Jan!C48, Feb!C48, Mar!C48)</f>
        <v>0</v>
      </c>
      <c r="D48" s="13">
        <f>SUM(Jan!D48, Feb!D48, Mar!D48)</f>
        <v>0</v>
      </c>
      <c r="E48" s="13">
        <f t="shared" si="7"/>
        <v>0</v>
      </c>
      <c r="F48" s="14" t="str">
        <f t="shared" si="8"/>
        <v/>
      </c>
      <c r="G48" s="15">
        <f>SUM(Jan!G48, Feb!G48, Mar!G49)</f>
        <v>1265150.78</v>
      </c>
      <c r="H48" s="15">
        <f>SUM(Jan!H48, Feb!H48, Mar!H48)</f>
        <v>-1550916</v>
      </c>
      <c r="I48" s="16">
        <f t="shared" si="2"/>
        <v>-1.2258744368793733</v>
      </c>
    </row>
    <row r="49" spans="1:9" ht="15.6">
      <c r="A49" s="48" t="str">
        <v>CDCR-CA State Prison LA County</v>
      </c>
      <c r="B49" s="10" t="str">
        <v>CA</v>
      </c>
      <c r="C49" s="11">
        <f>SUM(Jan!C49, Feb!C49, Mar!C49)</f>
        <v>572550</v>
      </c>
      <c r="D49" s="18">
        <f>SUM(Jan!D49, Feb!D49, Mar!D49)</f>
        <v>571486</v>
      </c>
      <c r="E49" s="18">
        <f t="shared" si="7"/>
        <v>1064</v>
      </c>
      <c r="F49" s="19">
        <f t="shared" si="8"/>
        <v>1.8618128878047757E-3</v>
      </c>
      <c r="G49" s="20">
        <f>SUM(Jan!G49, Feb!G49,Mar!G49)</f>
        <v>956201.8600000001</v>
      </c>
      <c r="H49" s="20">
        <f>SUM(Jan!H49, Feb!H49, Mar!H49)</f>
        <v>-383651.86000000004</v>
      </c>
      <c r="I49" s="19">
        <f t="shared" si="2"/>
        <v>-0.40122475812795427</v>
      </c>
    </row>
    <row r="50" spans="1:9" ht="15.6">
      <c r="A50" s="47" t="str">
        <v>Central USD Akers ES</v>
      </c>
      <c r="B50" s="9" t="str">
        <v>CA</v>
      </c>
      <c r="C50" s="24">
        <f>SUM(Jan!C50, Feb!C50, Mar!C50)</f>
        <v>125312</v>
      </c>
      <c r="D50" s="13">
        <f>SUM(Jan!D50, Feb!D50, Mar!D50)</f>
        <v>0</v>
      </c>
      <c r="E50" s="13">
        <f t="shared" si="7"/>
        <v>125312</v>
      </c>
      <c r="F50" s="14" t="str">
        <f t="shared" si="8"/>
        <v/>
      </c>
      <c r="G50" s="15">
        <f>SUM(Jan!G50, Feb!G50, Mar!G51)</f>
        <v>60014.97</v>
      </c>
      <c r="H50" s="15">
        <f>SUM(Jan!H50, Feb!H50, Mar!H50)</f>
        <v>58235.26999999999</v>
      </c>
      <c r="I50" s="16">
        <f t="shared" si="2"/>
        <v>0.97034573207318087</v>
      </c>
    </row>
    <row r="51" spans="1:9" ht="15.6">
      <c r="A51" s="48" t="str">
        <v>CUSD - District Office</v>
      </c>
      <c r="B51" s="10" t="str">
        <v>CA</v>
      </c>
      <c r="C51" s="11">
        <f>SUM(Jan!C51, Feb!C51, Mar!C51)</f>
        <v>49223</v>
      </c>
      <c r="D51" s="18">
        <f>SUM(Jan!D51, Feb!D51, Mar!D51)</f>
        <v>49053</v>
      </c>
      <c r="E51" s="18">
        <f t="shared" si="7"/>
        <v>170</v>
      </c>
      <c r="F51" s="19">
        <f t="shared" si="8"/>
        <v>3.465639206572483E-3</v>
      </c>
      <c r="G51" s="20">
        <f>SUM(Jan!G51, Feb!G51,Mar!G51)</f>
        <v>51733.5</v>
      </c>
      <c r="H51" s="20">
        <f>SUM(Jan!H51, Feb!H51, Mar!H51)</f>
        <v>-2510.4999999999982</v>
      </c>
      <c r="I51" s="19">
        <f t="shared" si="2"/>
        <v>-4.8527549846811027E-2</v>
      </c>
    </row>
    <row r="52" spans="1:9" ht="15.6">
      <c r="A52" s="47" t="str">
        <v>Parlier - WTP</v>
      </c>
      <c r="B52" s="9" t="str">
        <v>CA</v>
      </c>
      <c r="C52" s="24">
        <f>SUM(Jan!C52, Feb!C52, Mar!C52)</f>
        <v>96610</v>
      </c>
      <c r="D52" s="13">
        <f>SUM(Jan!D52, Feb!D52, Mar!D52)</f>
        <v>97173</v>
      </c>
      <c r="E52" s="13">
        <f t="shared" si="7"/>
        <v>-563</v>
      </c>
      <c r="F52" s="14">
        <f t="shared" si="8"/>
        <v>-5.7937904561966803E-3</v>
      </c>
      <c r="G52" s="15">
        <f>SUM(Jan!G52, Feb!G52, Mar!G53)</f>
        <v>104445.94</v>
      </c>
      <c r="H52" s="15">
        <f>SUM(Jan!H52, Feb!H52, Mar!H52)</f>
        <v>-37093.360000000001</v>
      </c>
      <c r="I52" s="16">
        <f t="shared" si="2"/>
        <v>-0.35514410612801223</v>
      </c>
    </row>
    <row r="53" spans="1:9" ht="15.6">
      <c r="A53" s="48" t="str">
        <v>Snowline SD - Quail Valley MS</v>
      </c>
      <c r="B53" s="10" t="str">
        <v>CA</v>
      </c>
      <c r="C53" s="11">
        <f>SUM(Jan!C53, Feb!C53, Mar!C53)</f>
        <v>73141</v>
      </c>
      <c r="D53" s="18">
        <f>SUM(Jan!D53, Feb!D53, Mar!D53)</f>
        <v>71547</v>
      </c>
      <c r="E53" s="18">
        <f t="shared" si="7"/>
        <v>1594</v>
      </c>
      <c r="F53" s="19">
        <f t="shared" si="8"/>
        <v>2.2279061316337511E-2</v>
      </c>
      <c r="G53" s="20">
        <f>SUM(Jan!G53, Feb!G53,Mar!G53)</f>
        <v>86517.260000000009</v>
      </c>
      <c r="H53" s="20">
        <f>SUM(Jan!H53, Feb!H53, Mar!H53)</f>
        <v>-13376.260000000002</v>
      </c>
      <c r="I53" s="19">
        <f t="shared" si="2"/>
        <v>-0.15460799382689652</v>
      </c>
    </row>
    <row r="54" spans="1:9" ht="15.6">
      <c r="A54" s="47" t="str">
        <v>Snowline SD - Serrano HS - Middle Lot</v>
      </c>
      <c r="B54" s="9" t="str">
        <v>CA</v>
      </c>
      <c r="C54" s="24">
        <f>SUM(Jan!C54, Feb!C54, Mar!C54)</f>
        <v>67117</v>
      </c>
      <c r="D54" s="13">
        <f>SUM(Jan!D54, Feb!D54, Mar!D54)</f>
        <v>67726</v>
      </c>
      <c r="E54" s="13">
        <f t="shared" si="7"/>
        <v>-609</v>
      </c>
      <c r="F54" s="14">
        <f t="shared" si="8"/>
        <v>-8.9921152880725278E-3</v>
      </c>
      <c r="G54" s="15">
        <f>SUM(Jan!G54, Feb!G54, Mar!G55)</f>
        <v>77710.38</v>
      </c>
      <c r="H54" s="15">
        <f>SUM(Jan!H54, Feb!H54, Mar!H54)</f>
        <v>-33457.150000000009</v>
      </c>
      <c r="I54" s="16">
        <f t="shared" si="2"/>
        <v>-0.43053643541570646</v>
      </c>
    </row>
    <row r="55" spans="1:9" ht="15.6">
      <c r="A55" s="48" t="str">
        <v>Snowline SD - Pinon Hills ES</v>
      </c>
      <c r="B55" s="10" t="str">
        <v>CA</v>
      </c>
      <c r="C55" s="11">
        <f>SUM(Jan!C55, Feb!C55, Mar!C55)</f>
        <v>30706</v>
      </c>
      <c r="D55" s="18">
        <f>SUM(Jan!D55, Feb!D55, Mar!D55)</f>
        <v>31037</v>
      </c>
      <c r="E55" s="18">
        <f t="shared" si="7"/>
        <v>-331</v>
      </c>
      <c r="F55" s="19">
        <f t="shared" si="8"/>
        <v>-1.0664690530656959E-2</v>
      </c>
      <c r="G55" s="20">
        <f>SUM(Jan!G55, Feb!G55,Mar!G55)</f>
        <v>52493.94</v>
      </c>
      <c r="H55" s="20">
        <f>SUM(Jan!H55, Feb!H55, Mar!H55)</f>
        <v>-21787.94</v>
      </c>
      <c r="I55" s="19">
        <f t="shared" si="2"/>
        <v>-0.4150562903070335</v>
      </c>
    </row>
    <row r="56" spans="1:9" ht="15.6">
      <c r="A56" s="47" t="str">
        <v>Ramona - Santa Maria WTP</v>
      </c>
      <c r="B56" s="9" t="str">
        <v>CA</v>
      </c>
      <c r="C56" s="24">
        <f>SUM(Jan!C56, Feb!C56, Mar!C56)</f>
        <v>166769</v>
      </c>
      <c r="D56" s="13">
        <f>SUM(Jan!D56, Feb!D56, Mar!D56)</f>
        <v>166654</v>
      </c>
      <c r="E56" s="13">
        <f t="shared" si="7"/>
        <v>115</v>
      </c>
      <c r="F56" s="14">
        <f t="shared" si="8"/>
        <v>6.9005244398574295E-4</v>
      </c>
      <c r="G56" s="15">
        <f>SUM(Jan!G56, Feb!G56, Mar!G57)</f>
        <v>142213.79</v>
      </c>
      <c r="H56" s="15">
        <f>SUM(Jan!H56, Feb!H56, Mar!H56)</f>
        <v>-21695.509999999995</v>
      </c>
      <c r="I56" s="16">
        <f t="shared" si="2"/>
        <v>-0.15255559956597733</v>
      </c>
    </row>
    <row r="57" spans="1:9" ht="15.6">
      <c r="A57" s="48" t="str">
        <v>Kohls - Redding</v>
      </c>
      <c r="B57" s="10" t="str">
        <v>CA</v>
      </c>
      <c r="C57" s="11">
        <f>SUM(Jan!C57, Feb!C57, Mar!C57)</f>
        <v>65082</v>
      </c>
      <c r="D57" s="18">
        <f>SUM(Jan!D57, Feb!D57, Mar!D57)</f>
        <v>33</v>
      </c>
      <c r="E57" s="18">
        <f t="shared" si="7"/>
        <v>65049</v>
      </c>
      <c r="F57" s="19">
        <f t="shared" si="8"/>
        <v>1971.1818181818182</v>
      </c>
      <c r="G57" s="20">
        <f>SUM(Jan!G57, Feb!G57,Mar!G57)</f>
        <v>56668.39</v>
      </c>
      <c r="H57" s="20">
        <f>SUM(Jan!H57, Feb!H57, Mar!H57)</f>
        <v>8413.61</v>
      </c>
      <c r="I57" s="19">
        <f t="shared" si="2"/>
        <v>0.14847095532447632</v>
      </c>
    </row>
    <row r="58" spans="1:9" ht="15.6">
      <c r="A58" s="47" t="str">
        <v>Kohls - Salinas</v>
      </c>
      <c r="B58" s="9" t="str">
        <v>CA</v>
      </c>
      <c r="C58" s="24">
        <f>SUM(Jan!C58, Feb!C58, Mar!C58)</f>
        <v>79266</v>
      </c>
      <c r="D58" s="13">
        <f>SUM(Jan!D58, Feb!D58, Mar!D58)</f>
        <v>79173</v>
      </c>
      <c r="E58" s="13">
        <f t="shared" si="7"/>
        <v>93</v>
      </c>
      <c r="F58" s="14">
        <f t="shared" si="8"/>
        <v>1.1746428706756091E-3</v>
      </c>
      <c r="G58" s="15">
        <f>SUM(Jan!G58, Feb!G58, Mar!G59)</f>
        <v>195379.35</v>
      </c>
      <c r="H58" s="15">
        <f>SUM(Jan!H58, Feb!H58, Mar!H58)</f>
        <v>-16326.609999999997</v>
      </c>
      <c r="I58" s="16">
        <f t="shared" si="2"/>
        <v>-8.3563641705226246E-2</v>
      </c>
    </row>
    <row r="59" spans="1:9" ht="15.6">
      <c r="A59" s="48" t="str">
        <v>Kohls - San Bernardino - Central</v>
      </c>
      <c r="B59" s="10" t="str">
        <v>CA</v>
      </c>
      <c r="C59" s="11">
        <f>SUM(Jan!C59, Feb!C59, Mar!C59)</f>
        <v>325957</v>
      </c>
      <c r="D59" s="18">
        <f>SUM(Jan!D59, Feb!D59, Mar!D59)</f>
        <v>324477</v>
      </c>
      <c r="E59" s="18">
        <f t="shared" si="7"/>
        <v>1480</v>
      </c>
      <c r="F59" s="19">
        <f t="shared" si="8"/>
        <v>4.5611861549508899E-3</v>
      </c>
      <c r="G59" s="20">
        <f>SUM(Jan!G59, Feb!G59,Mar!G59)</f>
        <v>373996.89</v>
      </c>
      <c r="H59" s="20">
        <f>SUM(Jan!H59, Feb!H59, Mar!H59)</f>
        <v>-48039.890000000014</v>
      </c>
      <c r="I59" s="19">
        <f t="shared" si="2"/>
        <v>-0.12844997187008697</v>
      </c>
    </row>
    <row r="60" spans="1:9" ht="15.6">
      <c r="A60" s="47" t="str">
        <v>Kohls - Sonora</v>
      </c>
      <c r="B60" s="9" t="str">
        <v>CA</v>
      </c>
      <c r="C60" s="24">
        <f>SUM(Jan!C60, Feb!C60, Mar!C60)</f>
        <v>58428</v>
      </c>
      <c r="D60" s="13">
        <f>SUM(Jan!D60, Feb!D60, Mar!D60)</f>
        <v>39838</v>
      </c>
      <c r="E60" s="13">
        <f t="shared" si="7"/>
        <v>18590</v>
      </c>
      <c r="F60" s="14">
        <f t="shared" si="8"/>
        <v>0.46663989156082131</v>
      </c>
      <c r="G60" s="15">
        <f>SUM(Jan!G60, Feb!G60, Mar!G61)</f>
        <v>53636.639999999999</v>
      </c>
      <c r="H60" s="15">
        <f>SUM(Jan!H60, Feb!H60, Mar!H60)</f>
        <v>-3277.0300000000007</v>
      </c>
      <c r="I60" s="16">
        <f t="shared" si="2"/>
        <v>-6.1096854687392808E-2</v>
      </c>
    </row>
    <row r="61" spans="1:9" ht="15.6">
      <c r="A61" s="48" t="str">
        <v>CUSD - Stratford ES</v>
      </c>
      <c r="B61" s="10" t="str">
        <v>CA</v>
      </c>
      <c r="C61" s="11">
        <f>SUM(Jan!C61, Feb!C61, Mar!C61)</f>
        <v>58757</v>
      </c>
      <c r="D61" s="18">
        <f>SUM(Jan!D61, Feb!D61, Mar!D61)</f>
        <v>59149</v>
      </c>
      <c r="E61" s="18">
        <f t="shared" si="7"/>
        <v>-392</v>
      </c>
      <c r="F61" s="19">
        <f t="shared" si="8"/>
        <v>-6.627330977700384E-3</v>
      </c>
      <c r="G61" s="20">
        <f>SUM(Jan!G61, Feb!G61,Mar!G61)</f>
        <v>44456.07</v>
      </c>
      <c r="H61" s="20">
        <f>SUM(Jan!H61, Feb!H61, Mar!H61)</f>
        <v>14300.930000000002</v>
      </c>
      <c r="I61" s="19">
        <f t="shared" si="2"/>
        <v>0.32168677978057897</v>
      </c>
    </row>
    <row r="62" spans="1:9" ht="15.6">
      <c r="A62" s="47" t="str">
        <v>Taft - City Hall</v>
      </c>
      <c r="B62" s="9" t="str">
        <v>CA</v>
      </c>
      <c r="C62" s="24">
        <f>SUM(Jan!C62, Feb!C62, Mar!C62)</f>
        <v>5032</v>
      </c>
      <c r="D62" s="13">
        <f>SUM(Jan!D62, Feb!D62, Mar!D62)</f>
        <v>298</v>
      </c>
      <c r="E62" s="13">
        <f t="shared" si="7"/>
        <v>4734</v>
      </c>
      <c r="F62" s="14">
        <f t="shared" si="8"/>
        <v>15.885906040268456</v>
      </c>
      <c r="G62" s="15">
        <f>SUM(Jan!G62, Feb!G62, Mar!G63)</f>
        <v>21141.25</v>
      </c>
      <c r="H62" s="15">
        <f>SUM(Jan!H62, Feb!H62, Mar!H62)</f>
        <v>-11478.079999999998</v>
      </c>
      <c r="I62" s="16">
        <f t="shared" si="2"/>
        <v>-0.54292343167977286</v>
      </c>
    </row>
    <row r="63" spans="1:9" ht="15.6">
      <c r="A63" s="48" t="str">
        <v>Taft - Federal Prison</v>
      </c>
      <c r="B63" s="10" t="str">
        <v>CA</v>
      </c>
      <c r="C63" s="11">
        <f>SUM(Jan!C63, Feb!C63, Mar!C63)</f>
        <v>40100</v>
      </c>
      <c r="D63" s="18">
        <f>SUM(Jan!D63, Feb!D63, Mar!D63)</f>
        <v>40585</v>
      </c>
      <c r="E63" s="18">
        <f t="shared" si="7"/>
        <v>-485</v>
      </c>
      <c r="F63" s="19">
        <f t="shared" si="8"/>
        <v>-1.1950227916717999E-2</v>
      </c>
      <c r="G63" s="20">
        <f>SUM(Jan!G63, Feb!G63,Mar!G63)</f>
        <v>28186.639999999999</v>
      </c>
      <c r="H63" s="20">
        <f>SUM(Jan!H63, Feb!H63, Mar!H63)</f>
        <v>11913.36</v>
      </c>
      <c r="I63" s="19">
        <f t="shared" si="2"/>
        <v>0.42265981330162095</v>
      </c>
    </row>
    <row r="64" spans="1:9" ht="15.6">
      <c r="A64" s="47" t="str">
        <v>Taft - Police Department</v>
      </c>
      <c r="B64" s="9" t="str">
        <v>CA</v>
      </c>
      <c r="C64" s="24">
        <f>SUM(Jan!C64, Feb!C64, Mar!C64)</f>
        <v>25316</v>
      </c>
      <c r="D64" s="13">
        <f>SUM(Jan!D64, Feb!D64, Mar!D64)</f>
        <v>25528</v>
      </c>
      <c r="E64" s="13">
        <f t="shared" si="7"/>
        <v>-212</v>
      </c>
      <c r="F64" s="14">
        <f t="shared" si="8"/>
        <v>-8.3046067063616419E-3</v>
      </c>
      <c r="G64" s="15">
        <f>SUM(Jan!G64, Feb!G64, Mar!G65)</f>
        <v>43385.41</v>
      </c>
      <c r="H64" s="15">
        <f>SUM(Jan!H64, Feb!H64, Mar!H64)</f>
        <v>6357.28</v>
      </c>
      <c r="I64" s="16">
        <f t="shared" si="2"/>
        <v>0.14653036585340554</v>
      </c>
    </row>
    <row r="65" spans="1:9" ht="15.6">
      <c r="A65" s="48" t="str">
        <v>Taft - WTP</v>
      </c>
      <c r="B65" s="10" t="str">
        <v>CA</v>
      </c>
      <c r="C65" s="11">
        <f>SUM(Jan!C65, Feb!C65, Mar!C65)</f>
        <v>31622</v>
      </c>
      <c r="D65" s="18">
        <f>SUM(Jan!D65, Feb!D65, Mar!D65)</f>
        <v>65419</v>
      </c>
      <c r="E65" s="18">
        <f t="shared" si="7"/>
        <v>-33797</v>
      </c>
      <c r="F65" s="19">
        <f t="shared" si="8"/>
        <v>-0.5166236108775738</v>
      </c>
      <c r="G65" s="20">
        <f>SUM(Jan!G65, Feb!G65,Mar!G65)</f>
        <v>76600.94</v>
      </c>
      <c r="H65" s="20">
        <f>SUM(Jan!H65, Feb!H65, Mar!H65)</f>
        <v>-44978.94</v>
      </c>
      <c r="I65" s="19">
        <f t="shared" si="2"/>
        <v>-0.58718522253121175</v>
      </c>
    </row>
    <row r="66" spans="1:9" ht="15.6">
      <c r="A66" s="47" t="str">
        <v>CDCR - CA Correctional Institution</v>
      </c>
      <c r="B66" s="9" t="str">
        <v>CA</v>
      </c>
      <c r="C66" s="24">
        <f>SUM(Jan!C66, Feb!C66, Mar!C66)</f>
        <v>350805</v>
      </c>
      <c r="D66" s="13">
        <f>SUM(Jan!D66, Feb!D66, Mar!D66)</f>
        <v>345262</v>
      </c>
      <c r="E66" s="13">
        <f t="shared" si="7"/>
        <v>5543</v>
      </c>
      <c r="F66" s="14">
        <f t="shared" si="8"/>
        <v>1.605447457293302E-2</v>
      </c>
      <c r="G66" s="15">
        <f>SUM(Jan!G66, Feb!G66, Mar!G67)</f>
        <v>383758.33</v>
      </c>
      <c r="H66" s="15">
        <f>SUM(Jan!H66, Feb!H66, Mar!H66)</f>
        <v>27127.869999999995</v>
      </c>
      <c r="I66" s="16">
        <f t="shared" si="2"/>
        <v>7.0689983459121253E-2</v>
      </c>
    </row>
    <row r="67" spans="1:9" ht="15.6">
      <c r="A67" s="48" t="str">
        <v>CDCR - CA Correctional Institution II</v>
      </c>
      <c r="B67" s="10" t="str">
        <v>CA</v>
      </c>
      <c r="C67" s="11">
        <f>SUM(Jan!C67, Feb!C67, Mar!C67)</f>
        <v>333370</v>
      </c>
      <c r="D67" s="18">
        <f>SUM(Jan!D67, Feb!D67, Mar!D67)</f>
        <v>375609</v>
      </c>
      <c r="E67" s="18">
        <f t="shared" si="7"/>
        <v>-42239</v>
      </c>
      <c r="F67" s="19">
        <f t="shared" si="8"/>
        <v>-0.11245470688934504</v>
      </c>
      <c r="G67" s="20">
        <f>SUM(Jan!G67, Feb!G67,Mar!G67)</f>
        <v>510212.31000000006</v>
      </c>
      <c r="H67" s="20">
        <f>SUM(Jan!H67, Feb!H67, Mar!H67)</f>
        <v>-176842.31000000003</v>
      </c>
      <c r="I67" s="19">
        <f t="shared" si="2"/>
        <v>-0.34660533768775592</v>
      </c>
    </row>
    <row r="68" spans="1:9" ht="15.6">
      <c r="A68" s="47" t="str">
        <v>Snowline SD - Vista Verde ES</v>
      </c>
      <c r="B68" s="9" t="str">
        <v>CA</v>
      </c>
      <c r="C68" s="24">
        <f>SUM(Jan!C68, Feb!C68, Mar!C68)</f>
        <v>42481</v>
      </c>
      <c r="D68" s="13">
        <f>SUM(Jan!D68, Feb!D68, Mar!D68)</f>
        <v>42714</v>
      </c>
      <c r="E68" s="13">
        <f t="shared" si="7"/>
        <v>-233</v>
      </c>
      <c r="F68" s="14">
        <f t="shared" si="8"/>
        <v>-5.4548859858594371E-3</v>
      </c>
      <c r="G68" s="15">
        <f>SUM(Jan!G68, Feb!G68, Mar!G69)</f>
        <v>34899.89</v>
      </c>
      <c r="H68" s="15">
        <f>SUM(Jan!H68, Feb!H68, Mar!H68)</f>
        <v>-20520.8</v>
      </c>
      <c r="I68" s="16">
        <f t="shared" si="2"/>
        <v>-0.58799039194679414</v>
      </c>
    </row>
    <row r="69" spans="1:9" ht="15.6">
      <c r="A69" s="48" t="str">
        <v>North Stonington</v>
      </c>
      <c r="B69" s="10" t="str">
        <v>CT</v>
      </c>
      <c r="C69" s="11">
        <f>SUM(Jan!C69, Feb!C69, Mar!C69)</f>
        <v>2918160</v>
      </c>
      <c r="D69" s="18">
        <f>SUM(Jan!D69, Feb!D69, Mar!D69)</f>
        <v>0</v>
      </c>
      <c r="E69" s="18">
        <f t="shared" si="7"/>
        <v>2918160</v>
      </c>
      <c r="F69" s="19" t="str">
        <f t="shared" si="8"/>
        <v/>
      </c>
      <c r="G69" s="20">
        <f>SUM(Jan!G69, Feb!G69,Mar!G69)</f>
        <v>0</v>
      </c>
      <c r="H69" s="20">
        <f>SUM(Jan!H69, Feb!H69, Mar!H69)</f>
        <v>2918160</v>
      </c>
      <c r="I69" s="19" t="str">
        <f t="shared" si="2"/>
        <v/>
      </c>
    </row>
    <row r="70" spans="1:9" ht="13.9">
      <c r="A70" s="21" t="str">
        <v>CT: Torrington - 2-298 Rossi Road</v>
      </c>
      <c r="B70" s="21" t="str">
        <v>CT</v>
      </c>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sortState xmlns:xlrd2="http://schemas.microsoft.com/office/spreadsheetml/2017/richdata2" ref="A3:I3">
    <sortCondition ref="A3"/>
  </sortState>
  <mergeCells count="4">
    <mergeCell ref="G1:I1"/>
    <mergeCell ref="A1:C1"/>
    <mergeCell ref="D1:F1"/>
    <mergeCell ref="A2:B2"/>
  </mergeCells>
  <conditionalFormatting sqref="F2 I2 F4:F100 I4:I100">
    <cfRule type="cellIs" dxfId="68" priority="1" stopIfTrue="1" operator="lessThanOrEqual">
      <formula>-0.1</formula>
    </cfRule>
    <cfRule type="expression" dxfId="6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2"/>
  <sheetViews>
    <sheetView workbookViewId="0">
      <pane xSplit="2" ySplit="3" topLeftCell="C59" activePane="bottomRight" state="frozen"/>
      <selection pane="bottomRight" activeCell="C69" sqref="C69"/>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32" t="str" cm="1">
        <f t="array" ref="A1">portfolio</f>
        <v>Silicon Ranch</v>
      </c>
      <c r="B1" s="132"/>
      <c r="C1" s="132"/>
      <c r="D1" s="133" t="s">
        <v>12</v>
      </c>
      <c r="E1" s="133"/>
      <c r="F1" s="133"/>
      <c r="G1" s="131" t="s">
        <v>13</v>
      </c>
      <c r="H1" s="131"/>
      <c r="I1" s="131"/>
    </row>
    <row r="2" spans="1:9" ht="19.5" customHeight="1">
      <c r="A2" s="134" t="s">
        <v>2</v>
      </c>
      <c r="B2" s="134"/>
      <c r="C2" s="5">
        <f>SUM(C4:C100)</f>
        <v>13481488.68</v>
      </c>
      <c r="D2" s="5">
        <f>SUM(D4:D100)</f>
        <v>8136235</v>
      </c>
      <c r="E2" s="5">
        <f>C2-D2</f>
        <v>5345253.68</v>
      </c>
      <c r="F2" s="6">
        <f>IFERROR(E2/D2, 0)</f>
        <v>0.65696893956479863</v>
      </c>
      <c r="G2" s="5">
        <f>SUM(G4:G100)</f>
        <v>15646884.415000003</v>
      </c>
      <c r="H2" s="7">
        <f>C2-G2</f>
        <v>-2165395.7350000031</v>
      </c>
      <c r="I2" s="6">
        <f>IFERROR(H2/G2, 0)</f>
        <v>-0.13839149555704075</v>
      </c>
    </row>
    <row r="3" spans="1:9" ht="14.25" customHeight="1">
      <c r="A3" s="8" t="s">
        <v>3</v>
      </c>
      <c r="B3" s="8" t="s">
        <v>4</v>
      </c>
      <c r="C3" s="23" t="s">
        <v>5</v>
      </c>
      <c r="D3" s="35" t="s">
        <v>6</v>
      </c>
      <c r="E3" s="35" t="s">
        <v>7</v>
      </c>
      <c r="F3" s="36" t="s">
        <v>8</v>
      </c>
      <c r="G3" s="37" t="s">
        <v>9</v>
      </c>
      <c r="H3" s="38" t="s">
        <v>7</v>
      </c>
      <c r="I3" s="39" t="s">
        <v>8</v>
      </c>
    </row>
    <row r="4" spans="1:9" ht="15.6">
      <c r="A4" s="47" t="str" cm="1">
        <f t="array" ref="A4:A70">Sites[Site]</f>
        <v>Iron Mountain - Windsor</v>
      </c>
      <c r="B4" s="9" t="str" cm="1">
        <f t="array" ref="B4:B70">Sites[State]</f>
        <v>CT</v>
      </c>
      <c r="C4" s="24">
        <f>SUM(Apr!C4, May!C4, Jun!C4)</f>
        <v>95082</v>
      </c>
      <c r="D4" s="13">
        <f>SUM(Apr!D4, May!D4, Jun!D4)</f>
        <v>94682</v>
      </c>
      <c r="E4" s="13">
        <f>IF(AND(ISNUMBER(C4),ISNUMBER(D4)), C4-D4, "")</f>
        <v>400</v>
      </c>
      <c r="F4" s="14">
        <f>IFERROR(E4/D4, "")</f>
        <v>4.2246678354914344E-3</v>
      </c>
      <c r="G4" s="15">
        <f>SUM(Apr!G4, May!G4, Jun!G4)</f>
        <v>101635.19</v>
      </c>
      <c r="H4" s="15">
        <f>SUM(Apr!H4, May!H4, Jun!H4)</f>
        <v>-6553.1899999999951</v>
      </c>
      <c r="I4" s="16">
        <f>IFERROR(H4/G4, "")</f>
        <v>-6.4477569235616081E-2</v>
      </c>
    </row>
    <row r="5" spans="1:9" ht="15.6">
      <c r="A5" s="48" t="str">
        <v>Kohls - Auburn</v>
      </c>
      <c r="B5" s="10" t="str">
        <v>NY</v>
      </c>
      <c r="C5" s="11">
        <f>SUM(Apr!C5, May!C5, Jun!C5)</f>
        <v>101667</v>
      </c>
      <c r="D5" s="18">
        <f>SUM(Apr!D5, May!D5, Jun!D5)</f>
        <v>100904</v>
      </c>
      <c r="E5" s="18">
        <f t="shared" ref="E5:E15" si="0">IF(AND(ISNUMBER(C5),ISNUMBER(D5)), C5-D5, "")</f>
        <v>763</v>
      </c>
      <c r="F5" s="19">
        <f>IFERROR(E5/D5, "")</f>
        <v>7.5616427495441216E-3</v>
      </c>
      <c r="G5" s="20">
        <f>SUM(Apr!G5, May!G5, Jun!G5)</f>
        <v>123082.23999999999</v>
      </c>
      <c r="H5" s="20">
        <f>SUM(Apr!H5, May!H5, Jun!H5)</f>
        <v>-21415.239999999998</v>
      </c>
      <c r="I5" s="19">
        <f>IFERROR(H5/G5, "")</f>
        <v>-0.17399130857546954</v>
      </c>
    </row>
    <row r="6" spans="1:9" ht="15.6">
      <c r="A6" s="47" t="str">
        <v>Kohls - Bensalem</v>
      </c>
      <c r="B6" s="9" t="str">
        <v>PA</v>
      </c>
      <c r="C6" s="24">
        <f>SUM(Apr!C6, May!C6, Jun!C6)</f>
        <v>25179</v>
      </c>
      <c r="D6" s="13">
        <f>SUM(Apr!D6, May!D6, Jun!D6)</f>
        <v>24905</v>
      </c>
      <c r="E6" s="13">
        <f t="shared" si="0"/>
        <v>274</v>
      </c>
      <c r="F6" s="14">
        <f t="shared" ref="F6:F15" si="1">IFERROR(E6/D6, "")</f>
        <v>1.1001806866091146E-2</v>
      </c>
      <c r="G6" s="15">
        <f>SUM(Apr!G6, May!G6, Jun!G6)</f>
        <v>110297.53</v>
      </c>
      <c r="H6" s="15">
        <f>SUM(Apr!H6, May!H6, Jun!H6)</f>
        <v>-85118.53</v>
      </c>
      <c r="I6" s="16">
        <f t="shared" ref="I6:I15" si="2">IFERROR(H6/G6, "")</f>
        <v>-0.77171746275732556</v>
      </c>
    </row>
    <row r="7" spans="1:9" ht="15.6">
      <c r="A7" s="48" t="str">
        <v>Kohls - Brick</v>
      </c>
      <c r="B7" s="10" t="str">
        <v>NJ</v>
      </c>
      <c r="C7" s="11">
        <f>SUM(Apr!C7, May!C7, Jun!C7)</f>
        <v>119185</v>
      </c>
      <c r="D7" s="18">
        <f>SUM(Apr!D7, May!D7, Jun!D7)</f>
        <v>113844</v>
      </c>
      <c r="E7" s="18">
        <f t="shared" si="0"/>
        <v>5341</v>
      </c>
      <c r="F7" s="19">
        <f t="shared" si="1"/>
        <v>4.6915076771722707E-2</v>
      </c>
      <c r="G7" s="20">
        <f>SUM(Apr!G7, May!G7, Jun!G7)</f>
        <v>134065.60999999999</v>
      </c>
      <c r="H7" s="20">
        <f>SUM(Apr!H7, May!H7, Jun!H7)</f>
        <v>-14880.61</v>
      </c>
      <c r="I7" s="19">
        <f t="shared" si="2"/>
        <v>-0.11099498223295297</v>
      </c>
    </row>
    <row r="8" spans="1:9" ht="15.6">
      <c r="A8" s="47" t="str">
        <v>Kohls - Buffalo</v>
      </c>
      <c r="B8" s="9" t="str">
        <v>NY</v>
      </c>
      <c r="C8" s="24">
        <f>SUM(Apr!C8, May!C8, Jun!C8)</f>
        <v>107073</v>
      </c>
      <c r="D8" s="13">
        <f>SUM(Apr!D8, May!D8, Jun!D8)</f>
        <v>0</v>
      </c>
      <c r="E8" s="13">
        <f t="shared" si="0"/>
        <v>107073</v>
      </c>
      <c r="F8" s="14" t="str">
        <f t="shared" si="1"/>
        <v/>
      </c>
      <c r="G8" s="15">
        <f>SUM(Apr!G8, May!G8, Jun!G8)</f>
        <v>146084.38</v>
      </c>
      <c r="H8" s="15">
        <f>SUM(Apr!H8, May!H8, Jun!H8)</f>
        <v>-39011.380000000005</v>
      </c>
      <c r="I8" s="16">
        <f t="shared" si="2"/>
        <v>-0.26704689440445312</v>
      </c>
    </row>
    <row r="9" spans="1:9" ht="15.6">
      <c r="A9" s="48" t="str">
        <v>Kohls - Canton</v>
      </c>
      <c r="B9" s="10" t="str">
        <v>CT</v>
      </c>
      <c r="C9" s="11">
        <f>SUM(Apr!C9, May!C9, Jun!C9)</f>
        <v>46827</v>
      </c>
      <c r="D9" s="18">
        <f>SUM(Apr!D9, May!D9, Jun!D9)</f>
        <v>46338</v>
      </c>
      <c r="E9" s="18">
        <f t="shared" si="0"/>
        <v>489</v>
      </c>
      <c r="F9" s="19">
        <f t="shared" si="1"/>
        <v>1.0552893953127022E-2</v>
      </c>
      <c r="G9" s="20">
        <f>SUM(Apr!G9, May!G9, Jun!G9)</f>
        <v>45416.5</v>
      </c>
      <c r="H9" s="20">
        <f>SUM(Apr!H9, May!H9, Jun!H9)</f>
        <v>1410.5000000000018</v>
      </c>
      <c r="I9" s="19">
        <f t="shared" si="2"/>
        <v>3.1056994704567763E-2</v>
      </c>
    </row>
    <row r="10" spans="1:9" ht="15.6">
      <c r="A10" s="47" t="str">
        <v>Kohls - East Amherst</v>
      </c>
      <c r="B10" s="9" t="str">
        <v>NY</v>
      </c>
      <c r="C10" s="24">
        <f>SUM(Apr!C10, May!C10, Jun!C10)</f>
        <v>61713</v>
      </c>
      <c r="D10" s="13">
        <f>SUM(Apr!D10, May!D10, Jun!D10)</f>
        <v>61010</v>
      </c>
      <c r="E10" s="13">
        <f t="shared" si="0"/>
        <v>703</v>
      </c>
      <c r="F10" s="14">
        <f t="shared" si="1"/>
        <v>1.1522701196525161E-2</v>
      </c>
      <c r="G10" s="15">
        <f>SUM(Apr!G10, May!G10, Jun!G10)</f>
        <v>130330</v>
      </c>
      <c r="H10" s="15">
        <f>SUM(Apr!H10, May!H10, Jun!H10)</f>
        <v>-68617</v>
      </c>
      <c r="I10" s="16">
        <f t="shared" si="2"/>
        <v>-0.52648661091076498</v>
      </c>
    </row>
    <row r="11" spans="1:9" ht="15.6">
      <c r="A11" s="48" t="str">
        <v>Kohls - East Brunswick</v>
      </c>
      <c r="B11" s="10" t="str">
        <v>NJ</v>
      </c>
      <c r="C11" s="11">
        <f>SUM(Apr!C11, May!C11, Jun!C11)</f>
        <v>150001</v>
      </c>
      <c r="D11" s="18">
        <f>SUM(Apr!D11, May!D11, Jun!D11)</f>
        <v>143257</v>
      </c>
      <c r="E11" s="18">
        <f t="shared" si="0"/>
        <v>6744</v>
      </c>
      <c r="F11" s="19">
        <f t="shared" si="1"/>
        <v>4.7076233622091762E-2</v>
      </c>
      <c r="G11" s="20">
        <f>SUM(Apr!G11, May!G11, Jun!G11)</f>
        <v>173248.83</v>
      </c>
      <c r="H11" s="20">
        <f>SUM(Apr!H11, May!H11, Jun!H11)</f>
        <v>-23247.829999999994</v>
      </c>
      <c r="I11" s="19">
        <f t="shared" si="2"/>
        <v>-0.13418751514800992</v>
      </c>
    </row>
    <row r="12" spans="1:9" ht="15.6">
      <c r="A12" s="47" t="str">
        <v>Kohls - Edgewood</v>
      </c>
      <c r="B12" s="9" t="str">
        <v>MD</v>
      </c>
      <c r="C12" s="24">
        <f>SUM(Apr!C12, May!C12, Jun!C12)</f>
        <v>771694</v>
      </c>
      <c r="D12" s="13">
        <f>SUM(Apr!D12, May!D12, Jun!D12)</f>
        <v>759216</v>
      </c>
      <c r="E12" s="13">
        <f t="shared" si="0"/>
        <v>12478</v>
      </c>
      <c r="F12" s="14">
        <f t="shared" si="1"/>
        <v>1.6435375439927503E-2</v>
      </c>
      <c r="G12" s="15">
        <f>SUM(Apr!G12, May!G12, Jun!G12)</f>
        <v>917243.32000000007</v>
      </c>
      <c r="H12" s="15">
        <f>SUM(Apr!H12, May!H12, Jun!H12)</f>
        <v>-145549.32</v>
      </c>
      <c r="I12" s="16">
        <f t="shared" si="2"/>
        <v>-0.15868125373755787</v>
      </c>
    </row>
    <row r="13" spans="1:9" ht="15.6">
      <c r="A13" s="48" t="str">
        <v>Kohls - Granite Run</v>
      </c>
      <c r="B13" s="10" t="str">
        <v>PA</v>
      </c>
      <c r="C13" s="11">
        <f>SUM(Apr!C13, May!C13, Jun!C13)</f>
        <v>102790</v>
      </c>
      <c r="D13" s="18">
        <f>SUM(Apr!D13, May!D13, Jun!D13)</f>
        <v>101830</v>
      </c>
      <c r="E13" s="18">
        <f t="shared" si="0"/>
        <v>960</v>
      </c>
      <c r="F13" s="19">
        <f t="shared" si="1"/>
        <v>9.4274771678287336E-3</v>
      </c>
      <c r="G13" s="20">
        <f>SUM(Apr!G13, May!G13, Jun!G13)</f>
        <v>109968.7</v>
      </c>
      <c r="H13" s="20">
        <f>SUM(Apr!H13, May!H13, Jun!H13)</f>
        <v>-7178.6999999999971</v>
      </c>
      <c r="I13" s="19">
        <f t="shared" si="2"/>
        <v>-6.5279484071376653E-2</v>
      </c>
    </row>
    <row r="14" spans="1:9" ht="15.6">
      <c r="A14" s="47" t="str">
        <v>Kohls - Greece</v>
      </c>
      <c r="B14" s="9" t="str">
        <v>NY</v>
      </c>
      <c r="C14" s="24">
        <f>SUM(Apr!C14, May!C14, Jun!C14)</f>
        <v>102523</v>
      </c>
      <c r="D14" s="13">
        <f>SUM(Apr!D14, May!D14, Jun!D14)</f>
        <v>101620</v>
      </c>
      <c r="E14" s="13">
        <f t="shared" si="0"/>
        <v>903</v>
      </c>
      <c r="F14" s="14">
        <f t="shared" si="1"/>
        <v>8.8860460539263927E-3</v>
      </c>
      <c r="G14" s="15">
        <f>SUM(Apr!G14, May!G14, Jun!G14)</f>
        <v>141215.53</v>
      </c>
      <c r="H14" s="15">
        <f>SUM(Apr!H14, May!H14, Jun!H14)</f>
        <v>-38692.53</v>
      </c>
      <c r="I14" s="16">
        <f t="shared" si="2"/>
        <v>-0.27399628072068277</v>
      </c>
    </row>
    <row r="15" spans="1:9" ht="15.6">
      <c r="A15" s="48" t="str">
        <v>Kohls - Hanover</v>
      </c>
      <c r="B15" s="10" t="str">
        <v>PA</v>
      </c>
      <c r="C15" s="11">
        <f>SUM(Apr!C15, May!C15, Jun!C15)</f>
        <v>121035</v>
      </c>
      <c r="D15" s="18">
        <f>SUM(Apr!D15, May!D15, Jun!D15)</f>
        <v>120271</v>
      </c>
      <c r="E15" s="18">
        <f t="shared" si="0"/>
        <v>764</v>
      </c>
      <c r="F15" s="19">
        <f t="shared" si="1"/>
        <v>6.3523210083893875E-3</v>
      </c>
      <c r="G15" s="20">
        <f>SUM(Apr!G15, May!G15, Jun!G15)</f>
        <v>124902.23999999999</v>
      </c>
      <c r="H15" s="20">
        <f>SUM(Apr!H15, May!H15, Jun!H15)</f>
        <v>-3867.239999999998</v>
      </c>
      <c r="I15" s="19">
        <f t="shared" si="2"/>
        <v>-3.0962134866436328E-2</v>
      </c>
    </row>
    <row r="16" spans="1:9" ht="15.6">
      <c r="A16" s="47" t="str">
        <v>Kohls - Horsehead</v>
      </c>
      <c r="B16" s="9" t="str">
        <v>NY</v>
      </c>
      <c r="C16" s="24">
        <f>SUM(Apr!C16, May!C16, Jun!C16)</f>
        <v>88669</v>
      </c>
      <c r="D16" s="13">
        <f>SUM(Apr!D16, May!D16, Jun!D16)</f>
        <v>87913</v>
      </c>
      <c r="E16" s="13">
        <f t="shared" ref="E16:E69" si="3">IF(AND(ISNUMBER(C16),ISNUMBER(D16)), C16-D16, "")</f>
        <v>756</v>
      </c>
      <c r="F16" s="14">
        <f t="shared" ref="F16:F69" si="4">IFERROR(E16/D16, "")</f>
        <v>8.5994107811131464E-3</v>
      </c>
      <c r="G16" s="15">
        <f>SUM(Apr!G16, May!G16, Jun!G16)</f>
        <v>100894.67000000001</v>
      </c>
      <c r="H16" s="15">
        <f>SUM(Apr!H16, May!H16, Jun!H16)</f>
        <v>-12225.670000000002</v>
      </c>
      <c r="I16" s="16">
        <f t="shared" ref="I16:I69" si="5">IFERROR(H16/G16, "")</f>
        <v>-0.12117260505436016</v>
      </c>
    </row>
    <row r="17" spans="1:9" ht="15.6">
      <c r="A17" s="48" t="str">
        <v>Kohls - Hudson</v>
      </c>
      <c r="B17" s="10" t="str">
        <v>NY</v>
      </c>
      <c r="C17" s="11">
        <f>SUM(Apr!C17, May!C17, Jun!C17)</f>
        <v>94516</v>
      </c>
      <c r="D17" s="18">
        <f>SUM(Apr!D17, May!D17, Jun!D17)</f>
        <v>82808</v>
      </c>
      <c r="E17" s="18">
        <f t="shared" si="3"/>
        <v>11708</v>
      </c>
      <c r="F17" s="19">
        <f t="shared" si="4"/>
        <v>0.14138730557434065</v>
      </c>
      <c r="G17" s="20">
        <f>SUM(Apr!G17, May!G17, Jun!G17)</f>
        <v>107216.78</v>
      </c>
      <c r="H17" s="20">
        <f>SUM(Apr!H17, May!H17, Jun!H17)</f>
        <v>-12700.779999999999</v>
      </c>
      <c r="I17" s="19">
        <f t="shared" si="5"/>
        <v>-0.11845888302185534</v>
      </c>
    </row>
    <row r="18" spans="1:9" ht="12.75" customHeight="1">
      <c r="A18" s="47" t="str">
        <v>Kohls - Ithaca</v>
      </c>
      <c r="B18" s="9" t="str">
        <v>NY</v>
      </c>
      <c r="C18" s="24">
        <f>SUM(Apr!C18, May!C18, Jun!C18)</f>
        <v>90462</v>
      </c>
      <c r="D18" s="13">
        <f>SUM(Apr!D18, May!D18, Jun!D18)</f>
        <v>89824</v>
      </c>
      <c r="E18" s="13">
        <f t="shared" si="3"/>
        <v>638</v>
      </c>
      <c r="F18" s="14">
        <f t="shared" si="4"/>
        <v>7.1027787673672961E-3</v>
      </c>
      <c r="G18" s="15">
        <f>SUM(Apr!G18, May!G18, Jun!G18)</f>
        <v>116723.1</v>
      </c>
      <c r="H18" s="15">
        <f>SUM(Apr!H18, May!H18, Jun!H18)</f>
        <v>-26261.1</v>
      </c>
      <c r="I18" s="16">
        <f t="shared" si="5"/>
        <v>-0.22498631376308542</v>
      </c>
    </row>
    <row r="19" spans="1:9" ht="15.6">
      <c r="A19" s="48" t="str">
        <v>Kohls - Kingston</v>
      </c>
      <c r="B19" s="10" t="str">
        <v>NY</v>
      </c>
      <c r="C19" s="11">
        <f>SUM(Apr!C19, May!C19, Jun!C19)</f>
        <v>119745</v>
      </c>
      <c r="D19" s="18">
        <f>SUM(Apr!D19, May!D19, Jun!D19)</f>
        <v>118724</v>
      </c>
      <c r="E19" s="18">
        <f t="shared" si="3"/>
        <v>1021</v>
      </c>
      <c r="F19" s="19">
        <f t="shared" si="4"/>
        <v>8.5997776355244103E-3</v>
      </c>
      <c r="G19" s="20">
        <f>SUM(Apr!G19, May!G19, Jun!G19)</f>
        <v>174584.81</v>
      </c>
      <c r="H19" s="20">
        <f>SUM(Apr!H19, May!H19, Jun!H19)</f>
        <v>-54839.81</v>
      </c>
      <c r="I19" s="19">
        <f t="shared" si="5"/>
        <v>-0.31411558657365435</v>
      </c>
    </row>
    <row r="20" spans="1:9" ht="15.6">
      <c r="A20" s="47" t="str">
        <v>Kohls - Mechanicsburg</v>
      </c>
      <c r="B20" s="9" t="str">
        <v>PA</v>
      </c>
      <c r="C20" s="24">
        <f>SUM(Apr!C20, May!C20, Jun!C20)</f>
        <v>127633</v>
      </c>
      <c r="D20" s="13">
        <f>SUM(Apr!D20, May!D20, Jun!D20)</f>
        <v>126599</v>
      </c>
      <c r="E20" s="13">
        <f t="shared" si="3"/>
        <v>1034</v>
      </c>
      <c r="F20" s="14">
        <f t="shared" si="4"/>
        <v>8.1675210704665914E-3</v>
      </c>
      <c r="G20" s="15">
        <f>SUM(Apr!G20, May!G20, Jun!G20)</f>
        <v>145854.93</v>
      </c>
      <c r="H20" s="15">
        <f>SUM(Apr!H20, May!H20, Jun!H20)</f>
        <v>-18221.929999999993</v>
      </c>
      <c r="I20" s="16">
        <f t="shared" si="5"/>
        <v>-0.12493187580289535</v>
      </c>
    </row>
    <row r="21" spans="1:9" ht="15.6">
      <c r="A21" s="48" t="str">
        <v>Kohls - Middletown</v>
      </c>
      <c r="B21" s="10" t="str">
        <v>NJ</v>
      </c>
      <c r="C21" s="11">
        <f>SUM(Apr!C21, May!C21, Jun!C21)</f>
        <v>110046</v>
      </c>
      <c r="D21" s="18">
        <f>SUM(Apr!D21, May!D21, Jun!D21)</f>
        <v>106140</v>
      </c>
      <c r="E21" s="18">
        <f t="shared" si="3"/>
        <v>3906</v>
      </c>
      <c r="F21" s="19">
        <f t="shared" si="4"/>
        <v>3.6800452232899947E-2</v>
      </c>
      <c r="G21" s="20">
        <f>SUM(Apr!G21, May!G21, Jun!G21)</f>
        <v>203869.26</v>
      </c>
      <c r="H21" s="20">
        <f>SUM(Apr!H21, May!H21, Jun!H21)</f>
        <v>-93823.26</v>
      </c>
      <c r="I21" s="19">
        <f t="shared" si="5"/>
        <v>-0.46021288349209682</v>
      </c>
    </row>
    <row r="22" spans="1:9" ht="15.6">
      <c r="A22" s="47" t="str">
        <v>Kohls - North Amherst</v>
      </c>
      <c r="B22" s="9" t="str">
        <v>NY</v>
      </c>
      <c r="C22" s="24">
        <f>SUM(Apr!C22, May!C22, Jun!C22)</f>
        <v>76647</v>
      </c>
      <c r="D22" s="13">
        <f>SUM(Apr!D22, May!D22, Jun!D22)</f>
        <v>76320</v>
      </c>
      <c r="E22" s="13">
        <f t="shared" si="3"/>
        <v>327</v>
      </c>
      <c r="F22" s="14">
        <f t="shared" si="4"/>
        <v>4.2845911949685534E-3</v>
      </c>
      <c r="G22" s="15">
        <f>SUM(Apr!G22, May!G22, Jun!G22)</f>
        <v>124961.29</v>
      </c>
      <c r="H22" s="15">
        <f>SUM(Apr!H22, May!H22, Jun!H22)</f>
        <v>-48314.29</v>
      </c>
      <c r="I22" s="16">
        <f t="shared" si="5"/>
        <v>-0.38663405283348151</v>
      </c>
    </row>
    <row r="23" spans="1:9" ht="15.6">
      <c r="A23" s="48" t="str">
        <v>Kohls - Staten Island</v>
      </c>
      <c r="B23" s="10" t="str">
        <v>NY</v>
      </c>
      <c r="C23" s="11">
        <f>SUM(Apr!C23, May!C23, Jun!C23)</f>
        <v>90434</v>
      </c>
      <c r="D23" s="18">
        <f>SUM(Apr!D23, May!D23, Jun!D23)</f>
        <v>0</v>
      </c>
      <c r="E23" s="18">
        <f t="shared" si="3"/>
        <v>90434</v>
      </c>
      <c r="F23" s="19" t="str">
        <f t="shared" si="4"/>
        <v/>
      </c>
      <c r="G23" s="20">
        <f>SUM(Apr!G23, May!G23, Jun!G23)</f>
        <v>121926.54000000001</v>
      </c>
      <c r="H23" s="20">
        <f>SUM(Apr!H23, May!H23, Jun!H23)</f>
        <v>-31492.54</v>
      </c>
      <c r="I23" s="19">
        <f t="shared" si="5"/>
        <v>-0.25829109888626378</v>
      </c>
    </row>
    <row r="24" spans="1:9" ht="15.6">
      <c r="A24" s="47" t="str">
        <v>Kohls - Warminster</v>
      </c>
      <c r="B24" s="9" t="str">
        <v>PA</v>
      </c>
      <c r="C24" s="24">
        <f>SUM(Apr!C24, May!C24, Jun!C24)</f>
        <v>135109</v>
      </c>
      <c r="D24" s="13">
        <f>SUM(Apr!D24, May!D24, Jun!D24)</f>
        <v>126573</v>
      </c>
      <c r="E24" s="13">
        <f t="shared" si="3"/>
        <v>8536</v>
      </c>
      <c r="F24" s="14">
        <f t="shared" si="4"/>
        <v>6.7439343303864169E-2</v>
      </c>
      <c r="G24" s="15">
        <f>SUM(Apr!G24, May!G24, Jun!G24)</f>
        <v>134631.76</v>
      </c>
      <c r="H24" s="15">
        <f>SUM(Apr!H24, May!H24, Jun!H24)</f>
        <v>477.24000000000524</v>
      </c>
      <c r="I24" s="16">
        <f t="shared" si="5"/>
        <v>3.5447802212494675E-3</v>
      </c>
    </row>
    <row r="25" spans="1:9" ht="15.6">
      <c r="A25" s="48" t="str">
        <v xml:space="preserve">Kohls - Waterbury </v>
      </c>
      <c r="B25" s="10" t="str">
        <v>CT</v>
      </c>
      <c r="C25" s="11">
        <f>SUM(Apr!C25, May!C25, Jun!C25)</f>
        <v>113090</v>
      </c>
      <c r="D25" s="18">
        <f>SUM(Apr!D25, May!D25, Jun!D25)</f>
        <v>111918</v>
      </c>
      <c r="E25" s="18">
        <f t="shared" si="3"/>
        <v>1172</v>
      </c>
      <c r="F25" s="19">
        <f t="shared" si="4"/>
        <v>1.0471952679640451E-2</v>
      </c>
      <c r="G25" s="20">
        <f>SUM(Apr!G25, May!G25, Jun!G25)</f>
        <v>120488.88</v>
      </c>
      <c r="H25" s="20">
        <f>SUM(Apr!H25, May!H25, Jun!H25)</f>
        <v>-7398.8799999999974</v>
      </c>
      <c r="I25" s="19">
        <f t="shared" si="5"/>
        <v>-6.1407160561206951E-2</v>
      </c>
    </row>
    <row r="26" spans="1:9" ht="15.6">
      <c r="A26" s="47" t="str">
        <v>Mojave Water Agency - Headquarters</v>
      </c>
      <c r="B26" s="9" t="str">
        <v>CA</v>
      </c>
      <c r="C26" s="24">
        <f>SUM(Apr!C26, May!C26, Jun!C26)</f>
        <v>145076</v>
      </c>
      <c r="D26" s="13">
        <f>SUM(Apr!D26, May!D26, Jun!D26)</f>
        <v>141271</v>
      </c>
      <c r="E26" s="13">
        <f t="shared" si="3"/>
        <v>3805</v>
      </c>
      <c r="F26" s="14">
        <f t="shared" si="4"/>
        <v>2.6934048743195702E-2</v>
      </c>
      <c r="G26" s="15">
        <f>SUM(Apr!G26, May!G26, Jun!G26)</f>
        <v>120572.59</v>
      </c>
      <c r="H26" s="15">
        <f>SUM(Apr!H26, May!H26, Jun!H26)</f>
        <v>24503.409999999996</v>
      </c>
      <c r="I26" s="16">
        <f t="shared" si="5"/>
        <v>0.20322537651384942</v>
      </c>
    </row>
    <row r="27" spans="1:9" ht="15.6">
      <c r="A27" s="48" t="str">
        <v>CSU - Bakersfield</v>
      </c>
      <c r="B27" s="10" t="str">
        <v>CA</v>
      </c>
      <c r="C27" s="11">
        <f>SUM(Apr!C27, May!C27, Jun!C27)</f>
        <v>537324</v>
      </c>
      <c r="D27" s="18">
        <f>SUM(Apr!D27, May!D27, Jun!D27)</f>
        <v>548831</v>
      </c>
      <c r="E27" s="18">
        <f t="shared" si="3"/>
        <v>-11507</v>
      </c>
      <c r="F27" s="19">
        <f t="shared" si="4"/>
        <v>-2.0966381272194901E-2</v>
      </c>
      <c r="G27" s="20">
        <f>SUM(Apr!G27, May!G27, Jun!G27)</f>
        <v>511178.47</v>
      </c>
      <c r="H27" s="20">
        <f>SUM(Apr!H27, May!H27, Jun!H27)</f>
        <v>26145.53</v>
      </c>
      <c r="I27" s="19">
        <f t="shared" si="5"/>
        <v>5.1147557134008405E-2</v>
      </c>
    </row>
    <row r="28" spans="1:9" ht="15.6">
      <c r="A28" s="47" t="str">
        <v>Greenfield USD - Fairfield ES</v>
      </c>
      <c r="B28" s="9" t="str">
        <v>CA</v>
      </c>
      <c r="C28" s="24">
        <f>SUM(Apr!C28, May!C28, Jun!C28)</f>
        <v>33786</v>
      </c>
      <c r="D28" s="13">
        <f>SUM(Apr!D28, May!D28, Jun!D28)</f>
        <v>33007</v>
      </c>
      <c r="E28" s="13">
        <f t="shared" si="3"/>
        <v>779</v>
      </c>
      <c r="F28" s="14">
        <f t="shared" si="4"/>
        <v>2.3601054321810526E-2</v>
      </c>
      <c r="G28" s="15">
        <f>SUM(Apr!G28, May!G28, Jun!G28)</f>
        <v>48421.33</v>
      </c>
      <c r="H28" s="15">
        <f>SUM(Apr!H28, May!H28, Jun!H28)</f>
        <v>-14635.329999999998</v>
      </c>
      <c r="I28" s="16">
        <f t="shared" si="5"/>
        <v>-0.30224964906994495</v>
      </c>
    </row>
    <row r="29" spans="1:9" ht="15.6">
      <c r="A29" s="48" t="str">
        <v>Greenfield USD - Granite Point ES</v>
      </c>
      <c r="B29" s="10" t="str">
        <v>CA</v>
      </c>
      <c r="C29" s="11">
        <f>SUM(Apr!C29, May!C29, Jun!C29)</f>
        <v>102224</v>
      </c>
      <c r="D29" s="18">
        <f>SUM(Apr!D29, May!D29, Jun!D29)</f>
        <v>100377</v>
      </c>
      <c r="E29" s="18">
        <f t="shared" si="3"/>
        <v>1847</v>
      </c>
      <c r="F29" s="19">
        <f t="shared" si="4"/>
        <v>1.8400629626308816E-2</v>
      </c>
      <c r="G29" s="20">
        <f>SUM(Apr!G29, May!G29, Jun!G29)</f>
        <v>128079.4</v>
      </c>
      <c r="H29" s="20">
        <f>SUM(Apr!H29, May!H29, Jun!H29)</f>
        <v>-25855.4</v>
      </c>
      <c r="I29" s="19">
        <f t="shared" si="5"/>
        <v>-0.20187008995982181</v>
      </c>
    </row>
    <row r="30" spans="1:9" ht="15.6">
      <c r="A30" s="47" t="str">
        <v>Greenfield USD - Greenfield MS</v>
      </c>
      <c r="B30" s="9" t="str">
        <v>CA</v>
      </c>
      <c r="C30" s="24">
        <f>SUM(Apr!C30, May!C30, Jun!C30)</f>
        <v>63918</v>
      </c>
      <c r="D30" s="13">
        <f>SUM(Apr!D30, May!D30, Jun!D30)</f>
        <v>61974</v>
      </c>
      <c r="E30" s="13">
        <f t="shared" si="3"/>
        <v>1944</v>
      </c>
      <c r="F30" s="14">
        <f t="shared" si="4"/>
        <v>3.1367993029334885E-2</v>
      </c>
      <c r="G30" s="15">
        <f>SUM(Apr!G30, May!G30, Jun!G30)</f>
        <v>87099.574999999997</v>
      </c>
      <c r="H30" s="15">
        <f>SUM(Apr!H30, May!H30, Jun!H30)</f>
        <v>-23181.575000000001</v>
      </c>
      <c r="I30" s="16">
        <f t="shared" si="5"/>
        <v>-0.26615026537155895</v>
      </c>
    </row>
    <row r="31" spans="1:9" ht="15.6">
      <c r="A31" s="48" t="str">
        <v>Greenfield USD - Horizon ES</v>
      </c>
      <c r="B31" s="10" t="str">
        <v>CA</v>
      </c>
      <c r="C31" s="11">
        <f>SUM(Apr!C31, May!C31, Jun!C31)</f>
        <v>102864</v>
      </c>
      <c r="D31" s="18">
        <f>SUM(Apr!D31, May!D31, Jun!D31)</f>
        <v>101299</v>
      </c>
      <c r="E31" s="18">
        <f t="shared" si="3"/>
        <v>1565</v>
      </c>
      <c r="F31" s="19">
        <f t="shared" si="4"/>
        <v>1.5449313418691201E-2</v>
      </c>
      <c r="G31" s="20">
        <f>SUM(Apr!G31, May!G31, Jun!G31)</f>
        <v>133131.09000000003</v>
      </c>
      <c r="H31" s="20">
        <f>SUM(Apr!H31, May!H31, Jun!H31)</f>
        <v>-30267.090000000004</v>
      </c>
      <c r="I31" s="19">
        <f t="shared" si="5"/>
        <v>-0.22734802216371847</v>
      </c>
    </row>
    <row r="32" spans="1:9" ht="15.6">
      <c r="A32" s="47" t="str">
        <v>Greenfield USD - McKee MS</v>
      </c>
      <c r="B32" s="9" t="str">
        <v>CA</v>
      </c>
      <c r="C32" s="24">
        <f>SUM(Apr!C32, May!C32, Jun!C32)</f>
        <v>60201</v>
      </c>
      <c r="D32" s="13">
        <f>SUM(Apr!D32, May!D32, Jun!D32)</f>
        <v>59465</v>
      </c>
      <c r="E32" s="13">
        <f t="shared" si="3"/>
        <v>736</v>
      </c>
      <c r="F32" s="14">
        <f t="shared" si="4"/>
        <v>1.2377028504162111E-2</v>
      </c>
      <c r="G32" s="15">
        <f>SUM(Apr!G32, May!G32, Jun!G32)</f>
        <v>81290.48000000001</v>
      </c>
      <c r="H32" s="15">
        <f>SUM(Apr!H32, May!H32, Jun!H32)</f>
        <v>-21089.48</v>
      </c>
      <c r="I32" s="16">
        <f t="shared" si="5"/>
        <v>-0.25943357696989855</v>
      </c>
    </row>
    <row r="33" spans="1:9" ht="15.6">
      <c r="A33" s="48" t="str">
        <v>Greenfield USD - Plantation ES</v>
      </c>
      <c r="B33" s="10" t="str">
        <v>CA</v>
      </c>
      <c r="C33" s="11">
        <f>SUM(Apr!C33, May!C33, Jun!C33)</f>
        <v>56565</v>
      </c>
      <c r="D33" s="18">
        <f>SUM(Apr!D33, May!D33, Jun!D33)</f>
        <v>56404</v>
      </c>
      <c r="E33" s="18">
        <f t="shared" si="3"/>
        <v>161</v>
      </c>
      <c r="F33" s="19">
        <f t="shared" si="4"/>
        <v>2.8544074888305795E-3</v>
      </c>
      <c r="G33" s="20">
        <f>SUM(Apr!G33, May!G33, Jun!G33)</f>
        <v>58155.240000000005</v>
      </c>
      <c r="H33" s="20">
        <f>SUM(Apr!H33, May!H33, Jun!H33)</f>
        <v>-1590.2400000000016</v>
      </c>
      <c r="I33" s="19">
        <f t="shared" si="5"/>
        <v>-2.7344741419689806E-2</v>
      </c>
    </row>
    <row r="34" spans="1:9" ht="15.6">
      <c r="A34" s="47" t="str">
        <v>Greenfield USD - Planz ES</v>
      </c>
      <c r="B34" s="9" t="str">
        <v>CA</v>
      </c>
      <c r="C34" s="24">
        <f>SUM(Apr!C34, May!C34, Jun!C34)</f>
        <v>22412</v>
      </c>
      <c r="D34" s="13">
        <f>SUM(Apr!D34, May!D34, Jun!D34)</f>
        <v>22293</v>
      </c>
      <c r="E34" s="13">
        <f t="shared" si="3"/>
        <v>119</v>
      </c>
      <c r="F34" s="14">
        <f t="shared" si="4"/>
        <v>5.3379984748575787E-3</v>
      </c>
      <c r="G34" s="15">
        <f>SUM(Apr!G34, May!G34, Jun!G34)</f>
        <v>65857.789999999994</v>
      </c>
      <c r="H34" s="15">
        <f>SUM(Apr!H34, May!H34, Jun!H34)</f>
        <v>-43445.789999999994</v>
      </c>
      <c r="I34" s="16">
        <f t="shared" si="5"/>
        <v>-0.65969097960924594</v>
      </c>
    </row>
    <row r="35" spans="1:9" ht="15.6">
      <c r="A35" s="48" t="str">
        <v>Greenfield USD - Raffaello Palla ES</v>
      </c>
      <c r="B35" s="10" t="str">
        <v>CA</v>
      </c>
      <c r="C35" s="11">
        <f>SUM(Apr!C35, May!C35, Jun!C35)</f>
        <v>96313</v>
      </c>
      <c r="D35" s="18">
        <f>SUM(Apr!D35, May!D35, Jun!D35)</f>
        <v>95257</v>
      </c>
      <c r="E35" s="18">
        <f t="shared" si="3"/>
        <v>1056</v>
      </c>
      <c r="F35" s="19">
        <f t="shared" si="4"/>
        <v>1.1085799468805443E-2</v>
      </c>
      <c r="G35" s="20">
        <f>SUM(Apr!G35, May!G35, Jun!G35)</f>
        <v>143205.08000000002</v>
      </c>
      <c r="H35" s="20">
        <f>SUM(Apr!H35, May!H35, Jun!H35)</f>
        <v>-46892.08</v>
      </c>
      <c r="I35" s="19">
        <f t="shared" si="5"/>
        <v>-0.32744704307975664</v>
      </c>
    </row>
    <row r="36" spans="1:9" ht="15.6">
      <c r="A36" s="47" t="str">
        <v>Greenfield USD - Valle Verde ES</v>
      </c>
      <c r="B36" s="9" t="str">
        <v>CA</v>
      </c>
      <c r="C36" s="24">
        <f>SUM(Apr!C36, May!C36, Jun!C36)</f>
        <v>137214</v>
      </c>
      <c r="D36" s="13">
        <f>SUM(Apr!D36, May!D36, Jun!D36)</f>
        <v>136630</v>
      </c>
      <c r="E36" s="13">
        <f t="shared" si="3"/>
        <v>584</v>
      </c>
      <c r="F36" s="14">
        <f t="shared" si="4"/>
        <v>4.2743174998170243E-3</v>
      </c>
      <c r="G36" s="15">
        <f>SUM(Apr!G36, May!G36, Jun!G36)</f>
        <v>133645.82999999999</v>
      </c>
      <c r="H36" s="15">
        <f>SUM(Apr!H36, May!H36, Jun!H36)</f>
        <v>3568.1699999999983</v>
      </c>
      <c r="I36" s="16">
        <f t="shared" si="5"/>
        <v>2.6698700587964464E-2</v>
      </c>
    </row>
    <row r="37" spans="1:9" ht="15.6">
      <c r="A37" s="48" t="str">
        <v>Greenfield USD - W.A. Kendrick ES</v>
      </c>
      <c r="B37" s="10" t="str">
        <v>CA</v>
      </c>
      <c r="C37" s="11">
        <f>SUM(Apr!C37, May!C37, Jun!C37)</f>
        <v>0</v>
      </c>
      <c r="D37" s="18">
        <f>SUM(Apr!D37, May!D37, Jun!D37)</f>
        <v>0</v>
      </c>
      <c r="E37" s="18">
        <f t="shared" si="3"/>
        <v>0</v>
      </c>
      <c r="F37" s="19" t="str">
        <f t="shared" si="4"/>
        <v/>
      </c>
      <c r="G37" s="20">
        <f>SUM(Apr!G37, May!G37, Jun!G37)</f>
        <v>51528.09</v>
      </c>
      <c r="H37" s="20">
        <f>SUM(Apr!H37, May!H37, Jun!H37)</f>
        <v>-51528.09</v>
      </c>
      <c r="I37" s="19">
        <f t="shared" si="5"/>
        <v>-1</v>
      </c>
    </row>
    <row r="38" spans="1:9" ht="15.6">
      <c r="A38" s="47" t="str">
        <v>Muroc Joint USD - Boron HS</v>
      </c>
      <c r="B38" s="9" t="str">
        <v>CA</v>
      </c>
      <c r="C38" s="24">
        <f>SUM(Apr!C38, May!C38, Jun!C38)</f>
        <v>0</v>
      </c>
      <c r="D38" s="13">
        <f>SUM(Apr!D38, May!D38, Jun!D38)</f>
        <v>0</v>
      </c>
      <c r="E38" s="13">
        <f t="shared" si="3"/>
        <v>0</v>
      </c>
      <c r="F38" s="14" t="str">
        <f t="shared" si="4"/>
        <v/>
      </c>
      <c r="G38" s="15">
        <f>SUM(Apr!G38, May!G38, Jun!G38)</f>
        <v>117409.55</v>
      </c>
      <c r="H38" s="15">
        <f>SUM(Apr!H38, May!H38, Jun!H38)</f>
        <v>-117409.55</v>
      </c>
      <c r="I38" s="16">
        <f t="shared" si="5"/>
        <v>-1</v>
      </c>
    </row>
    <row r="39" spans="1:9" ht="15.6">
      <c r="A39" s="48" t="str">
        <v>Muroc Joint USD - W. Boron ES</v>
      </c>
      <c r="B39" s="10" t="str">
        <v>CA</v>
      </c>
      <c r="C39" s="11">
        <f>SUM(Apr!C39, May!C39, Jun!C39)</f>
        <v>41715</v>
      </c>
      <c r="D39" s="18">
        <f>SUM(Apr!D39, May!D39, Jun!D39)</f>
        <v>41580</v>
      </c>
      <c r="E39" s="18">
        <f t="shared" si="3"/>
        <v>135</v>
      </c>
      <c r="F39" s="19">
        <f t="shared" si="4"/>
        <v>3.246753246753247E-3</v>
      </c>
      <c r="G39" s="20">
        <f>SUM(Apr!G39, May!G39, Jun!G39)</f>
        <v>43295.7</v>
      </c>
      <c r="H39" s="20">
        <f>SUM(Apr!H39, May!H39, Jun!H39)</f>
        <v>-1580.7000000000007</v>
      </c>
      <c r="I39" s="19">
        <f t="shared" si="5"/>
        <v>-3.6509399316791293E-2</v>
      </c>
    </row>
    <row r="40" spans="1:9" ht="15.6">
      <c r="A40" s="47" t="str">
        <v>Colusa - WTP</v>
      </c>
      <c r="B40" s="9" t="str">
        <v>CA</v>
      </c>
      <c r="C40" s="24">
        <f>SUM(Apr!C40, May!C40, Jun!C40)</f>
        <v>0</v>
      </c>
      <c r="D40" s="13">
        <f>SUM(Apr!D40, May!D40, Jun!D40)</f>
        <v>0</v>
      </c>
      <c r="E40" s="13">
        <f t="shared" si="3"/>
        <v>0</v>
      </c>
      <c r="F40" s="14" t="str">
        <f t="shared" si="4"/>
        <v/>
      </c>
      <c r="G40" s="15">
        <f>SUM(Apr!G40, May!G40, Jun!G40)</f>
        <v>183174.90000000002</v>
      </c>
      <c r="H40" s="15">
        <f>SUM(Apr!H40, May!H40, Jun!H40)</f>
        <v>-183174.90000000002</v>
      </c>
      <c r="I40" s="16">
        <f t="shared" si="5"/>
        <v>-1</v>
      </c>
    </row>
    <row r="41" spans="1:9" ht="15.6">
      <c r="A41" s="48" t="str">
        <v>CDCR-North Kern State Prision</v>
      </c>
      <c r="B41" s="10" t="str">
        <v>CA</v>
      </c>
      <c r="C41" s="11">
        <f>SUM(Apr!C41, May!C41, Jun!C41)</f>
        <v>396377</v>
      </c>
      <c r="D41" s="18">
        <f>SUM(Apr!D41, May!D41, Jun!D41)</f>
        <v>395084</v>
      </c>
      <c r="E41" s="18">
        <f t="shared" si="3"/>
        <v>1293</v>
      </c>
      <c r="F41" s="19">
        <f t="shared" si="4"/>
        <v>3.2727217503113262E-3</v>
      </c>
      <c r="G41" s="20">
        <f>SUM(Apr!G41, May!G41, Jun!G41)</f>
        <v>727441.61</v>
      </c>
      <c r="H41" s="20">
        <f>SUM(Apr!H41, May!H41, Jun!H41)</f>
        <v>-331064.61</v>
      </c>
      <c r="I41" s="19">
        <f t="shared" si="5"/>
        <v>-0.45510815637835178</v>
      </c>
    </row>
    <row r="42" spans="1:9" ht="15.6">
      <c r="A42" s="47" t="str">
        <v>Muroc Joint USD - District Office</v>
      </c>
      <c r="B42" s="9" t="str">
        <v>CA</v>
      </c>
      <c r="C42" s="24">
        <f>SUM(Apr!C42, May!C42, Jun!C42)</f>
        <v>23980</v>
      </c>
      <c r="D42" s="13">
        <f>SUM(Apr!D42, May!D42, Jun!D42)</f>
        <v>23941</v>
      </c>
      <c r="E42" s="13">
        <f t="shared" si="3"/>
        <v>39</v>
      </c>
      <c r="F42" s="14">
        <f t="shared" si="4"/>
        <v>1.6290046363978113E-3</v>
      </c>
      <c r="G42" s="15">
        <f>SUM(Apr!G42, May!G42, Jun!G42)</f>
        <v>30541.73</v>
      </c>
      <c r="H42" s="15">
        <f>SUM(Apr!H42, May!H42, Jun!H42)</f>
        <v>-6561.7300000000014</v>
      </c>
      <c r="I42" s="16">
        <f t="shared" si="5"/>
        <v>-0.2148447386575679</v>
      </c>
    </row>
    <row r="43" spans="1:9" ht="15.6">
      <c r="A43" s="48" t="str">
        <v>Whole Foods - Manhattan Beach</v>
      </c>
      <c r="B43" s="10" t="str">
        <v>CA</v>
      </c>
      <c r="C43" s="11">
        <f>SUM(Apr!C43, May!C43, Jun!C43)</f>
        <v>49009</v>
      </c>
      <c r="D43" s="18">
        <f>SUM(Apr!D43, May!D43, Jun!D43)</f>
        <v>49223</v>
      </c>
      <c r="E43" s="18">
        <f t="shared" si="3"/>
        <v>-214</v>
      </c>
      <c r="F43" s="19">
        <f t="shared" si="4"/>
        <v>-4.347561099486013E-3</v>
      </c>
      <c r="G43" s="20">
        <f>SUM(Apr!G43, May!G43, Jun!G43)</f>
        <v>65936.39</v>
      </c>
      <c r="H43" s="20">
        <f>SUM(Apr!H43, May!H43, Jun!H43)</f>
        <v>-16927.39</v>
      </c>
      <c r="I43" s="19">
        <f t="shared" si="5"/>
        <v>-0.25672303260763896</v>
      </c>
    </row>
    <row r="44" spans="1:9" ht="15.6">
      <c r="A44" s="47" t="str">
        <v>Pioneer USD - Frontier ES</v>
      </c>
      <c r="B44" s="9" t="str">
        <v>CA</v>
      </c>
      <c r="C44" s="24">
        <f>SUM(Apr!C44, May!C44, Jun!C44)</f>
        <v>96136</v>
      </c>
      <c r="D44" s="13">
        <f>SUM(Apr!D44, May!D44, Jun!D44)</f>
        <v>0</v>
      </c>
      <c r="E44" s="13">
        <f t="shared" si="3"/>
        <v>96136</v>
      </c>
      <c r="F44" s="14" t="str">
        <f t="shared" si="4"/>
        <v/>
      </c>
      <c r="G44" s="15">
        <f>SUM(Apr!G44, May!G44, Jun!G44)</f>
        <v>113460.21</v>
      </c>
      <c r="H44" s="15">
        <f>SUM(Apr!H44, May!H44, Jun!H44)</f>
        <v>-17324.210000000006</v>
      </c>
      <c r="I44" s="16">
        <f t="shared" si="5"/>
        <v>-0.15268974030631535</v>
      </c>
    </row>
    <row r="45" spans="1:9" ht="15.6">
      <c r="A45" s="48" t="str">
        <v>Pioneer USD - Pioneer ES</v>
      </c>
      <c r="B45" s="10" t="str">
        <v>CA</v>
      </c>
      <c r="C45" s="11">
        <f>SUM(Apr!C45, May!C45, Jun!C45)</f>
        <v>36948</v>
      </c>
      <c r="D45" s="18">
        <f>SUM(Apr!D45, May!D45, Jun!D45)</f>
        <v>0</v>
      </c>
      <c r="E45" s="18">
        <f t="shared" si="3"/>
        <v>36948</v>
      </c>
      <c r="F45" s="19" t="str">
        <f t="shared" si="4"/>
        <v/>
      </c>
      <c r="G45" s="20">
        <f>SUM(Apr!G45, May!G45, Jun!G45)</f>
        <v>115391.59</v>
      </c>
      <c r="H45" s="20">
        <f>SUM(Apr!H45, May!H45, Jun!H45)</f>
        <v>-78443.59</v>
      </c>
      <c r="I45" s="19">
        <f t="shared" si="5"/>
        <v>-0.67980335481987897</v>
      </c>
    </row>
    <row r="46" spans="1:9" ht="15.6">
      <c r="A46" s="47" t="str">
        <v>Pioneer USD - Pioneer MS</v>
      </c>
      <c r="B46" s="9" t="str">
        <v>CA</v>
      </c>
      <c r="C46" s="24">
        <f>SUM(Apr!C46, May!C46, Jun!C46)</f>
        <v>156330</v>
      </c>
      <c r="D46" s="13">
        <f>SUM(Apr!D46, May!D46, Jun!D46)</f>
        <v>0</v>
      </c>
      <c r="E46" s="13">
        <f t="shared" si="3"/>
        <v>156330</v>
      </c>
      <c r="F46" s="14" t="str">
        <f t="shared" si="4"/>
        <v/>
      </c>
      <c r="G46" s="15">
        <f>SUM(Apr!G46, May!G46, Jun!G46)</f>
        <v>154503.46000000002</v>
      </c>
      <c r="H46" s="15">
        <f>SUM(Apr!H46, May!H46, Jun!H46)</f>
        <v>1826.5400000000009</v>
      </c>
      <c r="I46" s="16">
        <f t="shared" si="5"/>
        <v>1.182200062056863E-2</v>
      </c>
    </row>
    <row r="47" spans="1:9" ht="15.6">
      <c r="A47" s="48" t="str">
        <v>Kingsburg Joint UHSD - Kingsburg HS</v>
      </c>
      <c r="B47" s="10" t="str">
        <v>CA</v>
      </c>
      <c r="C47" s="11">
        <f>SUM(Apr!C47, May!C47, Jun!C47)</f>
        <v>168904</v>
      </c>
      <c r="D47" s="18">
        <f>SUM(Apr!D47, May!D47, Jun!D47)</f>
        <v>139921</v>
      </c>
      <c r="E47" s="18">
        <f t="shared" si="3"/>
        <v>28983</v>
      </c>
      <c r="F47" s="19">
        <f t="shared" si="4"/>
        <v>0.20713831376276612</v>
      </c>
      <c r="G47" s="20">
        <f>SUM(Apr!G47, May!G47, Jun!G47)</f>
        <v>265959.78000000003</v>
      </c>
      <c r="H47" s="20">
        <f>SUM(Apr!H47, May!H47, Jun!H47)</f>
        <v>-97055.78</v>
      </c>
      <c r="I47" s="19">
        <f t="shared" si="5"/>
        <v>-0.36492653137252551</v>
      </c>
    </row>
    <row r="48" spans="1:9" ht="15.6">
      <c r="A48" s="47" t="str">
        <v>CADRB</v>
      </c>
      <c r="B48" s="9" t="str">
        <v>CA</v>
      </c>
      <c r="C48" s="24">
        <f>SUM(Apr!C48, May!C48, Jun!C48)</f>
        <v>0</v>
      </c>
      <c r="D48" s="13">
        <f>SUM(Apr!D48, May!D48, Jun!D48)</f>
        <v>0</v>
      </c>
      <c r="E48" s="13">
        <f t="shared" si="3"/>
        <v>0</v>
      </c>
      <c r="F48" s="14" t="str">
        <f t="shared" si="4"/>
        <v/>
      </c>
      <c r="G48" s="15">
        <f>SUM(Apr!G48, May!G48, Jun!G48)</f>
        <v>2644174</v>
      </c>
      <c r="H48" s="15">
        <f>SUM(Apr!H48, May!H48, Jun!H48)</f>
        <v>-2644174</v>
      </c>
      <c r="I48" s="16">
        <f t="shared" si="5"/>
        <v>-1</v>
      </c>
    </row>
    <row r="49" spans="1:9" ht="15.6">
      <c r="A49" s="48" t="str">
        <v>CDCR-CA State Prison LA County</v>
      </c>
      <c r="B49" s="10" t="str">
        <v>CA</v>
      </c>
      <c r="C49" s="11">
        <f>SUM(Apr!C49, May!C49, Jun!C49)</f>
        <v>963570</v>
      </c>
      <c r="D49" s="18">
        <f>SUM(Apr!D49, May!D49, Jun!D49)</f>
        <v>951914</v>
      </c>
      <c r="E49" s="18">
        <f t="shared" si="3"/>
        <v>11656</v>
      </c>
      <c r="F49" s="19">
        <f t="shared" si="4"/>
        <v>1.2244803627218425E-2</v>
      </c>
      <c r="G49" s="20">
        <f>SUM(Apr!G49, May!G49, Jun!G49)</f>
        <v>1643365.1500000001</v>
      </c>
      <c r="H49" s="20">
        <f>SUM(Apr!H49, May!H49, Jun!H49)</f>
        <v>-679795.15</v>
      </c>
      <c r="I49" s="19">
        <f t="shared" si="5"/>
        <v>-0.41366043937344049</v>
      </c>
    </row>
    <row r="50" spans="1:9" ht="15.6">
      <c r="A50" s="47" t="str">
        <v>Central USD Akers ES</v>
      </c>
      <c r="B50" s="9" t="str">
        <v>CA</v>
      </c>
      <c r="C50" s="24">
        <f>SUM(Apr!C50, May!C50, Jun!C50)</f>
        <v>128056</v>
      </c>
      <c r="D50" s="13">
        <f>SUM(Apr!D50, May!D50, Jun!D50)</f>
        <v>38998</v>
      </c>
      <c r="E50" s="13">
        <f t="shared" si="3"/>
        <v>89058</v>
      </c>
      <c r="F50" s="14">
        <f t="shared" si="4"/>
        <v>2.2836555720806193</v>
      </c>
      <c r="G50" s="15">
        <f>SUM(Apr!G50, May!G50, Jun!G50)</f>
        <v>124828.92000000001</v>
      </c>
      <c r="H50" s="15">
        <f>SUM(Apr!H50, May!H50, Jun!H50)</f>
        <v>3227.0799999999945</v>
      </c>
      <c r="I50" s="16">
        <f t="shared" si="5"/>
        <v>2.5852022111542694E-2</v>
      </c>
    </row>
    <row r="51" spans="1:9" ht="15.6">
      <c r="A51" s="48" t="str">
        <v>CUSD - District Office</v>
      </c>
      <c r="B51" s="10" t="str">
        <v>CA</v>
      </c>
      <c r="C51" s="11">
        <f>SUM(Apr!C51, May!C51, Jun!C51)</f>
        <v>60411</v>
      </c>
      <c r="D51" s="18">
        <f>SUM(Apr!D51, May!D51, Jun!D51)</f>
        <v>59938</v>
      </c>
      <c r="E51" s="18">
        <f t="shared" si="3"/>
        <v>473</v>
      </c>
      <c r="F51" s="19">
        <f t="shared" si="4"/>
        <v>7.8914878707998272E-3</v>
      </c>
      <c r="G51" s="20">
        <f>SUM(Apr!G51, May!G51, Jun!G51)</f>
        <v>106279.6</v>
      </c>
      <c r="H51" s="20">
        <f>SUM(Apr!H51, May!H51, Jun!H51)</f>
        <v>-45868.6</v>
      </c>
      <c r="I51" s="19">
        <f t="shared" si="5"/>
        <v>-0.4315842362974644</v>
      </c>
    </row>
    <row r="52" spans="1:9" ht="15.6">
      <c r="A52" s="47" t="str">
        <v>Parlier - WTP</v>
      </c>
      <c r="B52" s="9" t="str">
        <v>CA</v>
      </c>
      <c r="C52" s="24">
        <f>SUM(Apr!C52, May!C52, Jun!C52)</f>
        <v>149811</v>
      </c>
      <c r="D52" s="13">
        <f>SUM(Apr!D52, May!D52, Jun!D52)</f>
        <v>145507</v>
      </c>
      <c r="E52" s="13">
        <f t="shared" si="3"/>
        <v>4304</v>
      </c>
      <c r="F52" s="14">
        <f t="shared" si="4"/>
        <v>2.9579332953053806E-2</v>
      </c>
      <c r="G52" s="15">
        <f>SUM(Apr!G52, May!G52, Jun!G52)</f>
        <v>307113</v>
      </c>
      <c r="H52" s="15">
        <f>SUM(Apr!H52, May!H52, Jun!H52)</f>
        <v>-157302</v>
      </c>
      <c r="I52" s="16">
        <f t="shared" si="5"/>
        <v>-0.51219583671156865</v>
      </c>
    </row>
    <row r="53" spans="1:9" ht="15.6">
      <c r="A53" s="48" t="str">
        <v>Snowline SD - Quail Valley MS</v>
      </c>
      <c r="B53" s="10" t="str">
        <v>CA</v>
      </c>
      <c r="C53" s="11">
        <f>SUM(Apr!C53, May!C53, Jun!C53)</f>
        <v>131088</v>
      </c>
      <c r="D53" s="18">
        <f>SUM(Apr!D53, May!D53, Jun!D53)</f>
        <v>126744</v>
      </c>
      <c r="E53" s="18">
        <f t="shared" si="3"/>
        <v>4344</v>
      </c>
      <c r="F53" s="19">
        <f t="shared" si="4"/>
        <v>3.4273811778072337E-2</v>
      </c>
      <c r="G53" s="20">
        <f>SUM(Apr!G53, May!G53, Jun!G53)</f>
        <v>142768.54</v>
      </c>
      <c r="H53" s="20">
        <f>SUM(Apr!H53, May!H53, Jun!H53)</f>
        <v>-11680.54</v>
      </c>
      <c r="I53" s="19">
        <f t="shared" si="5"/>
        <v>-8.1814523003457207E-2</v>
      </c>
    </row>
    <row r="54" spans="1:9" ht="15.6">
      <c r="A54" s="47" t="str">
        <v>Snowline SD - Serrano HS - Middle Lot</v>
      </c>
      <c r="B54" s="9" t="str">
        <v>CA</v>
      </c>
      <c r="C54" s="24">
        <f>SUM(Apr!C54, May!C54, Jun!C54)</f>
        <v>94901</v>
      </c>
      <c r="D54" s="13">
        <f>SUM(Apr!D54, May!D54, Jun!D54)</f>
        <v>93658</v>
      </c>
      <c r="E54" s="13">
        <f t="shared" si="3"/>
        <v>1243</v>
      </c>
      <c r="F54" s="14">
        <f t="shared" si="4"/>
        <v>1.3271690619060838E-2</v>
      </c>
      <c r="G54" s="15">
        <f>SUM(Apr!G54, May!G54, Jun!G54)</f>
        <v>178263.52000000002</v>
      </c>
      <c r="H54" s="15">
        <f>SUM(Apr!H54, May!H54, Jun!H54)</f>
        <v>-83362.52</v>
      </c>
      <c r="I54" s="16">
        <f t="shared" si="5"/>
        <v>-0.46763645192241238</v>
      </c>
    </row>
    <row r="55" spans="1:9" ht="15.6">
      <c r="A55" s="48" t="str">
        <v>Snowline SD - Pinon Hills ES</v>
      </c>
      <c r="B55" s="10" t="str">
        <v>CA</v>
      </c>
      <c r="C55" s="11">
        <f>SUM(Apr!C55, May!C55, Jun!C55)</f>
        <v>39131</v>
      </c>
      <c r="D55" s="18">
        <f>SUM(Apr!D55, May!D55, Jun!D55)</f>
        <v>39477</v>
      </c>
      <c r="E55" s="18">
        <f t="shared" si="3"/>
        <v>-346</v>
      </c>
      <c r="F55" s="19">
        <f t="shared" si="4"/>
        <v>-8.764597107176331E-3</v>
      </c>
      <c r="G55" s="20">
        <f>SUM(Apr!G55, May!G55, Jun!G55)</f>
        <v>78321.899999999994</v>
      </c>
      <c r="H55" s="20">
        <f>SUM(Apr!H55, May!H55, Jun!H55)</f>
        <v>-39190.899999999994</v>
      </c>
      <c r="I55" s="19">
        <f t="shared" si="5"/>
        <v>-0.50038239623911063</v>
      </c>
    </row>
    <row r="56" spans="1:9" ht="15.6">
      <c r="A56" s="47" t="str">
        <v>Ramona - Santa Maria WTP</v>
      </c>
      <c r="B56" s="9" t="str">
        <v>CA</v>
      </c>
      <c r="C56" s="24">
        <f>SUM(Apr!C56, May!C56, Jun!C56)</f>
        <v>209793</v>
      </c>
      <c r="D56" s="13">
        <f>SUM(Apr!D56, May!D56, Jun!D56)</f>
        <v>210295</v>
      </c>
      <c r="E56" s="13">
        <f t="shared" si="3"/>
        <v>-502</v>
      </c>
      <c r="F56" s="14">
        <f t="shared" si="4"/>
        <v>-2.3871228512327919E-3</v>
      </c>
      <c r="G56" s="15">
        <f>SUM(Apr!G56, May!G56, Jun!G56)</f>
        <v>246362.38</v>
      </c>
      <c r="H56" s="15">
        <f>SUM(Apr!H56, May!H56, Jun!H56)</f>
        <v>-36569.37999999999</v>
      </c>
      <c r="I56" s="16">
        <f t="shared" si="5"/>
        <v>-0.14843735476171316</v>
      </c>
    </row>
    <row r="57" spans="1:9" ht="15.6">
      <c r="A57" s="48" t="str">
        <v>Kohls - Redding</v>
      </c>
      <c r="B57" s="10" t="str">
        <v>CA</v>
      </c>
      <c r="C57" s="11">
        <f>SUM(Apr!C57, May!C57, Jun!C57)</f>
        <v>82046</v>
      </c>
      <c r="D57" s="18">
        <f>SUM(Apr!D57, May!D57, Jun!D57)</f>
        <v>56</v>
      </c>
      <c r="E57" s="18">
        <f t="shared" si="3"/>
        <v>81990</v>
      </c>
      <c r="F57" s="19">
        <f t="shared" si="4"/>
        <v>1464.1071428571429</v>
      </c>
      <c r="G57" s="20">
        <f>SUM(Apr!G57, May!G57, Jun!G57)</f>
        <v>105690.63</v>
      </c>
      <c r="H57" s="20">
        <f>SUM(Apr!H57, May!H57, Jun!H57)</f>
        <v>-23644.629999999997</v>
      </c>
      <c r="I57" s="19">
        <f t="shared" si="5"/>
        <v>-0.22371547979229564</v>
      </c>
    </row>
    <row r="58" spans="1:9" ht="15.6">
      <c r="A58" s="47" t="str">
        <v>Kohls - Salinas</v>
      </c>
      <c r="B58" s="9" t="str">
        <v>CA</v>
      </c>
      <c r="C58" s="24">
        <f>SUM(Apr!C58, May!C58, Jun!C58)</f>
        <v>112979</v>
      </c>
      <c r="D58" s="13">
        <f>SUM(Apr!D58, May!D58, Jun!D58)</f>
        <v>112392</v>
      </c>
      <c r="E58" s="13">
        <f t="shared" si="3"/>
        <v>587</v>
      </c>
      <c r="F58" s="14">
        <f t="shared" si="4"/>
        <v>5.2227916577692358E-3</v>
      </c>
      <c r="G58" s="15">
        <f>SUM(Apr!G58, May!G58, Jun!G58)</f>
        <v>154446.39999999999</v>
      </c>
      <c r="H58" s="15">
        <f>SUM(Apr!H58, May!H58, Jun!H58)</f>
        <v>-41467.4</v>
      </c>
      <c r="I58" s="16">
        <f t="shared" si="5"/>
        <v>-0.26849055724186516</v>
      </c>
    </row>
    <row r="59" spans="1:9" ht="15.6">
      <c r="A59" s="48" t="str">
        <v>Kohls - San Bernardino - Central</v>
      </c>
      <c r="B59" s="10" t="str">
        <v>CA</v>
      </c>
      <c r="C59" s="11">
        <f>SUM(Apr!C59, May!C59, Jun!C59)</f>
        <v>21438</v>
      </c>
      <c r="D59" s="18">
        <f>SUM(Apr!D59, May!D59, Jun!D59)</f>
        <v>21386</v>
      </c>
      <c r="E59" s="18">
        <f t="shared" si="3"/>
        <v>52</v>
      </c>
      <c r="F59" s="19">
        <f t="shared" si="4"/>
        <v>2.4314972411858225E-3</v>
      </c>
      <c r="G59" s="20">
        <f>SUM(Apr!G59, May!G59, Jun!G59)</f>
        <v>485649.98000000004</v>
      </c>
      <c r="H59" s="20">
        <f>SUM(Apr!H59, May!H59, Jun!H59)</f>
        <v>-464211.98000000004</v>
      </c>
      <c r="I59" s="19">
        <f t="shared" si="5"/>
        <v>-0.95585709691576637</v>
      </c>
    </row>
    <row r="60" spans="1:9" ht="15.6">
      <c r="A60" s="47" t="str">
        <v>Kohls - Sonora</v>
      </c>
      <c r="B60" s="9" t="str">
        <v>CA</v>
      </c>
      <c r="C60" s="24">
        <f>SUM(Apr!C60, May!C60, Jun!C60)</f>
        <v>94299</v>
      </c>
      <c r="D60" s="13">
        <f>SUM(Apr!D60, May!D60, Jun!D60)</f>
        <v>93666</v>
      </c>
      <c r="E60" s="13">
        <f t="shared" si="3"/>
        <v>633</v>
      </c>
      <c r="F60" s="14">
        <f t="shared" si="4"/>
        <v>6.7580552174748574E-3</v>
      </c>
      <c r="G60" s="15">
        <f>SUM(Apr!G60, May!G60, Jun!G60)</f>
        <v>110287.20999999999</v>
      </c>
      <c r="H60" s="15">
        <f>SUM(Apr!H60, May!H60, Jun!H60)</f>
        <v>-15988.21</v>
      </c>
      <c r="I60" s="16">
        <f t="shared" si="5"/>
        <v>-0.14496884996909434</v>
      </c>
    </row>
    <row r="61" spans="1:9" ht="15.6">
      <c r="A61" s="48" t="str">
        <v>CUSD - Stratford ES</v>
      </c>
      <c r="B61" s="10" t="str">
        <v>CA</v>
      </c>
      <c r="C61" s="11">
        <f>SUM(Apr!C61, May!C61, Jun!C61)</f>
        <v>76753</v>
      </c>
      <c r="D61" s="18">
        <f>SUM(Apr!D61, May!D61, Jun!D61)</f>
        <v>76453</v>
      </c>
      <c r="E61" s="18">
        <f t="shared" si="3"/>
        <v>300</v>
      </c>
      <c r="F61" s="19">
        <f t="shared" si="4"/>
        <v>3.9239794383477428E-3</v>
      </c>
      <c r="G61" s="20">
        <f>SUM(Apr!G61, May!G61, Jun!G61)</f>
        <v>75667.06</v>
      </c>
      <c r="H61" s="20">
        <f>SUM(Apr!H61, May!H61, Jun!H61)</f>
        <v>1085.9399999999987</v>
      </c>
      <c r="I61" s="19">
        <f t="shared" si="5"/>
        <v>1.4351555353148368E-2</v>
      </c>
    </row>
    <row r="62" spans="1:9" ht="15.6">
      <c r="A62" s="47" t="str">
        <v>Taft - City Hall</v>
      </c>
      <c r="B62" s="9" t="str">
        <v>CA</v>
      </c>
      <c r="C62" s="24">
        <f>SUM(Apr!C62, May!C62, Jun!C62)</f>
        <v>1918</v>
      </c>
      <c r="D62" s="13">
        <f>SUM(Apr!D62, May!D62, Jun!D62)</f>
        <v>154</v>
      </c>
      <c r="E62" s="13">
        <f t="shared" si="3"/>
        <v>1764</v>
      </c>
      <c r="F62" s="14">
        <f t="shared" si="4"/>
        <v>11.454545454545455</v>
      </c>
      <c r="G62" s="15">
        <f>SUM(Apr!G62, May!G62, Jun!G62)</f>
        <v>32089.61</v>
      </c>
      <c r="H62" s="15">
        <f>SUM(Apr!H62, May!H62, Jun!H62)</f>
        <v>-30171.61</v>
      </c>
      <c r="I62" s="16">
        <f t="shared" si="5"/>
        <v>-0.94022987502808542</v>
      </c>
    </row>
    <row r="63" spans="1:9" ht="15.6">
      <c r="A63" s="48" t="str">
        <v>Taft - Federal Prison</v>
      </c>
      <c r="B63" s="10" t="str">
        <v>CA</v>
      </c>
      <c r="C63" s="11">
        <f>SUM(Apr!C63, May!C63, Jun!C63)</f>
        <v>54259</v>
      </c>
      <c r="D63" s="18">
        <f>SUM(Apr!D63, May!D63, Jun!D63)</f>
        <v>54707</v>
      </c>
      <c r="E63" s="18">
        <f t="shared" si="3"/>
        <v>-448</v>
      </c>
      <c r="F63" s="19">
        <f t="shared" si="4"/>
        <v>-8.1890800080428473E-3</v>
      </c>
      <c r="G63" s="20">
        <f>SUM(Apr!G63, May!G63, Jun!G63)</f>
        <v>49740.81</v>
      </c>
      <c r="H63" s="20">
        <f>SUM(Apr!H63, May!H63, Jun!H63)</f>
        <v>4518.1900000000023</v>
      </c>
      <c r="I63" s="19">
        <f t="shared" si="5"/>
        <v>9.0834668755896866E-2</v>
      </c>
    </row>
    <row r="64" spans="1:9" ht="15.6">
      <c r="A64" s="47" t="str">
        <v>Taft - Police Department</v>
      </c>
      <c r="B64" s="9" t="str">
        <v>CA</v>
      </c>
      <c r="C64" s="24">
        <f>SUM(Apr!C64, May!C64, Jun!C64)</f>
        <v>39375</v>
      </c>
      <c r="D64" s="13">
        <f>SUM(Apr!D64, May!D64, Jun!D64)</f>
        <v>39732</v>
      </c>
      <c r="E64" s="13">
        <f t="shared" si="3"/>
        <v>-357</v>
      </c>
      <c r="F64" s="14">
        <f t="shared" si="4"/>
        <v>-8.9852008456659613E-3</v>
      </c>
      <c r="G64" s="15">
        <f>SUM(Apr!G64, May!G64, Jun!G64)</f>
        <v>36705.259999999995</v>
      </c>
      <c r="H64" s="15">
        <f>SUM(Apr!H64, May!H64, Jun!H64)</f>
        <v>2669.74</v>
      </c>
      <c r="I64" s="16">
        <f t="shared" si="5"/>
        <v>7.273453450540876E-2</v>
      </c>
    </row>
    <row r="65" spans="1:9" ht="15.6">
      <c r="A65" s="48" t="str">
        <v>Taft - WTP</v>
      </c>
      <c r="B65" s="10" t="str">
        <v>CA</v>
      </c>
      <c r="C65" s="11">
        <f>SUM(Apr!C65, May!C65, Jun!C65)</f>
        <v>129399</v>
      </c>
      <c r="D65" s="18">
        <f>SUM(Apr!D65, May!D65, Jun!D65)</f>
        <v>180831</v>
      </c>
      <c r="E65" s="18">
        <f t="shared" si="3"/>
        <v>-51432</v>
      </c>
      <c r="F65" s="19">
        <f t="shared" si="4"/>
        <v>-0.28442025980058727</v>
      </c>
      <c r="G65" s="20">
        <f>SUM(Apr!G65, May!G65, Jun!G65)</f>
        <v>163119.56</v>
      </c>
      <c r="H65" s="20">
        <f>SUM(Apr!H65, May!H65, Jun!H65)</f>
        <v>-33720.55999999999</v>
      </c>
      <c r="I65" s="19">
        <f t="shared" si="5"/>
        <v>-0.20672297056220598</v>
      </c>
    </row>
    <row r="66" spans="1:9" ht="15.6">
      <c r="A66" s="47" t="str">
        <v>CDCR - CA Correctional Institution</v>
      </c>
      <c r="B66" s="9" t="str">
        <v>CA</v>
      </c>
      <c r="C66" s="24">
        <f>SUM(Apr!C66, May!C66, Jun!C66)</f>
        <v>687973</v>
      </c>
      <c r="D66" s="13">
        <f>SUM(Apr!D66, May!D66, Jun!D66)</f>
        <v>695409</v>
      </c>
      <c r="E66" s="13">
        <f t="shared" si="3"/>
        <v>-7436</v>
      </c>
      <c r="F66" s="14">
        <f t="shared" si="4"/>
        <v>-1.0692987867571458E-2</v>
      </c>
      <c r="G66" s="15">
        <f>SUM(Apr!G66, May!G66, Jun!G66)</f>
        <v>754641.53</v>
      </c>
      <c r="H66" s="15">
        <f>SUM(Apr!H66, May!H66, Jun!H66)</f>
        <v>-66668.53</v>
      </c>
      <c r="I66" s="16">
        <f t="shared" si="5"/>
        <v>-8.834463430603931E-2</v>
      </c>
    </row>
    <row r="67" spans="1:9" ht="15.6">
      <c r="A67" s="48" t="str">
        <v>CDCR - CA Correctional Institution II</v>
      </c>
      <c r="B67" s="10" t="str">
        <v>CA</v>
      </c>
      <c r="C67" s="11">
        <f>SUM(Apr!C67, May!C67, Jun!C67)</f>
        <v>738589.67999999993</v>
      </c>
      <c r="D67" s="18">
        <f>SUM(Apr!D67, May!D67, Jun!D67)</f>
        <v>560994</v>
      </c>
      <c r="E67" s="18">
        <f t="shared" si="3"/>
        <v>177595.67999999993</v>
      </c>
      <c r="F67" s="19">
        <f t="shared" si="4"/>
        <v>0.31657322538208954</v>
      </c>
      <c r="G67" s="20">
        <f>SUM(Apr!G67, May!G67, Jun!G67)</f>
        <v>1114079.6000000001</v>
      </c>
      <c r="H67" s="20">
        <f>SUM(Apr!H67, May!H67, Jun!H67)</f>
        <v>-375489.92</v>
      </c>
      <c r="I67" s="19">
        <f t="shared" si="5"/>
        <v>-0.33704047717954799</v>
      </c>
    </row>
    <row r="68" spans="1:9" ht="15.6">
      <c r="A68" s="47" t="str">
        <v>Snowline SD - Vista Verde ES</v>
      </c>
      <c r="B68" s="9" t="str">
        <v>CA</v>
      </c>
      <c r="C68" s="24">
        <f>SUM(Apr!C68, May!C68, Jun!C68)</f>
        <v>31603</v>
      </c>
      <c r="D68" s="13">
        <f>SUM(Apr!D68, May!D68, Jun!D68)</f>
        <v>32671</v>
      </c>
      <c r="E68" s="13">
        <f t="shared" si="3"/>
        <v>-1068</v>
      </c>
      <c r="F68" s="14">
        <f t="shared" si="4"/>
        <v>-3.2689541183312416E-2</v>
      </c>
      <c r="G68" s="15">
        <f>SUM(Apr!G68, May!G68, Jun!G68)</f>
        <v>105367.78</v>
      </c>
      <c r="H68" s="15">
        <f>SUM(Apr!H68, May!H68, Jun!H68)</f>
        <v>-73764.78</v>
      </c>
      <c r="I68" s="16">
        <f t="shared" si="5"/>
        <v>-0.70006960382006722</v>
      </c>
    </row>
    <row r="69" spans="1:9" ht="15.6">
      <c r="A69" s="48" t="str">
        <v>North Stonington</v>
      </c>
      <c r="B69" s="10" t="str">
        <v>CT</v>
      </c>
      <c r="C69" s="11">
        <f>SUM(Apr!C69, May!C69, Jun!C69)</f>
        <v>4455680</v>
      </c>
      <c r="D69" s="18">
        <f>SUM(Apr!D69, May!D69, Jun!D69)</f>
        <v>0</v>
      </c>
      <c r="E69" s="18">
        <f t="shared" si="3"/>
        <v>4455680</v>
      </c>
      <c r="F69" s="19" t="str">
        <f t="shared" si="4"/>
        <v/>
      </c>
      <c r="G69" s="20">
        <f>SUM(Apr!G69, May!G69, Jun!G69)</f>
        <v>0</v>
      </c>
      <c r="H69" s="20">
        <f>SUM(Apr!H69, May!H69, Jun!H69)</f>
        <v>1626160</v>
      </c>
      <c r="I69" s="19" t="str">
        <f t="shared" si="5"/>
        <v/>
      </c>
    </row>
    <row r="70" spans="1:9" ht="13.9">
      <c r="A70" s="21" t="str">
        <v>CT: Torrington - 2-298 Rossi Road</v>
      </c>
      <c r="B70" s="21" t="str">
        <v>CT</v>
      </c>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sortState xmlns:xlrd2="http://schemas.microsoft.com/office/spreadsheetml/2017/richdata2" ref="A3:I4">
    <sortCondition ref="A3:A4"/>
  </sortState>
  <mergeCells count="4">
    <mergeCell ref="G1:I1"/>
    <mergeCell ref="A1:C1"/>
    <mergeCell ref="D1:F1"/>
    <mergeCell ref="A2:B2"/>
  </mergeCells>
  <conditionalFormatting sqref="F2 I2 F4:F100 I4:I100">
    <cfRule type="cellIs" dxfId="66" priority="1" stopIfTrue="1" operator="lessThanOrEqual">
      <formula>-0.1</formula>
    </cfRule>
    <cfRule type="expression" dxfId="6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2"/>
  <sheetViews>
    <sheetView zoomScale="78" workbookViewId="0">
      <pane xSplit="2" ySplit="3" topLeftCell="G60" activePane="bottomRight" state="frozen"/>
      <selection pane="bottomRight" activeCell="G60" sqref="G60"/>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32" t="str" cm="1">
        <f t="array" ref="A1">portfolio</f>
        <v>Silicon Ranch</v>
      </c>
      <c r="B1" s="132"/>
      <c r="C1" s="132"/>
      <c r="D1" s="133" t="s">
        <v>14</v>
      </c>
      <c r="E1" s="133"/>
      <c r="F1" s="133"/>
      <c r="G1" s="131" t="s">
        <v>15</v>
      </c>
      <c r="H1" s="131"/>
      <c r="I1" s="131"/>
    </row>
    <row r="2" spans="1:9" ht="19.5" customHeight="1">
      <c r="A2" s="134" t="s">
        <v>2</v>
      </c>
      <c r="B2" s="134"/>
      <c r="C2" s="5">
        <f>SUM(C4:C100)</f>
        <v>12730703</v>
      </c>
      <c r="D2" s="5">
        <f>SUM(D4:D100)</f>
        <v>7025643</v>
      </c>
      <c r="E2" s="5">
        <f>C2-D2</f>
        <v>5705060</v>
      </c>
      <c r="F2" s="6">
        <f>IFERROR(E2/D2, 0)</f>
        <v>0.81203385939194461</v>
      </c>
      <c r="G2" s="5">
        <f>SUM(G4:G100)</f>
        <v>13874434.567</v>
      </c>
      <c r="H2" s="7">
        <f>C2-G2</f>
        <v>-1143731.5669999998</v>
      </c>
      <c r="I2" s="6">
        <f>IFERROR(H2/G2, 0)</f>
        <v>-8.243446329123473E-2</v>
      </c>
    </row>
    <row r="3" spans="1:9" ht="14.25" customHeight="1">
      <c r="A3" s="8" t="s">
        <v>3</v>
      </c>
      <c r="B3" s="8" t="s">
        <v>4</v>
      </c>
      <c r="C3" s="23" t="s">
        <v>5</v>
      </c>
      <c r="D3" s="35" t="s">
        <v>6</v>
      </c>
      <c r="E3" s="35" t="s">
        <v>7</v>
      </c>
      <c r="F3" s="36" t="s">
        <v>8</v>
      </c>
      <c r="G3" s="37" t="s">
        <v>9</v>
      </c>
      <c r="H3" s="38" t="s">
        <v>7</v>
      </c>
      <c r="I3" s="39" t="s">
        <v>8</v>
      </c>
    </row>
    <row r="4" spans="1:9" ht="15.6">
      <c r="A4" s="47" t="str" cm="1">
        <f t="array" ref="A4:A70">Sites[Site]</f>
        <v>Iron Mountain - Windsor</v>
      </c>
      <c r="B4" s="9" t="str" cm="1">
        <f t="array" ref="B4:B70">Sites[State]</f>
        <v>CT</v>
      </c>
      <c r="C4" s="24">
        <f>SUM(Jul!C4, Aug!C4, Sep!C4)</f>
        <v>105117</v>
      </c>
      <c r="D4" s="13">
        <f>SUM(Jul!D4, Aug!D4, Sep!D4)</f>
        <v>104839</v>
      </c>
      <c r="E4" s="13">
        <f>IF(AND(ISNUMBER(C4),ISNUMBER(D4)), C4-D4, "")</f>
        <v>278</v>
      </c>
      <c r="F4" s="14">
        <f>IFERROR(E4/D4, "")</f>
        <v>2.6516849645647133E-3</v>
      </c>
      <c r="G4" s="15">
        <f>SUM(Jul!G4, Aug!G4, Sep!G4)</f>
        <v>94298.33</v>
      </c>
      <c r="H4" s="15">
        <f>SUM(Jul!H4, Aug!H4, Sep!H4)</f>
        <v>10818.670000000002</v>
      </c>
      <c r="I4" s="16">
        <f>IFERROR(H4/G4, "")</f>
        <v>0.11472811872702307</v>
      </c>
    </row>
    <row r="5" spans="1:9" ht="15.6">
      <c r="A5" s="48" t="str">
        <v>Kohls - Auburn</v>
      </c>
      <c r="B5" s="10" t="str">
        <v>NY</v>
      </c>
      <c r="C5" s="11">
        <f>SUM(Jul!C5, Aug!C5, Sep!C5)</f>
        <v>120997</v>
      </c>
      <c r="D5" s="18">
        <f>SUM(Jul!D5, Aug!D5, Sep!D5)</f>
        <v>120640</v>
      </c>
      <c r="E5" s="18">
        <f t="shared" ref="E5:E15" si="0">IF(AND(ISNUMBER(C5),ISNUMBER(D5)), C5-D5, "")</f>
        <v>357</v>
      </c>
      <c r="F5" s="19">
        <f>IFERROR(E5/D5, "")</f>
        <v>2.9592175066312999E-3</v>
      </c>
      <c r="G5" s="20">
        <f>SUM(Jul!G5, Aug!G5, Sep!G5)</f>
        <v>115103.23</v>
      </c>
      <c r="H5" s="20">
        <f>SUM(Jul!H5, Aug!H5, Sep!H5)</f>
        <v>5893.7699999999968</v>
      </c>
      <c r="I5" s="19">
        <f>IFERROR(H5/G5, "")</f>
        <v>5.1204210342316168E-2</v>
      </c>
    </row>
    <row r="6" spans="1:9" ht="15.6">
      <c r="A6" s="47" t="str">
        <v>Kohls - Bensalem</v>
      </c>
      <c r="B6" s="9" t="str">
        <v>PA</v>
      </c>
      <c r="C6" s="24">
        <f>SUM(Jul!C6, Aug!C6, Sep!C6)</f>
        <v>0</v>
      </c>
      <c r="D6" s="13">
        <f>SUM(Jul!D6, Aug!D6, Sep!D6)</f>
        <v>0</v>
      </c>
      <c r="E6" s="13">
        <f t="shared" si="0"/>
        <v>0</v>
      </c>
      <c r="F6" s="14" t="str">
        <f t="shared" ref="F6:F15" si="1">IFERROR(E6/D6, "")</f>
        <v/>
      </c>
      <c r="G6" s="15">
        <f>SUM(Jul!G6, Aug!G6, Sep!G6)</f>
        <v>107414.47</v>
      </c>
      <c r="H6" s="15">
        <f>SUM(Jul!H6, Aug!H6, Sep!H6)</f>
        <v>-107414.47</v>
      </c>
      <c r="I6" s="16">
        <f t="shared" ref="I6:I15" si="2">IFERROR(H6/G6, "")</f>
        <v>-1</v>
      </c>
    </row>
    <row r="7" spans="1:9" ht="15.6">
      <c r="A7" s="48" t="str">
        <v>Kohls - Brick</v>
      </c>
      <c r="B7" s="10" t="str">
        <v>NJ</v>
      </c>
      <c r="C7" s="11">
        <f>SUM(Jul!C7, Aug!C7, Sep!C7)</f>
        <v>137165</v>
      </c>
      <c r="D7" s="18">
        <f>SUM(Jul!D7, Aug!D7, Sep!D7)</f>
        <v>136957</v>
      </c>
      <c r="E7" s="18">
        <f t="shared" si="0"/>
        <v>208</v>
      </c>
      <c r="F7" s="19">
        <f t="shared" si="1"/>
        <v>1.5187248552465372E-3</v>
      </c>
      <c r="G7" s="20">
        <f>SUM(Jul!G7, Aug!G7, Sep!G7)</f>
        <v>127403.81</v>
      </c>
      <c r="H7" s="20">
        <f>SUM(Jul!H7, Aug!H7, Sep!H7)</f>
        <v>9761.1900000000023</v>
      </c>
      <c r="I7" s="19">
        <f t="shared" si="2"/>
        <v>7.6616154571829548E-2</v>
      </c>
    </row>
    <row r="8" spans="1:9" ht="15.6">
      <c r="A8" s="47" t="str">
        <v>Kohls - Buffalo</v>
      </c>
      <c r="B8" s="9" t="str">
        <v>NY</v>
      </c>
      <c r="C8" s="24">
        <f>SUM(Jul!C8, Aug!C8, Sep!C8)</f>
        <v>137537</v>
      </c>
      <c r="D8" s="13">
        <f>SUM(Jul!D8, Aug!D8, Sep!D8)</f>
        <v>0</v>
      </c>
      <c r="E8" s="13">
        <f t="shared" si="0"/>
        <v>137537</v>
      </c>
      <c r="F8" s="14" t="str">
        <f t="shared" si="1"/>
        <v/>
      </c>
      <c r="G8" s="15">
        <f>SUM(Jul!G8, Aug!G8, Sep!G8)</f>
        <v>138873.65</v>
      </c>
      <c r="H8" s="15">
        <f>SUM(Jul!H8, Aug!H8, Sep!H8)</f>
        <v>-1336.6500000000015</v>
      </c>
      <c r="I8" s="16">
        <f t="shared" si="2"/>
        <v>-9.6249360479831961E-3</v>
      </c>
    </row>
    <row r="9" spans="1:9" ht="15.6">
      <c r="A9" s="48" t="str">
        <v>Kohls - Canton</v>
      </c>
      <c r="B9" s="10" t="str">
        <v>CT</v>
      </c>
      <c r="C9" s="11">
        <f>SUM(Jul!C9, Aug!C9, Sep!C9)</f>
        <v>52753</v>
      </c>
      <c r="D9" s="18">
        <f>SUM(Jul!D9, Aug!D9, Sep!D9)</f>
        <v>52162</v>
      </c>
      <c r="E9" s="18">
        <f t="shared" si="0"/>
        <v>591</v>
      </c>
      <c r="F9" s="19">
        <f t="shared" si="1"/>
        <v>1.133008703654001E-2</v>
      </c>
      <c r="G9" s="20">
        <f>SUM(Jul!G9, Aug!G9, Sep!G9)</f>
        <v>43532.880000000005</v>
      </c>
      <c r="H9" s="20">
        <f>SUM(Jul!H9, Aug!H9, Sep!H9)</f>
        <v>9220.119999999999</v>
      </c>
      <c r="I9" s="19">
        <f t="shared" si="2"/>
        <v>0.21179669252298489</v>
      </c>
    </row>
    <row r="10" spans="1:9" ht="15.6">
      <c r="A10" s="47" t="str">
        <v>Kohls - East Amherst</v>
      </c>
      <c r="B10" s="9" t="str">
        <v>NY</v>
      </c>
      <c r="C10" s="24">
        <f>SUM(Jul!C10, Aug!C10, Sep!C10)</f>
        <v>0</v>
      </c>
      <c r="D10" s="13">
        <f>SUM(Jul!D10, Aug!D10, Sep!D10)</f>
        <v>0</v>
      </c>
      <c r="E10" s="13">
        <f t="shared" si="0"/>
        <v>0</v>
      </c>
      <c r="F10" s="14" t="str">
        <f t="shared" si="1"/>
        <v/>
      </c>
      <c r="G10" s="15">
        <f>SUM(Jul!G10, Aug!G10, Sep!G10)</f>
        <v>123850.53</v>
      </c>
      <c r="H10" s="15">
        <f>SUM(Jul!H10, Aug!H10, Sep!H10)</f>
        <v>-123850.53</v>
      </c>
      <c r="I10" s="16">
        <f t="shared" si="2"/>
        <v>-1</v>
      </c>
    </row>
    <row r="11" spans="1:9" ht="15.6">
      <c r="A11" s="48" t="str">
        <v>Kohls - East Brunswick</v>
      </c>
      <c r="B11" s="10" t="str">
        <v>NJ</v>
      </c>
      <c r="C11" s="11">
        <f>SUM(Jul!C11, Aug!C11, Sep!C11)</f>
        <v>116479</v>
      </c>
      <c r="D11" s="18">
        <f>SUM(Jul!D11, Aug!D11, Sep!D11)</f>
        <v>92958</v>
      </c>
      <c r="E11" s="18">
        <f t="shared" si="0"/>
        <v>23521</v>
      </c>
      <c r="F11" s="19">
        <f t="shared" si="1"/>
        <v>0.25302824931689583</v>
      </c>
      <c r="G11" s="20">
        <f>SUM(Jul!G11, Aug!G11, Sep!G11)</f>
        <v>162921.69</v>
      </c>
      <c r="H11" s="20">
        <f>SUM(Jul!H11, Aug!H11, Sep!H11)</f>
        <v>-46442.689999999995</v>
      </c>
      <c r="I11" s="19">
        <f t="shared" si="2"/>
        <v>-0.28506143043323451</v>
      </c>
    </row>
    <row r="12" spans="1:9" ht="15.6">
      <c r="A12" s="47" t="str">
        <v>Kohls - Edgewood</v>
      </c>
      <c r="B12" s="9" t="str">
        <v>MD</v>
      </c>
      <c r="C12" s="24">
        <f>SUM(Jul!C12, Aug!C12, Sep!C12)</f>
        <v>509904</v>
      </c>
      <c r="D12" s="13">
        <f>SUM(Jul!D12, Aug!D12, Sep!D12)</f>
        <v>507542</v>
      </c>
      <c r="E12" s="13">
        <f t="shared" si="0"/>
        <v>2362</v>
      </c>
      <c r="F12" s="14">
        <f t="shared" si="1"/>
        <v>4.6538020498796155E-3</v>
      </c>
      <c r="G12" s="15">
        <f>SUM(Jul!G12, Aug!G12, Sep!G12)</f>
        <v>848686.32</v>
      </c>
      <c r="H12" s="15">
        <f>SUM(Jul!H12, Aug!H12, Sep!H12)</f>
        <v>-338782.31999999995</v>
      </c>
      <c r="I12" s="16">
        <f t="shared" si="2"/>
        <v>-0.3991843770970645</v>
      </c>
    </row>
    <row r="13" spans="1:9" ht="15.6">
      <c r="A13" s="48" t="str">
        <v>Kohls - Granite Run</v>
      </c>
      <c r="B13" s="10" t="str">
        <v>PA</v>
      </c>
      <c r="C13" s="11">
        <f>SUM(Jul!C13, Aug!C13, Sep!C13)</f>
        <v>108183</v>
      </c>
      <c r="D13" s="18">
        <f>SUM(Jul!D13, Aug!D13, Sep!D13)</f>
        <v>107416</v>
      </c>
      <c r="E13" s="18">
        <f t="shared" si="0"/>
        <v>767</v>
      </c>
      <c r="F13" s="19">
        <f t="shared" si="1"/>
        <v>7.1404632456989652E-3</v>
      </c>
      <c r="G13" s="20">
        <f>SUM(Jul!G13, Aug!G13, Sep!G13)</f>
        <v>106273.40000000001</v>
      </c>
      <c r="H13" s="20">
        <f>SUM(Jul!H13, Aug!H13, Sep!H13)</f>
        <v>1909.6000000000022</v>
      </c>
      <c r="I13" s="19">
        <f t="shared" si="2"/>
        <v>1.7968748529735588E-2</v>
      </c>
    </row>
    <row r="14" spans="1:9" ht="15.6">
      <c r="A14" s="47" t="str">
        <v>Kohls - Greece</v>
      </c>
      <c r="B14" s="9" t="str">
        <v>NY</v>
      </c>
      <c r="C14" s="24">
        <f>SUM(Jul!C14, Aug!C14, Sep!C14)</f>
        <v>112100</v>
      </c>
      <c r="D14" s="13">
        <f>SUM(Jul!D14, Aug!D14, Sep!D14)</f>
        <v>111563</v>
      </c>
      <c r="E14" s="13">
        <f t="shared" si="0"/>
        <v>537</v>
      </c>
      <c r="F14" s="14">
        <f t="shared" si="1"/>
        <v>4.8134238053835054E-3</v>
      </c>
      <c r="G14" s="15">
        <f>SUM(Jul!G14, Aug!G14, Sep!G14)</f>
        <v>132392.49</v>
      </c>
      <c r="H14" s="15">
        <f>SUM(Jul!H14, Aug!H14, Sep!H14)</f>
        <v>-20292.490000000005</v>
      </c>
      <c r="I14" s="16">
        <f t="shared" si="2"/>
        <v>-0.15327523487170613</v>
      </c>
    </row>
    <row r="15" spans="1:9" ht="15.6">
      <c r="A15" s="48" t="str">
        <v>Kohls - Hanover</v>
      </c>
      <c r="B15" s="10" t="str">
        <v>PA</v>
      </c>
      <c r="C15" s="11">
        <f>SUM(Jul!C15, Aug!C15, Sep!C15)</f>
        <v>115643</v>
      </c>
      <c r="D15" s="18">
        <f>SUM(Jul!D15, Aug!D15, Sep!D15)</f>
        <v>115074</v>
      </c>
      <c r="E15" s="18">
        <f t="shared" si="0"/>
        <v>569</v>
      </c>
      <c r="F15" s="19">
        <f t="shared" si="1"/>
        <v>4.9446443158315517E-3</v>
      </c>
      <c r="G15" s="20">
        <f>SUM(Jul!G15, Aug!G15, Sep!G15)</f>
        <v>115396.58</v>
      </c>
      <c r="H15" s="20">
        <f>SUM(Jul!H15, Aug!H15, Sep!H15)</f>
        <v>246.41999999999462</v>
      </c>
      <c r="I15" s="19">
        <f t="shared" si="2"/>
        <v>2.1354185713302301E-3</v>
      </c>
    </row>
    <row r="16" spans="1:9" ht="15.6">
      <c r="A16" s="47" t="str">
        <v>Kohls - Horsehead</v>
      </c>
      <c r="B16" s="9" t="str">
        <v>NY</v>
      </c>
      <c r="C16" s="24">
        <f>SUM(Jul!C16, Aug!C16, Sep!C16)</f>
        <v>101083</v>
      </c>
      <c r="D16" s="13">
        <f>SUM(Jul!D16, Aug!D16, Sep!D16)</f>
        <v>63439</v>
      </c>
      <c r="E16" s="13">
        <f t="shared" ref="E16:E19" si="3">IF(AND(ISNUMBER(C16),ISNUMBER(D16)), C16-D16, "")</f>
        <v>37644</v>
      </c>
      <c r="F16" s="14">
        <f t="shared" ref="F16:F19" si="4">IFERROR(E16/D16, "")</f>
        <v>0.59338892479389649</v>
      </c>
      <c r="G16" s="15">
        <f>SUM(Jul!G16, Aug!G16, Sep!G16)</f>
        <v>96817.789999999979</v>
      </c>
      <c r="H16" s="15">
        <f>SUM(Jul!H16, Aug!H16, Sep!H16)</f>
        <v>4265.2100000000064</v>
      </c>
      <c r="I16" s="16">
        <f t="shared" ref="I16:I19" si="5">IFERROR(H16/G16, "")</f>
        <v>4.4053990490797272E-2</v>
      </c>
    </row>
    <row r="17" spans="1:9" ht="15.6">
      <c r="A17" s="48" t="str">
        <v>Kohls - Hudson</v>
      </c>
      <c r="B17" s="10" t="str">
        <v>NY</v>
      </c>
      <c r="C17" s="11">
        <f>SUM(Jul!C17, Aug!C17, Sep!C17)</f>
        <v>90763</v>
      </c>
      <c r="D17" s="18">
        <f>SUM(Jul!D17, Aug!D17, Sep!D17)</f>
        <v>27909</v>
      </c>
      <c r="E17" s="18">
        <f t="shared" si="3"/>
        <v>62854</v>
      </c>
      <c r="F17" s="19">
        <f t="shared" si="4"/>
        <v>2.2521050557167936</v>
      </c>
      <c r="G17" s="20">
        <f>SUM(Jul!G17, Aug!G17, Sep!G17)</f>
        <v>111548.78</v>
      </c>
      <c r="H17" s="20">
        <f>SUM(Jul!H17, Aug!H17, Sep!H17)</f>
        <v>-20785.780000000002</v>
      </c>
      <c r="I17" s="19">
        <f t="shared" si="5"/>
        <v>-0.18633803077003624</v>
      </c>
    </row>
    <row r="18" spans="1:9" ht="12.75" customHeight="1">
      <c r="A18" s="47" t="str">
        <v>Kohls - Ithaca</v>
      </c>
      <c r="B18" s="12" t="str">
        <v>NY</v>
      </c>
      <c r="C18" s="24">
        <f>SUM(Jul!C18, Aug!C18, Sep!C18)</f>
        <v>105431</v>
      </c>
      <c r="D18" s="13">
        <f>SUM(Jul!D18, Aug!D18, Sep!D18)</f>
        <v>105085</v>
      </c>
      <c r="E18" s="13">
        <f t="shared" si="3"/>
        <v>346</v>
      </c>
      <c r="F18" s="14">
        <f t="shared" si="4"/>
        <v>3.2925726792596469E-3</v>
      </c>
      <c r="G18" s="15">
        <f>SUM(Jul!G18, Aug!G18, Sep!G18)</f>
        <v>111301.17000000001</v>
      </c>
      <c r="H18" s="15">
        <f>SUM(Jul!H18, Aug!H18, Sep!H18)</f>
        <v>-5870.1700000000019</v>
      </c>
      <c r="I18" s="16">
        <f t="shared" si="5"/>
        <v>-5.2741314399480266E-2</v>
      </c>
    </row>
    <row r="19" spans="1:9" ht="15.6">
      <c r="A19" s="48" t="str">
        <v>Kohls - Kingston</v>
      </c>
      <c r="B19" s="17" t="str">
        <v>NY</v>
      </c>
      <c r="C19" s="11">
        <f>SUM(Jul!C19, Aug!C19, Sep!C19)</f>
        <v>156661</v>
      </c>
      <c r="D19" s="18">
        <f>SUM(Jul!D19, Aug!D19, Sep!D19)</f>
        <v>143385</v>
      </c>
      <c r="E19" s="18">
        <f t="shared" si="3"/>
        <v>13276</v>
      </c>
      <c r="F19" s="19">
        <f t="shared" si="4"/>
        <v>9.2589880391951734E-2</v>
      </c>
      <c r="G19" s="20">
        <f>SUM(Jul!G19, Aug!G19, Sep!G19)</f>
        <v>164657.81</v>
      </c>
      <c r="H19" s="20">
        <f>SUM(Jul!H19, Aug!H19, Sep!H19)</f>
        <v>-7996.8100000000049</v>
      </c>
      <c r="I19" s="19">
        <f t="shared" si="5"/>
        <v>-4.8566235637410735E-2</v>
      </c>
    </row>
    <row r="20" spans="1:9" ht="15.6">
      <c r="A20" s="47" t="str">
        <v>Kohls - Mechanicsburg</v>
      </c>
      <c r="B20" s="12" t="str">
        <v>PA</v>
      </c>
      <c r="C20" s="24">
        <f>SUM(Jul!C20, Aug!C20, Sep!C20)</f>
        <v>31456</v>
      </c>
      <c r="D20" s="13">
        <f>SUM(Jul!D20, Aug!D20, Sep!D20)</f>
        <v>31313</v>
      </c>
      <c r="E20" s="13">
        <f t="shared" ref="E20:E25" si="6">IF(AND(ISNUMBER(C20),ISNUMBER(D20)), C20-D20, "")</f>
        <v>143</v>
      </c>
      <c r="F20" s="14">
        <f t="shared" ref="F20:F25" si="7">IFERROR(E20/D20, "")</f>
        <v>4.5667933446172518E-3</v>
      </c>
      <c r="G20" s="15">
        <f>SUM(Jul!G20, Aug!G20, Sep!G20)</f>
        <v>134720.57</v>
      </c>
      <c r="H20" s="15">
        <f>SUM(Jul!H20, Aug!H20, Sep!H20)</f>
        <v>-103264.56999999999</v>
      </c>
      <c r="I20" s="16">
        <f t="shared" ref="I20" si="8">IFERROR(H20/G20, "")</f>
        <v>-0.76650930143778329</v>
      </c>
    </row>
    <row r="21" spans="1:9" ht="15.6">
      <c r="A21" s="48" t="str">
        <v>Kohls - Middletown</v>
      </c>
      <c r="B21" s="17" t="str">
        <v>NJ</v>
      </c>
      <c r="C21" s="11">
        <f>SUM(Jul!C21, Aug!C21, Sep!C21)</f>
        <v>39458</v>
      </c>
      <c r="D21" s="18">
        <f>SUM(Jul!D21, Aug!D21, Sep!D21)</f>
        <v>38918</v>
      </c>
      <c r="E21" s="18">
        <f t="shared" si="6"/>
        <v>540</v>
      </c>
      <c r="F21" s="19">
        <f t="shared" si="7"/>
        <v>1.3875327611901947E-2</v>
      </c>
      <c r="G21" s="20">
        <f>SUM(Jul!G21, Aug!G21, Sep!G21)</f>
        <v>192685.76</v>
      </c>
      <c r="H21" s="20">
        <f>SUM(Jul!H21, Aug!H21, Sep!H21)</f>
        <v>-153227.76</v>
      </c>
      <c r="I21" s="19">
        <f t="shared" ref="I21:I70" si="9">IFERROR(H21/G21, "")</f>
        <v>-0.79522098571269617</v>
      </c>
    </row>
    <row r="22" spans="1:9" ht="15.6">
      <c r="A22" s="47" t="str">
        <v>Kohls - North Amherst</v>
      </c>
      <c r="B22" s="12" t="str">
        <v>NY</v>
      </c>
      <c r="C22" s="24">
        <f>SUM(Jul!C22, Aug!C22, Sep!C22)</f>
        <v>90777</v>
      </c>
      <c r="D22" s="13">
        <f>SUM(Jul!D22, Aug!D22, Sep!D22)</f>
        <v>90478</v>
      </c>
      <c r="E22" s="13">
        <f t="shared" si="6"/>
        <v>299</v>
      </c>
      <c r="F22" s="14">
        <f t="shared" si="7"/>
        <v>3.3046707486902895E-3</v>
      </c>
      <c r="G22" s="15">
        <f>SUM(Jul!G22, Aug!G22, Sep!G22)</f>
        <v>118247.91</v>
      </c>
      <c r="H22" s="15">
        <f>SUM(Jul!H22, Aug!H22, Sep!H22)</f>
        <v>-27470.910000000003</v>
      </c>
      <c r="I22" s="16">
        <f t="shared" si="9"/>
        <v>-0.23231624136105242</v>
      </c>
    </row>
    <row r="23" spans="1:9" ht="15.6">
      <c r="A23" s="48" t="str">
        <v>Kohls - Staten Island</v>
      </c>
      <c r="B23" s="17" t="str">
        <v>NY</v>
      </c>
      <c r="C23" s="11">
        <f>SUM(Jul!C23, Aug!C23, Sep!C23)</f>
        <v>100374</v>
      </c>
      <c r="D23" s="18">
        <f>SUM(Jul!D23, Aug!D23, Sep!D23)</f>
        <v>0</v>
      </c>
      <c r="E23" s="18">
        <f t="shared" si="6"/>
        <v>100374</v>
      </c>
      <c r="F23" s="19" t="str">
        <f t="shared" si="7"/>
        <v/>
      </c>
      <c r="G23" s="20">
        <f>SUM(Jul!G23, Aug!G23, Sep!G23)</f>
        <v>110152.11</v>
      </c>
      <c r="H23" s="20">
        <f>SUM(Jul!H23, Aug!H23, Sep!H23)</f>
        <v>-9778.1100000000042</v>
      </c>
      <c r="I23" s="19">
        <f t="shared" si="9"/>
        <v>-8.8769157485952876E-2</v>
      </c>
    </row>
    <row r="24" spans="1:9" ht="15.6">
      <c r="A24" s="47" t="str">
        <v>Kohls - Warminster</v>
      </c>
      <c r="B24" s="12" t="str">
        <v>PA</v>
      </c>
      <c r="C24" s="24">
        <f>SUM(Jul!C24, Aug!C24, Sep!C24)</f>
        <v>142971</v>
      </c>
      <c r="D24" s="13">
        <f>SUM(Jul!D24, Aug!D24, Sep!D24)</f>
        <v>142342</v>
      </c>
      <c r="E24" s="13">
        <f t="shared" si="6"/>
        <v>629</v>
      </c>
      <c r="F24" s="14">
        <f t="shared" si="7"/>
        <v>4.4189346784504922E-3</v>
      </c>
      <c r="G24" s="15">
        <f>SUM(Jul!G24, Aug!G24, Sep!G24)</f>
        <v>131407.91</v>
      </c>
      <c r="H24" s="15">
        <f>SUM(Jul!H24, Aug!H24, Sep!H24)</f>
        <v>11563.089999999997</v>
      </c>
      <c r="I24" s="16">
        <f t="shared" si="9"/>
        <v>8.7993865818275299E-2</v>
      </c>
    </row>
    <row r="25" spans="1:9" ht="15.6">
      <c r="A25" s="48" t="str">
        <v xml:space="preserve">Kohls - Waterbury </v>
      </c>
      <c r="B25" s="17" t="str">
        <v>CT</v>
      </c>
      <c r="C25" s="11">
        <f>SUM(Jul!C25, Aug!C25, Sep!C25)</f>
        <v>125238</v>
      </c>
      <c r="D25" s="18">
        <f>SUM(Jul!D25, Aug!D25, Sep!D25)</f>
        <v>124375</v>
      </c>
      <c r="E25" s="18">
        <f t="shared" si="6"/>
        <v>863</v>
      </c>
      <c r="F25" s="19">
        <f t="shared" si="7"/>
        <v>6.9386934673366834E-3</v>
      </c>
      <c r="G25" s="20">
        <f>SUM(Jul!G25, Aug!G25, Sep!G25)</f>
        <v>111707.69</v>
      </c>
      <c r="H25" s="20">
        <f>SUM(Jul!H25, Aug!H25, Sep!H25)</f>
        <v>13530.309999999998</v>
      </c>
      <c r="I25" s="19">
        <f t="shared" si="9"/>
        <v>0.12112245808681567</v>
      </c>
    </row>
    <row r="26" spans="1:9" ht="15.6">
      <c r="A26" s="47" t="str">
        <v>Mojave Water Agency - Headquarters</v>
      </c>
      <c r="B26" s="12" t="str">
        <v>CA</v>
      </c>
      <c r="C26" s="24">
        <f>SUM(Jul!C26, Aug!C26, Sep!C26)</f>
        <v>47895</v>
      </c>
      <c r="D26" s="13">
        <f>SUM(Jul!D26, Aug!D26, Sep!D26)</f>
        <v>46347</v>
      </c>
      <c r="E26" s="13">
        <f t="shared" ref="E26:E69" si="10">IF(AND(ISNUMBER(C26),ISNUMBER(D26)), C26-D26, "")</f>
        <v>1548</v>
      </c>
      <c r="F26" s="14">
        <f t="shared" ref="F26:F69" si="11">IFERROR(E26/D26, "")</f>
        <v>3.3400220078969513E-2</v>
      </c>
      <c r="G26" s="15">
        <f>SUM(Jul!G26, Aug!G26, Sep!G26)</f>
        <v>111133.87</v>
      </c>
      <c r="H26" s="15">
        <f>SUM(Jul!H26, Aug!H26, Sep!H26)</f>
        <v>-63238.869999999995</v>
      </c>
      <c r="I26" s="16">
        <f t="shared" si="9"/>
        <v>-0.56903327491429934</v>
      </c>
    </row>
    <row r="27" spans="1:9" ht="15.6">
      <c r="A27" s="48" t="str">
        <v>CSU - Bakersfield</v>
      </c>
      <c r="B27" s="17" t="str">
        <v>CA</v>
      </c>
      <c r="C27" s="11">
        <f>SUM(Jul!C27, Aug!C27, Sep!C27)</f>
        <v>421352</v>
      </c>
      <c r="D27" s="18">
        <f>SUM(Jul!D27, Aug!D27, Sep!D27)</f>
        <v>420448</v>
      </c>
      <c r="E27" s="18">
        <f t="shared" si="10"/>
        <v>904</v>
      </c>
      <c r="F27" s="19">
        <f t="shared" si="11"/>
        <v>2.1500875256868866E-3</v>
      </c>
      <c r="G27" s="20">
        <f>SUM(Jul!G27, Aug!G27, Sep!G27)</f>
        <v>509260.25</v>
      </c>
      <c r="H27" s="20">
        <f>SUM(Jul!H27, Aug!H27, Sep!H27)</f>
        <v>-87908.249999999971</v>
      </c>
      <c r="I27" s="19">
        <f t="shared" si="9"/>
        <v>-0.17261950054024436</v>
      </c>
    </row>
    <row r="28" spans="1:9" ht="15.6">
      <c r="A28" s="47" t="str">
        <v>Greenfield USD - Fairfield ES</v>
      </c>
      <c r="B28" s="12" t="str">
        <v>CA</v>
      </c>
      <c r="C28" s="24">
        <f>SUM(Jul!C28, Aug!C28, Sep!C28)</f>
        <v>27330</v>
      </c>
      <c r="D28" s="13">
        <f>SUM(Jul!D28, Aug!D28, Sep!D28)</f>
        <v>27112</v>
      </c>
      <c r="E28" s="13">
        <f t="shared" si="10"/>
        <v>218</v>
      </c>
      <c r="F28" s="14">
        <f t="shared" si="11"/>
        <v>8.0407199763942172E-3</v>
      </c>
      <c r="G28" s="15">
        <f>SUM(Jul!G28, Aug!G28, Sep!G28)</f>
        <v>48035.29</v>
      </c>
      <c r="H28" s="15">
        <f>SUM(Jul!H28, Aug!H28, Sep!H28)</f>
        <v>-20705.29</v>
      </c>
      <c r="I28" s="16">
        <f t="shared" si="9"/>
        <v>-0.43104330170589167</v>
      </c>
    </row>
    <row r="29" spans="1:9" ht="15.6">
      <c r="A29" s="48" t="str">
        <v>Greenfield USD - Granite Point ES</v>
      </c>
      <c r="B29" s="17" t="str">
        <v>CA</v>
      </c>
      <c r="C29" s="11">
        <f>SUM(Jul!C29, Aug!C29, Sep!C29)</f>
        <v>123268</v>
      </c>
      <c r="D29" s="18">
        <f>SUM(Jul!D29, Aug!D29, Sep!D29)</f>
        <v>122571</v>
      </c>
      <c r="E29" s="18">
        <f t="shared" si="10"/>
        <v>697</v>
      </c>
      <c r="F29" s="19">
        <f t="shared" si="11"/>
        <v>5.6865000693475621E-3</v>
      </c>
      <c r="G29" s="20">
        <f>SUM(Jul!G29, Aug!G29, Sep!G29)</f>
        <v>126844.05000000002</v>
      </c>
      <c r="H29" s="20">
        <f>SUM(Jul!H29, Aug!H29, Sep!H29)</f>
        <v>-3576.0500000000029</v>
      </c>
      <c r="I29" s="19">
        <f t="shared" si="9"/>
        <v>-2.8192493065303435E-2</v>
      </c>
    </row>
    <row r="30" spans="1:9" ht="15.6">
      <c r="A30" s="47" t="str">
        <v>Greenfield USD - Greenfield MS</v>
      </c>
      <c r="B30" s="12" t="str">
        <v>CA</v>
      </c>
      <c r="C30" s="24">
        <f>SUM(Jul!C30, Aug!C30, Sep!C30)</f>
        <v>65959</v>
      </c>
      <c r="D30" s="13">
        <f>SUM(Jul!D30, Aug!D30, Sep!D30)</f>
        <v>65875</v>
      </c>
      <c r="E30" s="13">
        <f t="shared" si="10"/>
        <v>84</v>
      </c>
      <c r="F30" s="14">
        <f t="shared" si="11"/>
        <v>1.2751423149905123E-3</v>
      </c>
      <c r="G30" s="15">
        <f>SUM(Jul!G30, Aug!G30, Sep!G30)</f>
        <v>86446.976999999999</v>
      </c>
      <c r="H30" s="15">
        <f>SUM(Jul!H30, Aug!H30, Sep!H30)</f>
        <v>-20487.976999999999</v>
      </c>
      <c r="I30" s="16">
        <f t="shared" si="9"/>
        <v>-0.237000502631804</v>
      </c>
    </row>
    <row r="31" spans="1:9" ht="15.6">
      <c r="A31" s="48" t="str">
        <v>Greenfield USD - Horizon ES</v>
      </c>
      <c r="B31" s="17" t="str">
        <v>CA</v>
      </c>
      <c r="C31" s="11">
        <f>SUM(Jul!C31, Aug!C31, Sep!C31)</f>
        <v>99713</v>
      </c>
      <c r="D31" s="18">
        <f>SUM(Jul!D31, Aug!D31, Sep!D31)</f>
        <v>99558</v>
      </c>
      <c r="E31" s="18">
        <f t="shared" si="10"/>
        <v>155</v>
      </c>
      <c r="F31" s="19">
        <f t="shared" si="11"/>
        <v>1.5568814158580927E-3</v>
      </c>
      <c r="G31" s="20">
        <f>SUM(Jul!G31, Aug!G31, Sep!G31)</f>
        <v>131504.19</v>
      </c>
      <c r="H31" s="20">
        <f>SUM(Jul!H31, Aug!H31, Sep!H31)</f>
        <v>-31791.190000000002</v>
      </c>
      <c r="I31" s="19">
        <f t="shared" si="9"/>
        <v>-0.24175039593795453</v>
      </c>
    </row>
    <row r="32" spans="1:9" ht="15.6">
      <c r="A32" s="47" t="str">
        <v>Greenfield USD - McKee MS</v>
      </c>
      <c r="B32" s="12" t="str">
        <v>CA</v>
      </c>
      <c r="C32" s="24">
        <f>SUM(Jul!C32, Aug!C32, Sep!C32)</f>
        <v>49927</v>
      </c>
      <c r="D32" s="13">
        <f>SUM(Jul!D32, Aug!D32, Sep!D32)</f>
        <v>49903</v>
      </c>
      <c r="E32" s="13">
        <f t="shared" si="10"/>
        <v>24</v>
      </c>
      <c r="F32" s="14">
        <f t="shared" si="11"/>
        <v>4.8093301003947659E-4</v>
      </c>
      <c r="G32" s="15">
        <f>SUM(Jul!G32, Aug!G32, Sep!G32)</f>
        <v>80334.559999999998</v>
      </c>
      <c r="H32" s="15">
        <f>SUM(Jul!H32, Aug!H32, Sep!H32)</f>
        <v>-30407.56</v>
      </c>
      <c r="I32" s="16">
        <f t="shared" si="9"/>
        <v>-0.37851156463668939</v>
      </c>
    </row>
    <row r="33" spans="1:9" ht="15.6">
      <c r="A33" s="48" t="str">
        <v>Greenfield USD - Plantation ES</v>
      </c>
      <c r="B33" s="17" t="str">
        <v>CA</v>
      </c>
      <c r="C33" s="11">
        <f>SUM(Jul!C33, Aug!C33, Sep!C33)</f>
        <v>51138</v>
      </c>
      <c r="D33" s="18">
        <f>SUM(Jul!D33, Aug!D33, Sep!D33)</f>
        <v>51062</v>
      </c>
      <c r="E33" s="18">
        <f t="shared" si="10"/>
        <v>76</v>
      </c>
      <c r="F33" s="19">
        <f t="shared" si="11"/>
        <v>1.4883866671889076E-3</v>
      </c>
      <c r="G33" s="20">
        <f>SUM(Jul!G33, Aug!G33, Sep!G33)</f>
        <v>57410.709999999992</v>
      </c>
      <c r="H33" s="20">
        <f>SUM(Jul!H33, Aug!H33, Sep!H33)</f>
        <v>-6272.7099999999955</v>
      </c>
      <c r="I33" s="19">
        <f t="shared" si="9"/>
        <v>-0.10926027565239999</v>
      </c>
    </row>
    <row r="34" spans="1:9" ht="15.6">
      <c r="A34" s="47" t="str">
        <v>Greenfield USD - Planz ES</v>
      </c>
      <c r="B34" s="12" t="str">
        <v>CA</v>
      </c>
      <c r="C34" s="24">
        <f>SUM(Jul!C34, Aug!C34, Sep!C34)</f>
        <v>31111</v>
      </c>
      <c r="D34" s="13">
        <f>SUM(Jul!D34, Aug!D34, Sep!D34)</f>
        <v>30586</v>
      </c>
      <c r="E34" s="13">
        <f t="shared" si="10"/>
        <v>525</v>
      </c>
      <c r="F34" s="14">
        <f t="shared" si="11"/>
        <v>1.7164715883083763E-2</v>
      </c>
      <c r="G34" s="15">
        <f>SUM(Jul!G34, Aug!G34, Sep!G34)</f>
        <v>65186.799999999996</v>
      </c>
      <c r="H34" s="15">
        <f>SUM(Jul!H34, Aug!H34, Sep!H34)</f>
        <v>-34075.800000000003</v>
      </c>
      <c r="I34" s="16">
        <f t="shared" si="9"/>
        <v>-0.52274080028472025</v>
      </c>
    </row>
    <row r="35" spans="1:9" ht="15.6">
      <c r="A35" s="48" t="str">
        <v>Greenfield USD - Raffaello Palla ES</v>
      </c>
      <c r="B35" s="17" t="str">
        <v>CA</v>
      </c>
      <c r="C35" s="11">
        <f>SUM(Jul!C35, Aug!C35, Sep!C35)</f>
        <v>93899</v>
      </c>
      <c r="D35" s="18">
        <f>SUM(Jul!D35, Aug!D35, Sep!D35)</f>
        <v>92861</v>
      </c>
      <c r="E35" s="18">
        <f t="shared" si="10"/>
        <v>1038</v>
      </c>
      <c r="F35" s="19">
        <f t="shared" si="11"/>
        <v>1.1177997221653869E-2</v>
      </c>
      <c r="G35" s="20">
        <f>SUM(Jul!G35, Aug!G35, Sep!G35)</f>
        <v>142157.24</v>
      </c>
      <c r="H35" s="20">
        <f>SUM(Jul!H35, Aug!H35, Sep!H35)</f>
        <v>-48258.239999999998</v>
      </c>
      <c r="I35" s="19">
        <f t="shared" si="9"/>
        <v>-0.33947085635596191</v>
      </c>
    </row>
    <row r="36" spans="1:9" ht="15.6">
      <c r="A36" s="47" t="str">
        <v>Greenfield USD - Valle Verde ES</v>
      </c>
      <c r="B36" s="12" t="str">
        <v>CA</v>
      </c>
      <c r="C36" s="24">
        <f>SUM(Jul!C36, Aug!C36, Sep!C36)</f>
        <v>117349</v>
      </c>
      <c r="D36" s="13">
        <f>SUM(Jul!D36, Aug!D36, Sep!D36)</f>
        <v>116958</v>
      </c>
      <c r="E36" s="13">
        <f t="shared" si="10"/>
        <v>391</v>
      </c>
      <c r="F36" s="14">
        <f t="shared" si="11"/>
        <v>3.3430804220318405E-3</v>
      </c>
      <c r="G36" s="15">
        <f>SUM(Jul!G36, Aug!G36, Sep!G36)</f>
        <v>132597.99</v>
      </c>
      <c r="H36" s="15">
        <f>SUM(Jul!H36, Aug!H36, Sep!H36)</f>
        <v>-15248.989999999998</v>
      </c>
      <c r="I36" s="16">
        <f t="shared" si="9"/>
        <v>-0.11500166782316987</v>
      </c>
    </row>
    <row r="37" spans="1:9" ht="15.6">
      <c r="A37" s="48" t="str">
        <v>Greenfield USD - W.A. Kendrick ES</v>
      </c>
      <c r="B37" s="17" t="str">
        <v>CA</v>
      </c>
      <c r="C37" s="11">
        <f>SUM(Jul!C37, Aug!C37, Sep!C37)</f>
        <v>0</v>
      </c>
      <c r="D37" s="18">
        <f>SUM(Jul!D37, Aug!D37, Sep!D37)</f>
        <v>0</v>
      </c>
      <c r="E37" s="18">
        <f t="shared" si="10"/>
        <v>0</v>
      </c>
      <c r="F37" s="19" t="str">
        <f t="shared" si="11"/>
        <v/>
      </c>
      <c r="G37" s="20">
        <f>SUM(Jul!G37, Aug!G37, Sep!G37)</f>
        <v>51105.279999999999</v>
      </c>
      <c r="H37" s="20">
        <f>SUM(Jul!H37, Aug!H37, Sep!H37)</f>
        <v>-51105.279999999999</v>
      </c>
      <c r="I37" s="19">
        <f t="shared" si="9"/>
        <v>-1</v>
      </c>
    </row>
    <row r="38" spans="1:9" ht="15.6">
      <c r="A38" s="47" t="str">
        <v>Muroc Joint USD - Boron HS</v>
      </c>
      <c r="B38" s="12" t="str">
        <v>CA</v>
      </c>
      <c r="C38" s="24">
        <f>SUM(Jul!B38, Aug!C38, Sep!C38)</f>
        <v>0</v>
      </c>
      <c r="D38" s="13">
        <f>SUM(Jul!D38, Aug!D38, Sep!D38)</f>
        <v>0</v>
      </c>
      <c r="E38" s="13">
        <f t="shared" si="10"/>
        <v>0</v>
      </c>
      <c r="F38" s="14" t="str">
        <f t="shared" si="11"/>
        <v/>
      </c>
      <c r="G38" s="15">
        <f>SUM(Jul!G38, Aug!G38, Sep!G38)</f>
        <v>110973.65</v>
      </c>
      <c r="H38" s="15">
        <f>SUM(Jul!H38, Aug!H38, Sep!H38)</f>
        <v>-110973.65</v>
      </c>
      <c r="I38" s="16">
        <f t="shared" si="9"/>
        <v>-1</v>
      </c>
    </row>
    <row r="39" spans="1:9" ht="15.6">
      <c r="A39" s="48" t="str">
        <v>Muroc Joint USD - W. Boron ES</v>
      </c>
      <c r="B39" s="17" t="str">
        <v>CA</v>
      </c>
      <c r="C39" s="11">
        <f>SUM(Jul!C39, Aug!C39, Sep!C39)</f>
        <v>36148</v>
      </c>
      <c r="D39" s="18">
        <f>SUM(Jul!D39, Aug!D39, Sep!D39)</f>
        <v>36064</v>
      </c>
      <c r="E39" s="18">
        <f t="shared" si="10"/>
        <v>84</v>
      </c>
      <c r="F39" s="19">
        <f t="shared" si="11"/>
        <v>2.329192546583851E-3</v>
      </c>
      <c r="G39" s="20">
        <f>SUM(Jul!G39, Aug!G39, Sep!G39)</f>
        <v>40944.660000000003</v>
      </c>
      <c r="H39" s="20">
        <f>SUM(Jul!H39, Aug!H39, Sep!H39)</f>
        <v>-4796.66</v>
      </c>
      <c r="I39" s="19">
        <f t="shared" si="9"/>
        <v>-0.117149831015815</v>
      </c>
    </row>
    <row r="40" spans="1:9" ht="15.6">
      <c r="A40" s="47" t="str">
        <v>Colusa - WTP</v>
      </c>
      <c r="B40" s="12" t="str">
        <v>CA</v>
      </c>
      <c r="C40" s="24">
        <f>SUM(Jul!C40, Aug!C40, Sep!C40)</f>
        <v>0</v>
      </c>
      <c r="D40" s="13">
        <f>SUM(Jul!D40, Aug!D40, Sep!D40)</f>
        <v>0</v>
      </c>
      <c r="E40" s="13">
        <f t="shared" si="10"/>
        <v>0</v>
      </c>
      <c r="F40" s="14" t="str">
        <f t="shared" si="11"/>
        <v/>
      </c>
      <c r="G40" s="15">
        <f>SUM(Jul!G40, Aug!G40, Sep!G40)</f>
        <v>170190.65</v>
      </c>
      <c r="H40" s="15">
        <f>SUM(Jul!H40, Aug!H40, Sep!H40)</f>
        <v>-170190.65</v>
      </c>
      <c r="I40" s="16">
        <f t="shared" si="9"/>
        <v>-1</v>
      </c>
    </row>
    <row r="41" spans="1:9" ht="15.6">
      <c r="A41" s="48" t="str">
        <v>CDCR-North Kern State Prision</v>
      </c>
      <c r="B41" s="17" t="str">
        <v>CA</v>
      </c>
      <c r="C41" s="11">
        <f>SUM(Jul!C41, Aug!C41, Sep!C41)</f>
        <v>288047</v>
      </c>
      <c r="D41" s="18">
        <f>SUM(Jul!D41, Aug!D41, Sep!D41)</f>
        <v>286518</v>
      </c>
      <c r="E41" s="18">
        <f t="shared" si="10"/>
        <v>1529</v>
      </c>
      <c r="F41" s="19">
        <f t="shared" si="11"/>
        <v>5.336488457967737E-3</v>
      </c>
      <c r="G41" s="20">
        <f>SUM(Jul!G41, Aug!G41, Sep!G41)</f>
        <v>718314.96</v>
      </c>
      <c r="H41" s="20">
        <f>SUM(Jul!H41, Aug!H41, Sep!H41)</f>
        <v>-430267.96</v>
      </c>
      <c r="I41" s="19">
        <f t="shared" si="9"/>
        <v>-0.59899623975532967</v>
      </c>
    </row>
    <row r="42" spans="1:9" ht="15.6">
      <c r="A42" s="47" t="str">
        <v>Muroc Joint USD - District Office</v>
      </c>
      <c r="B42" s="12" t="str">
        <v>CA</v>
      </c>
      <c r="C42" s="24">
        <f>SUM(Jul!C42, Aug!C42, Sep!C42)</f>
        <v>20293</v>
      </c>
      <c r="D42" s="13">
        <f>SUM(Jul!D42, Aug!D42, Sep!D42)</f>
        <v>20275</v>
      </c>
      <c r="E42" s="13">
        <f t="shared" si="10"/>
        <v>18</v>
      </c>
      <c r="F42" s="14">
        <f t="shared" si="11"/>
        <v>8.8779284833538836E-4</v>
      </c>
      <c r="G42" s="15">
        <f>SUM(Jul!G42, Aug!G42, Sep!G42)</f>
        <v>28861.379999999997</v>
      </c>
      <c r="H42" s="15">
        <f>SUM(Jul!H42, Aug!H42, Sep!H42)</f>
        <v>-8568.3799999999992</v>
      </c>
      <c r="I42" s="16">
        <f t="shared" si="9"/>
        <v>-0.29688046794713213</v>
      </c>
    </row>
    <row r="43" spans="1:9" ht="15.6">
      <c r="A43" s="48" t="str">
        <v>Whole Foods - Manhattan Beach</v>
      </c>
      <c r="B43" s="17" t="str">
        <v>CA</v>
      </c>
      <c r="C43" s="11">
        <f>SUM(Jul!C43, Aug!C43, Sep!C43)</f>
        <v>47405</v>
      </c>
      <c r="D43" s="18">
        <f>SUM(Jul!D43, Aug!D43, Sep!D43)</f>
        <v>47324</v>
      </c>
      <c r="E43" s="18">
        <f t="shared" si="10"/>
        <v>81</v>
      </c>
      <c r="F43" s="19">
        <f t="shared" si="11"/>
        <v>1.7116051052320175E-3</v>
      </c>
      <c r="G43" s="20">
        <f>SUM(Jul!G43, Aug!G43, Sep!G43)</f>
        <v>62339.16</v>
      </c>
      <c r="H43" s="20">
        <f>SUM(Jul!H43, Aug!H43, Sep!H43)</f>
        <v>-14934.16</v>
      </c>
      <c r="I43" s="19">
        <f t="shared" si="9"/>
        <v>-0.23956306116412218</v>
      </c>
    </row>
    <row r="44" spans="1:9" ht="15.6">
      <c r="A44" s="47" t="str">
        <v>Pioneer USD - Frontier ES</v>
      </c>
      <c r="B44" s="12" t="str">
        <v>CA</v>
      </c>
      <c r="C44" s="24">
        <f>SUM(Jul!C44, Aug!C44, Sep!C44)</f>
        <v>64920</v>
      </c>
      <c r="D44" s="13">
        <f>SUM(Jul!D44, Aug!D44, Sep!D44)</f>
        <v>0</v>
      </c>
      <c r="E44" s="13">
        <f t="shared" si="10"/>
        <v>64920</v>
      </c>
      <c r="F44" s="14" t="str">
        <f t="shared" si="11"/>
        <v/>
      </c>
      <c r="G44" s="15">
        <f>SUM(Jul!G44, Aug!G44, Sep!G44)</f>
        <v>112125.53</v>
      </c>
      <c r="H44" s="15">
        <f>SUM(Jul!H44, Aug!H44, Sep!H44)</f>
        <v>-47205.530000000006</v>
      </c>
      <c r="I44" s="16">
        <f t="shared" si="9"/>
        <v>-0.42100608130904715</v>
      </c>
    </row>
    <row r="45" spans="1:9" ht="15.6">
      <c r="A45" s="48" t="str">
        <v>Pioneer USD - Pioneer ES</v>
      </c>
      <c r="B45" s="17" t="str">
        <v>CA</v>
      </c>
      <c r="C45" s="11">
        <f>SUM(Jul!C45, Aug!C45, Sep!C45)</f>
        <v>20173</v>
      </c>
      <c r="D45" s="18">
        <f>SUM(Jul!D45, Aug!D45, Sep!D45)</f>
        <v>0</v>
      </c>
      <c r="E45" s="18">
        <f t="shared" si="10"/>
        <v>20173</v>
      </c>
      <c r="F45" s="19" t="str">
        <f t="shared" si="11"/>
        <v/>
      </c>
      <c r="G45" s="20">
        <f>SUM(Jul!G45, Aug!G45, Sep!G45)</f>
        <v>114396.21</v>
      </c>
      <c r="H45" s="20">
        <f>SUM(Jul!H45, Aug!H45, Sep!H45)</f>
        <v>-94223.21</v>
      </c>
      <c r="I45" s="19">
        <f t="shared" si="9"/>
        <v>-0.82365674527154353</v>
      </c>
    </row>
    <row r="46" spans="1:9" ht="15.6">
      <c r="A46" s="47" t="str">
        <v>Pioneer USD - Pioneer MS</v>
      </c>
      <c r="B46" s="12" t="str">
        <v>CA</v>
      </c>
      <c r="C46" s="24">
        <f>SUM(Jul!C46, Aug!C46, Sep!C46)</f>
        <v>124769</v>
      </c>
      <c r="D46" s="13">
        <f>SUM(Jul!D46, Aug!D46, Sep!D46)</f>
        <v>0</v>
      </c>
      <c r="E46" s="13">
        <f t="shared" si="10"/>
        <v>124769</v>
      </c>
      <c r="F46" s="14" t="str">
        <f t="shared" si="11"/>
        <v/>
      </c>
      <c r="G46" s="15">
        <f>SUM(Jul!G46, Aug!G46, Sep!G46)</f>
        <v>153451.37</v>
      </c>
      <c r="H46" s="15">
        <f>SUM(Jul!H46, Aug!H46, Sep!H46)</f>
        <v>-28682.369999999995</v>
      </c>
      <c r="I46" s="16">
        <f t="shared" si="9"/>
        <v>-0.18691504676693338</v>
      </c>
    </row>
    <row r="47" spans="1:9" ht="15.6">
      <c r="A47" s="48" t="str">
        <v>Kingsburg Joint UHSD - Kingsburg HS</v>
      </c>
      <c r="B47" s="17" t="str">
        <v>CA</v>
      </c>
      <c r="C47" s="11">
        <f>SUM(Jul!C47, Aug!C47, Sep!C47)</f>
        <v>85558</v>
      </c>
      <c r="D47" s="18">
        <f>SUM(Jul!D47, Aug!D47, Sep!D47)</f>
        <v>0</v>
      </c>
      <c r="E47" s="18">
        <f t="shared" si="10"/>
        <v>85558</v>
      </c>
      <c r="F47" s="19" t="str">
        <f t="shared" si="11"/>
        <v/>
      </c>
      <c r="G47" s="20">
        <f>SUM(Jul!G47, Aug!G47, Sep!G47)</f>
        <v>267169.40000000002</v>
      </c>
      <c r="H47" s="20">
        <f>SUM(Jul!H47, Aug!H47, Sep!H47)</f>
        <v>-181611.40000000002</v>
      </c>
      <c r="I47" s="19">
        <f t="shared" si="9"/>
        <v>-0.67976123014087697</v>
      </c>
    </row>
    <row r="48" spans="1:9" ht="15.6">
      <c r="A48" s="47" t="str">
        <v>CADRB</v>
      </c>
      <c r="B48" s="12" t="str">
        <v>CA</v>
      </c>
      <c r="C48" s="24">
        <f>SUM(Jul!C48, Aug!C48, Sep!C48)</f>
        <v>0</v>
      </c>
      <c r="D48" s="13">
        <f>SUM(Jul!D48, Aug!D48, Sep!D48)</f>
        <v>0</v>
      </c>
      <c r="E48" s="13">
        <f t="shared" si="10"/>
        <v>0</v>
      </c>
      <c r="F48" s="14" t="str">
        <f t="shared" si="11"/>
        <v/>
      </c>
      <c r="G48" s="15">
        <f>SUM(Jul!G48, Aug!G48, Sep!G48)</f>
        <v>1652829</v>
      </c>
      <c r="H48" s="15">
        <f>SUM(Jul!H48, Aug!H48, Sep!H48)</f>
        <v>-1652829</v>
      </c>
      <c r="I48" s="16">
        <f t="shared" si="9"/>
        <v>-1</v>
      </c>
    </row>
    <row r="49" spans="1:9" ht="15.6">
      <c r="A49" s="48" t="str">
        <v>CDCR-CA State Prison LA County</v>
      </c>
      <c r="B49" s="17" t="str">
        <v>CA</v>
      </c>
      <c r="C49" s="11">
        <f>SUM(Jul!C49, Aug!C49, Sep!C49)</f>
        <v>709783</v>
      </c>
      <c r="D49" s="18">
        <f>SUM(Jul!D49, Aug!D49, Sep!D49)</f>
        <v>708547</v>
      </c>
      <c r="E49" s="18">
        <f t="shared" si="10"/>
        <v>1236</v>
      </c>
      <c r="F49" s="19">
        <f t="shared" si="11"/>
        <v>1.7444149788228586E-3</v>
      </c>
      <c r="G49" s="20">
        <f>SUM(Jul!G49, Aug!G49, Sep!G49)</f>
        <v>1505766.92</v>
      </c>
      <c r="H49" s="20">
        <f>SUM(Jul!H49, Aug!H49, Sep!H49)</f>
        <v>-795983.92</v>
      </c>
      <c r="I49" s="19">
        <f t="shared" si="9"/>
        <v>-0.52862359335135356</v>
      </c>
    </row>
    <row r="50" spans="1:9" ht="15.6">
      <c r="A50" s="47" t="str">
        <v>Central USD Akers ES</v>
      </c>
      <c r="B50" s="12" t="str">
        <v>CA</v>
      </c>
      <c r="C50" s="24">
        <f>SUM(Jul!C50, Aug!C50, Sep!C50)</f>
        <v>3124</v>
      </c>
      <c r="D50" s="13">
        <f>SUM(Jul!D50, Aug!D50, Sep!D50)</f>
        <v>0</v>
      </c>
      <c r="E50" s="13">
        <f t="shared" si="10"/>
        <v>3124</v>
      </c>
      <c r="F50" s="14" t="str">
        <f t="shared" si="11"/>
        <v/>
      </c>
      <c r="G50" s="15">
        <f>SUM(Jul!G50, Aug!G50, Sep!G50)</f>
        <v>82189.100000000006</v>
      </c>
      <c r="H50" s="15">
        <f>SUM(Jul!H50, Aug!H50, Sep!H50)</f>
        <v>-79065.100000000006</v>
      </c>
      <c r="I50" s="16">
        <f t="shared" si="9"/>
        <v>-0.96199009357688547</v>
      </c>
    </row>
    <row r="51" spans="1:9" ht="15.6">
      <c r="A51" s="48" t="str">
        <v>CUSD - District Office</v>
      </c>
      <c r="B51" s="17" t="str">
        <v>CA</v>
      </c>
      <c r="C51" s="11">
        <f>SUM(Jul!C51, Aug!C51, Sep!C51)</f>
        <v>69848</v>
      </c>
      <c r="D51" s="18">
        <f>SUM(Jul!D51, Aug!D51, Sep!D51)</f>
        <v>69701</v>
      </c>
      <c r="E51" s="18">
        <f t="shared" si="10"/>
        <v>147</v>
      </c>
      <c r="F51" s="19">
        <f t="shared" si="11"/>
        <v>2.1090084790749055E-3</v>
      </c>
      <c r="G51" s="20">
        <f>SUM(Jul!G51, Aug!G51, Sep!G51)</f>
        <v>96247.83</v>
      </c>
      <c r="H51" s="20">
        <f>SUM(Jul!H51, Aug!H51, Sep!H51)</f>
        <v>-26399.83</v>
      </c>
      <c r="I51" s="19">
        <f t="shared" si="9"/>
        <v>-0.2742901320476524</v>
      </c>
    </row>
    <row r="52" spans="1:9" ht="15.6">
      <c r="A52" s="47" t="str">
        <v>Parlier - WTP</v>
      </c>
      <c r="B52" s="12" t="str">
        <v>CA</v>
      </c>
      <c r="C52" s="24">
        <f>SUM(Jul!C52, Aug!C52, Sep!C52)</f>
        <v>65207</v>
      </c>
      <c r="D52" s="13">
        <f>SUM(Jul!D52, Aug!D52, Sep!D52)</f>
        <v>113088</v>
      </c>
      <c r="E52" s="13">
        <f t="shared" si="10"/>
        <v>-47881</v>
      </c>
      <c r="F52" s="14">
        <f t="shared" si="11"/>
        <v>-0.42339593944538767</v>
      </c>
      <c r="G52" s="15">
        <f>SUM(Jul!G52, Aug!G52, Sep!G52)</f>
        <v>184164.79</v>
      </c>
      <c r="H52" s="15">
        <f>SUM(Jul!H52, Aug!H52, Sep!H52)</f>
        <v>-118957.79000000001</v>
      </c>
      <c r="I52" s="16">
        <f t="shared" si="9"/>
        <v>-0.64593123365220895</v>
      </c>
    </row>
    <row r="53" spans="1:9" ht="15.6">
      <c r="A53" s="48" t="str">
        <v>Snowline SD - Quail Valley MS</v>
      </c>
      <c r="B53" s="17" t="str">
        <v>CA</v>
      </c>
      <c r="C53" s="11">
        <f>SUM(Jul!C53, Aug!C53, Sep!C53)</f>
        <v>58234</v>
      </c>
      <c r="D53" s="18">
        <f>SUM(Jul!D53, Aug!D53, Sep!D53)</f>
        <v>58182</v>
      </c>
      <c r="E53" s="18">
        <f t="shared" si="10"/>
        <v>52</v>
      </c>
      <c r="F53" s="19">
        <f t="shared" si="11"/>
        <v>8.9374720703997801E-4</v>
      </c>
      <c r="G53" s="20">
        <f>SUM(Jul!G53, Aug!G53, Sep!G53)</f>
        <v>132468.38</v>
      </c>
      <c r="H53" s="20">
        <f>SUM(Jul!H53, Aug!H53, Sep!H53)</f>
        <v>-74234.38</v>
      </c>
      <c r="I53" s="19">
        <f t="shared" si="9"/>
        <v>-0.56039320477837806</v>
      </c>
    </row>
    <row r="54" spans="1:9" ht="15.6">
      <c r="A54" s="47" t="str">
        <v>Snowline SD - Serrano HS - Middle Lot</v>
      </c>
      <c r="B54" s="12" t="str">
        <v>CA</v>
      </c>
      <c r="C54" s="24">
        <f>SUM(Jul!C54, Aug!C54, Sep!C54)</f>
        <v>103241</v>
      </c>
      <c r="D54" s="13">
        <f>SUM(Jul!D54, Aug!D54, Sep!D54)</f>
        <v>145708</v>
      </c>
      <c r="E54" s="13">
        <f t="shared" si="10"/>
        <v>-42467</v>
      </c>
      <c r="F54" s="14">
        <f t="shared" si="11"/>
        <v>-0.29145276855080021</v>
      </c>
      <c r="G54" s="15">
        <f>SUM(Jul!G54, Aug!G54, Sep!G54)</f>
        <v>100653</v>
      </c>
      <c r="H54" s="15">
        <f>SUM(Jul!H54, Aug!H54, Sep!H54)</f>
        <v>2588</v>
      </c>
      <c r="I54" s="16">
        <f t="shared" si="9"/>
        <v>2.571209998708434E-2</v>
      </c>
    </row>
    <row r="55" spans="1:9" ht="15.6">
      <c r="A55" s="48" t="str">
        <v>Snowline SD - Pinon Hills ES</v>
      </c>
      <c r="B55" s="17" t="str">
        <v>CA</v>
      </c>
      <c r="C55" s="11">
        <f>SUM(Jul!C55, Aug!C55, Sep!C55)</f>
        <v>44773</v>
      </c>
      <c r="D55" s="18">
        <f>SUM(Jul!D55, Aug!D55, Sep!D55)</f>
        <v>44734</v>
      </c>
      <c r="E55" s="18">
        <f t="shared" si="10"/>
        <v>39</v>
      </c>
      <c r="F55" s="19">
        <f t="shared" si="11"/>
        <v>8.7182009209996875E-4</v>
      </c>
      <c r="G55" s="20">
        <f>SUM(Jul!G55, Aug!G55, Sep!G55)</f>
        <v>73112.06</v>
      </c>
      <c r="H55" s="20">
        <f>SUM(Jul!H55, Aug!H55, Sep!H55)</f>
        <v>-28339.06</v>
      </c>
      <c r="I55" s="19">
        <f t="shared" si="9"/>
        <v>-0.38761129148870926</v>
      </c>
    </row>
    <row r="56" spans="1:9" ht="15.6">
      <c r="A56" s="47" t="str">
        <v>Ramona - Santa Maria WTP</v>
      </c>
      <c r="B56" s="12" t="str">
        <v>CA</v>
      </c>
      <c r="C56" s="24">
        <f>SUM(Jul!C56, Aug!C56, Sep!C56)</f>
        <v>218066</v>
      </c>
      <c r="D56" s="13">
        <f>SUM(Jul!D56, Aug!D56, Sep!D56)</f>
        <v>206488</v>
      </c>
      <c r="E56" s="13">
        <f t="shared" si="10"/>
        <v>11578</v>
      </c>
      <c r="F56" s="14">
        <f t="shared" si="11"/>
        <v>5.6071054976560383E-2</v>
      </c>
      <c r="G56" s="15">
        <f>SUM(Jul!G56, Aug!G56, Sep!G56)</f>
        <v>242814.42</v>
      </c>
      <c r="H56" s="15">
        <f>SUM(Jul!H56, Aug!H56, Sep!H56)</f>
        <v>-24748.42</v>
      </c>
      <c r="I56" s="16">
        <f t="shared" si="9"/>
        <v>-0.10192318891110337</v>
      </c>
    </row>
    <row r="57" spans="1:9" ht="15.6">
      <c r="A57" s="48" t="str">
        <v>Kohls - Redding</v>
      </c>
      <c r="B57" s="17" t="str">
        <v>CA</v>
      </c>
      <c r="C57" s="11">
        <f>SUM(Jul!C57, Aug!C57, Sep!C57)</f>
        <v>95792</v>
      </c>
      <c r="D57" s="18">
        <f>SUM(Jul!D57, Aug!D57, Sep!D57)</f>
        <v>133</v>
      </c>
      <c r="E57" s="18">
        <f t="shared" si="10"/>
        <v>95659</v>
      </c>
      <c r="F57" s="19">
        <f t="shared" si="11"/>
        <v>719.24060150375942</v>
      </c>
      <c r="G57" s="20">
        <f>SUM(Jul!G57, Aug!G57, Sep!G57)</f>
        <v>102943.52</v>
      </c>
      <c r="H57" s="20">
        <f>SUM(Jul!H57, Aug!H57, Sep!H57)</f>
        <v>-7151.52</v>
      </c>
      <c r="I57" s="19">
        <f t="shared" si="9"/>
        <v>-6.9470327029812082E-2</v>
      </c>
    </row>
    <row r="58" spans="1:9" ht="15.6">
      <c r="A58" s="47" t="str">
        <v>Kohls - Salinas</v>
      </c>
      <c r="B58" s="12" t="str">
        <v>CA</v>
      </c>
      <c r="C58" s="24">
        <f>SUM(Jul!C58, Aug!C58, Sep!C58)</f>
        <v>104579</v>
      </c>
      <c r="D58" s="13">
        <f>SUM(Jul!D58, Aug!D58, Sep!D58)</f>
        <v>102702</v>
      </c>
      <c r="E58" s="13">
        <f t="shared" si="10"/>
        <v>1877</v>
      </c>
      <c r="F58" s="14">
        <f t="shared" si="11"/>
        <v>1.8276177679110436E-2</v>
      </c>
      <c r="G58" s="15">
        <f>SUM(Jul!G58, Aug!G58, Sep!G58)</f>
        <v>144191.94999999998</v>
      </c>
      <c r="H58" s="15">
        <f>SUM(Jul!H58, Aug!H58, Sep!H58)</f>
        <v>-39612.949999999997</v>
      </c>
      <c r="I58" s="16">
        <f t="shared" si="9"/>
        <v>-0.27472372764221581</v>
      </c>
    </row>
    <row r="59" spans="1:9" ht="15.6">
      <c r="A59" s="48" t="str">
        <v>Kohls - San Bernardino - Central</v>
      </c>
      <c r="B59" s="17" t="str">
        <v>CA</v>
      </c>
      <c r="C59" s="11">
        <f>SUM(Jul!C59, Aug!C59, Sep!C59)</f>
        <v>193896</v>
      </c>
      <c r="D59" s="18">
        <f>SUM(Jul!D59, Aug!D59, Sep!D59)</f>
        <v>192312</v>
      </c>
      <c r="E59" s="18">
        <f t="shared" si="10"/>
        <v>1584</v>
      </c>
      <c r="F59" s="19">
        <f t="shared" si="11"/>
        <v>8.2366154998128049E-3</v>
      </c>
      <c r="G59" s="20">
        <f>SUM(Jul!G59, Aug!G59, Sep!G59)</f>
        <v>341571</v>
      </c>
      <c r="H59" s="20">
        <f>SUM(Jul!H59, Aug!H59, Sep!H59)</f>
        <v>-147675</v>
      </c>
      <c r="I59" s="19">
        <f t="shared" si="9"/>
        <v>-0.4323405675540371</v>
      </c>
    </row>
    <row r="60" spans="1:9" ht="15.6">
      <c r="A60" s="47" t="str">
        <v>Kohls - Sonora</v>
      </c>
      <c r="B60" s="12" t="str">
        <v>CA</v>
      </c>
      <c r="C60" s="24">
        <f>SUM(Jul!C60, Aug!C60, Sep!C60)</f>
        <v>93353</v>
      </c>
      <c r="D60" s="13">
        <f>SUM(Jul!D60, Aug!D60, Sep!D60)</f>
        <v>92934</v>
      </c>
      <c r="E60" s="13">
        <f t="shared" si="10"/>
        <v>419</v>
      </c>
      <c r="F60" s="14">
        <f t="shared" si="11"/>
        <v>4.5085759786515165E-3</v>
      </c>
      <c r="G60" s="15">
        <f>SUM(Jul!G60, Aug!G60, Sep!G60)</f>
        <v>103979.94000000002</v>
      </c>
      <c r="H60" s="15">
        <f>SUM(Jul!H60, Aug!H60, Sep!H60)</f>
        <v>-10626.940000000006</v>
      </c>
      <c r="I60" s="16">
        <f t="shared" si="9"/>
        <v>-0.10220182854500594</v>
      </c>
    </row>
    <row r="61" spans="1:9" ht="15.6">
      <c r="A61" s="48" t="str">
        <v>CUSD - Stratford ES</v>
      </c>
      <c r="B61" s="17" t="str">
        <v>CA</v>
      </c>
      <c r="C61" s="11">
        <f>SUM(Jul!C61, Aug!C61, Sep!C61)</f>
        <v>67546</v>
      </c>
      <c r="D61" s="18">
        <f>SUM(Jul!D61, Aug!D61, Sep!D61)</f>
        <v>67447</v>
      </c>
      <c r="E61" s="18">
        <f t="shared" si="10"/>
        <v>99</v>
      </c>
      <c r="F61" s="19">
        <f t="shared" si="11"/>
        <v>1.4678191765386155E-3</v>
      </c>
      <c r="G61" s="20">
        <f>SUM(Jul!G61, Aug!G61, Sep!G61)</f>
        <v>70878.27</v>
      </c>
      <c r="H61" s="20">
        <f>SUM(Jul!H61, Aug!H61, Sep!H61)</f>
        <v>-3332.2700000000004</v>
      </c>
      <c r="I61" s="19">
        <f t="shared" si="9"/>
        <v>-4.7013986091929166E-2</v>
      </c>
    </row>
    <row r="62" spans="1:9" ht="15.6">
      <c r="A62" s="47" t="str">
        <v>Taft - City Hall</v>
      </c>
      <c r="B62" s="12" t="str">
        <v>CA</v>
      </c>
      <c r="C62" s="24">
        <f>SUM(Jul!C62, Aug!C62, Sep!C62)</f>
        <v>313</v>
      </c>
      <c r="D62" s="13">
        <f>SUM(Jul!D62, Aug!D62, Sep!D62)</f>
        <v>518</v>
      </c>
      <c r="E62" s="13">
        <f t="shared" si="10"/>
        <v>-205</v>
      </c>
      <c r="F62" s="14">
        <f t="shared" si="11"/>
        <v>-0.39575289575289574</v>
      </c>
      <c r="G62" s="15">
        <f>SUM(Jul!G62, Aug!G62, Sep!G62)</f>
        <v>31476.25</v>
      </c>
      <c r="H62" s="15">
        <f>SUM(Jul!H62, Aug!H62, Sep!H62)</f>
        <v>-31163.25</v>
      </c>
      <c r="I62" s="16">
        <f t="shared" si="9"/>
        <v>-0.99005599459910254</v>
      </c>
    </row>
    <row r="63" spans="1:9" ht="15.6">
      <c r="A63" s="48" t="str">
        <v>Taft - Federal Prison</v>
      </c>
      <c r="B63" s="17" t="str">
        <v>CA</v>
      </c>
      <c r="C63" s="11">
        <f>SUM(Jul!C63, Aug!C63, Sep!C63)</f>
        <v>33595</v>
      </c>
      <c r="D63" s="18">
        <f>SUM(Jul!D63, Aug!D63, Sep!D63)</f>
        <v>33843</v>
      </c>
      <c r="E63" s="18">
        <f t="shared" si="10"/>
        <v>-248</v>
      </c>
      <c r="F63" s="19">
        <f t="shared" si="11"/>
        <v>-7.327955559495317E-3</v>
      </c>
      <c r="G63" s="20">
        <f>SUM(Jul!G63, Aug!G63, Sep!G63)</f>
        <v>49703.39</v>
      </c>
      <c r="H63" s="20">
        <f>SUM(Jul!H63, Aug!H63, Sep!H63)</f>
        <v>-16108.390000000001</v>
      </c>
      <c r="I63" s="19">
        <f t="shared" si="9"/>
        <v>-0.32409036888630738</v>
      </c>
    </row>
    <row r="64" spans="1:9" ht="15.6">
      <c r="A64" s="47" t="str">
        <v>Taft - Police Department</v>
      </c>
      <c r="B64" s="12" t="str">
        <v>CA</v>
      </c>
      <c r="C64" s="24">
        <f>SUM(Jul!C64, Aug!C64, Sep!C64)</f>
        <v>37448</v>
      </c>
      <c r="D64" s="13">
        <f>SUM(Jul!D64, Aug!D64, Sep!D64)</f>
        <v>37387</v>
      </c>
      <c r="E64" s="13">
        <f t="shared" si="10"/>
        <v>61</v>
      </c>
      <c r="F64" s="14">
        <f t="shared" si="11"/>
        <v>1.631583170620804E-3</v>
      </c>
      <c r="G64" s="15">
        <f>SUM(Jul!G64, Aug!G64, Sep!G64)</f>
        <v>36000.639999999999</v>
      </c>
      <c r="H64" s="15">
        <f>SUM(Jul!H64, Aug!H64, Sep!H64)</f>
        <v>1447.3600000000006</v>
      </c>
      <c r="I64" s="16">
        <f t="shared" si="9"/>
        <v>4.0203729711471813E-2</v>
      </c>
    </row>
    <row r="65" spans="1:9" ht="15.6">
      <c r="A65" s="48" t="str">
        <v>Taft - WTP</v>
      </c>
      <c r="B65" s="17" t="str">
        <v>CA</v>
      </c>
      <c r="C65" s="11">
        <f>SUM(Jul!C65, Aug!C65, Sep!C65)</f>
        <v>172593</v>
      </c>
      <c r="D65" s="18">
        <f>SUM(Jul!D65, Aug!D65, Sep!D65)</f>
        <v>172019</v>
      </c>
      <c r="E65" s="18">
        <f t="shared" si="10"/>
        <v>574</v>
      </c>
      <c r="F65" s="19">
        <f t="shared" si="11"/>
        <v>3.3368406978298909E-3</v>
      </c>
      <c r="G65" s="20">
        <f>SUM(Jul!G65, Aug!G65, Sep!G65)</f>
        <v>221057.27000000002</v>
      </c>
      <c r="H65" s="20">
        <f>SUM(Jul!H65, Aug!H65, Sep!H65)</f>
        <v>-48464.270000000004</v>
      </c>
      <c r="I65" s="19">
        <f t="shared" si="9"/>
        <v>-0.21923852583540906</v>
      </c>
    </row>
    <row r="66" spans="1:9" ht="15.6">
      <c r="A66" s="47" t="str">
        <v>CDCR - CA Correctional Institution</v>
      </c>
      <c r="B66" s="12" t="str">
        <v>CA</v>
      </c>
      <c r="C66" s="24">
        <f>SUM(Jul!C66, Aug!C66, Sep!C66)</f>
        <v>595278</v>
      </c>
      <c r="D66" s="13">
        <f>SUM(Jul!D66, Aug!D66, Sep!D66)</f>
        <v>593831</v>
      </c>
      <c r="E66" s="13">
        <f t="shared" si="10"/>
        <v>1447</v>
      </c>
      <c r="F66" s="14">
        <f t="shared" si="11"/>
        <v>2.4367202116427063E-3</v>
      </c>
      <c r="G66" s="15">
        <f>SUM(Jul!G66, Aug!G66, Sep!G66)</f>
        <v>747248.3</v>
      </c>
      <c r="H66" s="15">
        <f>SUM(Jul!H66, Aug!H66, Sep!H66)</f>
        <v>-151970.29999999999</v>
      </c>
      <c r="I66" s="16">
        <f t="shared" si="9"/>
        <v>-0.20337322948744077</v>
      </c>
    </row>
    <row r="67" spans="1:9" ht="15.6">
      <c r="A67" s="48" t="str">
        <v>CDCR - CA Correctional Institution II</v>
      </c>
      <c r="B67" s="17" t="str">
        <v>CA</v>
      </c>
      <c r="C67" s="11">
        <f>SUM(Jul!C67, Aug!C67, Sep!C67)</f>
        <v>700195</v>
      </c>
      <c r="D67" s="18">
        <f>SUM(Jul!D67, Aug!D67, Sep!D67)</f>
        <v>698734</v>
      </c>
      <c r="E67" s="18">
        <f t="shared" si="10"/>
        <v>1461</v>
      </c>
      <c r="F67" s="19">
        <f t="shared" si="11"/>
        <v>2.0909244433504025E-3</v>
      </c>
      <c r="G67" s="20">
        <f>SUM(Jul!G67, Aug!G67, Sep!G67)</f>
        <v>1137643.8799999999</v>
      </c>
      <c r="H67" s="20">
        <f>SUM(Jul!H67, Aug!H67, Sep!H67)</f>
        <v>-437448.88</v>
      </c>
      <c r="I67" s="19">
        <f t="shared" si="9"/>
        <v>-0.38452180659557544</v>
      </c>
    </row>
    <row r="68" spans="1:9" ht="15.6">
      <c r="A68" s="47" t="str">
        <v>Snowline SD - Vista Verde ES</v>
      </c>
      <c r="B68" s="12" t="str">
        <v>CA</v>
      </c>
      <c r="C68" s="24">
        <f>SUM(Jul!C68, Aug!C68, Sep!C68)</f>
        <v>57535</v>
      </c>
      <c r="D68" s="13">
        <f>SUM(Jul!D68, Aug!D68, Sep!D68)</f>
        <v>57478</v>
      </c>
      <c r="E68" s="13">
        <f t="shared" si="10"/>
        <v>57</v>
      </c>
      <c r="F68" s="14">
        <f t="shared" si="11"/>
        <v>9.9168377466160975E-4</v>
      </c>
      <c r="G68" s="15">
        <f>SUM(Jul!G68, Aug!G68, Sep!G68)</f>
        <v>97315.6</v>
      </c>
      <c r="H68" s="15">
        <f>SUM(Jul!H68, Aug!H68, Sep!H68)</f>
        <v>-39780.599999999991</v>
      </c>
      <c r="I68" s="16">
        <f t="shared" si="9"/>
        <v>-0.40877927074384773</v>
      </c>
    </row>
    <row r="69" spans="1:9" ht="15.6">
      <c r="A69" s="48" t="str">
        <v>North Stonington</v>
      </c>
      <c r="B69" s="17" t="str">
        <v>CT</v>
      </c>
      <c r="C69" s="11">
        <f>SUM(Jul!C69, Aug!C69, Sep!C69)</f>
        <v>4989960</v>
      </c>
      <c r="D69" s="18">
        <f>SUM(Jul!D69, Aug!D69, Sep!D69)</f>
        <v>0</v>
      </c>
      <c r="E69" s="18">
        <f t="shared" si="10"/>
        <v>4989960</v>
      </c>
      <c r="F69" s="19" t="str">
        <f t="shared" si="11"/>
        <v/>
      </c>
      <c r="G69" s="20">
        <f>SUM(Jul!G69, Aug!G69, Sep!G69)</f>
        <v>0</v>
      </c>
      <c r="H69" s="20">
        <f>SUM(Jul!H69, Aug!H69, Sep!H69)</f>
        <v>0</v>
      </c>
      <c r="I69" s="19" t="str">
        <f t="shared" si="9"/>
        <v/>
      </c>
    </row>
    <row r="70" spans="1:9" ht="15.6">
      <c r="A70" s="47" t="str">
        <v>CT: Torrington - 2-298 Rossi Road</v>
      </c>
      <c r="B70" s="12" t="str">
        <v>CT</v>
      </c>
      <c r="C70" s="24"/>
      <c r="D70" s="13"/>
      <c r="E70" s="13" t="str">
        <f t="shared" ref="E70" si="12">IF(AND(ISNUMBER(C70),ISNUMBER(D70)), C70-D70, "")</f>
        <v/>
      </c>
      <c r="F70" s="14" t="str">
        <f t="shared" ref="F70" si="13">IFERROR(E70/D70, "")</f>
        <v/>
      </c>
      <c r="G70" s="15">
        <f>SUM(Jul!G70, Aug!G70, Sep!G70)</f>
        <v>0</v>
      </c>
      <c r="H70" s="15">
        <f>SUM(Jul!H70, Aug!H70, Sep!H70)</f>
        <v>0</v>
      </c>
      <c r="I70" s="16" t="str">
        <f t="shared" si="9"/>
        <v/>
      </c>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mergeCells count="4">
    <mergeCell ref="G1:I1"/>
    <mergeCell ref="A1:C1"/>
    <mergeCell ref="D1:F1"/>
    <mergeCell ref="A2:B2"/>
  </mergeCells>
  <conditionalFormatting sqref="F2 I2 F4:F100 I4:I100">
    <cfRule type="cellIs" dxfId="64" priority="1" stopIfTrue="1" operator="lessThanOrEqual">
      <formula>-0.1</formula>
    </cfRule>
    <cfRule type="expression" dxfId="63"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2"/>
  <sheetViews>
    <sheetView workbookViewId="0">
      <pane xSplit="2" ySplit="3" topLeftCell="C60" activePane="bottomRight" state="frozen"/>
      <selection pane="bottomRight" activeCell="C2" sqref="C2"/>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32" t="str" cm="1">
        <f t="array" ref="A1">portfolio</f>
        <v>Silicon Ranch</v>
      </c>
      <c r="B1" s="132"/>
      <c r="C1" s="132"/>
      <c r="D1" s="133" t="s">
        <v>16</v>
      </c>
      <c r="E1" s="133"/>
      <c r="F1" s="133"/>
      <c r="G1" s="131" t="s">
        <v>17</v>
      </c>
      <c r="H1" s="131"/>
      <c r="I1" s="131"/>
    </row>
    <row r="2" spans="1:9" ht="19.5" customHeight="1">
      <c r="A2" s="134" t="s">
        <v>2</v>
      </c>
      <c r="B2" s="134"/>
      <c r="C2" s="5">
        <f>SUM(C4:C100)</f>
        <v>6902843.4199999999</v>
      </c>
      <c r="D2" s="5">
        <f>SUM(D4:D100)</f>
        <v>3951646</v>
      </c>
      <c r="E2" s="5">
        <f>C2-D2</f>
        <v>2951197.42</v>
      </c>
      <c r="F2" s="6">
        <f>IFERROR(E2/D2, 0)</f>
        <v>0.74682737775600339</v>
      </c>
      <c r="G2" s="5">
        <f>SUM(G4:G100)</f>
        <v>7553214.768000002</v>
      </c>
      <c r="H2" s="7">
        <f>C2-G2</f>
        <v>-650371.34800000209</v>
      </c>
      <c r="I2" s="6">
        <f>IFERROR(H2/G2, 0)</f>
        <v>-8.6105237038323013E-2</v>
      </c>
    </row>
    <row r="3" spans="1:9" ht="14.25" customHeight="1">
      <c r="A3" s="8" t="s">
        <v>3</v>
      </c>
      <c r="B3" s="8" t="s">
        <v>4</v>
      </c>
      <c r="C3" s="23" t="s">
        <v>5</v>
      </c>
      <c r="D3" s="35" t="s">
        <v>6</v>
      </c>
      <c r="E3" s="35" t="s">
        <v>7</v>
      </c>
      <c r="F3" s="36" t="s">
        <v>8</v>
      </c>
      <c r="G3" s="37" t="s">
        <v>9</v>
      </c>
      <c r="H3" s="38" t="s">
        <v>7</v>
      </c>
      <c r="I3" s="39" t="s">
        <v>8</v>
      </c>
    </row>
    <row r="4" spans="1:9" ht="15.6">
      <c r="A4" s="47" t="str" cm="1">
        <f t="array" ref="A4:A70">Sites[Site]</f>
        <v>Iron Mountain - Windsor</v>
      </c>
      <c r="B4" s="9" t="str" cm="1">
        <f t="array" ref="B4:B70">Sites[State]</f>
        <v>CT</v>
      </c>
      <c r="C4" s="24">
        <f>SUM(Oct!C4, Nov!C4, Dec!C4)</f>
        <v>45889</v>
      </c>
      <c r="D4" s="13">
        <f>SUM(Oct!D4, Nov!D4, Dec!D4)</f>
        <v>45612</v>
      </c>
      <c r="E4" s="13">
        <f>IF(AND(ISNUMBER(C4),ISNUMBER(D4)), C4-D4, "")</f>
        <v>277</v>
      </c>
      <c r="F4" s="14">
        <f>IFERROR(E4/D4, "")</f>
        <v>6.0729632552836976E-3</v>
      </c>
      <c r="G4" s="15">
        <f>SUM(Oct!G4,Nov!G4,Dec!G4)</f>
        <v>44386.22</v>
      </c>
      <c r="H4" s="15">
        <f>SUM(Oct!H4, Nov!H4, Dec!H4)</f>
        <v>1502.7799999999988</v>
      </c>
      <c r="I4" s="16">
        <f>IFERROR(H4/G4, "")</f>
        <v>3.3856904237396172E-2</v>
      </c>
    </row>
    <row r="5" spans="1:9" ht="15.6">
      <c r="A5" s="48" t="str">
        <v>Kohls - Auburn</v>
      </c>
      <c r="B5" s="10" t="str">
        <v>NY</v>
      </c>
      <c r="C5" s="11">
        <f>SUM(Oct!C5, Nov!C5, Dec!C5)</f>
        <v>37307</v>
      </c>
      <c r="D5" s="18">
        <f>SUM(Oct!D5, Nov!D5, Dec!D5)</f>
        <v>35886</v>
      </c>
      <c r="E5" s="18">
        <f t="shared" ref="E5:E15" si="0">IF(AND(ISNUMBER(C5),ISNUMBER(D5)), C5-D5, "")</f>
        <v>1421</v>
      </c>
      <c r="F5" s="19">
        <f>IFERROR(E5/D5, "")</f>
        <v>3.9597614668673023E-2</v>
      </c>
      <c r="G5" s="61">
        <f>SUM(Oct!G5,Nov!G5,Dec!G5)</f>
        <v>41950.46</v>
      </c>
      <c r="H5" s="20">
        <f>SUM(Oct!H5, Nov!H5, Dec!H5)</f>
        <v>-4643.4599999999982</v>
      </c>
      <c r="I5" s="19">
        <f>IFERROR(H5/G5, "")</f>
        <v>-0.11068913189509717</v>
      </c>
    </row>
    <row r="6" spans="1:9" ht="15.6">
      <c r="A6" s="47" t="str">
        <v>Kohls - Bensalem</v>
      </c>
      <c r="B6" s="9" t="str">
        <v>PA</v>
      </c>
      <c r="C6" s="24">
        <f>SUM(Oct!C6, Nov!C6, Dec!C6)</f>
        <v>19298</v>
      </c>
      <c r="D6" s="13">
        <f>SUM(Oct!D6, Nov!D6, Dec!D6)</f>
        <v>0</v>
      </c>
      <c r="E6" s="13">
        <f t="shared" si="0"/>
        <v>19298</v>
      </c>
      <c r="F6" s="14" t="str">
        <f t="shared" ref="F6:F15" si="1">IFERROR(E6/D6, "")</f>
        <v/>
      </c>
      <c r="G6" s="15">
        <f>SUM(Oct!G6,Nov!G6,Dec!G6)</f>
        <v>53942.429999999993</v>
      </c>
      <c r="H6" s="15">
        <f>SUM(Oct!H6, Nov!H6, Dec!H6)</f>
        <v>-34644.429999999993</v>
      </c>
      <c r="I6" s="16">
        <f t="shared" ref="I6:I15" si="2">IFERROR(H6/G6, "")</f>
        <v>-0.6422482264888697</v>
      </c>
    </row>
    <row r="7" spans="1:9" ht="15.6">
      <c r="A7" s="48" t="str">
        <v>Kohls - Brick</v>
      </c>
      <c r="B7" s="10" t="str">
        <v>NJ</v>
      </c>
      <c r="C7" s="11">
        <f>SUM(Oct!C7, Nov!C7, Dec!C7)</f>
        <v>64224</v>
      </c>
      <c r="D7" s="18">
        <f>SUM(Oct!D7, Nov!D7, Dec!D7)</f>
        <v>64142</v>
      </c>
      <c r="E7" s="18">
        <f t="shared" si="0"/>
        <v>82</v>
      </c>
      <c r="F7" s="19">
        <f t="shared" si="1"/>
        <v>1.2784135200024946E-3</v>
      </c>
      <c r="G7" s="20">
        <f>SUM(Oct!G7,Nov!G7,Dec!G7)</f>
        <v>66152.430000000008</v>
      </c>
      <c r="H7" s="20">
        <f>SUM(Oct!H7, Nov!H7, Dec!H7)</f>
        <v>-1928.4300000000003</v>
      </c>
      <c r="I7" s="19">
        <f t="shared" si="2"/>
        <v>-2.9151310087928744E-2</v>
      </c>
    </row>
    <row r="8" spans="1:9" ht="15.6">
      <c r="A8" s="47" t="str">
        <v>Kohls - Buffalo</v>
      </c>
      <c r="B8" s="9" t="str">
        <v>NY</v>
      </c>
      <c r="C8" s="24">
        <f>SUM(Oct!C8, Nov!C8, Dec!C8)</f>
        <v>45860</v>
      </c>
      <c r="D8" s="13">
        <f>SUM(Oct!D8, Nov!D8, Dec!D8)</f>
        <v>0</v>
      </c>
      <c r="E8" s="13">
        <f t="shared" si="0"/>
        <v>45860</v>
      </c>
      <c r="F8" s="14" t="str">
        <f t="shared" si="1"/>
        <v/>
      </c>
      <c r="G8" s="15">
        <f>SUM(Oct!G8,Nov!G8,Dec!G8)</f>
        <v>48300.38</v>
      </c>
      <c r="H8" s="15">
        <f>SUM(Oct!H8, Nov!H8, Dec!H8)</f>
        <v>-2440.3799999999992</v>
      </c>
      <c r="I8" s="16">
        <f t="shared" si="2"/>
        <v>-5.0525068332795714E-2</v>
      </c>
    </row>
    <row r="9" spans="1:9" ht="15.6">
      <c r="A9" s="48" t="str">
        <v>Kohls - Canton</v>
      </c>
      <c r="B9" s="10" t="str">
        <v>CT</v>
      </c>
      <c r="C9" s="11">
        <f>SUM(Oct!C9, Nov!C9, Dec!C9)</f>
        <v>23395</v>
      </c>
      <c r="D9" s="18">
        <f>SUM(Oct!D9, Nov!D9, Dec!D9)</f>
        <v>23027</v>
      </c>
      <c r="E9" s="18">
        <f t="shared" si="0"/>
        <v>368</v>
      </c>
      <c r="F9" s="19">
        <f t="shared" si="1"/>
        <v>1.5981239414600251E-2</v>
      </c>
      <c r="G9" s="20">
        <f>SUM(Oct!G9,Nov!G9,Dec!G9)</f>
        <v>20359.900000000001</v>
      </c>
      <c r="H9" s="20">
        <f>SUM(Oct!H9, Nov!H9, Dec!H9)</f>
        <v>3035.0999999999995</v>
      </c>
      <c r="I9" s="19">
        <f t="shared" si="2"/>
        <v>0.14907244141670634</v>
      </c>
    </row>
    <row r="10" spans="1:9" ht="15.6">
      <c r="A10" s="47" t="str">
        <v>Kohls - East Amherst</v>
      </c>
      <c r="B10" s="9" t="str">
        <v>NY</v>
      </c>
      <c r="C10" s="24">
        <f>SUM(Oct!C10, Nov!C10, Dec!C10)</f>
        <v>16231</v>
      </c>
      <c r="D10" s="13">
        <f>SUM(Oct!D10, Nov!D10, Dec!D10)</f>
        <v>15744</v>
      </c>
      <c r="E10" s="13">
        <f t="shared" si="0"/>
        <v>487</v>
      </c>
      <c r="F10" s="14">
        <f t="shared" si="1"/>
        <v>3.0932418699186993E-2</v>
      </c>
      <c r="G10" s="15">
        <f>SUM(Oct!G10,Nov!G10,Dec!G10)</f>
        <v>44742.62</v>
      </c>
      <c r="H10" s="15">
        <f>SUM(Oct!H10, Nov!H10, Dec!H10)</f>
        <v>-28511.620000000003</v>
      </c>
      <c r="I10" s="16">
        <f t="shared" si="2"/>
        <v>-0.63723626376819242</v>
      </c>
    </row>
    <row r="11" spans="1:9" ht="15.6">
      <c r="A11" s="48" t="str">
        <v>Kohls - East Brunswick</v>
      </c>
      <c r="B11" s="10" t="str">
        <v>NJ</v>
      </c>
      <c r="C11" s="11">
        <f>SUM(Oct!C11, Nov!C11, Dec!C11)</f>
        <v>81330.2</v>
      </c>
      <c r="D11" s="18">
        <f>SUM(Oct!D11, Nov!D11, Dec!D11)</f>
        <v>0</v>
      </c>
      <c r="E11" s="18">
        <f t="shared" si="0"/>
        <v>81330.2</v>
      </c>
      <c r="F11" s="19" t="str">
        <f t="shared" si="1"/>
        <v/>
      </c>
      <c r="G11" s="20">
        <f>SUM(Oct!G11,Nov!G11,Dec!G11)</f>
        <v>85164.14</v>
      </c>
      <c r="H11" s="20">
        <f>SUM(Oct!H11, Nov!H11, Dec!H11)</f>
        <v>-3833.9400000000023</v>
      </c>
      <c r="I11" s="19">
        <f t="shared" si="2"/>
        <v>-4.5018243594076128E-2</v>
      </c>
    </row>
    <row r="12" spans="1:9" ht="15.6">
      <c r="A12" s="47" t="str">
        <v>Kohls - Edgewood</v>
      </c>
      <c r="B12" s="9" t="str">
        <v>MD</v>
      </c>
      <c r="C12" s="24">
        <f>SUM(Oct!C12, Nov!C12, Dec!C12)</f>
        <v>314206</v>
      </c>
      <c r="D12" s="13">
        <f>SUM(Oct!D12, Nov!D12, Dec!D12)</f>
        <v>310233</v>
      </c>
      <c r="E12" s="13">
        <f t="shared" si="0"/>
        <v>3973</v>
      </c>
      <c r="F12" s="14">
        <f t="shared" si="1"/>
        <v>1.2806503498983022E-2</v>
      </c>
      <c r="G12" s="15">
        <f>SUM(Oct!G12,Nov!G12,Dec!G12)</f>
        <v>479587.57</v>
      </c>
      <c r="H12" s="15">
        <f>SUM(Oct!H12, Nov!H12, Dec!H12)</f>
        <v>-165381.57</v>
      </c>
      <c r="I12" s="16">
        <f t="shared" si="2"/>
        <v>-0.34484123514710774</v>
      </c>
    </row>
    <row r="13" spans="1:9" ht="15.6">
      <c r="A13" s="48" t="str">
        <v>Kohls - Granite Run</v>
      </c>
      <c r="B13" s="10" t="str">
        <v>PA</v>
      </c>
      <c r="C13" s="11">
        <f>SUM(Oct!C13, Nov!C13, Dec!C13)</f>
        <v>55354</v>
      </c>
      <c r="D13" s="18">
        <f>SUM(Oct!D13, Nov!D13, Dec!D13)</f>
        <v>54627</v>
      </c>
      <c r="E13" s="18">
        <f t="shared" si="0"/>
        <v>727</v>
      </c>
      <c r="F13" s="19">
        <f t="shared" si="1"/>
        <v>1.3308437219689898E-2</v>
      </c>
      <c r="G13" s="20">
        <f>SUM(Oct!G13,Nov!G13,Dec!G13)</f>
        <v>54192.57</v>
      </c>
      <c r="H13" s="20">
        <f>SUM(Oct!H13, Nov!H13, Dec!H13)</f>
        <v>1161.4300000000003</v>
      </c>
      <c r="I13" s="19">
        <f t="shared" si="2"/>
        <v>2.1431535725284855E-2</v>
      </c>
    </row>
    <row r="14" spans="1:9" ht="15.6">
      <c r="A14" s="47" t="str">
        <v>Kohls - Greece</v>
      </c>
      <c r="B14" s="9" t="str">
        <v>NY</v>
      </c>
      <c r="C14" s="24">
        <f>SUM(Oct!C14, Nov!C14, Dec!C14)</f>
        <v>37354</v>
      </c>
      <c r="D14" s="13">
        <f>SUM(Oct!D14, Nov!D14, Dec!D14)</f>
        <v>36513</v>
      </c>
      <c r="E14" s="13">
        <f t="shared" si="0"/>
        <v>841</v>
      </c>
      <c r="F14" s="14">
        <f t="shared" si="1"/>
        <v>2.3032892394489635E-2</v>
      </c>
      <c r="G14" s="15">
        <f>SUM(Oct!G14,Nov!G14,Dec!G14)</f>
        <v>49515.14</v>
      </c>
      <c r="H14" s="15">
        <f>SUM(Oct!H14, Nov!H14, Dec!H14)</f>
        <v>-12161.14</v>
      </c>
      <c r="I14" s="16">
        <f t="shared" si="2"/>
        <v>-0.24560447572197108</v>
      </c>
    </row>
    <row r="15" spans="1:9" ht="15.6">
      <c r="A15" s="48" t="str">
        <v>Kohls - Hanover</v>
      </c>
      <c r="B15" s="10" t="str">
        <v>PA</v>
      </c>
      <c r="C15" s="11">
        <f>SUM(Oct!C15, Nov!C15, Dec!C15)</f>
        <v>67108</v>
      </c>
      <c r="D15" s="18">
        <f>SUM(Oct!D15, Nov!D15, Dec!D15)</f>
        <v>66393</v>
      </c>
      <c r="E15" s="18">
        <f t="shared" si="0"/>
        <v>715</v>
      </c>
      <c r="F15" s="19">
        <f t="shared" si="1"/>
        <v>1.0769207597186451E-2</v>
      </c>
      <c r="G15" s="20">
        <f>SUM(Oct!G15,Nov!G15,Dec!G15)</f>
        <v>58756.89</v>
      </c>
      <c r="H15" s="20">
        <f>SUM(Oct!H15, Nov!H15, Dec!H15)</f>
        <v>8351.11</v>
      </c>
      <c r="I15" s="19">
        <f t="shared" si="2"/>
        <v>0.14212988468246024</v>
      </c>
    </row>
    <row r="16" spans="1:9" ht="15.6">
      <c r="A16" s="47" t="str">
        <v>Kohls - Horsehead</v>
      </c>
      <c r="B16" s="9" t="str">
        <v>NY</v>
      </c>
      <c r="C16" s="24">
        <f>SUM(Oct!C16, Nov!C16, Dec!C16)</f>
        <v>37176</v>
      </c>
      <c r="D16" s="13">
        <f>SUM(Oct!D16, Nov!D16, Dec!D16)</f>
        <v>36673</v>
      </c>
      <c r="E16" s="13">
        <f t="shared" ref="E16:E17" si="3">IF(AND(ISNUMBER(C16),ISNUMBER(D16)), C16-D16, "")</f>
        <v>503</v>
      </c>
      <c r="F16" s="14">
        <f t="shared" ref="F16:F17" si="4">IFERROR(E16/D16, "")</f>
        <v>1.3715812723256893E-2</v>
      </c>
      <c r="G16" s="15">
        <f>SUM(Oct!G16,Nov!G16,Dec!G16)</f>
        <v>42924.76</v>
      </c>
      <c r="H16" s="15">
        <f>SUM(Oct!H16, Nov!H16, Dec!H16)</f>
        <v>-5748.76</v>
      </c>
      <c r="I16" s="16">
        <f t="shared" ref="I16:I17" si="5">IFERROR(H16/G16, "")</f>
        <v>-0.13392643313556091</v>
      </c>
    </row>
    <row r="17" spans="1:9" ht="15.6">
      <c r="A17" s="48" t="str">
        <v>Kohls - Hudson</v>
      </c>
      <c r="B17" s="10" t="str">
        <v>NY</v>
      </c>
      <c r="C17" s="11">
        <f>SUM(Oct!C17, Nov!C17, Dec!C17)</f>
        <v>3772</v>
      </c>
      <c r="D17" s="18">
        <f>SUM(Oct!D17, Nov!D17, Dec!D17)</f>
        <v>0</v>
      </c>
      <c r="E17" s="18">
        <f t="shared" si="3"/>
        <v>3772</v>
      </c>
      <c r="F17" s="19" t="str">
        <f t="shared" si="4"/>
        <v/>
      </c>
      <c r="G17" s="20">
        <f>SUM(Oct!G17,Nov!G17,Dec!G17)</f>
        <v>50245.950000000004</v>
      </c>
      <c r="H17" s="20">
        <f>SUM(Oct!H17, Nov!H17, Dec!H17)</f>
        <v>-46473.950000000004</v>
      </c>
      <c r="I17" s="19">
        <f t="shared" si="5"/>
        <v>-0.92492927290657256</v>
      </c>
    </row>
    <row r="18" spans="1:9" ht="12.75" customHeight="1">
      <c r="A18" s="47" t="str">
        <v>Kohls - Ithaca</v>
      </c>
      <c r="B18" s="9" t="str">
        <v>NY</v>
      </c>
      <c r="C18" s="24">
        <f>SUM(Oct!C18, Nov!C18, Dec!C18)</f>
        <v>34590</v>
      </c>
      <c r="D18" s="13">
        <f>SUM(Oct!D18, Nov!D18, Dec!D18)</f>
        <v>34190</v>
      </c>
      <c r="E18" s="13">
        <f t="shared" ref="E18:E68" si="6">IF(AND(ISNUMBER(C18),ISNUMBER(D18)), C18-D18, "")</f>
        <v>400</v>
      </c>
      <c r="F18" s="14">
        <f t="shared" ref="F18:F68" si="7">IFERROR(E18/D18, "")</f>
        <v>1.1699327288680901E-2</v>
      </c>
      <c r="G18" s="15">
        <f>SUM(Oct!G18,Nov!G18,Dec!G18)</f>
        <v>49138.270000000004</v>
      </c>
      <c r="H18" s="15">
        <f>SUM(Oct!H18, Nov!H18, Dec!H18)</f>
        <v>-14548.27</v>
      </c>
      <c r="I18" s="16">
        <f t="shared" ref="I18:I68" si="8">IFERROR(H18/G18, "")</f>
        <v>-0.29606801379047326</v>
      </c>
    </row>
    <row r="19" spans="1:9" ht="15.6">
      <c r="A19" s="48" t="str">
        <v>Kohls - Kingston</v>
      </c>
      <c r="B19" s="10" t="str">
        <v>NY</v>
      </c>
      <c r="C19" s="11">
        <f>SUM(Oct!C19, Nov!C19, Dec!C19)</f>
        <v>56448</v>
      </c>
      <c r="D19" s="18">
        <f>SUM(Oct!D19, Nov!D19, Dec!D19)</f>
        <v>55614</v>
      </c>
      <c r="E19" s="18">
        <f t="shared" si="6"/>
        <v>834</v>
      </c>
      <c r="F19" s="19">
        <f t="shared" si="7"/>
        <v>1.4996223972381055E-2</v>
      </c>
      <c r="G19" s="20">
        <f>SUM(Oct!G19,Nov!G19,Dec!G19)</f>
        <v>80242.64</v>
      </c>
      <c r="H19" s="20">
        <f>SUM(Oct!H19, Nov!H19, Dec!H19)</f>
        <v>-23794.639999999999</v>
      </c>
      <c r="I19" s="19">
        <f t="shared" si="8"/>
        <v>-0.29653361355010255</v>
      </c>
    </row>
    <row r="20" spans="1:9" ht="15.6">
      <c r="A20" s="47" t="str">
        <v>Kohls - Mechanicsburg</v>
      </c>
      <c r="B20" s="9" t="str">
        <v>PA</v>
      </c>
      <c r="C20" s="24">
        <f>SUM(Oct!C20, Nov!C20, Dec!C20)</f>
        <v>61040</v>
      </c>
      <c r="D20" s="13">
        <f>SUM(Oct!D20, Nov!D20, Dec!D20)</f>
        <v>60186</v>
      </c>
      <c r="E20" s="13">
        <f t="shared" si="6"/>
        <v>854</v>
      </c>
      <c r="F20" s="14">
        <f t="shared" si="7"/>
        <v>1.4189346359618516E-2</v>
      </c>
      <c r="G20" s="15">
        <f>SUM(Oct!G20,Nov!G20,Dec!G20)</f>
        <v>68223.58</v>
      </c>
      <c r="H20" s="15">
        <f>SUM(Oct!H20, Nov!H20, Dec!H20)</f>
        <v>-7183.5799999999981</v>
      </c>
      <c r="I20" s="16">
        <f t="shared" si="8"/>
        <v>-0.10529467964008922</v>
      </c>
    </row>
    <row r="21" spans="1:9" ht="15.6">
      <c r="A21" s="48" t="str">
        <v>Kohls - Middletown</v>
      </c>
      <c r="B21" s="10" t="str">
        <v>NJ</v>
      </c>
      <c r="C21" s="11">
        <f>SUM(Oct!C21, Nov!C21, Dec!C21)</f>
        <v>51952</v>
      </c>
      <c r="D21" s="18">
        <f>SUM(Oct!D21, Nov!D21, Dec!D21)</f>
        <v>30785</v>
      </c>
      <c r="E21" s="18">
        <f t="shared" si="6"/>
        <v>21167</v>
      </c>
      <c r="F21" s="19">
        <f t="shared" si="7"/>
        <v>0.68757511775215208</v>
      </c>
      <c r="G21" s="20">
        <f>SUM(Oct!G21,Nov!G21,Dec!G21)</f>
        <v>100014.62</v>
      </c>
      <c r="H21" s="20">
        <f>SUM(Oct!H21, Nov!H21, Dec!H21)</f>
        <v>-48062.619999999995</v>
      </c>
      <c r="I21" s="19">
        <f t="shared" si="8"/>
        <v>-0.48055594272117413</v>
      </c>
    </row>
    <row r="22" spans="1:9" ht="15.6">
      <c r="A22" s="47" t="str">
        <v>Kohls - North Amherst</v>
      </c>
      <c r="B22" s="9" t="str">
        <v>NY</v>
      </c>
      <c r="C22" s="24">
        <f>SUM(Oct!C22, Nov!C22, Dec!C22)</f>
        <v>35664</v>
      </c>
      <c r="D22" s="13">
        <f>SUM(Oct!D22, Nov!D22, Dec!D22)</f>
        <v>35192</v>
      </c>
      <c r="E22" s="13">
        <f t="shared" si="6"/>
        <v>472</v>
      </c>
      <c r="F22" s="14">
        <f t="shared" si="7"/>
        <v>1.3412139122527847E-2</v>
      </c>
      <c r="G22" s="15">
        <f>SUM(Oct!G22,Nov!G22,Dec!G22)</f>
        <v>41086.439999999995</v>
      </c>
      <c r="H22" s="15">
        <f>SUM(Oct!H22, Nov!H22, Dec!H22)</f>
        <v>-5422.4399999999978</v>
      </c>
      <c r="I22" s="16">
        <f t="shared" si="8"/>
        <v>-0.13197638929048119</v>
      </c>
    </row>
    <row r="23" spans="1:9" ht="15.6">
      <c r="A23" s="48" t="str">
        <v>Kohls - Staten Island</v>
      </c>
      <c r="B23" s="10" t="str">
        <v>NY</v>
      </c>
      <c r="C23" s="11">
        <f>SUM(Oct!C23, Nov!C23, Dec!C23)</f>
        <v>46209</v>
      </c>
      <c r="D23" s="18">
        <f>SUM(Oct!D23, Nov!D23, Dec!D23)</f>
        <v>0</v>
      </c>
      <c r="E23" s="18">
        <f t="shared" si="6"/>
        <v>46209</v>
      </c>
      <c r="F23" s="19" t="str">
        <f t="shared" si="7"/>
        <v/>
      </c>
      <c r="G23" s="20">
        <f>SUM(Oct!G23,Nov!G23,Dec!G23)</f>
        <v>60930.679999999993</v>
      </c>
      <c r="H23" s="20">
        <f>SUM(Oct!H23, Nov!H23, Dec!H23)</f>
        <v>-14721.679999999998</v>
      </c>
      <c r="I23" s="19">
        <f t="shared" si="8"/>
        <v>-0.24161358448650172</v>
      </c>
    </row>
    <row r="24" spans="1:9" ht="15.6">
      <c r="A24" s="47" t="str">
        <v>Kohls - Warminster</v>
      </c>
      <c r="B24" s="9" t="str">
        <v>PA</v>
      </c>
      <c r="C24" s="24">
        <f>SUM(Oct!C24, Nov!C24, Dec!C24)</f>
        <v>69958</v>
      </c>
      <c r="D24" s="13">
        <f>SUM(Oct!D24, Nov!D24, Dec!D24)</f>
        <v>69030</v>
      </c>
      <c r="E24" s="13">
        <f t="shared" si="6"/>
        <v>928</v>
      </c>
      <c r="F24" s="14">
        <f t="shared" si="7"/>
        <v>1.3443430392582934E-2</v>
      </c>
      <c r="G24" s="15">
        <f>SUM(Oct!G24,Nov!G24,Dec!G24)</f>
        <v>66519.67</v>
      </c>
      <c r="H24" s="15">
        <f>SUM(Oct!H24, Nov!H24, Dec!H24)</f>
        <v>3438.3299999999981</v>
      </c>
      <c r="I24" s="16">
        <f t="shared" si="8"/>
        <v>5.1688921487433689E-2</v>
      </c>
    </row>
    <row r="25" spans="1:9" ht="15.6">
      <c r="A25" s="48" t="str">
        <v xml:space="preserve">Kohls - Waterbury </v>
      </c>
      <c r="B25" s="10" t="str">
        <v>CT</v>
      </c>
      <c r="C25" s="11">
        <f>SUM(Oct!C25, Nov!C25, Dec!C25)</f>
        <v>16161</v>
      </c>
      <c r="D25" s="18">
        <f>SUM(Oct!D25, Nov!D25, Dec!D25)</f>
        <v>15921</v>
      </c>
      <c r="E25" s="18">
        <f t="shared" si="6"/>
        <v>240</v>
      </c>
      <c r="F25" s="19">
        <f t="shared" si="7"/>
        <v>1.5074429998115696E-2</v>
      </c>
      <c r="G25" s="20">
        <f>SUM(Oct!G25,Nov!G25,Dec!G25)</f>
        <v>56991.310000000005</v>
      </c>
      <c r="H25" s="20">
        <f>SUM(Oct!H25, Nov!H25, Dec!H25)</f>
        <v>-40830.31</v>
      </c>
      <c r="I25" s="19">
        <f t="shared" si="8"/>
        <v>-0.71643045229176161</v>
      </c>
    </row>
    <row r="26" spans="1:9" ht="15.6">
      <c r="A26" s="47" t="str">
        <v>Mojave Water Agency - Headquarters</v>
      </c>
      <c r="B26" s="9" t="str">
        <v>CA</v>
      </c>
      <c r="C26" s="24">
        <f>SUM(Oct!C26, Nov!C26, Dec!C26)</f>
        <v>85349</v>
      </c>
      <c r="D26" s="13">
        <f>SUM(Oct!D26, Nov!D26, Dec!D26)</f>
        <v>85038</v>
      </c>
      <c r="E26" s="13">
        <f t="shared" si="6"/>
        <v>311</v>
      </c>
      <c r="F26" s="14">
        <f t="shared" si="7"/>
        <v>3.657188551000729E-3</v>
      </c>
      <c r="G26" s="15">
        <f>SUM(Oct!G26,Nov!G26,Dec!G26)</f>
        <v>83603.959999999992</v>
      </c>
      <c r="H26" s="15">
        <f>SUM(Oct!H26, Nov!H26, Dec!H26)</f>
        <v>1745.0400000000009</v>
      </c>
      <c r="I26" s="16">
        <f t="shared" si="8"/>
        <v>2.0872695503897195E-2</v>
      </c>
    </row>
    <row r="27" spans="1:9" ht="15.6">
      <c r="A27" s="48" t="str">
        <v>CSU - Bakersfield</v>
      </c>
      <c r="B27" s="10" t="str">
        <v>CA</v>
      </c>
      <c r="C27" s="11">
        <f>SUM(Oct!C27, Nov!C27, Dec!C27)</f>
        <v>174762</v>
      </c>
      <c r="D27" s="18">
        <f>SUM(Oct!D27, Nov!D27, Dec!D27)</f>
        <v>172329</v>
      </c>
      <c r="E27" s="18">
        <f t="shared" si="6"/>
        <v>2433</v>
      </c>
      <c r="F27" s="19">
        <f t="shared" si="7"/>
        <v>1.4118343401284752E-2</v>
      </c>
      <c r="G27" s="20">
        <f>SUM(Oct!G27,Nov!G27,Dec!G27)</f>
        <v>240437.65</v>
      </c>
      <c r="H27" s="20">
        <f>SUM(Oct!H27, Nov!H27, Dec!H27)</f>
        <v>-65675.649999999994</v>
      </c>
      <c r="I27" s="19">
        <f t="shared" si="8"/>
        <v>-0.27315044045722453</v>
      </c>
    </row>
    <row r="28" spans="1:9" ht="15.6">
      <c r="A28" s="47" t="str">
        <v>Greenfield USD - Fairfield ES</v>
      </c>
      <c r="B28" s="9" t="str">
        <v>CA</v>
      </c>
      <c r="C28" s="24">
        <f>SUM(Oct!C28, Nov!C28, Dec!C28)</f>
        <v>22018</v>
      </c>
      <c r="D28" s="13">
        <f>SUM(Oct!D28, Nov!D28, Dec!D28)</f>
        <v>21729</v>
      </c>
      <c r="E28" s="13">
        <f t="shared" si="6"/>
        <v>289</v>
      </c>
      <c r="F28" s="14">
        <f t="shared" si="7"/>
        <v>1.3300197892217773E-2</v>
      </c>
      <c r="G28" s="15">
        <f>SUM(Oct!G28,Nov!G28,Dec!G28)</f>
        <v>27602.37</v>
      </c>
      <c r="H28" s="15">
        <f>SUM(Oct!H28, Nov!H28, Dec!H28)</f>
        <v>-5584.369999999999</v>
      </c>
      <c r="I28" s="16">
        <f t="shared" si="8"/>
        <v>-0.20231487368657108</v>
      </c>
    </row>
    <row r="29" spans="1:9" ht="15.6">
      <c r="A29" s="48" t="str">
        <v>Greenfield USD - Granite Point ES</v>
      </c>
      <c r="B29" s="10" t="str">
        <v>CA</v>
      </c>
      <c r="C29" s="11">
        <f>SUM(Oct!C29, Nov!C29, Dec!C29)</f>
        <v>44330</v>
      </c>
      <c r="D29" s="18">
        <f>SUM(Oct!D29, Nov!D29, Dec!D29)</f>
        <v>43990</v>
      </c>
      <c r="E29" s="18">
        <f t="shared" si="6"/>
        <v>340</v>
      </c>
      <c r="F29" s="19">
        <f t="shared" si="7"/>
        <v>7.729029324846556E-3</v>
      </c>
      <c r="G29" s="20">
        <f>SUM(Oct!G29,Nov!G29,Dec!G29)</f>
        <v>72221.13</v>
      </c>
      <c r="H29" s="20">
        <f>SUM(Oct!H29, Nov!H29, Dec!H29)</f>
        <v>-27891.13</v>
      </c>
      <c r="I29" s="19">
        <f t="shared" si="8"/>
        <v>-0.38619071731500182</v>
      </c>
    </row>
    <row r="30" spans="1:9" ht="15.6">
      <c r="A30" s="47" t="str">
        <v>Greenfield USD - Greenfield MS</v>
      </c>
      <c r="B30" s="9" t="str">
        <v>CA</v>
      </c>
      <c r="C30" s="24">
        <f>SUM(Oct!C30, Nov!C30, Dec!C30)</f>
        <v>34889</v>
      </c>
      <c r="D30" s="13">
        <f>SUM(Oct!D30, Nov!D30, Dec!D30)</f>
        <v>34072</v>
      </c>
      <c r="E30" s="13">
        <f t="shared" si="6"/>
        <v>817</v>
      </c>
      <c r="F30" s="14">
        <f t="shared" si="7"/>
        <v>2.3978633482038037E-2</v>
      </c>
      <c r="G30" s="15">
        <f>SUM(Oct!G30,Nov!G30,Dec!G30)</f>
        <v>49772.498</v>
      </c>
      <c r="H30" s="15">
        <f>SUM(Oct!H30, Nov!H30, Dec!H30)</f>
        <v>-14883.498</v>
      </c>
      <c r="I30" s="16">
        <f t="shared" si="8"/>
        <v>-0.29903056101383541</v>
      </c>
    </row>
    <row r="31" spans="1:9" ht="15.6">
      <c r="A31" s="48" t="str">
        <v>Greenfield USD - Horizon ES</v>
      </c>
      <c r="B31" s="10" t="str">
        <v>CA</v>
      </c>
      <c r="C31" s="11">
        <f>SUM(Oct!C31, Nov!C31, Dec!C31)</f>
        <v>61672</v>
      </c>
      <c r="D31" s="18">
        <f>SUM(Oct!D31, Nov!D31, Dec!D31)</f>
        <v>60960</v>
      </c>
      <c r="E31" s="18">
        <f t="shared" si="6"/>
        <v>712</v>
      </c>
      <c r="F31" s="19">
        <f t="shared" si="7"/>
        <v>1.1679790026246719E-2</v>
      </c>
      <c r="G31" s="20">
        <f>SUM(Oct!G31,Nov!G31,Dec!G31)</f>
        <v>73523.600000000006</v>
      </c>
      <c r="H31" s="20">
        <f>SUM(Oct!H31, Nov!H31, Dec!H31)</f>
        <v>-11851.600000000002</v>
      </c>
      <c r="I31" s="19">
        <f t="shared" si="8"/>
        <v>-0.1611945008133443</v>
      </c>
    </row>
    <row r="32" spans="1:9" ht="15.6">
      <c r="A32" s="47" t="str">
        <v>Greenfield USD - McKee MS</v>
      </c>
      <c r="B32" s="9" t="str">
        <v>CA</v>
      </c>
      <c r="C32" s="24">
        <f>SUM(Oct!C32, Nov!C32, Dec!C32)</f>
        <v>19996</v>
      </c>
      <c r="D32" s="13">
        <f>SUM(Oct!D32, Nov!D32, Dec!D32)</f>
        <v>19617</v>
      </c>
      <c r="E32" s="13">
        <f t="shared" si="6"/>
        <v>379</v>
      </c>
      <c r="F32" s="14">
        <f t="shared" si="7"/>
        <v>1.931997757047459E-2</v>
      </c>
      <c r="G32" s="15">
        <f>SUM(Oct!G32,Nov!G32,Dec!G32)</f>
        <v>45020.44</v>
      </c>
      <c r="H32" s="15">
        <f>SUM(Oct!H32, Nov!H32, Dec!H32)</f>
        <v>-25024.44</v>
      </c>
      <c r="I32" s="16">
        <f t="shared" si="8"/>
        <v>-0.55584618897549642</v>
      </c>
    </row>
    <row r="33" spans="1:9" ht="15.6">
      <c r="A33" s="48" t="str">
        <v>Greenfield USD - Plantation ES</v>
      </c>
      <c r="B33" s="10" t="str">
        <v>CA</v>
      </c>
      <c r="C33" s="11">
        <f>SUM(Oct!C33, Nov!C33, Dec!C33)</f>
        <v>25134</v>
      </c>
      <c r="D33" s="18">
        <f>SUM(Oct!D33, Nov!D33, Dec!D33)</f>
        <v>24926</v>
      </c>
      <c r="E33" s="18">
        <f t="shared" si="6"/>
        <v>208</v>
      </c>
      <c r="F33" s="19">
        <f t="shared" si="7"/>
        <v>8.3447003129262613E-3</v>
      </c>
      <c r="G33" s="20">
        <f>SUM(Oct!G33,Nov!G33,Dec!G33)</f>
        <v>32069.480000000003</v>
      </c>
      <c r="H33" s="20">
        <f>SUM(Oct!H33, Nov!H33, Dec!H33)</f>
        <v>-6935.4800000000005</v>
      </c>
      <c r="I33" s="19">
        <f t="shared" si="8"/>
        <v>-0.21626418638531089</v>
      </c>
    </row>
    <row r="34" spans="1:9" ht="15.6">
      <c r="A34" s="47" t="str">
        <v>Greenfield USD - Planz ES</v>
      </c>
      <c r="B34" s="9" t="str">
        <v>CA</v>
      </c>
      <c r="C34" s="24">
        <f>SUM(Oct!C34, Nov!C34, Dec!C34)</f>
        <v>27200</v>
      </c>
      <c r="D34" s="13">
        <f>SUM(Oct!D34, Nov!D34, Dec!D34)</f>
        <v>25317</v>
      </c>
      <c r="E34" s="13">
        <f t="shared" si="6"/>
        <v>1883</v>
      </c>
      <c r="F34" s="14">
        <f t="shared" si="7"/>
        <v>7.4376900896630724E-2</v>
      </c>
      <c r="G34" s="15">
        <f>SUM(Oct!G34,Nov!G34,Dec!G34)</f>
        <v>36453.869999999995</v>
      </c>
      <c r="H34" s="15">
        <f>SUM(Oct!H34, Nov!H34, Dec!H34)</f>
        <v>-9253.869999999999</v>
      </c>
      <c r="I34" s="16">
        <f t="shared" si="8"/>
        <v>-0.25385151151304375</v>
      </c>
    </row>
    <row r="35" spans="1:9" ht="15.6">
      <c r="A35" s="48" t="str">
        <v>Greenfield USD - Raffaello Palla ES</v>
      </c>
      <c r="B35" s="10" t="str">
        <v>CA</v>
      </c>
      <c r="C35" s="11">
        <f>SUM(Oct!C35, Nov!C35, Dec!C35)</f>
        <v>36825</v>
      </c>
      <c r="D35" s="18">
        <f>SUM(Oct!D35, Nov!D35, Dec!D35)</f>
        <v>35534</v>
      </c>
      <c r="E35" s="18">
        <f t="shared" si="6"/>
        <v>1291</v>
      </c>
      <c r="F35" s="19">
        <f t="shared" si="7"/>
        <v>3.6331400911802779E-2</v>
      </c>
      <c r="G35" s="20">
        <f>SUM(Oct!G35,Nov!G35,Dec!G35)</f>
        <v>81667.34</v>
      </c>
      <c r="H35" s="20">
        <f>SUM(Oct!H35, Nov!H35, Dec!H35)</f>
        <v>-44842.34</v>
      </c>
      <c r="I35" s="19">
        <f t="shared" si="8"/>
        <v>-0.5490853503983355</v>
      </c>
    </row>
    <row r="36" spans="1:9" ht="15.6">
      <c r="A36" s="47" t="str">
        <v>Greenfield USD - Valle Verde ES</v>
      </c>
      <c r="B36" s="9" t="str">
        <v>CA</v>
      </c>
      <c r="C36" s="24">
        <f>SUM(Oct!C36, Nov!C36, Dec!C36)</f>
        <v>50709</v>
      </c>
      <c r="D36" s="13">
        <f>SUM(Oct!D36, Nov!D36, Dec!D36)</f>
        <v>50192</v>
      </c>
      <c r="E36" s="13">
        <f t="shared" si="6"/>
        <v>517</v>
      </c>
      <c r="F36" s="14">
        <f t="shared" si="7"/>
        <v>1.0300446286260759E-2</v>
      </c>
      <c r="G36" s="15">
        <f>SUM(Oct!G36,Nov!G36,Dec!G36)</f>
        <v>76391.37</v>
      </c>
      <c r="H36" s="15">
        <f>SUM(Oct!H36, Nov!H36, Dec!H36)</f>
        <v>-25682.369999999995</v>
      </c>
      <c r="I36" s="16">
        <f t="shared" si="8"/>
        <v>-0.33619465130681642</v>
      </c>
    </row>
    <row r="37" spans="1:9" ht="15.6">
      <c r="A37" s="48" t="str">
        <v>Greenfield USD - W.A. Kendrick ES</v>
      </c>
      <c r="B37" s="10" t="str">
        <v>CA</v>
      </c>
      <c r="C37" s="11">
        <f>SUM(Oct!C37, Nov!C37, Dec!C37)</f>
        <v>22507</v>
      </c>
      <c r="D37" s="18">
        <f>SUM(Oct!D37, Nov!D37, Dec!D37)</f>
        <v>0</v>
      </c>
      <c r="E37" s="18">
        <f t="shared" si="6"/>
        <v>22507</v>
      </c>
      <c r="F37" s="19" t="str">
        <f t="shared" si="7"/>
        <v/>
      </c>
      <c r="G37" s="20">
        <f>SUM(Oct!G37,Nov!G37,Dec!G37)</f>
        <v>29413.11</v>
      </c>
      <c r="H37" s="20">
        <f>SUM(Oct!H37, Nov!H37, Dec!H37)</f>
        <v>-6906.1100000000015</v>
      </c>
      <c r="I37" s="19">
        <f t="shared" si="8"/>
        <v>-0.23479700038520243</v>
      </c>
    </row>
    <row r="38" spans="1:9" ht="15.6">
      <c r="A38" s="47" t="str">
        <v>Muroc Joint USD - Boron HS</v>
      </c>
      <c r="B38" s="9" t="str">
        <v>CA</v>
      </c>
      <c r="C38" s="24">
        <f>SUM(Oct!C38, Nov!C38, Dec!C38)</f>
        <v>0</v>
      </c>
      <c r="D38" s="13">
        <f>SUM(Oct!D38, Nov!D38, Dec!D38)</f>
        <v>0</v>
      </c>
      <c r="E38" s="13">
        <f t="shared" si="6"/>
        <v>0</v>
      </c>
      <c r="F38" s="14" t="str">
        <f t="shared" si="7"/>
        <v/>
      </c>
      <c r="G38" s="15">
        <f>SUM(Oct!G38,Nov!G38,Dec!G38)</f>
        <v>81268.47</v>
      </c>
      <c r="H38" s="15">
        <f>SUM(Oct!H38, Nov!H38, Dec!H38)</f>
        <v>-81268.47</v>
      </c>
      <c r="I38" s="16">
        <f t="shared" si="8"/>
        <v>-1</v>
      </c>
    </row>
    <row r="39" spans="1:9" ht="15.6">
      <c r="A39" s="48" t="str">
        <v>Muroc Joint USD - W. Boron ES</v>
      </c>
      <c r="B39" s="10" t="str">
        <v>CA</v>
      </c>
      <c r="C39" s="11">
        <f>SUM(Oct!C39, Nov!C39, Dec!C39)</f>
        <v>22631</v>
      </c>
      <c r="D39" s="18">
        <f>SUM(Oct!D39, Nov!D39, Dec!D39)</f>
        <v>22549</v>
      </c>
      <c r="E39" s="18">
        <f t="shared" si="6"/>
        <v>82</v>
      </c>
      <c r="F39" s="19">
        <f t="shared" si="7"/>
        <v>3.6365249013260012E-3</v>
      </c>
      <c r="G39" s="20">
        <f>SUM(Oct!G39,Nov!G39,Dec!G39)</f>
        <v>29750.5</v>
      </c>
      <c r="H39" s="20">
        <f>SUM(Oct!H39, Nov!H39, Dec!H39)</f>
        <v>-7119.5</v>
      </c>
      <c r="I39" s="19">
        <f t="shared" si="8"/>
        <v>-0.2393069024050016</v>
      </c>
    </row>
    <row r="40" spans="1:9" ht="15.6">
      <c r="A40" s="47" t="str">
        <v>Colusa - WTP</v>
      </c>
      <c r="B40" s="9" t="str">
        <v>CA</v>
      </c>
      <c r="C40" s="24">
        <f>SUM(Oct!C40, Nov!C40, Dec!C40)</f>
        <v>4303</v>
      </c>
      <c r="D40" s="13">
        <f>SUM(Oct!D40, Nov!D40, Dec!D40)</f>
        <v>0</v>
      </c>
      <c r="E40" s="13">
        <f t="shared" si="6"/>
        <v>4303</v>
      </c>
      <c r="F40" s="14" t="str">
        <f t="shared" si="7"/>
        <v/>
      </c>
      <c r="G40" s="15">
        <f>SUM(Oct!G40,Nov!G40,Dec!G40)</f>
        <v>75878.489999999991</v>
      </c>
      <c r="H40" s="15">
        <f>SUM(Oct!H40, Nov!H40, Dec!H40)</f>
        <v>-71575.489999999991</v>
      </c>
      <c r="I40" s="16">
        <f t="shared" si="8"/>
        <v>-0.94329091156136602</v>
      </c>
    </row>
    <row r="41" spans="1:9" ht="15.6">
      <c r="A41" s="48" t="str">
        <v>CDCR-North Kern State Prision</v>
      </c>
      <c r="B41" s="10" t="str">
        <v>CA</v>
      </c>
      <c r="C41" s="11">
        <f>SUM(Oct!C41, Nov!C41, Dec!C41)</f>
        <v>264297</v>
      </c>
      <c r="D41" s="18">
        <f>SUM(Oct!D41, Nov!D41, Dec!D41)</f>
        <v>261518</v>
      </c>
      <c r="E41" s="18">
        <f t="shared" si="6"/>
        <v>2779</v>
      </c>
      <c r="F41" s="19">
        <f t="shared" si="7"/>
        <v>1.0626419596356657E-2</v>
      </c>
      <c r="G41" s="20">
        <f>SUM(Oct!G41,Nov!G41,Dec!G41)</f>
        <v>337171.62</v>
      </c>
      <c r="H41" s="20">
        <f>SUM(Oct!H41, Nov!H41, Dec!H41)</f>
        <v>-72874.62000000001</v>
      </c>
      <c r="I41" s="19">
        <f t="shared" si="8"/>
        <v>-0.21613509464408662</v>
      </c>
    </row>
    <row r="42" spans="1:9" ht="15.6">
      <c r="A42" s="47" t="str">
        <v>Muroc Joint USD - District Office</v>
      </c>
      <c r="B42" s="9" t="str">
        <v>CA</v>
      </c>
      <c r="C42" s="24">
        <f>SUM(Oct!C42, Nov!C42, Dec!C42)</f>
        <v>16156</v>
      </c>
      <c r="D42" s="13">
        <f>SUM(Oct!D42, Nov!D42, Dec!D42)</f>
        <v>16128</v>
      </c>
      <c r="E42" s="13">
        <f t="shared" si="6"/>
        <v>28</v>
      </c>
      <c r="F42" s="14">
        <f t="shared" si="7"/>
        <v>1.736111111111111E-3</v>
      </c>
      <c r="G42" s="15">
        <f>SUM(Oct!G42,Nov!G42,Dec!G42)</f>
        <v>20982.6</v>
      </c>
      <c r="H42" s="15">
        <f>SUM(Oct!H42, Nov!H42, Dec!H42)</f>
        <v>-4826.5999999999995</v>
      </c>
      <c r="I42" s="16">
        <f t="shared" si="8"/>
        <v>-0.23002869043874447</v>
      </c>
    </row>
    <row r="43" spans="1:9" ht="15.6">
      <c r="A43" s="48" t="str">
        <v>Whole Foods - Manhattan Beach</v>
      </c>
      <c r="B43" s="10" t="str">
        <v>CA</v>
      </c>
      <c r="C43" s="11">
        <f>SUM(Oct!C43, Nov!C43, Dec!C43)</f>
        <v>40074</v>
      </c>
      <c r="D43" s="18">
        <f>SUM(Oct!D43, Nov!D43, Dec!D43)</f>
        <v>39908</v>
      </c>
      <c r="E43" s="18">
        <f t="shared" si="6"/>
        <v>166</v>
      </c>
      <c r="F43" s="19">
        <f t="shared" si="7"/>
        <v>4.1595670041094518E-3</v>
      </c>
      <c r="G43" s="20">
        <f>SUM(Oct!G43,Nov!G43,Dec!G43)</f>
        <v>44997.37</v>
      </c>
      <c r="H43" s="20">
        <f>SUM(Oct!H43, Nov!H43, Dec!H43)</f>
        <v>-4923.3700000000008</v>
      </c>
      <c r="I43" s="19">
        <f t="shared" si="8"/>
        <v>-0.10941461689872098</v>
      </c>
    </row>
    <row r="44" spans="1:9" ht="15.6">
      <c r="A44" s="47" t="str">
        <v>Pioneer USD - Frontier ES</v>
      </c>
      <c r="B44" s="9" t="str">
        <v>CA</v>
      </c>
      <c r="C44" s="24">
        <f>SUM(Oct!C44, Nov!C44, Dec!C44)</f>
        <v>810</v>
      </c>
      <c r="D44" s="13">
        <f>SUM(Oct!D44, Nov!D44, Dec!D44)</f>
        <v>0</v>
      </c>
      <c r="E44" s="13">
        <f t="shared" si="6"/>
        <v>810</v>
      </c>
      <c r="F44" s="14" t="str">
        <f t="shared" si="7"/>
        <v/>
      </c>
      <c r="G44" s="15">
        <f>SUM(Oct!G44,Nov!G44,Dec!G44)</f>
        <v>63512.45</v>
      </c>
      <c r="H44" s="15">
        <f>SUM(Oct!H44, Nov!H44, Dec!H44)</f>
        <v>-62702.45</v>
      </c>
      <c r="I44" s="16">
        <f t="shared" si="8"/>
        <v>-0.98724659495894107</v>
      </c>
    </row>
    <row r="45" spans="1:9" ht="15.6">
      <c r="A45" s="48" t="str">
        <v>Pioneer USD - Pioneer ES</v>
      </c>
      <c r="B45" s="10" t="str">
        <v>CA</v>
      </c>
      <c r="C45" s="11">
        <f>SUM(Oct!C45, Nov!C45, Dec!C45)</f>
        <v>24784</v>
      </c>
      <c r="D45" s="18">
        <f>SUM(Oct!D45, Nov!D45, Dec!D45)</f>
        <v>0</v>
      </c>
      <c r="E45" s="18">
        <f t="shared" si="6"/>
        <v>24784</v>
      </c>
      <c r="F45" s="19" t="str">
        <f t="shared" si="7"/>
        <v/>
      </c>
      <c r="G45" s="20">
        <f>SUM(Oct!G45,Nov!G45,Dec!G45)</f>
        <v>64652.74</v>
      </c>
      <c r="H45" s="20">
        <f>SUM(Oct!H45, Nov!H45, Dec!H45)</f>
        <v>-39868.74</v>
      </c>
      <c r="I45" s="19">
        <f t="shared" si="8"/>
        <v>-0.61665971156056187</v>
      </c>
    </row>
    <row r="46" spans="1:9" ht="15.6">
      <c r="A46" s="47" t="str">
        <v>Pioneer USD - Pioneer MS</v>
      </c>
      <c r="B46" s="9" t="str">
        <v>CA</v>
      </c>
      <c r="C46" s="24">
        <f>SUM(Oct!C46, Nov!C46, Dec!C46)</f>
        <v>63410</v>
      </c>
      <c r="D46" s="13">
        <f>SUM(Oct!D46, Nov!D46, Dec!D46)</f>
        <v>0</v>
      </c>
      <c r="E46" s="13">
        <f t="shared" si="6"/>
        <v>63410</v>
      </c>
      <c r="F46" s="14" t="str">
        <f t="shared" si="7"/>
        <v/>
      </c>
      <c r="G46" s="15">
        <f>SUM(Oct!G46,Nov!G46,Dec!G46)</f>
        <v>87237.15</v>
      </c>
      <c r="H46" s="15">
        <f>SUM(Oct!H46, Nov!H46, Dec!H46)</f>
        <v>-23827.149999999998</v>
      </c>
      <c r="I46" s="16">
        <f t="shared" si="8"/>
        <v>-0.27313077054901497</v>
      </c>
    </row>
    <row r="47" spans="1:9" ht="15.6">
      <c r="A47" s="48" t="str">
        <v>Kingsburg Joint UHSD - Kingsburg HS</v>
      </c>
      <c r="B47" s="10" t="str">
        <v>CA</v>
      </c>
      <c r="C47" s="11">
        <f>SUM(Oct!C47, Nov!C47, Dec!C47)</f>
        <v>125220</v>
      </c>
      <c r="D47" s="18">
        <f>SUM(Oct!D47, Nov!D47, Dec!D47)</f>
        <v>0</v>
      </c>
      <c r="E47" s="18">
        <f t="shared" si="6"/>
        <v>125220</v>
      </c>
      <c r="F47" s="19" t="str">
        <f t="shared" si="7"/>
        <v/>
      </c>
      <c r="G47" s="20">
        <f>SUM(Oct!G47,Nov!G47,Dec!G47)</f>
        <v>154259.82</v>
      </c>
      <c r="H47" s="20">
        <f>SUM(Oct!H47, Nov!H47, Dec!H47)</f>
        <v>-29039.82</v>
      </c>
      <c r="I47" s="19">
        <f t="shared" si="8"/>
        <v>-0.18825265062541885</v>
      </c>
    </row>
    <row r="48" spans="1:9" ht="15.6">
      <c r="A48" s="47" t="str">
        <v>CADRB</v>
      </c>
      <c r="B48" s="9" t="str">
        <v>CA</v>
      </c>
      <c r="C48" s="24">
        <f>SUM(Oct!C48, Nov!C48, Dec!C48)</f>
        <v>4132.7</v>
      </c>
      <c r="D48" s="13">
        <f>SUM(Oct!D48, Nov!D48, Dec!D48)</f>
        <v>1122</v>
      </c>
      <c r="E48" s="13">
        <f t="shared" si="6"/>
        <v>3010.7</v>
      </c>
      <c r="F48" s="14">
        <f t="shared" si="7"/>
        <v>2.6833333333333331</v>
      </c>
      <c r="G48" s="15">
        <f>SUM(Oct!G48,Nov!G48,Dec!G48)</f>
        <v>1009785</v>
      </c>
      <c r="H48" s="15">
        <f>SUM(Oct!H48, Nov!H48, Dec!H48)</f>
        <v>-1008382</v>
      </c>
      <c r="I48" s="16">
        <f t="shared" si="8"/>
        <v>-0.99861059532474739</v>
      </c>
    </row>
    <row r="49" spans="1:9" ht="15.6">
      <c r="A49" s="48" t="str">
        <v>CDCR-CA State Prison LA County</v>
      </c>
      <c r="B49" s="10" t="str">
        <v>CA</v>
      </c>
      <c r="C49" s="11">
        <f>SUM(Oct!C49, Nov!C49, Dec!C49)</f>
        <v>373679</v>
      </c>
      <c r="D49" s="18">
        <f>SUM(Oct!D49, Nov!D49, Dec!D49)</f>
        <v>471154</v>
      </c>
      <c r="E49" s="18">
        <f t="shared" si="6"/>
        <v>-97475</v>
      </c>
      <c r="F49" s="19">
        <f t="shared" si="7"/>
        <v>-0.2068856467312174</v>
      </c>
      <c r="G49" s="20">
        <f>SUM(Oct!G49,Nov!G49,Dec!G49)</f>
        <v>883821.76</v>
      </c>
      <c r="H49" s="20">
        <f>SUM(Oct!H49, Nov!H49, Dec!H49)</f>
        <v>-510142.76</v>
      </c>
      <c r="I49" s="19">
        <f t="shared" si="8"/>
        <v>-0.57720095056270171</v>
      </c>
    </row>
    <row r="50" spans="1:9" ht="15.6">
      <c r="A50" s="47" t="str">
        <v>Central USD Akers ES</v>
      </c>
      <c r="B50" s="9" t="str">
        <v>CA</v>
      </c>
      <c r="C50" s="24">
        <f>SUM(Oct!C50, Nov!C50, Dec!C50)</f>
        <v>0</v>
      </c>
      <c r="D50" s="13">
        <f>SUM(Oct!D50, Nov!D50, Dec!D50)</f>
        <v>0</v>
      </c>
      <c r="E50" s="13">
        <f t="shared" si="6"/>
        <v>0</v>
      </c>
      <c r="F50" s="14" t="str">
        <f t="shared" si="7"/>
        <v/>
      </c>
      <c r="G50" s="15">
        <f>SUM(Oct!G50,Nov!G50,Dec!G50)</f>
        <v>62599.22</v>
      </c>
      <c r="H50" s="15">
        <f>SUM(Oct!H50, Nov!H50, Dec!H50)</f>
        <v>-62599.22</v>
      </c>
      <c r="I50" s="16">
        <f t="shared" si="8"/>
        <v>-1</v>
      </c>
    </row>
    <row r="51" spans="1:9" ht="15.6">
      <c r="A51" s="48" t="str">
        <v>CUSD - District Office</v>
      </c>
      <c r="B51" s="10" t="str">
        <v>CA</v>
      </c>
      <c r="C51" s="11">
        <f>SUM(Oct!C51, Nov!C51, Dec!C51)</f>
        <v>10360</v>
      </c>
      <c r="D51" s="18">
        <f>SUM(Oct!D51, Nov!D51, Dec!D51)</f>
        <v>9935</v>
      </c>
      <c r="E51" s="18">
        <f t="shared" si="6"/>
        <v>425</v>
      </c>
      <c r="F51" s="19">
        <f t="shared" si="7"/>
        <v>4.2778057372924005E-2</v>
      </c>
      <c r="G51" s="20">
        <f>SUM(Oct!G51,Nov!G51,Dec!G51)</f>
        <v>46141.02</v>
      </c>
      <c r="H51" s="20">
        <f>SUM(Oct!H51, Nov!H51, Dec!H51)</f>
        <v>-35781.019999999997</v>
      </c>
      <c r="I51" s="19">
        <f t="shared" si="8"/>
        <v>-0.77547093670664413</v>
      </c>
    </row>
    <row r="52" spans="1:9" ht="15.6">
      <c r="A52" s="47" t="str">
        <v>Parlier - WTP</v>
      </c>
      <c r="B52" s="9" t="str">
        <v>CA</v>
      </c>
      <c r="C52" s="24">
        <f>SUM(Oct!C52, Nov!C52, Dec!C52)</f>
        <v>52024</v>
      </c>
      <c r="D52" s="13">
        <f>SUM(Oct!D52, Nov!D52, Dec!D52)</f>
        <v>51654</v>
      </c>
      <c r="E52" s="13">
        <f t="shared" si="6"/>
        <v>370</v>
      </c>
      <c r="F52" s="14">
        <f t="shared" si="7"/>
        <v>7.1630464242846631E-3</v>
      </c>
      <c r="G52" s="15">
        <f>SUM(Oct!G52,Nov!G52,Dec!G52)</f>
        <v>127000.33</v>
      </c>
      <c r="H52" s="15">
        <f>SUM(Oct!H52, Nov!H52, Dec!H52)</f>
        <v>-74976.33</v>
      </c>
      <c r="I52" s="16">
        <f t="shared" si="8"/>
        <v>-0.59036326913481252</v>
      </c>
    </row>
    <row r="53" spans="1:9" ht="15.6">
      <c r="A53" s="48" t="str">
        <v>Snowline SD - Quail Valley MS</v>
      </c>
      <c r="B53" s="10" t="str">
        <v>CA</v>
      </c>
      <c r="C53" s="11">
        <f>SUM(Oct!C53, Nov!C53, Dec!C53)</f>
        <v>20888</v>
      </c>
      <c r="D53" s="18">
        <f>SUM(Oct!D53, Nov!D53, Dec!D53)</f>
        <v>0</v>
      </c>
      <c r="E53" s="18">
        <f t="shared" si="6"/>
        <v>20888</v>
      </c>
      <c r="F53" s="19" t="str">
        <f t="shared" si="7"/>
        <v/>
      </c>
      <c r="G53" s="20">
        <f>SUM(Oct!G53,Nov!G53,Dec!G53)</f>
        <v>79585.41</v>
      </c>
      <c r="H53" s="20">
        <f>SUM(Oct!H53, Nov!H53, Dec!H53)</f>
        <v>-58697.41</v>
      </c>
      <c r="I53" s="19">
        <f t="shared" si="8"/>
        <v>-0.73753983299200199</v>
      </c>
    </row>
    <row r="54" spans="1:9" ht="15.6">
      <c r="A54" s="47" t="str">
        <v>Snowline SD - Serrano HS - Middle Lot</v>
      </c>
      <c r="B54" s="9" t="str">
        <v>CA</v>
      </c>
      <c r="C54" s="24">
        <f>SUM(Oct!C54, Nov!C54, Dec!C54)</f>
        <v>99084</v>
      </c>
      <c r="D54" s="13">
        <f>SUM(Oct!D54, Nov!D54, Dec!D54)</f>
        <v>98813</v>
      </c>
      <c r="E54" s="13">
        <f t="shared" si="6"/>
        <v>271</v>
      </c>
      <c r="F54" s="14">
        <f t="shared" si="7"/>
        <v>2.74255411737322E-3</v>
      </c>
      <c r="G54" s="15">
        <f>SUM(Oct!G54,Nov!G54,Dec!G54)</f>
        <v>90318.150000000009</v>
      </c>
      <c r="H54" s="15">
        <f>SUM(Oct!H54, Nov!H54, Dec!H54)</f>
        <v>8765.8499999999985</v>
      </c>
      <c r="I54" s="16">
        <f t="shared" si="8"/>
        <v>9.7055243049154541E-2</v>
      </c>
    </row>
    <row r="55" spans="1:9" ht="15.6">
      <c r="A55" s="48" t="str">
        <v>Snowline SD - Pinon Hills ES</v>
      </c>
      <c r="B55" s="10" t="str">
        <v>CA</v>
      </c>
      <c r="C55" s="11">
        <f>SUM(Oct!C55, Nov!C55, Dec!C55)</f>
        <v>50281</v>
      </c>
      <c r="D55" s="18">
        <f>SUM(Oct!D55, Nov!D55, Dec!D55)</f>
        <v>50180</v>
      </c>
      <c r="E55" s="18">
        <f t="shared" si="6"/>
        <v>101</v>
      </c>
      <c r="F55" s="19">
        <f t="shared" si="7"/>
        <v>2.0127540852929453E-3</v>
      </c>
      <c r="G55" s="20">
        <f>SUM(Oct!G55,Nov!G55,Dec!G55)</f>
        <v>51667.57</v>
      </c>
      <c r="H55" s="20">
        <f>SUM(Oct!H55, Nov!H55, Dec!H55)</f>
        <v>-1386.5699999999997</v>
      </c>
      <c r="I55" s="19">
        <f t="shared" si="8"/>
        <v>-2.6836369506055727E-2</v>
      </c>
    </row>
    <row r="56" spans="1:9" ht="15.6">
      <c r="A56" s="47" t="str">
        <v>Ramona - Santa Maria WTP</v>
      </c>
      <c r="B56" s="9" t="str">
        <v>CA</v>
      </c>
      <c r="C56" s="24">
        <f>SUM(Oct!C56, Nov!C56, Dec!C56)</f>
        <v>159411</v>
      </c>
      <c r="D56" s="13">
        <f>SUM(Oct!D56, Nov!D56, Dec!D56)</f>
        <v>141884</v>
      </c>
      <c r="E56" s="13">
        <f t="shared" si="6"/>
        <v>17527</v>
      </c>
      <c r="F56" s="14">
        <f t="shared" si="7"/>
        <v>0.12353048969580785</v>
      </c>
      <c r="G56" s="15">
        <f>SUM(Oct!G56,Nov!G56,Dec!G56)</f>
        <v>165869.62</v>
      </c>
      <c r="H56" s="15">
        <f>SUM(Oct!H56, Nov!H56, Dec!H56)</f>
        <v>-6458.6200000000026</v>
      </c>
      <c r="I56" s="16">
        <f t="shared" si="8"/>
        <v>-3.8937932093894005E-2</v>
      </c>
    </row>
    <row r="57" spans="1:9" ht="15.6">
      <c r="A57" s="48" t="str">
        <v>Kohls - Redding</v>
      </c>
      <c r="B57" s="10" t="str">
        <v>CA</v>
      </c>
      <c r="C57" s="11">
        <f>SUM(Oct!C57, Nov!C57, Dec!C57)</f>
        <v>48180</v>
      </c>
      <c r="D57" s="18">
        <f>SUM(Oct!D57, Nov!D57, Dec!D57)</f>
        <v>0</v>
      </c>
      <c r="E57" s="18">
        <f t="shared" si="6"/>
        <v>48180</v>
      </c>
      <c r="F57" s="19" t="str">
        <f t="shared" si="7"/>
        <v/>
      </c>
      <c r="G57" s="20">
        <f>SUM(Oct!G57,Nov!G57,Dec!G57)</f>
        <v>55556.619999999995</v>
      </c>
      <c r="H57" s="20">
        <f>SUM(Oct!H57, Nov!H57, Dec!H57)</f>
        <v>-7376.6200000000008</v>
      </c>
      <c r="I57" s="19">
        <f t="shared" si="8"/>
        <v>-0.13277661600003746</v>
      </c>
    </row>
    <row r="58" spans="1:9" ht="15.6">
      <c r="A58" s="47" t="str">
        <v>Kohls - Salinas</v>
      </c>
      <c r="B58" s="9" t="str">
        <v>CA</v>
      </c>
      <c r="C58" s="24">
        <f>SUM(Oct!C58, Nov!C58, Dec!C58)</f>
        <v>83369</v>
      </c>
      <c r="D58" s="13">
        <f>SUM(Oct!D58, Nov!D58, Dec!D58)</f>
        <v>80794</v>
      </c>
      <c r="E58" s="13">
        <f t="shared" si="6"/>
        <v>2575</v>
      </c>
      <c r="F58" s="14">
        <f t="shared" si="7"/>
        <v>3.1871178552862839E-2</v>
      </c>
      <c r="G58" s="15">
        <f>SUM(Oct!G58,Nov!G58,Dec!G58)</f>
        <v>88808.2</v>
      </c>
      <c r="H58" s="15">
        <f>SUM(Oct!H58, Nov!H58, Dec!H58)</f>
        <v>-5439.1999999999971</v>
      </c>
      <c r="I58" s="16">
        <f t="shared" si="8"/>
        <v>-6.1246596598061857E-2</v>
      </c>
    </row>
    <row r="59" spans="1:9" ht="15.6">
      <c r="A59" s="48" t="str">
        <v>Kohls - San Bernardino - Central</v>
      </c>
      <c r="B59" s="10" t="str">
        <v>CA</v>
      </c>
      <c r="C59" s="11">
        <f>SUM(Oct!C59, Nov!C59, Dec!C59)</f>
        <v>162402</v>
      </c>
      <c r="D59" s="18">
        <f>SUM(Oct!D59, Nov!D59, Dec!D59)</f>
        <v>161353</v>
      </c>
      <c r="E59" s="18">
        <f t="shared" si="6"/>
        <v>1049</v>
      </c>
      <c r="F59" s="19">
        <f t="shared" si="7"/>
        <v>6.5012736050770667E-3</v>
      </c>
      <c r="G59" s="20">
        <f>SUM(Oct!G59,Nov!G59,Dec!G59)</f>
        <v>225809.19</v>
      </c>
      <c r="H59" s="20">
        <f>SUM(Oct!H59, Nov!H59, Dec!H59)</f>
        <v>-63407.19</v>
      </c>
      <c r="I59" s="19">
        <f t="shared" si="8"/>
        <v>-0.28079986469992652</v>
      </c>
    </row>
    <row r="60" spans="1:9" ht="15.6">
      <c r="A60" s="47" t="str">
        <v>Kohls - Sonora</v>
      </c>
      <c r="B60" s="9" t="str">
        <v>CA</v>
      </c>
      <c r="C60" s="24">
        <f>SUM(Oct!C60, Nov!C60, Dec!C60)</f>
        <v>50279</v>
      </c>
      <c r="D60" s="13">
        <f>SUM(Oct!D60, Nov!D60, Dec!D60)</f>
        <v>49762</v>
      </c>
      <c r="E60" s="13">
        <f t="shared" si="6"/>
        <v>517</v>
      </c>
      <c r="F60" s="14">
        <f t="shared" si="7"/>
        <v>1.0389453800088421E-2</v>
      </c>
      <c r="G60" s="15">
        <f>SUM(Oct!G60,Nov!G60,Dec!G60)</f>
        <v>58599.19</v>
      </c>
      <c r="H60" s="15">
        <f>SUM(Oct!H60, Nov!H60, Dec!H60)</f>
        <v>-8320.1900000000023</v>
      </c>
      <c r="I60" s="16">
        <f t="shared" si="8"/>
        <v>-0.14198472709264415</v>
      </c>
    </row>
    <row r="61" spans="1:9" ht="15.6">
      <c r="A61" s="48" t="str">
        <v>CUSD - Stratford ES</v>
      </c>
      <c r="B61" s="10" t="str">
        <v>CA</v>
      </c>
      <c r="C61" s="11">
        <f>SUM(Oct!C61, Nov!C61, Dec!C61)</f>
        <v>38460</v>
      </c>
      <c r="D61" s="18">
        <f>SUM(Oct!D61, Nov!D61, Dec!D61)</f>
        <v>38125</v>
      </c>
      <c r="E61" s="18">
        <f t="shared" si="6"/>
        <v>335</v>
      </c>
      <c r="F61" s="19">
        <f t="shared" si="7"/>
        <v>8.7868852459016388E-3</v>
      </c>
      <c r="G61" s="20">
        <f>SUM(Oct!G61,Nov!G61,Dec!G61)</f>
        <v>42537.570000000007</v>
      </c>
      <c r="H61" s="20">
        <f>SUM(Oct!H61, Nov!H61, Dec!H61)</f>
        <v>-4077.5700000000015</v>
      </c>
      <c r="I61" s="19">
        <f t="shared" si="8"/>
        <v>-9.5858084982287442E-2</v>
      </c>
    </row>
    <row r="62" spans="1:9" ht="15.6">
      <c r="A62" s="47" t="str">
        <v>Taft - City Hall</v>
      </c>
      <c r="B62" s="9" t="str">
        <v>CA</v>
      </c>
      <c r="C62" s="24">
        <f>SUM(Oct!C62, Nov!C62, Dec!C62)</f>
        <v>12216</v>
      </c>
      <c r="D62" s="13">
        <f>SUM(Oct!D62, Nov!D62, Dec!D62)</f>
        <v>-1829</v>
      </c>
      <c r="E62" s="13">
        <f t="shared" si="6"/>
        <v>14045</v>
      </c>
      <c r="F62" s="14">
        <f t="shared" si="7"/>
        <v>-7.6790595954073266</v>
      </c>
      <c r="G62" s="15">
        <f>SUM(Oct!G62,Nov!G62,Dec!G62)</f>
        <v>17103.57</v>
      </c>
      <c r="H62" s="15">
        <f>SUM(Oct!H62, Nov!H62, Dec!H62)</f>
        <v>-4887.57</v>
      </c>
      <c r="I62" s="16">
        <f t="shared" si="8"/>
        <v>-0.28576314769372707</v>
      </c>
    </row>
    <row r="63" spans="1:9" ht="15.6">
      <c r="A63" s="48" t="str">
        <v>Taft - Federal Prison</v>
      </c>
      <c r="B63" s="10" t="str">
        <v>CA</v>
      </c>
      <c r="C63" s="11">
        <f>SUM(Oct!C63, Nov!C63, Dec!C63)</f>
        <v>15310</v>
      </c>
      <c r="D63" s="18">
        <f>SUM(Oct!D63, Nov!D63, Dec!D63)</f>
        <v>15131</v>
      </c>
      <c r="E63" s="18">
        <f t="shared" si="6"/>
        <v>179</v>
      </c>
      <c r="F63" s="19">
        <f t="shared" si="7"/>
        <v>1.1830017844160995E-2</v>
      </c>
      <c r="G63" s="20">
        <f>SUM(Oct!G63,Nov!G63,Dec!G63)</f>
        <v>30125.420000000002</v>
      </c>
      <c r="H63" s="20">
        <f>SUM(Oct!H63, Nov!H63, Dec!H63)</f>
        <v>-14815.420000000002</v>
      </c>
      <c r="I63" s="19">
        <f t="shared" si="8"/>
        <v>-0.49179131776420049</v>
      </c>
    </row>
    <row r="64" spans="1:9" ht="15.6">
      <c r="A64" s="47" t="str">
        <v>Taft - Police Department</v>
      </c>
      <c r="B64" s="9" t="str">
        <v>CA</v>
      </c>
      <c r="C64" s="24">
        <f>SUM(Oct!C64, Nov!C64, Dec!C64)</f>
        <v>16057</v>
      </c>
      <c r="D64" s="13">
        <f>SUM(Oct!D64, Nov!D64, Dec!D64)</f>
        <v>15620</v>
      </c>
      <c r="E64" s="13">
        <f t="shared" si="6"/>
        <v>437</v>
      </c>
      <c r="F64" s="14">
        <f t="shared" si="7"/>
        <v>2.797695262483995E-2</v>
      </c>
      <c r="G64" s="15">
        <f>SUM(Oct!G64,Nov!G64,Dec!G64)</f>
        <v>19629.07</v>
      </c>
      <c r="H64" s="15">
        <f>SUM(Oct!H64, Nov!H64, Dec!H64)</f>
        <v>-3572.0699999999988</v>
      </c>
      <c r="I64" s="16">
        <f t="shared" si="8"/>
        <v>-0.18197856546438515</v>
      </c>
    </row>
    <row r="65" spans="1:9" ht="15.6">
      <c r="A65" s="48" t="str">
        <v>Taft - WTP</v>
      </c>
      <c r="B65" s="10" t="str">
        <v>CA</v>
      </c>
      <c r="C65" s="11">
        <f>SUM(Oct!C65, Nov!C65, Dec!C65)</f>
        <v>92795.69</v>
      </c>
      <c r="D65" s="18">
        <f>SUM(Oct!D65, Nov!D65, Dec!D65)</f>
        <v>86010</v>
      </c>
      <c r="E65" s="18">
        <f t="shared" si="6"/>
        <v>6785.6900000000023</v>
      </c>
      <c r="F65" s="19">
        <f t="shared" si="7"/>
        <v>7.8894198349029207E-2</v>
      </c>
      <c r="G65" s="20">
        <f>SUM(Oct!G65,Nov!G65,Dec!G65)</f>
        <v>133372.25</v>
      </c>
      <c r="H65" s="20">
        <f>SUM(Oct!H65, Nov!H65, Dec!H65)</f>
        <v>-40576.559999999998</v>
      </c>
      <c r="I65" s="19">
        <f t="shared" si="8"/>
        <v>-0.3042354012922478</v>
      </c>
    </row>
    <row r="66" spans="1:9" ht="15.6">
      <c r="A66" s="47" t="str">
        <v>CDCR - CA Correctional Institution</v>
      </c>
      <c r="B66" s="9" t="str">
        <v>CA</v>
      </c>
      <c r="C66" s="24">
        <f>SUM(Oct!C66, Nov!C66, Dec!C66)</f>
        <v>211790</v>
      </c>
      <c r="D66" s="13">
        <f>SUM(Oct!D66, Nov!D66, Dec!D66)</f>
        <v>281506</v>
      </c>
      <c r="E66" s="13">
        <f t="shared" si="6"/>
        <v>-69716</v>
      </c>
      <c r="F66" s="14">
        <f t="shared" si="7"/>
        <v>-0.24765369121794917</v>
      </c>
      <c r="G66" s="15">
        <f>SUM(Oct!G66,Nov!G66,Dec!G66)</f>
        <v>222248.6</v>
      </c>
      <c r="H66" s="15">
        <f>SUM(Oct!H66, Nov!H66, Dec!H66)</f>
        <v>-177626.6</v>
      </c>
      <c r="I66" s="16">
        <f t="shared" si="8"/>
        <v>-0.7992248320124401</v>
      </c>
    </row>
    <row r="67" spans="1:9" ht="15.6">
      <c r="A67" s="48" t="str">
        <v>CDCR - CA Correctional Institution II</v>
      </c>
      <c r="B67" s="10" t="str">
        <v>CA</v>
      </c>
      <c r="C67" s="11">
        <f>SUM(Oct!C67, Nov!C67, Dec!C67)</f>
        <v>498192</v>
      </c>
      <c r="D67" s="18">
        <f>SUM(Oct!D67, Nov!D67, Dec!D67)</f>
        <v>494897</v>
      </c>
      <c r="E67" s="18">
        <f t="shared" si="6"/>
        <v>3295</v>
      </c>
      <c r="F67" s="19">
        <f t="shared" si="7"/>
        <v>6.6579510483999703E-3</v>
      </c>
      <c r="G67" s="20">
        <f>SUM(Oct!G67,Nov!G67,Dec!G67)</f>
        <v>613722.79999999993</v>
      </c>
      <c r="H67" s="20">
        <f>SUM(Oct!H67, Nov!H67, Dec!H67)</f>
        <v>-115530.79999999999</v>
      </c>
      <c r="I67" s="19">
        <f t="shared" si="8"/>
        <v>-0.18824589863697422</v>
      </c>
    </row>
    <row r="68" spans="1:9" ht="15.6">
      <c r="A68" s="47" t="str">
        <v>Snowline SD - Vista Verde ES</v>
      </c>
      <c r="B68" s="9" t="str">
        <v>CA</v>
      </c>
      <c r="C68" s="24">
        <f>SUM(Oct!C68, Nov!C68, Dec!C68)</f>
        <v>1991</v>
      </c>
      <c r="D68" s="13">
        <f>SUM(Oct!D68, Nov!D68, Dec!D68)</f>
        <v>1960</v>
      </c>
      <c r="E68" s="13">
        <f t="shared" si="6"/>
        <v>31</v>
      </c>
      <c r="F68" s="14">
        <f t="shared" si="7"/>
        <v>1.5816326530612244E-2</v>
      </c>
      <c r="G68" s="15">
        <f>SUM(Oct!G68,Nov!G68,Dec!G68)</f>
        <v>57657.51</v>
      </c>
      <c r="H68" s="15">
        <f>SUM(Oct!H68, Nov!H68, Dec!H68)</f>
        <v>-55666.51</v>
      </c>
      <c r="I68" s="16">
        <f t="shared" si="8"/>
        <v>-0.96546850531700035</v>
      </c>
    </row>
    <row r="69" spans="1:9" ht="15.6">
      <c r="A69" s="48" t="str">
        <v>North Stonington</v>
      </c>
      <c r="B69" s="10" t="str">
        <v>CT</v>
      </c>
      <c r="C69" s="11">
        <f>SUM(Oct!C69, Nov!C69, Dec!C69)</f>
        <v>2512340</v>
      </c>
      <c r="D69" s="18">
        <f>SUM(Oct!D69, Nov!D69, Dec!D69)</f>
        <v>0</v>
      </c>
      <c r="E69" s="18">
        <f t="shared" ref="E69:E70" si="9">IF(AND(ISNUMBER(C69),ISNUMBER(D69)), C69-D69, "")</f>
        <v>2512340</v>
      </c>
      <c r="F69" s="19" t="str">
        <f t="shared" ref="F69:F70" si="10">IFERROR(E69/D69, "")</f>
        <v/>
      </c>
      <c r="G69" s="20">
        <f>SUM(Oct!G69,Nov!G69,Dec!G69)</f>
        <v>0</v>
      </c>
      <c r="H69" s="20">
        <f>SUM(Oct!H69, Nov!H69, Dec!H69)</f>
        <v>0</v>
      </c>
      <c r="I69" s="19" t="str">
        <f t="shared" ref="I69:I70" si="11">IFERROR(H69/G69, "")</f>
        <v/>
      </c>
    </row>
    <row r="70" spans="1:9" ht="15.6">
      <c r="A70" s="47" t="str">
        <v>CT: Torrington - 2-298 Rossi Road</v>
      </c>
      <c r="B70" s="9" t="str">
        <v>CT</v>
      </c>
      <c r="C70" s="24">
        <f>SUM(Oct!C70, Nov!C70, Dec!C70)</f>
        <v>1999.83</v>
      </c>
      <c r="D70" s="13">
        <f>SUM(Oct!D70, Nov!D70, Dec!D70)</f>
        <v>0</v>
      </c>
      <c r="E70" s="13">
        <f t="shared" si="9"/>
        <v>1999.83</v>
      </c>
      <c r="F70" s="14" t="str">
        <f t="shared" si="10"/>
        <v/>
      </c>
      <c r="G70" s="15">
        <f>SUM(Oct!G70,Nov!G70,Dec!G70)</f>
        <v>0</v>
      </c>
      <c r="H70" s="15">
        <f>SUM(Oct!H70, Nov!H70, Dec!H70)</f>
        <v>0</v>
      </c>
      <c r="I70" s="16" t="str">
        <f t="shared" si="11"/>
        <v/>
      </c>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mergeCells count="4">
    <mergeCell ref="G1:I1"/>
    <mergeCell ref="A1:C1"/>
    <mergeCell ref="D1:F1"/>
    <mergeCell ref="A2:B2"/>
  </mergeCells>
  <conditionalFormatting sqref="F2 I2 F4:F100 I4:I100">
    <cfRule type="cellIs" dxfId="62" priority="1" stopIfTrue="1" operator="lessThanOrEqual">
      <formula>-0.1</formula>
    </cfRule>
    <cfRule type="expression" dxfId="6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N341"/>
  <sheetViews>
    <sheetView zoomScale="80" zoomScaleNormal="80" workbookViewId="0">
      <pane xSplit="2" ySplit="3" topLeftCell="C45" activePane="bottomRight" state="frozen"/>
      <selection pane="bottomRight" activeCell="H48" sqref="H48"/>
      <selection pane="bottomLeft" activeCell="J66" sqref="J66"/>
      <selection pane="topRight" activeCell="J66" sqref="J66"/>
    </sheetView>
  </sheetViews>
  <sheetFormatPr defaultRowHeight="13.9"/>
  <cols>
    <col min="1" max="1" width="34.140625" bestFit="1" customWidth="1"/>
    <col min="2" max="2" width="5.7109375" style="34" bestFit="1" customWidth="1"/>
    <col min="3" max="3" width="15.140625" customWidth="1"/>
    <col min="4" max="4" width="13.42578125" customWidth="1"/>
    <col min="5" max="5" width="18.7109375" customWidth="1"/>
    <col min="6" max="6" width="10.7109375" style="1" customWidth="1"/>
    <col min="7" max="7" width="17.5703125" customWidth="1"/>
    <col min="8" max="8" width="13.5703125" customWidth="1"/>
    <col min="9" max="9" width="15.28515625" style="1" customWidth="1"/>
    <col min="10" max="10" width="67.140625" customWidth="1"/>
    <col min="11" max="11" width="20.5703125" bestFit="1" customWidth="1"/>
    <col min="12" max="20" width="9.140625" customWidth="1"/>
  </cols>
  <sheetData>
    <row r="1" spans="1:13" ht="19.5" customHeight="1">
      <c r="A1" s="132" t="str" cm="1">
        <f t="array" ref="A1">portfolio</f>
        <v>Silicon Ranch</v>
      </c>
      <c r="B1" s="132"/>
      <c r="C1" s="132"/>
      <c r="D1" s="133" t="s">
        <v>18</v>
      </c>
      <c r="E1" s="133"/>
      <c r="F1" s="133"/>
      <c r="G1" s="131" t="s">
        <v>19</v>
      </c>
      <c r="H1" s="131"/>
      <c r="I1" s="131"/>
      <c r="J1" s="4"/>
      <c r="K1" s="4"/>
    </row>
    <row r="2" spans="1:13" ht="19.5" customHeight="1">
      <c r="A2" s="134" t="s">
        <v>2</v>
      </c>
      <c r="B2" s="134"/>
      <c r="C2" s="5">
        <f>SUM(C4:C99)</f>
        <v>2371481</v>
      </c>
      <c r="D2" s="5">
        <f>SUM(D4:D99)</f>
        <v>1414220</v>
      </c>
      <c r="E2" s="5">
        <f>C2-D2</f>
        <v>957261</v>
      </c>
      <c r="F2" s="6">
        <f>IFERROR(E2/D2, 0)</f>
        <v>0.67688266323485735</v>
      </c>
      <c r="G2" s="5">
        <f>SUM(G4:G99)</f>
        <v>2199066.06</v>
      </c>
      <c r="H2" s="7">
        <f>C2-G2</f>
        <v>172414.93999999994</v>
      </c>
      <c r="I2" s="6">
        <f>IFERROR(H2/G2, 0)</f>
        <v>7.8403711073600002E-2</v>
      </c>
      <c r="J2" s="26"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27" t="s">
        <v>3</v>
      </c>
      <c r="B3" s="8" t="s">
        <v>4</v>
      </c>
      <c r="C3" s="23" t="s">
        <v>5</v>
      </c>
      <c r="D3" s="35" t="s">
        <v>6</v>
      </c>
      <c r="E3" s="35" t="s">
        <v>7</v>
      </c>
      <c r="F3" s="36" t="s">
        <v>8</v>
      </c>
      <c r="G3" s="40" t="s">
        <v>9</v>
      </c>
      <c r="H3" s="38" t="s">
        <v>7</v>
      </c>
      <c r="I3" s="39" t="s">
        <v>8</v>
      </c>
      <c r="J3" s="25" t="s">
        <v>20</v>
      </c>
      <c r="K3" s="25" t="s">
        <v>21</v>
      </c>
    </row>
    <row r="4" spans="1:13" ht="15.6">
      <c r="A4" s="32" t="str" cm="1">
        <f t="array" ref="A4:A70">Sites[Site]</f>
        <v>Iron Mountain - Windsor</v>
      </c>
      <c r="B4" s="29" t="str" cm="1">
        <f t="array" ref="B4:B70">Sites[State]</f>
        <v>CT</v>
      </c>
      <c r="C4" s="24">
        <v>13219</v>
      </c>
      <c r="D4" s="13">
        <v>13132</v>
      </c>
      <c r="E4" s="13">
        <f>IF(AND(ISNUMBER(C4),ISNUMBER(D4)), C4-D4, "")</f>
        <v>87</v>
      </c>
      <c r="F4" s="14">
        <f>IFERROR(E4/D4, "")</f>
        <v>6.6250380749314653E-3</v>
      </c>
      <c r="G4" s="15">
        <v>12931.18</v>
      </c>
      <c r="H4" s="15">
        <f>IF(AND(ISNUMBER(C4),ISNUMBER(G4)), C4-G4, "")</f>
        <v>287.81999999999971</v>
      </c>
      <c r="I4" s="16">
        <f>IFERROR(H4/G4, "")</f>
        <v>2.2257829525225054E-2</v>
      </c>
      <c r="J4" s="56"/>
      <c r="K4" s="56"/>
    </row>
    <row r="5" spans="1:13" ht="15.6">
      <c r="A5" s="30" t="str">
        <v>Kohls - Auburn</v>
      </c>
      <c r="B5" s="31" t="str">
        <v>NY</v>
      </c>
      <c r="C5" s="11">
        <v>5600</v>
      </c>
      <c r="D5" s="18">
        <v>5498</v>
      </c>
      <c r="E5" s="18">
        <f t="shared" ref="E5:E15" si="0">IF(AND(ISNUMBER(C5),ISNUMBER(D5)), C5-D5, "")</f>
        <v>102</v>
      </c>
      <c r="F5" s="19">
        <f t="shared" ref="F5:F25" si="1">IFERROR(E5/D5, "")</f>
        <v>1.8552200800291015E-2</v>
      </c>
      <c r="G5" s="20">
        <v>4748.53</v>
      </c>
      <c r="H5" s="20">
        <f t="shared" ref="H5:H6" si="2">IF(AND(ISNUMBER(C5),ISNUMBER(G5)), C5-G5, "")</f>
        <v>851.47000000000025</v>
      </c>
      <c r="I5" s="19">
        <f t="shared" ref="I5:I6" si="3">IFERROR(H5/G5, "")</f>
        <v>0.17931233455406206</v>
      </c>
      <c r="J5" s="58"/>
      <c r="K5" s="58"/>
    </row>
    <row r="6" spans="1:13" ht="15.6">
      <c r="A6" s="28" t="str">
        <v>Kohls - Bensalem</v>
      </c>
      <c r="B6" s="29" t="str">
        <v>PA</v>
      </c>
      <c r="C6" s="24">
        <v>16129</v>
      </c>
      <c r="D6" s="13">
        <v>16813</v>
      </c>
      <c r="E6" s="13">
        <f t="shared" si="0"/>
        <v>-684</v>
      </c>
      <c r="F6" s="14">
        <f t="shared" si="1"/>
        <v>-4.0682804972342827E-2</v>
      </c>
      <c r="G6" s="15">
        <v>15644.12</v>
      </c>
      <c r="H6" s="15">
        <f t="shared" si="2"/>
        <v>484.8799999999992</v>
      </c>
      <c r="I6" s="16">
        <f t="shared" si="3"/>
        <v>3.0994392781441154E-2</v>
      </c>
      <c r="J6" s="56"/>
      <c r="K6" s="56"/>
    </row>
    <row r="7" spans="1:13" ht="28.9">
      <c r="A7" s="30" t="str">
        <v>Kohls - Brick</v>
      </c>
      <c r="B7" s="31" t="str">
        <v>NJ</v>
      </c>
      <c r="C7" s="11">
        <v>22439</v>
      </c>
      <c r="D7" s="18">
        <v>22404</v>
      </c>
      <c r="E7" s="18">
        <f t="shared" si="0"/>
        <v>35</v>
      </c>
      <c r="F7" s="19">
        <f t="shared" si="1"/>
        <v>1.5622210319585787E-3</v>
      </c>
      <c r="G7" s="20">
        <v>16579.62</v>
      </c>
      <c r="H7" s="20">
        <f t="shared" ref="H7:H15" si="4">IF(AND(ISNUMBER(C7),ISNUMBER(G7)), C7-G7, "")</f>
        <v>5859.380000000001</v>
      </c>
      <c r="I7" s="19">
        <f t="shared" ref="I7:I69" si="5">IFERROR(H7/G7, "")</f>
        <v>0.35340858234386563</v>
      </c>
      <c r="J7" s="58" t="s">
        <v>22</v>
      </c>
      <c r="K7" s="59" t="s">
        <v>23</v>
      </c>
    </row>
    <row r="8" spans="1:13" ht="86.45">
      <c r="A8" s="28" t="str">
        <v>Kohls - Buffalo</v>
      </c>
      <c r="B8" s="29" t="str">
        <v>NY</v>
      </c>
      <c r="C8" s="24">
        <v>4465</v>
      </c>
      <c r="D8" s="13" t="s">
        <v>24</v>
      </c>
      <c r="E8" s="13" t="str">
        <f t="shared" si="0"/>
        <v/>
      </c>
      <c r="F8" s="14" t="str">
        <f t="shared" si="1"/>
        <v/>
      </c>
      <c r="G8" s="15">
        <v>7988.27</v>
      </c>
      <c r="H8" s="15">
        <f t="shared" si="4"/>
        <v>-3523.2700000000004</v>
      </c>
      <c r="I8" s="16">
        <f t="shared" si="5"/>
        <v>-0.44105544754997017</v>
      </c>
      <c r="J8" s="56" t="s">
        <v>25</v>
      </c>
      <c r="K8" s="56" t="s">
        <v>26</v>
      </c>
      <c r="L8" s="89" t="s">
        <v>27</v>
      </c>
      <c r="M8" s="89" t="s">
        <v>28</v>
      </c>
    </row>
    <row r="9" spans="1:13" ht="15.6">
      <c r="A9" s="30" t="str">
        <v>Kohls - Canton</v>
      </c>
      <c r="B9" s="31" t="str">
        <v>CT</v>
      </c>
      <c r="C9" s="11">
        <v>5915</v>
      </c>
      <c r="D9" s="18">
        <v>5837</v>
      </c>
      <c r="E9" s="18">
        <f t="shared" si="0"/>
        <v>78</v>
      </c>
      <c r="F9" s="19">
        <f t="shared" si="1"/>
        <v>1.3363028953229399E-2</v>
      </c>
      <c r="G9" s="20">
        <v>5796.5</v>
      </c>
      <c r="H9" s="20">
        <f t="shared" si="4"/>
        <v>118.5</v>
      </c>
      <c r="I9" s="19">
        <f t="shared" si="5"/>
        <v>2.0443370999741223E-2</v>
      </c>
      <c r="J9" s="58"/>
      <c r="K9" s="59"/>
    </row>
    <row r="10" spans="1:13" ht="15.6">
      <c r="A10" s="28" t="str">
        <v>Kohls - East Amherst</v>
      </c>
      <c r="B10" s="29" t="str">
        <v>NY</v>
      </c>
      <c r="C10" s="24">
        <v>5604</v>
      </c>
      <c r="D10" s="13">
        <v>5462</v>
      </c>
      <c r="E10" s="13">
        <f t="shared" si="0"/>
        <v>142</v>
      </c>
      <c r="F10" s="14">
        <f t="shared" si="1"/>
        <v>2.5997803002563165E-2</v>
      </c>
      <c r="G10" s="15">
        <v>8423.32</v>
      </c>
      <c r="H10" s="15">
        <f t="shared" si="4"/>
        <v>-2819.3199999999997</v>
      </c>
      <c r="I10" s="16">
        <f t="shared" si="5"/>
        <v>-0.3347041309127517</v>
      </c>
      <c r="J10" s="56" t="s">
        <v>29</v>
      </c>
      <c r="K10" s="56"/>
    </row>
    <row r="11" spans="1:13" ht="15.6">
      <c r="A11" s="30" t="str">
        <v>Kohls - East Brunswick</v>
      </c>
      <c r="B11" s="31" t="str">
        <v>NJ</v>
      </c>
      <c r="C11" s="11">
        <v>21858</v>
      </c>
      <c r="D11" s="18">
        <v>22691</v>
      </c>
      <c r="E11" s="18">
        <f t="shared" si="0"/>
        <v>-833</v>
      </c>
      <c r="F11" s="19">
        <f t="shared" si="1"/>
        <v>-3.6710590101802477E-2</v>
      </c>
      <c r="G11" s="20">
        <v>23131.39</v>
      </c>
      <c r="H11" s="20">
        <f t="shared" si="4"/>
        <v>-1273.3899999999994</v>
      </c>
      <c r="I11" s="19">
        <f t="shared" si="5"/>
        <v>-5.505030177607137E-2</v>
      </c>
      <c r="J11" s="58"/>
      <c r="K11" s="59"/>
    </row>
    <row r="12" spans="1:13" ht="15.6">
      <c r="A12" s="28" t="str">
        <v>Kohls - Edgewood</v>
      </c>
      <c r="B12" s="29" t="str">
        <v>MD</v>
      </c>
      <c r="C12" s="24">
        <v>95387</v>
      </c>
      <c r="D12" s="13">
        <v>94530</v>
      </c>
      <c r="E12" s="13">
        <f t="shared" si="0"/>
        <v>857</v>
      </c>
      <c r="F12" s="14">
        <f t="shared" si="1"/>
        <v>9.0659050037025287E-3</v>
      </c>
      <c r="G12" s="15">
        <v>135284.96</v>
      </c>
      <c r="H12" s="15">
        <f t="shared" si="4"/>
        <v>-39897.959999999992</v>
      </c>
      <c r="I12" s="16">
        <f t="shared" si="5"/>
        <v>-0.29491792731431488</v>
      </c>
      <c r="J12" s="56" t="s">
        <v>29</v>
      </c>
      <c r="K12" s="56"/>
    </row>
    <row r="13" spans="1:13" ht="15.6">
      <c r="A13" s="30" t="str">
        <v>Kohls - Granite Run</v>
      </c>
      <c r="B13" s="31" t="str">
        <v>PA</v>
      </c>
      <c r="C13" s="11">
        <v>12350</v>
      </c>
      <c r="D13" s="18">
        <v>12178</v>
      </c>
      <c r="E13" s="18">
        <f t="shared" si="0"/>
        <v>172</v>
      </c>
      <c r="F13" s="19">
        <f t="shared" si="1"/>
        <v>1.4123829857119395E-2</v>
      </c>
      <c r="G13" s="20">
        <v>15908.81</v>
      </c>
      <c r="H13" s="20">
        <f t="shared" si="4"/>
        <v>-3558.8099999999995</v>
      </c>
      <c r="I13" s="19">
        <f t="shared" si="5"/>
        <v>-0.22370057848450006</v>
      </c>
      <c r="J13" s="58" t="s">
        <v>29</v>
      </c>
      <c r="K13" s="59"/>
    </row>
    <row r="14" spans="1:13" ht="15.6">
      <c r="A14" s="28" t="str">
        <v>Kohls - Greece</v>
      </c>
      <c r="B14" s="29" t="str">
        <v>NY</v>
      </c>
      <c r="C14" s="24">
        <v>5278</v>
      </c>
      <c r="D14" s="13">
        <v>5111</v>
      </c>
      <c r="E14" s="13">
        <f t="shared" si="0"/>
        <v>167</v>
      </c>
      <c r="F14" s="14">
        <f t="shared" si="1"/>
        <v>3.2674623361377421E-2</v>
      </c>
      <c r="G14" s="15">
        <v>9358.2099999999991</v>
      </c>
      <c r="H14" s="15">
        <f t="shared" si="4"/>
        <v>-4080.2099999999991</v>
      </c>
      <c r="I14" s="16">
        <f t="shared" si="5"/>
        <v>-0.43600325275880747</v>
      </c>
      <c r="J14" s="56" t="s">
        <v>29</v>
      </c>
      <c r="K14" s="56"/>
    </row>
    <row r="15" spans="1:13" ht="15.6">
      <c r="A15" s="30" t="str">
        <v>Kohls - Hanover</v>
      </c>
      <c r="B15" s="31" t="str">
        <v>PA</v>
      </c>
      <c r="C15" s="11">
        <v>13440</v>
      </c>
      <c r="D15" s="18">
        <v>13266</v>
      </c>
      <c r="E15" s="18">
        <f t="shared" si="0"/>
        <v>174</v>
      </c>
      <c r="F15" s="19">
        <f t="shared" si="1"/>
        <v>1.3116236996834011E-2</v>
      </c>
      <c r="G15" s="20">
        <v>18746.47</v>
      </c>
      <c r="H15" s="20">
        <f t="shared" si="4"/>
        <v>-5306.4700000000012</v>
      </c>
      <c r="I15" s="19">
        <f t="shared" si="5"/>
        <v>-0.28306502504204795</v>
      </c>
      <c r="J15" s="54" t="s">
        <v>30</v>
      </c>
      <c r="K15" s="59" t="s">
        <v>31</v>
      </c>
      <c r="M15" s="80"/>
    </row>
    <row r="16" spans="1:13" ht="28.9">
      <c r="A16" s="28" t="str">
        <v>Kohls - Horsehead</v>
      </c>
      <c r="B16" s="29" t="str">
        <v>NY</v>
      </c>
      <c r="C16" s="24">
        <v>10616</v>
      </c>
      <c r="D16" s="13">
        <v>10428</v>
      </c>
      <c r="E16" s="13">
        <f t="shared" ref="E16:E25" si="6">IF(AND(ISNUMBER(C16),ISNUMBER(D16)), C16-D16, "")</f>
        <v>188</v>
      </c>
      <c r="F16" s="14">
        <f t="shared" si="1"/>
        <v>1.8028385116992712E-2</v>
      </c>
      <c r="G16" s="15">
        <v>12681.26</v>
      </c>
      <c r="H16" s="15">
        <f t="shared" ref="H16:H17" si="7">IF(AND(ISNUMBER(C16),ISNUMBER(G16)), C16-G16, "")</f>
        <v>-2065.2600000000002</v>
      </c>
      <c r="I16" s="16">
        <f t="shared" si="5"/>
        <v>-0.16285921115094243</v>
      </c>
      <c r="J16" s="56" t="s">
        <v>32</v>
      </c>
      <c r="K16" s="56" t="s">
        <v>33</v>
      </c>
    </row>
    <row r="17" spans="1:14" ht="15.6">
      <c r="A17" s="30" t="str">
        <v>Kohls - Hudson</v>
      </c>
      <c r="B17" s="31" t="str">
        <v>NY</v>
      </c>
      <c r="C17" s="11">
        <v>11567</v>
      </c>
      <c r="D17" s="18">
        <v>11484</v>
      </c>
      <c r="E17" s="18">
        <f t="shared" si="6"/>
        <v>83</v>
      </c>
      <c r="F17" s="19">
        <f t="shared" si="1"/>
        <v>7.2274468826192964E-3</v>
      </c>
      <c r="G17" s="20">
        <v>12764.56</v>
      </c>
      <c r="H17" s="20">
        <f t="shared" si="7"/>
        <v>-1197.5599999999995</v>
      </c>
      <c r="I17" s="19">
        <f t="shared" si="5"/>
        <v>-9.3819136734834538E-2</v>
      </c>
      <c r="J17" s="54"/>
      <c r="K17" s="58"/>
    </row>
    <row r="18" spans="1:14" ht="15.6">
      <c r="A18" s="32" t="str">
        <v>Kohls - Ithaca</v>
      </c>
      <c r="B18" s="29" t="str">
        <v>NY</v>
      </c>
      <c r="C18" s="24">
        <v>9275</v>
      </c>
      <c r="D18" s="13">
        <v>9191</v>
      </c>
      <c r="E18" s="13">
        <f t="shared" si="6"/>
        <v>84</v>
      </c>
      <c r="F18" s="14">
        <f t="shared" si="1"/>
        <v>9.13937547600914E-3</v>
      </c>
      <c r="G18" s="15">
        <v>11829.67</v>
      </c>
      <c r="H18" s="15">
        <f t="shared" ref="H18:H25" si="8">IF(AND(ISNUMBER(C18),ISNUMBER(G18)), C18-G18, "")</f>
        <v>-2554.67</v>
      </c>
      <c r="I18" s="16">
        <f t="shared" si="5"/>
        <v>-0.21595446026812246</v>
      </c>
      <c r="J18" s="56" t="s">
        <v>29</v>
      </c>
      <c r="K18" s="56"/>
    </row>
    <row r="19" spans="1:14" ht="15.6">
      <c r="A19" s="30" t="str">
        <v>Kohls - Kingston</v>
      </c>
      <c r="B19" s="31" t="str">
        <v>NY</v>
      </c>
      <c r="C19" s="11">
        <v>18271</v>
      </c>
      <c r="D19" s="18">
        <v>18012</v>
      </c>
      <c r="E19" s="18">
        <f t="shared" si="6"/>
        <v>259</v>
      </c>
      <c r="F19" s="19">
        <f t="shared" si="1"/>
        <v>1.437930268709749E-2</v>
      </c>
      <c r="G19" s="20">
        <v>22224.6</v>
      </c>
      <c r="H19" s="20">
        <f t="shared" si="8"/>
        <v>-3953.5999999999985</v>
      </c>
      <c r="I19" s="19">
        <f t="shared" si="5"/>
        <v>-0.17789296545269651</v>
      </c>
      <c r="J19" s="58" t="s">
        <v>29</v>
      </c>
      <c r="K19" s="58"/>
    </row>
    <row r="20" spans="1:14" ht="15.6">
      <c r="A20" s="28" t="str">
        <v>Kohls - Mechanicsburg</v>
      </c>
      <c r="B20" s="29" t="str">
        <v>PA</v>
      </c>
      <c r="C20" s="24">
        <v>15891</v>
      </c>
      <c r="D20" s="13">
        <v>15725</v>
      </c>
      <c r="E20" s="13">
        <f t="shared" si="6"/>
        <v>166</v>
      </c>
      <c r="F20" s="14">
        <f t="shared" si="1"/>
        <v>1.055643879173291E-2</v>
      </c>
      <c r="G20" s="15">
        <v>21467.31</v>
      </c>
      <c r="H20" s="15">
        <f t="shared" si="8"/>
        <v>-5576.3100000000013</v>
      </c>
      <c r="I20" s="16">
        <f t="shared" si="5"/>
        <v>-0.25975820910957176</v>
      </c>
      <c r="J20" s="56" t="s">
        <v>29</v>
      </c>
      <c r="K20" s="56"/>
    </row>
    <row r="21" spans="1:14" ht="15.6">
      <c r="A21" s="30" t="str">
        <v>Kohls - Middletown</v>
      </c>
      <c r="B21" s="31" t="str">
        <v>NJ</v>
      </c>
      <c r="C21" s="11">
        <v>26770</v>
      </c>
      <c r="D21" s="18">
        <v>26078</v>
      </c>
      <c r="E21" s="18">
        <f t="shared" si="6"/>
        <v>692</v>
      </c>
      <c r="F21" s="19">
        <f t="shared" si="1"/>
        <v>2.6535777283534012E-2</v>
      </c>
      <c r="G21" s="20">
        <v>29428.37</v>
      </c>
      <c r="H21" s="20">
        <f t="shared" si="8"/>
        <v>-2658.369999999999</v>
      </c>
      <c r="I21" s="19">
        <f t="shared" si="5"/>
        <v>-9.0333579467704095E-2</v>
      </c>
      <c r="J21" s="54"/>
      <c r="K21" s="57"/>
    </row>
    <row r="22" spans="1:14" ht="46.5" customHeight="1">
      <c r="A22" s="28" t="str">
        <v>Kohls - North Amherst</v>
      </c>
      <c r="B22" s="29" t="str">
        <v>NY</v>
      </c>
      <c r="C22" s="24">
        <v>0</v>
      </c>
      <c r="D22" s="13" t="s">
        <v>24</v>
      </c>
      <c r="E22" s="13" t="str">
        <f t="shared" si="6"/>
        <v/>
      </c>
      <c r="F22" s="14" t="str">
        <f t="shared" si="1"/>
        <v/>
      </c>
      <c r="G22" s="15">
        <v>6479.47</v>
      </c>
      <c r="H22" s="15">
        <f t="shared" si="8"/>
        <v>-6479.47</v>
      </c>
      <c r="I22" s="16">
        <f t="shared" si="5"/>
        <v>-1</v>
      </c>
      <c r="J22" s="56" t="s">
        <v>34</v>
      </c>
      <c r="K22" s="56" t="s">
        <v>35</v>
      </c>
      <c r="L22" s="89" t="s">
        <v>36</v>
      </c>
    </row>
    <row r="23" spans="1:14" ht="129.75" customHeight="1">
      <c r="A23" s="30" t="str">
        <v>Kohls - Staten Island</v>
      </c>
      <c r="B23" s="31" t="str">
        <v>NY</v>
      </c>
      <c r="C23" s="11">
        <v>10433</v>
      </c>
      <c r="D23" s="18" t="s">
        <v>24</v>
      </c>
      <c r="E23" s="18" t="str">
        <f t="shared" si="6"/>
        <v/>
      </c>
      <c r="F23" s="19" t="str">
        <f t="shared" si="1"/>
        <v/>
      </c>
      <c r="G23" s="20">
        <v>15368.35</v>
      </c>
      <c r="H23" s="20">
        <f t="shared" si="8"/>
        <v>-4935.3500000000004</v>
      </c>
      <c r="I23" s="19">
        <f t="shared" si="5"/>
        <v>-0.32113727238122508</v>
      </c>
      <c r="J23" s="53" t="s">
        <v>37</v>
      </c>
      <c r="K23" s="57" t="s">
        <v>38</v>
      </c>
      <c r="L23" s="89" t="s">
        <v>39</v>
      </c>
      <c r="M23" s="89" t="s">
        <v>40</v>
      </c>
      <c r="N23" s="89" t="s">
        <v>41</v>
      </c>
    </row>
    <row r="24" spans="1:14" ht="28.9">
      <c r="A24" s="28" t="str">
        <v>Kohls - Warminster</v>
      </c>
      <c r="B24" s="29" t="str">
        <v>PA</v>
      </c>
      <c r="C24" s="24">
        <v>16958</v>
      </c>
      <c r="D24" s="13">
        <v>17898</v>
      </c>
      <c r="E24" s="13">
        <f t="shared" si="6"/>
        <v>-940</v>
      </c>
      <c r="F24" s="14">
        <f t="shared" si="1"/>
        <v>-5.2519834618393116E-2</v>
      </c>
      <c r="G24" s="15">
        <v>19404.55</v>
      </c>
      <c r="H24" s="15">
        <f t="shared" si="8"/>
        <v>-2446.5499999999993</v>
      </c>
      <c r="I24" s="16">
        <f t="shared" si="5"/>
        <v>-0.12608125413884885</v>
      </c>
      <c r="J24" s="56" t="s">
        <v>42</v>
      </c>
      <c r="K24" s="56" t="s">
        <v>43</v>
      </c>
    </row>
    <row r="25" spans="1:14" ht="15.6">
      <c r="A25" s="30" t="str">
        <v xml:space="preserve">Kohls - Waterbury </v>
      </c>
      <c r="B25" s="31" t="str">
        <v>CT</v>
      </c>
      <c r="C25" s="11">
        <v>15637</v>
      </c>
      <c r="D25" s="18">
        <v>15269</v>
      </c>
      <c r="E25" s="18">
        <f t="shared" si="6"/>
        <v>368</v>
      </c>
      <c r="F25" s="19">
        <f t="shared" si="1"/>
        <v>2.4101119916170019E-2</v>
      </c>
      <c r="G25" s="20">
        <v>15296.56</v>
      </c>
      <c r="H25" s="20">
        <f t="shared" si="8"/>
        <v>340.44000000000051</v>
      </c>
      <c r="I25" s="19">
        <f t="shared" si="5"/>
        <v>2.2255984352037354E-2</v>
      </c>
      <c r="J25" s="42"/>
      <c r="K25" s="43"/>
    </row>
    <row r="26" spans="1:14" ht="15.6">
      <c r="A26" s="28" t="str">
        <v>Mojave Water Agency - Headquarters</v>
      </c>
      <c r="B26" s="29" t="str">
        <v>CA</v>
      </c>
      <c r="C26" s="24">
        <v>26762</v>
      </c>
      <c r="D26" s="13">
        <v>26680</v>
      </c>
      <c r="E26" s="13">
        <f t="shared" ref="E26:E69" si="9">IF(AND(ISNUMBER(C26),ISNUMBER(D26)), C26-D26, "")</f>
        <v>82</v>
      </c>
      <c r="F26" s="14">
        <f t="shared" ref="F26:F68" si="10">IFERROR(E26/D26, "")</f>
        <v>3.0734632683658172E-3</v>
      </c>
      <c r="G26" s="15">
        <v>25853.48</v>
      </c>
      <c r="H26" s="15">
        <f t="shared" ref="H26:H69" si="11">IF(AND(ISNUMBER(C26),ISNUMBER(G26)), C26-G26, "")</f>
        <v>908.52000000000044</v>
      </c>
      <c r="I26" s="16">
        <f t="shared" si="5"/>
        <v>3.5141110597103384E-2</v>
      </c>
      <c r="J26" s="56"/>
      <c r="K26" s="56"/>
    </row>
    <row r="27" spans="1:14" ht="15.6">
      <c r="A27" s="30" t="str">
        <v>CSU - Bakersfield</v>
      </c>
      <c r="B27" s="31" t="str">
        <v>CA</v>
      </c>
      <c r="C27" s="11">
        <v>78098</v>
      </c>
      <c r="D27" s="18">
        <v>77683</v>
      </c>
      <c r="E27" s="18">
        <f t="shared" si="9"/>
        <v>415</v>
      </c>
      <c r="F27" s="19">
        <f t="shared" si="10"/>
        <v>5.3422241674497637E-3</v>
      </c>
      <c r="G27" s="20">
        <v>60631.17</v>
      </c>
      <c r="H27" s="20">
        <f t="shared" si="11"/>
        <v>17466.830000000002</v>
      </c>
      <c r="I27" s="19">
        <f t="shared" si="5"/>
        <v>0.28808334063155966</v>
      </c>
      <c r="J27" s="42"/>
      <c r="K27" s="43"/>
    </row>
    <row r="28" spans="1:14" ht="15.6">
      <c r="A28" s="28" t="str">
        <v>Greenfield USD - Fairfield ES</v>
      </c>
      <c r="B28" s="29" t="str">
        <v>CA</v>
      </c>
      <c r="C28" s="24">
        <v>9460</v>
      </c>
      <c r="D28" s="13">
        <v>9393</v>
      </c>
      <c r="E28" s="13">
        <f t="shared" si="9"/>
        <v>67</v>
      </c>
      <c r="F28" s="14">
        <f t="shared" si="10"/>
        <v>7.1329713616522942E-3</v>
      </c>
      <c r="G28" s="15">
        <v>6747.91</v>
      </c>
      <c r="H28" s="15">
        <f t="shared" si="11"/>
        <v>2712.09</v>
      </c>
      <c r="I28" s="16">
        <f t="shared" si="5"/>
        <v>0.40191555607588131</v>
      </c>
      <c r="J28" s="56"/>
      <c r="K28" s="56"/>
    </row>
    <row r="29" spans="1:14" ht="15.6">
      <c r="A29" s="30" t="str">
        <v>Greenfield USD - Granite Point ES</v>
      </c>
      <c r="B29" s="31" t="str">
        <v>CA</v>
      </c>
      <c r="C29" s="11">
        <v>26793</v>
      </c>
      <c r="D29" s="18">
        <v>26796</v>
      </c>
      <c r="E29" s="18">
        <f t="shared" si="9"/>
        <v>-3</v>
      </c>
      <c r="F29" s="19">
        <f t="shared" si="10"/>
        <v>-1.1195700850873264E-4</v>
      </c>
      <c r="G29" s="20">
        <v>17651.939999999999</v>
      </c>
      <c r="H29" s="20">
        <f t="shared" si="11"/>
        <v>9141.0600000000013</v>
      </c>
      <c r="I29" s="19">
        <f t="shared" si="5"/>
        <v>0.51785016264501249</v>
      </c>
      <c r="J29" s="102"/>
      <c r="K29" s="57"/>
    </row>
    <row r="30" spans="1:14" ht="43.15">
      <c r="A30" s="28" t="str">
        <v>Greenfield USD - Greenfield MS</v>
      </c>
      <c r="B30" s="29" t="str">
        <v>CA</v>
      </c>
      <c r="C30" s="24">
        <v>14901</v>
      </c>
      <c r="D30" s="13">
        <v>12967</v>
      </c>
      <c r="E30" s="13">
        <f t="shared" si="9"/>
        <v>1934</v>
      </c>
      <c r="F30" s="14">
        <f t="shared" si="10"/>
        <v>0.14914783681653429</v>
      </c>
      <c r="G30" s="15">
        <v>3998.76</v>
      </c>
      <c r="H30" s="15">
        <f t="shared" si="11"/>
        <v>10902.24</v>
      </c>
      <c r="I30" s="16">
        <f t="shared" si="5"/>
        <v>2.726405185607538</v>
      </c>
      <c r="J30" s="56" t="s">
        <v>44</v>
      </c>
      <c r="K30" s="56" t="s">
        <v>45</v>
      </c>
    </row>
    <row r="31" spans="1:14" ht="72">
      <c r="A31" s="30" t="str">
        <v>Greenfield USD - Horizon ES</v>
      </c>
      <c r="B31" s="31" t="str">
        <v>CA</v>
      </c>
      <c r="C31" s="11">
        <v>22359</v>
      </c>
      <c r="D31" s="18">
        <v>22521</v>
      </c>
      <c r="E31" s="18">
        <f>IF(AND(ISNUMBER(C31),ISNUMBER(D31)), C31-D31, "")</f>
        <v>-162</v>
      </c>
      <c r="F31" s="19">
        <f t="shared" si="10"/>
        <v>-7.1932862661515922E-3</v>
      </c>
      <c r="G31" s="20">
        <v>17883.349999999999</v>
      </c>
      <c r="H31" s="20">
        <f t="shared" si="11"/>
        <v>4475.6500000000015</v>
      </c>
      <c r="I31" s="19">
        <f t="shared" si="5"/>
        <v>0.25026910506141198</v>
      </c>
      <c r="J31" s="54" t="s">
        <v>46</v>
      </c>
      <c r="K31" s="57" t="s">
        <v>47</v>
      </c>
      <c r="L31" s="89" t="s">
        <v>48</v>
      </c>
    </row>
    <row r="32" spans="1:14" ht="15.6">
      <c r="A32" s="28" t="str">
        <v>Greenfield USD - McKee MS</v>
      </c>
      <c r="B32" s="29" t="str">
        <v>CA</v>
      </c>
      <c r="C32" s="24">
        <v>10808</v>
      </c>
      <c r="D32" s="13">
        <v>10786</v>
      </c>
      <c r="E32" s="13">
        <f>IF(AND(ISNUMBER(C32),ISNUMBER(D32)), C32-D32, "")</f>
        <v>22</v>
      </c>
      <c r="F32" s="14">
        <f>IFERROR(E32/D32, "")</f>
        <v>2.0396810680511773E-3</v>
      </c>
      <c r="G32" s="15">
        <v>10950.31</v>
      </c>
      <c r="H32" s="15">
        <f t="shared" si="11"/>
        <v>-142.30999999999949</v>
      </c>
      <c r="I32" s="16">
        <f t="shared" si="5"/>
        <v>-1.299597910926718E-2</v>
      </c>
      <c r="J32" s="56"/>
      <c r="K32" s="56"/>
    </row>
    <row r="33" spans="1:14" ht="15.6">
      <c r="A33" s="30" t="str">
        <v>Greenfield USD - Plantation ES</v>
      </c>
      <c r="B33" s="31" t="str">
        <v>CA</v>
      </c>
      <c r="C33" s="11">
        <v>10716</v>
      </c>
      <c r="D33" s="18">
        <v>10694</v>
      </c>
      <c r="E33" s="18">
        <f>IF(AND(ISNUMBER(C33),ISNUMBER(D33)), C33-D33, "")</f>
        <v>22</v>
      </c>
      <c r="F33" s="19">
        <f>IFERROR(E33/D33, "")</f>
        <v>2.0572283523471106E-3</v>
      </c>
      <c r="G33" s="20">
        <v>7840.16</v>
      </c>
      <c r="H33" s="20">
        <f t="shared" si="11"/>
        <v>2875.84</v>
      </c>
      <c r="I33" s="19">
        <f t="shared" si="5"/>
        <v>0.36680884063590541</v>
      </c>
      <c r="J33" s="42"/>
      <c r="K33" s="43"/>
    </row>
    <row r="34" spans="1:14" ht="15.6">
      <c r="A34" s="28" t="str">
        <v>Greenfield USD - Planz ES</v>
      </c>
      <c r="B34" s="29" t="str">
        <v>CA</v>
      </c>
      <c r="C34" s="24">
        <v>3658</v>
      </c>
      <c r="D34" s="13">
        <v>3633</v>
      </c>
      <c r="E34" s="13">
        <f t="shared" si="9"/>
        <v>25</v>
      </c>
      <c r="F34" s="14">
        <f t="shared" si="10"/>
        <v>6.881365262868153E-3</v>
      </c>
      <c r="G34" s="15">
        <v>8710.27</v>
      </c>
      <c r="H34" s="15">
        <f t="shared" si="11"/>
        <v>-5052.2700000000004</v>
      </c>
      <c r="I34" s="16">
        <f t="shared" si="5"/>
        <v>-0.58003598051495531</v>
      </c>
      <c r="J34" s="56" t="s">
        <v>29</v>
      </c>
      <c r="K34" s="56"/>
    </row>
    <row r="35" spans="1:14" ht="15.6">
      <c r="A35" s="30" t="str">
        <v>Greenfield USD - Raffaello Palla ES</v>
      </c>
      <c r="B35" s="31" t="str">
        <v>CA</v>
      </c>
      <c r="C35" s="11">
        <v>25273</v>
      </c>
      <c r="D35" s="18">
        <v>24777</v>
      </c>
      <c r="E35" s="18">
        <f t="shared" si="9"/>
        <v>496</v>
      </c>
      <c r="F35" s="19">
        <f t="shared" si="10"/>
        <v>2.0018565605198369E-2</v>
      </c>
      <c r="G35" s="20">
        <v>19790.169999999998</v>
      </c>
      <c r="H35" s="20">
        <f t="shared" si="11"/>
        <v>5482.8300000000017</v>
      </c>
      <c r="I35" s="19">
        <f t="shared" si="5"/>
        <v>0.2770481506727836</v>
      </c>
      <c r="J35" s="42"/>
      <c r="K35" s="43"/>
    </row>
    <row r="36" spans="1:14" ht="15.6">
      <c r="A36" s="28" t="str">
        <v>Greenfield USD - Valle Verde ES</v>
      </c>
      <c r="B36" s="29" t="str">
        <v>CA</v>
      </c>
      <c r="C36" s="24">
        <v>27972</v>
      </c>
      <c r="D36" s="13">
        <v>27847</v>
      </c>
      <c r="E36" s="13">
        <f t="shared" si="9"/>
        <v>125</v>
      </c>
      <c r="F36" s="14">
        <f t="shared" si="10"/>
        <v>4.488813875821453E-3</v>
      </c>
      <c r="G36" s="15">
        <v>18660.89</v>
      </c>
      <c r="H36" s="15">
        <f t="shared" si="11"/>
        <v>9311.11</v>
      </c>
      <c r="I36" s="16">
        <f t="shared" si="5"/>
        <v>0.49896387578513141</v>
      </c>
      <c r="J36" s="56"/>
      <c r="K36" s="56"/>
    </row>
    <row r="37" spans="1:14" ht="28.9">
      <c r="A37" s="30" t="str">
        <v>Greenfield USD - W.A. Kendrick ES</v>
      </c>
      <c r="B37" s="31" t="str">
        <v>CA</v>
      </c>
      <c r="C37" s="11">
        <v>4765</v>
      </c>
      <c r="D37" s="18" t="s">
        <v>24</v>
      </c>
      <c r="E37" s="18" t="str">
        <f t="shared" si="9"/>
        <v/>
      </c>
      <c r="F37" s="19" t="str">
        <f t="shared" si="10"/>
        <v/>
      </c>
      <c r="G37" s="20">
        <v>7201.47</v>
      </c>
      <c r="H37" s="20">
        <f t="shared" si="11"/>
        <v>-2436.4700000000003</v>
      </c>
      <c r="I37" s="19">
        <f t="shared" si="5"/>
        <v>-0.33832953549761369</v>
      </c>
      <c r="J37" s="42" t="s">
        <v>49</v>
      </c>
      <c r="K37" s="60" t="s">
        <v>50</v>
      </c>
    </row>
    <row r="38" spans="1:14" ht="57.6">
      <c r="A38" s="28" t="str">
        <v>Muroc Joint USD - Boron HS</v>
      </c>
      <c r="B38" s="29" t="str">
        <v>CA</v>
      </c>
      <c r="C38" s="24">
        <v>0</v>
      </c>
      <c r="D38" s="13" t="s">
        <v>24</v>
      </c>
      <c r="E38" s="13" t="str">
        <f t="shared" si="9"/>
        <v/>
      </c>
      <c r="F38" s="14" t="str">
        <f t="shared" si="10"/>
        <v/>
      </c>
      <c r="G38" s="15">
        <v>23613.119999999999</v>
      </c>
      <c r="H38" s="15">
        <f t="shared" si="11"/>
        <v>-23613.119999999999</v>
      </c>
      <c r="I38" s="16">
        <f t="shared" si="5"/>
        <v>-1</v>
      </c>
      <c r="J38" s="56" t="s">
        <v>51</v>
      </c>
      <c r="K38" s="56" t="s">
        <v>52</v>
      </c>
      <c r="L38" s="89" t="s">
        <v>53</v>
      </c>
      <c r="M38" s="89" t="s">
        <v>54</v>
      </c>
    </row>
    <row r="39" spans="1:14" ht="15.6">
      <c r="A39" s="30" t="str">
        <v>Muroc Joint USD - W. Boron ES</v>
      </c>
      <c r="B39" s="31" t="str">
        <v>CA</v>
      </c>
      <c r="C39" s="11">
        <v>9827</v>
      </c>
      <c r="D39" s="18">
        <v>9883</v>
      </c>
      <c r="E39" s="18">
        <f t="shared" si="9"/>
        <v>-56</v>
      </c>
      <c r="F39" s="19">
        <f t="shared" si="10"/>
        <v>-5.6662956592127894E-3</v>
      </c>
      <c r="G39" s="20">
        <v>8755.7800000000007</v>
      </c>
      <c r="H39" s="20">
        <f>IF(AND(ISNUMBER(C39),ISNUMBER(G39)), C39-G39, "")</f>
        <v>1071.2199999999993</v>
      </c>
      <c r="I39" s="19">
        <f>IFERROR(H39/G39, "")</f>
        <v>0.12234432569114337</v>
      </c>
      <c r="J39" s="42"/>
      <c r="K39" s="43"/>
    </row>
    <row r="40" spans="1:14" ht="28.9">
      <c r="A40" s="28" t="str">
        <v>Colusa - WTP</v>
      </c>
      <c r="B40" s="29" t="str">
        <v>CA</v>
      </c>
      <c r="C40" s="24">
        <v>0</v>
      </c>
      <c r="D40" s="13" t="s">
        <v>24</v>
      </c>
      <c r="E40" s="13" t="str">
        <f t="shared" si="9"/>
        <v/>
      </c>
      <c r="F40" s="14" t="str">
        <f t="shared" si="10"/>
        <v/>
      </c>
      <c r="G40" s="15">
        <v>17962.439999999999</v>
      </c>
      <c r="H40" s="15">
        <f>IF(AND(ISNUMBER(C40),ISNUMBER(G40)), C40-G40, "")</f>
        <v>-17962.439999999999</v>
      </c>
      <c r="I40" s="16">
        <f>IFERROR(H40/G40, "")</f>
        <v>-1</v>
      </c>
      <c r="J40" s="56" t="s">
        <v>55</v>
      </c>
      <c r="K40" s="56" t="s">
        <v>56</v>
      </c>
      <c r="L40" s="89" t="s">
        <v>57</v>
      </c>
      <c r="M40" s="89" t="s">
        <v>58</v>
      </c>
      <c r="N40" s="89" t="s">
        <v>59</v>
      </c>
    </row>
    <row r="41" spans="1:14" ht="57.6">
      <c r="A41" s="30" t="str">
        <v>CDCR-North Kern State Prision</v>
      </c>
      <c r="B41" s="31" t="str">
        <v>CA</v>
      </c>
      <c r="C41" s="11">
        <v>70021</v>
      </c>
      <c r="D41" s="18">
        <v>69496</v>
      </c>
      <c r="E41" s="18">
        <f t="shared" si="9"/>
        <v>525</v>
      </c>
      <c r="F41" s="19">
        <f t="shared" si="10"/>
        <v>7.5543916196615631E-3</v>
      </c>
      <c r="G41" s="20">
        <v>80319.850000000006</v>
      </c>
      <c r="H41" s="20">
        <f>IF(AND(ISNUMBER(C41),ISNUMBER(G41)), C41-G41, "")</f>
        <v>-10298.850000000006</v>
      </c>
      <c r="I41" s="19">
        <f>IFERROR(H41/G41, "")</f>
        <v>-0.12822297352397952</v>
      </c>
      <c r="J41" s="42" t="s">
        <v>60</v>
      </c>
      <c r="K41" s="43" t="s">
        <v>61</v>
      </c>
    </row>
    <row r="42" spans="1:14" ht="15.6">
      <c r="A42" s="28" t="str">
        <v>Muroc Joint USD - District Office</v>
      </c>
      <c r="B42" s="29" t="str">
        <v>CA</v>
      </c>
      <c r="C42" s="24">
        <v>4886</v>
      </c>
      <c r="D42" s="13">
        <v>4880</v>
      </c>
      <c r="E42" s="13">
        <f t="shared" si="9"/>
        <v>6</v>
      </c>
      <c r="F42" s="14">
        <f t="shared" si="10"/>
        <v>1.2295081967213116E-3</v>
      </c>
      <c r="G42" s="15">
        <v>6179.15</v>
      </c>
      <c r="H42" s="15">
        <f t="shared" si="11"/>
        <v>-1293.1499999999996</v>
      </c>
      <c r="I42" s="16">
        <f t="shared" si="5"/>
        <v>-0.20927635678046327</v>
      </c>
      <c r="J42" s="86" t="s">
        <v>29</v>
      </c>
      <c r="K42" s="56"/>
    </row>
    <row r="43" spans="1:14" ht="31.15">
      <c r="A43" s="30" t="str">
        <v>Whole Foods - Manhattan Beach</v>
      </c>
      <c r="B43" s="31" t="str">
        <v>CA</v>
      </c>
      <c r="C43" s="11">
        <v>11385</v>
      </c>
      <c r="D43" s="18">
        <v>11590</v>
      </c>
      <c r="E43" s="18">
        <f t="shared" si="9"/>
        <v>-205</v>
      </c>
      <c r="F43" s="19">
        <f t="shared" si="10"/>
        <v>-1.7687661777394306E-2</v>
      </c>
      <c r="G43" s="20">
        <v>13787.4</v>
      </c>
      <c r="H43" s="20">
        <f t="shared" si="11"/>
        <v>-2402.3999999999996</v>
      </c>
      <c r="I43" s="19">
        <f t="shared" si="5"/>
        <v>-0.17424605074198179</v>
      </c>
      <c r="J43" s="54" t="s">
        <v>62</v>
      </c>
      <c r="K43" s="57" t="s">
        <v>63</v>
      </c>
      <c r="L43" s="89" t="s">
        <v>64</v>
      </c>
    </row>
    <row r="44" spans="1:14" ht="28.9">
      <c r="A44" s="28" t="str">
        <v>Pioneer USD - Frontier ES</v>
      </c>
      <c r="B44" s="29" t="str">
        <v>CA</v>
      </c>
      <c r="C44" s="24">
        <v>21344</v>
      </c>
      <c r="D44" s="13" t="s">
        <v>24</v>
      </c>
      <c r="E44" s="13" t="str">
        <f t="shared" si="9"/>
        <v/>
      </c>
      <c r="F44" s="14" t="str">
        <f t="shared" si="10"/>
        <v/>
      </c>
      <c r="G44" s="15">
        <v>11836.7</v>
      </c>
      <c r="H44" s="15">
        <f t="shared" si="11"/>
        <v>9507.2999999999993</v>
      </c>
      <c r="I44" s="16">
        <f t="shared" si="5"/>
        <v>0.80320528525687052</v>
      </c>
      <c r="J44" s="56" t="s">
        <v>65</v>
      </c>
      <c r="K44" s="56" t="s">
        <v>66</v>
      </c>
    </row>
    <row r="45" spans="1:14" ht="86.45">
      <c r="A45" s="30" t="str">
        <v>Pioneer USD - Pioneer ES</v>
      </c>
      <c r="B45" s="31" t="str">
        <v>CA</v>
      </c>
      <c r="C45" s="11">
        <v>11680</v>
      </c>
      <c r="D45" s="18" t="s">
        <v>24</v>
      </c>
      <c r="E45" s="18" t="str">
        <f t="shared" si="9"/>
        <v/>
      </c>
      <c r="F45" s="19" t="str">
        <f t="shared" si="10"/>
        <v/>
      </c>
      <c r="G45" s="20">
        <v>11671.1</v>
      </c>
      <c r="H45" s="20">
        <f t="shared" si="11"/>
        <v>8.8999999999996362</v>
      </c>
      <c r="I45" s="19">
        <f t="shared" si="5"/>
        <v>7.6256736725755381E-4</v>
      </c>
      <c r="J45" s="42" t="s">
        <v>67</v>
      </c>
      <c r="K45" s="57" t="s">
        <v>68</v>
      </c>
      <c r="L45" s="89" t="s">
        <v>69</v>
      </c>
      <c r="M45" s="89" t="s">
        <v>70</v>
      </c>
      <c r="N45" s="89" t="s">
        <v>71</v>
      </c>
    </row>
    <row r="46" spans="1:14" ht="43.15">
      <c r="A46" s="28" t="str">
        <v>Pioneer USD - Pioneer MS</v>
      </c>
      <c r="B46" s="29" t="str">
        <v>CA</v>
      </c>
      <c r="C46" s="24">
        <v>29750</v>
      </c>
      <c r="D46" s="13" t="s">
        <v>24</v>
      </c>
      <c r="E46" s="13" t="str">
        <f t="shared" si="9"/>
        <v/>
      </c>
      <c r="F46" s="14" t="str">
        <f t="shared" si="10"/>
        <v/>
      </c>
      <c r="G46" s="15">
        <v>15852.46</v>
      </c>
      <c r="H46" s="15">
        <f t="shared" si="11"/>
        <v>13897.54</v>
      </c>
      <c r="I46" s="16">
        <f t="shared" si="5"/>
        <v>0.87668033857205774</v>
      </c>
      <c r="J46" s="56" t="s">
        <v>72</v>
      </c>
      <c r="K46" s="56" t="s">
        <v>73</v>
      </c>
      <c r="L46" s="89" t="s">
        <v>74</v>
      </c>
    </row>
    <row r="47" spans="1:14" ht="115.15">
      <c r="A47" s="30" t="str">
        <v>Kingsburg Joint UHSD - Kingsburg HS</v>
      </c>
      <c r="B47" s="31" t="str">
        <v>CA</v>
      </c>
      <c r="C47" s="11">
        <v>49408</v>
      </c>
      <c r="D47" s="18">
        <v>32540</v>
      </c>
      <c r="E47" s="18">
        <f t="shared" si="9"/>
        <v>16868</v>
      </c>
      <c r="F47" s="19">
        <f t="shared" si="10"/>
        <v>0.5183773816840811</v>
      </c>
      <c r="G47" s="20">
        <v>35650.53</v>
      </c>
      <c r="H47" s="20">
        <f t="shared" si="11"/>
        <v>13757.470000000001</v>
      </c>
      <c r="I47" s="19">
        <f t="shared" si="5"/>
        <v>0.38589804976251407</v>
      </c>
      <c r="J47" s="54" t="s">
        <v>75</v>
      </c>
      <c r="K47" s="57" t="s">
        <v>76</v>
      </c>
      <c r="L47" s="89" t="s">
        <v>77</v>
      </c>
      <c r="M47" s="89" t="s">
        <v>78</v>
      </c>
    </row>
    <row r="48" spans="1:14" ht="108" customHeight="1">
      <c r="A48" s="28" t="str">
        <v>CADRB</v>
      </c>
      <c r="B48" s="29" t="str">
        <v>CA</v>
      </c>
      <c r="C48" s="24">
        <v>0</v>
      </c>
      <c r="D48" s="13" t="s">
        <v>24</v>
      </c>
      <c r="E48" s="13" t="str">
        <f t="shared" si="9"/>
        <v/>
      </c>
      <c r="F48" s="14" t="str">
        <f t="shared" si="10"/>
        <v/>
      </c>
      <c r="G48" s="15">
        <v>406484</v>
      </c>
      <c r="H48" s="15">
        <f t="shared" si="11"/>
        <v>-406484</v>
      </c>
      <c r="I48" s="16">
        <f t="shared" si="5"/>
        <v>-1</v>
      </c>
      <c r="J48" s="56" t="s">
        <v>79</v>
      </c>
      <c r="K48" s="56" t="s">
        <v>80</v>
      </c>
      <c r="L48" s="89" t="s">
        <v>81</v>
      </c>
      <c r="M48" s="89" t="s">
        <v>82</v>
      </c>
    </row>
    <row r="49" spans="1:14" ht="15.6">
      <c r="A49" s="30" t="str">
        <v>CDCR-CA State Prison LA County</v>
      </c>
      <c r="B49" s="31" t="str">
        <v>CA</v>
      </c>
      <c r="C49" s="11">
        <v>150767</v>
      </c>
      <c r="D49" s="18">
        <v>150432</v>
      </c>
      <c r="E49" s="18">
        <f t="shared" si="9"/>
        <v>335</v>
      </c>
      <c r="F49" s="19">
        <f t="shared" si="10"/>
        <v>2.226919804296958E-3</v>
      </c>
      <c r="G49" s="20">
        <v>268670.39</v>
      </c>
      <c r="H49" s="20">
        <f t="shared" si="11"/>
        <v>-117903.39000000001</v>
      </c>
      <c r="I49" s="19">
        <f t="shared" si="5"/>
        <v>-0.43884028306952622</v>
      </c>
      <c r="J49" s="42" t="s">
        <v>29</v>
      </c>
      <c r="K49" s="57"/>
    </row>
    <row r="50" spans="1:14" ht="15.6">
      <c r="A50" s="28" t="str">
        <v>Central USD Akers ES</v>
      </c>
      <c r="B50" s="29" t="str">
        <v>CA</v>
      </c>
      <c r="C50" s="24">
        <v>78098</v>
      </c>
      <c r="D50" s="13" t="s">
        <v>24</v>
      </c>
      <c r="E50" s="13" t="str">
        <f t="shared" si="9"/>
        <v/>
      </c>
      <c r="F50" s="14" t="str">
        <f t="shared" si="10"/>
        <v/>
      </c>
      <c r="G50" s="15">
        <v>13113.65</v>
      </c>
      <c r="H50" s="15">
        <f t="shared" si="11"/>
        <v>64984.35</v>
      </c>
      <c r="I50" s="16">
        <f t="shared" si="5"/>
        <v>4.9554738764569741</v>
      </c>
      <c r="J50" s="56" t="s">
        <v>83</v>
      </c>
      <c r="K50" s="56" t="s">
        <v>84</v>
      </c>
    </row>
    <row r="51" spans="1:14" ht="28.9">
      <c r="A51" s="30" t="str">
        <v>CUSD - District Office</v>
      </c>
      <c r="B51" s="31" t="str">
        <v>CA</v>
      </c>
      <c r="C51" s="11">
        <v>14514</v>
      </c>
      <c r="D51" s="18">
        <v>14455</v>
      </c>
      <c r="E51" s="18">
        <f t="shared" si="9"/>
        <v>59</v>
      </c>
      <c r="F51" s="19">
        <f t="shared" si="10"/>
        <v>4.0816326530612249E-3</v>
      </c>
      <c r="G51" s="20">
        <v>10069.4</v>
      </c>
      <c r="H51" s="20">
        <f t="shared" si="11"/>
        <v>4444.6000000000004</v>
      </c>
      <c r="I51" s="19">
        <f t="shared" si="5"/>
        <v>0.44139670685443033</v>
      </c>
      <c r="J51" s="42" t="s">
        <v>85</v>
      </c>
      <c r="K51" s="57" t="s">
        <v>86</v>
      </c>
    </row>
    <row r="52" spans="1:14" ht="15.6">
      <c r="A52" s="28" t="str">
        <v>Parlier - WTP</v>
      </c>
      <c r="B52" s="29" t="str">
        <v>CA</v>
      </c>
      <c r="C52" s="24">
        <v>23899</v>
      </c>
      <c r="D52" s="13">
        <v>23840</v>
      </c>
      <c r="E52" s="13">
        <f t="shared" si="9"/>
        <v>59</v>
      </c>
      <c r="F52" s="14">
        <f t="shared" si="10"/>
        <v>2.4748322147651008E-3</v>
      </c>
      <c r="G52" s="15">
        <v>24216.44</v>
      </c>
      <c r="H52" s="15">
        <f t="shared" si="11"/>
        <v>-317.43999999999869</v>
      </c>
      <c r="I52" s="16">
        <f t="shared" si="5"/>
        <v>-1.3108450292445905E-2</v>
      </c>
      <c r="J52" s="56"/>
      <c r="K52" s="56"/>
    </row>
    <row r="53" spans="1:14" ht="41.25" customHeight="1">
      <c r="A53" s="30" t="str">
        <v>Snowline SD - Quail Valley MS</v>
      </c>
      <c r="B53" s="31" t="str">
        <v>CA</v>
      </c>
      <c r="C53" s="11">
        <v>16364</v>
      </c>
      <c r="D53" s="18">
        <v>16319</v>
      </c>
      <c r="E53" s="18">
        <f t="shared" si="9"/>
        <v>45</v>
      </c>
      <c r="F53" s="19">
        <f t="shared" si="10"/>
        <v>2.7575219069795945E-3</v>
      </c>
      <c r="G53" s="20">
        <v>23575.7</v>
      </c>
      <c r="H53" s="20">
        <f t="shared" si="11"/>
        <v>-7211.7000000000007</v>
      </c>
      <c r="I53" s="19">
        <f t="shared" si="5"/>
        <v>-0.30589547712263054</v>
      </c>
      <c r="J53" s="54" t="s">
        <v>87</v>
      </c>
      <c r="K53" s="57" t="s">
        <v>88</v>
      </c>
      <c r="L53" s="89" t="s">
        <v>89</v>
      </c>
      <c r="M53" s="89" t="s">
        <v>90</v>
      </c>
    </row>
    <row r="54" spans="1:14" ht="15.6">
      <c r="A54" s="28" t="str">
        <v>Snowline SD - Serrano HS - Middle Lot</v>
      </c>
      <c r="B54" s="29" t="str">
        <v>CA</v>
      </c>
      <c r="C54" s="24">
        <v>16158</v>
      </c>
      <c r="D54" s="13">
        <v>16819</v>
      </c>
      <c r="E54" s="13">
        <f t="shared" si="9"/>
        <v>-661</v>
      </c>
      <c r="F54" s="14">
        <f t="shared" si="10"/>
        <v>-3.9300790772340805E-2</v>
      </c>
      <c r="G54" s="15">
        <v>26660.720000000001</v>
      </c>
      <c r="H54" s="15">
        <f t="shared" si="11"/>
        <v>-10502.720000000001</v>
      </c>
      <c r="I54" s="16">
        <f t="shared" si="5"/>
        <v>-0.39393984858623476</v>
      </c>
      <c r="J54" s="56" t="s">
        <v>29</v>
      </c>
      <c r="K54" s="56"/>
    </row>
    <row r="55" spans="1:14" ht="15.6">
      <c r="A55" s="30" t="str">
        <v>Snowline SD - Pinon Hills ES</v>
      </c>
      <c r="B55" s="31" t="str">
        <v>CA</v>
      </c>
      <c r="C55" s="11">
        <v>8792</v>
      </c>
      <c r="D55" s="18">
        <v>9144</v>
      </c>
      <c r="E55" s="18">
        <f t="shared" si="9"/>
        <v>-352</v>
      </c>
      <c r="F55" s="19">
        <f t="shared" si="10"/>
        <v>-3.8495188101487311E-2</v>
      </c>
      <c r="G55" s="20">
        <v>15043.89</v>
      </c>
      <c r="H55" s="20">
        <f t="shared" si="11"/>
        <v>-6251.8899999999994</v>
      </c>
      <c r="I55" s="19">
        <f t="shared" si="5"/>
        <v>-0.41557668927385133</v>
      </c>
      <c r="J55" s="54" t="s">
        <v>91</v>
      </c>
      <c r="K55" s="57" t="s">
        <v>92</v>
      </c>
    </row>
    <row r="56" spans="1:14" ht="15.6">
      <c r="A56" s="28" t="str">
        <v>Ramona - Santa Maria WTP</v>
      </c>
      <c r="B56" s="29" t="str">
        <v>CA</v>
      </c>
      <c r="C56" s="24">
        <v>53256</v>
      </c>
      <c r="D56" s="13">
        <v>53678</v>
      </c>
      <c r="E56" s="13">
        <f t="shared" si="9"/>
        <v>-422</v>
      </c>
      <c r="F56" s="14">
        <f t="shared" si="10"/>
        <v>-7.8616938037929882E-3</v>
      </c>
      <c r="G56" s="15">
        <v>57557.78</v>
      </c>
      <c r="H56" s="15">
        <f t="shared" si="11"/>
        <v>-4301.7799999999988</v>
      </c>
      <c r="I56" s="16">
        <f t="shared" si="5"/>
        <v>-7.4738462810761616E-2</v>
      </c>
      <c r="J56" s="56"/>
      <c r="K56" s="56"/>
    </row>
    <row r="57" spans="1:14" ht="31.15">
      <c r="A57" s="30" t="str">
        <v>Kohls - Redding</v>
      </c>
      <c r="B57" s="31" t="str">
        <v>CA</v>
      </c>
      <c r="C57" s="11">
        <v>18846</v>
      </c>
      <c r="D57" s="18" t="s">
        <v>24</v>
      </c>
      <c r="E57" s="18" t="str">
        <f t="shared" si="9"/>
        <v/>
      </c>
      <c r="F57" s="19" t="str">
        <f t="shared" si="10"/>
        <v/>
      </c>
      <c r="G57" s="20">
        <v>12772.68</v>
      </c>
      <c r="H57" s="20">
        <f t="shared" si="11"/>
        <v>6073.32</v>
      </c>
      <c r="I57" s="19">
        <f t="shared" si="5"/>
        <v>0.47549300538336509</v>
      </c>
      <c r="J57" s="42" t="s">
        <v>93</v>
      </c>
      <c r="K57" s="57" t="s">
        <v>94</v>
      </c>
      <c r="L57" s="89" t="s">
        <v>95</v>
      </c>
    </row>
    <row r="58" spans="1:14" ht="43.15">
      <c r="A58" s="28" t="str">
        <v>Kohls - Salinas</v>
      </c>
      <c r="B58" s="29" t="str">
        <v>CA</v>
      </c>
      <c r="C58" s="24">
        <v>23064</v>
      </c>
      <c r="D58" s="13">
        <v>22605</v>
      </c>
      <c r="E58" s="13">
        <f t="shared" si="9"/>
        <v>459</v>
      </c>
      <c r="F58" s="14">
        <f t="shared" si="10"/>
        <v>2.0305242203052423E-2</v>
      </c>
      <c r="G58" s="15">
        <v>24339.35</v>
      </c>
      <c r="H58" s="15">
        <f t="shared" si="11"/>
        <v>-1275.3499999999985</v>
      </c>
      <c r="I58" s="16">
        <f t="shared" si="5"/>
        <v>-5.2398687721734498E-2</v>
      </c>
      <c r="J58" s="56" t="s">
        <v>96</v>
      </c>
      <c r="K58" s="56" t="s">
        <v>97</v>
      </c>
      <c r="L58" s="89" t="s">
        <v>98</v>
      </c>
      <c r="M58" s="89" t="s">
        <v>99</v>
      </c>
      <c r="N58" s="89" t="s">
        <v>100</v>
      </c>
    </row>
    <row r="59" spans="1:14" ht="15.6">
      <c r="A59" s="30" t="str">
        <v>Kohls - San Bernardino - Central</v>
      </c>
      <c r="B59" s="31" t="str">
        <v>CA</v>
      </c>
      <c r="C59" s="11">
        <v>95820</v>
      </c>
      <c r="D59" s="18">
        <v>95529</v>
      </c>
      <c r="E59" s="18">
        <f t="shared" si="9"/>
        <v>291</v>
      </c>
      <c r="F59" s="19">
        <f t="shared" si="10"/>
        <v>3.0461953961624217E-3</v>
      </c>
      <c r="G59" s="20">
        <v>110379.13</v>
      </c>
      <c r="H59" s="20">
        <f t="shared" si="11"/>
        <v>-14559.130000000005</v>
      </c>
      <c r="I59" s="19">
        <f t="shared" si="5"/>
        <v>-0.13190111210334785</v>
      </c>
      <c r="J59" s="42"/>
      <c r="K59" s="57"/>
    </row>
    <row r="60" spans="1:14" ht="96" customHeight="1">
      <c r="A60" s="28" t="str">
        <v>Kohls - Sonora</v>
      </c>
      <c r="B60" s="29" t="str">
        <v>CA</v>
      </c>
      <c r="C60" s="24">
        <v>18576</v>
      </c>
      <c r="D60" s="13" t="s">
        <v>24</v>
      </c>
      <c r="E60" s="13" t="str">
        <f t="shared" si="9"/>
        <v/>
      </c>
      <c r="F60" s="14" t="str">
        <f t="shared" si="10"/>
        <v/>
      </c>
      <c r="G60" s="15">
        <v>14667.03</v>
      </c>
      <c r="H60" s="15">
        <f t="shared" si="11"/>
        <v>3908.9699999999993</v>
      </c>
      <c r="I60" s="16">
        <f t="shared" si="5"/>
        <v>0.26651407953757505</v>
      </c>
      <c r="J60" s="56" t="s">
        <v>101</v>
      </c>
      <c r="K60" s="56" t="s">
        <v>102</v>
      </c>
      <c r="L60" s="89" t="s">
        <v>103</v>
      </c>
      <c r="M60" s="89" t="s">
        <v>103</v>
      </c>
    </row>
    <row r="61" spans="1:14" ht="15.6">
      <c r="A61" s="30" t="str">
        <v>CUSD - Stratford ES</v>
      </c>
      <c r="B61" s="31" t="str">
        <v>CA</v>
      </c>
      <c r="C61" s="11">
        <v>18529</v>
      </c>
      <c r="D61" s="18">
        <v>18432</v>
      </c>
      <c r="E61" s="18">
        <f t="shared" si="9"/>
        <v>97</v>
      </c>
      <c r="F61" s="19">
        <f t="shared" si="10"/>
        <v>5.2625868055555559E-3</v>
      </c>
      <c r="G61" s="20">
        <v>8792.68</v>
      </c>
      <c r="H61" s="20">
        <f t="shared" si="11"/>
        <v>9736.32</v>
      </c>
      <c r="I61" s="19">
        <f t="shared" si="5"/>
        <v>1.1073210898156194</v>
      </c>
      <c r="J61" s="42"/>
      <c r="K61" s="57"/>
    </row>
    <row r="62" spans="1:14" ht="28.9">
      <c r="A62" s="28" t="str">
        <v>Taft - City Hall</v>
      </c>
      <c r="B62" s="29" t="str">
        <v>CA</v>
      </c>
      <c r="C62" s="24">
        <v>1973</v>
      </c>
      <c r="D62" s="13">
        <v>145</v>
      </c>
      <c r="E62" s="13">
        <f t="shared" si="9"/>
        <v>1828</v>
      </c>
      <c r="F62" s="14">
        <f t="shared" si="10"/>
        <v>12.606896551724137</v>
      </c>
      <c r="G62" s="15">
        <v>4140.82</v>
      </c>
      <c r="H62" s="15">
        <f t="shared" si="11"/>
        <v>-2167.8199999999997</v>
      </c>
      <c r="I62" s="16">
        <f t="shared" si="5"/>
        <v>-0.52352432609966137</v>
      </c>
      <c r="J62" s="56" t="s">
        <v>104</v>
      </c>
      <c r="K62" s="56"/>
    </row>
    <row r="63" spans="1:14" ht="15.6">
      <c r="A63" s="30" t="str">
        <v>Taft - Federal Prison</v>
      </c>
      <c r="B63" s="31" t="str">
        <v>CA</v>
      </c>
      <c r="C63" s="11">
        <v>12852</v>
      </c>
      <c r="D63" s="18">
        <v>12831</v>
      </c>
      <c r="E63" s="18">
        <f t="shared" si="9"/>
        <v>21</v>
      </c>
      <c r="F63" s="19">
        <f t="shared" si="10"/>
        <v>1.6366612111292963E-3</v>
      </c>
      <c r="G63" s="20">
        <v>7409.35</v>
      </c>
      <c r="H63" s="20">
        <f t="shared" si="11"/>
        <v>5442.65</v>
      </c>
      <c r="I63" s="19">
        <f t="shared" si="5"/>
        <v>0.73456511029982374</v>
      </c>
      <c r="J63" s="42"/>
      <c r="K63" s="43"/>
    </row>
    <row r="64" spans="1:14" ht="15.6">
      <c r="A64" s="28" t="str">
        <v>Taft - Police Department</v>
      </c>
      <c r="B64" s="29" t="str">
        <v>CA</v>
      </c>
      <c r="C64" s="24">
        <v>7664</v>
      </c>
      <c r="D64" s="13">
        <v>7639</v>
      </c>
      <c r="E64" s="13">
        <f t="shared" si="9"/>
        <v>25</v>
      </c>
      <c r="F64" s="14">
        <f t="shared" si="10"/>
        <v>3.2726796701138894E-3</v>
      </c>
      <c r="G64" s="15">
        <v>4765.84</v>
      </c>
      <c r="H64" s="15">
        <f t="shared" si="11"/>
        <v>2898.16</v>
      </c>
      <c r="I64" s="16">
        <f t="shared" si="5"/>
        <v>0.60811105702247659</v>
      </c>
      <c r="J64" s="56"/>
      <c r="K64" s="56"/>
    </row>
    <row r="65" spans="1:13" ht="29.1" customHeight="1">
      <c r="A65" s="30" t="str">
        <v>Taft - WTP</v>
      </c>
      <c r="B65" s="31" t="str">
        <v>CA</v>
      </c>
      <c r="C65" s="11">
        <v>0</v>
      </c>
      <c r="D65" s="18" t="s">
        <v>24</v>
      </c>
      <c r="E65" s="18" t="str">
        <f t="shared" si="9"/>
        <v/>
      </c>
      <c r="F65" s="19" t="str">
        <f t="shared" si="10"/>
        <v/>
      </c>
      <c r="G65" s="20">
        <v>4140.82</v>
      </c>
      <c r="H65" s="20">
        <f t="shared" si="11"/>
        <v>-4140.82</v>
      </c>
      <c r="I65" s="19">
        <f t="shared" si="5"/>
        <v>-1</v>
      </c>
      <c r="J65" s="42" t="s">
        <v>105</v>
      </c>
      <c r="K65" s="57" t="s">
        <v>106</v>
      </c>
      <c r="L65" s="89" t="s">
        <v>107</v>
      </c>
    </row>
    <row r="66" spans="1:13" ht="57.6">
      <c r="A66" s="28" t="str">
        <v>CDCR - CA Correctional Institution</v>
      </c>
      <c r="B66" s="29" t="str">
        <v>CA</v>
      </c>
      <c r="C66" s="24">
        <v>128121</v>
      </c>
      <c r="D66" s="13">
        <v>127640</v>
      </c>
      <c r="E66" s="13">
        <f t="shared" si="9"/>
        <v>481</v>
      </c>
      <c r="F66" s="14">
        <f t="shared" si="10"/>
        <v>3.768411156377311E-3</v>
      </c>
      <c r="G66" s="15">
        <v>106071.03</v>
      </c>
      <c r="H66" s="15">
        <f t="shared" si="11"/>
        <v>22049.97</v>
      </c>
      <c r="I66" s="16">
        <f t="shared" si="5"/>
        <v>0.20787928617267129</v>
      </c>
      <c r="J66" s="56" t="s">
        <v>108</v>
      </c>
      <c r="K66" s="56" t="s">
        <v>109</v>
      </c>
      <c r="L66" s="89" t="s">
        <v>110</v>
      </c>
      <c r="M66" s="89" t="s">
        <v>111</v>
      </c>
    </row>
    <row r="67" spans="1:13" ht="45" customHeight="1">
      <c r="A67" s="30" t="str">
        <v>CDCR - CA Correctional Institution II</v>
      </c>
      <c r="B67" s="31" t="str">
        <v>CA</v>
      </c>
      <c r="C67" s="11">
        <v>110462</v>
      </c>
      <c r="D67" s="18">
        <v>104576</v>
      </c>
      <c r="E67" s="18">
        <f t="shared" si="9"/>
        <v>5886</v>
      </c>
      <c r="F67" s="19">
        <f t="shared" si="10"/>
        <v>5.6284424724602204E-2</v>
      </c>
      <c r="G67" s="20">
        <v>166152.23000000001</v>
      </c>
      <c r="H67" s="20">
        <f t="shared" si="11"/>
        <v>-55690.23000000001</v>
      </c>
      <c r="I67" s="19">
        <f t="shared" si="5"/>
        <v>-0.33517594076227569</v>
      </c>
      <c r="J67" s="42" t="s">
        <v>112</v>
      </c>
      <c r="K67" s="57" t="s">
        <v>113</v>
      </c>
      <c r="L67" s="89" t="s">
        <v>114</v>
      </c>
      <c r="M67" s="89" t="s">
        <v>115</v>
      </c>
    </row>
    <row r="68" spans="1:13" ht="15.6">
      <c r="A68" s="28" t="str">
        <v>Snowline SD - Vista Verde ES</v>
      </c>
      <c r="B68" s="29" t="str">
        <v>CA</v>
      </c>
      <c r="C68" s="24">
        <v>16688</v>
      </c>
      <c r="D68" s="13">
        <v>16963</v>
      </c>
      <c r="E68" s="13">
        <f t="shared" si="9"/>
        <v>-275</v>
      </c>
      <c r="F68" s="14">
        <f t="shared" si="10"/>
        <v>-1.6211754996168129E-2</v>
      </c>
      <c r="G68" s="15">
        <v>17008.64</v>
      </c>
      <c r="H68" s="15">
        <f t="shared" si="11"/>
        <v>-320.63999999999942</v>
      </c>
      <c r="I68" s="16">
        <f t="shared" si="5"/>
        <v>-1.8851595424443073E-2</v>
      </c>
      <c r="J68" s="56"/>
      <c r="K68" s="56"/>
    </row>
    <row r="69" spans="1:13" ht="28.9">
      <c r="A69" s="30" t="str">
        <v>North Stonington</v>
      </c>
      <c r="B69" s="31" t="str">
        <v>CT</v>
      </c>
      <c r="C69" s="11">
        <v>730070</v>
      </c>
      <c r="D69" s="18" t="s">
        <v>24</v>
      </c>
      <c r="E69" s="18" t="str">
        <f t="shared" si="9"/>
        <v/>
      </c>
      <c r="F69" s="19"/>
      <c r="G69" s="20">
        <v>0</v>
      </c>
      <c r="H69" s="20">
        <f t="shared" si="11"/>
        <v>730070</v>
      </c>
      <c r="I69" s="19" t="str">
        <f t="shared" si="5"/>
        <v/>
      </c>
      <c r="J69" s="42" t="s">
        <v>116</v>
      </c>
      <c r="K69" s="60" t="s">
        <v>117</v>
      </c>
      <c r="L69" s="89"/>
      <c r="M69" s="89"/>
    </row>
    <row r="70" spans="1:13" ht="14.45">
      <c r="A70" s="21" t="str">
        <v>CT: Torrington - 2-298 Rossi Road</v>
      </c>
      <c r="B70" s="33" t="str">
        <v>CT</v>
      </c>
      <c r="C70" s="21"/>
      <c r="D70" s="21"/>
      <c r="E70" s="21"/>
      <c r="F70" s="22"/>
      <c r="G70" s="21"/>
      <c r="H70" s="21"/>
      <c r="I70" s="22"/>
      <c r="J70" s="21"/>
      <c r="K70" s="21"/>
    </row>
    <row r="71" spans="1:13" ht="14.45">
      <c r="A71" s="21"/>
      <c r="B71" s="33"/>
      <c r="C71" s="21"/>
      <c r="D71" s="21"/>
      <c r="E71" s="21"/>
      <c r="F71" s="22"/>
      <c r="G71" s="21"/>
      <c r="H71" s="21"/>
      <c r="I71" s="22"/>
      <c r="J71" s="21"/>
      <c r="K71" s="21"/>
    </row>
    <row r="72" spans="1:13" ht="14.45">
      <c r="A72" s="21"/>
      <c r="B72" s="33"/>
      <c r="C72" s="21"/>
      <c r="D72" s="21"/>
      <c r="E72" s="21"/>
      <c r="F72" s="22"/>
      <c r="G72" s="21"/>
      <c r="H72" s="21"/>
      <c r="I72" s="22"/>
      <c r="J72" s="21"/>
      <c r="K72" s="21"/>
    </row>
    <row r="73" spans="1:13" ht="14.45">
      <c r="A73" s="21"/>
      <c r="B73" s="33"/>
      <c r="C73" s="21"/>
      <c r="D73" s="21"/>
      <c r="E73" s="21"/>
      <c r="F73" s="22"/>
      <c r="G73" s="21"/>
      <c r="H73" s="21"/>
      <c r="I73" s="22"/>
      <c r="J73" s="21"/>
      <c r="K73" s="21"/>
    </row>
    <row r="74" spans="1:13" ht="14.45">
      <c r="A74" s="21"/>
      <c r="B74" s="33"/>
      <c r="C74" s="21"/>
      <c r="D74" s="21"/>
      <c r="E74" s="21"/>
      <c r="F74" s="22"/>
      <c r="G74" s="21"/>
      <c r="H74" s="21"/>
      <c r="I74" s="22"/>
      <c r="J74" s="21"/>
      <c r="K74" s="21"/>
    </row>
    <row r="75" spans="1:13" ht="14.45">
      <c r="A75" s="21"/>
      <c r="B75" s="33"/>
      <c r="C75" s="21"/>
      <c r="D75" s="21"/>
      <c r="E75" s="21"/>
      <c r="F75" s="22"/>
      <c r="G75" s="21"/>
      <c r="H75" s="21"/>
      <c r="I75" s="22"/>
      <c r="J75" s="21"/>
      <c r="K75" s="21"/>
    </row>
    <row r="76" spans="1:13" ht="14.45">
      <c r="A76" s="21"/>
      <c r="B76" s="33"/>
      <c r="C76" s="21"/>
      <c r="D76" s="21"/>
      <c r="E76" s="21"/>
      <c r="F76" s="22"/>
      <c r="G76" s="21"/>
      <c r="H76" s="21"/>
      <c r="I76" s="22"/>
      <c r="J76" s="21"/>
      <c r="K76" s="21"/>
    </row>
    <row r="77" spans="1:13" ht="14.45">
      <c r="A77" s="21"/>
      <c r="B77" s="33"/>
      <c r="C77" s="21"/>
      <c r="D77" s="21"/>
      <c r="E77" s="21"/>
      <c r="F77" s="22"/>
      <c r="G77" s="21"/>
      <c r="H77" s="21"/>
      <c r="I77" s="22"/>
      <c r="J77" s="21"/>
      <c r="K77" s="21"/>
    </row>
    <row r="78" spans="1:13" ht="14.45">
      <c r="A78" s="21"/>
      <c r="B78" s="33"/>
      <c r="C78" s="21"/>
      <c r="D78" s="21"/>
      <c r="E78" s="21"/>
      <c r="F78" s="22"/>
      <c r="G78" s="18"/>
      <c r="H78" s="21"/>
      <c r="I78" s="22"/>
      <c r="J78" s="21"/>
      <c r="K78" s="21"/>
    </row>
    <row r="79" spans="1:13" ht="14.45">
      <c r="A79" s="21"/>
      <c r="B79" s="33"/>
      <c r="C79" s="21"/>
      <c r="D79" s="21"/>
      <c r="E79" s="21"/>
      <c r="F79" s="22"/>
      <c r="G79" s="21"/>
      <c r="H79" s="21"/>
      <c r="I79" s="22"/>
      <c r="J79" s="21"/>
      <c r="K79" s="21"/>
    </row>
    <row r="80" spans="1:13"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sheetData>
  <mergeCells count="4">
    <mergeCell ref="D1:F1"/>
    <mergeCell ref="A1:C1"/>
    <mergeCell ref="G1:I1"/>
    <mergeCell ref="A2:B2"/>
  </mergeCells>
  <phoneticPr fontId="38" type="noConversion"/>
  <conditionalFormatting sqref="F2 I2">
    <cfRule type="cellIs" dxfId="60" priority="6" stopIfTrue="1" operator="lessThanOrEqual">
      <formula>-0.1</formula>
    </cfRule>
    <cfRule type="expression" dxfId="59" priority="7">
      <formula>AND(ISNUMBER(F2), F2&gt;=0.1)</formula>
    </cfRule>
  </conditionalFormatting>
  <conditionalFormatting sqref="F4:F99 I4:I99">
    <cfRule type="cellIs" dxfId="58" priority="1" stopIfTrue="1" operator="lessThanOrEqual">
      <formula>-0.1</formula>
    </cfRule>
    <cfRule type="expression" dxfId="57" priority="2">
      <formula>AND(ISNUMBER(F4), F4&gt;=0.1)</formula>
    </cfRule>
  </conditionalFormatting>
  <hyperlinks>
    <hyperlink ref="K7" r:id="rId1" display="https://us3.assetplanner.com/service_request?ID=094211" xr:uid="{370827CB-B16A-4C75-8A58-0847C04A38E9}"/>
    <hyperlink ref="K8" r:id="rId2" display="https://us3.assetplanner.com/service_request?ID=093917" xr:uid="{A3918031-BEEF-4200-8AF1-33A82223A35E}"/>
    <hyperlink ref="L8" r:id="rId3" display="https://us3.assetplanner.com/service_request?ID=096145" xr:uid="{8070E8B0-C140-4DC0-A552-4AC22BFF6AD4}"/>
    <hyperlink ref="M8" r:id="rId4" display="https://us3.assetplanner.com/service_request?ID=095177" xr:uid="{48779C14-9F8F-474F-B661-D65E30CF03EE}"/>
    <hyperlink ref="K15" r:id="rId5" display="https://us3.assetplanner.com/service_request?ID=095860" xr:uid="{36AEAAEE-B28B-403F-B8E2-2DA7F2CA8B44}"/>
    <hyperlink ref="K16" r:id="rId6" display="https://us3.assetplanner.com/service_request?ID=095654" xr:uid="{F94ECB8D-AF75-41F2-8A23-13B3FC231062}"/>
    <hyperlink ref="K22" r:id="rId7" display="https://us3.assetplanner.com/service_request?ID=093440" xr:uid="{1B7E63A1-6169-4A1E-BFFD-04FB3EF2BA3B}"/>
    <hyperlink ref="L22" r:id="rId8" display="https://us3.assetplanner.com/service_request?ID=093861" xr:uid="{1C3847AD-3442-408C-A85A-9041DFDA56BF}"/>
    <hyperlink ref="K23" r:id="rId9" display="https://us3.assetplanner.com/service_request?ID=089189" xr:uid="{EB7FBE08-3152-4804-981D-45C53E69E900}"/>
    <hyperlink ref="L23" r:id="rId10" display="https://us3.assetplanner.com/service_request?ID=095623" xr:uid="{34E5D416-7451-4DA5-9482-AE17FE045DC4}"/>
    <hyperlink ref="M23" r:id="rId11" display="https://us3.assetplanner.com/service_request?ID=078720" xr:uid="{46DD4A52-1273-4C23-8ED8-7E328226502A}"/>
    <hyperlink ref="N23" r:id="rId12" display="https://us3.assetplanner.com/service_request?ID=087994" xr:uid="{BC414470-0110-4258-8C29-BA87A0E819B7}"/>
    <hyperlink ref="K24" r:id="rId13" display="https://us3.assetplanner.com/service_request?ID=093127" xr:uid="{9B6AA506-9E90-449A-8A33-C5490B17A8D1}"/>
    <hyperlink ref="K30" r:id="rId14" display="https://us3.assetplanner.com/service_request?ID=089763" xr:uid="{80138209-5828-4ED0-B1D5-83C6E91ADADF}"/>
    <hyperlink ref="K31" r:id="rId15" display="https://us3.assetplanner.com/service_request?ID=089669" xr:uid="{33E4345B-44F0-44EF-BFD6-7C71D8B664ED}"/>
    <hyperlink ref="L31" r:id="rId16" display="https://us3.assetplanner.com/service_request?ID=096157" xr:uid="{2EF2B70D-261E-478E-BB4A-C326430C7A9D}"/>
    <hyperlink ref="K37" r:id="rId17" display="https://us3.assetplanner.com/service_request?ID=094440" xr:uid="{4A459419-B902-4F7C-8FD4-63AD24D7EBC8}"/>
    <hyperlink ref="K38" r:id="rId18" display="https://us3.assetplanner.com/service_request?ID=092023" xr:uid="{8D029C50-5BD8-428E-B096-F40AC74BE30B}"/>
    <hyperlink ref="L38" r:id="rId19" display="https://us3.assetplanner.com/service_request?ID=089707" xr:uid="{A87EBA36-FB4B-44A4-8C9E-22F5C2231CDF}"/>
    <hyperlink ref="M38" r:id="rId20" display="https://us3.assetplanner.com/service_request?ID=093065" xr:uid="{C25977B8-1CD6-4002-B21E-E99B6EFE084C}"/>
    <hyperlink ref="K40" r:id="rId21" display="https://us3.assetplanner.com/service_request?ID=089464" xr:uid="{4B198071-8766-43A6-B85E-44BDB4437CD5}"/>
    <hyperlink ref="L40" r:id="rId22" display="https://us3.assetplanner.com/service_request?ID=093180" xr:uid="{C8EA2D5B-CF5E-4FAE-8C21-00F12B607FB3}"/>
    <hyperlink ref="M40" r:id="rId23" display="https://us3.assetplanner.com/service_request?ID=093174" xr:uid="{4A52FD52-23BC-4282-AF8D-2965F8BA2875}"/>
    <hyperlink ref="N40" r:id="rId24" display="https://us3.assetplanner.com/service_request?ID=095356" xr:uid="{ACFEBCAA-D211-40A0-850A-5A3FE34ED388}"/>
    <hyperlink ref="K41" r:id="rId25" display="https://us3.assetplanner.com/service_request?ID=095083" xr:uid="{C41F463E-A281-40C1-9AA1-338AB47351DA}"/>
    <hyperlink ref="K43" r:id="rId26" display="https://us3.assetplanner.com/service_request?ID=089461" xr:uid="{EE23D3E7-EDDD-40D9-9B53-F3E08EA01CEB}"/>
    <hyperlink ref="L43" r:id="rId27" display="https://us3.assetplanner.com/service_request?ID=090375" xr:uid="{2CF4AB27-39DC-4A34-9645-BDF1C582BA2D}"/>
    <hyperlink ref="K44" r:id="rId28" display="https://us3.assetplanner.com/service_request?ID=092276" xr:uid="{12572B6F-E53D-4DB9-ACE5-6C84D9F82B4A}"/>
    <hyperlink ref="K45" r:id="rId29" display="https://us3.assetplanner.com/service_request?ID=085968" xr:uid="{7850CE2F-75E1-4C68-B465-E27170DDF503}"/>
    <hyperlink ref="L45" r:id="rId30" display="https://us3.assetplanner.com/service_request?ID=092256" xr:uid="{11E2FADE-296D-4293-AD1F-FD0B0F7CDA84}"/>
    <hyperlink ref="M45" r:id="rId31" display="https://us3.assetplanner.com/service_request?ID=090090" xr:uid="{96442D8C-DB6F-4DD5-B38B-6DF9851AE6ED}"/>
    <hyperlink ref="N45" r:id="rId32" display="https://us3.assetplanner.com/service_request?ID=095592" xr:uid="{3085C951-94A4-47DE-88B7-E911ED155F03}"/>
    <hyperlink ref="K46" r:id="rId33" display="https://us3.assetplanner.com/service_request?ID=089470" xr:uid="{41625D01-9FBC-4362-A140-9B0A47DB20C6}"/>
    <hyperlink ref="L46" r:id="rId34" display="https://us3.assetplanner.com/service_request?ID=092603" xr:uid="{D5FD9CE8-3268-4188-935C-87AA8F757359}"/>
    <hyperlink ref="K47" r:id="rId35" display="https://us3.assetplanner.com/service_request?ID=089612" xr:uid="{D906520B-6DCA-4212-A0E5-7C5C3CD7176E}"/>
    <hyperlink ref="L47" r:id="rId36" display="https://us3.assetplanner.com/service_request?ID=095339" xr:uid="{5A3F1024-6518-4564-ACC1-5B7896E916B5}"/>
    <hyperlink ref="M47" r:id="rId37" display="https://us3.assetplanner.com/service_request?ID=089612" xr:uid="{32C99D9C-DDC4-4079-BFDE-7C4753605100}"/>
    <hyperlink ref="K48" r:id="rId38" display="https://us3.assetplanner.com/service_request?ID=092166" xr:uid="{3D556D18-0393-4B5C-A2C2-27A414AC5AD8}"/>
    <hyperlink ref="L48" r:id="rId39" display="https://us3.assetplanner.com/service_request?ID=086220" xr:uid="{9EC84A36-89A4-4FEB-8AB8-5CB475EAB41F}"/>
    <hyperlink ref="M48" r:id="rId40" display="https://us3.assetplanner.com/service_request?ID=091312" xr:uid="{45161F6C-1446-4B44-9272-E266404117A7}"/>
    <hyperlink ref="K50" r:id="rId41" display="https://us3.assetplanner.com/service_request?ID=090370" xr:uid="{D9029F82-BD61-457A-A906-2AA25C27E49E}"/>
    <hyperlink ref="K51" r:id="rId42" display="https://us3.assetplanner.com/service_request?ID=095191" xr:uid="{DD2C4CD2-15BC-4C73-9060-42A5CB53E919}"/>
    <hyperlink ref="K53" r:id="rId43" display="https://us3.assetplanner.com/service_request?ID=090965" xr:uid="{FBBF2867-2A55-44D7-8C5F-0FCCB268AF98}"/>
    <hyperlink ref="L53" r:id="rId44" display="https://us3.assetplanner.com/service_request?ID=094547" xr:uid="{97525406-9AB6-40C2-BF6F-5AEEBC298B4B}"/>
    <hyperlink ref="M53" r:id="rId45" display="https://us3.assetplanner.com/service_request?ID=094545" xr:uid="{2F62D73D-A6FF-4D89-A1A1-17E9314A7464}"/>
    <hyperlink ref="K55" r:id="rId46" display="https://us3.assetplanner.com/service_request?ID=090734" xr:uid="{A0B82AA5-53FC-4974-816A-E21055E83C91}"/>
    <hyperlink ref="K57" r:id="rId47" display="https://us3.assetplanner.com/service_request?ID=090293" xr:uid="{2AACF90E-C9B5-4CCB-B9EB-6481B566284F}"/>
    <hyperlink ref="L57" r:id="rId48" display="https://us3.assetplanner.com/service_request?ID=095854" xr:uid="{00514EBE-B8DB-40FC-8305-7466E4DDDA65}"/>
    <hyperlink ref="K58" r:id="rId49" display="https://us3.assetplanner.com/service_request?ID=095449" xr:uid="{EDC70CC8-A79F-4C34-BD07-9E66793C73F8}"/>
    <hyperlink ref="L58" r:id="rId50" display="https://us3.assetplanner.com/service_request?ID=089474" xr:uid="{3EF051D8-BD8A-48D5-BC69-B1F597C5FDB6}"/>
    <hyperlink ref="M58" r:id="rId51" display="https://us3.assetplanner.com/service_request?ID=090381" xr:uid="{636A252F-FA37-4B66-BC4B-D951B05E0223}"/>
    <hyperlink ref="N58" r:id="rId52" display="https://us3.assetplanner.com/service_request?ID=090380" xr:uid="{01151829-12FC-4795-8C2D-C8694A1FF960}"/>
    <hyperlink ref="K60" r:id="rId53" display="https://us3.assetplanner.com/service_request?ID=089477" xr:uid="{E0EEF012-797F-41D1-9703-63C27D8AD7D2}"/>
    <hyperlink ref="L60" r:id="rId54" display="https://us3.assetplanner.com/service_request?ID=089477" xr:uid="{415673F0-8A98-44F3-AE83-D52C8BFA793D}"/>
    <hyperlink ref="M60" r:id="rId55" display="https://us3.assetplanner.com/service_request?ID=089477" xr:uid="{C24BA0F4-C274-4E33-8021-A5128F28865B}"/>
    <hyperlink ref="K65" r:id="rId56" display="https://us3.assetplanner.com/service_request?ID=089732" xr:uid="{80B6A489-F8D5-4480-AB9F-3F42710C6715}"/>
    <hyperlink ref="L65" r:id="rId57" display="https://us3.assetplanner.com/service_request?ID=094323" xr:uid="{9EDA0BC3-4C3D-4B9E-903F-82DDAA9A2BDB}"/>
    <hyperlink ref="K66" r:id="rId58" display="https://us3.assetplanner.com/service_request?ID=095705" xr:uid="{FCF69CF6-D36C-4D9D-B474-1A9B6B6D009E}"/>
    <hyperlink ref="L66" r:id="rId59" display="https://us3.assetplanner.com/service_request?ID=092170" xr:uid="{56999D0C-6DA0-45AC-B275-41B88D408C8B}"/>
    <hyperlink ref="M66" r:id="rId60" display="https://us3.assetplanner.com/service_request?ID=092456" xr:uid="{5C1C545D-522B-49CC-A604-70533E6CE307}"/>
    <hyperlink ref="K67" r:id="rId61" display="https://us3.assetplanner.com/service_request?ID=092171" xr:uid="{13E0509B-42EF-4469-842E-AE05996BCD76}"/>
    <hyperlink ref="L67" r:id="rId62" display="https://us3.assetplanner.com/service_request?ID=092455" xr:uid="{23C1EE44-CCEC-4B25-97DE-5C57F54103DB}"/>
    <hyperlink ref="M67" r:id="rId63" display="https://us3.assetplanner.com/service_request?ID=090296" xr:uid="{55170870-01AC-4E7D-8F93-F17556FD52BF}"/>
  </hyperlinks>
  <pageMargins left="0.4" right="0.7" top="0.25" bottom="0.25" header="0.3" footer="0.3"/>
  <pageSetup fitToHeight="99" orientation="landscape" r:id="rId6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P342"/>
  <sheetViews>
    <sheetView workbookViewId="0">
      <pane xSplit="2" ySplit="3" topLeftCell="C66" activePane="bottomRight" state="frozen"/>
      <selection pane="bottomRight" activeCell="S20" sqref="S20"/>
      <selection pane="bottomLeft" activeCell="J66" sqref="J66"/>
      <selection pane="topRight" activeCell="J66" sqref="J66"/>
    </sheetView>
  </sheetViews>
  <sheetFormatPr defaultRowHeight="13.9"/>
  <cols>
    <col min="1" max="1" width="35.85546875" bestFit="1" customWidth="1"/>
    <col min="2" max="2" width="8.42578125" style="34" customWidth="1"/>
    <col min="3" max="3" width="14" customWidth="1"/>
    <col min="4" max="5" width="13.28515625" customWidth="1"/>
    <col min="6" max="6" width="13.28515625" style="1" customWidth="1"/>
    <col min="7" max="7" width="13.28515625" customWidth="1"/>
    <col min="8" max="8" width="13.28515625" style="85" customWidth="1"/>
    <col min="9" max="9" width="13.28515625" style="1" customWidth="1"/>
    <col min="10" max="10" width="71.5703125" customWidth="1"/>
    <col min="11" max="11" width="20.5703125" bestFit="1" customWidth="1"/>
  </cols>
  <sheetData>
    <row r="1" spans="1:12" ht="19.5" customHeight="1">
      <c r="A1" s="132" t="str" cm="1">
        <f t="array" ref="A1">portfolio</f>
        <v>Silicon Ranch</v>
      </c>
      <c r="B1" s="132"/>
      <c r="C1" s="132"/>
      <c r="D1" s="133" t="s">
        <v>118</v>
      </c>
      <c r="E1" s="133"/>
      <c r="F1" s="133"/>
      <c r="G1" s="131" t="s">
        <v>119</v>
      </c>
      <c r="H1" s="131"/>
      <c r="I1" s="131"/>
      <c r="J1" s="4"/>
      <c r="K1" s="4"/>
    </row>
    <row r="2" spans="1:12" ht="19.5" customHeight="1">
      <c r="A2" s="134" t="s">
        <v>2</v>
      </c>
      <c r="B2" s="134"/>
      <c r="C2" s="5">
        <f>SUM(C4:C100)</f>
        <v>2644477</v>
      </c>
      <c r="D2" s="5">
        <f>SUM(D4:D100)</f>
        <v>1594440</v>
      </c>
      <c r="E2" s="5">
        <f>C2-D2</f>
        <v>1050037</v>
      </c>
      <c r="F2" s="6">
        <f>IFERROR(E2/D2, 0)</f>
        <v>0.65856162665261786</v>
      </c>
      <c r="G2" s="5">
        <f>SUM(G4:G100)</f>
        <v>2618498.2599999998</v>
      </c>
      <c r="H2" s="82">
        <f>C2-G2</f>
        <v>25978.740000000224</v>
      </c>
      <c r="I2" s="6">
        <f>IFERROR(H2/G2, 0)</f>
        <v>9.9212363043541703E-3</v>
      </c>
      <c r="J2" s="26"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5" t="s">
        <v>6</v>
      </c>
      <c r="E3" s="35" t="s">
        <v>7</v>
      </c>
      <c r="F3" s="36" t="s">
        <v>8</v>
      </c>
      <c r="G3" s="37" t="s">
        <v>9</v>
      </c>
      <c r="H3" s="83" t="s">
        <v>7</v>
      </c>
      <c r="I3" s="39" t="s">
        <v>8</v>
      </c>
      <c r="J3" s="25" t="s">
        <v>20</v>
      </c>
      <c r="K3" s="25" t="s">
        <v>21</v>
      </c>
    </row>
    <row r="4" spans="1:12" ht="15.6">
      <c r="A4" s="32" t="str" cm="1">
        <f t="array" ref="A4:A70">Sites[Site]</f>
        <v>Iron Mountain - Windsor</v>
      </c>
      <c r="B4" s="29" t="str" cm="1">
        <f t="array" ref="B4:B70">Sites[State]</f>
        <v>CT</v>
      </c>
      <c r="C4" s="24">
        <v>8815</v>
      </c>
      <c r="D4" s="13">
        <v>8784</v>
      </c>
      <c r="E4" s="13">
        <f>IF(AND(ISNUMBER(C4),ISNUMBER(D4)), C4-D4, "")</f>
        <v>31</v>
      </c>
      <c r="F4" s="14">
        <f>IFERROR(E4/D4, "")</f>
        <v>3.5291438979963572E-3</v>
      </c>
      <c r="G4" s="15">
        <v>16828.12</v>
      </c>
      <c r="H4" s="15">
        <f>IF(AND(ISNUMBER(C4),ISNUMBER(G4)), C4-G4, "")</f>
        <v>-8013.119999999999</v>
      </c>
      <c r="I4" s="16">
        <f>IFERROR(H4/G4, "")</f>
        <v>-0.47617440332015692</v>
      </c>
      <c r="J4" s="56" t="s">
        <v>120</v>
      </c>
      <c r="K4" s="56"/>
    </row>
    <row r="5" spans="1:12" ht="15.6">
      <c r="A5" s="30" t="str">
        <v>Kohls - Auburn</v>
      </c>
      <c r="B5" s="31" t="str">
        <v>NY</v>
      </c>
      <c r="C5" s="11">
        <v>5678</v>
      </c>
      <c r="D5" s="18">
        <v>5604</v>
      </c>
      <c r="E5" s="18">
        <f t="shared" ref="E5:E15" si="0">IF(AND(ISNUMBER(C5),ISNUMBER(D5)), C5-D5, "")</f>
        <v>74</v>
      </c>
      <c r="F5" s="19">
        <f t="shared" ref="F5:F25" si="1">IFERROR(E5/D5, "")</f>
        <v>1.3204853675945753E-2</v>
      </c>
      <c r="G5" s="20">
        <v>10737.42</v>
      </c>
      <c r="H5" s="20">
        <f t="shared" ref="H5:H15" si="2">IF(AND(ISNUMBER(C5),ISNUMBER(G5)), C5-G5, "")</f>
        <v>-5059.42</v>
      </c>
      <c r="I5" s="19">
        <f t="shared" ref="I5:I68" si="3">IFERROR(H5/G5, "")</f>
        <v>-0.47119512881120418</v>
      </c>
      <c r="J5" s="58" t="s">
        <v>120</v>
      </c>
      <c r="K5" s="58"/>
    </row>
    <row r="6" spans="1:12" ht="15.6">
      <c r="A6" s="28" t="str">
        <v>Kohls - Bensalem</v>
      </c>
      <c r="B6" s="29" t="str">
        <v>PA</v>
      </c>
      <c r="C6" s="24">
        <v>21559</v>
      </c>
      <c r="D6" s="13">
        <v>21314</v>
      </c>
      <c r="E6" s="13">
        <f t="shared" si="0"/>
        <v>245</v>
      </c>
      <c r="F6" s="14">
        <f t="shared" si="1"/>
        <v>1.1494792155390824E-2</v>
      </c>
      <c r="G6" s="15">
        <v>19869.12</v>
      </c>
      <c r="H6" s="15">
        <f t="shared" si="2"/>
        <v>1689.880000000001</v>
      </c>
      <c r="I6" s="16">
        <f t="shared" si="3"/>
        <v>8.505057093620659E-2</v>
      </c>
      <c r="J6" s="56"/>
      <c r="K6" s="56"/>
    </row>
    <row r="7" spans="1:12" ht="28.9">
      <c r="A7" s="30" t="str">
        <v>Kohls - Brick</v>
      </c>
      <c r="B7" s="31" t="str">
        <v>NJ</v>
      </c>
      <c r="C7" s="11">
        <v>26427</v>
      </c>
      <c r="D7" s="18">
        <v>26353</v>
      </c>
      <c r="E7" s="18">
        <f t="shared" si="0"/>
        <v>74</v>
      </c>
      <c r="F7" s="19">
        <f t="shared" si="1"/>
        <v>2.808029446362843E-3</v>
      </c>
      <c r="G7" s="20">
        <v>22576.31</v>
      </c>
      <c r="H7" s="20">
        <f t="shared" si="2"/>
        <v>3850.6899999999987</v>
      </c>
      <c r="I7" s="19">
        <f t="shared" si="3"/>
        <v>0.17056330286038765</v>
      </c>
      <c r="J7" s="58" t="s">
        <v>121</v>
      </c>
      <c r="K7" s="59" t="s">
        <v>122</v>
      </c>
    </row>
    <row r="8" spans="1:12" ht="28.9">
      <c r="A8" s="28" t="str">
        <v>Kohls - Buffalo</v>
      </c>
      <c r="B8" s="29" t="str">
        <v>NY</v>
      </c>
      <c r="C8" s="24">
        <v>0</v>
      </c>
      <c r="D8" s="13" t="s">
        <v>24</v>
      </c>
      <c r="E8" s="13" t="str">
        <f t="shared" si="0"/>
        <v/>
      </c>
      <c r="F8" s="14" t="str">
        <f t="shared" si="1"/>
        <v/>
      </c>
      <c r="G8" s="15">
        <v>15384.12</v>
      </c>
      <c r="H8" s="15">
        <f t="shared" si="2"/>
        <v>-15384.12</v>
      </c>
      <c r="I8" s="16">
        <f t="shared" si="3"/>
        <v>-1</v>
      </c>
      <c r="J8" s="56" t="s">
        <v>123</v>
      </c>
      <c r="K8" s="56" t="s">
        <v>124</v>
      </c>
      <c r="L8" s="89" t="s">
        <v>27</v>
      </c>
    </row>
    <row r="9" spans="1:12" ht="15.6">
      <c r="A9" s="30" t="str">
        <v>Kohls - Canton</v>
      </c>
      <c r="B9" s="31" t="str">
        <v>CT</v>
      </c>
      <c r="C9" s="11">
        <v>3054</v>
      </c>
      <c r="D9" s="18">
        <v>3024</v>
      </c>
      <c r="E9" s="18">
        <f t="shared" si="0"/>
        <v>30</v>
      </c>
      <c r="F9" s="19">
        <f t="shared" si="1"/>
        <v>9.9206349206349201E-3</v>
      </c>
      <c r="G9" s="20">
        <v>6988.56</v>
      </c>
      <c r="H9" s="20">
        <f t="shared" si="2"/>
        <v>-3934.5600000000004</v>
      </c>
      <c r="I9" s="19">
        <f t="shared" si="3"/>
        <v>-0.56300010302551606</v>
      </c>
      <c r="J9" s="58" t="s">
        <v>120</v>
      </c>
      <c r="K9" s="59"/>
    </row>
    <row r="10" spans="1:12" ht="15.6">
      <c r="A10" s="28" t="str">
        <v>Kohls - East Amherst</v>
      </c>
      <c r="B10" s="29" t="str">
        <v>NY</v>
      </c>
      <c r="C10" s="24">
        <v>2866</v>
      </c>
      <c r="D10" s="13">
        <v>2809</v>
      </c>
      <c r="E10" s="13">
        <f t="shared" si="0"/>
        <v>57</v>
      </c>
      <c r="F10" s="14">
        <f t="shared" si="1"/>
        <v>2.029191883232467E-2</v>
      </c>
      <c r="G10" s="15">
        <v>14254.84</v>
      </c>
      <c r="H10" s="15">
        <f t="shared" si="2"/>
        <v>-11388.84</v>
      </c>
      <c r="I10" s="16">
        <f t="shared" si="3"/>
        <v>-0.79894548097347984</v>
      </c>
      <c r="J10" s="56" t="s">
        <v>120</v>
      </c>
      <c r="K10" s="56"/>
    </row>
    <row r="11" spans="1:12" ht="15.6">
      <c r="A11" s="30" t="str">
        <v>Kohls - East Brunswick</v>
      </c>
      <c r="B11" s="31" t="str">
        <v>NJ</v>
      </c>
      <c r="C11" s="11">
        <v>30213</v>
      </c>
      <c r="D11" s="18">
        <v>29916</v>
      </c>
      <c r="E11" s="18">
        <f t="shared" si="0"/>
        <v>297</v>
      </c>
      <c r="F11" s="19">
        <f t="shared" si="1"/>
        <v>9.9277978339350186E-3</v>
      </c>
      <c r="G11" s="20">
        <v>30775.119999999999</v>
      </c>
      <c r="H11" s="20">
        <f t="shared" si="2"/>
        <v>-562.11999999999898</v>
      </c>
      <c r="I11" s="19">
        <f t="shared" si="3"/>
        <v>-1.8265404001674049E-2</v>
      </c>
      <c r="J11" s="58"/>
      <c r="K11" s="59"/>
    </row>
    <row r="12" spans="1:12" ht="15.6">
      <c r="A12" s="28" t="str">
        <v>Kohls - Edgewood</v>
      </c>
      <c r="B12" s="29" t="str">
        <v>MD</v>
      </c>
      <c r="C12" s="24">
        <v>154536</v>
      </c>
      <c r="D12" s="13">
        <v>152366</v>
      </c>
      <c r="E12" s="13">
        <f t="shared" si="0"/>
        <v>2170</v>
      </c>
      <c r="F12" s="14">
        <f t="shared" si="1"/>
        <v>1.4242022498457661E-2</v>
      </c>
      <c r="G12" s="15">
        <v>168198.51</v>
      </c>
      <c r="H12" s="15">
        <f t="shared" si="2"/>
        <v>-13662.510000000009</v>
      </c>
      <c r="I12" s="16">
        <f t="shared" si="3"/>
        <v>-8.1228484128664444E-2</v>
      </c>
      <c r="J12" s="56"/>
      <c r="K12" s="56"/>
    </row>
    <row r="13" spans="1:12" ht="15.6">
      <c r="A13" s="30" t="str">
        <v>Kohls - Granite Run</v>
      </c>
      <c r="B13" s="31" t="str">
        <v>PA</v>
      </c>
      <c r="C13" s="11">
        <v>19693</v>
      </c>
      <c r="D13" s="18">
        <v>19475</v>
      </c>
      <c r="E13" s="18">
        <f t="shared" si="0"/>
        <v>218</v>
      </c>
      <c r="F13" s="19">
        <f t="shared" si="1"/>
        <v>1.1193838254172016E-2</v>
      </c>
      <c r="G13" s="20">
        <v>20063.53</v>
      </c>
      <c r="H13" s="20">
        <f t="shared" si="2"/>
        <v>-370.52999999999884</v>
      </c>
      <c r="I13" s="19">
        <f t="shared" si="3"/>
        <v>-1.8467836916036155E-2</v>
      </c>
      <c r="J13" s="58"/>
      <c r="K13" s="59"/>
    </row>
    <row r="14" spans="1:12" ht="15.6">
      <c r="A14" s="28" t="str">
        <v>Kohls - Greece</v>
      </c>
      <c r="B14" s="29" t="str">
        <v>NY</v>
      </c>
      <c r="C14" s="24">
        <v>2104</v>
      </c>
      <c r="D14" s="13">
        <v>2081</v>
      </c>
      <c r="E14" s="13">
        <f t="shared" si="0"/>
        <v>23</v>
      </c>
      <c r="F14" s="14">
        <f t="shared" si="1"/>
        <v>1.1052378664103796E-2</v>
      </c>
      <c r="G14" s="15">
        <v>14838</v>
      </c>
      <c r="H14" s="15">
        <f t="shared" si="2"/>
        <v>-12734</v>
      </c>
      <c r="I14" s="16">
        <f t="shared" si="3"/>
        <v>-0.85820191400458279</v>
      </c>
      <c r="J14" s="56" t="s">
        <v>120</v>
      </c>
      <c r="K14" s="56"/>
    </row>
    <row r="15" spans="1:12" ht="15.6">
      <c r="A15" s="30" t="str">
        <v>Kohls - Hanover</v>
      </c>
      <c r="B15" s="31" t="str">
        <v>PA</v>
      </c>
      <c r="C15" s="11">
        <v>23392</v>
      </c>
      <c r="D15" s="18">
        <v>23170</v>
      </c>
      <c r="E15" s="18">
        <f t="shared" si="0"/>
        <v>222</v>
      </c>
      <c r="F15" s="19">
        <f t="shared" si="1"/>
        <v>9.581355200690549E-3</v>
      </c>
      <c r="G15" s="20">
        <v>22286.93</v>
      </c>
      <c r="H15" s="20">
        <f t="shared" si="2"/>
        <v>1105.0699999999997</v>
      </c>
      <c r="I15" s="19">
        <f t="shared" si="3"/>
        <v>4.958376950077914E-2</v>
      </c>
      <c r="J15" s="54"/>
      <c r="K15" s="59"/>
    </row>
    <row r="16" spans="1:12" ht="15.6">
      <c r="A16" s="28" t="str">
        <v>Kohls - Horsehead</v>
      </c>
      <c r="B16" s="29" t="str">
        <v>NY</v>
      </c>
      <c r="C16" s="24">
        <v>8908</v>
      </c>
      <c r="D16" s="13">
        <v>8781</v>
      </c>
      <c r="E16" s="13">
        <f t="shared" ref="E16:E17" si="4">IF(AND(ISNUMBER(C16),ISNUMBER(D16)), C16-D16, "")</f>
        <v>127</v>
      </c>
      <c r="F16" s="14">
        <f t="shared" si="1"/>
        <v>1.4463045211251566E-2</v>
      </c>
      <c r="G16" s="15">
        <v>16013.56</v>
      </c>
      <c r="H16" s="15">
        <f t="shared" ref="H16:H17" si="5">IF(AND(ISNUMBER(C16),ISNUMBER(G16)), C16-G16, "")</f>
        <v>-7105.5599999999995</v>
      </c>
      <c r="I16" s="16">
        <f t="shared" si="3"/>
        <v>-0.44372144607445191</v>
      </c>
      <c r="J16" s="56" t="s">
        <v>120</v>
      </c>
      <c r="K16" s="56"/>
    </row>
    <row r="17" spans="1:12" ht="15.6">
      <c r="A17" s="30" t="str">
        <v>Kohls - Hudson</v>
      </c>
      <c r="B17" s="31" t="str">
        <v>NY</v>
      </c>
      <c r="C17" s="11">
        <v>13755</v>
      </c>
      <c r="D17" s="18">
        <v>13674</v>
      </c>
      <c r="E17" s="18">
        <f t="shared" si="4"/>
        <v>81</v>
      </c>
      <c r="F17" s="19">
        <f t="shared" si="1"/>
        <v>5.9236507240017552E-3</v>
      </c>
      <c r="G17" s="20">
        <v>18577.580000000002</v>
      </c>
      <c r="H17" s="20">
        <f t="shared" si="5"/>
        <v>-4822.5800000000017</v>
      </c>
      <c r="I17" s="19">
        <f t="shared" si="3"/>
        <v>-0.25959139995629149</v>
      </c>
      <c r="J17" s="54" t="s">
        <v>120</v>
      </c>
      <c r="K17" s="58"/>
    </row>
    <row r="18" spans="1:12" ht="12.75" customHeight="1">
      <c r="A18" s="32" t="str">
        <v>Kohls - Ithaca</v>
      </c>
      <c r="B18" s="29" t="str">
        <v>NY</v>
      </c>
      <c r="C18" s="24">
        <v>9593</v>
      </c>
      <c r="D18" s="13">
        <v>9513</v>
      </c>
      <c r="E18" s="13">
        <f t="shared" ref="E18:E25" si="6">IF(AND(ISNUMBER(C18),ISNUMBER(D18)), C18-D18, "")</f>
        <v>80</v>
      </c>
      <c r="F18" s="14">
        <f t="shared" si="1"/>
        <v>8.409544833385893E-3</v>
      </c>
      <c r="G18" s="15">
        <v>17763.02</v>
      </c>
      <c r="H18" s="15">
        <f t="shared" ref="H18:H25" si="7">IF(AND(ISNUMBER(C18),ISNUMBER(G18)), C18-G18, "")</f>
        <v>-8170.02</v>
      </c>
      <c r="I18" s="16">
        <f t="shared" si="3"/>
        <v>-0.45994543720606068</v>
      </c>
      <c r="J18" s="56" t="s">
        <v>120</v>
      </c>
      <c r="K18" s="56"/>
    </row>
    <row r="19" spans="1:12" ht="15.6">
      <c r="A19" s="30" t="str">
        <v>Kohls - Kingston</v>
      </c>
      <c r="B19" s="31" t="str">
        <v>NY</v>
      </c>
      <c r="C19" s="11">
        <v>14849</v>
      </c>
      <c r="D19" s="18">
        <v>14753</v>
      </c>
      <c r="E19" s="18">
        <f t="shared" si="6"/>
        <v>96</v>
      </c>
      <c r="F19" s="19">
        <f t="shared" si="1"/>
        <v>6.5071510879143226E-3</v>
      </c>
      <c r="G19" s="20">
        <v>24603.49</v>
      </c>
      <c r="H19" s="20">
        <f t="shared" si="7"/>
        <v>-9754.4900000000016</v>
      </c>
      <c r="I19" s="19">
        <f t="shared" si="3"/>
        <v>-0.39646773689423742</v>
      </c>
      <c r="J19" s="58" t="s">
        <v>120</v>
      </c>
      <c r="K19" s="58"/>
    </row>
    <row r="20" spans="1:12" ht="15.6">
      <c r="A20" s="28" t="str">
        <v>Kohls - Mechanicsburg</v>
      </c>
      <c r="B20" s="29" t="str">
        <v>PA</v>
      </c>
      <c r="C20" s="24">
        <v>26048</v>
      </c>
      <c r="D20" s="13">
        <v>25759</v>
      </c>
      <c r="E20" s="13">
        <f t="shared" si="6"/>
        <v>289</v>
      </c>
      <c r="F20" s="14">
        <f t="shared" si="1"/>
        <v>1.1219379634302574E-2</v>
      </c>
      <c r="G20" s="15">
        <v>25206.74</v>
      </c>
      <c r="H20" s="15">
        <f t="shared" si="7"/>
        <v>841.2599999999984</v>
      </c>
      <c r="I20" s="16">
        <f t="shared" si="3"/>
        <v>3.3374407003840971E-2</v>
      </c>
      <c r="J20" s="56"/>
      <c r="K20" s="56"/>
    </row>
    <row r="21" spans="1:12" ht="15.6">
      <c r="A21" s="30" t="str">
        <v>Kohls - Middletown</v>
      </c>
      <c r="B21" s="31" t="str">
        <v>NJ</v>
      </c>
      <c r="C21" s="11">
        <v>39815</v>
      </c>
      <c r="D21" s="18">
        <v>39153</v>
      </c>
      <c r="E21" s="18">
        <f t="shared" si="6"/>
        <v>662</v>
      </c>
      <c r="F21" s="19">
        <f t="shared" si="1"/>
        <v>1.6908027481929863E-2</v>
      </c>
      <c r="G21" s="20">
        <v>36153.03</v>
      </c>
      <c r="H21" s="20">
        <f t="shared" si="7"/>
        <v>3661.9700000000012</v>
      </c>
      <c r="I21" s="19">
        <f t="shared" si="3"/>
        <v>0.10129081850124322</v>
      </c>
      <c r="J21" s="54"/>
      <c r="K21" s="57"/>
    </row>
    <row r="22" spans="1:12" ht="28.9">
      <c r="A22" s="28" t="str">
        <v>Kohls - North Amherst</v>
      </c>
      <c r="B22" s="29" t="str">
        <v>NY</v>
      </c>
      <c r="C22" s="24">
        <v>0</v>
      </c>
      <c r="D22" s="13" t="s">
        <v>24</v>
      </c>
      <c r="E22" s="13" t="str">
        <f t="shared" si="6"/>
        <v/>
      </c>
      <c r="F22" s="14" t="str">
        <f t="shared" si="1"/>
        <v/>
      </c>
      <c r="G22" s="15">
        <v>12403.57</v>
      </c>
      <c r="H22" s="15">
        <f t="shared" si="7"/>
        <v>-12403.57</v>
      </c>
      <c r="I22" s="16">
        <f t="shared" si="3"/>
        <v>-1</v>
      </c>
      <c r="J22" s="56" t="s">
        <v>34</v>
      </c>
      <c r="K22" s="56" t="s">
        <v>35</v>
      </c>
      <c r="L22" s="89" t="s">
        <v>36</v>
      </c>
    </row>
    <row r="23" spans="1:12" ht="124.5" customHeight="1">
      <c r="A23" s="30" t="str">
        <v>Kohls - Staten Island</v>
      </c>
      <c r="B23" s="31" t="str">
        <v>NY</v>
      </c>
      <c r="C23" s="11">
        <v>18864</v>
      </c>
      <c r="D23" s="18" t="s">
        <v>24</v>
      </c>
      <c r="E23" s="18" t="str">
        <f t="shared" si="6"/>
        <v/>
      </c>
      <c r="F23" s="19" t="str">
        <f t="shared" si="1"/>
        <v/>
      </c>
      <c r="G23" s="20">
        <v>21195.82</v>
      </c>
      <c r="H23" s="20">
        <f t="shared" si="7"/>
        <v>-2331.8199999999997</v>
      </c>
      <c r="I23" s="19">
        <f t="shared" si="3"/>
        <v>-0.11001320071599022</v>
      </c>
      <c r="J23" s="53" t="s">
        <v>125</v>
      </c>
      <c r="K23" s="57" t="s">
        <v>126</v>
      </c>
    </row>
    <row r="24" spans="1:12" ht="15.6">
      <c r="A24" s="28" t="str">
        <v>Kohls - Warminster</v>
      </c>
      <c r="B24" s="29" t="str">
        <v>PA</v>
      </c>
      <c r="C24" s="24">
        <v>25644</v>
      </c>
      <c r="D24" s="13">
        <v>25329</v>
      </c>
      <c r="E24" s="13">
        <f t="shared" si="6"/>
        <v>315</v>
      </c>
      <c r="F24" s="14">
        <f t="shared" si="1"/>
        <v>1.2436337794622764E-2</v>
      </c>
      <c r="G24" s="15">
        <v>24459.22</v>
      </c>
      <c r="H24" s="15">
        <f t="shared" si="7"/>
        <v>1184.7799999999988</v>
      </c>
      <c r="I24" s="16">
        <f t="shared" si="3"/>
        <v>4.8438993557439643E-2</v>
      </c>
      <c r="J24" s="56"/>
      <c r="K24" s="56"/>
    </row>
    <row r="25" spans="1:12" ht="15.6">
      <c r="A25" s="30" t="str">
        <v xml:space="preserve">Kohls - Waterbury </v>
      </c>
      <c r="B25" s="31" t="str">
        <v>CT</v>
      </c>
      <c r="C25" s="11">
        <v>5561</v>
      </c>
      <c r="D25" s="18">
        <v>5527</v>
      </c>
      <c r="E25" s="18">
        <f t="shared" si="6"/>
        <v>34</v>
      </c>
      <c r="F25" s="19">
        <f t="shared" si="1"/>
        <v>6.1516193233218741E-3</v>
      </c>
      <c r="G25" s="20">
        <v>19364.12</v>
      </c>
      <c r="H25" s="20">
        <f t="shared" si="7"/>
        <v>-13803.119999999999</v>
      </c>
      <c r="I25" s="19">
        <f t="shared" si="3"/>
        <v>-0.71281937934695716</v>
      </c>
      <c r="J25" s="42" t="s">
        <v>127</v>
      </c>
      <c r="K25" s="43" t="s">
        <v>128</v>
      </c>
    </row>
    <row r="26" spans="1:12" ht="15.6">
      <c r="A26" s="28" t="str">
        <v>Mojave Water Agency - Headquarters</v>
      </c>
      <c r="B26" s="29" t="str">
        <v>CA</v>
      </c>
      <c r="C26" s="24">
        <v>30686</v>
      </c>
      <c r="D26" s="13">
        <v>30622</v>
      </c>
      <c r="E26" s="13">
        <f t="shared" ref="E26:E69" si="8">IF(AND(ISNUMBER(C26),ISNUMBER(D26)), C26-D26, "")</f>
        <v>64</v>
      </c>
      <c r="F26" s="14">
        <f t="shared" ref="F26:F68" si="9">IFERROR(E26/D26, "")</f>
        <v>2.0900006531252039E-3</v>
      </c>
      <c r="G26" s="15">
        <v>25387.84</v>
      </c>
      <c r="H26" s="15">
        <f t="shared" ref="H26:H69" si="10">IF(AND(ISNUMBER(C26),ISNUMBER(G26)), C26-G26, "")</f>
        <v>5298.16</v>
      </c>
      <c r="I26" s="16">
        <f t="shared" si="3"/>
        <v>0.20868888412720421</v>
      </c>
      <c r="J26" s="56"/>
      <c r="K26" s="56"/>
    </row>
    <row r="27" spans="1:12" ht="15.6">
      <c r="A27" s="30" t="str">
        <v>CSU - Bakersfield</v>
      </c>
      <c r="B27" s="31" t="str">
        <v>CA</v>
      </c>
      <c r="C27" s="11">
        <v>84513</v>
      </c>
      <c r="D27" s="18">
        <v>83948</v>
      </c>
      <c r="E27" s="18">
        <f t="shared" si="8"/>
        <v>565</v>
      </c>
      <c r="F27" s="19">
        <f t="shared" si="9"/>
        <v>6.7303568875970842E-3</v>
      </c>
      <c r="G27" s="20">
        <v>78007.259999999995</v>
      </c>
      <c r="H27" s="20">
        <f t="shared" si="10"/>
        <v>6505.7400000000052</v>
      </c>
      <c r="I27" s="19">
        <f t="shared" si="3"/>
        <v>8.3399160539672917E-2</v>
      </c>
      <c r="J27" s="42"/>
      <c r="K27" s="43"/>
    </row>
    <row r="28" spans="1:12" ht="15.6">
      <c r="A28" s="28" t="str">
        <v>Greenfield USD - Fairfield ES</v>
      </c>
      <c r="B28" s="29" t="str">
        <v>CA</v>
      </c>
      <c r="C28" s="24">
        <v>9238</v>
      </c>
      <c r="D28" s="13">
        <v>9174</v>
      </c>
      <c r="E28" s="13">
        <f t="shared" si="8"/>
        <v>64</v>
      </c>
      <c r="F28" s="14">
        <f t="shared" si="9"/>
        <v>6.9762371920645298E-3</v>
      </c>
      <c r="G28" s="15">
        <v>8281.6299999999992</v>
      </c>
      <c r="H28" s="15">
        <f t="shared" si="10"/>
        <v>956.3700000000008</v>
      </c>
      <c r="I28" s="16">
        <f t="shared" si="3"/>
        <v>0.1154808896316306</v>
      </c>
      <c r="J28" s="56"/>
      <c r="K28" s="56"/>
    </row>
    <row r="29" spans="1:12" ht="15.6">
      <c r="A29" s="30" t="str">
        <v>Greenfield USD - Granite Point ES</v>
      </c>
      <c r="B29" s="31" t="str">
        <v>CA</v>
      </c>
      <c r="C29" s="11">
        <v>26786</v>
      </c>
      <c r="D29" s="18">
        <v>26688</v>
      </c>
      <c r="E29" s="18">
        <f t="shared" si="8"/>
        <v>98</v>
      </c>
      <c r="F29" s="19">
        <f t="shared" si="9"/>
        <v>3.6720623501199042E-3</v>
      </c>
      <c r="G29" s="20">
        <v>21722.5</v>
      </c>
      <c r="H29" s="20">
        <f t="shared" si="10"/>
        <v>5063.5</v>
      </c>
      <c r="I29" s="19">
        <f t="shared" si="3"/>
        <v>0.23309932098055011</v>
      </c>
      <c r="J29" s="102"/>
      <c r="K29" s="57"/>
    </row>
    <row r="30" spans="1:12" ht="72">
      <c r="A30" s="28" t="str">
        <v>Greenfield USD - Greenfield MS</v>
      </c>
      <c r="B30" s="29" t="str">
        <v>CA</v>
      </c>
      <c r="C30" s="24">
        <v>10577</v>
      </c>
      <c r="D30" s="13" t="s">
        <v>24</v>
      </c>
      <c r="E30" s="13" t="str">
        <f t="shared" si="8"/>
        <v/>
      </c>
      <c r="F30" s="14" t="str">
        <f t="shared" si="9"/>
        <v/>
      </c>
      <c r="G30" s="15">
        <v>14936.35</v>
      </c>
      <c r="H30" s="15">
        <f t="shared" si="10"/>
        <v>-4359.3500000000004</v>
      </c>
      <c r="I30" s="16">
        <f t="shared" si="3"/>
        <v>-0.29186180023901426</v>
      </c>
      <c r="J30" s="56" t="s">
        <v>129</v>
      </c>
      <c r="K30" s="56" t="s">
        <v>130</v>
      </c>
    </row>
    <row r="31" spans="1:12" ht="15.6">
      <c r="A31" s="30" t="str">
        <v>Greenfield USD - Horizon ES</v>
      </c>
      <c r="B31" s="31" t="str">
        <v>CA</v>
      </c>
      <c r="C31" s="11">
        <v>23654</v>
      </c>
      <c r="D31" s="18">
        <v>23552</v>
      </c>
      <c r="E31" s="18">
        <f t="shared" si="8"/>
        <v>102</v>
      </c>
      <c r="F31" s="19">
        <f t="shared" si="9"/>
        <v>4.330842391304348E-3</v>
      </c>
      <c r="G31" s="20">
        <v>22188.52</v>
      </c>
      <c r="H31" s="20">
        <f t="shared" si="10"/>
        <v>1465.4799999999996</v>
      </c>
      <c r="I31" s="19">
        <f t="shared" si="3"/>
        <v>6.6046766526113479E-2</v>
      </c>
      <c r="J31" s="54"/>
      <c r="K31" s="57"/>
    </row>
    <row r="32" spans="1:12" ht="15.6">
      <c r="A32" s="28" t="str">
        <v>Greenfield USD - McKee MS</v>
      </c>
      <c r="B32" s="29" t="str">
        <v>CA</v>
      </c>
      <c r="C32" s="24">
        <v>11221</v>
      </c>
      <c r="D32" s="13">
        <v>11188</v>
      </c>
      <c r="E32" s="13">
        <f t="shared" si="8"/>
        <v>33</v>
      </c>
      <c r="F32" s="14">
        <f t="shared" si="9"/>
        <v>2.9495888451912763E-3</v>
      </c>
      <c r="G32" s="15">
        <v>13575.99</v>
      </c>
      <c r="H32" s="15">
        <f t="shared" si="10"/>
        <v>-2354.9899999999998</v>
      </c>
      <c r="I32" s="16">
        <f t="shared" si="3"/>
        <v>-0.17346727568302567</v>
      </c>
      <c r="J32" s="56" t="s">
        <v>120</v>
      </c>
      <c r="K32" s="56"/>
    </row>
    <row r="33" spans="1:16" ht="15.6">
      <c r="A33" s="30" t="str">
        <v>Greenfield USD - Plantation ES</v>
      </c>
      <c r="B33" s="31" t="str">
        <v>CA</v>
      </c>
      <c r="C33" s="11">
        <v>10887</v>
      </c>
      <c r="D33" s="18">
        <v>10842</v>
      </c>
      <c r="E33" s="18">
        <f t="shared" si="8"/>
        <v>45</v>
      </c>
      <c r="F33" s="19">
        <f t="shared" si="9"/>
        <v>4.1505257332595464E-3</v>
      </c>
      <c r="G33" s="20">
        <v>9687.94</v>
      </c>
      <c r="H33" s="20">
        <f t="shared" si="10"/>
        <v>1199.0599999999995</v>
      </c>
      <c r="I33" s="19">
        <f t="shared" si="3"/>
        <v>0.12376831400689924</v>
      </c>
      <c r="J33" s="42"/>
      <c r="K33" s="43"/>
    </row>
    <row r="34" spans="1:16" ht="15.6">
      <c r="A34" s="28" t="str">
        <v>Greenfield USD - Planz ES</v>
      </c>
      <c r="B34" s="29" t="str">
        <v>CA</v>
      </c>
      <c r="C34" s="24">
        <v>4344</v>
      </c>
      <c r="D34" s="13">
        <v>4317</v>
      </c>
      <c r="E34" s="13">
        <f t="shared" si="8"/>
        <v>27</v>
      </c>
      <c r="F34" s="14">
        <f t="shared" si="9"/>
        <v>6.2543432939541352E-3</v>
      </c>
      <c r="G34" s="15">
        <v>11305.56</v>
      </c>
      <c r="H34" s="15">
        <f t="shared" si="10"/>
        <v>-6961.5599999999995</v>
      </c>
      <c r="I34" s="16">
        <f t="shared" si="3"/>
        <v>-0.61576427881502549</v>
      </c>
      <c r="J34" s="56" t="s">
        <v>120</v>
      </c>
      <c r="K34" s="56"/>
    </row>
    <row r="35" spans="1:16" ht="15.6">
      <c r="A35" s="30" t="str">
        <v>Greenfield USD - Raffaello Palla ES</v>
      </c>
      <c r="B35" s="31" t="str">
        <v>CA</v>
      </c>
      <c r="C35" s="11">
        <v>25408</v>
      </c>
      <c r="D35" s="18">
        <v>24947</v>
      </c>
      <c r="E35" s="18">
        <f t="shared" si="8"/>
        <v>461</v>
      </c>
      <c r="F35" s="19">
        <f t="shared" si="9"/>
        <v>1.8479175852807953E-2</v>
      </c>
      <c r="G35" s="20">
        <v>24477.22</v>
      </c>
      <c r="H35" s="20">
        <f t="shared" si="10"/>
        <v>930.77999999999884</v>
      </c>
      <c r="I35" s="19">
        <f t="shared" si="3"/>
        <v>3.8026377178454036E-2</v>
      </c>
      <c r="J35" s="42"/>
      <c r="K35" s="43"/>
    </row>
    <row r="36" spans="1:16" ht="15.6">
      <c r="A36" s="28" t="str">
        <v>Greenfield USD - Valle Verde ES</v>
      </c>
      <c r="B36" s="29" t="str">
        <v>CA</v>
      </c>
      <c r="C36" s="24">
        <v>28417</v>
      </c>
      <c r="D36" s="13">
        <v>28235</v>
      </c>
      <c r="E36" s="13">
        <f t="shared" si="8"/>
        <v>182</v>
      </c>
      <c r="F36" s="14">
        <f t="shared" si="9"/>
        <v>6.4459004781299801E-3</v>
      </c>
      <c r="G36" s="15">
        <v>22933.040000000001</v>
      </c>
      <c r="H36" s="15">
        <f t="shared" si="10"/>
        <v>5483.9599999999991</v>
      </c>
      <c r="I36" s="16">
        <f t="shared" si="3"/>
        <v>0.23912922142027393</v>
      </c>
      <c r="J36" s="56"/>
      <c r="K36" s="56"/>
    </row>
    <row r="37" spans="1:16" ht="28.9">
      <c r="A37" s="30" t="str">
        <v>Greenfield USD - W.A. Kendrick ES</v>
      </c>
      <c r="B37" s="31" t="str">
        <v>CA</v>
      </c>
      <c r="C37" s="11">
        <v>4551</v>
      </c>
      <c r="D37" s="18" t="s">
        <v>24</v>
      </c>
      <c r="E37" s="18" t="str">
        <f t="shared" si="8"/>
        <v/>
      </c>
      <c r="F37" s="19" t="str">
        <f t="shared" si="9"/>
        <v/>
      </c>
      <c r="G37" s="20">
        <v>8833.1299999999992</v>
      </c>
      <c r="H37" s="20">
        <f t="shared" si="10"/>
        <v>-4282.1299999999992</v>
      </c>
      <c r="I37" s="19">
        <f t="shared" si="3"/>
        <v>-0.48478059306270821</v>
      </c>
      <c r="J37" s="42" t="s">
        <v>131</v>
      </c>
      <c r="K37" s="60" t="s">
        <v>50</v>
      </c>
    </row>
    <row r="38" spans="1:16" ht="57.6">
      <c r="A38" s="28" t="str">
        <v>Muroc Joint USD - Boron HS</v>
      </c>
      <c r="B38" s="29" t="str">
        <v>CA</v>
      </c>
      <c r="C38" s="24">
        <v>0</v>
      </c>
      <c r="D38" s="13" t="s">
        <v>24</v>
      </c>
      <c r="E38" s="13" t="str">
        <f t="shared" si="8"/>
        <v/>
      </c>
      <c r="F38" s="14" t="str">
        <f t="shared" si="9"/>
        <v/>
      </c>
      <c r="G38" s="15">
        <v>24557.19</v>
      </c>
      <c r="H38" s="15">
        <f t="shared" si="10"/>
        <v>-24557.19</v>
      </c>
      <c r="I38" s="16">
        <f t="shared" si="3"/>
        <v>-1</v>
      </c>
      <c r="J38" s="56" t="s">
        <v>51</v>
      </c>
      <c r="K38" s="56" t="s">
        <v>132</v>
      </c>
      <c r="L38" s="89" t="s">
        <v>133</v>
      </c>
      <c r="M38" s="89" t="s">
        <v>53</v>
      </c>
      <c r="N38" s="89" t="s">
        <v>54</v>
      </c>
    </row>
    <row r="39" spans="1:16" ht="15.6">
      <c r="A39" s="30" t="str">
        <v>Muroc Joint USD - W. Boron ES</v>
      </c>
      <c r="B39" s="31" t="str">
        <v>CA</v>
      </c>
      <c r="C39" s="11">
        <v>10005</v>
      </c>
      <c r="D39" s="18">
        <v>9979</v>
      </c>
      <c r="E39" s="18">
        <f t="shared" si="8"/>
        <v>26</v>
      </c>
      <c r="F39" s="19">
        <f t="shared" si="9"/>
        <v>2.6054714901292716E-3</v>
      </c>
      <c r="G39" s="20">
        <v>9080.59</v>
      </c>
      <c r="H39" s="20">
        <f t="shared" si="10"/>
        <v>924.40999999999985</v>
      </c>
      <c r="I39" s="19">
        <f t="shared" si="3"/>
        <v>0.10180065392226714</v>
      </c>
      <c r="J39" s="42"/>
      <c r="K39" s="43"/>
    </row>
    <row r="40" spans="1:16" ht="100.9">
      <c r="A40" s="28" t="str">
        <v>Colusa - WTP</v>
      </c>
      <c r="B40" s="29" t="str">
        <v>CA</v>
      </c>
      <c r="C40" s="24">
        <v>0</v>
      </c>
      <c r="D40" s="13" t="s">
        <v>24</v>
      </c>
      <c r="E40" s="13">
        <v>0</v>
      </c>
      <c r="F40" s="14" t="str">
        <f t="shared" si="9"/>
        <v/>
      </c>
      <c r="G40" s="15">
        <v>22973.3</v>
      </c>
      <c r="H40" s="15">
        <f t="shared" si="10"/>
        <v>-22973.3</v>
      </c>
      <c r="I40" s="16">
        <f t="shared" si="3"/>
        <v>-1</v>
      </c>
      <c r="J40" s="56" t="s">
        <v>134</v>
      </c>
      <c r="K40" s="56" t="s">
        <v>135</v>
      </c>
      <c r="L40" s="89" t="s">
        <v>57</v>
      </c>
      <c r="M40" s="89" t="s">
        <v>58</v>
      </c>
      <c r="N40" s="89" t="s">
        <v>59</v>
      </c>
      <c r="O40" s="89" t="s">
        <v>136</v>
      </c>
    </row>
    <row r="41" spans="1:16" ht="111" customHeight="1">
      <c r="A41" s="30" t="str">
        <v>CDCR-North Kern State Prision</v>
      </c>
      <c r="B41" s="31" t="str">
        <v>CA</v>
      </c>
      <c r="C41" s="11">
        <v>73603</v>
      </c>
      <c r="D41" s="18">
        <v>73023</v>
      </c>
      <c r="E41" s="18">
        <f t="shared" si="8"/>
        <v>580</v>
      </c>
      <c r="F41" s="19">
        <f t="shared" si="9"/>
        <v>7.9427029839913444E-3</v>
      </c>
      <c r="G41" s="20">
        <v>105876.17</v>
      </c>
      <c r="H41" s="20">
        <f t="shared" si="10"/>
        <v>-32273.17</v>
      </c>
      <c r="I41" s="19">
        <f t="shared" si="3"/>
        <v>-0.30481996090338365</v>
      </c>
      <c r="J41" s="42" t="s">
        <v>137</v>
      </c>
      <c r="K41" s="43" t="s">
        <v>138</v>
      </c>
      <c r="L41" s="89" t="s">
        <v>139</v>
      </c>
      <c r="M41" s="89" t="s">
        <v>140</v>
      </c>
    </row>
    <row r="42" spans="1:16" ht="15.6">
      <c r="A42" s="28" t="str">
        <v>Muroc Joint USD - District Office</v>
      </c>
      <c r="B42" s="29" t="str">
        <v>CA</v>
      </c>
      <c r="C42" s="24">
        <v>5000</v>
      </c>
      <c r="D42" s="13">
        <v>16305</v>
      </c>
      <c r="E42" s="13">
        <f t="shared" si="8"/>
        <v>-11305</v>
      </c>
      <c r="F42" s="14">
        <f t="shared" si="9"/>
        <v>-0.69334559950935293</v>
      </c>
      <c r="G42" s="15">
        <v>6384.23</v>
      </c>
      <c r="H42" s="15">
        <f t="shared" si="10"/>
        <v>-1384.2299999999996</v>
      </c>
      <c r="I42" s="16">
        <f t="shared" si="3"/>
        <v>-0.2168201960142413</v>
      </c>
      <c r="J42" s="86" t="s">
        <v>120</v>
      </c>
      <c r="K42" s="56"/>
      <c r="L42" s="89"/>
      <c r="M42" s="89"/>
      <c r="N42" s="89"/>
      <c r="O42" s="89"/>
    </row>
    <row r="43" spans="1:16" ht="74.099999999999994" customHeight="1">
      <c r="A43" s="30" t="str">
        <v>Whole Foods - Manhattan Beach</v>
      </c>
      <c r="B43" s="31" t="str">
        <v>CA</v>
      </c>
      <c r="C43" s="11">
        <v>12818</v>
      </c>
      <c r="D43" s="18">
        <v>12781</v>
      </c>
      <c r="E43" s="18">
        <f t="shared" si="8"/>
        <v>37</v>
      </c>
      <c r="F43" s="19">
        <f t="shared" si="9"/>
        <v>2.8949221500665051E-3</v>
      </c>
      <c r="G43" s="20">
        <v>15625.72</v>
      </c>
      <c r="H43" s="20">
        <f t="shared" si="10"/>
        <v>-2807.7199999999993</v>
      </c>
      <c r="I43" s="19">
        <f t="shared" si="3"/>
        <v>-0.17968580007833235</v>
      </c>
      <c r="J43" s="54" t="s">
        <v>141</v>
      </c>
      <c r="K43" s="57" t="s">
        <v>142</v>
      </c>
      <c r="L43" s="89" t="s">
        <v>64</v>
      </c>
      <c r="M43" s="89" t="s">
        <v>143</v>
      </c>
    </row>
    <row r="44" spans="1:16" ht="28.9">
      <c r="A44" s="28" t="str">
        <v>Pioneer USD - Frontier ES</v>
      </c>
      <c r="B44" s="29" t="str">
        <v>CA</v>
      </c>
      <c r="C44" s="24">
        <v>20603</v>
      </c>
      <c r="D44" s="13" t="s">
        <v>24</v>
      </c>
      <c r="E44" s="13" t="str">
        <f t="shared" si="8"/>
        <v/>
      </c>
      <c r="F44" s="14" t="str">
        <f t="shared" si="9"/>
        <v/>
      </c>
      <c r="G44" s="15">
        <v>18600.14</v>
      </c>
      <c r="H44" s="15">
        <f t="shared" si="10"/>
        <v>2002.8600000000006</v>
      </c>
      <c r="I44" s="16">
        <f t="shared" si="3"/>
        <v>0.10767983466791113</v>
      </c>
      <c r="J44" s="56" t="s">
        <v>144</v>
      </c>
      <c r="K44" s="56" t="s">
        <v>66</v>
      </c>
    </row>
    <row r="45" spans="1:16" ht="115.15">
      <c r="A45" s="30" t="str">
        <v>Pioneer USD - Pioneer ES</v>
      </c>
      <c r="B45" s="31" t="str">
        <v>CA</v>
      </c>
      <c r="C45" s="11">
        <v>13168</v>
      </c>
      <c r="D45" s="18" t="s">
        <v>24</v>
      </c>
      <c r="E45" s="18" t="str">
        <f t="shared" si="8"/>
        <v/>
      </c>
      <c r="F45" s="19" t="str">
        <f t="shared" si="9"/>
        <v/>
      </c>
      <c r="G45" s="20">
        <v>19124.830000000002</v>
      </c>
      <c r="H45" s="20">
        <f t="shared" si="10"/>
        <v>-5956.8300000000017</v>
      </c>
      <c r="I45" s="19">
        <f t="shared" si="3"/>
        <v>-0.31147100392526372</v>
      </c>
      <c r="J45" s="42" t="s">
        <v>145</v>
      </c>
      <c r="K45" s="57" t="s">
        <v>146</v>
      </c>
      <c r="L45" s="89" t="s">
        <v>69</v>
      </c>
      <c r="M45" s="89" t="s">
        <v>70</v>
      </c>
      <c r="N45" s="89" t="s">
        <v>71</v>
      </c>
      <c r="O45" s="89" t="s">
        <v>71</v>
      </c>
    </row>
    <row r="46" spans="1:16" ht="43.15">
      <c r="A46" s="28" t="str">
        <v>Pioneer USD - Pioneer MS</v>
      </c>
      <c r="B46" s="29" t="str">
        <v>CA</v>
      </c>
      <c r="C46" s="24">
        <v>28036</v>
      </c>
      <c r="D46" s="13" t="s">
        <v>24</v>
      </c>
      <c r="E46" s="13" t="str">
        <f t="shared" si="8"/>
        <v/>
      </c>
      <c r="F46" s="14" t="str">
        <f t="shared" si="9"/>
        <v/>
      </c>
      <c r="G46" s="15">
        <v>25858.58</v>
      </c>
      <c r="H46" s="15">
        <f t="shared" si="10"/>
        <v>2177.4199999999983</v>
      </c>
      <c r="I46" s="16">
        <f t="shared" si="3"/>
        <v>8.4204933140180085E-2</v>
      </c>
      <c r="J46" s="56" t="s">
        <v>72</v>
      </c>
      <c r="K46" s="56" t="s">
        <v>73</v>
      </c>
      <c r="L46" s="89" t="s">
        <v>74</v>
      </c>
    </row>
    <row r="47" spans="1:16" ht="78">
      <c r="A47" s="30" t="str">
        <v>Kingsburg Joint UHSD - Kingsburg HS</v>
      </c>
      <c r="B47" s="31" t="str">
        <v>CA</v>
      </c>
      <c r="C47" s="11">
        <v>45118</v>
      </c>
      <c r="D47" s="18">
        <v>42299</v>
      </c>
      <c r="E47" s="18">
        <f t="shared" si="8"/>
        <v>2819</v>
      </c>
      <c r="F47" s="19">
        <f t="shared" si="9"/>
        <v>6.664460152722286E-2</v>
      </c>
      <c r="G47" s="20">
        <v>48811.98</v>
      </c>
      <c r="H47" s="20">
        <f t="shared" si="10"/>
        <v>-3693.9800000000032</v>
      </c>
      <c r="I47" s="19">
        <f t="shared" si="3"/>
        <v>-7.5677733212215589E-2</v>
      </c>
      <c r="J47" s="54" t="s">
        <v>147</v>
      </c>
      <c r="K47" s="57" t="s">
        <v>148</v>
      </c>
      <c r="L47" s="89" t="s">
        <v>77</v>
      </c>
      <c r="M47" s="89" t="s">
        <v>149</v>
      </c>
      <c r="N47" s="89" t="s">
        <v>150</v>
      </c>
      <c r="O47" s="89" t="s">
        <v>78</v>
      </c>
      <c r="P47" s="89" t="s">
        <v>149</v>
      </c>
    </row>
    <row r="48" spans="1:16" ht="86.45">
      <c r="A48" s="28" t="str">
        <v>CADRB</v>
      </c>
      <c r="B48" s="29" t="str">
        <v>CA</v>
      </c>
      <c r="C48" s="24">
        <v>0</v>
      </c>
      <c r="D48" s="13" t="s">
        <v>24</v>
      </c>
      <c r="E48" s="13" t="str">
        <f t="shared" si="8"/>
        <v/>
      </c>
      <c r="F48" s="14" t="str">
        <f t="shared" si="9"/>
        <v/>
      </c>
      <c r="G48" s="15">
        <v>443850</v>
      </c>
      <c r="H48" s="15">
        <f t="shared" si="10"/>
        <v>-443850</v>
      </c>
      <c r="I48" s="16">
        <f t="shared" si="3"/>
        <v>-1</v>
      </c>
      <c r="J48" s="56" t="s">
        <v>79</v>
      </c>
      <c r="K48" s="56" t="s">
        <v>151</v>
      </c>
      <c r="L48" s="89" t="s">
        <v>152</v>
      </c>
      <c r="M48" s="89" t="s">
        <v>81</v>
      </c>
      <c r="N48" s="89" t="s">
        <v>82</v>
      </c>
    </row>
    <row r="49" spans="1:16" ht="15.6">
      <c r="A49" s="30" t="str">
        <v>CDCR-CA State Prison LA County</v>
      </c>
      <c r="B49" s="31" t="str">
        <v>CA</v>
      </c>
      <c r="C49" s="11">
        <v>176892</v>
      </c>
      <c r="D49" s="18">
        <v>176553</v>
      </c>
      <c r="E49" s="18">
        <f t="shared" si="8"/>
        <v>339</v>
      </c>
      <c r="F49" s="19">
        <f t="shared" si="9"/>
        <v>1.9201033117534111E-3</v>
      </c>
      <c r="G49" s="20">
        <v>272714.69</v>
      </c>
      <c r="H49" s="20">
        <f t="shared" si="10"/>
        <v>-95822.69</v>
      </c>
      <c r="I49" s="19">
        <f t="shared" si="3"/>
        <v>-0.35136607419277632</v>
      </c>
      <c r="J49" s="42" t="s">
        <v>120</v>
      </c>
      <c r="K49" s="57"/>
    </row>
    <row r="50" spans="1:16" ht="15.6">
      <c r="A50" s="28" t="str">
        <v>Central USD Akers ES</v>
      </c>
      <c r="B50" s="29" t="str">
        <v>CA</v>
      </c>
      <c r="C50" s="24">
        <v>19588</v>
      </c>
      <c r="D50" s="13" t="s">
        <v>24</v>
      </c>
      <c r="E50" s="13" t="str">
        <f t="shared" si="8"/>
        <v/>
      </c>
      <c r="F50" s="14" t="str">
        <f t="shared" si="9"/>
        <v/>
      </c>
      <c r="G50" s="15">
        <v>21273.81</v>
      </c>
      <c r="H50" s="15">
        <f t="shared" si="10"/>
        <v>-1685.8100000000013</v>
      </c>
      <c r="I50" s="16">
        <f t="shared" si="3"/>
        <v>-7.9243445344298988E-2</v>
      </c>
      <c r="J50" s="56" t="s">
        <v>83</v>
      </c>
      <c r="K50" s="56" t="s">
        <v>84</v>
      </c>
    </row>
    <row r="51" spans="1:16" ht="28.9">
      <c r="A51" s="30" t="str">
        <v>CUSD - District Office</v>
      </c>
      <c r="B51" s="31" t="str">
        <v>CA</v>
      </c>
      <c r="C51" s="11">
        <v>16350</v>
      </c>
      <c r="D51" s="18">
        <v>16305</v>
      </c>
      <c r="E51" s="18">
        <f t="shared" si="8"/>
        <v>45</v>
      </c>
      <c r="F51" s="19">
        <f t="shared" si="9"/>
        <v>2.7598896044158236E-3</v>
      </c>
      <c r="G51" s="20">
        <v>16036.59</v>
      </c>
      <c r="H51" s="20">
        <f t="shared" si="10"/>
        <v>313.40999999999985</v>
      </c>
      <c r="I51" s="19">
        <f t="shared" si="3"/>
        <v>1.9543431614825836E-2</v>
      </c>
      <c r="J51" s="42" t="s">
        <v>153</v>
      </c>
      <c r="K51" s="57" t="s">
        <v>154</v>
      </c>
    </row>
    <row r="52" spans="1:16" ht="15.6">
      <c r="A52" s="28" t="str">
        <v>Parlier - WTP</v>
      </c>
      <c r="B52" s="29" t="str">
        <v>CA</v>
      </c>
      <c r="C52" s="24">
        <v>28581</v>
      </c>
      <c r="D52" s="13">
        <v>28488</v>
      </c>
      <c r="E52" s="13">
        <f t="shared" si="8"/>
        <v>93</v>
      </c>
      <c r="F52" s="14">
        <f t="shared" si="9"/>
        <v>3.2645324347093511E-3</v>
      </c>
      <c r="G52" s="15">
        <v>41703.35</v>
      </c>
      <c r="H52" s="15">
        <f t="shared" si="10"/>
        <v>-13122.349999999999</v>
      </c>
      <c r="I52" s="16">
        <f t="shared" si="3"/>
        <v>-0.31465937388722964</v>
      </c>
      <c r="J52" s="56" t="s">
        <v>120</v>
      </c>
      <c r="K52" s="56"/>
    </row>
    <row r="53" spans="1:16" ht="46.9">
      <c r="A53" s="30" t="str">
        <v>Snowline SD - Quail Valley MS</v>
      </c>
      <c r="B53" s="31" t="str">
        <v>CA</v>
      </c>
      <c r="C53" s="11">
        <v>25219</v>
      </c>
      <c r="D53" s="18">
        <v>25156</v>
      </c>
      <c r="E53" s="18">
        <f t="shared" si="8"/>
        <v>63</v>
      </c>
      <c r="F53" s="19">
        <f t="shared" si="9"/>
        <v>2.5043727142629989E-3</v>
      </c>
      <c r="G53" s="20">
        <v>24415.41</v>
      </c>
      <c r="H53" s="20">
        <f t="shared" si="10"/>
        <v>803.59000000000015</v>
      </c>
      <c r="I53" s="19">
        <f t="shared" si="3"/>
        <v>3.2913229800359697E-2</v>
      </c>
      <c r="J53" s="54" t="s">
        <v>155</v>
      </c>
      <c r="K53" s="57" t="s">
        <v>88</v>
      </c>
      <c r="L53" s="89" t="s">
        <v>89</v>
      </c>
      <c r="M53" s="89" t="s">
        <v>90</v>
      </c>
    </row>
    <row r="54" spans="1:16" ht="15.6">
      <c r="A54" s="28" t="str">
        <v>Snowline SD - Serrano HS - Middle Lot</v>
      </c>
      <c r="B54" s="29" t="str">
        <v>CA</v>
      </c>
      <c r="C54" s="24">
        <v>21035</v>
      </c>
      <c r="D54" s="13">
        <v>21014</v>
      </c>
      <c r="E54" s="13">
        <f t="shared" si="8"/>
        <v>21</v>
      </c>
      <c r="F54" s="14">
        <f t="shared" si="9"/>
        <v>9.993337774816789E-4</v>
      </c>
      <c r="G54" s="15">
        <v>28500.77</v>
      </c>
      <c r="H54" s="15">
        <f t="shared" si="10"/>
        <v>-7465.77</v>
      </c>
      <c r="I54" s="16">
        <f t="shared" si="3"/>
        <v>-0.26194976486600186</v>
      </c>
      <c r="J54" s="56" t="s">
        <v>120</v>
      </c>
      <c r="K54" s="56"/>
    </row>
    <row r="55" spans="1:16" ht="15.6">
      <c r="A55" s="30" t="str">
        <v>Snowline SD - Pinon Hills ES</v>
      </c>
      <c r="B55" s="31" t="str">
        <v>CA</v>
      </c>
      <c r="C55" s="11">
        <v>9673</v>
      </c>
      <c r="D55" s="18">
        <v>9665</v>
      </c>
      <c r="E55" s="18">
        <f t="shared" si="8"/>
        <v>8</v>
      </c>
      <c r="F55" s="19">
        <f t="shared" si="9"/>
        <v>8.277289187790998E-4</v>
      </c>
      <c r="G55" s="20">
        <v>14901.16</v>
      </c>
      <c r="H55" s="20">
        <f t="shared" si="10"/>
        <v>-5228.16</v>
      </c>
      <c r="I55" s="19">
        <f t="shared" si="3"/>
        <v>-0.35085590652002929</v>
      </c>
      <c r="J55" s="54" t="s">
        <v>91</v>
      </c>
      <c r="K55" s="57" t="s">
        <v>92</v>
      </c>
    </row>
    <row r="56" spans="1:16" ht="15.6">
      <c r="A56" s="28" t="str">
        <v>Ramona - Santa Maria WTP</v>
      </c>
      <c r="B56" s="29" t="str">
        <v>CA</v>
      </c>
      <c r="C56" s="24">
        <v>53315</v>
      </c>
      <c r="D56" s="13">
        <v>52951</v>
      </c>
      <c r="E56" s="13">
        <f t="shared" si="8"/>
        <v>364</v>
      </c>
      <c r="F56" s="14">
        <f t="shared" si="9"/>
        <v>6.8742799947120927E-3</v>
      </c>
      <c r="G56" s="15">
        <v>56951.14</v>
      </c>
      <c r="H56" s="15">
        <f t="shared" si="10"/>
        <v>-3636.1399999999994</v>
      </c>
      <c r="I56" s="16">
        <f t="shared" si="3"/>
        <v>-6.384665873238006E-2</v>
      </c>
      <c r="J56" s="56"/>
      <c r="K56" s="56"/>
    </row>
    <row r="57" spans="1:16" ht="31.15">
      <c r="A57" s="30" t="str">
        <v>Kohls - Redding</v>
      </c>
      <c r="B57" s="31" t="str">
        <v>CA</v>
      </c>
      <c r="C57" s="11">
        <v>19554</v>
      </c>
      <c r="D57" s="18" t="s">
        <v>24</v>
      </c>
      <c r="E57" s="18" t="str">
        <f t="shared" si="8"/>
        <v/>
      </c>
      <c r="F57" s="19" t="str">
        <f t="shared" si="9"/>
        <v/>
      </c>
      <c r="G57" s="20">
        <v>16190.84</v>
      </c>
      <c r="H57" s="20">
        <f t="shared" si="10"/>
        <v>3363.16</v>
      </c>
      <c r="I57" s="19">
        <f t="shared" si="3"/>
        <v>0.207719920646489</v>
      </c>
      <c r="J57" s="42" t="s">
        <v>156</v>
      </c>
      <c r="K57" s="57" t="s">
        <v>94</v>
      </c>
      <c r="L57" s="89" t="s">
        <v>95</v>
      </c>
    </row>
    <row r="58" spans="1:16" ht="43.15">
      <c r="A58" s="28" t="str">
        <v>Kohls - Salinas</v>
      </c>
      <c r="B58" s="29" t="str">
        <v>CA</v>
      </c>
      <c r="C58" s="24">
        <v>23764</v>
      </c>
      <c r="D58" s="13">
        <v>23421</v>
      </c>
      <c r="E58" s="13">
        <f t="shared" si="8"/>
        <v>343</v>
      </c>
      <c r="F58" s="14">
        <f t="shared" si="9"/>
        <v>1.4644976730284788E-2</v>
      </c>
      <c r="G58" s="15">
        <v>26628.06</v>
      </c>
      <c r="H58" s="15">
        <f t="shared" si="10"/>
        <v>-2864.0600000000013</v>
      </c>
      <c r="I58" s="16">
        <f t="shared" si="3"/>
        <v>-0.10755796704679203</v>
      </c>
      <c r="J58" s="56" t="s">
        <v>96</v>
      </c>
      <c r="K58" s="56" t="s">
        <v>157</v>
      </c>
      <c r="L58" s="89" t="s">
        <v>158</v>
      </c>
      <c r="M58" s="89" t="s">
        <v>98</v>
      </c>
      <c r="N58" s="89" t="s">
        <v>99</v>
      </c>
      <c r="O58" s="89" t="s">
        <v>100</v>
      </c>
    </row>
    <row r="59" spans="1:16" ht="15.6">
      <c r="A59" s="30" t="str">
        <v>Kohls - San Bernardino - Central</v>
      </c>
      <c r="B59" s="31" t="str">
        <v>CA</v>
      </c>
      <c r="C59" s="11">
        <v>104632</v>
      </c>
      <c r="D59" s="18">
        <v>104199</v>
      </c>
      <c r="E59" s="18">
        <f t="shared" si="8"/>
        <v>433</v>
      </c>
      <c r="F59" s="19">
        <f t="shared" si="9"/>
        <v>4.1555101296557552E-3</v>
      </c>
      <c r="G59" s="20">
        <v>119205.82</v>
      </c>
      <c r="H59" s="20">
        <f t="shared" si="10"/>
        <v>-14573.820000000007</v>
      </c>
      <c r="I59" s="19">
        <f t="shared" si="3"/>
        <v>-0.12225762131412717</v>
      </c>
      <c r="J59" s="42"/>
      <c r="K59" s="57"/>
    </row>
    <row r="60" spans="1:16" ht="86.45">
      <c r="A60" s="28" t="str">
        <v>Kohls - Sonora</v>
      </c>
      <c r="B60" s="29" t="str">
        <v>CA</v>
      </c>
      <c r="C60" s="24">
        <v>17057</v>
      </c>
      <c r="D60" s="13">
        <v>16889</v>
      </c>
      <c r="E60" s="13">
        <f t="shared" si="8"/>
        <v>168</v>
      </c>
      <c r="F60" s="14">
        <f t="shared" si="9"/>
        <v>9.9473029782698799E-3</v>
      </c>
      <c r="G60" s="15">
        <v>17675.439999999999</v>
      </c>
      <c r="H60" s="15">
        <f t="shared" si="10"/>
        <v>-618.43999999999869</v>
      </c>
      <c r="I60" s="16">
        <f t="shared" si="3"/>
        <v>-3.498866223415082E-2</v>
      </c>
      <c r="J60" s="56" t="s">
        <v>159</v>
      </c>
      <c r="K60" s="56" t="s">
        <v>160</v>
      </c>
      <c r="L60" s="89" t="s">
        <v>161</v>
      </c>
      <c r="M60" s="89" t="s">
        <v>103</v>
      </c>
      <c r="N60" s="89" t="s">
        <v>161</v>
      </c>
      <c r="O60" s="89" t="s">
        <v>103</v>
      </c>
      <c r="P60" s="89" t="s">
        <v>161</v>
      </c>
    </row>
    <row r="61" spans="1:16" ht="15.6">
      <c r="A61" s="30" t="str">
        <v>CUSD - Stratford ES</v>
      </c>
      <c r="B61" s="31" t="str">
        <v>CA</v>
      </c>
      <c r="C61" s="11">
        <v>17954</v>
      </c>
      <c r="D61" s="18">
        <v>17907</v>
      </c>
      <c r="E61" s="18">
        <f t="shared" si="8"/>
        <v>47</v>
      </c>
      <c r="F61" s="19">
        <f t="shared" si="9"/>
        <v>2.6246719160104987E-3</v>
      </c>
      <c r="G61" s="20">
        <v>14369.22</v>
      </c>
      <c r="H61" s="20">
        <f t="shared" si="10"/>
        <v>3584.7800000000007</v>
      </c>
      <c r="I61" s="19">
        <f t="shared" si="3"/>
        <v>0.24947631117068295</v>
      </c>
      <c r="J61" s="42" t="s">
        <v>120</v>
      </c>
      <c r="K61" s="57"/>
    </row>
    <row r="62" spans="1:16" ht="18.75" customHeight="1">
      <c r="A62" s="28" t="str">
        <v>Taft - City Hall</v>
      </c>
      <c r="B62" s="29" t="str">
        <v>CA</v>
      </c>
      <c r="C62" s="24">
        <v>2255</v>
      </c>
      <c r="D62" s="13">
        <v>133</v>
      </c>
      <c r="E62" s="13">
        <f t="shared" si="8"/>
        <v>2122</v>
      </c>
      <c r="F62" s="14">
        <f t="shared" si="9"/>
        <v>15.954887218045112</v>
      </c>
      <c r="G62" s="15">
        <v>5204.3599999999997</v>
      </c>
      <c r="H62" s="15">
        <f t="shared" si="10"/>
        <v>-2949.3599999999997</v>
      </c>
      <c r="I62" s="16">
        <f t="shared" si="3"/>
        <v>-0.56670945130621242</v>
      </c>
      <c r="J62" s="56" t="s">
        <v>162</v>
      </c>
      <c r="K62" s="56"/>
      <c r="L62" s="89"/>
      <c r="M62" s="89"/>
      <c r="N62" s="89"/>
      <c r="O62" s="89"/>
      <c r="P62" s="89"/>
    </row>
    <row r="63" spans="1:16" ht="15.6">
      <c r="A63" s="30" t="str">
        <v>Taft - Federal Prison</v>
      </c>
      <c r="B63" s="31" t="str">
        <v>CA</v>
      </c>
      <c r="C63" s="11">
        <v>12088</v>
      </c>
      <c r="D63" s="18">
        <v>12046</v>
      </c>
      <c r="E63" s="18">
        <f t="shared" si="8"/>
        <v>42</v>
      </c>
      <c r="F63" s="19">
        <f t="shared" si="9"/>
        <v>3.4866345674912833E-3</v>
      </c>
      <c r="G63" s="20">
        <v>8981.2199999999993</v>
      </c>
      <c r="H63" s="20">
        <f t="shared" si="10"/>
        <v>3106.7800000000007</v>
      </c>
      <c r="I63" s="19">
        <f t="shared" si="3"/>
        <v>0.3459195966694949</v>
      </c>
      <c r="J63" s="42" t="s">
        <v>120</v>
      </c>
      <c r="K63" s="43"/>
    </row>
    <row r="64" spans="1:16" ht="15.6">
      <c r="A64" s="28" t="str">
        <v>Taft - Police Department</v>
      </c>
      <c r="B64" s="29" t="str">
        <v>CA</v>
      </c>
      <c r="C64" s="24">
        <v>7698</v>
      </c>
      <c r="D64" s="13">
        <v>7558</v>
      </c>
      <c r="E64" s="13">
        <f t="shared" si="8"/>
        <v>140</v>
      </c>
      <c r="F64" s="14">
        <f t="shared" si="9"/>
        <v>1.8523418893887273E-2</v>
      </c>
      <c r="G64" s="15">
        <v>5975.61</v>
      </c>
      <c r="H64" s="15">
        <f t="shared" si="10"/>
        <v>1722.3900000000003</v>
      </c>
      <c r="I64" s="16">
        <f t="shared" si="3"/>
        <v>0.28823668211278858</v>
      </c>
      <c r="J64" s="56" t="s">
        <v>120</v>
      </c>
      <c r="K64" s="56"/>
      <c r="L64" s="89"/>
      <c r="M64" s="89"/>
      <c r="N64" s="89"/>
      <c r="O64" s="89"/>
      <c r="P64" s="89"/>
    </row>
    <row r="65" spans="1:13" ht="43.15">
      <c r="A65" s="30" t="str">
        <v>Taft - WTP</v>
      </c>
      <c r="B65" s="31" t="str">
        <v>CA</v>
      </c>
      <c r="C65" s="11">
        <v>12661</v>
      </c>
      <c r="D65" s="18">
        <v>12626</v>
      </c>
      <c r="E65" s="18">
        <f t="shared" si="8"/>
        <v>35</v>
      </c>
      <c r="F65" s="19">
        <f t="shared" si="9"/>
        <v>2.772057658799303E-3</v>
      </c>
      <c r="G65" s="20">
        <v>39816.160000000003</v>
      </c>
      <c r="H65" s="20">
        <f t="shared" si="10"/>
        <v>-27155.160000000003</v>
      </c>
      <c r="I65" s="19">
        <f t="shared" si="3"/>
        <v>-0.68201353420319788</v>
      </c>
      <c r="J65" s="42" t="s">
        <v>163</v>
      </c>
      <c r="K65" s="57" t="s">
        <v>106</v>
      </c>
      <c r="L65" s="89" t="s">
        <v>107</v>
      </c>
    </row>
    <row r="66" spans="1:13" ht="43.15">
      <c r="A66" s="28" t="str">
        <v>CDCR - CA Correctional Institution</v>
      </c>
      <c r="B66" s="29" t="str">
        <v>CA</v>
      </c>
      <c r="C66" s="24">
        <v>94563</v>
      </c>
      <c r="D66" s="13">
        <v>94052</v>
      </c>
      <c r="E66" s="13">
        <f t="shared" si="8"/>
        <v>511</v>
      </c>
      <c r="F66" s="14">
        <f t="shared" si="9"/>
        <v>5.4331646323310511E-3</v>
      </c>
      <c r="G66" s="15">
        <v>111535.07</v>
      </c>
      <c r="H66" s="15">
        <f t="shared" si="10"/>
        <v>-16972.070000000007</v>
      </c>
      <c r="I66" s="16">
        <f t="shared" si="3"/>
        <v>-0.15216801316393136</v>
      </c>
      <c r="J66" s="56" t="s">
        <v>164</v>
      </c>
      <c r="K66" s="56" t="s">
        <v>165</v>
      </c>
      <c r="L66" s="89" t="s">
        <v>110</v>
      </c>
      <c r="M66" s="89" t="s">
        <v>111</v>
      </c>
    </row>
    <row r="67" spans="1:13" ht="46.9">
      <c r="A67" s="30" t="str">
        <v>CDCR - CA Correctional Institution II</v>
      </c>
      <c r="B67" s="31" t="str">
        <v>CA</v>
      </c>
      <c r="C67" s="11">
        <v>112446</v>
      </c>
      <c r="D67" s="18">
        <v>109184</v>
      </c>
      <c r="E67" s="18">
        <f t="shared" si="8"/>
        <v>3262</v>
      </c>
      <c r="F67" s="19">
        <f t="shared" si="9"/>
        <v>2.9876172332942555E-2</v>
      </c>
      <c r="G67" s="20">
        <v>177907.85</v>
      </c>
      <c r="H67" s="20">
        <f t="shared" si="10"/>
        <v>-65461.850000000006</v>
      </c>
      <c r="I67" s="19">
        <f t="shared" si="3"/>
        <v>-0.36795369063253813</v>
      </c>
      <c r="J67" s="42" t="s">
        <v>166</v>
      </c>
      <c r="K67" s="57" t="s">
        <v>113</v>
      </c>
      <c r="L67" s="89" t="s">
        <v>114</v>
      </c>
      <c r="M67" s="89" t="s">
        <v>115</v>
      </c>
    </row>
    <row r="68" spans="1:13" ht="15.6">
      <c r="A68" s="28" t="str">
        <v>Snowline SD - Vista Verde ES</v>
      </c>
      <c r="B68" s="29" t="str">
        <v>CA</v>
      </c>
      <c r="C68" s="24">
        <v>21035</v>
      </c>
      <c r="D68" s="13">
        <v>21008</v>
      </c>
      <c r="E68" s="13">
        <f t="shared" si="8"/>
        <v>27</v>
      </c>
      <c r="F68" s="14">
        <f t="shared" si="9"/>
        <v>1.2852246763137853E-3</v>
      </c>
      <c r="G68" s="15">
        <v>17891.25</v>
      </c>
      <c r="H68" s="15">
        <f t="shared" si="10"/>
        <v>3143.75</v>
      </c>
      <c r="I68" s="16">
        <f t="shared" si="3"/>
        <v>0.17571438552364982</v>
      </c>
      <c r="J68" s="56"/>
      <c r="K68" s="56"/>
    </row>
    <row r="69" spans="1:13" ht="28.9">
      <c r="A69" s="30" t="str">
        <v>North Stonington</v>
      </c>
      <c r="B69" s="31" t="str">
        <v>CT</v>
      </c>
      <c r="C69" s="11">
        <v>908110</v>
      </c>
      <c r="D69" s="18" t="s">
        <v>24</v>
      </c>
      <c r="E69" s="18" t="str">
        <f t="shared" si="8"/>
        <v/>
      </c>
      <c r="F69" s="19"/>
      <c r="G69" s="20">
        <v>0</v>
      </c>
      <c r="H69" s="20">
        <f t="shared" si="10"/>
        <v>908110</v>
      </c>
      <c r="I69" s="19"/>
      <c r="J69" s="42" t="s">
        <v>167</v>
      </c>
      <c r="K69" s="60" t="s">
        <v>117</v>
      </c>
      <c r="L69" s="89"/>
      <c r="M69" s="89"/>
    </row>
    <row r="70" spans="1:13" ht="14.45">
      <c r="A70" s="21" t="str">
        <v>CT: Torrington - 2-298 Rossi Road</v>
      </c>
      <c r="B70" s="33" t="str">
        <v>CT</v>
      </c>
      <c r="C70" s="21"/>
      <c r="D70" s="21"/>
      <c r="E70" s="21"/>
      <c r="F70" s="22"/>
      <c r="G70" s="21"/>
      <c r="H70" s="84"/>
      <c r="I70" s="22"/>
      <c r="J70" s="21"/>
      <c r="K70" s="21"/>
    </row>
    <row r="71" spans="1:13" ht="14.45">
      <c r="A71" s="21"/>
      <c r="B71" s="33"/>
      <c r="C71" s="21"/>
      <c r="D71" s="21"/>
      <c r="E71" s="21"/>
      <c r="F71" s="22"/>
      <c r="G71" s="21"/>
      <c r="H71" s="84"/>
      <c r="I71" s="22"/>
      <c r="J71" s="21"/>
      <c r="K71" s="21"/>
    </row>
    <row r="72" spans="1:13" ht="14.45">
      <c r="A72" s="21"/>
      <c r="B72" s="33"/>
      <c r="C72" s="21"/>
      <c r="D72" s="21"/>
      <c r="E72" s="21"/>
      <c r="F72" s="22"/>
      <c r="G72" s="21"/>
      <c r="H72" s="84"/>
      <c r="I72" s="22"/>
      <c r="J72" s="21"/>
      <c r="K72" s="21"/>
    </row>
    <row r="73" spans="1:13" ht="14.45">
      <c r="A73" s="21"/>
      <c r="B73" s="33"/>
      <c r="C73" s="21"/>
      <c r="D73" s="21"/>
      <c r="E73" s="21"/>
      <c r="F73" s="22"/>
      <c r="G73" s="21"/>
      <c r="H73" s="84"/>
      <c r="I73" s="22"/>
      <c r="J73" s="21"/>
      <c r="K73" s="21"/>
    </row>
    <row r="74" spans="1:13" ht="14.45">
      <c r="A74" s="21"/>
      <c r="B74" s="33"/>
      <c r="C74" s="21"/>
      <c r="D74" s="21"/>
      <c r="E74" s="21"/>
      <c r="F74" s="22"/>
      <c r="G74" s="21"/>
      <c r="H74" s="84"/>
      <c r="I74" s="22"/>
      <c r="J74" s="21"/>
      <c r="K74" s="21"/>
    </row>
    <row r="75" spans="1:13" ht="14.45">
      <c r="A75" s="21"/>
      <c r="B75" s="33"/>
      <c r="C75" s="21"/>
      <c r="D75" s="21"/>
      <c r="E75" s="21"/>
      <c r="F75" s="22"/>
      <c r="G75" s="21"/>
      <c r="H75" s="84"/>
      <c r="I75" s="22"/>
      <c r="J75" s="21"/>
      <c r="K75" s="21"/>
    </row>
    <row r="76" spans="1:13" ht="14.45">
      <c r="A76" s="21"/>
      <c r="B76" s="33"/>
      <c r="C76" s="21"/>
      <c r="D76" s="21"/>
      <c r="E76" s="21"/>
      <c r="F76" s="22"/>
      <c r="G76" s="21"/>
      <c r="H76" s="84"/>
      <c r="I76" s="22"/>
      <c r="J76" s="21"/>
      <c r="K76" s="21"/>
    </row>
    <row r="77" spans="1:13" ht="14.45">
      <c r="A77" s="21"/>
      <c r="B77" s="33"/>
      <c r="C77" s="21"/>
      <c r="D77" s="21"/>
      <c r="E77" s="21"/>
      <c r="F77" s="22"/>
      <c r="G77" s="21"/>
      <c r="H77" s="84"/>
      <c r="I77" s="22"/>
      <c r="J77" s="21"/>
      <c r="K77" s="21"/>
    </row>
    <row r="78" spans="1:13" ht="14.45">
      <c r="A78" s="21"/>
      <c r="B78" s="33"/>
      <c r="C78" s="21"/>
      <c r="D78" s="21"/>
      <c r="E78" s="21"/>
      <c r="F78" s="22"/>
      <c r="G78" s="21"/>
      <c r="H78" s="84"/>
      <c r="I78" s="22"/>
      <c r="J78" s="21"/>
      <c r="K78" s="21"/>
    </row>
    <row r="79" spans="1:13" ht="14.45">
      <c r="A79" s="21"/>
      <c r="B79" s="33"/>
      <c r="C79" s="21"/>
      <c r="D79" s="21"/>
      <c r="E79" s="21"/>
      <c r="F79" s="22"/>
      <c r="G79" s="21"/>
      <c r="H79" s="84"/>
      <c r="I79" s="22"/>
      <c r="J79" s="21"/>
      <c r="K79" s="21"/>
    </row>
    <row r="80" spans="1:13" ht="14.45">
      <c r="A80" s="21"/>
      <c r="B80" s="33"/>
      <c r="C80" s="21"/>
      <c r="D80" s="21"/>
      <c r="E80" s="21"/>
      <c r="F80" s="22"/>
      <c r="G80" s="21"/>
      <c r="H80" s="84"/>
      <c r="I80" s="22"/>
      <c r="J80" s="21"/>
      <c r="K80" s="21"/>
    </row>
    <row r="81" spans="1:11" ht="14.45">
      <c r="A81" s="21"/>
      <c r="B81" s="33"/>
      <c r="C81" s="21"/>
      <c r="D81" s="21"/>
      <c r="E81" s="21"/>
      <c r="F81" s="22"/>
      <c r="G81" s="21"/>
      <c r="H81" s="84"/>
      <c r="I81" s="22"/>
      <c r="J81" s="21"/>
      <c r="K81" s="21"/>
    </row>
    <row r="82" spans="1:11" ht="14.45">
      <c r="A82" s="21"/>
      <c r="B82" s="33"/>
      <c r="C82" s="21"/>
      <c r="D82" s="21"/>
      <c r="E82" s="21"/>
      <c r="F82" s="22"/>
      <c r="G82" s="21"/>
      <c r="H82" s="84"/>
      <c r="I82" s="22"/>
      <c r="J82" s="21"/>
      <c r="K82" s="21"/>
    </row>
    <row r="83" spans="1:11" ht="14.45">
      <c r="A83" s="21"/>
      <c r="B83" s="33"/>
      <c r="C83" s="21"/>
      <c r="D83" s="21"/>
      <c r="E83" s="21"/>
      <c r="F83" s="22"/>
      <c r="G83" s="21"/>
      <c r="H83" s="84"/>
      <c r="I83" s="22"/>
      <c r="J83" s="21"/>
      <c r="K83" s="21"/>
    </row>
    <row r="84" spans="1:11" ht="14.45">
      <c r="A84" s="21"/>
      <c r="B84" s="33"/>
      <c r="C84" s="21"/>
      <c r="D84" s="21"/>
      <c r="E84" s="21"/>
      <c r="F84" s="22"/>
      <c r="G84" s="21"/>
      <c r="H84" s="84"/>
      <c r="I84" s="22"/>
      <c r="J84" s="21"/>
      <c r="K84" s="21"/>
    </row>
    <row r="85" spans="1:11" ht="14.45">
      <c r="A85" s="21"/>
      <c r="B85" s="33"/>
      <c r="C85" s="21"/>
      <c r="D85" s="21"/>
      <c r="E85" s="21"/>
      <c r="F85" s="22"/>
      <c r="G85" s="21"/>
      <c r="H85" s="84"/>
      <c r="I85" s="22"/>
      <c r="J85" s="21"/>
      <c r="K85" s="21"/>
    </row>
    <row r="86" spans="1:11" ht="14.45">
      <c r="A86" s="21"/>
      <c r="B86" s="33"/>
      <c r="C86" s="21"/>
      <c r="D86" s="21"/>
      <c r="E86" s="21"/>
      <c r="F86" s="22"/>
      <c r="G86" s="21"/>
      <c r="H86" s="84"/>
      <c r="I86" s="22"/>
      <c r="J86" s="21"/>
      <c r="K86" s="21"/>
    </row>
    <row r="87" spans="1:11" ht="14.45">
      <c r="A87" s="21"/>
      <c r="B87" s="33"/>
      <c r="C87" s="21"/>
      <c r="D87" s="21"/>
      <c r="E87" s="21"/>
      <c r="F87" s="22"/>
      <c r="G87" s="21"/>
      <c r="H87" s="84"/>
      <c r="I87" s="22"/>
      <c r="J87" s="21"/>
      <c r="K87" s="21"/>
    </row>
    <row r="88" spans="1:11" ht="14.45">
      <c r="A88" s="21"/>
      <c r="B88" s="33"/>
      <c r="C88" s="21"/>
      <c r="D88" s="21"/>
      <c r="E88" s="21"/>
      <c r="F88" s="22"/>
      <c r="G88" s="21"/>
      <c r="H88" s="84"/>
      <c r="I88" s="22"/>
      <c r="J88" s="21"/>
      <c r="K88" s="21"/>
    </row>
    <row r="89" spans="1:11" ht="14.45">
      <c r="A89" s="21"/>
      <c r="B89" s="33"/>
      <c r="C89" s="21"/>
      <c r="D89" s="21"/>
      <c r="E89" s="21"/>
      <c r="F89" s="22"/>
      <c r="G89" s="21"/>
      <c r="H89" s="84"/>
      <c r="I89" s="22"/>
      <c r="J89" s="21"/>
      <c r="K89" s="21"/>
    </row>
    <row r="90" spans="1:11" ht="14.45">
      <c r="A90" s="21"/>
      <c r="B90" s="33"/>
      <c r="C90" s="21"/>
      <c r="D90" s="21"/>
      <c r="E90" s="21"/>
      <c r="F90" s="22"/>
      <c r="G90" s="21"/>
      <c r="H90" s="84"/>
      <c r="I90" s="22"/>
      <c r="J90" s="21"/>
      <c r="K90" s="21"/>
    </row>
    <row r="91" spans="1:11" ht="14.45">
      <c r="A91" s="21"/>
      <c r="B91" s="33"/>
      <c r="C91" s="21"/>
      <c r="D91" s="21"/>
      <c r="E91" s="21"/>
      <c r="F91" s="22"/>
      <c r="G91" s="21"/>
      <c r="H91" s="84"/>
      <c r="I91" s="22"/>
      <c r="J91" s="21"/>
      <c r="K91" s="21"/>
    </row>
    <row r="92" spans="1:11" ht="14.45">
      <c r="A92" s="21"/>
      <c r="B92" s="33"/>
      <c r="C92" s="21"/>
      <c r="D92" s="21"/>
      <c r="E92" s="21"/>
      <c r="F92" s="22"/>
      <c r="G92" s="21"/>
      <c r="H92" s="84"/>
      <c r="I92" s="22"/>
      <c r="J92" s="21"/>
      <c r="K92" s="21"/>
    </row>
    <row r="93" spans="1:11" ht="14.45">
      <c r="A93" s="21"/>
      <c r="B93" s="33"/>
      <c r="C93" s="21"/>
      <c r="D93" s="21"/>
      <c r="E93" s="21"/>
      <c r="F93" s="22"/>
      <c r="G93" s="21"/>
      <c r="H93" s="84"/>
      <c r="I93" s="22"/>
      <c r="J93" s="21"/>
      <c r="K93" s="21"/>
    </row>
    <row r="94" spans="1:11" ht="14.45">
      <c r="A94" s="21"/>
      <c r="B94" s="33"/>
      <c r="C94" s="21"/>
      <c r="D94" s="21"/>
      <c r="E94" s="21"/>
      <c r="F94" s="22"/>
      <c r="G94" s="21"/>
      <c r="H94" s="84"/>
      <c r="I94" s="22"/>
      <c r="J94" s="21"/>
      <c r="K94" s="21"/>
    </row>
    <row r="95" spans="1:11" ht="14.45">
      <c r="A95" s="21"/>
      <c r="B95" s="33"/>
      <c r="C95" s="21"/>
      <c r="D95" s="21"/>
      <c r="E95" s="21"/>
      <c r="F95" s="22"/>
      <c r="G95" s="21"/>
      <c r="H95" s="84"/>
      <c r="I95" s="22"/>
      <c r="J95" s="21"/>
      <c r="K95" s="21"/>
    </row>
    <row r="96" spans="1:11" ht="14.45">
      <c r="A96" s="21"/>
      <c r="B96" s="33"/>
      <c r="C96" s="21"/>
      <c r="D96" s="21"/>
      <c r="E96" s="21"/>
      <c r="F96" s="22"/>
      <c r="G96" s="21"/>
      <c r="H96" s="84"/>
      <c r="I96" s="22"/>
      <c r="J96" s="21"/>
      <c r="K96" s="21"/>
    </row>
    <row r="97" spans="1:11" ht="14.45">
      <c r="A97" s="21"/>
      <c r="B97" s="33"/>
      <c r="C97" s="21"/>
      <c r="D97" s="21"/>
      <c r="E97" s="21"/>
      <c r="F97" s="22"/>
      <c r="G97" s="21"/>
      <c r="H97" s="84"/>
      <c r="I97" s="22"/>
      <c r="J97" s="21"/>
      <c r="K97" s="21"/>
    </row>
    <row r="98" spans="1:11" ht="14.45">
      <c r="A98" s="21"/>
      <c r="B98" s="33"/>
      <c r="C98" s="21"/>
      <c r="D98" s="21"/>
      <c r="E98" s="21"/>
      <c r="F98" s="22"/>
      <c r="G98" s="21"/>
      <c r="H98" s="84"/>
      <c r="I98" s="22"/>
      <c r="J98" s="21"/>
      <c r="K98" s="21"/>
    </row>
    <row r="99" spans="1:11" ht="14.45">
      <c r="A99" s="21"/>
      <c r="B99" s="33"/>
      <c r="C99" s="21"/>
      <c r="D99" s="21"/>
      <c r="E99" s="21"/>
      <c r="F99" s="22"/>
      <c r="G99" s="21"/>
      <c r="H99" s="84"/>
      <c r="I99" s="22"/>
      <c r="J99" s="21"/>
      <c r="K99" s="21"/>
    </row>
    <row r="100" spans="1:11" ht="14.45">
      <c r="A100" s="21"/>
      <c r="B100" s="33"/>
      <c r="C100" s="21"/>
      <c r="D100" s="21"/>
      <c r="E100" s="21"/>
      <c r="F100" s="22"/>
      <c r="G100" s="21"/>
      <c r="H100" s="84"/>
      <c r="I100" s="22"/>
      <c r="J100" s="21"/>
      <c r="K100" s="21"/>
    </row>
    <row r="101" spans="1:11" ht="14.45">
      <c r="A101" s="21"/>
      <c r="B101" s="33"/>
      <c r="C101" s="21"/>
      <c r="D101" s="21"/>
      <c r="E101" s="21"/>
      <c r="F101" s="22"/>
      <c r="G101" s="21"/>
      <c r="H101" s="84"/>
      <c r="I101" s="22"/>
      <c r="J101" s="21"/>
      <c r="K101" s="21"/>
    </row>
    <row r="102" spans="1:11" ht="14.45">
      <c r="A102" s="21"/>
      <c r="B102" s="33"/>
      <c r="C102" s="21"/>
      <c r="D102" s="21"/>
      <c r="E102" s="21"/>
      <c r="F102" s="22"/>
      <c r="G102" s="21"/>
      <c r="H102" s="84"/>
      <c r="I102" s="22"/>
      <c r="J102" s="21"/>
      <c r="K102" s="21"/>
    </row>
    <row r="103" spans="1:11" ht="14.45">
      <c r="A103" s="21"/>
      <c r="B103" s="33"/>
      <c r="C103" s="21"/>
      <c r="D103" s="21"/>
      <c r="E103" s="21"/>
      <c r="F103" s="22"/>
      <c r="G103" s="21"/>
      <c r="H103" s="84"/>
      <c r="I103" s="22"/>
      <c r="J103" s="21"/>
      <c r="K103" s="21"/>
    </row>
    <row r="104" spans="1:11" ht="14.45">
      <c r="A104" s="21"/>
      <c r="B104" s="33"/>
      <c r="C104" s="21"/>
      <c r="D104" s="21"/>
      <c r="E104" s="21"/>
      <c r="F104" s="22"/>
      <c r="G104" s="21"/>
      <c r="H104" s="84"/>
      <c r="I104" s="22"/>
      <c r="J104" s="21"/>
      <c r="K104" s="21"/>
    </row>
    <row r="105" spans="1:11" ht="14.45">
      <c r="A105" s="21"/>
      <c r="B105" s="33"/>
      <c r="C105" s="21"/>
      <c r="D105" s="21"/>
      <c r="E105" s="21"/>
      <c r="F105" s="22"/>
      <c r="G105" s="21"/>
      <c r="H105" s="84"/>
      <c r="I105" s="22"/>
      <c r="J105" s="21"/>
      <c r="K105" s="21"/>
    </row>
    <row r="106" spans="1:11" ht="14.45">
      <c r="A106" s="21"/>
      <c r="B106" s="33"/>
      <c r="C106" s="21"/>
      <c r="D106" s="21"/>
      <c r="E106" s="21"/>
      <c r="F106" s="22"/>
      <c r="G106" s="21"/>
      <c r="H106" s="84"/>
      <c r="I106" s="22"/>
      <c r="J106" s="21"/>
      <c r="K106" s="21"/>
    </row>
    <row r="107" spans="1:11" ht="14.45">
      <c r="A107" s="21"/>
      <c r="B107" s="33"/>
      <c r="C107" s="21"/>
      <c r="D107" s="21"/>
      <c r="E107" s="21"/>
      <c r="F107" s="22"/>
      <c r="G107" s="21"/>
      <c r="H107" s="84"/>
      <c r="I107" s="22"/>
      <c r="J107" s="21"/>
      <c r="K107" s="21"/>
    </row>
    <row r="108" spans="1:11" ht="14.45">
      <c r="A108" s="21"/>
      <c r="B108" s="33"/>
      <c r="C108" s="21"/>
      <c r="D108" s="21"/>
      <c r="E108" s="21"/>
      <c r="F108" s="22"/>
      <c r="G108" s="21"/>
      <c r="H108" s="84"/>
      <c r="I108" s="22"/>
      <c r="J108" s="21"/>
      <c r="K108" s="21"/>
    </row>
    <row r="109" spans="1:11" ht="14.45">
      <c r="A109" s="21"/>
      <c r="B109" s="33"/>
      <c r="C109" s="21"/>
      <c r="D109" s="21"/>
      <c r="E109" s="21"/>
      <c r="F109" s="22"/>
      <c r="G109" s="21"/>
      <c r="H109" s="84"/>
      <c r="I109" s="22"/>
      <c r="J109" s="21"/>
      <c r="K109" s="21"/>
    </row>
    <row r="110" spans="1:11" ht="14.45">
      <c r="A110" s="21"/>
      <c r="B110" s="33"/>
      <c r="C110" s="21"/>
      <c r="D110" s="21"/>
      <c r="E110" s="21"/>
      <c r="F110" s="22"/>
      <c r="G110" s="21"/>
      <c r="H110" s="84"/>
      <c r="I110" s="22"/>
      <c r="J110" s="21"/>
      <c r="K110" s="21"/>
    </row>
    <row r="111" spans="1:11" ht="14.45">
      <c r="A111" s="21"/>
      <c r="B111" s="33"/>
      <c r="C111" s="21"/>
      <c r="D111" s="21"/>
      <c r="E111" s="21"/>
      <c r="F111" s="22"/>
      <c r="G111" s="21"/>
      <c r="H111" s="84"/>
      <c r="I111" s="22"/>
      <c r="J111" s="21"/>
      <c r="K111" s="21"/>
    </row>
    <row r="112" spans="1:11" ht="14.45">
      <c r="A112" s="21"/>
      <c r="B112" s="33"/>
      <c r="C112" s="21"/>
      <c r="D112" s="21"/>
      <c r="E112" s="21"/>
      <c r="F112" s="22"/>
      <c r="G112" s="21"/>
      <c r="H112" s="84"/>
      <c r="I112" s="22"/>
      <c r="J112" s="21"/>
      <c r="K112" s="21"/>
    </row>
    <row r="113" spans="1:11" ht="14.45">
      <c r="A113" s="21"/>
      <c r="B113" s="33"/>
      <c r="C113" s="21"/>
      <c r="D113" s="21"/>
      <c r="E113" s="21"/>
      <c r="F113" s="22"/>
      <c r="G113" s="21"/>
      <c r="H113" s="84"/>
      <c r="I113" s="22"/>
      <c r="J113" s="21"/>
      <c r="K113" s="21"/>
    </row>
    <row r="114" spans="1:11" ht="14.45">
      <c r="A114" s="21"/>
      <c r="B114" s="33"/>
      <c r="C114" s="21"/>
      <c r="D114" s="21"/>
      <c r="E114" s="21"/>
      <c r="F114" s="22"/>
      <c r="G114" s="21"/>
      <c r="H114" s="84"/>
      <c r="I114" s="22"/>
      <c r="J114" s="21"/>
      <c r="K114" s="21"/>
    </row>
    <row r="115" spans="1:11" ht="14.45">
      <c r="A115" s="21"/>
      <c r="B115" s="33"/>
      <c r="C115" s="21"/>
      <c r="D115" s="21"/>
      <c r="E115" s="21"/>
      <c r="F115" s="22"/>
      <c r="G115" s="21"/>
      <c r="H115" s="84"/>
      <c r="I115" s="22"/>
      <c r="J115" s="21"/>
      <c r="K115" s="21"/>
    </row>
    <row r="116" spans="1:11" ht="14.45">
      <c r="A116" s="21"/>
      <c r="B116" s="33"/>
      <c r="C116" s="21"/>
      <c r="D116" s="21"/>
      <c r="E116" s="21"/>
      <c r="F116" s="22"/>
      <c r="G116" s="21"/>
      <c r="H116" s="84"/>
      <c r="I116" s="22"/>
      <c r="J116" s="21"/>
      <c r="K116" s="21"/>
    </row>
    <row r="117" spans="1:11" ht="14.45">
      <c r="A117" s="21"/>
      <c r="B117" s="33"/>
      <c r="C117" s="21"/>
      <c r="D117" s="21"/>
      <c r="E117" s="21"/>
      <c r="F117" s="22"/>
      <c r="G117" s="21"/>
      <c r="H117" s="84"/>
      <c r="I117" s="22"/>
      <c r="J117" s="21"/>
      <c r="K117" s="21"/>
    </row>
    <row r="118" spans="1:11" ht="14.45">
      <c r="A118" s="21"/>
      <c r="B118" s="33"/>
      <c r="C118" s="21"/>
      <c r="D118" s="21"/>
      <c r="E118" s="21"/>
      <c r="F118" s="22"/>
      <c r="G118" s="21"/>
      <c r="H118" s="84"/>
      <c r="I118" s="22"/>
      <c r="J118" s="21"/>
      <c r="K118" s="21"/>
    </row>
    <row r="119" spans="1:11" ht="14.45">
      <c r="A119" s="21"/>
      <c r="B119" s="33"/>
      <c r="C119" s="21"/>
      <c r="D119" s="21"/>
      <c r="E119" s="21"/>
      <c r="F119" s="22"/>
      <c r="G119" s="21"/>
      <c r="H119" s="84"/>
      <c r="I119" s="22"/>
      <c r="J119" s="21"/>
      <c r="K119" s="21"/>
    </row>
    <row r="120" spans="1:11" ht="14.45">
      <c r="A120" s="21"/>
      <c r="B120" s="33"/>
      <c r="C120" s="21"/>
      <c r="D120" s="21"/>
      <c r="E120" s="21"/>
      <c r="F120" s="22"/>
      <c r="G120" s="21"/>
      <c r="H120" s="84"/>
      <c r="I120" s="22"/>
      <c r="J120" s="21"/>
      <c r="K120" s="21"/>
    </row>
    <row r="121" spans="1:11" ht="14.45">
      <c r="A121" s="21"/>
      <c r="B121" s="33"/>
      <c r="C121" s="21"/>
      <c r="D121" s="21"/>
      <c r="E121" s="21"/>
      <c r="F121" s="22"/>
      <c r="G121" s="21"/>
      <c r="H121" s="84"/>
      <c r="I121" s="22"/>
      <c r="J121" s="21"/>
      <c r="K121" s="21"/>
    </row>
    <row r="122" spans="1:11" ht="14.45">
      <c r="A122" s="21"/>
      <c r="B122" s="33"/>
      <c r="C122" s="21"/>
      <c r="D122" s="21"/>
      <c r="E122" s="21"/>
      <c r="F122" s="22"/>
      <c r="G122" s="21"/>
      <c r="H122" s="84"/>
      <c r="I122" s="22"/>
      <c r="J122" s="21"/>
      <c r="K122" s="21"/>
    </row>
    <row r="123" spans="1:11" ht="14.45">
      <c r="A123" s="21"/>
      <c r="B123" s="33"/>
      <c r="C123" s="21"/>
      <c r="D123" s="21"/>
      <c r="E123" s="21"/>
      <c r="F123" s="22"/>
      <c r="G123" s="21"/>
      <c r="H123" s="84"/>
      <c r="I123" s="22"/>
      <c r="J123" s="21"/>
      <c r="K123" s="21"/>
    </row>
    <row r="124" spans="1:11" ht="14.45">
      <c r="A124" s="21"/>
      <c r="B124" s="33"/>
      <c r="C124" s="21"/>
      <c r="D124" s="21"/>
      <c r="E124" s="21"/>
      <c r="F124" s="22"/>
      <c r="G124" s="21"/>
      <c r="H124" s="84"/>
      <c r="I124" s="22"/>
      <c r="J124" s="21"/>
      <c r="K124" s="21"/>
    </row>
    <row r="125" spans="1:11" ht="14.45">
      <c r="A125" s="21"/>
      <c r="B125" s="33"/>
      <c r="C125" s="21"/>
      <c r="D125" s="21"/>
      <c r="E125" s="21"/>
      <c r="F125" s="22"/>
      <c r="G125" s="21"/>
      <c r="H125" s="84"/>
      <c r="I125" s="22"/>
      <c r="J125" s="21"/>
      <c r="K125" s="21"/>
    </row>
    <row r="126" spans="1:11" ht="14.45">
      <c r="A126" s="21"/>
      <c r="B126" s="33"/>
      <c r="C126" s="21"/>
      <c r="D126" s="21"/>
      <c r="E126" s="21"/>
      <c r="F126" s="22"/>
      <c r="G126" s="21"/>
      <c r="H126" s="84"/>
      <c r="I126" s="22"/>
      <c r="J126" s="21"/>
      <c r="K126" s="21"/>
    </row>
    <row r="127" spans="1:11" ht="14.45">
      <c r="A127" s="21"/>
      <c r="B127" s="33"/>
      <c r="C127" s="21"/>
      <c r="D127" s="21"/>
      <c r="E127" s="21"/>
      <c r="F127" s="22"/>
      <c r="G127" s="21"/>
      <c r="H127" s="84"/>
      <c r="I127" s="22"/>
      <c r="J127" s="21"/>
      <c r="K127" s="21"/>
    </row>
    <row r="128" spans="1:11" ht="14.45">
      <c r="A128" s="21"/>
      <c r="B128" s="33"/>
      <c r="C128" s="21"/>
      <c r="D128" s="21"/>
      <c r="E128" s="21"/>
      <c r="F128" s="22"/>
      <c r="G128" s="21"/>
      <c r="H128" s="84"/>
      <c r="I128" s="22"/>
      <c r="J128" s="21"/>
      <c r="K128" s="21"/>
    </row>
    <row r="129" spans="1:11" ht="14.45">
      <c r="A129" s="21"/>
      <c r="B129" s="33"/>
      <c r="C129" s="21"/>
      <c r="D129" s="21"/>
      <c r="E129" s="21"/>
      <c r="F129" s="22"/>
      <c r="G129" s="21"/>
      <c r="H129" s="84"/>
      <c r="I129" s="22"/>
      <c r="J129" s="21"/>
      <c r="K129" s="21"/>
    </row>
    <row r="130" spans="1:11" ht="14.45">
      <c r="A130" s="21"/>
      <c r="B130" s="33"/>
      <c r="C130" s="21"/>
      <c r="D130" s="21"/>
      <c r="E130" s="21"/>
      <c r="F130" s="22"/>
      <c r="G130" s="21"/>
      <c r="H130" s="84"/>
      <c r="I130" s="22"/>
      <c r="J130" s="21"/>
      <c r="K130" s="21"/>
    </row>
    <row r="131" spans="1:11" ht="14.45">
      <c r="A131" s="21"/>
      <c r="B131" s="33"/>
      <c r="C131" s="21"/>
      <c r="D131" s="21"/>
      <c r="E131" s="21"/>
      <c r="F131" s="22"/>
      <c r="G131" s="21"/>
      <c r="H131" s="84"/>
      <c r="I131" s="22"/>
      <c r="J131" s="21"/>
      <c r="K131" s="21"/>
    </row>
    <row r="132" spans="1:11" ht="14.45">
      <c r="A132" s="21"/>
      <c r="B132" s="33"/>
      <c r="C132" s="21"/>
      <c r="D132" s="21"/>
      <c r="E132" s="21"/>
      <c r="F132" s="22"/>
      <c r="G132" s="21"/>
      <c r="H132" s="84"/>
      <c r="I132" s="22"/>
      <c r="J132" s="21"/>
      <c r="K132" s="21"/>
    </row>
    <row r="133" spans="1:11" ht="14.45">
      <c r="A133" s="21"/>
      <c r="B133" s="33"/>
      <c r="C133" s="21"/>
      <c r="D133" s="21"/>
      <c r="E133" s="21"/>
      <c r="F133" s="22"/>
      <c r="G133" s="21"/>
      <c r="H133" s="84"/>
      <c r="I133" s="22"/>
      <c r="J133" s="21"/>
      <c r="K133" s="21"/>
    </row>
    <row r="134" spans="1:11" ht="14.45">
      <c r="A134" s="21"/>
      <c r="B134" s="33"/>
      <c r="C134" s="21"/>
      <c r="D134" s="21"/>
      <c r="E134" s="21"/>
      <c r="F134" s="22"/>
      <c r="G134" s="21"/>
      <c r="H134" s="84"/>
      <c r="I134" s="22"/>
      <c r="J134" s="21"/>
      <c r="K134" s="21"/>
    </row>
    <row r="135" spans="1:11" ht="14.45">
      <c r="A135" s="21"/>
      <c r="B135" s="33"/>
      <c r="C135" s="21"/>
      <c r="D135" s="21"/>
      <c r="E135" s="21"/>
      <c r="F135" s="22"/>
      <c r="G135" s="21"/>
      <c r="H135" s="84"/>
      <c r="I135" s="22"/>
      <c r="J135" s="21"/>
      <c r="K135" s="21"/>
    </row>
    <row r="136" spans="1:11" ht="14.45">
      <c r="A136" s="21"/>
      <c r="B136" s="33"/>
      <c r="C136" s="21"/>
      <c r="D136" s="21"/>
      <c r="E136" s="21"/>
      <c r="F136" s="22"/>
      <c r="G136" s="21"/>
      <c r="H136" s="84"/>
      <c r="I136" s="22"/>
      <c r="J136" s="21"/>
      <c r="K136" s="21"/>
    </row>
    <row r="137" spans="1:11" ht="14.45">
      <c r="A137" s="21"/>
      <c r="B137" s="33"/>
      <c r="C137" s="21"/>
      <c r="D137" s="21"/>
      <c r="E137" s="21"/>
      <c r="F137" s="22"/>
      <c r="G137" s="21"/>
      <c r="H137" s="84"/>
      <c r="I137" s="22"/>
      <c r="J137" s="21"/>
      <c r="K137" s="21"/>
    </row>
    <row r="138" spans="1:11" ht="14.45">
      <c r="A138" s="21"/>
      <c r="B138" s="33"/>
      <c r="C138" s="21"/>
      <c r="D138" s="21"/>
      <c r="E138" s="21"/>
      <c r="F138" s="22"/>
      <c r="G138" s="21"/>
      <c r="H138" s="84"/>
      <c r="I138" s="22"/>
      <c r="J138" s="21"/>
      <c r="K138" s="21"/>
    </row>
    <row r="139" spans="1:11" ht="14.45">
      <c r="A139" s="21"/>
      <c r="B139" s="33"/>
      <c r="C139" s="21"/>
      <c r="D139" s="21"/>
      <c r="E139" s="21"/>
      <c r="F139" s="22"/>
      <c r="G139" s="21"/>
      <c r="H139" s="84"/>
      <c r="I139" s="22"/>
      <c r="J139" s="21"/>
      <c r="K139" s="21"/>
    </row>
    <row r="140" spans="1:11" ht="14.45">
      <c r="A140" s="21"/>
      <c r="B140" s="33"/>
      <c r="C140" s="21"/>
      <c r="D140" s="21"/>
      <c r="E140" s="21"/>
      <c r="F140" s="22"/>
      <c r="G140" s="21"/>
      <c r="H140" s="84"/>
      <c r="I140" s="22"/>
      <c r="J140" s="21"/>
      <c r="K140" s="21"/>
    </row>
    <row r="141" spans="1:11" ht="14.45">
      <c r="A141" s="21"/>
      <c r="B141" s="33"/>
      <c r="C141" s="21"/>
      <c r="D141" s="21"/>
      <c r="E141" s="21"/>
      <c r="F141" s="22"/>
      <c r="G141" s="21"/>
      <c r="H141" s="84"/>
      <c r="I141" s="22"/>
      <c r="J141" s="21"/>
      <c r="K141" s="21"/>
    </row>
    <row r="142" spans="1:11" ht="14.45">
      <c r="A142" s="21"/>
      <c r="B142" s="33"/>
      <c r="C142" s="21"/>
      <c r="D142" s="21"/>
      <c r="E142" s="21"/>
      <c r="F142" s="22"/>
      <c r="G142" s="21"/>
      <c r="H142" s="84"/>
      <c r="I142" s="22"/>
      <c r="J142" s="21"/>
      <c r="K142" s="21"/>
    </row>
    <row r="143" spans="1:11" ht="14.45">
      <c r="A143" s="21"/>
      <c r="B143" s="33"/>
      <c r="C143" s="21"/>
      <c r="D143" s="21"/>
      <c r="E143" s="21"/>
      <c r="F143" s="22"/>
      <c r="G143" s="21"/>
      <c r="H143" s="84"/>
      <c r="I143" s="22"/>
      <c r="J143" s="21"/>
      <c r="K143" s="21"/>
    </row>
    <row r="144" spans="1:11" ht="14.45">
      <c r="A144" s="21"/>
      <c r="B144" s="33"/>
      <c r="C144" s="21"/>
      <c r="D144" s="21"/>
      <c r="E144" s="21"/>
      <c r="F144" s="22"/>
      <c r="G144" s="21"/>
      <c r="H144" s="84"/>
      <c r="I144" s="22"/>
      <c r="J144" s="21"/>
      <c r="K144" s="21"/>
    </row>
    <row r="145" spans="1:11" ht="14.45">
      <c r="A145" s="21"/>
      <c r="B145" s="33"/>
      <c r="C145" s="21"/>
      <c r="D145" s="21"/>
      <c r="E145" s="21"/>
      <c r="F145" s="22"/>
      <c r="G145" s="21"/>
      <c r="H145" s="84"/>
      <c r="I145" s="22"/>
      <c r="J145" s="21"/>
      <c r="K145" s="21"/>
    </row>
    <row r="146" spans="1:11" ht="14.45">
      <c r="A146" s="21"/>
      <c r="B146" s="33"/>
      <c r="C146" s="21"/>
      <c r="D146" s="21"/>
      <c r="E146" s="21"/>
      <c r="F146" s="22"/>
      <c r="G146" s="21"/>
      <c r="H146" s="84"/>
      <c r="I146" s="22"/>
      <c r="J146" s="21"/>
      <c r="K146" s="21"/>
    </row>
    <row r="147" spans="1:11" ht="14.45">
      <c r="A147" s="21"/>
      <c r="B147" s="33"/>
      <c r="C147" s="21"/>
      <c r="D147" s="21"/>
      <c r="E147" s="21"/>
      <c r="F147" s="22"/>
      <c r="G147" s="21"/>
      <c r="H147" s="84"/>
      <c r="I147" s="22"/>
      <c r="J147" s="21"/>
      <c r="K147" s="21"/>
    </row>
    <row r="148" spans="1:11" ht="14.45">
      <c r="A148" s="21"/>
      <c r="B148" s="33"/>
      <c r="C148" s="21"/>
      <c r="D148" s="21"/>
      <c r="E148" s="21"/>
      <c r="F148" s="22"/>
      <c r="G148" s="21"/>
      <c r="H148" s="84"/>
      <c r="I148" s="22"/>
      <c r="J148" s="21"/>
      <c r="K148" s="21"/>
    </row>
    <row r="149" spans="1:11" ht="14.45">
      <c r="A149" s="21"/>
      <c r="B149" s="33"/>
      <c r="C149" s="21"/>
      <c r="D149" s="21"/>
      <c r="E149" s="21"/>
      <c r="F149" s="22"/>
      <c r="G149" s="21"/>
      <c r="H149" s="84"/>
      <c r="I149" s="22"/>
      <c r="J149" s="21"/>
      <c r="K149" s="21"/>
    </row>
    <row r="150" spans="1:11" ht="14.45">
      <c r="A150" s="21"/>
      <c r="B150" s="33"/>
      <c r="C150" s="21"/>
      <c r="D150" s="21"/>
      <c r="E150" s="21"/>
      <c r="F150" s="22"/>
      <c r="G150" s="21"/>
      <c r="H150" s="84"/>
      <c r="I150" s="22"/>
      <c r="J150" s="21"/>
      <c r="K150" s="21"/>
    </row>
    <row r="151" spans="1:11" ht="14.45">
      <c r="A151" s="21"/>
      <c r="B151" s="33"/>
      <c r="C151" s="21"/>
      <c r="D151" s="21"/>
      <c r="E151" s="21"/>
      <c r="F151" s="22"/>
      <c r="G151" s="21"/>
      <c r="H151" s="84"/>
      <c r="I151" s="22"/>
      <c r="J151" s="21"/>
      <c r="K151" s="21"/>
    </row>
    <row r="152" spans="1:11" ht="14.45">
      <c r="A152" s="21"/>
      <c r="B152" s="33"/>
      <c r="C152" s="21"/>
      <c r="D152" s="21"/>
      <c r="E152" s="21"/>
      <c r="F152" s="22"/>
      <c r="G152" s="21"/>
      <c r="H152" s="84"/>
      <c r="I152" s="22"/>
      <c r="J152" s="21"/>
      <c r="K152" s="21"/>
    </row>
    <row r="153" spans="1:11" ht="14.45">
      <c r="A153" s="21"/>
      <c r="B153" s="33"/>
      <c r="C153" s="21"/>
      <c r="D153" s="21"/>
      <c r="E153" s="21"/>
      <c r="F153" s="22"/>
      <c r="G153" s="21"/>
      <c r="H153" s="84"/>
      <c r="I153" s="22"/>
      <c r="J153" s="21"/>
      <c r="K153" s="21"/>
    </row>
    <row r="154" spans="1:11" ht="14.45">
      <c r="A154" s="21"/>
      <c r="B154" s="33"/>
      <c r="C154" s="21"/>
      <c r="D154" s="21"/>
      <c r="E154" s="21"/>
      <c r="F154" s="22"/>
      <c r="G154" s="21"/>
      <c r="H154" s="84"/>
      <c r="I154" s="22"/>
      <c r="J154" s="21"/>
      <c r="K154" s="21"/>
    </row>
    <row r="155" spans="1:11" ht="14.45">
      <c r="A155" s="21"/>
      <c r="B155" s="33"/>
      <c r="C155" s="21"/>
      <c r="D155" s="21"/>
      <c r="E155" s="21"/>
      <c r="F155" s="22"/>
      <c r="G155" s="21"/>
      <c r="H155" s="84"/>
      <c r="I155" s="22"/>
      <c r="J155" s="21"/>
      <c r="K155" s="21"/>
    </row>
    <row r="156" spans="1:11" ht="14.45">
      <c r="A156" s="21"/>
      <c r="B156" s="33"/>
      <c r="C156" s="21"/>
      <c r="D156" s="21"/>
      <c r="E156" s="21"/>
      <c r="F156" s="22"/>
      <c r="G156" s="21"/>
      <c r="H156" s="84"/>
      <c r="I156" s="22"/>
      <c r="J156" s="21"/>
      <c r="K156" s="21"/>
    </row>
    <row r="157" spans="1:11" ht="14.45">
      <c r="A157" s="21"/>
      <c r="B157" s="33"/>
      <c r="C157" s="21"/>
      <c r="D157" s="21"/>
      <c r="E157" s="21"/>
      <c r="F157" s="22"/>
      <c r="G157" s="21"/>
      <c r="H157" s="84"/>
      <c r="I157" s="22"/>
      <c r="J157" s="21"/>
      <c r="K157" s="21"/>
    </row>
    <row r="158" spans="1:11" ht="14.45">
      <c r="A158" s="21"/>
      <c r="B158" s="33"/>
      <c r="C158" s="21"/>
      <c r="D158" s="21"/>
      <c r="E158" s="21"/>
      <c r="F158" s="22"/>
      <c r="G158" s="21"/>
      <c r="H158" s="84"/>
      <c r="I158" s="22"/>
      <c r="J158" s="21"/>
      <c r="K158" s="21"/>
    </row>
    <row r="159" spans="1:11" ht="14.45">
      <c r="A159" s="21"/>
      <c r="B159" s="33"/>
      <c r="C159" s="21"/>
      <c r="D159" s="21"/>
      <c r="E159" s="21"/>
      <c r="F159" s="22"/>
      <c r="G159" s="21"/>
      <c r="H159" s="84"/>
      <c r="I159" s="22"/>
      <c r="J159" s="21"/>
      <c r="K159" s="21"/>
    </row>
    <row r="160" spans="1:11" ht="14.45">
      <c r="A160" s="21"/>
      <c r="B160" s="33"/>
      <c r="C160" s="21"/>
      <c r="D160" s="21"/>
      <c r="E160" s="21"/>
      <c r="F160" s="22"/>
      <c r="G160" s="21"/>
      <c r="H160" s="84"/>
      <c r="I160" s="22"/>
      <c r="J160" s="21"/>
      <c r="K160" s="21"/>
    </row>
    <row r="161" spans="1:11" ht="14.45">
      <c r="A161" s="21"/>
      <c r="B161" s="33"/>
      <c r="C161" s="21"/>
      <c r="D161" s="21"/>
      <c r="E161" s="21"/>
      <c r="F161" s="22"/>
      <c r="G161" s="21"/>
      <c r="H161" s="84"/>
      <c r="I161" s="22"/>
      <c r="J161" s="21"/>
      <c r="K161" s="21"/>
    </row>
    <row r="162" spans="1:11" ht="14.45">
      <c r="A162" s="21"/>
      <c r="B162" s="33"/>
      <c r="C162" s="21"/>
      <c r="D162" s="21"/>
      <c r="E162" s="21"/>
      <c r="F162" s="22"/>
      <c r="G162" s="21"/>
      <c r="H162" s="84"/>
      <c r="I162" s="22"/>
      <c r="J162" s="21"/>
      <c r="K162" s="21"/>
    </row>
    <row r="163" spans="1:11" ht="14.45">
      <c r="A163" s="21"/>
      <c r="B163" s="33"/>
      <c r="C163" s="21"/>
      <c r="D163" s="21"/>
      <c r="E163" s="21"/>
      <c r="F163" s="22"/>
      <c r="G163" s="21"/>
      <c r="H163" s="84"/>
      <c r="I163" s="22"/>
      <c r="J163" s="21"/>
      <c r="K163" s="21"/>
    </row>
    <row r="164" spans="1:11" ht="14.45">
      <c r="A164" s="21"/>
      <c r="B164" s="33"/>
      <c r="C164" s="21"/>
      <c r="D164" s="21"/>
      <c r="E164" s="21"/>
      <c r="F164" s="22"/>
      <c r="G164" s="21"/>
      <c r="H164" s="84"/>
      <c r="I164" s="22"/>
      <c r="J164" s="21"/>
      <c r="K164" s="21"/>
    </row>
    <row r="165" spans="1:11" ht="14.45">
      <c r="A165" s="21"/>
      <c r="B165" s="33"/>
      <c r="C165" s="21"/>
      <c r="D165" s="21"/>
      <c r="E165" s="21"/>
      <c r="F165" s="22"/>
      <c r="G165" s="21"/>
      <c r="H165" s="84"/>
      <c r="I165" s="22"/>
      <c r="J165" s="21"/>
      <c r="K165" s="21"/>
    </row>
    <row r="166" spans="1:11" ht="14.45">
      <c r="A166" s="21"/>
      <c r="B166" s="33"/>
      <c r="C166" s="21"/>
      <c r="D166" s="21"/>
      <c r="E166" s="21"/>
      <c r="F166" s="22"/>
      <c r="G166" s="21"/>
      <c r="H166" s="84"/>
      <c r="I166" s="22"/>
      <c r="J166" s="21"/>
      <c r="K166" s="21"/>
    </row>
    <row r="167" spans="1:11" ht="14.45">
      <c r="A167" s="21"/>
      <c r="B167" s="33"/>
      <c r="C167" s="21"/>
      <c r="D167" s="21"/>
      <c r="E167" s="21"/>
      <c r="F167" s="22"/>
      <c r="G167" s="21"/>
      <c r="H167" s="84"/>
      <c r="I167" s="22"/>
      <c r="J167" s="21"/>
      <c r="K167" s="21"/>
    </row>
    <row r="168" spans="1:11" ht="14.45">
      <c r="A168" s="21"/>
      <c r="B168" s="33"/>
      <c r="C168" s="21"/>
      <c r="D168" s="21"/>
      <c r="E168" s="21"/>
      <c r="F168" s="22"/>
      <c r="G168" s="21"/>
      <c r="H168" s="84"/>
      <c r="I168" s="22"/>
      <c r="J168" s="21"/>
      <c r="K168" s="21"/>
    </row>
    <row r="169" spans="1:11" ht="14.45">
      <c r="A169" s="21"/>
      <c r="B169" s="33"/>
      <c r="C169" s="21"/>
      <c r="D169" s="21"/>
      <c r="E169" s="21"/>
      <c r="F169" s="22"/>
      <c r="G169" s="21"/>
      <c r="H169" s="84"/>
      <c r="I169" s="22"/>
      <c r="J169" s="21"/>
      <c r="K169" s="21"/>
    </row>
    <row r="170" spans="1:11" ht="14.45">
      <c r="A170" s="21"/>
      <c r="B170" s="33"/>
      <c r="C170" s="21"/>
      <c r="D170" s="21"/>
      <c r="E170" s="21"/>
      <c r="F170" s="22"/>
      <c r="G170" s="21"/>
      <c r="H170" s="84"/>
      <c r="I170" s="22"/>
      <c r="J170" s="21"/>
      <c r="K170" s="21"/>
    </row>
    <row r="171" spans="1:11" ht="14.45">
      <c r="A171" s="21"/>
      <c r="B171" s="33"/>
      <c r="C171" s="21"/>
      <c r="D171" s="21"/>
      <c r="E171" s="21"/>
      <c r="F171" s="22"/>
      <c r="G171" s="21"/>
      <c r="H171" s="84"/>
      <c r="I171" s="22"/>
      <c r="J171" s="21"/>
      <c r="K171" s="21"/>
    </row>
    <row r="172" spans="1:11" ht="14.45">
      <c r="A172" s="21"/>
      <c r="B172" s="33"/>
      <c r="C172" s="21"/>
      <c r="D172" s="21"/>
      <c r="E172" s="21"/>
      <c r="F172" s="22"/>
      <c r="G172" s="21"/>
      <c r="H172" s="84"/>
      <c r="I172" s="22"/>
      <c r="J172" s="21"/>
      <c r="K172" s="21"/>
    </row>
    <row r="173" spans="1:11" ht="14.45">
      <c r="A173" s="21"/>
      <c r="B173" s="33"/>
      <c r="C173" s="21"/>
      <c r="D173" s="21"/>
      <c r="E173" s="21"/>
      <c r="F173" s="22"/>
      <c r="G173" s="21"/>
      <c r="H173" s="84"/>
      <c r="I173" s="22"/>
      <c r="J173" s="21"/>
      <c r="K173" s="21"/>
    </row>
    <row r="174" spans="1:11" ht="14.45">
      <c r="A174" s="21"/>
      <c r="B174" s="33"/>
      <c r="C174" s="21"/>
      <c r="D174" s="21"/>
      <c r="E174" s="21"/>
      <c r="F174" s="22"/>
      <c r="G174" s="21"/>
      <c r="H174" s="84"/>
      <c r="I174" s="22"/>
      <c r="J174" s="21"/>
      <c r="K174" s="21"/>
    </row>
    <row r="175" spans="1:11" ht="14.45">
      <c r="A175" s="21"/>
      <c r="B175" s="33"/>
      <c r="C175" s="21"/>
      <c r="D175" s="21"/>
      <c r="E175" s="21"/>
      <c r="F175" s="22"/>
      <c r="G175" s="21"/>
      <c r="H175" s="84"/>
      <c r="I175" s="22"/>
      <c r="J175" s="21"/>
      <c r="K175" s="21"/>
    </row>
    <row r="176" spans="1:11" ht="14.45">
      <c r="A176" s="21"/>
      <c r="B176" s="33"/>
      <c r="C176" s="21"/>
      <c r="D176" s="21"/>
      <c r="E176" s="21"/>
      <c r="F176" s="22"/>
      <c r="G176" s="21"/>
      <c r="H176" s="84"/>
      <c r="I176" s="22"/>
      <c r="J176" s="21"/>
      <c r="K176" s="21"/>
    </row>
    <row r="177" spans="1:11" ht="14.45">
      <c r="A177" s="21"/>
      <c r="B177" s="33"/>
      <c r="C177" s="21"/>
      <c r="D177" s="21"/>
      <c r="E177" s="21"/>
      <c r="F177" s="22"/>
      <c r="G177" s="21"/>
      <c r="H177" s="84"/>
      <c r="I177" s="22"/>
      <c r="J177" s="21"/>
      <c r="K177" s="21"/>
    </row>
    <row r="178" spans="1:11" ht="14.45">
      <c r="A178" s="21"/>
      <c r="B178" s="33"/>
      <c r="C178" s="21"/>
      <c r="D178" s="21"/>
      <c r="E178" s="21"/>
      <c r="F178" s="22"/>
      <c r="G178" s="21"/>
      <c r="H178" s="84"/>
      <c r="I178" s="22"/>
      <c r="J178" s="21"/>
      <c r="K178" s="21"/>
    </row>
    <row r="179" spans="1:11" ht="14.45">
      <c r="A179" s="21"/>
      <c r="B179" s="33"/>
      <c r="C179" s="21"/>
      <c r="D179" s="21"/>
      <c r="E179" s="21"/>
      <c r="F179" s="22"/>
      <c r="G179" s="21"/>
      <c r="H179" s="84"/>
      <c r="I179" s="22"/>
      <c r="J179" s="21"/>
      <c r="K179" s="21"/>
    </row>
    <row r="180" spans="1:11" ht="14.45">
      <c r="A180" s="21"/>
      <c r="B180" s="33"/>
      <c r="C180" s="21"/>
      <c r="D180" s="21"/>
      <c r="E180" s="21"/>
      <c r="F180" s="22"/>
      <c r="G180" s="21"/>
      <c r="H180" s="84"/>
      <c r="I180" s="22"/>
      <c r="J180" s="21"/>
      <c r="K180" s="21"/>
    </row>
    <row r="181" spans="1:11" ht="14.45">
      <c r="A181" s="21"/>
      <c r="B181" s="33"/>
      <c r="C181" s="21"/>
      <c r="D181" s="21"/>
      <c r="E181" s="21"/>
      <c r="F181" s="22"/>
      <c r="G181" s="21"/>
      <c r="H181" s="84"/>
      <c r="I181" s="22"/>
      <c r="J181" s="21"/>
      <c r="K181" s="21"/>
    </row>
    <row r="182" spans="1:11" ht="14.45">
      <c r="A182" s="21"/>
      <c r="B182" s="33"/>
      <c r="C182" s="21"/>
      <c r="D182" s="21"/>
      <c r="E182" s="21"/>
      <c r="F182" s="22"/>
      <c r="G182" s="21"/>
      <c r="H182" s="84"/>
      <c r="I182" s="22"/>
      <c r="J182" s="21"/>
      <c r="K182" s="21"/>
    </row>
    <row r="183" spans="1:11" ht="14.45">
      <c r="A183" s="21"/>
      <c r="B183" s="33"/>
      <c r="C183" s="21"/>
      <c r="D183" s="21"/>
      <c r="E183" s="21"/>
      <c r="F183" s="22"/>
      <c r="G183" s="21"/>
      <c r="H183" s="84"/>
      <c r="I183" s="22"/>
      <c r="J183" s="21"/>
      <c r="K183" s="21"/>
    </row>
    <row r="184" spans="1:11" ht="14.45">
      <c r="A184" s="21"/>
      <c r="B184" s="33"/>
      <c r="C184" s="21"/>
      <c r="D184" s="21"/>
      <c r="E184" s="21"/>
      <c r="F184" s="22"/>
      <c r="G184" s="21"/>
      <c r="H184" s="84"/>
      <c r="I184" s="22"/>
      <c r="J184" s="21"/>
      <c r="K184" s="21"/>
    </row>
    <row r="185" spans="1:11" ht="14.45">
      <c r="A185" s="21"/>
      <c r="B185" s="33"/>
      <c r="C185" s="21"/>
      <c r="D185" s="21"/>
      <c r="E185" s="21"/>
      <c r="F185" s="22"/>
      <c r="G185" s="21"/>
      <c r="H185" s="84"/>
      <c r="I185" s="22"/>
      <c r="J185" s="21"/>
      <c r="K185" s="21"/>
    </row>
    <row r="186" spans="1:11" ht="14.45">
      <c r="A186" s="21"/>
      <c r="B186" s="33"/>
      <c r="C186" s="21"/>
      <c r="D186" s="21"/>
      <c r="E186" s="21"/>
      <c r="F186" s="22"/>
      <c r="G186" s="21"/>
      <c r="H186" s="84"/>
      <c r="I186" s="22"/>
      <c r="J186" s="21"/>
      <c r="K186" s="21"/>
    </row>
    <row r="187" spans="1:11" ht="14.45">
      <c r="A187" s="21"/>
      <c r="B187" s="33"/>
      <c r="C187" s="21"/>
      <c r="D187" s="21"/>
      <c r="E187" s="21"/>
      <c r="F187" s="22"/>
      <c r="G187" s="21"/>
      <c r="H187" s="84"/>
      <c r="I187" s="22"/>
      <c r="J187" s="21"/>
      <c r="K187" s="21"/>
    </row>
    <row r="188" spans="1:11" ht="14.45">
      <c r="A188" s="21"/>
      <c r="B188" s="33"/>
      <c r="C188" s="21"/>
      <c r="D188" s="21"/>
      <c r="E188" s="21"/>
      <c r="F188" s="22"/>
      <c r="G188" s="21"/>
      <c r="H188" s="84"/>
      <c r="I188" s="22"/>
      <c r="J188" s="21"/>
      <c r="K188" s="21"/>
    </row>
    <row r="189" spans="1:11" ht="14.45">
      <c r="A189" s="21"/>
      <c r="B189" s="33"/>
      <c r="C189" s="21"/>
      <c r="D189" s="21"/>
      <c r="E189" s="21"/>
      <c r="F189" s="22"/>
      <c r="G189" s="21"/>
      <c r="H189" s="84"/>
      <c r="I189" s="22"/>
      <c r="J189" s="21"/>
      <c r="K189" s="21"/>
    </row>
    <row r="190" spans="1:11" ht="14.45">
      <c r="A190" s="21"/>
      <c r="B190" s="33"/>
      <c r="C190" s="21"/>
      <c r="D190" s="21"/>
      <c r="E190" s="21"/>
      <c r="F190" s="22"/>
      <c r="G190" s="21"/>
      <c r="H190" s="84"/>
      <c r="I190" s="22"/>
      <c r="J190" s="21"/>
      <c r="K190" s="21"/>
    </row>
    <row r="191" spans="1:11" ht="14.45">
      <c r="A191" s="21"/>
      <c r="B191" s="33"/>
      <c r="C191" s="21"/>
      <c r="D191" s="21"/>
      <c r="E191" s="21"/>
      <c r="F191" s="22"/>
      <c r="G191" s="21"/>
      <c r="H191" s="84"/>
      <c r="I191" s="22"/>
      <c r="J191" s="21"/>
      <c r="K191" s="21"/>
    </row>
    <row r="192" spans="1:11" ht="14.45">
      <c r="A192" s="21"/>
      <c r="B192" s="33"/>
      <c r="C192" s="21"/>
      <c r="D192" s="21"/>
      <c r="E192" s="21"/>
      <c r="F192" s="22"/>
      <c r="G192" s="21"/>
      <c r="H192" s="84"/>
      <c r="I192" s="22"/>
      <c r="J192" s="21"/>
      <c r="K192" s="21"/>
    </row>
    <row r="193" spans="1:11" ht="14.45">
      <c r="A193" s="21"/>
      <c r="B193" s="33"/>
      <c r="C193" s="21"/>
      <c r="D193" s="21"/>
      <c r="E193" s="21"/>
      <c r="F193" s="22"/>
      <c r="G193" s="21"/>
      <c r="H193" s="84"/>
      <c r="I193" s="22"/>
      <c r="J193" s="21"/>
      <c r="K193" s="21"/>
    </row>
    <row r="194" spans="1:11" ht="14.45">
      <c r="A194" s="21"/>
      <c r="B194" s="33"/>
      <c r="C194" s="21"/>
      <c r="D194" s="21"/>
      <c r="E194" s="21"/>
      <c r="F194" s="22"/>
      <c r="G194" s="21"/>
      <c r="H194" s="84"/>
      <c r="I194" s="22"/>
      <c r="J194" s="21"/>
      <c r="K194" s="21"/>
    </row>
    <row r="195" spans="1:11" ht="14.45">
      <c r="A195" s="21"/>
      <c r="B195" s="33"/>
      <c r="C195" s="21"/>
      <c r="D195" s="21"/>
      <c r="E195" s="21"/>
      <c r="F195" s="22"/>
      <c r="G195" s="21"/>
      <c r="H195" s="84"/>
      <c r="I195" s="22"/>
      <c r="J195" s="21"/>
      <c r="K195" s="21"/>
    </row>
    <row r="196" spans="1:11" ht="14.45">
      <c r="A196" s="21"/>
      <c r="B196" s="33"/>
      <c r="C196" s="21"/>
      <c r="D196" s="21"/>
      <c r="E196" s="21"/>
      <c r="F196" s="22"/>
      <c r="G196" s="21"/>
      <c r="H196" s="84"/>
      <c r="I196" s="22"/>
      <c r="J196" s="21"/>
      <c r="K196" s="21"/>
    </row>
    <row r="197" spans="1:11" ht="14.45">
      <c r="A197" s="21"/>
      <c r="B197" s="33"/>
      <c r="C197" s="21"/>
      <c r="D197" s="21"/>
      <c r="E197" s="21"/>
      <c r="F197" s="22"/>
      <c r="G197" s="21"/>
      <c r="H197" s="84"/>
      <c r="I197" s="22"/>
      <c r="J197" s="21"/>
      <c r="K197" s="21"/>
    </row>
    <row r="198" spans="1:11" ht="14.45">
      <c r="A198" s="21"/>
      <c r="B198" s="33"/>
      <c r="C198" s="21"/>
      <c r="D198" s="21"/>
      <c r="E198" s="21"/>
      <c r="F198" s="22"/>
      <c r="G198" s="21"/>
      <c r="H198" s="84"/>
      <c r="I198" s="22"/>
      <c r="J198" s="21"/>
      <c r="K198" s="21"/>
    </row>
    <row r="199" spans="1:11" ht="14.45">
      <c r="A199" s="21"/>
      <c r="B199" s="33"/>
      <c r="C199" s="21"/>
      <c r="D199" s="21"/>
      <c r="E199" s="21"/>
      <c r="F199" s="22"/>
      <c r="G199" s="21"/>
      <c r="H199" s="84"/>
      <c r="I199" s="22"/>
      <c r="J199" s="21"/>
      <c r="K199" s="21"/>
    </row>
    <row r="200" spans="1:11" ht="14.45">
      <c r="A200" s="21"/>
      <c r="B200" s="33"/>
      <c r="C200" s="21"/>
      <c r="D200" s="21"/>
      <c r="E200" s="21"/>
      <c r="F200" s="22"/>
      <c r="G200" s="21"/>
      <c r="H200" s="84"/>
      <c r="I200" s="22"/>
      <c r="J200" s="21"/>
      <c r="K200" s="21"/>
    </row>
    <row r="201" spans="1:11" ht="14.45">
      <c r="A201" s="21"/>
      <c r="B201" s="33"/>
      <c r="C201" s="21"/>
      <c r="D201" s="21"/>
      <c r="E201" s="21"/>
      <c r="F201" s="22"/>
      <c r="G201" s="21"/>
      <c r="H201" s="84"/>
      <c r="I201" s="22"/>
      <c r="J201" s="21"/>
      <c r="K201" s="21"/>
    </row>
    <row r="202" spans="1:11" ht="14.45">
      <c r="A202" s="21"/>
      <c r="B202" s="33"/>
      <c r="C202" s="21"/>
      <c r="D202" s="21"/>
      <c r="E202" s="21"/>
      <c r="F202" s="22"/>
      <c r="G202" s="21"/>
      <c r="H202" s="84"/>
      <c r="I202" s="22"/>
      <c r="J202" s="21"/>
      <c r="K202" s="21"/>
    </row>
    <row r="203" spans="1:11" ht="14.45">
      <c r="A203" s="21"/>
      <c r="B203" s="33"/>
      <c r="C203" s="21"/>
      <c r="D203" s="21"/>
      <c r="E203" s="21"/>
      <c r="F203" s="22"/>
      <c r="G203" s="21"/>
      <c r="H203" s="84"/>
      <c r="I203" s="22"/>
      <c r="J203" s="21"/>
      <c r="K203" s="21"/>
    </row>
    <row r="204" spans="1:11" ht="14.45">
      <c r="A204" s="21"/>
      <c r="B204" s="33"/>
      <c r="C204" s="21"/>
      <c r="D204" s="21"/>
      <c r="E204" s="21"/>
      <c r="F204" s="22"/>
      <c r="G204" s="21"/>
      <c r="H204" s="84"/>
      <c r="I204" s="22"/>
      <c r="J204" s="21"/>
      <c r="K204" s="21"/>
    </row>
    <row r="205" spans="1:11" ht="14.45">
      <c r="A205" s="21"/>
      <c r="B205" s="33"/>
      <c r="C205" s="21"/>
      <c r="D205" s="21"/>
      <c r="E205" s="21"/>
      <c r="F205" s="22"/>
      <c r="G205" s="21"/>
      <c r="H205" s="84"/>
      <c r="I205" s="22"/>
      <c r="J205" s="21"/>
      <c r="K205" s="21"/>
    </row>
    <row r="206" spans="1:11" ht="14.45">
      <c r="A206" s="21"/>
      <c r="B206" s="33"/>
      <c r="C206" s="21"/>
      <c r="D206" s="21"/>
      <c r="E206" s="21"/>
      <c r="F206" s="22"/>
      <c r="G206" s="21"/>
      <c r="H206" s="84"/>
      <c r="I206" s="22"/>
      <c r="J206" s="21"/>
      <c r="K206" s="21"/>
    </row>
    <row r="207" spans="1:11" ht="14.45">
      <c r="A207" s="21"/>
      <c r="B207" s="33"/>
      <c r="C207" s="21"/>
      <c r="D207" s="21"/>
      <c r="E207" s="21"/>
      <c r="F207" s="22"/>
      <c r="G207" s="21"/>
      <c r="H207" s="84"/>
      <c r="I207" s="22"/>
      <c r="J207" s="21"/>
      <c r="K207" s="21"/>
    </row>
    <row r="208" spans="1:11" ht="14.45">
      <c r="A208" s="21"/>
      <c r="B208" s="33"/>
      <c r="C208" s="21"/>
      <c r="D208" s="21"/>
      <c r="E208" s="21"/>
      <c r="F208" s="22"/>
      <c r="G208" s="21"/>
      <c r="H208" s="84"/>
      <c r="I208" s="22"/>
      <c r="J208" s="21"/>
      <c r="K208" s="21"/>
    </row>
    <row r="209" spans="1:11" ht="14.45">
      <c r="A209" s="21"/>
      <c r="B209" s="33"/>
      <c r="C209" s="21"/>
      <c r="D209" s="21"/>
      <c r="E209" s="21"/>
      <c r="F209" s="22"/>
      <c r="G209" s="21"/>
      <c r="H209" s="84"/>
      <c r="I209" s="22"/>
      <c r="J209" s="21"/>
      <c r="K209" s="21"/>
    </row>
    <row r="210" spans="1:11" ht="14.45">
      <c r="A210" s="21"/>
      <c r="B210" s="33"/>
      <c r="C210" s="21"/>
      <c r="D210" s="21"/>
      <c r="E210" s="21"/>
      <c r="F210" s="22"/>
      <c r="G210" s="21"/>
      <c r="H210" s="84"/>
      <c r="I210" s="22"/>
      <c r="J210" s="21"/>
      <c r="K210" s="21"/>
    </row>
    <row r="211" spans="1:11" ht="14.45">
      <c r="A211" s="21"/>
      <c r="B211" s="33"/>
      <c r="C211" s="21"/>
      <c r="D211" s="21"/>
      <c r="E211" s="21"/>
      <c r="F211" s="22"/>
      <c r="G211" s="21"/>
      <c r="H211" s="84"/>
      <c r="I211" s="22"/>
      <c r="J211" s="21"/>
      <c r="K211" s="21"/>
    </row>
    <row r="212" spans="1:11" ht="14.45">
      <c r="A212" s="21"/>
      <c r="B212" s="33"/>
      <c r="C212" s="21"/>
      <c r="D212" s="21"/>
      <c r="E212" s="21"/>
      <c r="F212" s="22"/>
      <c r="G212" s="21"/>
      <c r="H212" s="84"/>
      <c r="I212" s="22"/>
      <c r="J212" s="21"/>
      <c r="K212" s="21"/>
    </row>
    <row r="213" spans="1:11" ht="14.45">
      <c r="A213" s="21"/>
      <c r="B213" s="33"/>
      <c r="C213" s="21"/>
      <c r="D213" s="21"/>
      <c r="E213" s="21"/>
      <c r="F213" s="22"/>
      <c r="G213" s="21"/>
      <c r="H213" s="84"/>
      <c r="I213" s="22"/>
      <c r="J213" s="21"/>
      <c r="K213" s="21"/>
    </row>
    <row r="214" spans="1:11" ht="14.45">
      <c r="A214" s="21"/>
      <c r="B214" s="33"/>
      <c r="C214" s="21"/>
      <c r="D214" s="21"/>
      <c r="E214" s="21"/>
      <c r="F214" s="22"/>
      <c r="G214" s="21"/>
      <c r="H214" s="84"/>
      <c r="I214" s="22"/>
      <c r="J214" s="21"/>
      <c r="K214" s="21"/>
    </row>
    <row r="215" spans="1:11" ht="14.45">
      <c r="A215" s="21"/>
      <c r="B215" s="33"/>
      <c r="C215" s="21"/>
      <c r="D215" s="21"/>
      <c r="E215" s="21"/>
      <c r="F215" s="22"/>
      <c r="G215" s="21"/>
      <c r="H215" s="84"/>
      <c r="I215" s="22"/>
      <c r="J215" s="21"/>
      <c r="K215" s="21"/>
    </row>
    <row r="216" spans="1:11" ht="14.45">
      <c r="A216" s="21"/>
      <c r="B216" s="33"/>
      <c r="C216" s="21"/>
      <c r="D216" s="21"/>
      <c r="E216" s="21"/>
      <c r="F216" s="22"/>
      <c r="G216" s="21"/>
      <c r="H216" s="84"/>
      <c r="I216" s="22"/>
      <c r="J216" s="21"/>
      <c r="K216" s="21"/>
    </row>
    <row r="217" spans="1:11" ht="14.45">
      <c r="A217" s="21"/>
      <c r="B217" s="33"/>
      <c r="C217" s="21"/>
      <c r="D217" s="21"/>
      <c r="E217" s="21"/>
      <c r="F217" s="22"/>
      <c r="G217" s="21"/>
      <c r="H217" s="84"/>
      <c r="I217" s="22"/>
      <c r="J217" s="21"/>
      <c r="K217" s="21"/>
    </row>
    <row r="218" spans="1:11" ht="14.45">
      <c r="A218" s="21"/>
      <c r="B218" s="33"/>
      <c r="C218" s="21"/>
      <c r="D218" s="21"/>
      <c r="E218" s="21"/>
      <c r="F218" s="22"/>
      <c r="G218" s="21"/>
      <c r="H218" s="84"/>
      <c r="I218" s="22"/>
      <c r="J218" s="21"/>
      <c r="K218" s="21"/>
    </row>
    <row r="219" spans="1:11" ht="14.45">
      <c r="A219" s="21"/>
      <c r="B219" s="33"/>
      <c r="C219" s="21"/>
      <c r="D219" s="21"/>
      <c r="E219" s="21"/>
      <c r="F219" s="22"/>
      <c r="G219" s="21"/>
      <c r="H219" s="84"/>
      <c r="I219" s="22"/>
      <c r="J219" s="21"/>
      <c r="K219" s="21"/>
    </row>
    <row r="220" spans="1:11" ht="14.45">
      <c r="A220" s="21"/>
      <c r="B220" s="33"/>
      <c r="C220" s="21"/>
      <c r="D220" s="21"/>
      <c r="E220" s="21"/>
      <c r="F220" s="22"/>
      <c r="G220" s="21"/>
      <c r="H220" s="84"/>
      <c r="I220" s="22"/>
      <c r="J220" s="21"/>
      <c r="K220" s="21"/>
    </row>
    <row r="221" spans="1:11" ht="14.45">
      <c r="A221" s="21"/>
      <c r="B221" s="33"/>
      <c r="C221" s="21"/>
      <c r="D221" s="21"/>
      <c r="E221" s="21"/>
      <c r="F221" s="22"/>
      <c r="G221" s="21"/>
      <c r="H221" s="84"/>
      <c r="I221" s="22"/>
      <c r="J221" s="21"/>
      <c r="K221" s="21"/>
    </row>
    <row r="222" spans="1:11" ht="14.45">
      <c r="A222" s="21"/>
      <c r="B222" s="33"/>
      <c r="C222" s="21"/>
      <c r="D222" s="21"/>
      <c r="E222" s="21"/>
      <c r="F222" s="22"/>
      <c r="G222" s="21"/>
      <c r="H222" s="84"/>
      <c r="I222" s="22"/>
      <c r="J222" s="21"/>
      <c r="K222" s="21"/>
    </row>
    <row r="223" spans="1:11" ht="14.45">
      <c r="A223" s="21"/>
      <c r="B223" s="33"/>
      <c r="C223" s="21"/>
      <c r="D223" s="21"/>
      <c r="E223" s="21"/>
      <c r="F223" s="22"/>
      <c r="G223" s="21"/>
      <c r="H223" s="84"/>
      <c r="I223" s="22"/>
      <c r="J223" s="21"/>
      <c r="K223" s="21"/>
    </row>
    <row r="224" spans="1:11" ht="14.45">
      <c r="A224" s="21"/>
      <c r="B224" s="33"/>
      <c r="C224" s="21"/>
      <c r="D224" s="21"/>
      <c r="E224" s="21"/>
      <c r="F224" s="22"/>
      <c r="G224" s="21"/>
      <c r="H224" s="84"/>
      <c r="I224" s="22"/>
      <c r="J224" s="21"/>
      <c r="K224" s="21"/>
    </row>
    <row r="225" spans="1:11" ht="14.45">
      <c r="A225" s="21"/>
      <c r="B225" s="33"/>
      <c r="C225" s="21"/>
      <c r="D225" s="21"/>
      <c r="E225" s="21"/>
      <c r="F225" s="22"/>
      <c r="G225" s="21"/>
      <c r="H225" s="84"/>
      <c r="I225" s="22"/>
      <c r="J225" s="21"/>
      <c r="K225" s="21"/>
    </row>
    <row r="226" spans="1:11" ht="14.45">
      <c r="A226" s="21"/>
      <c r="B226" s="33"/>
      <c r="C226" s="21"/>
      <c r="D226" s="21"/>
      <c r="E226" s="21"/>
      <c r="F226" s="22"/>
      <c r="G226" s="21"/>
      <c r="H226" s="84"/>
      <c r="I226" s="22"/>
      <c r="J226" s="21"/>
      <c r="K226" s="21"/>
    </row>
    <row r="227" spans="1:11" ht="14.45">
      <c r="A227" s="21"/>
      <c r="B227" s="33"/>
      <c r="C227" s="21"/>
      <c r="D227" s="21"/>
      <c r="E227" s="21"/>
      <c r="F227" s="22"/>
      <c r="G227" s="21"/>
      <c r="H227" s="84"/>
      <c r="I227" s="22"/>
      <c r="J227" s="21"/>
      <c r="K227" s="21"/>
    </row>
    <row r="228" spans="1:11" ht="14.45">
      <c r="A228" s="21"/>
      <c r="B228" s="33"/>
      <c r="C228" s="21"/>
      <c r="D228" s="21"/>
      <c r="E228" s="21"/>
      <c r="F228" s="22"/>
      <c r="G228" s="21"/>
      <c r="H228" s="84"/>
      <c r="I228" s="22"/>
      <c r="J228" s="21"/>
      <c r="K228" s="21"/>
    </row>
    <row r="229" spans="1:11" ht="14.45">
      <c r="A229" s="21"/>
      <c r="B229" s="33"/>
      <c r="C229" s="21"/>
      <c r="D229" s="21"/>
      <c r="E229" s="21"/>
      <c r="F229" s="22"/>
      <c r="G229" s="21"/>
      <c r="H229" s="84"/>
      <c r="I229" s="22"/>
      <c r="J229" s="21"/>
      <c r="K229" s="21"/>
    </row>
    <row r="230" spans="1:11" ht="14.45">
      <c r="A230" s="21"/>
      <c r="B230" s="33"/>
      <c r="C230" s="21"/>
      <c r="D230" s="21"/>
      <c r="E230" s="21"/>
      <c r="F230" s="22"/>
      <c r="G230" s="21"/>
      <c r="H230" s="84"/>
      <c r="I230" s="22"/>
      <c r="J230" s="21"/>
      <c r="K230" s="21"/>
    </row>
    <row r="231" spans="1:11" ht="14.45">
      <c r="A231" s="21"/>
      <c r="B231" s="33"/>
      <c r="C231" s="21"/>
      <c r="D231" s="21"/>
      <c r="E231" s="21"/>
      <c r="F231" s="22"/>
      <c r="G231" s="21"/>
      <c r="H231" s="84"/>
      <c r="I231" s="22"/>
      <c r="J231" s="21"/>
      <c r="K231" s="21"/>
    </row>
    <row r="232" spans="1:11" ht="14.45">
      <c r="A232" s="21"/>
      <c r="B232" s="33"/>
      <c r="C232" s="21"/>
      <c r="D232" s="21"/>
      <c r="E232" s="21"/>
      <c r="F232" s="22"/>
      <c r="G232" s="21"/>
      <c r="H232" s="84"/>
      <c r="I232" s="22"/>
      <c r="J232" s="21"/>
      <c r="K232" s="21"/>
    </row>
    <row r="233" spans="1:11" ht="14.45">
      <c r="A233" s="21"/>
      <c r="B233" s="33"/>
      <c r="C233" s="21"/>
      <c r="D233" s="21"/>
      <c r="E233" s="21"/>
      <c r="F233" s="22"/>
      <c r="G233" s="21"/>
      <c r="H233" s="84"/>
      <c r="I233" s="22"/>
      <c r="J233" s="21"/>
      <c r="K233" s="21"/>
    </row>
    <row r="234" spans="1:11" ht="14.45">
      <c r="A234" s="21"/>
      <c r="B234" s="33"/>
      <c r="C234" s="21"/>
      <c r="D234" s="21"/>
      <c r="E234" s="21"/>
      <c r="F234" s="22"/>
      <c r="G234" s="21"/>
      <c r="H234" s="84"/>
      <c r="I234" s="22"/>
      <c r="J234" s="21"/>
      <c r="K234" s="21"/>
    </row>
    <row r="235" spans="1:11" ht="14.45">
      <c r="A235" s="21"/>
      <c r="B235" s="33"/>
      <c r="C235" s="21"/>
      <c r="D235" s="21"/>
      <c r="E235" s="21"/>
      <c r="F235" s="22"/>
      <c r="G235" s="21"/>
      <c r="H235" s="84"/>
      <c r="I235" s="22"/>
      <c r="J235" s="21"/>
      <c r="K235" s="21"/>
    </row>
    <row r="236" spans="1:11" ht="14.45">
      <c r="A236" s="21"/>
      <c r="B236" s="33"/>
      <c r="C236" s="21"/>
      <c r="D236" s="21"/>
      <c r="E236" s="21"/>
      <c r="F236" s="22"/>
      <c r="G236" s="21"/>
      <c r="H236" s="84"/>
      <c r="I236" s="22"/>
      <c r="J236" s="21"/>
      <c r="K236" s="21"/>
    </row>
    <row r="237" spans="1:11" ht="14.45">
      <c r="A237" s="21"/>
      <c r="B237" s="33"/>
      <c r="C237" s="21"/>
      <c r="D237" s="21"/>
      <c r="E237" s="21"/>
      <c r="F237" s="22"/>
      <c r="G237" s="21"/>
      <c r="H237" s="84"/>
      <c r="I237" s="22"/>
      <c r="J237" s="21"/>
      <c r="K237" s="21"/>
    </row>
    <row r="238" spans="1:11" ht="14.45">
      <c r="A238" s="21"/>
      <c r="B238" s="33"/>
      <c r="C238" s="21"/>
      <c r="D238" s="21"/>
      <c r="E238" s="21"/>
      <c r="F238" s="22"/>
      <c r="G238" s="21"/>
      <c r="H238" s="84"/>
      <c r="I238" s="22"/>
      <c r="J238" s="21"/>
      <c r="K238" s="21"/>
    </row>
    <row r="239" spans="1:11" ht="14.45">
      <c r="A239" s="21"/>
      <c r="B239" s="33"/>
      <c r="C239" s="21"/>
      <c r="D239" s="21"/>
      <c r="E239" s="21"/>
      <c r="F239" s="22"/>
      <c r="G239" s="21"/>
      <c r="H239" s="84"/>
      <c r="I239" s="22"/>
      <c r="J239" s="21"/>
      <c r="K239" s="21"/>
    </row>
    <row r="240" spans="1:11" ht="14.45">
      <c r="A240" s="21"/>
      <c r="B240" s="33"/>
      <c r="C240" s="21"/>
      <c r="D240" s="21"/>
      <c r="E240" s="21"/>
      <c r="F240" s="22"/>
      <c r="G240" s="21"/>
      <c r="H240" s="84"/>
      <c r="I240" s="22"/>
      <c r="J240" s="21"/>
      <c r="K240" s="21"/>
    </row>
    <row r="241" spans="1:11" ht="14.45">
      <c r="A241" s="21"/>
      <c r="B241" s="33"/>
      <c r="C241" s="21"/>
      <c r="D241" s="21"/>
      <c r="E241" s="21"/>
      <c r="F241" s="22"/>
      <c r="G241" s="21"/>
      <c r="H241" s="84"/>
      <c r="I241" s="22"/>
      <c r="J241" s="21"/>
      <c r="K241" s="21"/>
    </row>
    <row r="242" spans="1:11" ht="14.45">
      <c r="A242" s="21"/>
      <c r="B242" s="33"/>
      <c r="C242" s="21"/>
      <c r="D242" s="21"/>
      <c r="E242" s="21"/>
      <c r="F242" s="22"/>
      <c r="G242" s="21"/>
      <c r="H242" s="84"/>
      <c r="I242" s="22"/>
      <c r="J242" s="21"/>
      <c r="K242" s="21"/>
    </row>
    <row r="243" spans="1:11" ht="14.45">
      <c r="A243" s="21"/>
      <c r="B243" s="33"/>
      <c r="C243" s="21"/>
      <c r="D243" s="21"/>
      <c r="E243" s="21"/>
      <c r="F243" s="22"/>
      <c r="G243" s="21"/>
      <c r="H243" s="84"/>
      <c r="I243" s="22"/>
      <c r="J243" s="21"/>
      <c r="K243" s="21"/>
    </row>
    <row r="244" spans="1:11" ht="14.45">
      <c r="A244" s="21"/>
      <c r="B244" s="33"/>
      <c r="C244" s="21"/>
      <c r="D244" s="21"/>
      <c r="E244" s="21"/>
      <c r="F244" s="22"/>
      <c r="G244" s="21"/>
      <c r="H244" s="84"/>
      <c r="I244" s="22"/>
      <c r="J244" s="21"/>
      <c r="K244" s="21"/>
    </row>
    <row r="245" spans="1:11" ht="14.45">
      <c r="A245" s="21"/>
      <c r="B245" s="33"/>
      <c r="C245" s="21"/>
      <c r="D245" s="21"/>
      <c r="E245" s="21"/>
      <c r="F245" s="22"/>
      <c r="G245" s="21"/>
      <c r="H245" s="84"/>
      <c r="I245" s="22"/>
      <c r="J245" s="21"/>
      <c r="K245" s="21"/>
    </row>
    <row r="246" spans="1:11" ht="14.45">
      <c r="A246" s="21"/>
      <c r="B246" s="33"/>
      <c r="C246" s="21"/>
      <c r="D246" s="21"/>
      <c r="E246" s="21"/>
      <c r="F246" s="22"/>
      <c r="G246" s="21"/>
      <c r="H246" s="84"/>
      <c r="I246" s="22"/>
      <c r="J246" s="21"/>
      <c r="K246" s="21"/>
    </row>
    <row r="247" spans="1:11" ht="14.45">
      <c r="A247" s="21"/>
      <c r="B247" s="33"/>
      <c r="C247" s="21"/>
      <c r="D247" s="21"/>
      <c r="E247" s="21"/>
      <c r="F247" s="22"/>
      <c r="G247" s="21"/>
      <c r="H247" s="84"/>
      <c r="I247" s="22"/>
      <c r="J247" s="21"/>
      <c r="K247" s="21"/>
    </row>
    <row r="248" spans="1:11" ht="14.45">
      <c r="A248" s="21"/>
      <c r="B248" s="33"/>
      <c r="C248" s="21"/>
      <c r="D248" s="21"/>
      <c r="E248" s="21"/>
      <c r="F248" s="22"/>
      <c r="G248" s="21"/>
      <c r="H248" s="84"/>
      <c r="I248" s="22"/>
      <c r="J248" s="21"/>
      <c r="K248" s="21"/>
    </row>
    <row r="249" spans="1:11" ht="14.45">
      <c r="A249" s="21"/>
      <c r="B249" s="33"/>
      <c r="C249" s="21"/>
      <c r="D249" s="21"/>
      <c r="E249" s="21"/>
      <c r="F249" s="22"/>
      <c r="G249" s="21"/>
      <c r="H249" s="84"/>
      <c r="I249" s="22"/>
      <c r="J249" s="21"/>
      <c r="K249" s="21"/>
    </row>
    <row r="250" spans="1:11" ht="14.45">
      <c r="A250" s="21"/>
      <c r="B250" s="33"/>
      <c r="C250" s="21"/>
      <c r="D250" s="21"/>
      <c r="E250" s="21"/>
      <c r="F250" s="22"/>
      <c r="G250" s="21"/>
      <c r="H250" s="84"/>
      <c r="I250" s="22"/>
      <c r="J250" s="21"/>
      <c r="K250" s="21"/>
    </row>
    <row r="251" spans="1:11" ht="14.45">
      <c r="A251" s="21"/>
      <c r="B251" s="33"/>
      <c r="C251" s="21"/>
      <c r="D251" s="21"/>
      <c r="E251" s="21"/>
      <c r="F251" s="22"/>
      <c r="G251" s="21"/>
      <c r="H251" s="84"/>
      <c r="I251" s="22"/>
      <c r="J251" s="21"/>
      <c r="K251" s="21"/>
    </row>
    <row r="252" spans="1:11" ht="14.45">
      <c r="A252" s="21"/>
      <c r="B252" s="33"/>
      <c r="C252" s="21"/>
      <c r="D252" s="21"/>
      <c r="E252" s="21"/>
      <c r="F252" s="22"/>
      <c r="G252" s="21"/>
      <c r="H252" s="84"/>
      <c r="I252" s="22"/>
      <c r="J252" s="21"/>
      <c r="K252" s="21"/>
    </row>
    <row r="253" spans="1:11" ht="14.45">
      <c r="A253" s="21"/>
      <c r="B253" s="33"/>
      <c r="C253" s="21"/>
      <c r="D253" s="21"/>
      <c r="E253" s="21"/>
      <c r="F253" s="22"/>
      <c r="G253" s="21"/>
      <c r="H253" s="84"/>
      <c r="I253" s="22"/>
      <c r="J253" s="21"/>
      <c r="K253" s="21"/>
    </row>
    <row r="254" spans="1:11" ht="14.45">
      <c r="A254" s="21"/>
      <c r="B254" s="33"/>
      <c r="C254" s="21"/>
      <c r="D254" s="21"/>
      <c r="E254" s="21"/>
      <c r="F254" s="22"/>
      <c r="G254" s="21"/>
      <c r="H254" s="84"/>
      <c r="I254" s="22"/>
      <c r="J254" s="21"/>
      <c r="K254" s="21"/>
    </row>
    <row r="255" spans="1:11" ht="14.45">
      <c r="A255" s="21"/>
      <c r="B255" s="33"/>
      <c r="C255" s="21"/>
      <c r="D255" s="21"/>
      <c r="E255" s="21"/>
      <c r="F255" s="22"/>
      <c r="G255" s="21"/>
      <c r="H255" s="84"/>
      <c r="I255" s="22"/>
      <c r="J255" s="21"/>
      <c r="K255" s="21"/>
    </row>
    <row r="256" spans="1:11" ht="14.45">
      <c r="A256" s="21"/>
      <c r="B256" s="33"/>
      <c r="C256" s="21"/>
      <c r="D256" s="21"/>
      <c r="E256" s="21"/>
      <c r="F256" s="22"/>
      <c r="G256" s="21"/>
      <c r="H256" s="84"/>
      <c r="I256" s="22"/>
      <c r="J256" s="21"/>
      <c r="K256" s="21"/>
    </row>
    <row r="257" spans="1:11" ht="14.45">
      <c r="A257" s="21"/>
      <c r="B257" s="33"/>
      <c r="C257" s="21"/>
      <c r="D257" s="21"/>
      <c r="E257" s="21"/>
      <c r="F257" s="22"/>
      <c r="G257" s="21"/>
      <c r="H257" s="84"/>
      <c r="I257" s="22"/>
      <c r="J257" s="21"/>
      <c r="K257" s="21"/>
    </row>
    <row r="258" spans="1:11" ht="14.45">
      <c r="A258" s="21"/>
      <c r="B258" s="33"/>
      <c r="C258" s="21"/>
      <c r="D258" s="21"/>
      <c r="E258" s="21"/>
      <c r="F258" s="22"/>
      <c r="G258" s="21"/>
      <c r="H258" s="84"/>
      <c r="I258" s="22"/>
      <c r="J258" s="21"/>
      <c r="K258" s="21"/>
    </row>
    <row r="259" spans="1:11" ht="14.45">
      <c r="A259" s="21"/>
      <c r="B259" s="33"/>
      <c r="C259" s="21"/>
      <c r="D259" s="21"/>
      <c r="E259" s="21"/>
      <c r="F259" s="22"/>
      <c r="G259" s="21"/>
      <c r="H259" s="84"/>
      <c r="I259" s="22"/>
      <c r="J259" s="21"/>
      <c r="K259" s="21"/>
    </row>
    <row r="260" spans="1:11" ht="14.45">
      <c r="A260" s="21"/>
      <c r="B260" s="33"/>
      <c r="C260" s="21"/>
      <c r="D260" s="21"/>
      <c r="E260" s="21"/>
      <c r="F260" s="22"/>
      <c r="G260" s="21"/>
      <c r="H260" s="84"/>
      <c r="I260" s="22"/>
      <c r="J260" s="21"/>
      <c r="K260" s="21"/>
    </row>
    <row r="261" spans="1:11" ht="14.45">
      <c r="A261" s="21"/>
      <c r="B261" s="33"/>
      <c r="C261" s="21"/>
      <c r="D261" s="21"/>
      <c r="E261" s="21"/>
      <c r="F261" s="22"/>
      <c r="G261" s="21"/>
      <c r="H261" s="84"/>
      <c r="I261" s="22"/>
      <c r="J261" s="21"/>
      <c r="K261" s="21"/>
    </row>
    <row r="262" spans="1:11" ht="14.45">
      <c r="A262" s="21"/>
      <c r="B262" s="33"/>
      <c r="C262" s="21"/>
      <c r="D262" s="21"/>
      <c r="E262" s="21"/>
      <c r="F262" s="22"/>
      <c r="G262" s="21"/>
      <c r="H262" s="84"/>
      <c r="I262" s="22"/>
      <c r="J262" s="21"/>
      <c r="K262" s="21"/>
    </row>
    <row r="263" spans="1:11" ht="14.45">
      <c r="A263" s="21"/>
      <c r="B263" s="33"/>
      <c r="C263" s="21"/>
      <c r="D263" s="21"/>
      <c r="E263" s="21"/>
      <c r="F263" s="22"/>
      <c r="G263" s="21"/>
      <c r="H263" s="84"/>
      <c r="I263" s="22"/>
      <c r="J263" s="21"/>
      <c r="K263" s="21"/>
    </row>
    <row r="264" spans="1:11" ht="14.45">
      <c r="A264" s="21"/>
      <c r="B264" s="33"/>
      <c r="C264" s="21"/>
      <c r="D264" s="21"/>
      <c r="E264" s="21"/>
      <c r="F264" s="22"/>
      <c r="G264" s="21"/>
      <c r="H264" s="84"/>
      <c r="I264" s="22"/>
      <c r="J264" s="21"/>
      <c r="K264" s="21"/>
    </row>
    <row r="265" spans="1:11" ht="14.45">
      <c r="A265" s="21"/>
      <c r="B265" s="33"/>
      <c r="C265" s="21"/>
      <c r="D265" s="21"/>
      <c r="E265" s="21"/>
      <c r="F265" s="22"/>
      <c r="G265" s="21"/>
      <c r="H265" s="84"/>
      <c r="I265" s="22"/>
      <c r="J265" s="21"/>
      <c r="K265" s="21"/>
    </row>
    <row r="266" spans="1:11" ht="14.45">
      <c r="A266" s="21"/>
      <c r="B266" s="33"/>
      <c r="C266" s="21"/>
      <c r="D266" s="21"/>
      <c r="E266" s="21"/>
      <c r="F266" s="22"/>
      <c r="G266" s="21"/>
      <c r="H266" s="84"/>
      <c r="I266" s="22"/>
      <c r="J266" s="21"/>
      <c r="K266" s="21"/>
    </row>
    <row r="267" spans="1:11" ht="14.45">
      <c r="A267" s="21"/>
      <c r="B267" s="33"/>
      <c r="C267" s="21"/>
      <c r="D267" s="21"/>
      <c r="E267" s="21"/>
      <c r="F267" s="22"/>
      <c r="G267" s="21"/>
      <c r="H267" s="84"/>
      <c r="I267" s="22"/>
      <c r="J267" s="21"/>
      <c r="K267" s="21"/>
    </row>
    <row r="268" spans="1:11" ht="14.45">
      <c r="A268" s="21"/>
      <c r="B268" s="33"/>
      <c r="C268" s="21"/>
      <c r="D268" s="21"/>
      <c r="E268" s="21"/>
      <c r="F268" s="22"/>
      <c r="G268" s="21"/>
      <c r="H268" s="84"/>
      <c r="I268" s="22"/>
      <c r="J268" s="21"/>
      <c r="K268" s="21"/>
    </row>
    <row r="269" spans="1:11" ht="14.45">
      <c r="A269" s="21"/>
      <c r="B269" s="33"/>
      <c r="C269" s="21"/>
      <c r="D269" s="21"/>
      <c r="E269" s="21"/>
      <c r="F269" s="22"/>
      <c r="G269" s="21"/>
      <c r="H269" s="84"/>
      <c r="I269" s="22"/>
      <c r="J269" s="21"/>
      <c r="K269" s="21"/>
    </row>
    <row r="270" spans="1:11" ht="14.45">
      <c r="A270" s="21"/>
      <c r="B270" s="33"/>
      <c r="C270" s="21"/>
      <c r="D270" s="21"/>
      <c r="E270" s="21"/>
      <c r="F270" s="22"/>
      <c r="G270" s="21"/>
      <c r="H270" s="84"/>
      <c r="I270" s="22"/>
      <c r="J270" s="21"/>
      <c r="K270" s="21"/>
    </row>
    <row r="271" spans="1:11" ht="14.45">
      <c r="A271" s="21"/>
      <c r="B271" s="33"/>
      <c r="C271" s="21"/>
      <c r="D271" s="21"/>
      <c r="E271" s="21"/>
      <c r="F271" s="22"/>
      <c r="G271" s="21"/>
      <c r="H271" s="84"/>
      <c r="I271" s="22"/>
      <c r="J271" s="21"/>
      <c r="K271" s="21"/>
    </row>
    <row r="272" spans="1:11" ht="14.45">
      <c r="A272" s="21"/>
      <c r="B272" s="33"/>
      <c r="C272" s="21"/>
      <c r="D272" s="21"/>
      <c r="E272" s="21"/>
      <c r="F272" s="22"/>
      <c r="G272" s="21"/>
      <c r="H272" s="84"/>
      <c r="I272" s="22"/>
      <c r="J272" s="21"/>
      <c r="K272" s="21"/>
    </row>
    <row r="273" spans="1:11" ht="14.45">
      <c r="A273" s="21"/>
      <c r="B273" s="33"/>
      <c r="C273" s="21"/>
      <c r="D273" s="21"/>
      <c r="E273" s="21"/>
      <c r="F273" s="22"/>
      <c r="G273" s="21"/>
      <c r="H273" s="84"/>
      <c r="I273" s="22"/>
      <c r="J273" s="21"/>
      <c r="K273" s="21"/>
    </row>
    <row r="274" spans="1:11" ht="14.45">
      <c r="A274" s="21"/>
      <c r="B274" s="33"/>
      <c r="C274" s="21"/>
      <c r="D274" s="21"/>
      <c r="E274" s="21"/>
      <c r="F274" s="22"/>
      <c r="G274" s="21"/>
      <c r="H274" s="84"/>
      <c r="I274" s="22"/>
      <c r="J274" s="21"/>
      <c r="K274" s="21"/>
    </row>
    <row r="275" spans="1:11" ht="14.45">
      <c r="A275" s="21"/>
      <c r="B275" s="33"/>
      <c r="C275" s="21"/>
      <c r="D275" s="21"/>
      <c r="E275" s="21"/>
      <c r="F275" s="22"/>
      <c r="G275" s="21"/>
      <c r="H275" s="84"/>
      <c r="I275" s="22"/>
      <c r="J275" s="21"/>
      <c r="K275" s="21"/>
    </row>
    <row r="276" spans="1:11" ht="14.45">
      <c r="A276" s="21"/>
      <c r="B276" s="33"/>
      <c r="C276" s="21"/>
      <c r="D276" s="21"/>
      <c r="E276" s="21"/>
      <c r="F276" s="22"/>
      <c r="G276" s="21"/>
      <c r="H276" s="84"/>
      <c r="I276" s="22"/>
      <c r="J276" s="21"/>
      <c r="K276" s="21"/>
    </row>
    <row r="277" spans="1:11" ht="14.45">
      <c r="A277" s="21"/>
      <c r="B277" s="33"/>
      <c r="C277" s="21"/>
      <c r="D277" s="21"/>
      <c r="E277" s="21"/>
      <c r="F277" s="22"/>
      <c r="G277" s="21"/>
      <c r="H277" s="84"/>
      <c r="I277" s="22"/>
      <c r="J277" s="21"/>
      <c r="K277" s="21"/>
    </row>
    <row r="278" spans="1:11" ht="14.45">
      <c r="A278" s="21"/>
      <c r="B278" s="33"/>
      <c r="C278" s="21"/>
      <c r="D278" s="21"/>
      <c r="E278" s="21"/>
      <c r="F278" s="22"/>
      <c r="G278" s="21"/>
      <c r="H278" s="84"/>
      <c r="I278" s="22"/>
      <c r="J278" s="21"/>
      <c r="K278" s="21"/>
    </row>
    <row r="279" spans="1:11" ht="14.45">
      <c r="A279" s="21"/>
      <c r="B279" s="33"/>
      <c r="C279" s="21"/>
      <c r="D279" s="21"/>
      <c r="E279" s="21"/>
      <c r="F279" s="22"/>
      <c r="G279" s="21"/>
      <c r="H279" s="84"/>
      <c r="I279" s="22"/>
      <c r="J279" s="21"/>
      <c r="K279" s="21"/>
    </row>
    <row r="280" spans="1:11" ht="14.45">
      <c r="A280" s="21"/>
      <c r="B280" s="33"/>
      <c r="C280" s="21"/>
      <c r="D280" s="21"/>
      <c r="E280" s="21"/>
      <c r="F280" s="22"/>
      <c r="G280" s="21"/>
      <c r="H280" s="84"/>
      <c r="I280" s="22"/>
      <c r="J280" s="21"/>
      <c r="K280" s="21"/>
    </row>
    <row r="281" spans="1:11" ht="14.45">
      <c r="A281" s="21"/>
      <c r="B281" s="33"/>
      <c r="C281" s="21"/>
      <c r="D281" s="21"/>
      <c r="E281" s="21"/>
      <c r="F281" s="22"/>
      <c r="G281" s="21"/>
      <c r="H281" s="84"/>
      <c r="I281" s="22"/>
      <c r="J281" s="21"/>
      <c r="K281" s="21"/>
    </row>
    <row r="282" spans="1:11" ht="14.45">
      <c r="A282" s="21"/>
      <c r="B282" s="33"/>
      <c r="C282" s="21"/>
      <c r="D282" s="21"/>
      <c r="E282" s="21"/>
      <c r="F282" s="22"/>
      <c r="G282" s="21"/>
      <c r="H282" s="84"/>
      <c r="I282" s="22"/>
      <c r="J282" s="21"/>
      <c r="K282" s="21"/>
    </row>
    <row r="283" spans="1:11" ht="14.45">
      <c r="A283" s="21"/>
      <c r="B283" s="33"/>
      <c r="C283" s="21"/>
      <c r="D283" s="21"/>
      <c r="E283" s="21"/>
      <c r="F283" s="22"/>
      <c r="G283" s="21"/>
      <c r="H283" s="84"/>
      <c r="I283" s="22"/>
      <c r="J283" s="21"/>
      <c r="K283" s="21"/>
    </row>
    <row r="284" spans="1:11" ht="14.45">
      <c r="A284" s="21"/>
      <c r="B284" s="33"/>
      <c r="C284" s="21"/>
      <c r="D284" s="21"/>
      <c r="E284" s="21"/>
      <c r="F284" s="22"/>
      <c r="G284" s="21"/>
      <c r="H284" s="84"/>
      <c r="I284" s="22"/>
      <c r="J284" s="21"/>
      <c r="K284" s="21"/>
    </row>
    <row r="285" spans="1:11" ht="14.45">
      <c r="A285" s="21"/>
      <c r="B285" s="33"/>
      <c r="C285" s="21"/>
      <c r="D285" s="21"/>
      <c r="E285" s="21"/>
      <c r="F285" s="22"/>
      <c r="G285" s="21"/>
      <c r="H285" s="84"/>
      <c r="I285" s="22"/>
      <c r="J285" s="21"/>
      <c r="K285" s="21"/>
    </row>
    <row r="286" spans="1:11" ht="14.45">
      <c r="A286" s="21"/>
      <c r="B286" s="33"/>
      <c r="C286" s="21"/>
      <c r="D286" s="21"/>
      <c r="E286" s="21"/>
      <c r="F286" s="22"/>
      <c r="G286" s="21"/>
      <c r="H286" s="84"/>
      <c r="I286" s="22"/>
      <c r="J286" s="21"/>
      <c r="K286" s="21"/>
    </row>
    <row r="287" spans="1:11" ht="14.45">
      <c r="A287" s="21"/>
      <c r="B287" s="33"/>
      <c r="C287" s="21"/>
      <c r="D287" s="21"/>
      <c r="E287" s="21"/>
      <c r="F287" s="22"/>
      <c r="G287" s="21"/>
      <c r="H287" s="84"/>
      <c r="I287" s="22"/>
      <c r="J287" s="21"/>
      <c r="K287" s="21"/>
    </row>
    <row r="288" spans="1:11" ht="14.45">
      <c r="A288" s="21"/>
      <c r="B288" s="33"/>
      <c r="C288" s="21"/>
      <c r="D288" s="21"/>
      <c r="E288" s="21"/>
      <c r="F288" s="22"/>
      <c r="G288" s="21"/>
      <c r="H288" s="84"/>
      <c r="I288" s="22"/>
      <c r="J288" s="21"/>
      <c r="K288" s="21"/>
    </row>
    <row r="289" spans="1:11" ht="14.45">
      <c r="A289" s="21"/>
      <c r="B289" s="33"/>
      <c r="C289" s="21"/>
      <c r="D289" s="21"/>
      <c r="E289" s="21"/>
      <c r="F289" s="22"/>
      <c r="G289" s="21"/>
      <c r="H289" s="84"/>
      <c r="I289" s="22"/>
      <c r="J289" s="21"/>
      <c r="K289" s="21"/>
    </row>
    <row r="290" spans="1:11" ht="14.45">
      <c r="A290" s="21"/>
      <c r="B290" s="33"/>
      <c r="C290" s="21"/>
      <c r="D290" s="21"/>
      <c r="E290" s="21"/>
      <c r="F290" s="22"/>
      <c r="G290" s="21"/>
      <c r="H290" s="84"/>
      <c r="I290" s="22"/>
      <c r="J290" s="21"/>
      <c r="K290" s="21"/>
    </row>
    <row r="291" spans="1:11" ht="14.45">
      <c r="A291" s="21"/>
      <c r="B291" s="33"/>
      <c r="C291" s="21"/>
      <c r="D291" s="21"/>
      <c r="E291" s="21"/>
      <c r="F291" s="22"/>
      <c r="G291" s="21"/>
      <c r="H291" s="84"/>
      <c r="I291" s="22"/>
      <c r="J291" s="21"/>
      <c r="K291" s="21"/>
    </row>
    <row r="292" spans="1:11" ht="14.45">
      <c r="A292" s="21"/>
      <c r="B292" s="33"/>
      <c r="C292" s="21"/>
      <c r="D292" s="21"/>
      <c r="E292" s="21"/>
      <c r="F292" s="22"/>
      <c r="G292" s="21"/>
      <c r="H292" s="84"/>
      <c r="I292" s="22"/>
      <c r="J292" s="21"/>
      <c r="K292" s="21"/>
    </row>
    <row r="293" spans="1:11" ht="14.45">
      <c r="A293" s="21"/>
      <c r="B293" s="33"/>
      <c r="C293" s="21"/>
      <c r="D293" s="21"/>
      <c r="E293" s="21"/>
      <c r="F293" s="22"/>
      <c r="G293" s="21"/>
      <c r="H293" s="84"/>
      <c r="I293" s="22"/>
      <c r="J293" s="21"/>
      <c r="K293" s="21"/>
    </row>
    <row r="294" spans="1:11" ht="14.45">
      <c r="A294" s="21"/>
      <c r="B294" s="33"/>
      <c r="C294" s="21"/>
      <c r="D294" s="21"/>
      <c r="E294" s="21"/>
      <c r="F294" s="22"/>
      <c r="G294" s="21"/>
      <c r="H294" s="84"/>
      <c r="I294" s="22"/>
      <c r="J294" s="21"/>
      <c r="K294" s="21"/>
    </row>
    <row r="295" spans="1:11" ht="14.45">
      <c r="A295" s="21"/>
      <c r="B295" s="33"/>
      <c r="C295" s="21"/>
      <c r="D295" s="21"/>
      <c r="E295" s="21"/>
      <c r="F295" s="22"/>
      <c r="G295" s="21"/>
      <c r="H295" s="84"/>
      <c r="I295" s="22"/>
      <c r="J295" s="21"/>
      <c r="K295" s="21"/>
    </row>
    <row r="296" spans="1:11" ht="14.45">
      <c r="A296" s="21"/>
      <c r="B296" s="33"/>
      <c r="C296" s="21"/>
      <c r="D296" s="21"/>
      <c r="E296" s="21"/>
      <c r="F296" s="22"/>
      <c r="G296" s="21"/>
      <c r="H296" s="84"/>
      <c r="I296" s="22"/>
      <c r="J296" s="21"/>
      <c r="K296" s="21"/>
    </row>
    <row r="297" spans="1:11" ht="14.45">
      <c r="A297" s="21"/>
      <c r="B297" s="33"/>
      <c r="C297" s="21"/>
      <c r="D297" s="21"/>
      <c r="E297" s="21"/>
      <c r="F297" s="22"/>
      <c r="G297" s="21"/>
      <c r="H297" s="84"/>
      <c r="I297" s="22"/>
      <c r="J297" s="21"/>
      <c r="K297" s="21"/>
    </row>
    <row r="298" spans="1:11" ht="14.45">
      <c r="A298" s="21"/>
      <c r="B298" s="33"/>
      <c r="C298" s="21"/>
      <c r="D298" s="21"/>
      <c r="E298" s="21"/>
      <c r="F298" s="22"/>
      <c r="G298" s="21"/>
      <c r="H298" s="84"/>
      <c r="I298" s="22"/>
      <c r="J298" s="21"/>
      <c r="K298" s="21"/>
    </row>
    <row r="299" spans="1:11" ht="14.45">
      <c r="A299" s="21"/>
      <c r="B299" s="33"/>
      <c r="C299" s="21"/>
      <c r="D299" s="21"/>
      <c r="E299" s="21"/>
      <c r="F299" s="22"/>
      <c r="G299" s="21"/>
      <c r="H299" s="84"/>
      <c r="I299" s="22"/>
      <c r="J299" s="21"/>
      <c r="K299" s="21"/>
    </row>
    <row r="300" spans="1:11" ht="14.45">
      <c r="A300" s="21"/>
      <c r="B300" s="33"/>
      <c r="C300" s="21"/>
      <c r="D300" s="21"/>
      <c r="E300" s="21"/>
      <c r="F300" s="22"/>
      <c r="G300" s="21"/>
      <c r="H300" s="84"/>
      <c r="I300" s="22"/>
      <c r="J300" s="21"/>
      <c r="K300" s="21"/>
    </row>
    <row r="301" spans="1:11" ht="14.45">
      <c r="A301" s="21"/>
      <c r="B301" s="33"/>
      <c r="C301" s="21"/>
      <c r="D301" s="21"/>
      <c r="E301" s="21"/>
      <c r="F301" s="22"/>
      <c r="G301" s="21"/>
      <c r="H301" s="84"/>
      <c r="I301" s="22"/>
      <c r="J301" s="21"/>
      <c r="K301" s="21"/>
    </row>
    <row r="302" spans="1:11" ht="14.45">
      <c r="A302" s="21"/>
      <c r="B302" s="33"/>
      <c r="C302" s="21"/>
      <c r="D302" s="21"/>
      <c r="E302" s="21"/>
      <c r="F302" s="22"/>
      <c r="G302" s="21"/>
      <c r="H302" s="84"/>
      <c r="I302" s="22"/>
      <c r="J302" s="21"/>
      <c r="K302" s="21"/>
    </row>
    <row r="303" spans="1:11" ht="14.45">
      <c r="A303" s="21"/>
      <c r="B303" s="33"/>
      <c r="C303" s="21"/>
      <c r="D303" s="21"/>
      <c r="E303" s="21"/>
      <c r="F303" s="22"/>
      <c r="G303" s="21"/>
      <c r="H303" s="84"/>
      <c r="I303" s="22"/>
      <c r="J303" s="21"/>
      <c r="K303" s="21"/>
    </row>
    <row r="304" spans="1:11" ht="14.45">
      <c r="A304" s="21"/>
      <c r="B304" s="33"/>
      <c r="C304" s="21"/>
      <c r="D304" s="21"/>
      <c r="E304" s="21"/>
      <c r="F304" s="22"/>
      <c r="G304" s="21"/>
      <c r="H304" s="84"/>
      <c r="I304" s="22"/>
      <c r="J304" s="21"/>
      <c r="K304" s="21"/>
    </row>
    <row r="305" spans="1:11" ht="14.45">
      <c r="A305" s="21"/>
      <c r="B305" s="33"/>
      <c r="C305" s="21"/>
      <c r="D305" s="21"/>
      <c r="E305" s="21"/>
      <c r="F305" s="22"/>
      <c r="G305" s="21"/>
      <c r="H305" s="84"/>
      <c r="I305" s="22"/>
      <c r="J305" s="21"/>
      <c r="K305" s="21"/>
    </row>
    <row r="306" spans="1:11" ht="14.45">
      <c r="A306" s="21"/>
      <c r="B306" s="33"/>
      <c r="C306" s="21"/>
      <c r="D306" s="21"/>
      <c r="E306" s="21"/>
      <c r="F306" s="22"/>
      <c r="G306" s="21"/>
      <c r="H306" s="84"/>
      <c r="I306" s="22"/>
      <c r="J306" s="21"/>
      <c r="K306" s="21"/>
    </row>
    <row r="307" spans="1:11" ht="14.45">
      <c r="A307" s="21"/>
      <c r="B307" s="33"/>
      <c r="C307" s="21"/>
      <c r="D307" s="21"/>
      <c r="E307" s="21"/>
      <c r="F307" s="22"/>
      <c r="G307" s="21"/>
      <c r="H307" s="84"/>
      <c r="I307" s="22"/>
      <c r="J307" s="21"/>
      <c r="K307" s="21"/>
    </row>
    <row r="308" spans="1:11" ht="14.45">
      <c r="A308" s="21"/>
      <c r="B308" s="33"/>
      <c r="C308" s="21"/>
      <c r="D308" s="21"/>
      <c r="E308" s="21"/>
      <c r="F308" s="22"/>
      <c r="G308" s="21"/>
      <c r="H308" s="84"/>
      <c r="I308" s="22"/>
      <c r="J308" s="21"/>
      <c r="K308" s="21"/>
    </row>
    <row r="309" spans="1:11" ht="14.45">
      <c r="A309" s="21"/>
      <c r="B309" s="33"/>
      <c r="C309" s="21"/>
      <c r="D309" s="21"/>
      <c r="E309" s="21"/>
      <c r="F309" s="22"/>
      <c r="G309" s="21"/>
      <c r="H309" s="84"/>
      <c r="I309" s="22"/>
      <c r="J309" s="21"/>
      <c r="K309" s="21"/>
    </row>
    <row r="310" spans="1:11" ht="14.45">
      <c r="A310" s="21"/>
      <c r="B310" s="33"/>
      <c r="C310" s="21"/>
      <c r="D310" s="21"/>
      <c r="E310" s="21"/>
      <c r="F310" s="22"/>
      <c r="G310" s="21"/>
      <c r="H310" s="84"/>
      <c r="I310" s="22"/>
      <c r="J310" s="21"/>
      <c r="K310" s="21"/>
    </row>
    <row r="311" spans="1:11" ht="14.45">
      <c r="A311" s="21"/>
      <c r="B311" s="33"/>
      <c r="C311" s="21"/>
      <c r="D311" s="21"/>
      <c r="E311" s="21"/>
      <c r="F311" s="22"/>
      <c r="G311" s="21"/>
      <c r="H311" s="84"/>
      <c r="I311" s="22"/>
      <c r="J311" s="21"/>
      <c r="K311" s="21"/>
    </row>
    <row r="312" spans="1:11" ht="14.45">
      <c r="A312" s="21"/>
      <c r="B312" s="33"/>
      <c r="C312" s="21"/>
      <c r="D312" s="21"/>
      <c r="E312" s="21"/>
      <c r="F312" s="22"/>
      <c r="G312" s="21"/>
      <c r="H312" s="84"/>
      <c r="I312" s="22"/>
      <c r="J312" s="21"/>
      <c r="K312" s="21"/>
    </row>
    <row r="313" spans="1:11" ht="14.45">
      <c r="A313" s="21"/>
      <c r="B313" s="33"/>
      <c r="C313" s="21"/>
      <c r="D313" s="21"/>
      <c r="E313" s="21"/>
      <c r="F313" s="22"/>
      <c r="G313" s="21"/>
      <c r="H313" s="84"/>
      <c r="I313" s="22"/>
      <c r="J313" s="21"/>
      <c r="K313" s="21"/>
    </row>
    <row r="314" spans="1:11" ht="14.45">
      <c r="A314" s="21"/>
      <c r="B314" s="33"/>
      <c r="C314" s="21"/>
      <c r="D314" s="21"/>
      <c r="E314" s="21"/>
      <c r="F314" s="22"/>
      <c r="G314" s="21"/>
      <c r="H314" s="84"/>
      <c r="I314" s="22"/>
      <c r="J314" s="21"/>
      <c r="K314" s="21"/>
    </row>
    <row r="315" spans="1:11" ht="14.45">
      <c r="A315" s="21"/>
      <c r="B315" s="33"/>
      <c r="C315" s="21"/>
      <c r="D315" s="21"/>
      <c r="E315" s="21"/>
      <c r="F315" s="22"/>
      <c r="G315" s="21"/>
      <c r="H315" s="84"/>
      <c r="I315" s="22"/>
      <c r="J315" s="21"/>
      <c r="K315" s="21"/>
    </row>
    <row r="316" spans="1:11" ht="14.45">
      <c r="A316" s="21"/>
      <c r="B316" s="33"/>
      <c r="C316" s="21"/>
      <c r="D316" s="21"/>
      <c r="E316" s="21"/>
      <c r="F316" s="22"/>
      <c r="G316" s="21"/>
      <c r="H316" s="84"/>
      <c r="I316" s="22"/>
      <c r="J316" s="21"/>
      <c r="K316" s="21"/>
    </row>
    <row r="317" spans="1:11" ht="14.45">
      <c r="A317" s="21"/>
      <c r="B317" s="33"/>
      <c r="C317" s="21"/>
      <c r="D317" s="21"/>
      <c r="E317" s="21"/>
      <c r="F317" s="22"/>
      <c r="G317" s="21"/>
      <c r="H317" s="84"/>
      <c r="I317" s="22"/>
      <c r="J317" s="21"/>
      <c r="K317" s="21"/>
    </row>
    <row r="318" spans="1:11" ht="14.45">
      <c r="A318" s="21"/>
      <c r="B318" s="33"/>
      <c r="C318" s="21"/>
      <c r="D318" s="21"/>
      <c r="E318" s="21"/>
      <c r="F318" s="22"/>
      <c r="G318" s="21"/>
      <c r="H318" s="84"/>
      <c r="I318" s="22"/>
      <c r="J318" s="21"/>
      <c r="K318" s="21"/>
    </row>
    <row r="319" spans="1:11" ht="14.45">
      <c r="A319" s="21"/>
      <c r="B319" s="33"/>
      <c r="C319" s="21"/>
      <c r="D319" s="21"/>
      <c r="E319" s="21"/>
      <c r="F319" s="22"/>
      <c r="G319" s="21"/>
      <c r="H319" s="84"/>
      <c r="I319" s="22"/>
      <c r="J319" s="21"/>
      <c r="K319" s="21"/>
    </row>
    <row r="320" spans="1:11" ht="14.45">
      <c r="A320" s="21"/>
      <c r="B320" s="33"/>
      <c r="C320" s="21"/>
      <c r="D320" s="21"/>
      <c r="E320" s="21"/>
      <c r="F320" s="22"/>
      <c r="G320" s="21"/>
      <c r="H320" s="84"/>
      <c r="I320" s="22"/>
      <c r="J320" s="21"/>
      <c r="K320" s="21"/>
    </row>
    <row r="321" spans="1:11" ht="14.45">
      <c r="A321" s="21"/>
      <c r="B321" s="33"/>
      <c r="C321" s="21"/>
      <c r="D321" s="21"/>
      <c r="E321" s="21"/>
      <c r="F321" s="22"/>
      <c r="G321" s="21"/>
      <c r="H321" s="84"/>
      <c r="I321" s="22"/>
      <c r="J321" s="21"/>
      <c r="K321" s="21"/>
    </row>
    <row r="322" spans="1:11" ht="14.45">
      <c r="A322" s="21"/>
      <c r="B322" s="33"/>
      <c r="C322" s="21"/>
      <c r="D322" s="21"/>
      <c r="E322" s="21"/>
      <c r="F322" s="22"/>
      <c r="G322" s="21"/>
      <c r="H322" s="84"/>
      <c r="I322" s="22"/>
      <c r="J322" s="21"/>
      <c r="K322" s="21"/>
    </row>
    <row r="323" spans="1:11" ht="14.45">
      <c r="A323" s="21"/>
      <c r="B323" s="33"/>
      <c r="C323" s="21"/>
      <c r="D323" s="21"/>
      <c r="E323" s="21"/>
      <c r="F323" s="22"/>
      <c r="G323" s="21"/>
      <c r="H323" s="84"/>
      <c r="I323" s="22"/>
      <c r="J323" s="21"/>
      <c r="K323" s="21"/>
    </row>
    <row r="324" spans="1:11" ht="14.45">
      <c r="A324" s="21"/>
      <c r="B324" s="33"/>
      <c r="C324" s="21"/>
      <c r="D324" s="21"/>
      <c r="E324" s="21"/>
      <c r="F324" s="22"/>
      <c r="G324" s="21"/>
      <c r="H324" s="84"/>
      <c r="I324" s="22"/>
      <c r="J324" s="21"/>
      <c r="K324" s="21"/>
    </row>
    <row r="325" spans="1:11" ht="14.45">
      <c r="A325" s="21"/>
      <c r="B325" s="33"/>
      <c r="C325" s="21"/>
      <c r="D325" s="21"/>
      <c r="E325" s="21"/>
      <c r="F325" s="22"/>
      <c r="G325" s="21"/>
      <c r="H325" s="84"/>
      <c r="I325" s="22"/>
      <c r="J325" s="21"/>
      <c r="K325" s="21"/>
    </row>
    <row r="326" spans="1:11" ht="14.45">
      <c r="A326" s="21"/>
      <c r="B326" s="33"/>
      <c r="C326" s="21"/>
      <c r="D326" s="21"/>
      <c r="E326" s="21"/>
      <c r="F326" s="22"/>
      <c r="G326" s="21"/>
      <c r="H326" s="84"/>
      <c r="I326" s="22"/>
      <c r="J326" s="21"/>
      <c r="K326" s="21"/>
    </row>
    <row r="327" spans="1:11" ht="14.45">
      <c r="A327" s="21"/>
      <c r="B327" s="33"/>
      <c r="C327" s="21"/>
      <c r="D327" s="21"/>
      <c r="E327" s="21"/>
      <c r="F327" s="22"/>
      <c r="G327" s="21"/>
      <c r="H327" s="84"/>
      <c r="I327" s="22"/>
      <c r="J327" s="21"/>
      <c r="K327" s="21"/>
    </row>
    <row r="328" spans="1:11" ht="14.45">
      <c r="A328" s="21"/>
      <c r="B328" s="33"/>
      <c r="C328" s="21"/>
      <c r="D328" s="21"/>
      <c r="E328" s="21"/>
      <c r="F328" s="22"/>
      <c r="G328" s="21"/>
      <c r="H328" s="84"/>
      <c r="I328" s="22"/>
      <c r="J328" s="21"/>
      <c r="K328" s="21"/>
    </row>
    <row r="329" spans="1:11" ht="14.45">
      <c r="A329" s="21"/>
      <c r="B329" s="33"/>
      <c r="C329" s="21"/>
      <c r="D329" s="21"/>
      <c r="E329" s="21"/>
      <c r="F329" s="22"/>
      <c r="G329" s="21"/>
      <c r="H329" s="84"/>
      <c r="I329" s="22"/>
      <c r="J329" s="21"/>
      <c r="K329" s="21"/>
    </row>
    <row r="330" spans="1:11" ht="14.45">
      <c r="A330" s="21"/>
      <c r="B330" s="33"/>
      <c r="C330" s="21"/>
      <c r="D330" s="21"/>
      <c r="E330" s="21"/>
      <c r="F330" s="22"/>
      <c r="G330" s="21"/>
      <c r="H330" s="84"/>
      <c r="I330" s="22"/>
      <c r="J330" s="21"/>
      <c r="K330" s="21"/>
    </row>
    <row r="331" spans="1:11" ht="14.45">
      <c r="A331" s="21"/>
      <c r="B331" s="33"/>
      <c r="C331" s="21"/>
      <c r="D331" s="21"/>
      <c r="E331" s="21"/>
      <c r="F331" s="22"/>
      <c r="G331" s="21"/>
      <c r="H331" s="84"/>
      <c r="I331" s="22"/>
      <c r="J331" s="21"/>
      <c r="K331" s="21"/>
    </row>
    <row r="332" spans="1:11" ht="14.45">
      <c r="A332" s="21"/>
      <c r="B332" s="33"/>
      <c r="C332" s="21"/>
      <c r="D332" s="21"/>
      <c r="E332" s="21"/>
      <c r="F332" s="22"/>
      <c r="G332" s="21"/>
      <c r="H332" s="84"/>
      <c r="I332" s="22"/>
      <c r="J332" s="21"/>
      <c r="K332" s="21"/>
    </row>
    <row r="333" spans="1:11" ht="14.45">
      <c r="A333" s="21"/>
      <c r="B333" s="33"/>
      <c r="C333" s="21"/>
      <c r="D333" s="21"/>
      <c r="E333" s="21"/>
      <c r="F333" s="22"/>
      <c r="G333" s="21"/>
      <c r="H333" s="84"/>
      <c r="I333" s="22"/>
      <c r="J333" s="21"/>
      <c r="K333" s="21"/>
    </row>
    <row r="334" spans="1:11" ht="14.45">
      <c r="A334" s="21"/>
      <c r="B334" s="33"/>
      <c r="C334" s="21"/>
      <c r="D334" s="21"/>
      <c r="E334" s="21"/>
      <c r="F334" s="22"/>
      <c r="G334" s="21"/>
      <c r="H334" s="84"/>
      <c r="I334" s="22"/>
      <c r="J334" s="21"/>
      <c r="K334" s="21"/>
    </row>
    <row r="335" spans="1:11" ht="14.45">
      <c r="A335" s="21"/>
      <c r="B335" s="33"/>
      <c r="C335" s="21"/>
      <c r="D335" s="21"/>
      <c r="E335" s="21"/>
      <c r="F335" s="22"/>
      <c r="G335" s="21"/>
      <c r="H335" s="84"/>
      <c r="I335" s="22"/>
      <c r="J335" s="21"/>
      <c r="K335" s="21"/>
    </row>
    <row r="336" spans="1:11" ht="14.45">
      <c r="A336" s="21"/>
      <c r="B336" s="33"/>
      <c r="C336" s="21"/>
      <c r="D336" s="21"/>
      <c r="E336" s="21"/>
      <c r="F336" s="22"/>
      <c r="G336" s="21"/>
      <c r="H336" s="84"/>
      <c r="I336" s="22"/>
      <c r="J336" s="21"/>
      <c r="K336" s="21"/>
    </row>
    <row r="337" spans="1:11" ht="14.45">
      <c r="A337" s="21"/>
      <c r="B337" s="33"/>
      <c r="C337" s="21"/>
      <c r="D337" s="21"/>
      <c r="E337" s="21"/>
      <c r="F337" s="22"/>
      <c r="G337" s="21"/>
      <c r="H337" s="84"/>
      <c r="I337" s="22"/>
      <c r="J337" s="21"/>
      <c r="K337" s="21"/>
    </row>
    <row r="338" spans="1:11" ht="14.45">
      <c r="A338" s="21"/>
      <c r="B338" s="33"/>
      <c r="C338" s="21"/>
      <c r="D338" s="21"/>
      <c r="E338" s="21"/>
      <c r="F338" s="22"/>
      <c r="G338" s="21"/>
      <c r="H338" s="84"/>
      <c r="I338" s="22"/>
      <c r="J338" s="21"/>
      <c r="K338" s="21"/>
    </row>
    <row r="339" spans="1:11" ht="14.45">
      <c r="A339" s="21"/>
      <c r="B339" s="33"/>
      <c r="C339" s="21"/>
      <c r="D339" s="21"/>
      <c r="E339" s="21"/>
      <c r="F339" s="22"/>
      <c r="G339" s="21"/>
      <c r="H339" s="84"/>
      <c r="I339" s="22"/>
      <c r="J339" s="21"/>
      <c r="K339" s="21"/>
    </row>
    <row r="340" spans="1:11" ht="14.45">
      <c r="A340" s="21"/>
      <c r="B340" s="33"/>
      <c r="C340" s="21"/>
      <c r="D340" s="21"/>
      <c r="E340" s="21"/>
      <c r="F340" s="22"/>
      <c r="G340" s="21"/>
      <c r="H340" s="84"/>
      <c r="I340" s="22"/>
      <c r="J340" s="21"/>
      <c r="K340" s="21"/>
    </row>
    <row r="341" spans="1:11" ht="14.45">
      <c r="A341" s="21"/>
      <c r="B341" s="33"/>
      <c r="C341" s="21"/>
      <c r="D341" s="21"/>
      <c r="E341" s="21"/>
      <c r="F341" s="22"/>
      <c r="G341" s="21"/>
      <c r="H341" s="84"/>
      <c r="I341" s="22"/>
      <c r="J341" s="21"/>
      <c r="K341" s="21"/>
    </row>
    <row r="342" spans="1:11" ht="14.45">
      <c r="C342" s="21"/>
      <c r="D342" s="21"/>
      <c r="E342" s="21"/>
      <c r="F342" s="22"/>
      <c r="G342" s="21"/>
      <c r="H342" s="84"/>
      <c r="I342" s="22"/>
      <c r="J342" s="21"/>
      <c r="K342" s="21"/>
    </row>
  </sheetData>
  <mergeCells count="4">
    <mergeCell ref="G1:I1"/>
    <mergeCell ref="A1:C1"/>
    <mergeCell ref="D1:F1"/>
    <mergeCell ref="A2:B2"/>
  </mergeCells>
  <conditionalFormatting sqref="F2 I2">
    <cfRule type="cellIs" dxfId="56" priority="3" stopIfTrue="1" operator="lessThanOrEqual">
      <formula>-0.1</formula>
    </cfRule>
    <cfRule type="expression" dxfId="55" priority="4">
      <formula>AND(ISNUMBER(F2), F2&gt;=0.1)</formula>
    </cfRule>
  </conditionalFormatting>
  <conditionalFormatting sqref="F4:F100 I4:I100">
    <cfRule type="cellIs" dxfId="54" priority="1" stopIfTrue="1" operator="lessThanOrEqual">
      <formula>-0.1</formula>
    </cfRule>
    <cfRule type="expression" dxfId="53" priority="2">
      <formula>AND(ISNUMBER(F4), F4&gt;=0.1)</formula>
    </cfRule>
  </conditionalFormatting>
  <hyperlinks>
    <hyperlink ref="K7" r:id="rId1" display="https://us3.assetplanner.com/service_request?ID=097572" xr:uid="{8DB91660-FEAB-4805-A2ED-F5E5D1752AB7}"/>
    <hyperlink ref="K8" r:id="rId2" display="https://us3.assetplanner.com/service_request?ID=093917" xr:uid="{764916A2-DDC4-4085-8AD8-FC11E68554A8}"/>
    <hyperlink ref="K22" r:id="rId3" display="https://us3.assetplanner.com/service_request?ID=093440" xr:uid="{4B7C0A84-D998-43C7-8B1A-0B2CDEA662A1}"/>
    <hyperlink ref="K23" r:id="rId4" display="https://us3.assetplanner.com/service_request?ID=095623" xr:uid="{5B7F1B76-FA1C-468D-A8B7-9B9A03D029CA}"/>
    <hyperlink ref="K25" r:id="rId5" display="https://us3.assetplanner.com/service_request?ID=097907" xr:uid="{167124FD-1F82-4591-96C0-0540E179D3A5}"/>
    <hyperlink ref="K30" r:id="rId6" display="https://us3.assetplanner.com/service_request?ID=089763" xr:uid="{7495755F-85C2-4437-BE8C-FFA1C3223E38}"/>
    <hyperlink ref="K37" r:id="rId7" display="https://us3.assetplanner.com/service_request?ID=094440" xr:uid="{1930B492-D4B2-4B6B-8354-0571C3A93268}"/>
    <hyperlink ref="K38" r:id="rId8" display="https://us3.assetplanner.com/service_request?ID=095163" xr:uid="{B001FC3F-6FD8-4A61-B5AC-E29A42754CAB}"/>
    <hyperlink ref="K40" r:id="rId9" display="https://us3.assetplanner.com/service_request?ID=089464" xr:uid="{2FCF6C81-C078-4B43-ACEE-4DAE907DF5A8}"/>
    <hyperlink ref="K41" r:id="rId10" display="https://us3.assetplanner.com/service_request?ID=092739" xr:uid="{A3BC9E5A-ACA6-4847-89F8-71A016D6B9B8}"/>
    <hyperlink ref="K43" r:id="rId11" display="https://us3.assetplanner.com/service_request?ID=089461" xr:uid="{93330047-FF42-401B-A1B5-EEAD024840AF}"/>
    <hyperlink ref="K44" r:id="rId12" display="https://us3.assetplanner.com/service_request?ID=092276" xr:uid="{8FC3DC37-C161-41EA-8ECF-5F80ED828B4D}"/>
    <hyperlink ref="K45" r:id="rId13" display="https://us3.assetplanner.com/service_request?ID=085968" xr:uid="{2F268420-AFAA-492E-AAD4-6117BED7634E}"/>
    <hyperlink ref="K46" r:id="rId14" display="https://us3.assetplanner.com/service_request?ID=089470" xr:uid="{0B6F657E-92D5-4B77-BAE2-19A94D459937}"/>
    <hyperlink ref="K47" r:id="rId15" display="https://us3.assetplanner.com/service_request?ID=089612" xr:uid="{DFF531B8-E6B1-4B13-87BF-9CC18C963A0F}"/>
    <hyperlink ref="K48" r:id="rId16" display="https://us3.assetplanner.com/service_request?ID=092166" xr:uid="{45D34CBF-63C0-4A88-8668-178689EB073B}"/>
    <hyperlink ref="K50" r:id="rId17" display="https://us3.assetplanner.com/service_request?ID=090370" xr:uid="{903EA183-AEAB-4138-AED6-C350BF720148}"/>
    <hyperlink ref="K51" r:id="rId18" display="https://us3.assetplanner.com/service_request?ID=097912" xr:uid="{078A08B9-6236-4957-AC2E-4241D6E39F14}"/>
    <hyperlink ref="K53" r:id="rId19" display="https://us3.assetplanner.com/service_request?ID=090965" xr:uid="{40C952BA-7D03-41CA-9527-99458E337952}"/>
    <hyperlink ref="K55" r:id="rId20" display="https://us3.assetplanner.com/service_request?ID=090734" xr:uid="{3801FEF9-F67D-4AD3-B4B8-A83ED0B5CF95}"/>
    <hyperlink ref="K57" r:id="rId21" display="https://us3.assetplanner.com/service_request?ID=090293" xr:uid="{18EE562E-4F5D-4B78-AEB3-D1F3BF4BB8C8}"/>
    <hyperlink ref="K58" r:id="rId22" display="https://us3.assetplanner.com/service_request?ID=095449" xr:uid="{BC42805B-7942-4A0F-B7AB-613997CF9875}"/>
    <hyperlink ref="K60" r:id="rId23" display="https://us3.assetplanner.com/service_request?ID=089477" xr:uid="{7E63DB4A-4C48-4EED-92CB-42B91737DA64}"/>
    <hyperlink ref="K65" r:id="rId24" display="https://us3.assetplanner.com/service_request?ID=089732" xr:uid="{B0C144A4-0191-44EC-BBB8-92693CF67C28}"/>
    <hyperlink ref="K66" r:id="rId25" display="https://us3.assetplanner.com/service_request?ID=097774" xr:uid="{75B41B33-4167-4D10-B333-3B7D4E2CF56E}"/>
    <hyperlink ref="K67" r:id="rId26" display="https://us3.assetplanner.com/service_request?ID=092171" xr:uid="{F04AD730-81F7-44C3-ADBF-5E4E8DCE2615}"/>
    <hyperlink ref="L8" r:id="rId27" display="https://us3.assetplanner.com/service_request?ID=096145" xr:uid="{AEB90942-E267-4C3F-8112-A03DE01F5634}"/>
    <hyperlink ref="L22" r:id="rId28" display="https://us3.assetplanner.com/service_request?ID=093861" xr:uid="{6835EE96-DBDE-4677-8F2A-EBF781AF8D36}"/>
    <hyperlink ref="L38" r:id="rId29" display="https://us3.assetplanner.com/service_request?ID=092023" xr:uid="{B8E70C44-B79B-407C-A199-5B707573C4CE}"/>
    <hyperlink ref="M38" r:id="rId30" display="https://us3.assetplanner.com/service_request?ID=089707" xr:uid="{E9F86149-B8C1-4001-AEA1-5E0DF811CDF8}"/>
    <hyperlink ref="N38" r:id="rId31" display="https://us3.assetplanner.com/service_request?ID=093065" xr:uid="{5A677649-D12B-4824-85F8-6D1B4A83F7E3}"/>
    <hyperlink ref="L40" r:id="rId32" display="https://us3.assetplanner.com/service_request?ID=093180" xr:uid="{85E54B1D-0429-4439-9704-BA7064C227FC}"/>
    <hyperlink ref="M40" r:id="rId33" display="https://us3.assetplanner.com/service_request?ID=093174" xr:uid="{A0015925-BF84-494A-8B3D-EEEACC2A69DF}"/>
    <hyperlink ref="N40" r:id="rId34" display="https://us3.assetplanner.com/service_request?ID=095356" xr:uid="{162C2406-A37B-46B5-839F-761DF89D21FF}"/>
    <hyperlink ref="O40" r:id="rId35" display="https://us3.assetplanner.com/service_request?ID=096916" xr:uid="{C6FAF8AB-8C87-4EEA-9288-651B2D42B0B2}"/>
    <hyperlink ref="L41" r:id="rId36" display="https://us3.assetplanner.com/service_request?ID=092739" xr:uid="{92308A7A-A6CA-42F2-B9A6-F6AACDEB0062}"/>
    <hyperlink ref="M41" r:id="rId37" display="https://us3.assetplanner.com/service_request?ID=096514" xr:uid="{A7636D79-B60B-4973-A104-FEBB48B9FE6E}"/>
    <hyperlink ref="L43" r:id="rId38" display="https://us3.assetplanner.com/service_request?ID=090375" xr:uid="{E4204822-705E-4518-B965-0B634B634946}"/>
    <hyperlink ref="M43" r:id="rId39" display="https://us3.assetplanner.com/service_request?ID=098018" xr:uid="{F438C914-59AC-478D-AA6E-ADB61F672ADE}"/>
    <hyperlink ref="L45" r:id="rId40" display="https://us3.assetplanner.com/service_request?ID=092256" xr:uid="{8574F2D0-4A17-4385-97E3-8615B9691CCC}"/>
    <hyperlink ref="M45" r:id="rId41" display="https://us3.assetplanner.com/service_request?ID=090090" xr:uid="{057C026E-9B42-4D8C-9CAF-5F72FF3AFA82}"/>
    <hyperlink ref="N45" r:id="rId42" display="https://us3.assetplanner.com/service_request?ID=095592" xr:uid="{C6E3F0CC-9338-47FB-B243-369A36915BED}"/>
    <hyperlink ref="O45" r:id="rId43" display="https://us3.assetplanner.com/service_request?ID=095592" xr:uid="{D5831B48-C57E-4033-8536-B29865440578}"/>
    <hyperlink ref="L46" r:id="rId44" display="https://us3.assetplanner.com/service_request?ID=092603" xr:uid="{91B6FCF1-C8B0-4741-84FB-127FC60ACD83}"/>
    <hyperlink ref="L47" r:id="rId45" display="https://us3.assetplanner.com/service_request?ID=095339" xr:uid="{9CBC1CF4-5B49-41F2-80BC-6FB6E9EE7154}"/>
    <hyperlink ref="M47" r:id="rId46" display="https://us3.assetplanner.com/service_request?ID=095385" xr:uid="{281B7B14-98C1-4E6D-9745-2DC58A13DBFF}"/>
    <hyperlink ref="N47" r:id="rId47" display="https://us3.assetplanner.com/service_request?ID=097012" xr:uid="{B7A7C520-8AA1-46EB-AF31-54881EB7ADDC}"/>
    <hyperlink ref="O47" r:id="rId48" display="https://us3.assetplanner.com/service_request?ID=089612" xr:uid="{F1D48CEE-3CC0-4797-9A52-5CA9DBD3B713}"/>
    <hyperlink ref="P47" r:id="rId49" display="https://us3.assetplanner.com/service_request?ID=095385" xr:uid="{7FF13B5E-A2DC-4FEB-85A4-0F13A01F1FAE}"/>
    <hyperlink ref="L48" r:id="rId50" display="https://us3.assetplanner.com/service_request?ID=097558" xr:uid="{43A527A2-283B-4CB7-A291-32149D9B2BB7}"/>
    <hyperlink ref="M48" r:id="rId51" display="https://us3.assetplanner.com/service_request?ID=086220" xr:uid="{6971A0DB-77B0-46F9-A994-8C1151A00A25}"/>
    <hyperlink ref="N48" r:id="rId52" display="https://us3.assetplanner.com/service_request?ID=091312" xr:uid="{C2AA7AB8-F78E-41D5-A3CB-5B32461D7EDB}"/>
    <hyperlink ref="L53" r:id="rId53" display="https://us3.assetplanner.com/service_request?ID=094547" xr:uid="{3B4DBB06-A052-47FC-AFB4-510176511F85}"/>
    <hyperlink ref="M53" r:id="rId54" display="https://us3.assetplanner.com/service_request?ID=094545" xr:uid="{6216CE59-F7D3-4BE4-964A-230B3D0959BF}"/>
    <hyperlink ref="L57" r:id="rId55" display="https://us3.assetplanner.com/service_request?ID=095854" xr:uid="{6FD1BD81-5FFC-4282-A2AD-EEA947AE6A3D}"/>
    <hyperlink ref="L58" r:id="rId56" display="https://us3.assetplanner.com/service_request?ID=093474" xr:uid="{B3F7E7C9-0001-446B-A808-AE189F0BAA57}"/>
    <hyperlink ref="M58" r:id="rId57" display="https://us3.assetplanner.com/service_request?ID=089474" xr:uid="{FF9E5578-45EA-448C-813D-EDB1B2831D58}"/>
    <hyperlink ref="N58" r:id="rId58" display="https://us3.assetplanner.com/service_request?ID=090381" xr:uid="{4C039C59-7935-484D-99A9-E40B9601F5AF}"/>
    <hyperlink ref="O58" r:id="rId59" display="https://us3.assetplanner.com/service_request?ID=090380" xr:uid="{4911F001-7E4A-4A0E-B337-344F004D56C2}"/>
    <hyperlink ref="L60" r:id="rId60" display="https://us3.assetplanner.com/service_request?ID=096348" xr:uid="{8E4E9213-A46E-449F-B170-23EB274CBF48}"/>
    <hyperlink ref="M60" r:id="rId61" display="https://us3.assetplanner.com/service_request?ID=089477" xr:uid="{3AC47EF0-6A44-4985-A025-D6488C1D3FBF}"/>
    <hyperlink ref="N60" r:id="rId62" display="https://us3.assetplanner.com/service_request?ID=096348" xr:uid="{69147269-3CFE-41D8-83D7-4C0D94E42917}"/>
    <hyperlink ref="O60" r:id="rId63" display="https://us3.assetplanner.com/service_request?ID=089477" xr:uid="{25566D15-FB9D-4E52-97B3-8430650E2CB5}"/>
    <hyperlink ref="P60" r:id="rId64" display="https://us3.assetplanner.com/service_request?ID=096348" xr:uid="{3FC913D1-C31D-4ECE-8537-19E56841EFE3}"/>
    <hyperlink ref="L65" r:id="rId65" display="https://us3.assetplanner.com/service_request?ID=094323" xr:uid="{6E43CA7B-EA1C-497C-8B1A-8A5E5B147C7A}"/>
    <hyperlink ref="L66" r:id="rId66" display="https://us3.assetplanner.com/service_request?ID=092170" xr:uid="{25B16925-F4EC-468D-BC00-94EED8F980F7}"/>
    <hyperlink ref="M66" r:id="rId67" display="https://us3.assetplanner.com/service_request?ID=092456" xr:uid="{8574E0B6-A4A8-4D14-8F8B-AA0FDDC6F1A9}"/>
    <hyperlink ref="L67" r:id="rId68" display="https://us3.assetplanner.com/service_request?ID=092455" xr:uid="{F787F686-C00E-45A4-98F1-AE10D372BA9B}"/>
    <hyperlink ref="M67" r:id="rId69" display="https://us3.assetplanner.com/service_request?ID=090296" xr:uid="{F218DEB7-920A-49C6-A16B-609E79C22A46}"/>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42"/>
  <sheetViews>
    <sheetView zoomScale="80" zoomScaleNormal="80" workbookViewId="0">
      <pane xSplit="2" ySplit="3" topLeftCell="C66" activePane="bottomRight" state="frozen"/>
      <selection pane="bottomRight" activeCell="D69" sqref="D69"/>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132" t="str" cm="1">
        <f t="array" ref="A1">portfolio</f>
        <v>Silicon Ranch</v>
      </c>
      <c r="B1" s="132"/>
      <c r="C1" s="132"/>
      <c r="D1" s="133" t="s">
        <v>168</v>
      </c>
      <c r="E1" s="133"/>
      <c r="F1" s="133"/>
      <c r="G1" s="131" t="s">
        <v>169</v>
      </c>
      <c r="H1" s="131"/>
      <c r="I1" s="131"/>
      <c r="J1" s="4"/>
      <c r="K1" s="4"/>
    </row>
    <row r="2" spans="1:16" ht="19.5" customHeight="1">
      <c r="A2" s="134" t="s">
        <v>2</v>
      </c>
      <c r="B2" s="134"/>
      <c r="C2" s="5">
        <f>SUM(C4:C100)</f>
        <v>3832546</v>
      </c>
      <c r="D2" s="5">
        <f>SUM(D4:D100)</f>
        <v>2419110</v>
      </c>
      <c r="E2" s="5">
        <f>C2-D2</f>
        <v>1413436</v>
      </c>
      <c r="F2" s="6">
        <f>IFERROR(E2/D2, 0)</f>
        <v>0.58427934240278445</v>
      </c>
      <c r="G2" s="5">
        <f>SUM(G4:G100)</f>
        <v>3740512.1979999994</v>
      </c>
      <c r="H2" s="7">
        <f>C2-G2</f>
        <v>92033.802000000607</v>
      </c>
      <c r="I2" s="6">
        <f>IFERROR(H2/G2, 0)</f>
        <v>2.4604598816496258E-2</v>
      </c>
      <c r="J2" s="26"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8" t="s">
        <v>3</v>
      </c>
      <c r="B3" s="8" t="s">
        <v>4</v>
      </c>
      <c r="C3" s="23" t="s">
        <v>5</v>
      </c>
      <c r="D3" s="35" t="s">
        <v>6</v>
      </c>
      <c r="E3" s="35" t="s">
        <v>7</v>
      </c>
      <c r="F3" s="36" t="s">
        <v>8</v>
      </c>
      <c r="G3" s="37" t="s">
        <v>9</v>
      </c>
      <c r="H3" s="38" t="s">
        <v>7</v>
      </c>
      <c r="I3" s="39" t="s">
        <v>8</v>
      </c>
      <c r="J3" s="25" t="s">
        <v>20</v>
      </c>
      <c r="K3" s="25" t="s">
        <v>21</v>
      </c>
    </row>
    <row r="4" spans="1:16" ht="15.6">
      <c r="A4" s="32" t="str" cm="1">
        <f t="array" ref="A4:A70">Sites[Site]</f>
        <v>Iron Mountain - Windsor</v>
      </c>
      <c r="B4" s="29" t="str" cm="1">
        <f t="array" ref="B4:B70">Sites[State]</f>
        <v>CT</v>
      </c>
      <c r="C4" s="24">
        <v>27222</v>
      </c>
      <c r="D4" s="13">
        <v>27081</v>
      </c>
      <c r="E4" s="13">
        <f>IF(AND(ISNUMBER(C4),ISNUMBER(D4)), C4-D4, "")</f>
        <v>141</v>
      </c>
      <c r="F4" s="14">
        <f>IFERROR(E4/D4, "")</f>
        <v>5.2066024149772907E-3</v>
      </c>
      <c r="G4" s="15">
        <v>24890.44</v>
      </c>
      <c r="H4" s="15">
        <f>IF(AND(ISNUMBER(C4),ISNUMBER(G4)), C4-G4, "")</f>
        <v>2331.5600000000013</v>
      </c>
      <c r="I4" s="16">
        <f>IFERROR(H4/G4, "")</f>
        <v>9.3672912170295164E-2</v>
      </c>
      <c r="J4" s="64"/>
      <c r="K4" s="41"/>
      <c r="L4" s="97"/>
      <c r="M4" s="97"/>
      <c r="N4" s="97"/>
      <c r="O4" s="97"/>
      <c r="P4" s="97"/>
    </row>
    <row r="5" spans="1:16" ht="15.6">
      <c r="A5" s="30" t="str">
        <v>Kohls - Auburn</v>
      </c>
      <c r="B5" s="31" t="str">
        <v>NY</v>
      </c>
      <c r="C5" s="11">
        <v>27236</v>
      </c>
      <c r="D5" s="18">
        <v>27027</v>
      </c>
      <c r="E5" s="18">
        <f t="shared" ref="E5:E25" si="0">IF(AND(ISNUMBER(C5),ISNUMBER(D5)), C5-D5, "")</f>
        <v>209</v>
      </c>
      <c r="F5" s="19">
        <f>IFERROR(E5/D5, "")</f>
        <v>7.7330077330077327E-3</v>
      </c>
      <c r="G5" s="20">
        <v>23650.080000000002</v>
      </c>
      <c r="H5" s="20">
        <f t="shared" ref="H5:H25" si="1">IF(AND(ISNUMBER(C5),ISNUMBER(G5)), C5-G5, "")</f>
        <v>3585.9199999999983</v>
      </c>
      <c r="I5" s="19">
        <f t="shared" ref="I5:I69" si="2">IFERROR(H5/G5, "")</f>
        <v>0.15162401141983445</v>
      </c>
      <c r="K5" s="42"/>
      <c r="L5" s="97"/>
      <c r="M5" s="97"/>
      <c r="N5" s="97"/>
      <c r="O5" s="97"/>
      <c r="P5" s="97"/>
    </row>
    <row r="6" spans="1:16" ht="43.15">
      <c r="A6" s="28" t="str">
        <v>Kohls - Bensalem</v>
      </c>
      <c r="B6" s="29" t="str">
        <v>PA</v>
      </c>
      <c r="C6" s="24">
        <v>34738</v>
      </c>
      <c r="D6" s="13">
        <v>30227</v>
      </c>
      <c r="E6" s="13">
        <f t="shared" si="0"/>
        <v>4511</v>
      </c>
      <c r="F6" s="14">
        <f t="shared" ref="F6:F25" si="3">IFERROR(E6/D6, "")</f>
        <v>0.14923743672875245</v>
      </c>
      <c r="G6" s="15">
        <v>29689.14</v>
      </c>
      <c r="H6" s="15">
        <f t="shared" si="1"/>
        <v>5048.8600000000006</v>
      </c>
      <c r="I6" s="16">
        <f t="shared" si="2"/>
        <v>0.17005746882530112</v>
      </c>
      <c r="J6" s="41" t="s">
        <v>170</v>
      </c>
      <c r="K6" s="88" t="s">
        <v>171</v>
      </c>
      <c r="L6" s="97"/>
      <c r="M6" s="97"/>
      <c r="N6" s="97"/>
      <c r="O6" s="97"/>
      <c r="P6" s="97"/>
    </row>
    <row r="7" spans="1:16" ht="15.6">
      <c r="A7" s="30" t="str">
        <v>Kohls - Brick</v>
      </c>
      <c r="B7" s="31" t="str">
        <v>NJ</v>
      </c>
      <c r="C7" s="11">
        <v>43073</v>
      </c>
      <c r="D7" s="18">
        <v>41247</v>
      </c>
      <c r="E7" s="18">
        <f t="shared" si="0"/>
        <v>1826</v>
      </c>
      <c r="F7" s="19">
        <f t="shared" si="3"/>
        <v>4.4269886294760828E-2</v>
      </c>
      <c r="G7" s="20">
        <v>35597.949999999997</v>
      </c>
      <c r="H7" s="20">
        <f t="shared" si="1"/>
        <v>7475.0500000000029</v>
      </c>
      <c r="I7" s="19">
        <f t="shared" si="2"/>
        <v>0.20998540646301272</v>
      </c>
      <c r="J7" s="42"/>
      <c r="K7" s="43"/>
      <c r="L7" s="97"/>
      <c r="M7" s="97"/>
      <c r="N7" s="97"/>
      <c r="O7" s="97"/>
      <c r="P7" s="97"/>
    </row>
    <row r="8" spans="1:16" ht="111.75" customHeight="1">
      <c r="A8" s="28" t="str">
        <v>Kohls - Buffalo</v>
      </c>
      <c r="B8" s="29" t="str">
        <v>NY</v>
      </c>
      <c r="C8" s="24">
        <v>24986</v>
      </c>
      <c r="D8" s="13" t="s">
        <v>24</v>
      </c>
      <c r="E8" s="13" t="str">
        <f t="shared" si="0"/>
        <v/>
      </c>
      <c r="F8" s="14" t="str">
        <f>IFERROR(E8/D8, "")</f>
        <v/>
      </c>
      <c r="G8" s="15">
        <v>30971.89</v>
      </c>
      <c r="H8" s="15">
        <f t="shared" si="1"/>
        <v>-5985.8899999999994</v>
      </c>
      <c r="I8" s="16">
        <f t="shared" si="2"/>
        <v>-0.19326847667352556</v>
      </c>
      <c r="J8" s="41" t="s">
        <v>172</v>
      </c>
      <c r="K8" s="88" t="s">
        <v>173</v>
      </c>
      <c r="L8" s="98" t="s">
        <v>174</v>
      </c>
      <c r="M8" s="98" t="s">
        <v>28</v>
      </c>
      <c r="N8" s="98" t="s">
        <v>27</v>
      </c>
      <c r="O8" s="98" t="s">
        <v>28</v>
      </c>
      <c r="P8" s="97"/>
    </row>
    <row r="9" spans="1:16" ht="15.6">
      <c r="A9" s="30" t="str">
        <v>Kohls - Canton</v>
      </c>
      <c r="B9" s="31" t="str">
        <v>CT</v>
      </c>
      <c r="C9" s="11">
        <v>13827</v>
      </c>
      <c r="D9" s="18">
        <v>13665</v>
      </c>
      <c r="E9" s="18">
        <f>IF(AND(ISNUMBER(C9),ISNUMBER(D9)), C9-D9, "")</f>
        <v>162</v>
      </c>
      <c r="F9" s="19">
        <f t="shared" si="3"/>
        <v>1.1855104281009879E-2</v>
      </c>
      <c r="G9" s="20">
        <v>11101.61</v>
      </c>
      <c r="H9" s="20">
        <f t="shared" si="1"/>
        <v>2725.3899999999994</v>
      </c>
      <c r="I9" s="19">
        <f t="shared" si="2"/>
        <v>0.24549502279399107</v>
      </c>
      <c r="J9" s="42"/>
      <c r="K9" s="43"/>
      <c r="L9" s="97"/>
      <c r="M9" s="97"/>
      <c r="N9" s="97"/>
      <c r="O9" s="97"/>
      <c r="P9" s="97"/>
    </row>
    <row r="10" spans="1:16" ht="15.6">
      <c r="A10" s="28" t="str">
        <v>Kohls - East Amherst</v>
      </c>
      <c r="B10" s="29" t="str">
        <v>NY</v>
      </c>
      <c r="C10" s="24">
        <v>30527</v>
      </c>
      <c r="D10" s="13">
        <v>30163</v>
      </c>
      <c r="E10" s="13">
        <f>IF(AND(ISNUMBER(C10),ISNUMBER(D10)), C10-D10, "")</f>
        <v>364</v>
      </c>
      <c r="F10" s="14">
        <f t="shared" si="3"/>
        <v>1.206776514272453E-2</v>
      </c>
      <c r="G10" s="15">
        <v>28509.69</v>
      </c>
      <c r="H10" s="15">
        <f t="shared" si="1"/>
        <v>2017.3100000000013</v>
      </c>
      <c r="I10" s="16">
        <f t="shared" si="2"/>
        <v>7.0758749042869329E-2</v>
      </c>
      <c r="J10" s="41"/>
      <c r="K10" s="41"/>
      <c r="L10" s="97"/>
      <c r="M10" s="97"/>
      <c r="N10" s="97"/>
      <c r="O10" s="97"/>
      <c r="P10" s="97"/>
    </row>
    <row r="11" spans="1:16" ht="15.6">
      <c r="A11" s="30" t="str">
        <v>Kohls - East Brunswick</v>
      </c>
      <c r="B11" s="31" t="str">
        <v>NJ</v>
      </c>
      <c r="C11" s="11">
        <v>48343</v>
      </c>
      <c r="D11" s="18">
        <v>48083</v>
      </c>
      <c r="E11" s="18">
        <f t="shared" si="0"/>
        <v>260</v>
      </c>
      <c r="F11" s="19">
        <f t="shared" si="3"/>
        <v>5.4073165151924795E-3</v>
      </c>
      <c r="G11" s="20">
        <v>45835.09</v>
      </c>
      <c r="H11" s="20">
        <f t="shared" si="1"/>
        <v>2507.9100000000035</v>
      </c>
      <c r="I11" s="19">
        <f t="shared" si="2"/>
        <v>5.4715939250910242E-2</v>
      </c>
      <c r="J11" s="42"/>
      <c r="K11" s="43"/>
      <c r="L11" s="97"/>
      <c r="M11" s="97"/>
      <c r="N11" s="97"/>
      <c r="O11" s="97"/>
      <c r="P11" s="97"/>
    </row>
    <row r="12" spans="1:16" ht="15.6">
      <c r="A12" s="28" t="str">
        <v>Kohls - Edgewood</v>
      </c>
      <c r="B12" s="29" t="str">
        <v>MD</v>
      </c>
      <c r="C12" s="24">
        <v>250847</v>
      </c>
      <c r="D12" s="13">
        <v>249117</v>
      </c>
      <c r="E12" s="13">
        <f t="shared" si="0"/>
        <v>1730</v>
      </c>
      <c r="F12" s="14">
        <f t="shared" si="3"/>
        <v>6.9445280731543811E-3</v>
      </c>
      <c r="G12" s="15">
        <v>237369.73</v>
      </c>
      <c r="H12" s="15">
        <f t="shared" si="1"/>
        <v>13477.26999999999</v>
      </c>
      <c r="I12" s="16">
        <f t="shared" si="2"/>
        <v>5.6777542781044528E-2</v>
      </c>
      <c r="J12" s="41"/>
      <c r="K12" s="41"/>
      <c r="L12" s="97"/>
      <c r="M12" s="97"/>
      <c r="N12" s="97"/>
      <c r="O12" s="97"/>
      <c r="P12" s="97"/>
    </row>
    <row r="13" spans="1:16" ht="15.6">
      <c r="A13" s="30" t="str">
        <v>Kohls - Granite Run</v>
      </c>
      <c r="B13" s="31" t="str">
        <v>PA</v>
      </c>
      <c r="C13" s="11">
        <v>33109</v>
      </c>
      <c r="D13" s="18">
        <v>32909</v>
      </c>
      <c r="E13" s="18">
        <f t="shared" si="0"/>
        <v>200</v>
      </c>
      <c r="F13" s="19">
        <f t="shared" si="3"/>
        <v>6.0773648545990461E-3</v>
      </c>
      <c r="G13" s="20">
        <v>29284.799999999999</v>
      </c>
      <c r="H13" s="20">
        <f t="shared" si="1"/>
        <v>3824.2000000000007</v>
      </c>
      <c r="I13" s="19">
        <f t="shared" si="2"/>
        <v>0.13058651587171505</v>
      </c>
      <c r="J13" s="42"/>
      <c r="K13" s="43"/>
      <c r="L13" s="97"/>
      <c r="M13" s="97"/>
      <c r="N13" s="97"/>
      <c r="O13" s="97"/>
      <c r="P13" s="97"/>
    </row>
    <row r="14" spans="1:16" ht="15.6">
      <c r="A14" s="28" t="str">
        <v>Kohls - Greece</v>
      </c>
      <c r="B14" s="29" t="str">
        <v>NY</v>
      </c>
      <c r="C14" s="24">
        <v>26115</v>
      </c>
      <c r="D14" s="13">
        <v>25812</v>
      </c>
      <c r="E14" s="13">
        <f t="shared" si="0"/>
        <v>303</v>
      </c>
      <c r="F14" s="14">
        <f t="shared" si="3"/>
        <v>1.1738726173872617E-2</v>
      </c>
      <c r="G14" s="15">
        <v>27398.92</v>
      </c>
      <c r="H14" s="15">
        <f t="shared" si="1"/>
        <v>-1283.9199999999983</v>
      </c>
      <c r="I14" s="16">
        <f t="shared" si="2"/>
        <v>-4.6860241206587647E-2</v>
      </c>
      <c r="J14" s="41"/>
      <c r="K14" s="41"/>
      <c r="L14" s="97"/>
      <c r="M14" s="97"/>
      <c r="N14" s="97"/>
      <c r="O14" s="97"/>
      <c r="P14" s="97"/>
    </row>
    <row r="15" spans="1:16" ht="15.6">
      <c r="A15" s="30" t="str">
        <v>Kohls - Hanover</v>
      </c>
      <c r="B15" s="31" t="str">
        <v>PA</v>
      </c>
      <c r="C15" s="11">
        <v>37630</v>
      </c>
      <c r="D15" s="18">
        <v>37388</v>
      </c>
      <c r="E15" s="18">
        <f t="shared" si="0"/>
        <v>242</v>
      </c>
      <c r="F15" s="19">
        <f t="shared" si="3"/>
        <v>6.4726650262116187E-3</v>
      </c>
      <c r="G15" s="20">
        <v>32189.09</v>
      </c>
      <c r="H15" s="20">
        <f t="shared" si="1"/>
        <v>5440.91</v>
      </c>
      <c r="I15" s="19">
        <f t="shared" si="2"/>
        <v>0.16902963084697331</v>
      </c>
      <c r="J15" s="42"/>
      <c r="K15" s="43"/>
      <c r="L15" s="97"/>
      <c r="M15" s="97"/>
      <c r="N15" s="97"/>
      <c r="O15" s="97"/>
      <c r="P15" s="97"/>
    </row>
    <row r="16" spans="1:16" ht="15.6">
      <c r="A16" s="28" t="str">
        <v>Kohls - Horsehead</v>
      </c>
      <c r="B16" s="29" t="str">
        <v>NY</v>
      </c>
      <c r="C16" s="24">
        <v>25246</v>
      </c>
      <c r="D16" s="13">
        <v>25033</v>
      </c>
      <c r="E16" s="13">
        <f t="shared" si="0"/>
        <v>213</v>
      </c>
      <c r="F16" s="14">
        <f t="shared" si="3"/>
        <v>8.5087684256781055E-3</v>
      </c>
      <c r="G16" s="15">
        <v>24714.57</v>
      </c>
      <c r="H16" s="15">
        <f t="shared" si="1"/>
        <v>531.43000000000029</v>
      </c>
      <c r="I16" s="16">
        <f t="shared" si="2"/>
        <v>2.1502700633674803E-2</v>
      </c>
      <c r="J16" s="41"/>
      <c r="K16" s="41"/>
      <c r="L16" s="97"/>
      <c r="M16" s="97"/>
      <c r="N16" s="97"/>
      <c r="O16" s="97"/>
      <c r="P16" s="97"/>
    </row>
    <row r="17" spans="1:16" ht="15.6">
      <c r="A17" s="30" t="str">
        <v>Kohls - Hudson</v>
      </c>
      <c r="B17" s="31" t="str">
        <v>NY</v>
      </c>
      <c r="C17" s="11">
        <v>29884</v>
      </c>
      <c r="D17" s="18">
        <v>29691</v>
      </c>
      <c r="E17" s="18">
        <f t="shared" si="0"/>
        <v>193</v>
      </c>
      <c r="F17" s="19">
        <f t="shared" si="3"/>
        <v>6.5002862820383285E-3</v>
      </c>
      <c r="G17" s="20">
        <v>29518.63</v>
      </c>
      <c r="H17" s="20">
        <f t="shared" si="1"/>
        <v>365.36999999999898</v>
      </c>
      <c r="I17" s="19">
        <f t="shared" si="2"/>
        <v>1.2377606955336308E-2</v>
      </c>
      <c r="J17" s="42"/>
      <c r="K17" s="43"/>
      <c r="L17" s="97"/>
      <c r="M17" s="97"/>
      <c r="N17" s="97"/>
      <c r="O17" s="97"/>
      <c r="P17" s="97"/>
    </row>
    <row r="18" spans="1:16" ht="15.6">
      <c r="A18" s="32" t="str">
        <v>Kohls - Ithaca</v>
      </c>
      <c r="B18" s="29" t="str">
        <v>NY</v>
      </c>
      <c r="C18" s="24">
        <v>24987</v>
      </c>
      <c r="D18" s="13">
        <v>24837</v>
      </c>
      <c r="E18" s="13">
        <f t="shared" si="0"/>
        <v>150</v>
      </c>
      <c r="F18" s="14">
        <f t="shared" si="3"/>
        <v>6.0393767363208116E-3</v>
      </c>
      <c r="G18" s="15">
        <v>27056.43</v>
      </c>
      <c r="H18" s="15">
        <f t="shared" si="1"/>
        <v>-2069.4300000000003</v>
      </c>
      <c r="I18" s="16">
        <f t="shared" si="2"/>
        <v>-7.6485700441632554E-2</v>
      </c>
      <c r="J18" s="41"/>
      <c r="K18" s="41"/>
      <c r="L18" s="97"/>
      <c r="M18" s="97"/>
      <c r="N18" s="97"/>
      <c r="O18" s="97"/>
      <c r="P18" s="97"/>
    </row>
    <row r="19" spans="1:16" ht="15.6">
      <c r="A19" s="30" t="str">
        <v>Kohls - Kingston</v>
      </c>
      <c r="B19" s="31" t="str">
        <v>NY</v>
      </c>
      <c r="C19" s="11">
        <v>38808</v>
      </c>
      <c r="D19" s="18">
        <v>38452</v>
      </c>
      <c r="E19" s="18">
        <f t="shared" si="0"/>
        <v>356</v>
      </c>
      <c r="F19" s="19">
        <f t="shared" si="3"/>
        <v>9.2582960574222415E-3</v>
      </c>
      <c r="G19" s="20">
        <v>41394.589999999997</v>
      </c>
      <c r="H19" s="20">
        <f t="shared" si="1"/>
        <v>-2586.5899999999965</v>
      </c>
      <c r="I19" s="19">
        <f t="shared" si="2"/>
        <v>-6.2486184788881752E-2</v>
      </c>
      <c r="J19" s="42"/>
      <c r="K19" s="42"/>
      <c r="L19" s="97"/>
      <c r="M19" s="97"/>
      <c r="N19" s="97"/>
      <c r="O19" s="97"/>
      <c r="P19" s="97"/>
    </row>
    <row r="20" spans="1:16" ht="15.6">
      <c r="A20" s="28" t="str">
        <v>Kohls - Mechanicsburg</v>
      </c>
      <c r="B20" s="29" t="str">
        <v>PA</v>
      </c>
      <c r="C20" s="24">
        <v>43003</v>
      </c>
      <c r="D20" s="13">
        <v>42690</v>
      </c>
      <c r="E20" s="13">
        <f t="shared" si="0"/>
        <v>313</v>
      </c>
      <c r="F20" s="14">
        <f t="shared" si="3"/>
        <v>7.3319278519559617E-3</v>
      </c>
      <c r="G20" s="15">
        <v>37183.53</v>
      </c>
      <c r="H20" s="15">
        <f t="shared" si="1"/>
        <v>5819.4700000000012</v>
      </c>
      <c r="I20" s="16">
        <f t="shared" si="2"/>
        <v>0.15650665765192281</v>
      </c>
      <c r="J20" s="41"/>
      <c r="K20" s="41"/>
      <c r="L20" s="97"/>
      <c r="M20" s="97"/>
      <c r="N20" s="97"/>
      <c r="O20" s="97"/>
      <c r="P20" s="97"/>
    </row>
    <row r="21" spans="1:16" ht="15.6">
      <c r="A21" s="30" t="str">
        <v>Kohls - Middletown</v>
      </c>
      <c r="B21" s="31" t="str">
        <v>NJ</v>
      </c>
      <c r="C21" s="11">
        <v>63442</v>
      </c>
      <c r="D21" s="18">
        <v>62840</v>
      </c>
      <c r="E21" s="18">
        <f t="shared" si="0"/>
        <v>602</v>
      </c>
      <c r="F21" s="19">
        <f t="shared" si="3"/>
        <v>9.5798854232972633E-3</v>
      </c>
      <c r="G21" s="20">
        <v>52641.66</v>
      </c>
      <c r="H21" s="20">
        <f t="shared" si="1"/>
        <v>10800.339999999997</v>
      </c>
      <c r="I21" s="19">
        <f t="shared" si="2"/>
        <v>0.20516716228173648</v>
      </c>
      <c r="J21" s="54"/>
      <c r="K21" s="53"/>
      <c r="L21" s="97"/>
      <c r="M21" s="97"/>
      <c r="N21" s="97"/>
      <c r="O21" s="97"/>
      <c r="P21" s="97"/>
    </row>
    <row r="22" spans="1:16" ht="28.9">
      <c r="A22" s="28" t="str">
        <v>Kohls - North Amherst</v>
      </c>
      <c r="B22" s="29" t="str">
        <v>NY</v>
      </c>
      <c r="C22" s="24">
        <v>0</v>
      </c>
      <c r="D22" s="13" t="s">
        <v>24</v>
      </c>
      <c r="E22" s="13" t="str">
        <f t="shared" si="0"/>
        <v/>
      </c>
      <c r="F22" s="14" t="str">
        <f t="shared" si="3"/>
        <v/>
      </c>
      <c r="G22" s="15">
        <v>25362.51</v>
      </c>
      <c r="H22" s="15">
        <f t="shared" si="1"/>
        <v>-25362.51</v>
      </c>
      <c r="I22" s="16">
        <f t="shared" si="2"/>
        <v>-1</v>
      </c>
      <c r="J22" s="86" t="s">
        <v>34</v>
      </c>
      <c r="K22" s="88" t="s">
        <v>35</v>
      </c>
      <c r="L22" s="98" t="s">
        <v>36</v>
      </c>
      <c r="M22" s="97"/>
      <c r="N22" s="97"/>
      <c r="O22" s="97"/>
      <c r="P22" s="97"/>
    </row>
    <row r="23" spans="1:16" ht="158.44999999999999">
      <c r="A23" s="30" t="str">
        <v>Kohls - Staten Island</v>
      </c>
      <c r="B23" s="31" t="str">
        <v>NY</v>
      </c>
      <c r="C23" s="11">
        <v>29577</v>
      </c>
      <c r="D23" s="18" t="s">
        <v>24</v>
      </c>
      <c r="E23" s="18" t="str">
        <f t="shared" si="0"/>
        <v/>
      </c>
      <c r="F23" s="19" t="str">
        <f t="shared" si="3"/>
        <v/>
      </c>
      <c r="G23" s="20">
        <v>31812.12</v>
      </c>
      <c r="H23" s="20">
        <f t="shared" si="1"/>
        <v>-2235.119999999999</v>
      </c>
      <c r="I23" s="19">
        <f t="shared" si="2"/>
        <v>-7.0260014107830573E-2</v>
      </c>
      <c r="J23" s="42" t="s">
        <v>175</v>
      </c>
      <c r="K23" s="90" t="s">
        <v>176</v>
      </c>
      <c r="L23" s="98" t="s">
        <v>177</v>
      </c>
      <c r="M23" s="97"/>
      <c r="N23" s="97"/>
      <c r="O23" s="97"/>
      <c r="P23" s="97"/>
    </row>
    <row r="24" spans="1:16" ht="15.6">
      <c r="A24" s="28" t="str">
        <v>Kohls - Warminster</v>
      </c>
      <c r="B24" s="29" t="str">
        <v>PA</v>
      </c>
      <c r="C24" s="24">
        <v>43847</v>
      </c>
      <c r="D24" s="13">
        <v>43555</v>
      </c>
      <c r="E24" s="13">
        <f t="shared" si="0"/>
        <v>292</v>
      </c>
      <c r="F24" s="14">
        <f t="shared" si="3"/>
        <v>6.7041671449890941E-3</v>
      </c>
      <c r="G24" s="15">
        <v>36323.74</v>
      </c>
      <c r="H24" s="15">
        <f t="shared" si="1"/>
        <v>7523.260000000002</v>
      </c>
      <c r="I24" s="16">
        <f t="shared" si="2"/>
        <v>0.20711688829399183</v>
      </c>
      <c r="J24" s="41"/>
      <c r="K24" s="41"/>
      <c r="L24" s="97"/>
      <c r="M24" s="97"/>
      <c r="N24" s="97"/>
      <c r="O24" s="97"/>
      <c r="P24" s="97"/>
    </row>
    <row r="25" spans="1:16" ht="57.6">
      <c r="A25" s="30" t="str">
        <v xml:space="preserve">Kohls - Waterbury </v>
      </c>
      <c r="B25" s="31" t="str">
        <v>CT</v>
      </c>
      <c r="C25" s="11">
        <v>31429</v>
      </c>
      <c r="D25" s="18">
        <v>31084</v>
      </c>
      <c r="E25" s="18">
        <f t="shared" si="0"/>
        <v>345</v>
      </c>
      <c r="F25" s="19">
        <f t="shared" si="3"/>
        <v>1.1098957663106422E-2</v>
      </c>
      <c r="G25" s="20">
        <v>28363.71</v>
      </c>
      <c r="H25" s="20">
        <f t="shared" si="1"/>
        <v>3065.2900000000009</v>
      </c>
      <c r="I25" s="19">
        <f t="shared" si="2"/>
        <v>0.10807084122634172</v>
      </c>
      <c r="J25" s="42" t="s">
        <v>178</v>
      </c>
      <c r="K25" s="90" t="s">
        <v>128</v>
      </c>
      <c r="L25" s="97"/>
      <c r="M25" s="97"/>
      <c r="N25" s="97"/>
      <c r="O25" s="97"/>
      <c r="P25" s="97"/>
    </row>
    <row r="26" spans="1:16" ht="28.9">
      <c r="A26" s="28" t="str">
        <v>Mojave Water Agency - Headquarters</v>
      </c>
      <c r="B26" s="29" t="str">
        <v>CA</v>
      </c>
      <c r="C26" s="24">
        <v>41136</v>
      </c>
      <c r="D26" s="13">
        <v>35134</v>
      </c>
      <c r="E26" s="13">
        <f t="shared" ref="E26:E68" si="4">IF(AND(ISNUMBER(C26),ISNUMBER(D26)), C26-D26, "")</f>
        <v>6002</v>
      </c>
      <c r="F26" s="14">
        <f t="shared" ref="F26:F68" si="5">IFERROR(E26/D26, "")</f>
        <v>0.17083167302328228</v>
      </c>
      <c r="G26" s="15">
        <v>35355.279999999999</v>
      </c>
      <c r="H26" s="15">
        <f t="shared" ref="H26:H69" si="6">IF(AND(ISNUMBER(C26),ISNUMBER(G26)), C26-G26, "")</f>
        <v>5780.7200000000012</v>
      </c>
      <c r="I26" s="16">
        <f t="shared" si="2"/>
        <v>0.16350372561043219</v>
      </c>
      <c r="J26" s="41" t="s">
        <v>179</v>
      </c>
      <c r="K26" s="88" t="s">
        <v>180</v>
      </c>
      <c r="L26" s="97"/>
      <c r="M26" s="97"/>
      <c r="N26" s="97"/>
      <c r="O26" s="97"/>
      <c r="P26" s="97"/>
    </row>
    <row r="27" spans="1:16" ht="15.6">
      <c r="A27" s="30" t="str">
        <v>CSU - Bakersfield</v>
      </c>
      <c r="B27" s="31" t="str">
        <v>CA</v>
      </c>
      <c r="C27" s="11">
        <v>127698</v>
      </c>
      <c r="D27" s="18">
        <v>127167</v>
      </c>
      <c r="E27" s="18">
        <f t="shared" si="4"/>
        <v>531</v>
      </c>
      <c r="F27" s="19">
        <f t="shared" si="5"/>
        <v>4.1756115973483688E-3</v>
      </c>
      <c r="G27" s="20">
        <v>118489.14</v>
      </c>
      <c r="H27" s="20">
        <f t="shared" si="6"/>
        <v>9208.86</v>
      </c>
      <c r="I27" s="19">
        <f t="shared" si="2"/>
        <v>7.7719021338158084E-2</v>
      </c>
      <c r="J27" s="42"/>
      <c r="K27" s="43"/>
      <c r="L27" s="97"/>
      <c r="M27" s="97"/>
      <c r="N27" s="97"/>
      <c r="O27" s="97"/>
      <c r="P27" s="97"/>
    </row>
    <row r="28" spans="1:16" ht="15.6">
      <c r="A28" s="28" t="str">
        <v>Greenfield USD - Fairfield ES</v>
      </c>
      <c r="B28" s="29" t="str">
        <v>CA</v>
      </c>
      <c r="C28" s="24">
        <v>12306</v>
      </c>
      <c r="D28" s="13">
        <v>12229</v>
      </c>
      <c r="E28" s="13">
        <f t="shared" si="4"/>
        <v>77</v>
      </c>
      <c r="F28" s="14">
        <f t="shared" si="5"/>
        <v>6.2965082999427591E-3</v>
      </c>
      <c r="G28" s="15">
        <v>11131.02</v>
      </c>
      <c r="H28" s="15">
        <f t="shared" si="6"/>
        <v>1174.9799999999996</v>
      </c>
      <c r="I28" s="16">
        <f t="shared" si="2"/>
        <v>0.10555905927758638</v>
      </c>
      <c r="J28" s="41"/>
      <c r="K28" s="41"/>
      <c r="L28" s="97"/>
      <c r="M28" s="97"/>
      <c r="N28" s="97"/>
      <c r="O28" s="97"/>
      <c r="P28" s="97"/>
    </row>
    <row r="29" spans="1:16" ht="15.6">
      <c r="A29" s="30" t="str">
        <v>Greenfield USD - Granite Point ES</v>
      </c>
      <c r="B29" s="31" t="str">
        <v>CA</v>
      </c>
      <c r="C29" s="11">
        <v>31850</v>
      </c>
      <c r="D29" s="18">
        <v>31733</v>
      </c>
      <c r="E29" s="18">
        <f t="shared" si="4"/>
        <v>117</v>
      </c>
      <c r="F29" s="19">
        <f t="shared" si="5"/>
        <v>3.6870135190495697E-3</v>
      </c>
      <c r="G29" s="20">
        <v>29325.79</v>
      </c>
      <c r="H29" s="20">
        <f t="shared" si="6"/>
        <v>2524.2099999999991</v>
      </c>
      <c r="I29" s="19">
        <f t="shared" si="2"/>
        <v>8.6074748540448498E-2</v>
      </c>
      <c r="J29" s="42"/>
      <c r="K29" s="43"/>
      <c r="L29" s="97"/>
      <c r="M29" s="97"/>
      <c r="N29" s="97"/>
      <c r="O29" s="97"/>
      <c r="P29" s="97"/>
    </row>
    <row r="30" spans="1:16" ht="43.15">
      <c r="A30" s="28" t="str">
        <v>Greenfield USD - Greenfield MS</v>
      </c>
      <c r="B30" s="29" t="str">
        <v>CA</v>
      </c>
      <c r="C30" s="24">
        <v>20842</v>
      </c>
      <c r="D30" s="13">
        <v>19199</v>
      </c>
      <c r="E30" s="13">
        <f t="shared" si="4"/>
        <v>1643</v>
      </c>
      <c r="F30" s="14">
        <f t="shared" si="5"/>
        <v>8.5577373821553213E-2</v>
      </c>
      <c r="G30" s="15">
        <v>20074.448</v>
      </c>
      <c r="H30" s="15">
        <f t="shared" si="6"/>
        <v>767.55199999999968</v>
      </c>
      <c r="I30" s="16">
        <f t="shared" si="2"/>
        <v>3.8235273019711406E-2</v>
      </c>
      <c r="J30" s="41" t="s">
        <v>181</v>
      </c>
      <c r="K30" s="88" t="s">
        <v>182</v>
      </c>
      <c r="L30" s="97"/>
      <c r="M30" s="97"/>
      <c r="N30" s="97"/>
      <c r="O30" s="97"/>
      <c r="P30" s="97"/>
    </row>
    <row r="31" spans="1:16" ht="15.6">
      <c r="A31" s="30" t="str">
        <v>Greenfield USD - Horizon ES</v>
      </c>
      <c r="B31" s="31" t="str">
        <v>CA</v>
      </c>
      <c r="C31" s="11">
        <v>31986</v>
      </c>
      <c r="D31" s="18">
        <v>31852</v>
      </c>
      <c r="E31" s="18">
        <f t="shared" si="4"/>
        <v>134</v>
      </c>
      <c r="F31" s="19">
        <f t="shared" si="5"/>
        <v>4.2069571769433626E-3</v>
      </c>
      <c r="G31" s="20">
        <v>30176.01</v>
      </c>
      <c r="H31" s="20">
        <f t="shared" si="6"/>
        <v>1809.9900000000016</v>
      </c>
      <c r="I31" s="19">
        <f t="shared" si="2"/>
        <v>5.9981090939458255E-2</v>
      </c>
      <c r="J31" s="42"/>
      <c r="K31" s="43"/>
      <c r="L31" s="97"/>
      <c r="M31" s="97"/>
      <c r="N31" s="97"/>
      <c r="O31" s="97"/>
      <c r="P31" s="97"/>
    </row>
    <row r="32" spans="1:16" ht="15.6">
      <c r="A32" s="28" t="str">
        <v>Greenfield USD - McKee MS</v>
      </c>
      <c r="B32" s="29" t="str">
        <v>CA</v>
      </c>
      <c r="C32" s="24">
        <v>15740</v>
      </c>
      <c r="D32" s="13">
        <v>15698</v>
      </c>
      <c r="E32" s="13">
        <f t="shared" si="4"/>
        <v>42</v>
      </c>
      <c r="F32" s="14">
        <f t="shared" si="5"/>
        <v>2.6755000637023823E-3</v>
      </c>
      <c r="G32" s="15">
        <v>18447.54</v>
      </c>
      <c r="H32" s="15">
        <f t="shared" si="6"/>
        <v>-2707.5400000000009</v>
      </c>
      <c r="I32" s="16">
        <f t="shared" si="2"/>
        <v>-0.14676970479532778</v>
      </c>
      <c r="J32" s="41" t="s">
        <v>183</v>
      </c>
      <c r="K32" s="41"/>
      <c r="L32" s="97"/>
      <c r="M32" s="97"/>
      <c r="N32" s="97"/>
      <c r="O32" s="97"/>
      <c r="P32" s="97"/>
    </row>
    <row r="33" spans="1:16" ht="15.6">
      <c r="A33" s="30" t="str">
        <v>Greenfield USD - Plantation ES</v>
      </c>
      <c r="B33" s="31" t="str">
        <v>CA</v>
      </c>
      <c r="C33" s="11">
        <v>15097</v>
      </c>
      <c r="D33" s="18">
        <v>15047</v>
      </c>
      <c r="E33" s="18">
        <f t="shared" si="4"/>
        <v>50</v>
      </c>
      <c r="F33" s="19">
        <f t="shared" si="5"/>
        <v>3.3229215125938727E-3</v>
      </c>
      <c r="G33" s="20">
        <v>13199.13</v>
      </c>
      <c r="H33" s="20">
        <f t="shared" si="6"/>
        <v>1897.8700000000008</v>
      </c>
      <c r="I33" s="19">
        <f t="shared" si="2"/>
        <v>0.14378750720691447</v>
      </c>
      <c r="J33" s="42"/>
      <c r="K33" s="43"/>
      <c r="L33" s="97"/>
      <c r="M33" s="97"/>
      <c r="N33" s="97"/>
      <c r="O33" s="97"/>
      <c r="P33" s="97"/>
    </row>
    <row r="34" spans="1:16" ht="43.15">
      <c r="A34" s="28" t="str">
        <v>Greenfield USD - Planz ES</v>
      </c>
      <c r="B34" s="29" t="str">
        <v>CA</v>
      </c>
      <c r="C34" s="24">
        <v>6098</v>
      </c>
      <c r="D34" s="13">
        <v>6057</v>
      </c>
      <c r="E34" s="13">
        <f t="shared" si="4"/>
        <v>41</v>
      </c>
      <c r="F34" s="14">
        <f t="shared" si="5"/>
        <v>6.7690275714049862E-3</v>
      </c>
      <c r="G34" s="15">
        <v>14752.51</v>
      </c>
      <c r="H34" s="15">
        <f t="shared" si="6"/>
        <v>-8654.51</v>
      </c>
      <c r="I34" s="16">
        <f t="shared" si="2"/>
        <v>-0.58664661132241225</v>
      </c>
      <c r="J34" s="41" t="s">
        <v>184</v>
      </c>
      <c r="K34" s="88" t="s">
        <v>185</v>
      </c>
      <c r="L34" s="97"/>
      <c r="M34" s="97"/>
      <c r="N34" s="97"/>
      <c r="O34" s="97"/>
      <c r="P34" s="97"/>
    </row>
    <row r="35" spans="1:16" ht="15.6">
      <c r="A35" s="30" t="str">
        <v>Greenfield USD - Raffaello Palla ES</v>
      </c>
      <c r="B35" s="31" t="str">
        <v>CA</v>
      </c>
      <c r="C35" s="11">
        <v>27537</v>
      </c>
      <c r="D35" s="18">
        <v>27181</v>
      </c>
      <c r="E35" s="18">
        <f t="shared" si="4"/>
        <v>356</v>
      </c>
      <c r="F35" s="19">
        <f t="shared" si="5"/>
        <v>1.3097384202200066E-2</v>
      </c>
      <c r="G35" s="20">
        <v>32869.15</v>
      </c>
      <c r="H35" s="20">
        <f t="shared" si="6"/>
        <v>-5332.1500000000015</v>
      </c>
      <c r="I35" s="19">
        <f t="shared" si="2"/>
        <v>-0.16222354396143501</v>
      </c>
      <c r="J35" s="42" t="s">
        <v>186</v>
      </c>
      <c r="K35" s="92" t="s">
        <v>187</v>
      </c>
      <c r="L35" s="97"/>
      <c r="M35" s="97"/>
      <c r="N35" s="97"/>
      <c r="O35" s="97"/>
      <c r="P35" s="97"/>
    </row>
    <row r="36" spans="1:16" ht="15.6">
      <c r="A36" s="28" t="str">
        <v>Greenfield USD - Valle Verde ES</v>
      </c>
      <c r="B36" s="29" t="str">
        <v>CA</v>
      </c>
      <c r="C36" s="24">
        <v>38141</v>
      </c>
      <c r="D36" s="13">
        <v>37743</v>
      </c>
      <c r="E36" s="13">
        <f t="shared" si="4"/>
        <v>398</v>
      </c>
      <c r="F36" s="14">
        <f t="shared" si="5"/>
        <v>1.0545001722173647E-2</v>
      </c>
      <c r="G36" s="15">
        <v>30782.66</v>
      </c>
      <c r="H36" s="15">
        <f t="shared" si="6"/>
        <v>7358.34</v>
      </c>
      <c r="I36" s="16">
        <f t="shared" si="2"/>
        <v>0.23904172024120074</v>
      </c>
      <c r="J36" s="41"/>
      <c r="K36" s="41"/>
      <c r="L36" s="97"/>
      <c r="M36" s="97"/>
      <c r="N36" s="97"/>
      <c r="O36" s="97"/>
      <c r="P36" s="97"/>
    </row>
    <row r="37" spans="1:16" ht="28.9">
      <c r="A37" s="30" t="str">
        <v>Greenfield USD - W.A. Kendrick ES</v>
      </c>
      <c r="B37" s="31" t="str">
        <v>CA</v>
      </c>
      <c r="C37" s="11">
        <v>0</v>
      </c>
      <c r="D37" s="18" t="s">
        <v>24</v>
      </c>
      <c r="E37" s="18" t="str">
        <f t="shared" si="4"/>
        <v/>
      </c>
      <c r="F37" s="19" t="str">
        <f t="shared" si="5"/>
        <v/>
      </c>
      <c r="G37" s="20">
        <v>11866.35</v>
      </c>
      <c r="H37" s="20">
        <f t="shared" si="6"/>
        <v>-11866.35</v>
      </c>
      <c r="I37" s="19">
        <f t="shared" si="2"/>
        <v>-1</v>
      </c>
      <c r="J37" s="54" t="s">
        <v>131</v>
      </c>
      <c r="K37" s="90" t="s">
        <v>50</v>
      </c>
      <c r="L37" s="97"/>
      <c r="M37" s="97"/>
      <c r="N37" s="97"/>
      <c r="O37" s="97"/>
      <c r="P37" s="97"/>
    </row>
    <row r="38" spans="1:16" ht="57.6">
      <c r="A38" s="28" t="str">
        <v>Muroc Joint USD - Boron HS</v>
      </c>
      <c r="B38" s="29" t="str">
        <v>CA</v>
      </c>
      <c r="C38" s="24">
        <v>0</v>
      </c>
      <c r="D38" s="13" t="s">
        <v>24</v>
      </c>
      <c r="E38" s="13" t="str">
        <f t="shared" si="4"/>
        <v/>
      </c>
      <c r="F38" s="14" t="str">
        <f t="shared" si="5"/>
        <v/>
      </c>
      <c r="G38" s="15">
        <v>35271.9</v>
      </c>
      <c r="H38" s="15">
        <f t="shared" si="6"/>
        <v>-35271.9</v>
      </c>
      <c r="I38" s="16">
        <f t="shared" si="2"/>
        <v>-1</v>
      </c>
      <c r="J38" s="56" t="s">
        <v>51</v>
      </c>
      <c r="K38" s="88" t="s">
        <v>132</v>
      </c>
      <c r="L38" s="98" t="s">
        <v>133</v>
      </c>
      <c r="M38" s="98" t="s">
        <v>53</v>
      </c>
      <c r="N38" s="98" t="s">
        <v>54</v>
      </c>
      <c r="O38" s="97"/>
      <c r="P38" s="97"/>
    </row>
    <row r="39" spans="1:16" ht="15.6">
      <c r="A39" s="30" t="str">
        <v>Muroc Joint USD - W. Boron ES</v>
      </c>
      <c r="B39" s="31" t="str">
        <v>CA</v>
      </c>
      <c r="C39" s="11">
        <v>12937</v>
      </c>
      <c r="D39" s="18">
        <v>12898</v>
      </c>
      <c r="E39" s="18">
        <f t="shared" si="4"/>
        <v>39</v>
      </c>
      <c r="F39" s="19">
        <f t="shared" si="5"/>
        <v>3.0237246084664289E-3</v>
      </c>
      <c r="G39" s="20">
        <v>13034.03</v>
      </c>
      <c r="H39" s="20">
        <f t="shared" si="6"/>
        <v>-97.030000000000655</v>
      </c>
      <c r="I39" s="19">
        <f t="shared" si="2"/>
        <v>-7.4443591122623359E-3</v>
      </c>
      <c r="J39" s="42"/>
      <c r="K39" s="43"/>
      <c r="L39" s="97"/>
      <c r="M39" s="97"/>
      <c r="N39" s="97"/>
      <c r="O39" s="97"/>
      <c r="P39" s="97"/>
    </row>
    <row r="40" spans="1:16" ht="100.9">
      <c r="A40" s="28" t="str">
        <v>Colusa - WTP</v>
      </c>
      <c r="B40" s="29" t="str">
        <v>CA</v>
      </c>
      <c r="C40" s="24">
        <v>0</v>
      </c>
      <c r="D40" s="13" t="s">
        <v>24</v>
      </c>
      <c r="E40" s="13" t="str">
        <f t="shared" si="4"/>
        <v/>
      </c>
      <c r="F40" s="14" t="str">
        <f t="shared" si="5"/>
        <v/>
      </c>
      <c r="G40" s="15">
        <v>42715.56</v>
      </c>
      <c r="H40" s="15">
        <f t="shared" si="6"/>
        <v>-42715.56</v>
      </c>
      <c r="I40" s="16">
        <f t="shared" si="2"/>
        <v>-1</v>
      </c>
      <c r="J40" s="56" t="s">
        <v>188</v>
      </c>
      <c r="K40" s="88" t="s">
        <v>135</v>
      </c>
      <c r="L40" s="98" t="s">
        <v>57</v>
      </c>
      <c r="M40" s="98" t="s">
        <v>58</v>
      </c>
      <c r="N40" s="98" t="s">
        <v>59</v>
      </c>
      <c r="O40" s="98" t="s">
        <v>136</v>
      </c>
      <c r="P40" s="97"/>
    </row>
    <row r="41" spans="1:16" ht="100.9">
      <c r="A41" s="30" t="str">
        <v>CDCR-North Kern State Prision</v>
      </c>
      <c r="B41" s="31" t="str">
        <v>CA</v>
      </c>
      <c r="C41" s="11">
        <v>93451</v>
      </c>
      <c r="D41" s="18">
        <v>92801</v>
      </c>
      <c r="E41" s="18">
        <f t="shared" si="4"/>
        <v>650</v>
      </c>
      <c r="F41" s="19">
        <f t="shared" si="5"/>
        <v>7.0042348681587487E-3</v>
      </c>
      <c r="G41" s="20">
        <v>149687</v>
      </c>
      <c r="H41" s="20">
        <f t="shared" si="6"/>
        <v>-56236</v>
      </c>
      <c r="I41" s="19">
        <f t="shared" si="2"/>
        <v>-0.37569060773480661</v>
      </c>
      <c r="J41" s="42" t="s">
        <v>189</v>
      </c>
      <c r="K41" s="90" t="s">
        <v>190</v>
      </c>
      <c r="L41" s="98" t="s">
        <v>191</v>
      </c>
      <c r="M41" s="98" t="s">
        <v>192</v>
      </c>
      <c r="N41" s="98" t="s">
        <v>193</v>
      </c>
      <c r="O41" s="97"/>
      <c r="P41" s="97"/>
    </row>
    <row r="42" spans="1:16" ht="15.6">
      <c r="A42" s="28" t="str">
        <v>Muroc Joint USD - District Office</v>
      </c>
      <c r="B42" s="29" t="str">
        <v>CA</v>
      </c>
      <c r="C42" s="24">
        <v>6507</v>
      </c>
      <c r="D42" s="13">
        <v>6502</v>
      </c>
      <c r="E42" s="13">
        <f t="shared" si="4"/>
        <v>5</v>
      </c>
      <c r="F42" s="14">
        <f t="shared" si="5"/>
        <v>7.6899415564441712E-4</v>
      </c>
      <c r="G42" s="15">
        <v>9177.56</v>
      </c>
      <c r="H42" s="15">
        <f t="shared" si="6"/>
        <v>-2670.5599999999995</v>
      </c>
      <c r="I42" s="16">
        <f t="shared" si="2"/>
        <v>-0.29098801860189416</v>
      </c>
      <c r="J42" s="41" t="s">
        <v>194</v>
      </c>
      <c r="K42" s="41"/>
      <c r="L42" s="97"/>
      <c r="M42" s="97"/>
      <c r="N42" s="97"/>
      <c r="O42" s="97"/>
      <c r="P42" s="97"/>
    </row>
    <row r="43" spans="1:16" ht="86.45">
      <c r="A43" s="30" t="str">
        <v>Whole Foods - Manhattan Beach</v>
      </c>
      <c r="B43" s="31" t="str">
        <v>CA</v>
      </c>
      <c r="C43" s="11">
        <v>15343</v>
      </c>
      <c r="D43" s="18">
        <v>15307</v>
      </c>
      <c r="E43" s="18">
        <f t="shared" si="4"/>
        <v>36</v>
      </c>
      <c r="F43" s="19">
        <f t="shared" si="5"/>
        <v>2.3518651597308421E-3</v>
      </c>
      <c r="G43" s="20">
        <v>19210.439999999999</v>
      </c>
      <c r="H43" s="20">
        <f t="shared" si="6"/>
        <v>-3867.4399999999987</v>
      </c>
      <c r="I43" s="19">
        <f t="shared" si="2"/>
        <v>-0.20131969908029171</v>
      </c>
      <c r="J43" s="42" t="s">
        <v>195</v>
      </c>
      <c r="K43" s="90" t="s">
        <v>196</v>
      </c>
      <c r="L43" s="98" t="s">
        <v>64</v>
      </c>
      <c r="M43" s="98" t="s">
        <v>143</v>
      </c>
      <c r="N43" s="97"/>
      <c r="O43" s="97"/>
      <c r="P43" s="97"/>
    </row>
    <row r="44" spans="1:16" ht="28.9">
      <c r="A44" s="28" t="str">
        <v>Pioneer USD - Frontier ES</v>
      </c>
      <c r="B44" s="29" t="str">
        <v>CA</v>
      </c>
      <c r="C44" s="24">
        <v>27246</v>
      </c>
      <c r="D44" s="13" t="s">
        <v>24</v>
      </c>
      <c r="E44" s="13" t="str">
        <f t="shared" si="4"/>
        <v/>
      </c>
      <c r="F44" s="14" t="str">
        <f t="shared" si="5"/>
        <v/>
      </c>
      <c r="G44" s="15">
        <v>30695.13</v>
      </c>
      <c r="H44" s="15">
        <f t="shared" si="6"/>
        <v>-3449.130000000001</v>
      </c>
      <c r="I44" s="16">
        <f t="shared" si="2"/>
        <v>-0.11236733644718237</v>
      </c>
      <c r="J44" s="56" t="s">
        <v>144</v>
      </c>
      <c r="K44" s="88" t="s">
        <v>66</v>
      </c>
      <c r="L44" s="97"/>
      <c r="M44" s="97"/>
      <c r="N44" s="97"/>
      <c r="O44" s="97"/>
      <c r="P44" s="97"/>
    </row>
    <row r="45" spans="1:16" ht="86.45">
      <c r="A45" s="30" t="str">
        <v>Pioneer USD - Pioneer ES</v>
      </c>
      <c r="B45" s="31" t="str">
        <v>CA</v>
      </c>
      <c r="C45" s="11">
        <v>16433</v>
      </c>
      <c r="D45" s="18" t="s">
        <v>24</v>
      </c>
      <c r="E45" s="18" t="str">
        <f t="shared" si="4"/>
        <v/>
      </c>
      <c r="F45" s="19" t="str">
        <f t="shared" si="5"/>
        <v/>
      </c>
      <c r="G45" s="20">
        <v>31485.33</v>
      </c>
      <c r="H45" s="20">
        <f t="shared" si="6"/>
        <v>-15052.330000000002</v>
      </c>
      <c r="I45" s="19">
        <f t="shared" si="2"/>
        <v>-0.4780743921057839</v>
      </c>
      <c r="J45" s="42" t="s">
        <v>197</v>
      </c>
      <c r="K45" s="90" t="s">
        <v>198</v>
      </c>
      <c r="L45" s="98" t="s">
        <v>69</v>
      </c>
      <c r="M45" s="98" t="s">
        <v>70</v>
      </c>
      <c r="N45" s="98" t="s">
        <v>71</v>
      </c>
      <c r="O45" s="97"/>
      <c r="P45" s="97"/>
    </row>
    <row r="46" spans="1:16" ht="43.15">
      <c r="A46" s="28" t="str">
        <v>Pioneer USD - Pioneer MS</v>
      </c>
      <c r="B46" s="29" t="str">
        <v>CA</v>
      </c>
      <c r="C46" s="24">
        <v>38016</v>
      </c>
      <c r="D46" s="13" t="s">
        <v>24</v>
      </c>
      <c r="E46" s="13" t="str">
        <f t="shared" si="4"/>
        <v/>
      </c>
      <c r="F46" s="14" t="str">
        <f t="shared" si="5"/>
        <v/>
      </c>
      <c r="G46" s="15">
        <v>42362.63</v>
      </c>
      <c r="H46" s="15">
        <f t="shared" si="6"/>
        <v>-4346.6299999999974</v>
      </c>
      <c r="I46" s="16">
        <f t="shared" si="2"/>
        <v>-0.10260529150338395</v>
      </c>
      <c r="J46" s="41" t="s">
        <v>72</v>
      </c>
      <c r="K46" s="88" t="s">
        <v>73</v>
      </c>
      <c r="L46" s="98" t="s">
        <v>74</v>
      </c>
      <c r="M46" s="97"/>
      <c r="N46" s="97"/>
      <c r="O46" s="97"/>
      <c r="P46" s="97"/>
    </row>
    <row r="47" spans="1:16" ht="100.9">
      <c r="A47" s="30" t="str">
        <v>Kingsburg Joint UHSD - Kingsburg HS</v>
      </c>
      <c r="B47" s="31" t="str">
        <v>CA</v>
      </c>
      <c r="C47" s="11">
        <v>59485</v>
      </c>
      <c r="D47" s="18">
        <v>59102</v>
      </c>
      <c r="E47" s="18">
        <f t="shared" si="4"/>
        <v>383</v>
      </c>
      <c r="F47" s="19">
        <f t="shared" si="5"/>
        <v>6.4803221549186154E-3</v>
      </c>
      <c r="G47" s="20">
        <v>60055.14</v>
      </c>
      <c r="H47" s="20">
        <f t="shared" si="6"/>
        <v>-570.13999999999942</v>
      </c>
      <c r="I47" s="19">
        <f t="shared" si="2"/>
        <v>-9.4936087069316527E-3</v>
      </c>
      <c r="J47" s="42" t="s">
        <v>199</v>
      </c>
      <c r="K47" s="90" t="s">
        <v>148</v>
      </c>
      <c r="L47" s="98" t="s">
        <v>77</v>
      </c>
      <c r="M47" s="98" t="s">
        <v>149</v>
      </c>
      <c r="N47" s="98" t="s">
        <v>150</v>
      </c>
      <c r="O47" s="98" t="s">
        <v>78</v>
      </c>
      <c r="P47" s="98" t="s">
        <v>149</v>
      </c>
    </row>
    <row r="48" spans="1:16" ht="86.45">
      <c r="A48" s="28" t="str">
        <v>CADRB</v>
      </c>
      <c r="B48" s="29" t="str">
        <v>CA</v>
      </c>
      <c r="C48" s="24">
        <v>0</v>
      </c>
      <c r="D48" s="13" t="s">
        <v>24</v>
      </c>
      <c r="E48" s="13" t="str">
        <f t="shared" si="4"/>
        <v/>
      </c>
      <c r="F48" s="14" t="str">
        <f t="shared" si="5"/>
        <v/>
      </c>
      <c r="G48" s="15">
        <v>700582</v>
      </c>
      <c r="H48" s="15">
        <f t="shared" si="6"/>
        <v>-700582</v>
      </c>
      <c r="I48" s="16">
        <f t="shared" si="2"/>
        <v>-1</v>
      </c>
      <c r="J48" s="41" t="s">
        <v>79</v>
      </c>
      <c r="K48" s="88" t="s">
        <v>151</v>
      </c>
      <c r="L48" s="98" t="s">
        <v>152</v>
      </c>
      <c r="M48" s="98" t="s">
        <v>81</v>
      </c>
      <c r="N48" s="98" t="s">
        <v>82</v>
      </c>
      <c r="O48" s="97"/>
      <c r="P48" s="97"/>
    </row>
    <row r="49" spans="1:16" ht="43.15">
      <c r="A49" s="30" t="str">
        <v>CDCR-CA State Prison LA County</v>
      </c>
      <c r="B49" s="31" t="str">
        <v>CA</v>
      </c>
      <c r="C49" s="11">
        <v>244891</v>
      </c>
      <c r="D49" s="18">
        <v>244501</v>
      </c>
      <c r="E49" s="18">
        <f t="shared" si="4"/>
        <v>390</v>
      </c>
      <c r="F49" s="19">
        <f t="shared" si="5"/>
        <v>1.5950855006727988E-3</v>
      </c>
      <c r="G49" s="20">
        <v>414816.78</v>
      </c>
      <c r="H49" s="20">
        <f t="shared" si="6"/>
        <v>-169925.78000000003</v>
      </c>
      <c r="I49" s="19">
        <f t="shared" si="2"/>
        <v>-0.40964056468496768</v>
      </c>
      <c r="J49" s="42" t="s">
        <v>200</v>
      </c>
      <c r="K49" s="90" t="s">
        <v>201</v>
      </c>
      <c r="L49" s="97"/>
      <c r="M49" s="97"/>
      <c r="N49" s="97"/>
      <c r="O49" s="97"/>
      <c r="P49" s="97"/>
    </row>
    <row r="50" spans="1:16" ht="28.9">
      <c r="A50" s="28" t="str">
        <v>Central USD Akers ES</v>
      </c>
      <c r="B50" s="29" t="str">
        <v>CA</v>
      </c>
      <c r="C50" s="24">
        <v>27626</v>
      </c>
      <c r="D50" s="13" t="s">
        <v>24</v>
      </c>
      <c r="E50" s="13" t="str">
        <f t="shared" si="4"/>
        <v/>
      </c>
      <c r="F50" s="14" t="str">
        <f t="shared" si="5"/>
        <v/>
      </c>
      <c r="G50" s="15">
        <v>32689.27</v>
      </c>
      <c r="H50" s="15">
        <f t="shared" si="6"/>
        <v>-5063.2700000000004</v>
      </c>
      <c r="I50" s="16">
        <f t="shared" si="2"/>
        <v>-0.15489088621434496</v>
      </c>
      <c r="J50" s="41" t="s">
        <v>202</v>
      </c>
      <c r="K50" s="88" t="s">
        <v>203</v>
      </c>
      <c r="L50" s="98" t="s">
        <v>204</v>
      </c>
      <c r="M50" s="97"/>
      <c r="N50" s="97"/>
      <c r="O50" s="97"/>
      <c r="P50" s="97"/>
    </row>
    <row r="51" spans="1:16" ht="100.9">
      <c r="A51" s="30" t="str">
        <v>CUSD - District Office</v>
      </c>
      <c r="B51" s="31" t="str">
        <v>CA</v>
      </c>
      <c r="C51" s="11">
        <v>18359</v>
      </c>
      <c r="D51" s="18">
        <v>18293</v>
      </c>
      <c r="E51" s="18">
        <f t="shared" si="4"/>
        <v>66</v>
      </c>
      <c r="F51" s="19">
        <f t="shared" si="5"/>
        <v>3.6079374624173183E-3</v>
      </c>
      <c r="G51" s="20">
        <v>25627.51</v>
      </c>
      <c r="H51" s="20">
        <f t="shared" si="6"/>
        <v>-7268.5099999999984</v>
      </c>
      <c r="I51" s="19">
        <f t="shared" si="2"/>
        <v>-0.28362138967070927</v>
      </c>
      <c r="J51" s="54" t="s">
        <v>205</v>
      </c>
      <c r="K51" s="90" t="s">
        <v>206</v>
      </c>
      <c r="L51" s="98" t="s">
        <v>207</v>
      </c>
      <c r="M51" s="98" t="s">
        <v>208</v>
      </c>
      <c r="N51" s="98" t="s">
        <v>209</v>
      </c>
      <c r="O51" s="97"/>
      <c r="P51" s="97"/>
    </row>
    <row r="52" spans="1:16" ht="15.6">
      <c r="A52" s="28" t="str">
        <v>Parlier - WTP</v>
      </c>
      <c r="B52" s="29" t="str">
        <v>CA</v>
      </c>
      <c r="C52" s="24">
        <v>44130</v>
      </c>
      <c r="D52" s="13">
        <v>44845</v>
      </c>
      <c r="E52" s="13">
        <f t="shared" si="4"/>
        <v>-715</v>
      </c>
      <c r="F52" s="14">
        <f t="shared" si="5"/>
        <v>-1.5943806444419669E-2</v>
      </c>
      <c r="G52" s="15">
        <v>67783.570000000007</v>
      </c>
      <c r="H52" s="15">
        <f t="shared" si="6"/>
        <v>-23653.570000000007</v>
      </c>
      <c r="I52" s="16">
        <f t="shared" si="2"/>
        <v>-0.34895727681501587</v>
      </c>
      <c r="J52" s="41" t="s">
        <v>210</v>
      </c>
      <c r="K52" s="41"/>
      <c r="L52" s="97"/>
      <c r="M52" s="97"/>
      <c r="N52" s="97"/>
      <c r="O52" s="97"/>
      <c r="P52" s="97"/>
    </row>
    <row r="53" spans="1:16" ht="86.45">
      <c r="A53" s="30" t="str">
        <v>Snowline SD - Quail Valley MS</v>
      </c>
      <c r="B53" s="31" t="str">
        <v>CA</v>
      </c>
      <c r="C53" s="11">
        <v>31558</v>
      </c>
      <c r="D53" s="18">
        <v>30072</v>
      </c>
      <c r="E53" s="18">
        <f t="shared" si="4"/>
        <v>1486</v>
      </c>
      <c r="F53" s="19">
        <f t="shared" si="5"/>
        <v>4.9414737962223995E-2</v>
      </c>
      <c r="G53" s="20">
        <v>38526.15</v>
      </c>
      <c r="H53" s="20">
        <f t="shared" si="6"/>
        <v>-6968.1500000000015</v>
      </c>
      <c r="I53" s="19">
        <f t="shared" si="2"/>
        <v>-0.180868059746432</v>
      </c>
      <c r="J53" s="54" t="s">
        <v>211</v>
      </c>
      <c r="K53" s="90" t="s">
        <v>212</v>
      </c>
      <c r="L53" s="97"/>
      <c r="M53" s="97"/>
      <c r="N53" s="97"/>
      <c r="O53" s="97"/>
      <c r="P53" s="97"/>
    </row>
    <row r="54" spans="1:16" ht="15.6">
      <c r="A54" s="28" t="str">
        <v>Snowline SD - Serrano HS - Middle Lot</v>
      </c>
      <c r="B54" s="29" t="str">
        <v>CA</v>
      </c>
      <c r="C54" s="24">
        <v>29924</v>
      </c>
      <c r="D54" s="13">
        <v>29893</v>
      </c>
      <c r="E54" s="13">
        <f t="shared" si="4"/>
        <v>31</v>
      </c>
      <c r="F54" s="14">
        <f t="shared" si="5"/>
        <v>1.0370320810892183E-3</v>
      </c>
      <c r="G54" s="15">
        <v>45412.66</v>
      </c>
      <c r="H54" s="15">
        <f t="shared" si="6"/>
        <v>-15488.660000000003</v>
      </c>
      <c r="I54" s="16">
        <f t="shared" si="2"/>
        <v>-0.34106480439595482</v>
      </c>
      <c r="J54" s="41" t="s">
        <v>213</v>
      </c>
      <c r="K54" s="41"/>
      <c r="L54" s="97"/>
      <c r="M54" s="97"/>
      <c r="N54" s="97"/>
      <c r="O54" s="97"/>
      <c r="P54" s="97"/>
    </row>
    <row r="55" spans="1:16" ht="15.6">
      <c r="A55" s="30" t="str">
        <v>Snowline SD - Pinon Hills ES</v>
      </c>
      <c r="B55" s="31" t="str">
        <v>CA</v>
      </c>
      <c r="C55" s="11">
        <v>12241</v>
      </c>
      <c r="D55" s="18">
        <v>12228</v>
      </c>
      <c r="E55" s="18">
        <f t="shared" si="4"/>
        <v>13</v>
      </c>
      <c r="F55" s="19">
        <f t="shared" si="5"/>
        <v>1.0631337912986587E-3</v>
      </c>
      <c r="G55" s="20">
        <v>22548.89</v>
      </c>
      <c r="H55" s="20">
        <f t="shared" si="6"/>
        <v>-10307.89</v>
      </c>
      <c r="I55" s="19">
        <f t="shared" si="2"/>
        <v>-0.45713514057676452</v>
      </c>
      <c r="J55" s="42" t="s">
        <v>214</v>
      </c>
      <c r="K55" s="90" t="s">
        <v>92</v>
      </c>
      <c r="L55" s="97"/>
      <c r="M55" s="97"/>
      <c r="N55" s="97"/>
      <c r="O55" s="97"/>
      <c r="P55" s="97"/>
    </row>
    <row r="56" spans="1:16" ht="28.9">
      <c r="A56" s="28" t="str">
        <v>Ramona - Santa Maria WTP</v>
      </c>
      <c r="B56" s="29" t="str">
        <v>CA</v>
      </c>
      <c r="C56" s="24">
        <v>60198</v>
      </c>
      <c r="D56" s="13">
        <v>60025</v>
      </c>
      <c r="E56" s="13">
        <f t="shared" si="4"/>
        <v>173</v>
      </c>
      <c r="F56" s="14">
        <f t="shared" si="5"/>
        <v>2.8821324448146607E-3</v>
      </c>
      <c r="G56" s="15">
        <v>73955.59</v>
      </c>
      <c r="H56" s="15">
        <f t="shared" si="6"/>
        <v>-13757.589999999997</v>
      </c>
      <c r="I56" s="16">
        <f t="shared" si="2"/>
        <v>-0.18602501852801118</v>
      </c>
      <c r="J56" s="41" t="s">
        <v>215</v>
      </c>
      <c r="K56" s="88" t="s">
        <v>216</v>
      </c>
      <c r="L56" s="97"/>
      <c r="M56" s="97"/>
      <c r="N56" s="97"/>
      <c r="O56" s="97"/>
      <c r="P56" s="97"/>
    </row>
    <row r="57" spans="1:16" ht="57.6">
      <c r="A57" s="30" t="str">
        <v>Kohls - Redding</v>
      </c>
      <c r="B57" s="31" t="str">
        <v>CA</v>
      </c>
      <c r="C57" s="11">
        <v>26682</v>
      </c>
      <c r="D57" s="18">
        <v>33</v>
      </c>
      <c r="E57" s="18">
        <f t="shared" si="4"/>
        <v>26649</v>
      </c>
      <c r="F57" s="19">
        <f t="shared" si="5"/>
        <v>807.5454545454545</v>
      </c>
      <c r="G57" s="20">
        <v>27704.87</v>
      </c>
      <c r="H57" s="20">
        <f t="shared" si="6"/>
        <v>-1022.869999999999</v>
      </c>
      <c r="I57" s="19">
        <f t="shared" si="2"/>
        <v>-3.6920223772932304E-2</v>
      </c>
      <c r="J57" s="42" t="s">
        <v>217</v>
      </c>
      <c r="K57" s="90" t="s">
        <v>218</v>
      </c>
      <c r="L57" s="98" t="s">
        <v>95</v>
      </c>
      <c r="M57" s="98" t="s">
        <v>219</v>
      </c>
      <c r="N57" s="97"/>
      <c r="O57" s="97"/>
      <c r="P57" s="97"/>
    </row>
    <row r="58" spans="1:16" ht="52.9">
      <c r="A58" s="28" t="str">
        <v>Kohls - Salinas</v>
      </c>
      <c r="B58" s="29" t="str">
        <v>CA</v>
      </c>
      <c r="C58" s="24">
        <v>32438</v>
      </c>
      <c r="D58" s="13">
        <v>33147</v>
      </c>
      <c r="E58" s="13">
        <f t="shared" si="4"/>
        <v>-709</v>
      </c>
      <c r="F58" s="14">
        <f t="shared" si="5"/>
        <v>-2.1389567683349927E-2</v>
      </c>
      <c r="G58" s="15">
        <v>44625.2</v>
      </c>
      <c r="H58" s="15">
        <f t="shared" si="6"/>
        <v>-12187.199999999997</v>
      </c>
      <c r="I58" s="16">
        <f t="shared" si="2"/>
        <v>-0.2731012970249993</v>
      </c>
      <c r="J58" s="41" t="s">
        <v>96</v>
      </c>
      <c r="K58" s="88" t="s">
        <v>220</v>
      </c>
      <c r="L58" s="98" t="s">
        <v>221</v>
      </c>
      <c r="M58" s="98" t="s">
        <v>158</v>
      </c>
      <c r="N58" s="98" t="s">
        <v>100</v>
      </c>
      <c r="O58" s="98" t="s">
        <v>98</v>
      </c>
      <c r="P58" s="97"/>
    </row>
    <row r="59" spans="1:16" ht="86.45">
      <c r="A59" s="30" t="str">
        <v>Kohls - San Bernardino - Central</v>
      </c>
      <c r="B59" s="31" t="str">
        <v>CA</v>
      </c>
      <c r="C59" s="11">
        <v>125505</v>
      </c>
      <c r="D59" s="18">
        <v>124749</v>
      </c>
      <c r="E59" s="18">
        <f t="shared" si="4"/>
        <v>756</v>
      </c>
      <c r="F59" s="19">
        <f t="shared" si="5"/>
        <v>6.0601688189885292E-3</v>
      </c>
      <c r="G59" s="20">
        <v>144411.94</v>
      </c>
      <c r="H59" s="20">
        <f t="shared" si="6"/>
        <v>-18906.940000000002</v>
      </c>
      <c r="I59" s="19">
        <f t="shared" si="2"/>
        <v>-0.13092366185233714</v>
      </c>
      <c r="J59" s="42" t="s">
        <v>222</v>
      </c>
      <c r="K59" s="90" t="s">
        <v>223</v>
      </c>
      <c r="L59" s="97"/>
      <c r="M59" s="97"/>
      <c r="N59" s="97"/>
      <c r="O59" s="97"/>
      <c r="P59" s="97"/>
    </row>
    <row r="60" spans="1:16" ht="100.5" customHeight="1">
      <c r="A60" s="28" t="str">
        <v>Kohls - Sonora</v>
      </c>
      <c r="B60" s="29" t="str">
        <v>CA</v>
      </c>
      <c r="C60" s="24">
        <v>22795</v>
      </c>
      <c r="D60" s="13">
        <v>22949</v>
      </c>
      <c r="E60" s="13">
        <f t="shared" si="4"/>
        <v>-154</v>
      </c>
      <c r="F60" s="14">
        <f t="shared" si="5"/>
        <v>-6.7105320493267683E-3</v>
      </c>
      <c r="G60" s="15">
        <v>29362.560000000001</v>
      </c>
      <c r="H60" s="15">
        <f t="shared" si="6"/>
        <v>-6567.5600000000013</v>
      </c>
      <c r="I60" s="16">
        <f t="shared" si="2"/>
        <v>-0.22367123302600322</v>
      </c>
      <c r="J60" s="41" t="s">
        <v>159</v>
      </c>
      <c r="K60" s="88" t="s">
        <v>224</v>
      </c>
      <c r="L60" s="98" t="s">
        <v>161</v>
      </c>
      <c r="M60" s="98" t="s">
        <v>103</v>
      </c>
      <c r="N60" s="98" t="s">
        <v>161</v>
      </c>
      <c r="O60" s="98" t="s">
        <v>103</v>
      </c>
      <c r="P60" s="98" t="s">
        <v>161</v>
      </c>
    </row>
    <row r="61" spans="1:16" ht="15.6">
      <c r="A61" s="30" t="str">
        <v>CUSD - Stratford ES</v>
      </c>
      <c r="B61" s="31" t="str">
        <v>CA</v>
      </c>
      <c r="C61" s="11">
        <v>22274</v>
      </c>
      <c r="D61" s="18">
        <v>22810</v>
      </c>
      <c r="E61" s="18">
        <f t="shared" si="4"/>
        <v>-536</v>
      </c>
      <c r="F61" s="19">
        <f t="shared" si="5"/>
        <v>-2.3498465585269617E-2</v>
      </c>
      <c r="G61" s="20">
        <v>21294.17</v>
      </c>
      <c r="H61" s="20">
        <f t="shared" si="6"/>
        <v>979.83000000000175</v>
      </c>
      <c r="I61" s="19">
        <f t="shared" si="2"/>
        <v>4.6014002893749878E-2</v>
      </c>
      <c r="J61" s="42"/>
      <c r="K61" s="43"/>
      <c r="L61" s="97"/>
      <c r="M61" s="97"/>
      <c r="N61" s="97"/>
      <c r="O61" s="97"/>
      <c r="P61" s="97"/>
    </row>
    <row r="62" spans="1:16" ht="21" customHeight="1">
      <c r="A62" s="28" t="str">
        <v>Taft - City Hall</v>
      </c>
      <c r="B62" s="29" t="str">
        <v>CA</v>
      </c>
      <c r="C62" s="24">
        <v>804</v>
      </c>
      <c r="D62" s="13">
        <v>20</v>
      </c>
      <c r="E62" s="13">
        <f t="shared" si="4"/>
        <v>784</v>
      </c>
      <c r="F62" s="14">
        <f t="shared" si="5"/>
        <v>39.200000000000003</v>
      </c>
      <c r="G62" s="15">
        <v>7164.9</v>
      </c>
      <c r="H62" s="15">
        <f t="shared" si="6"/>
        <v>-6360.9</v>
      </c>
      <c r="I62" s="16">
        <f t="shared" si="2"/>
        <v>-0.88778629150441735</v>
      </c>
      <c r="J62" s="41" t="s">
        <v>225</v>
      </c>
      <c r="K62" s="88" t="s">
        <v>226</v>
      </c>
      <c r="L62" s="97"/>
      <c r="M62" s="97"/>
      <c r="N62" s="97"/>
      <c r="O62" s="97"/>
      <c r="P62" s="97"/>
    </row>
    <row r="63" spans="1:16" ht="15.6">
      <c r="A63" s="30" t="str">
        <v>Taft - Federal Prison</v>
      </c>
      <c r="B63" s="31" t="str">
        <v>CA</v>
      </c>
      <c r="C63" s="11">
        <v>15160</v>
      </c>
      <c r="D63" s="18">
        <v>15708</v>
      </c>
      <c r="E63" s="18">
        <f t="shared" si="4"/>
        <v>-548</v>
      </c>
      <c r="F63" s="19">
        <f t="shared" si="5"/>
        <v>-3.4886681945505475E-2</v>
      </c>
      <c r="G63" s="20">
        <v>11796.07</v>
      </c>
      <c r="H63" s="20">
        <f t="shared" si="6"/>
        <v>3363.9300000000003</v>
      </c>
      <c r="I63" s="19">
        <f t="shared" si="2"/>
        <v>0.28517379093206469</v>
      </c>
      <c r="J63" s="42"/>
      <c r="K63" s="43"/>
      <c r="L63" s="97"/>
      <c r="M63" s="97"/>
      <c r="N63" s="97"/>
      <c r="O63" s="97"/>
      <c r="P63" s="97"/>
    </row>
    <row r="64" spans="1:16" ht="15.6">
      <c r="A64" s="28" t="str">
        <v>Taft - Police Department</v>
      </c>
      <c r="B64" s="29" t="str">
        <v>CA</v>
      </c>
      <c r="C64" s="24">
        <v>9954</v>
      </c>
      <c r="D64" s="13">
        <v>10331</v>
      </c>
      <c r="E64" s="13">
        <f t="shared" si="4"/>
        <v>-377</v>
      </c>
      <c r="F64" s="14">
        <f t="shared" si="5"/>
        <v>-3.6492111121866226E-2</v>
      </c>
      <c r="G64" s="15">
        <v>8217.27</v>
      </c>
      <c r="H64" s="15">
        <f t="shared" si="6"/>
        <v>1736.7299999999996</v>
      </c>
      <c r="I64" s="16">
        <f t="shared" si="2"/>
        <v>0.21135121518460503</v>
      </c>
      <c r="J64" s="41"/>
      <c r="K64" s="41"/>
      <c r="L64" s="97"/>
      <c r="M64" s="97"/>
      <c r="N64" s="97"/>
      <c r="O64" s="97"/>
      <c r="P64" s="97"/>
    </row>
    <row r="65" spans="1:16" ht="28.9">
      <c r="A65" s="30" t="str">
        <v>Taft - WTP</v>
      </c>
      <c r="B65" s="31" t="str">
        <v>CA</v>
      </c>
      <c r="C65" s="11">
        <v>18961</v>
      </c>
      <c r="D65" s="18">
        <v>52793</v>
      </c>
      <c r="E65" s="18">
        <f t="shared" si="4"/>
        <v>-33832</v>
      </c>
      <c r="F65" s="19">
        <f t="shared" si="5"/>
        <v>-0.64084253594226503</v>
      </c>
      <c r="G65" s="20">
        <v>32643.96</v>
      </c>
      <c r="H65" s="20">
        <f t="shared" si="6"/>
        <v>-13682.96</v>
      </c>
      <c r="I65" s="19">
        <f t="shared" si="2"/>
        <v>-0.41915747966852057</v>
      </c>
      <c r="J65" s="42" t="s">
        <v>227</v>
      </c>
      <c r="K65" s="92" t="s">
        <v>228</v>
      </c>
      <c r="L65" s="97"/>
      <c r="M65" s="97"/>
      <c r="N65" s="97"/>
      <c r="O65" s="97"/>
      <c r="P65" s="97"/>
    </row>
    <row r="66" spans="1:16" ht="140.25" customHeight="1">
      <c r="A66" s="28" t="str">
        <v>CDCR - CA Correctional Institution</v>
      </c>
      <c r="B66" s="29" t="str">
        <v>CA</v>
      </c>
      <c r="C66" s="24">
        <v>128121</v>
      </c>
      <c r="D66" s="13">
        <v>123570</v>
      </c>
      <c r="E66" s="13">
        <f t="shared" si="4"/>
        <v>4551</v>
      </c>
      <c r="F66" s="14">
        <f t="shared" si="5"/>
        <v>3.6829327506676376E-2</v>
      </c>
      <c r="G66" s="15">
        <v>106071.03</v>
      </c>
      <c r="H66" s="15">
        <f t="shared" si="6"/>
        <v>22049.97</v>
      </c>
      <c r="I66" s="16">
        <f t="shared" si="2"/>
        <v>0.20787928617267129</v>
      </c>
      <c r="J66" s="41" t="s">
        <v>229</v>
      </c>
      <c r="K66" s="88" t="s">
        <v>230</v>
      </c>
      <c r="L66" s="98" t="s">
        <v>110</v>
      </c>
      <c r="M66" s="98" t="s">
        <v>111</v>
      </c>
      <c r="N66" s="98" t="s">
        <v>231</v>
      </c>
      <c r="O66" s="98" t="s">
        <v>232</v>
      </c>
      <c r="P66" s="97"/>
    </row>
    <row r="67" spans="1:16" ht="187.15">
      <c r="A67" s="30" t="str">
        <v>CDCR - CA Correctional Institution II</v>
      </c>
      <c r="B67" s="31" t="str">
        <v>CA</v>
      </c>
      <c r="C67" s="11">
        <v>110462</v>
      </c>
      <c r="D67" s="18">
        <v>161849</v>
      </c>
      <c r="E67" s="18">
        <f t="shared" si="4"/>
        <v>-51387</v>
      </c>
      <c r="F67" s="19">
        <f t="shared" si="5"/>
        <v>-0.31749964473058223</v>
      </c>
      <c r="G67" s="20">
        <v>166152.23000000001</v>
      </c>
      <c r="H67" s="20">
        <f t="shared" si="6"/>
        <v>-55690.23000000001</v>
      </c>
      <c r="I67" s="19">
        <f t="shared" si="2"/>
        <v>-0.33517594076227569</v>
      </c>
      <c r="J67" s="42" t="s">
        <v>233</v>
      </c>
      <c r="K67" s="90" t="s">
        <v>234</v>
      </c>
      <c r="L67" s="98" t="s">
        <v>114</v>
      </c>
      <c r="M67" s="98" t="s">
        <v>115</v>
      </c>
      <c r="N67" s="98" t="s">
        <v>235</v>
      </c>
      <c r="O67" s="98" t="s">
        <v>236</v>
      </c>
      <c r="P67" s="97"/>
    </row>
    <row r="68" spans="1:16" ht="28.9">
      <c r="A68" s="28" t="str">
        <v>Snowline SD - Vista Verde ES</v>
      </c>
      <c r="B68" s="29" t="str">
        <v>CA</v>
      </c>
      <c r="C68" s="24">
        <v>4758</v>
      </c>
      <c r="D68" s="13">
        <v>4743</v>
      </c>
      <c r="E68" s="13">
        <f t="shared" si="4"/>
        <v>15</v>
      </c>
      <c r="F68" s="14">
        <f t="shared" si="5"/>
        <v>3.1625553447185324E-3</v>
      </c>
      <c r="G68" s="15">
        <v>28101.91</v>
      </c>
      <c r="H68" s="15">
        <f t="shared" si="6"/>
        <v>-23343.91</v>
      </c>
      <c r="I68" s="16">
        <f t="shared" si="2"/>
        <v>-0.83068766500212976</v>
      </c>
      <c r="J68" s="41" t="s">
        <v>237</v>
      </c>
      <c r="K68" s="88" t="s">
        <v>238</v>
      </c>
      <c r="L68" s="97"/>
      <c r="M68" s="97"/>
      <c r="N68" s="97"/>
      <c r="O68" s="97"/>
      <c r="P68" s="97"/>
    </row>
    <row r="69" spans="1:16" ht="115.15">
      <c r="A69" s="30" t="str">
        <v>North Stonington</v>
      </c>
      <c r="B69" s="31" t="str">
        <v>CT</v>
      </c>
      <c r="C69" s="65">
        <v>1279980</v>
      </c>
      <c r="D69" s="18" t="s">
        <v>24</v>
      </c>
      <c r="E69" s="18" t="str">
        <f>IF(AND(ISNUMBER(C69),ISNUMBER(D69)), C69-D69, "")</f>
        <v/>
      </c>
      <c r="F69" s="96"/>
      <c r="G69" s="61">
        <v>0</v>
      </c>
      <c r="H69" s="20">
        <f t="shared" si="6"/>
        <v>1279980</v>
      </c>
      <c r="I69" s="19" t="str">
        <f t="shared" si="2"/>
        <v/>
      </c>
      <c r="J69" s="42" t="s">
        <v>239</v>
      </c>
      <c r="K69" s="90" t="s">
        <v>240</v>
      </c>
      <c r="L69" s="98" t="s">
        <v>241</v>
      </c>
      <c r="M69" s="98" t="s">
        <v>242</v>
      </c>
      <c r="N69" s="98" t="s">
        <v>243</v>
      </c>
      <c r="O69" s="97"/>
      <c r="P69" s="97"/>
    </row>
    <row r="70" spans="1:16" ht="14.45">
      <c r="A70" s="21" t="str">
        <v>CT: Torrington - 2-298 Rossi Road</v>
      </c>
      <c r="B70" s="33" t="str">
        <v>CT</v>
      </c>
      <c r="C70" s="21"/>
      <c r="D70" s="21"/>
      <c r="E70" s="21"/>
      <c r="F70" s="22"/>
      <c r="G70" s="21"/>
      <c r="H70" s="21"/>
      <c r="I70" s="22"/>
      <c r="J70" s="21"/>
      <c r="K70" s="21"/>
    </row>
    <row r="71" spans="1:16" ht="14.45">
      <c r="A71" s="21"/>
      <c r="B71" s="33"/>
      <c r="C71" s="21"/>
      <c r="D71" s="21"/>
      <c r="E71" s="21"/>
      <c r="F71" s="22"/>
      <c r="G71" s="21"/>
      <c r="H71" s="21"/>
      <c r="I71" s="22"/>
      <c r="J71" s="21"/>
      <c r="K71" s="21"/>
    </row>
    <row r="72" spans="1:16" ht="14.45">
      <c r="A72" s="21"/>
      <c r="B72" s="33"/>
      <c r="C72" s="21"/>
      <c r="D72" s="21"/>
      <c r="E72" s="21"/>
      <c r="F72" s="22"/>
      <c r="G72" s="21"/>
      <c r="H72" s="21"/>
      <c r="I72" s="22"/>
      <c r="J72" s="21"/>
      <c r="K72" s="21"/>
    </row>
    <row r="73" spans="1:16" ht="14.45">
      <c r="A73" s="21"/>
      <c r="B73" s="33"/>
      <c r="C73" s="21"/>
      <c r="D73" s="21"/>
      <c r="E73" s="21"/>
      <c r="F73" s="22"/>
      <c r="G73" s="21"/>
      <c r="H73" s="21"/>
      <c r="I73" s="22"/>
      <c r="J73" s="21"/>
      <c r="K73" s="21"/>
    </row>
    <row r="74" spans="1:16" ht="14.45">
      <c r="A74" s="21"/>
      <c r="B74" s="33"/>
      <c r="C74" s="21"/>
      <c r="D74" s="21"/>
      <c r="E74" s="21"/>
      <c r="F74" s="22"/>
      <c r="G74" s="21"/>
      <c r="H74" s="21"/>
      <c r="I74" s="22"/>
      <c r="J74" s="21"/>
      <c r="K74" s="21"/>
    </row>
    <row r="75" spans="1:16" ht="14.45">
      <c r="A75" s="21"/>
      <c r="B75" s="33"/>
      <c r="C75" s="21"/>
      <c r="D75" s="21"/>
      <c r="E75" s="21"/>
      <c r="F75" s="22"/>
      <c r="G75" s="21"/>
      <c r="H75" s="21"/>
      <c r="I75" s="22"/>
      <c r="J75" s="21"/>
      <c r="K75" s="21"/>
    </row>
    <row r="76" spans="1:16" ht="14.45">
      <c r="A76" s="21"/>
      <c r="B76" s="33"/>
      <c r="C76" s="21"/>
      <c r="D76" s="21"/>
      <c r="E76" s="21"/>
      <c r="F76" s="22"/>
      <c r="G76" s="21"/>
      <c r="H76" s="21"/>
      <c r="I76" s="22"/>
      <c r="J76" s="21"/>
      <c r="K76" s="21"/>
    </row>
    <row r="77" spans="1:16" ht="14.45">
      <c r="A77" s="21"/>
      <c r="B77" s="33"/>
      <c r="C77" s="21"/>
      <c r="D77" s="21"/>
      <c r="E77" s="21"/>
      <c r="F77" s="22"/>
      <c r="G77" s="21"/>
      <c r="H77" s="21"/>
      <c r="I77" s="22"/>
      <c r="J77" s="21"/>
      <c r="K77" s="21"/>
    </row>
    <row r="78" spans="1:16" ht="14.45">
      <c r="A78" s="21"/>
      <c r="B78" s="33"/>
      <c r="C78" s="21"/>
      <c r="D78" s="21"/>
      <c r="E78" s="21"/>
      <c r="F78" s="22"/>
      <c r="G78" s="21"/>
      <c r="H78" s="21"/>
      <c r="I78" s="22"/>
      <c r="J78" s="21"/>
      <c r="K78" s="21"/>
    </row>
    <row r="79" spans="1:16" ht="14.45">
      <c r="A79" s="21"/>
      <c r="B79" s="33"/>
      <c r="C79" s="21"/>
      <c r="D79" s="21"/>
      <c r="E79" s="21"/>
      <c r="F79" s="22"/>
      <c r="G79" s="21"/>
      <c r="H79" s="21"/>
      <c r="I79" s="22"/>
      <c r="J79" s="21"/>
      <c r="K79" s="21"/>
    </row>
    <row r="80" spans="1:16"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phoneticPr fontId="38" type="noConversion"/>
  <conditionalFormatting sqref="F2 I2">
    <cfRule type="cellIs" dxfId="52" priority="3" stopIfTrue="1" operator="lessThanOrEqual">
      <formula>-0.1</formula>
    </cfRule>
    <cfRule type="expression" dxfId="51" priority="4">
      <formula>AND(ISNUMBER(F2), F2&gt;=0.1)</formula>
    </cfRule>
  </conditionalFormatting>
  <conditionalFormatting sqref="F4:F100 I4:I100">
    <cfRule type="cellIs" dxfId="50" priority="1" stopIfTrue="1" operator="lessThanOrEqual">
      <formula>-0.1</formula>
    </cfRule>
    <cfRule type="expression" dxfId="49" priority="2">
      <formula>AND(ISNUMBER(F4), F4&gt;=0.1)</formula>
    </cfRule>
  </conditionalFormatting>
  <hyperlinks>
    <hyperlink ref="K6" r:id="rId1" display="https://us3.assetplanner.com/service_request?ID=096237" xr:uid="{A25B3551-B2EE-4DEB-882F-8F37711FB88E}"/>
    <hyperlink ref="K8" r:id="rId2" display="https://us3.assetplanner.com/service_request?ID=096145" xr:uid="{20E7F706-D973-4D93-BA3D-1E13ED1843FF}"/>
    <hyperlink ref="L8" r:id="rId3" display="https://us3.assetplanner.com/service_request?ID=096237" xr:uid="{77DFBE2C-5236-409B-A1CD-26EBAEED6010}"/>
    <hyperlink ref="M8" r:id="rId4" display="https://us3.assetplanner.com/service_request?ID=095177" xr:uid="{F2B51307-A2F4-451E-A703-92485650AC36}"/>
    <hyperlink ref="N8" r:id="rId5" display="https://us3.assetplanner.com/service_request?ID=096145" xr:uid="{E395B7F9-DAE8-4773-AA3B-4F8B030478BB}"/>
    <hyperlink ref="O8" r:id="rId6" display="https://us3.assetplanner.com/service_request?ID=095177" xr:uid="{7E5E4A70-7940-47C1-90BB-00D3755910C9}"/>
    <hyperlink ref="K22" r:id="rId7" display="https://us3.assetplanner.com/service_request?ID=093440" xr:uid="{3F0C0FC1-9810-4948-BCD7-A2AA672A1FEE}"/>
    <hyperlink ref="L22" r:id="rId8" display="https://us3.assetplanner.com/service_request?ID=093861" xr:uid="{A2F723E5-F3D7-4B51-8662-7BAD17A4BEB5}"/>
    <hyperlink ref="K23" r:id="rId9" display="https://us3.assetplanner.com/service_request?ID=095623" xr:uid="{12CE8702-AFD9-4B3F-B91D-B5B71AA21642}"/>
    <hyperlink ref="L23" r:id="rId10" display="https://us3.assetplanner.com/service_request?ID=098185" xr:uid="{751C9359-2D24-4168-AA02-A782E90DAE14}"/>
    <hyperlink ref="K25" r:id="rId11" display="https://us3.assetplanner.com/service_request?ID=097907" xr:uid="{A8C5640C-CF53-4FE6-B732-66C8364A9F96}"/>
    <hyperlink ref="K26" r:id="rId12" display="https://us3.assetplanner.com/service_request?ID=098973" xr:uid="{1C94844E-BE3F-4F20-A3A3-9F4747A8CB69}"/>
    <hyperlink ref="K30" r:id="rId13" display="https://us3.assetplanner.com/service_request?ID=089763" xr:uid="{711DEA45-F86B-40D2-AEBF-D9263BABA575}"/>
    <hyperlink ref="K34" r:id="rId14" display="https://us3.assetplanner.com/service_request?ID=092298" xr:uid="{205E4466-4BCF-4EC1-8986-B37620D47CB2}"/>
    <hyperlink ref="K37" r:id="rId15" display="https://us3.assetplanner.com/service_request?ID=094440" xr:uid="{AD9D3A2F-1395-4B55-9210-5767B70C9F11}"/>
    <hyperlink ref="K38" r:id="rId16" display="https://us3.assetplanner.com/service_request?ID=095163" xr:uid="{6751363D-AEF1-4790-B60D-2F917B8A1C1D}"/>
    <hyperlink ref="L38" r:id="rId17" display="https://us3.assetplanner.com/service_request?ID=092023" xr:uid="{570C7936-0244-42CB-AB6B-C13E064C1641}"/>
    <hyperlink ref="M38" r:id="rId18" display="https://us3.assetplanner.com/service_request?ID=089707" xr:uid="{82DC988C-651E-42B6-A455-04CA703E8587}"/>
    <hyperlink ref="N38" r:id="rId19" display="https://us3.assetplanner.com/service_request?ID=093065" xr:uid="{10EBBE01-81EB-4136-957B-D45DF7ED853F}"/>
    <hyperlink ref="K40" r:id="rId20" display="https://us3.assetplanner.com/service_request?ID=089464" xr:uid="{2B0D9C7E-3FCE-4AA0-B18B-C23B75E51046}"/>
    <hyperlink ref="L40" r:id="rId21" display="https://us3.assetplanner.com/service_request?ID=093180" xr:uid="{3FE498E9-89C9-4258-AFAB-F14A16DA5C75}"/>
    <hyperlink ref="M40" r:id="rId22" display="https://us3.assetplanner.com/service_request?ID=093174" xr:uid="{5D356A9E-AF7F-45EC-92C1-4516999C478F}"/>
    <hyperlink ref="N40" r:id="rId23" display="https://us3.assetplanner.com/service_request?ID=095356" xr:uid="{29EB4BA8-2C0A-4896-8F98-644E319FFD02}"/>
    <hyperlink ref="O40" r:id="rId24" display="https://us3.assetplanner.com/service_request?ID=096916" xr:uid="{D7BBE568-D23A-43D1-83F1-514FD3E45442}"/>
    <hyperlink ref="K41" r:id="rId25" display="https://us3.assetplanner.com/service_request?ID=097976" xr:uid="{9951B702-7326-429B-AD14-75A51808E02C}"/>
    <hyperlink ref="L41" r:id="rId26" display="https://us3.assetplanner.com/service_request?ID=098524" xr:uid="{0DBA358E-B0B9-4486-98CB-988E9818B8F8}"/>
    <hyperlink ref="M41" r:id="rId27" display="https://us3.assetplanner.com/service_request?ID=098586" xr:uid="{D5535C31-D395-4882-9F82-6F9768B10BAA}"/>
    <hyperlink ref="N41" r:id="rId28" display="https://us3.assetplanner.com/service_request?ID=092753" xr:uid="{174B2BE0-0C84-4C0A-AEA0-5F217A07C44E}"/>
    <hyperlink ref="K43" r:id="rId29" display="https://us3.assetplanner.com/service_request?ID=089461" xr:uid="{E4CA6D54-45EB-4B73-A3B3-0F975E0A1BAA}"/>
    <hyperlink ref="L43" r:id="rId30" display="https://us3.assetplanner.com/service_request?ID=090375" xr:uid="{0CCE4A6C-DE48-4B5C-8AD5-1833B892CCF0}"/>
    <hyperlink ref="M43" r:id="rId31" display="https://us3.assetplanner.com/service_request?ID=098018" xr:uid="{1C0E3D9C-51A7-47F3-A406-172735B7AD7A}"/>
    <hyperlink ref="K44" r:id="rId32" display="https://us3.assetplanner.com/service_request?ID=092276" xr:uid="{B952DBB4-DD12-4B04-9E64-CE247D0A5BF8}"/>
    <hyperlink ref="K45" r:id="rId33" display="https://us3.assetplanner.com/service_request?ID=085968" xr:uid="{B1859208-7BD7-4DD3-AD3E-77682EBA0F45}"/>
    <hyperlink ref="L45" r:id="rId34" display="https://us3.assetplanner.com/service_request?ID=092256" xr:uid="{2B26BC59-1255-49F5-A5CE-484C41639DDB}"/>
    <hyperlink ref="M45" r:id="rId35" display="https://us3.assetplanner.com/service_request?ID=090090" xr:uid="{88277B91-AD96-4DC0-9E9C-77682C334B92}"/>
    <hyperlink ref="N45" r:id="rId36" display="https://us3.assetplanner.com/service_request?ID=095592" xr:uid="{69B73D07-9665-4EFC-8FB9-07607D736436}"/>
    <hyperlink ref="K46" r:id="rId37" display="https://us3.assetplanner.com/service_request?ID=089470" xr:uid="{A8740812-D541-40B8-8304-46AFEEE59C2B}"/>
    <hyperlink ref="L46" r:id="rId38" display="https://us3.assetplanner.com/service_request?ID=092603" xr:uid="{06AB418E-EEBB-4499-BAA1-D8D8489000EE}"/>
    <hyperlink ref="K47" r:id="rId39" display="https://us3.assetplanner.com/service_request?ID=089612" xr:uid="{8B3A2A59-96AD-4AC3-A652-9D8B04934758}"/>
    <hyperlink ref="L47" r:id="rId40" display="https://us3.assetplanner.com/service_request?ID=095339" xr:uid="{03EFE8A4-0AEE-47B8-B1ED-A7F29CC04DE5}"/>
    <hyperlink ref="M47" r:id="rId41" display="https://us3.assetplanner.com/service_request?ID=095385" xr:uid="{326E9482-3B5E-411D-9D68-2662100B0325}"/>
    <hyperlink ref="N47" r:id="rId42" display="https://us3.assetplanner.com/service_request?ID=097012" xr:uid="{957F88A3-5B30-4B8C-8372-A9CB4761EB64}"/>
    <hyperlink ref="O47" r:id="rId43" display="https://us3.assetplanner.com/service_request?ID=089612" xr:uid="{36F072AF-E0F2-44B6-9983-3ACD39A47201}"/>
    <hyperlink ref="P47" r:id="rId44" display="https://us3.assetplanner.com/service_request?ID=095385" xr:uid="{0163AEAA-B1D0-4A86-AF4D-9500B9F26CF4}"/>
    <hyperlink ref="K48" r:id="rId45" display="https://us3.assetplanner.com/service_request?ID=092166" xr:uid="{3B990BAE-2525-4CDE-8706-4F3300586159}"/>
    <hyperlink ref="L48" r:id="rId46" display="https://us3.assetplanner.com/service_request?ID=097558" xr:uid="{110AC52B-EB83-49BF-BB06-7D24230C2536}"/>
    <hyperlink ref="M48" r:id="rId47" display="https://us3.assetplanner.com/service_request?ID=086220" xr:uid="{D7C68F33-50C1-4751-8144-F543E9CFDC65}"/>
    <hyperlink ref="N48" r:id="rId48" display="https://us3.assetplanner.com/service_request?ID=091312" xr:uid="{D12C2C78-B142-4E0C-A661-A73285B7E3D6}"/>
    <hyperlink ref="K49" r:id="rId49" display="https://us3.assetplanner.com/service_request?ID=098397" xr:uid="{52FC2626-5C33-4A11-87AF-54A7A4E5A4BE}"/>
    <hyperlink ref="K50" r:id="rId50" display="https://us3.assetplanner.com/service_request?ID=098178" xr:uid="{C66FC157-CE7A-45FB-8B67-52DFFC6D5BA9}"/>
    <hyperlink ref="L50" r:id="rId51" display="https://us3.assetplanner.com/service_request?ID=090370" xr:uid="{E89A2D9F-308D-467A-B1D1-D8D0FE2212C3}"/>
    <hyperlink ref="K51" r:id="rId52" display="https://us3.assetplanner.com/service_request?ID=097912" xr:uid="{D0352DA6-A647-4F0E-B023-BC28DD013586}"/>
    <hyperlink ref="L51" r:id="rId53" display="https://us3.assetplanner.com/service_request?ID=098713" xr:uid="{40DB9BC3-816D-425F-85BD-F646C789ACC0}"/>
    <hyperlink ref="M51" r:id="rId54" display="https://us3.assetplanner.com/service_request?ID=097912" xr:uid="{9813EC3B-7762-4448-B9EC-55A0CF151EEF}"/>
    <hyperlink ref="N51" r:id="rId55" display="https://us3.assetplanner.com/service_request?ID=098177" xr:uid="{6338C72F-C6C9-4570-8551-08713363CE08}"/>
    <hyperlink ref="K53" r:id="rId56" display="https://us3.assetplanner.com/service_request?ID=094545" xr:uid="{DEA8E277-6C76-4695-BF4F-679C89AFAA6E}"/>
    <hyperlink ref="K55" r:id="rId57" display="https://us3.assetplanner.com/service_request?ID=090734" xr:uid="{A5229688-15D1-429A-B157-D7DEB3A5BCFD}"/>
    <hyperlink ref="K56" r:id="rId58" display="https://us3.assetplanner.com/service_request?ID=095418" xr:uid="{5339CEFA-5D9E-4071-AABE-71E8611FBE64}"/>
    <hyperlink ref="K57" r:id="rId59" display="https://us3.assetplanner.com/service_request?ID=090293" xr:uid="{5F87F6B9-8AED-46C1-88C1-C6883D62848D}"/>
    <hyperlink ref="L57" r:id="rId60" display="https://us3.assetplanner.com/service_request?ID=095854" xr:uid="{47F9413E-B5EF-4A05-9956-3348560E2109}"/>
    <hyperlink ref="M57" r:id="rId61" display="https://us3.assetplanner.com/service_request?ID=099225" xr:uid="{697268A3-4040-4C6E-9ED5-F8B124FD3941}"/>
    <hyperlink ref="K58" r:id="rId62" display="https://us3.assetplanner.com/service_request?ID=098183" xr:uid="{CCC7C472-80DA-47AE-A588-53B74B9653E8}"/>
    <hyperlink ref="L58" r:id="rId63" display="https://us3.assetplanner.com/service_request?ID=095449" xr:uid="{838301DE-C5BC-43D3-BF3F-D5AC5687EC06}"/>
    <hyperlink ref="M58" r:id="rId64" display="https://us3.assetplanner.com/service_request?ID=093474" xr:uid="{C20486C2-513F-4341-BF1D-95804B452966}"/>
    <hyperlink ref="N58" r:id="rId65" display="https://us3.assetplanner.com/service_request?ID=090380" xr:uid="{1F8BFAFA-F501-42BC-BF50-336FE70B4632}"/>
    <hyperlink ref="O58" r:id="rId66" display="https://us3.assetplanner.com/service_request?ID=089474" xr:uid="{D680A2D5-E307-4801-9B59-9F71202A8861}"/>
    <hyperlink ref="K59" r:id="rId67" display="https://us3.assetplanner.com/service_request?ID=098826" xr:uid="{0C12A0F9-EA86-4266-B552-F7033CE9DA0C}"/>
    <hyperlink ref="K60" r:id="rId68" display="https://us3.assetplanner.com/service_request?ID=089477" xr:uid="{94F0236B-A897-475F-A7E2-503127A1FB13}"/>
    <hyperlink ref="L60" r:id="rId69" display="https://us3.assetplanner.com/service_request?ID=096348" xr:uid="{F94647D8-3535-4728-98F0-2F9159DFF815}"/>
    <hyperlink ref="M60" r:id="rId70" display="https://us3.assetplanner.com/service_request?ID=089477" xr:uid="{C1B03D49-9392-448C-B3D1-CF7B1C572C28}"/>
    <hyperlink ref="N60" r:id="rId71" display="https://us3.assetplanner.com/service_request?ID=096348" xr:uid="{491A097C-8626-48FD-B842-D86E9CDDE2D0}"/>
    <hyperlink ref="O60" r:id="rId72" display="https://us3.assetplanner.com/service_request?ID=089477" xr:uid="{CEF6441A-A6E5-4D66-8C0B-2C45DF569BE7}"/>
    <hyperlink ref="P60" r:id="rId73" display="https://us3.assetplanner.com/service_request?ID=096348" xr:uid="{8E4DC819-05DC-4B13-8FF3-3F5C7E5F65AF}"/>
    <hyperlink ref="K62" r:id="rId74" display="https://us3.assetplanner.com/service_request?ID=097948" xr:uid="{516F5076-B749-4F3A-8D5B-166FAA407229}"/>
    <hyperlink ref="K65" r:id="rId75" display="https://us3.assetplanner.com/service_request?ID=095559" xr:uid="{E82F2556-635F-4F1D-82F8-C861DECC1320}"/>
    <hyperlink ref="K66" r:id="rId76" display="https://us3.assetplanner.com/service_request?ID=097774" xr:uid="{94C3EEA5-3694-4476-8F52-9E7D92510500}"/>
    <hyperlink ref="L66" r:id="rId77" display="https://us3.assetplanner.com/service_request?ID=092170" xr:uid="{47967E73-C38C-492C-BB12-E00B82483376}"/>
    <hyperlink ref="M66" r:id="rId78" display="https://us3.assetplanner.com/service_request?ID=092456" xr:uid="{FBCE33F8-87B7-4853-B3CF-37B6C653B23C}"/>
    <hyperlink ref="N66" r:id="rId79" display="https://us3.assetplanner.com/service_request?ID=098476" xr:uid="{1178AEF1-9987-447D-BA94-4E08B96F9138}"/>
    <hyperlink ref="O66" r:id="rId80" display="https://us3.assetplanner.com/service_request?ID=096410" xr:uid="{363A3E80-D003-4647-BCF9-1D677BD53F3B}"/>
    <hyperlink ref="K67" r:id="rId81" display="https://us3.assetplanner.com/service_request?ID=092171" xr:uid="{ABEEE618-FFB9-40C3-A04A-CF36E22EFC4F}"/>
    <hyperlink ref="L67" r:id="rId82" display="https://us3.assetplanner.com/service_request?ID=092455" xr:uid="{D4B4C0BF-897C-458D-B7DF-366BEF5621B5}"/>
    <hyperlink ref="M67" r:id="rId83" display="https://us3.assetplanner.com/service_request?ID=090296" xr:uid="{8D3DD206-3199-43E4-B7E9-ECFDD9738501}"/>
    <hyperlink ref="N67" r:id="rId84" display="https://us3.assetplanner.com/service_request?ID=098666" xr:uid="{9B067C57-DB32-4517-8950-2BF6BE425592}"/>
    <hyperlink ref="O67" r:id="rId85" display="https://us3.assetplanner.com/service_request?ID=098778" xr:uid="{1EB32B14-E0F9-45C9-B4CF-F9CE8AD586BA}"/>
    <hyperlink ref="K68" r:id="rId86" display="https://us3.assetplanner.com/service_request?ID=098343" xr:uid="{A5B4430B-FCCC-4A3F-929A-32754E93066F}"/>
    <hyperlink ref="K69" r:id="rId87" display="https://us3.assetplanner.com/service_request?ID=097960" xr:uid="{0CCDB373-B7C6-4CA3-9750-9879815BA939}"/>
    <hyperlink ref="L69" r:id="rId88" display="https://us3.assetplanner.com/service_request?ID=098350" xr:uid="{67F3E6BA-D709-4473-B0A7-93B71EB87CED}"/>
    <hyperlink ref="M69" r:id="rId89" display="https://us3.assetplanner.com/service_request?ID=098382" xr:uid="{98A7A5BD-A861-4669-A452-3D03C87732C6}"/>
    <hyperlink ref="N69" r:id="rId90" display="https://us3.assetplanner.com/service_request?ID=098434" xr:uid="{657B7681-7B02-49F1-A0A7-ABA5451B8947}"/>
    <hyperlink ref="K35" r:id="rId91" xr:uid="{3CAE6E1A-BCA3-4D25-AA25-A96FC308E67A}"/>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S342"/>
  <sheetViews>
    <sheetView zoomScale="70" zoomScaleNormal="70" workbookViewId="0">
      <pane xSplit="2" ySplit="3" topLeftCell="D44" activePane="bottomRight" state="frozen"/>
      <selection pane="bottomRight" activeCell="D65" sqref="D65"/>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9" ht="19.5" customHeight="1">
      <c r="A1" s="132" t="str" cm="1">
        <f t="array" ref="A1">portfolio</f>
        <v>Silicon Ranch</v>
      </c>
      <c r="B1" s="132"/>
      <c r="C1" s="132"/>
      <c r="D1" s="133" t="s">
        <v>244</v>
      </c>
      <c r="E1" s="133"/>
      <c r="F1" s="133"/>
      <c r="G1" s="131" t="s">
        <v>245</v>
      </c>
      <c r="H1" s="131"/>
      <c r="I1" s="131"/>
      <c r="J1" s="4"/>
      <c r="K1" s="4"/>
    </row>
    <row r="2" spans="1:19" ht="19.5" customHeight="1">
      <c r="A2" s="134" t="s">
        <v>2</v>
      </c>
      <c r="B2" s="134"/>
      <c r="C2" s="5">
        <f>SUM(C4:C100)</f>
        <v>4382595.68</v>
      </c>
      <c r="D2" s="5">
        <f>SUM(D4:D100)</f>
        <v>2627220</v>
      </c>
      <c r="E2" s="5">
        <f>C2-D2</f>
        <v>1755375.6799999997</v>
      </c>
      <c r="F2" s="6">
        <f>IFERROR(E2/D2, 0)</f>
        <v>0.66814948120066064</v>
      </c>
      <c r="G2" s="5">
        <f>SUM(G4:G100)</f>
        <v>4664869.2989999996</v>
      </c>
      <c r="H2" s="7">
        <f>C2-G2</f>
        <v>-282273.61899999995</v>
      </c>
      <c r="I2" s="6">
        <f>IFERROR(H2/G2, 0)</f>
        <v>-6.0510509707208837E-2</v>
      </c>
      <c r="J2" s="26"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9" ht="14.25" customHeight="1">
      <c r="A3" s="8" t="s">
        <v>3</v>
      </c>
      <c r="B3" s="8" t="s">
        <v>4</v>
      </c>
      <c r="C3" s="23" t="s">
        <v>5</v>
      </c>
      <c r="D3" s="35" t="s">
        <v>6</v>
      </c>
      <c r="E3" s="35" t="s">
        <v>7</v>
      </c>
      <c r="F3" s="36" t="s">
        <v>8</v>
      </c>
      <c r="G3" s="37" t="s">
        <v>9</v>
      </c>
      <c r="H3" s="38" t="s">
        <v>7</v>
      </c>
      <c r="I3" s="39" t="s">
        <v>8</v>
      </c>
      <c r="J3" s="25" t="s">
        <v>20</v>
      </c>
      <c r="K3" s="25" t="s">
        <v>21</v>
      </c>
    </row>
    <row r="4" spans="1:19" ht="15.6">
      <c r="A4" s="32" t="str" cm="1">
        <f t="array" ref="A4:A70">Sites[Site]</f>
        <v>Iron Mountain - Windsor</v>
      </c>
      <c r="B4" s="29" t="str" cm="1">
        <f t="array" ref="B4:B70">Sites[State]</f>
        <v>CT</v>
      </c>
      <c r="C4" s="24">
        <v>31293</v>
      </c>
      <c r="D4" s="13">
        <v>31163</v>
      </c>
      <c r="E4" s="13">
        <f>IF(AND(ISNUMBER(C4),ISNUMBER(D4)), C4-D4, "")</f>
        <v>130</v>
      </c>
      <c r="F4" s="14">
        <f>IFERROR(E4/D4, "")</f>
        <v>4.1716137727433175E-3</v>
      </c>
      <c r="G4" s="15">
        <v>30934.86</v>
      </c>
      <c r="H4" s="15">
        <f>IF(AND(ISNUMBER(C4),ISNUMBER(G4)), C4-G4, "")</f>
        <v>358.13999999999942</v>
      </c>
      <c r="I4" s="16">
        <f>IFERROR(H4/G4, "")</f>
        <v>1.1577230347898759E-2</v>
      </c>
      <c r="J4" s="41"/>
      <c r="K4" s="41"/>
      <c r="L4" s="97"/>
      <c r="M4" s="97"/>
      <c r="N4" s="97"/>
      <c r="O4" s="97"/>
      <c r="P4" s="97"/>
      <c r="Q4" s="97"/>
      <c r="R4" s="97"/>
      <c r="S4" s="97"/>
    </row>
    <row r="5" spans="1:19" ht="15.6">
      <c r="A5" s="30" t="str">
        <v>Kohls - Auburn</v>
      </c>
      <c r="B5" s="31" t="str">
        <v>NY</v>
      </c>
      <c r="C5" s="11">
        <v>32335</v>
      </c>
      <c r="D5" s="18">
        <v>32105</v>
      </c>
      <c r="E5" s="18">
        <f t="shared" ref="E5:E25" si="0">IF(AND(ISNUMBER(C5),ISNUMBER(D5)), C5-D5, "")</f>
        <v>230</v>
      </c>
      <c r="F5" s="19">
        <f>IFERROR(E5/D5, "")</f>
        <v>7.1639931474848156E-3</v>
      </c>
      <c r="G5" s="20">
        <v>33859.879999999997</v>
      </c>
      <c r="H5" s="20">
        <f t="shared" ref="H5:H25" si="1">IF(AND(ISNUMBER(C5),ISNUMBER(G5)), C5-G5, "")</f>
        <v>-1524.8799999999974</v>
      </c>
      <c r="I5" s="19">
        <f t="shared" ref="I5:I68" si="2">IFERROR(H5/G5, "")</f>
        <v>-4.5035008984083746E-2</v>
      </c>
      <c r="J5" s="42"/>
      <c r="K5" s="42"/>
      <c r="L5" s="97"/>
      <c r="M5" s="97"/>
      <c r="N5" s="97"/>
      <c r="O5" s="97"/>
      <c r="P5" s="97"/>
      <c r="Q5" s="97"/>
      <c r="R5" s="97"/>
      <c r="S5" s="97"/>
    </row>
    <row r="6" spans="1:19" ht="126.75" customHeight="1">
      <c r="A6" s="28" t="str">
        <v>Kohls - Bensalem</v>
      </c>
      <c r="B6" s="29" t="str">
        <v>PA</v>
      </c>
      <c r="C6" s="24">
        <v>25179</v>
      </c>
      <c r="D6" s="13">
        <v>24905</v>
      </c>
      <c r="E6" s="13">
        <f t="shared" si="0"/>
        <v>274</v>
      </c>
      <c r="F6" s="14">
        <f t="shared" ref="F6:F25" si="3">IFERROR(E6/D6, "")</f>
        <v>1.1001806866091146E-2</v>
      </c>
      <c r="G6" s="15">
        <v>33628.71</v>
      </c>
      <c r="H6" s="15">
        <f t="shared" si="1"/>
        <v>-8449.7099999999991</v>
      </c>
      <c r="I6" s="16">
        <f t="shared" si="2"/>
        <v>-0.25126476751561388</v>
      </c>
      <c r="J6" s="41" t="s">
        <v>246</v>
      </c>
      <c r="K6" s="88" t="s">
        <v>247</v>
      </c>
      <c r="L6" s="97"/>
      <c r="M6" s="97"/>
      <c r="N6" s="97"/>
      <c r="O6" s="97"/>
      <c r="P6" s="97"/>
      <c r="Q6" s="97"/>
      <c r="R6" s="97"/>
      <c r="S6" s="97"/>
    </row>
    <row r="7" spans="1:19" ht="15.6">
      <c r="A7" s="30" t="str">
        <v>Kohls - Brick</v>
      </c>
      <c r="B7" s="31" t="str">
        <v>NJ</v>
      </c>
      <c r="C7" s="11">
        <v>43757</v>
      </c>
      <c r="D7" s="18">
        <v>38574</v>
      </c>
      <c r="E7" s="18">
        <f t="shared" si="0"/>
        <v>5183</v>
      </c>
      <c r="F7" s="19">
        <f t="shared" si="3"/>
        <v>0.13436511639964743</v>
      </c>
      <c r="G7" s="20">
        <v>40857.57</v>
      </c>
      <c r="H7" s="20">
        <f t="shared" si="1"/>
        <v>2899.4300000000003</v>
      </c>
      <c r="I7" s="19">
        <f t="shared" si="2"/>
        <v>7.0964328030276899E-2</v>
      </c>
      <c r="J7" s="42"/>
      <c r="K7" s="43"/>
      <c r="L7" s="97"/>
      <c r="M7" s="97"/>
      <c r="N7" s="97"/>
      <c r="O7" s="97"/>
      <c r="P7" s="97"/>
      <c r="Q7" s="97"/>
      <c r="R7" s="97"/>
      <c r="S7" s="97"/>
    </row>
    <row r="8" spans="1:19" ht="43.15">
      <c r="A8" s="28" t="str">
        <v>Kohls - Buffalo</v>
      </c>
      <c r="B8" s="29" t="str">
        <v>NY</v>
      </c>
      <c r="C8" s="24">
        <v>35454</v>
      </c>
      <c r="D8" s="13" t="s">
        <v>24</v>
      </c>
      <c r="E8" s="13" t="str">
        <f t="shared" si="0"/>
        <v/>
      </c>
      <c r="F8" s="14" t="str">
        <f t="shared" si="3"/>
        <v/>
      </c>
      <c r="G8" s="15">
        <v>43977.120000000003</v>
      </c>
      <c r="H8" s="15">
        <f t="shared" si="1"/>
        <v>-8523.1200000000026</v>
      </c>
      <c r="I8" s="16">
        <f t="shared" si="2"/>
        <v>-0.19380805291478848</v>
      </c>
      <c r="J8" s="41" t="s">
        <v>248</v>
      </c>
      <c r="K8" s="88" t="s">
        <v>249</v>
      </c>
      <c r="L8" s="98" t="s">
        <v>174</v>
      </c>
      <c r="M8" s="98" t="s">
        <v>28</v>
      </c>
      <c r="N8" s="97"/>
      <c r="O8" s="97"/>
      <c r="P8" s="97"/>
      <c r="Q8" s="97"/>
      <c r="R8" s="97"/>
      <c r="S8" s="97"/>
    </row>
    <row r="9" spans="1:19" ht="15.6">
      <c r="A9" s="30" t="str">
        <v>Kohls - Canton</v>
      </c>
      <c r="B9" s="31" t="str">
        <v>CT</v>
      </c>
      <c r="C9" s="11">
        <v>15599</v>
      </c>
      <c r="D9" s="18">
        <v>15474</v>
      </c>
      <c r="E9" s="18">
        <f t="shared" si="0"/>
        <v>125</v>
      </c>
      <c r="F9" s="19">
        <f t="shared" si="3"/>
        <v>8.0780664340183526E-3</v>
      </c>
      <c r="G9" s="20">
        <v>13622.22</v>
      </c>
      <c r="H9" s="20">
        <f t="shared" si="1"/>
        <v>1976.7800000000007</v>
      </c>
      <c r="I9" s="19">
        <f t="shared" si="2"/>
        <v>0.14511437930087759</v>
      </c>
      <c r="J9" s="55"/>
      <c r="K9" s="43"/>
      <c r="L9" s="97"/>
      <c r="M9" s="97"/>
      <c r="N9" s="97"/>
      <c r="O9" s="97"/>
      <c r="P9" s="97"/>
      <c r="Q9" s="97"/>
      <c r="R9" s="97"/>
      <c r="S9" s="97"/>
    </row>
    <row r="10" spans="1:19" ht="39" customHeight="1">
      <c r="A10" s="28" t="str">
        <v>Kohls - East Amherst</v>
      </c>
      <c r="B10" s="29" t="str">
        <v>NY</v>
      </c>
      <c r="C10" s="24">
        <v>33923</v>
      </c>
      <c r="D10" s="13">
        <v>33484</v>
      </c>
      <c r="E10" s="13">
        <f t="shared" si="0"/>
        <v>439</v>
      </c>
      <c r="F10" s="14">
        <f t="shared" si="3"/>
        <v>1.3110739457651415E-2</v>
      </c>
      <c r="G10" s="15">
        <v>38691.72</v>
      </c>
      <c r="H10" s="15">
        <f t="shared" si="1"/>
        <v>-4768.7200000000012</v>
      </c>
      <c r="I10" s="16">
        <f t="shared" si="2"/>
        <v>-0.12324910859481049</v>
      </c>
      <c r="J10" s="41" t="s">
        <v>250</v>
      </c>
      <c r="K10" s="88" t="s">
        <v>251</v>
      </c>
      <c r="L10" s="97"/>
      <c r="M10" s="97"/>
      <c r="N10" s="97"/>
      <c r="O10" s="97"/>
      <c r="P10" s="97"/>
      <c r="Q10" s="97"/>
      <c r="R10" s="97"/>
      <c r="S10" s="97"/>
    </row>
    <row r="11" spans="1:19" ht="15.6">
      <c r="A11" s="30" t="str">
        <v>Kohls - East Brunswick</v>
      </c>
      <c r="B11" s="31" t="str">
        <v>NJ</v>
      </c>
      <c r="C11" s="11">
        <v>51292</v>
      </c>
      <c r="D11" s="18">
        <v>45152</v>
      </c>
      <c r="E11" s="18">
        <f t="shared" si="0"/>
        <v>6140</v>
      </c>
      <c r="F11" s="19">
        <f t="shared" si="3"/>
        <v>0.13598511693834159</v>
      </c>
      <c r="G11" s="20">
        <v>52486.96</v>
      </c>
      <c r="H11" s="20">
        <f t="shared" si="1"/>
        <v>-1194.9599999999991</v>
      </c>
      <c r="I11" s="19">
        <f t="shared" si="2"/>
        <v>-2.2766797696037247E-2</v>
      </c>
      <c r="J11" s="42"/>
      <c r="K11" s="43"/>
      <c r="L11" s="97"/>
      <c r="M11" s="97"/>
      <c r="N11" s="97"/>
      <c r="O11" s="97"/>
      <c r="P11" s="97"/>
      <c r="Q11" s="97"/>
      <c r="R11" s="97"/>
      <c r="S11" s="97"/>
    </row>
    <row r="12" spans="1:19" ht="15.6">
      <c r="A12" s="28" t="str">
        <v>Kohls - Edgewood</v>
      </c>
      <c r="B12" s="29" t="str">
        <v>MD</v>
      </c>
      <c r="C12" s="24">
        <v>253311</v>
      </c>
      <c r="D12" s="13">
        <v>251326</v>
      </c>
      <c r="E12" s="13">
        <f t="shared" si="0"/>
        <v>1985</v>
      </c>
      <c r="F12" s="14">
        <f t="shared" si="3"/>
        <v>7.8981084328720464E-3</v>
      </c>
      <c r="G12" s="15">
        <v>281330.28999999998</v>
      </c>
      <c r="H12" s="15">
        <f t="shared" si="1"/>
        <v>-28019.289999999979</v>
      </c>
      <c r="I12" s="16">
        <f t="shared" si="2"/>
        <v>-9.9595710081555669E-2</v>
      </c>
      <c r="J12" s="41"/>
      <c r="K12" s="41"/>
      <c r="L12" s="97"/>
      <c r="M12" s="97"/>
      <c r="N12" s="97"/>
      <c r="O12" s="97"/>
      <c r="P12" s="97"/>
      <c r="Q12" s="97"/>
      <c r="R12" s="97"/>
      <c r="S12" s="97"/>
    </row>
    <row r="13" spans="1:19" ht="15.6">
      <c r="A13" s="30" t="str">
        <v>Kohls - Granite Run</v>
      </c>
      <c r="B13" s="31" t="str">
        <v>PA</v>
      </c>
      <c r="C13" s="11">
        <v>33656</v>
      </c>
      <c r="D13" s="18">
        <v>33351</v>
      </c>
      <c r="E13" s="18">
        <f t="shared" si="0"/>
        <v>305</v>
      </c>
      <c r="F13" s="19">
        <f t="shared" si="3"/>
        <v>9.1451530688734968E-3</v>
      </c>
      <c r="G13" s="20">
        <v>33638.5</v>
      </c>
      <c r="H13" s="20">
        <f t="shared" si="1"/>
        <v>17.5</v>
      </c>
      <c r="I13" s="19">
        <f t="shared" si="2"/>
        <v>5.2023722817604826E-4</v>
      </c>
      <c r="J13" s="42"/>
      <c r="K13" s="43"/>
      <c r="L13" s="97"/>
      <c r="M13" s="97"/>
      <c r="N13" s="97"/>
      <c r="O13" s="97"/>
      <c r="P13" s="97"/>
      <c r="Q13" s="97"/>
      <c r="R13" s="97"/>
      <c r="S13" s="97"/>
    </row>
    <row r="14" spans="1:19" ht="15.6">
      <c r="A14" s="28" t="str">
        <v>Kohls - Greece</v>
      </c>
      <c r="B14" s="29" t="str">
        <v>NY</v>
      </c>
      <c r="C14" s="24">
        <v>30322</v>
      </c>
      <c r="D14" s="13">
        <v>30024</v>
      </c>
      <c r="E14" s="13">
        <f t="shared" si="0"/>
        <v>298</v>
      </c>
      <c r="F14" s="14">
        <f t="shared" si="3"/>
        <v>9.925393018918198E-3</v>
      </c>
      <c r="G14" s="15">
        <v>41394.589999999997</v>
      </c>
      <c r="H14" s="15">
        <f t="shared" si="1"/>
        <v>-11072.589999999997</v>
      </c>
      <c r="I14" s="16">
        <f t="shared" si="2"/>
        <v>-0.26748881919110679</v>
      </c>
      <c r="J14" s="41" t="s">
        <v>252</v>
      </c>
      <c r="K14" s="41"/>
      <c r="L14" s="97"/>
      <c r="M14" s="97"/>
      <c r="N14" s="97"/>
      <c r="O14" s="97"/>
      <c r="P14" s="97"/>
      <c r="Q14" s="97"/>
      <c r="R14" s="97"/>
      <c r="S14" s="97"/>
    </row>
    <row r="15" spans="1:19" ht="15.6">
      <c r="A15" s="30" t="str">
        <v>Kohls - Hanover</v>
      </c>
      <c r="B15" s="31" t="str">
        <v>PA</v>
      </c>
      <c r="C15" s="11">
        <v>38762</v>
      </c>
      <c r="D15" s="18">
        <v>38506</v>
      </c>
      <c r="E15" s="18">
        <f t="shared" si="0"/>
        <v>256</v>
      </c>
      <c r="F15" s="19">
        <f t="shared" si="3"/>
        <v>6.6483145483820704E-3</v>
      </c>
      <c r="G15" s="20">
        <v>39108.42</v>
      </c>
      <c r="H15" s="20">
        <f t="shared" si="1"/>
        <v>-346.41999999999825</v>
      </c>
      <c r="I15" s="19">
        <f t="shared" si="2"/>
        <v>-8.8579390320549459E-3</v>
      </c>
      <c r="J15" s="54"/>
      <c r="K15" s="54"/>
      <c r="L15" s="97"/>
      <c r="M15" s="97"/>
      <c r="N15" s="97"/>
      <c r="O15" s="97"/>
      <c r="P15" s="97"/>
      <c r="Q15" s="97"/>
      <c r="R15" s="97"/>
      <c r="S15" s="97"/>
    </row>
    <row r="16" spans="1:19" ht="15.6">
      <c r="A16" s="28" t="str">
        <v>Kohls - Horsehead</v>
      </c>
      <c r="B16" s="29" t="str">
        <v>NY</v>
      </c>
      <c r="C16" s="24">
        <v>28572</v>
      </c>
      <c r="D16" s="13">
        <v>28360</v>
      </c>
      <c r="E16" s="13">
        <f t="shared" si="0"/>
        <v>212</v>
      </c>
      <c r="F16" s="14">
        <f t="shared" si="3"/>
        <v>7.475317348377997E-3</v>
      </c>
      <c r="G16" s="15">
        <v>28509.69</v>
      </c>
      <c r="H16" s="15">
        <f t="shared" si="1"/>
        <v>62.31000000000131</v>
      </c>
      <c r="I16" s="16">
        <f t="shared" si="2"/>
        <v>2.1855726947575126E-3</v>
      </c>
      <c r="J16" s="56"/>
      <c r="K16" s="56"/>
      <c r="L16" s="97"/>
      <c r="M16" s="97"/>
      <c r="N16" s="97"/>
      <c r="O16" s="97"/>
      <c r="P16" s="97"/>
      <c r="Q16" s="97"/>
      <c r="R16" s="97"/>
      <c r="S16" s="97"/>
    </row>
    <row r="17" spans="1:19" ht="15.6">
      <c r="A17" s="30" t="str">
        <v>Kohls - Hudson</v>
      </c>
      <c r="B17" s="31" t="str">
        <v>NY</v>
      </c>
      <c r="C17" s="11">
        <v>32078</v>
      </c>
      <c r="D17" s="18">
        <v>31920</v>
      </c>
      <c r="E17" s="18">
        <f t="shared" si="0"/>
        <v>158</v>
      </c>
      <c r="F17" s="19">
        <f t="shared" si="3"/>
        <v>4.9498746867167919E-3</v>
      </c>
      <c r="G17" s="20">
        <v>32526.959999999999</v>
      </c>
      <c r="H17" s="20">
        <f t="shared" si="1"/>
        <v>-448.95999999999913</v>
      </c>
      <c r="I17" s="19">
        <f t="shared" si="2"/>
        <v>-1.3802703972335538E-2</v>
      </c>
      <c r="J17" s="54"/>
      <c r="K17" s="57"/>
      <c r="L17" s="97"/>
      <c r="M17" s="97"/>
      <c r="N17" s="97"/>
      <c r="O17" s="97"/>
      <c r="P17" s="97"/>
      <c r="Q17" s="97"/>
      <c r="R17" s="97"/>
      <c r="S17" s="97"/>
    </row>
    <row r="18" spans="1:19" ht="15.6">
      <c r="A18" s="32" t="str">
        <v>Kohls - Ithaca</v>
      </c>
      <c r="B18" s="29" t="str">
        <v>NY</v>
      </c>
      <c r="C18" s="24">
        <v>28862</v>
      </c>
      <c r="D18" s="13">
        <v>28664</v>
      </c>
      <c r="E18" s="13">
        <f t="shared" si="0"/>
        <v>198</v>
      </c>
      <c r="F18" s="14">
        <f t="shared" si="3"/>
        <v>6.9076193134245045E-3</v>
      </c>
      <c r="G18" s="15">
        <v>34202.370000000003</v>
      </c>
      <c r="H18" s="15">
        <f t="shared" si="1"/>
        <v>-5340.3700000000026</v>
      </c>
      <c r="I18" s="16">
        <f t="shared" si="2"/>
        <v>-0.15614034933836463</v>
      </c>
      <c r="J18" s="41" t="s">
        <v>253</v>
      </c>
      <c r="K18" s="56"/>
      <c r="L18" s="97"/>
      <c r="M18" s="97"/>
      <c r="N18" s="97"/>
      <c r="O18" s="97"/>
      <c r="P18" s="97"/>
      <c r="Q18" s="97"/>
      <c r="R18" s="97"/>
      <c r="S18" s="97"/>
    </row>
    <row r="19" spans="1:19" ht="15.6">
      <c r="A19" s="30" t="str">
        <v>Kohls - Kingston</v>
      </c>
      <c r="B19" s="31" t="str">
        <v>NY</v>
      </c>
      <c r="C19" s="11">
        <v>42416</v>
      </c>
      <c r="D19" s="18">
        <v>42109</v>
      </c>
      <c r="E19" s="18">
        <f t="shared" si="0"/>
        <v>307</v>
      </c>
      <c r="F19" s="19">
        <f t="shared" si="3"/>
        <v>7.2906029589873897E-3</v>
      </c>
      <c r="G19" s="20">
        <v>53122.43</v>
      </c>
      <c r="H19" s="20">
        <f t="shared" si="1"/>
        <v>-10706.43</v>
      </c>
      <c r="I19" s="19">
        <f t="shared" si="2"/>
        <v>-0.20154254991723836</v>
      </c>
      <c r="J19" s="54" t="s">
        <v>254</v>
      </c>
      <c r="K19" s="54"/>
      <c r="L19" s="97"/>
      <c r="M19" s="97"/>
      <c r="N19" s="97"/>
      <c r="O19" s="97"/>
      <c r="P19" s="97"/>
      <c r="Q19" s="97"/>
      <c r="R19" s="97"/>
      <c r="S19" s="97"/>
    </row>
    <row r="20" spans="1:19" ht="15.6">
      <c r="A20" s="28" t="str">
        <v>Kohls - Mechanicsburg</v>
      </c>
      <c r="B20" s="29" t="str">
        <v>PA</v>
      </c>
      <c r="C20" s="24">
        <v>45237</v>
      </c>
      <c r="D20" s="13">
        <v>44885</v>
      </c>
      <c r="E20" s="13">
        <f t="shared" si="0"/>
        <v>352</v>
      </c>
      <c r="F20" s="14">
        <f t="shared" si="3"/>
        <v>7.8422635624373401E-3</v>
      </c>
      <c r="G20" s="15">
        <v>45680.27</v>
      </c>
      <c r="H20" s="15">
        <f t="shared" si="1"/>
        <v>-443.2699999999968</v>
      </c>
      <c r="I20" s="16">
        <f t="shared" si="2"/>
        <v>-9.7037517510294227E-3</v>
      </c>
      <c r="J20" s="56"/>
      <c r="K20" s="56"/>
      <c r="L20" s="97"/>
      <c r="M20" s="97"/>
      <c r="N20" s="97"/>
      <c r="O20" s="97"/>
      <c r="P20" s="97"/>
      <c r="Q20" s="97"/>
      <c r="R20" s="97"/>
      <c r="S20" s="97"/>
    </row>
    <row r="21" spans="1:19" ht="15.6">
      <c r="A21" s="30" t="str">
        <v>Kohls - Middletown</v>
      </c>
      <c r="B21" s="31" t="str">
        <v>NJ</v>
      </c>
      <c r="C21" s="11">
        <v>67983</v>
      </c>
      <c r="D21" s="18">
        <v>64693</v>
      </c>
      <c r="E21" s="18">
        <f t="shared" si="0"/>
        <v>3290</v>
      </c>
      <c r="F21" s="19">
        <f t="shared" si="3"/>
        <v>5.0855579428995407E-2</v>
      </c>
      <c r="G21" s="20">
        <v>60239.89</v>
      </c>
      <c r="H21" s="20">
        <f t="shared" si="1"/>
        <v>7743.1100000000006</v>
      </c>
      <c r="I21" s="19">
        <f t="shared" si="2"/>
        <v>0.12853791731691411</v>
      </c>
      <c r="J21" s="54"/>
      <c r="K21" s="54"/>
      <c r="L21" s="97"/>
      <c r="M21" s="97"/>
      <c r="N21" s="97"/>
      <c r="O21" s="97"/>
      <c r="P21" s="97"/>
      <c r="Q21" s="97"/>
      <c r="R21" s="97"/>
      <c r="S21" s="97"/>
    </row>
    <row r="22" spans="1:19" ht="100.9">
      <c r="A22" s="28" t="str">
        <v>Kohls - North Amherst</v>
      </c>
      <c r="B22" s="29" t="str">
        <v>NY</v>
      </c>
      <c r="C22" s="24">
        <v>13184</v>
      </c>
      <c r="D22" s="13">
        <v>13117</v>
      </c>
      <c r="E22" s="13">
        <f t="shared" si="0"/>
        <v>67</v>
      </c>
      <c r="F22" s="14">
        <f t="shared" si="3"/>
        <v>5.1078752763589232E-3</v>
      </c>
      <c r="G22" s="15">
        <v>37025.57</v>
      </c>
      <c r="H22" s="15">
        <f>IF(AND(ISNUMBER(C22),ISNUMBER(G22)), C22-G22, "")</f>
        <v>-23841.57</v>
      </c>
      <c r="I22" s="16">
        <f t="shared" si="2"/>
        <v>-0.64392175461444623</v>
      </c>
      <c r="J22" s="86" t="s">
        <v>255</v>
      </c>
      <c r="K22" s="91" t="s">
        <v>256</v>
      </c>
      <c r="L22" s="98" t="s">
        <v>257</v>
      </c>
      <c r="M22" s="97"/>
      <c r="N22" s="97"/>
      <c r="O22" s="97"/>
      <c r="P22" s="97"/>
      <c r="Q22" s="97"/>
      <c r="R22" s="97"/>
      <c r="S22" s="97"/>
    </row>
    <row r="23" spans="1:19" ht="197.25" customHeight="1">
      <c r="A23" s="30" t="str">
        <v>Kohls - Staten Island</v>
      </c>
      <c r="B23" s="31" t="str">
        <v>NY</v>
      </c>
      <c r="C23" s="11">
        <v>29453</v>
      </c>
      <c r="D23" s="18" t="s">
        <v>24</v>
      </c>
      <c r="E23" s="18" t="str">
        <f t="shared" si="0"/>
        <v/>
      </c>
      <c r="F23" s="19" t="str">
        <f t="shared" si="3"/>
        <v/>
      </c>
      <c r="G23" s="20">
        <v>36582.559999999998</v>
      </c>
      <c r="H23" s="20">
        <f t="shared" si="1"/>
        <v>-7129.5599999999977</v>
      </c>
      <c r="I23" s="19">
        <f t="shared" si="2"/>
        <v>-0.19488958673203838</v>
      </c>
      <c r="J23" s="99" t="s">
        <v>258</v>
      </c>
      <c r="K23" s="93" t="s">
        <v>259</v>
      </c>
      <c r="L23" s="98" t="s">
        <v>177</v>
      </c>
      <c r="M23" s="98" t="s">
        <v>260</v>
      </c>
      <c r="N23" s="97"/>
      <c r="O23" s="97"/>
      <c r="P23" s="97"/>
      <c r="Q23" s="97"/>
      <c r="R23" s="97"/>
      <c r="S23" s="97"/>
    </row>
    <row r="24" spans="1:19" ht="15.6">
      <c r="A24" s="28" t="str">
        <v>Kohls - Warminster</v>
      </c>
      <c r="B24" s="29" t="str">
        <v>PA</v>
      </c>
      <c r="C24" s="24">
        <v>43159</v>
      </c>
      <c r="D24" s="13">
        <v>42719</v>
      </c>
      <c r="E24" s="13">
        <f t="shared" si="0"/>
        <v>440</v>
      </c>
      <c r="F24" s="14">
        <f t="shared" si="3"/>
        <v>1.0299866569910344E-2</v>
      </c>
      <c r="G24" s="15">
        <v>41056.14</v>
      </c>
      <c r="H24" s="15">
        <f t="shared" si="1"/>
        <v>2102.8600000000006</v>
      </c>
      <c r="I24" s="16">
        <f t="shared" si="2"/>
        <v>5.1219135554389686E-2</v>
      </c>
      <c r="J24" s="41"/>
      <c r="K24" s="41"/>
      <c r="L24" s="97"/>
      <c r="M24" s="97"/>
      <c r="N24" s="97"/>
      <c r="O24" s="97"/>
      <c r="P24" s="97"/>
      <c r="Q24" s="97"/>
      <c r="R24" s="97"/>
      <c r="S24" s="97"/>
    </row>
    <row r="25" spans="1:19" ht="15.6">
      <c r="A25" s="30" t="str">
        <v xml:space="preserve">Kohls - Waterbury </v>
      </c>
      <c r="B25" s="31" t="str">
        <v>CT</v>
      </c>
      <c r="C25" s="11">
        <v>39101</v>
      </c>
      <c r="D25" s="18">
        <v>38771</v>
      </c>
      <c r="E25" s="18">
        <f t="shared" si="0"/>
        <v>330</v>
      </c>
      <c r="F25" s="19">
        <f t="shared" si="3"/>
        <v>8.5115163395321249E-3</v>
      </c>
      <c r="G25" s="20">
        <v>36953.81</v>
      </c>
      <c r="H25" s="20">
        <f t="shared" si="1"/>
        <v>2147.1900000000023</v>
      </c>
      <c r="I25" s="19">
        <f t="shared" si="2"/>
        <v>5.8104698811841118E-2</v>
      </c>
      <c r="J25" s="42"/>
      <c r="K25" s="43"/>
      <c r="L25" s="97"/>
      <c r="M25" s="97"/>
      <c r="N25" s="97"/>
      <c r="O25" s="97"/>
      <c r="P25" s="97"/>
      <c r="Q25" s="97"/>
      <c r="R25" s="97"/>
      <c r="S25" s="97"/>
    </row>
    <row r="26" spans="1:19" ht="15.6">
      <c r="A26" s="28" t="str">
        <v>Mojave Water Agency - Headquarters</v>
      </c>
      <c r="B26" s="29" t="str">
        <v>CA</v>
      </c>
      <c r="C26" s="24">
        <v>46801</v>
      </c>
      <c r="D26" s="13">
        <v>45206</v>
      </c>
      <c r="E26" s="13">
        <f t="shared" ref="E26:E68" si="4">IF(AND(ISNUMBER(C26),ISNUMBER(D26)), C26-D26, "")</f>
        <v>1595</v>
      </c>
      <c r="F26" s="14">
        <f t="shared" ref="F26:F68" si="5">IFERROR(E26/D26, "")</f>
        <v>3.5282927045082513E-2</v>
      </c>
      <c r="G26" s="15">
        <v>38772.300000000003</v>
      </c>
      <c r="H26" s="15">
        <f t="shared" ref="H26:H68" si="6">IF(AND(ISNUMBER(C26),ISNUMBER(G26)), C26-G26, "")</f>
        <v>8028.6999999999971</v>
      </c>
      <c r="I26" s="16">
        <f t="shared" si="2"/>
        <v>0.20707309084062581</v>
      </c>
      <c r="J26" s="41" t="s">
        <v>261</v>
      </c>
      <c r="K26" s="88" t="s">
        <v>262</v>
      </c>
      <c r="L26" s="97"/>
      <c r="M26" s="97"/>
      <c r="N26" s="97"/>
      <c r="O26" s="97"/>
      <c r="P26" s="97"/>
      <c r="Q26" s="97"/>
      <c r="R26" s="97"/>
      <c r="S26" s="97"/>
    </row>
    <row r="27" spans="1:19" ht="43.15">
      <c r="A27" s="30" t="str">
        <v>CSU - Bakersfield</v>
      </c>
      <c r="B27" s="31" t="str">
        <v>CA</v>
      </c>
      <c r="C27" s="11">
        <v>147778</v>
      </c>
      <c r="D27" s="18">
        <v>154191</v>
      </c>
      <c r="E27" s="18">
        <f t="shared" si="4"/>
        <v>-6413</v>
      </c>
      <c r="F27" s="19">
        <f t="shared" si="5"/>
        <v>-4.1591273161209148E-2</v>
      </c>
      <c r="G27" s="20">
        <v>146508.14000000001</v>
      </c>
      <c r="H27" s="20">
        <f t="shared" si="6"/>
        <v>1269.859999999986</v>
      </c>
      <c r="I27" s="19">
        <f t="shared" si="2"/>
        <v>8.6675047543432453E-3</v>
      </c>
      <c r="J27" s="42" t="s">
        <v>263</v>
      </c>
      <c r="K27" s="90" t="s">
        <v>264</v>
      </c>
      <c r="L27" s="97"/>
      <c r="M27" s="97"/>
      <c r="N27" s="97"/>
      <c r="O27" s="97"/>
      <c r="P27" s="97"/>
      <c r="Q27" s="97"/>
      <c r="R27" s="97"/>
      <c r="S27" s="97"/>
    </row>
    <row r="28" spans="1:19" ht="15.6">
      <c r="A28" s="28" t="str">
        <v>Greenfield USD - Fairfield ES</v>
      </c>
      <c r="B28" s="29" t="str">
        <v>CA</v>
      </c>
      <c r="C28" s="24">
        <v>13686</v>
      </c>
      <c r="D28" s="13">
        <v>13065</v>
      </c>
      <c r="E28" s="13">
        <f t="shared" si="4"/>
        <v>621</v>
      </c>
      <c r="F28" s="14">
        <f t="shared" si="5"/>
        <v>4.7531572904707234E-2</v>
      </c>
      <c r="G28" s="15">
        <v>14550.3</v>
      </c>
      <c r="H28" s="15">
        <f t="shared" si="6"/>
        <v>-864.29999999999927</v>
      </c>
      <c r="I28" s="16">
        <f t="shared" si="2"/>
        <v>-5.94008370961423E-2</v>
      </c>
      <c r="J28" s="41"/>
      <c r="K28" s="41"/>
      <c r="L28" s="97"/>
      <c r="M28" s="97"/>
      <c r="N28" s="97"/>
      <c r="O28" s="97"/>
      <c r="P28" s="97"/>
      <c r="Q28" s="97"/>
      <c r="R28" s="97"/>
      <c r="S28" s="97"/>
    </row>
    <row r="29" spans="1:19" ht="43.15">
      <c r="A29" s="30" t="str">
        <v>Greenfield USD - Granite Point ES</v>
      </c>
      <c r="B29" s="31" t="str">
        <v>CA</v>
      </c>
      <c r="C29" s="11">
        <v>24339</v>
      </c>
      <c r="D29" s="18">
        <v>22902</v>
      </c>
      <c r="E29" s="18">
        <f t="shared" si="4"/>
        <v>1437</v>
      </c>
      <c r="F29" s="19">
        <f t="shared" si="5"/>
        <v>6.2745611736966203E-2</v>
      </c>
      <c r="G29" s="20">
        <v>38398.82</v>
      </c>
      <c r="H29" s="20">
        <f t="shared" si="6"/>
        <v>-14059.82</v>
      </c>
      <c r="I29" s="19">
        <f t="shared" si="2"/>
        <v>-0.36615239739137817</v>
      </c>
      <c r="J29" s="42" t="s">
        <v>265</v>
      </c>
      <c r="K29" s="90" t="s">
        <v>266</v>
      </c>
      <c r="L29" s="97"/>
      <c r="M29" s="97"/>
      <c r="N29" s="97"/>
      <c r="O29" s="97"/>
      <c r="P29" s="97"/>
      <c r="Q29" s="97"/>
      <c r="R29" s="97"/>
      <c r="S29" s="97"/>
    </row>
    <row r="30" spans="1:19" ht="52.9">
      <c r="A30" s="28" t="str">
        <v>Greenfield USD - Greenfield MS</v>
      </c>
      <c r="B30" s="29" t="str">
        <v>CA</v>
      </c>
      <c r="C30" s="24">
        <v>24096</v>
      </c>
      <c r="D30" s="13">
        <v>22207</v>
      </c>
      <c r="E30" s="13">
        <f t="shared" si="4"/>
        <v>1889</v>
      </c>
      <c r="F30" s="14">
        <f t="shared" si="5"/>
        <v>8.5063268338812087E-2</v>
      </c>
      <c r="G30" s="15">
        <v>26177.669000000002</v>
      </c>
      <c r="H30" s="15">
        <f t="shared" si="6"/>
        <v>-2081.6690000000017</v>
      </c>
      <c r="I30" s="16">
        <f t="shared" si="2"/>
        <v>-7.9520793085129216E-2</v>
      </c>
      <c r="J30" s="41" t="s">
        <v>267</v>
      </c>
      <c r="K30" s="88" t="s">
        <v>268</v>
      </c>
      <c r="L30" s="98" t="s">
        <v>269</v>
      </c>
      <c r="M30" s="98" t="s">
        <v>270</v>
      </c>
      <c r="N30" s="97"/>
      <c r="O30" s="97"/>
      <c r="P30" s="97"/>
      <c r="Q30" s="97"/>
      <c r="R30" s="97"/>
      <c r="S30" s="97"/>
    </row>
    <row r="31" spans="1:19" ht="100.9">
      <c r="A31" s="30" t="str">
        <v>Greenfield USD - Horizon ES</v>
      </c>
      <c r="B31" s="31" t="str">
        <v>CA</v>
      </c>
      <c r="C31" s="11">
        <v>37129</v>
      </c>
      <c r="D31" s="18">
        <v>35670</v>
      </c>
      <c r="E31" s="18">
        <f t="shared" si="4"/>
        <v>1459</v>
      </c>
      <c r="F31" s="19">
        <f t="shared" si="5"/>
        <v>4.0902719372021307E-2</v>
      </c>
      <c r="G31" s="20">
        <v>39744.47</v>
      </c>
      <c r="H31" s="20">
        <f t="shared" si="6"/>
        <v>-2615.4700000000012</v>
      </c>
      <c r="I31" s="19">
        <f t="shared" si="2"/>
        <v>-6.5807142477934691E-2</v>
      </c>
      <c r="J31" s="42" t="s">
        <v>271</v>
      </c>
      <c r="K31" s="90" t="s">
        <v>272</v>
      </c>
      <c r="L31" s="98" t="s">
        <v>273</v>
      </c>
      <c r="M31" s="97"/>
      <c r="N31" s="97"/>
      <c r="O31" s="97"/>
      <c r="P31" s="97"/>
      <c r="Q31" s="97"/>
      <c r="R31" s="97"/>
      <c r="S31" s="97"/>
    </row>
    <row r="32" spans="1:19" ht="15.6">
      <c r="A32" s="28" t="str">
        <v>Greenfield USD - McKee MS</v>
      </c>
      <c r="B32" s="29" t="str">
        <v>CA</v>
      </c>
      <c r="C32" s="24">
        <v>18174</v>
      </c>
      <c r="D32" s="13">
        <v>17477</v>
      </c>
      <c r="E32" s="13">
        <f t="shared" si="4"/>
        <v>697</v>
      </c>
      <c r="F32" s="14">
        <f t="shared" si="5"/>
        <v>3.9880986439320247E-2</v>
      </c>
      <c r="G32" s="15">
        <v>24293.39</v>
      </c>
      <c r="H32" s="15">
        <f t="shared" si="6"/>
        <v>-6119.3899999999994</v>
      </c>
      <c r="I32" s="16">
        <f t="shared" si="2"/>
        <v>-0.25189526863068512</v>
      </c>
      <c r="J32" s="41" t="s">
        <v>274</v>
      </c>
      <c r="K32" s="41"/>
      <c r="L32" s="97"/>
      <c r="M32" s="97"/>
      <c r="N32" s="97"/>
      <c r="O32" s="97"/>
      <c r="P32" s="97"/>
      <c r="Q32" s="97"/>
      <c r="R32" s="97"/>
      <c r="S32" s="97"/>
    </row>
    <row r="33" spans="1:19" ht="15.6">
      <c r="A33" s="30" t="str">
        <v>Greenfield USD - Plantation ES</v>
      </c>
      <c r="B33" s="31" t="str">
        <v>CA</v>
      </c>
      <c r="C33" s="11">
        <v>16955</v>
      </c>
      <c r="D33" s="18">
        <v>16271</v>
      </c>
      <c r="E33" s="18">
        <f t="shared" si="4"/>
        <v>684</v>
      </c>
      <c r="F33" s="19">
        <f t="shared" si="5"/>
        <v>4.203798168520681E-2</v>
      </c>
      <c r="G33" s="20">
        <v>17353.740000000002</v>
      </c>
      <c r="H33" s="20">
        <f t="shared" si="6"/>
        <v>-398.7400000000016</v>
      </c>
      <c r="I33" s="19">
        <f t="shared" si="2"/>
        <v>-2.2977179558988526E-2</v>
      </c>
      <c r="J33" s="42"/>
      <c r="K33" s="43"/>
      <c r="L33" s="97"/>
      <c r="M33" s="97"/>
      <c r="N33" s="97"/>
      <c r="O33" s="97"/>
      <c r="P33" s="97"/>
      <c r="Q33" s="97"/>
      <c r="R33" s="97"/>
      <c r="S33" s="97"/>
    </row>
    <row r="34" spans="1:19" ht="57.6">
      <c r="A34" s="28" t="str">
        <v>Greenfield USD - Planz ES</v>
      </c>
      <c r="B34" s="29" t="str">
        <v>CA</v>
      </c>
      <c r="C34" s="24">
        <v>6726</v>
      </c>
      <c r="D34" s="13">
        <v>6438</v>
      </c>
      <c r="E34" s="13">
        <f t="shared" si="4"/>
        <v>288</v>
      </c>
      <c r="F34" s="14">
        <f t="shared" si="5"/>
        <v>4.4734389561975771E-2</v>
      </c>
      <c r="G34" s="15">
        <v>20901.689999999999</v>
      </c>
      <c r="H34" s="15">
        <f t="shared" si="6"/>
        <v>-14175.689999999999</v>
      </c>
      <c r="I34" s="16">
        <f t="shared" si="2"/>
        <v>-0.67820783869629675</v>
      </c>
      <c r="J34" s="41" t="s">
        <v>275</v>
      </c>
      <c r="K34" s="88" t="s">
        <v>276</v>
      </c>
      <c r="L34" s="98" t="s">
        <v>277</v>
      </c>
      <c r="M34" s="97"/>
      <c r="N34" s="97"/>
      <c r="O34" s="97"/>
      <c r="P34" s="97"/>
      <c r="Q34" s="97"/>
      <c r="R34" s="97"/>
      <c r="S34" s="97"/>
    </row>
    <row r="35" spans="1:19" ht="43.15">
      <c r="A35" s="30" t="str">
        <v>Greenfield USD - Raffaello Palla ES</v>
      </c>
      <c r="B35" s="31" t="str">
        <v>CA</v>
      </c>
      <c r="C35" s="11">
        <v>25512</v>
      </c>
      <c r="D35" s="18">
        <v>23739</v>
      </c>
      <c r="E35" s="18">
        <f t="shared" si="4"/>
        <v>1773</v>
      </c>
      <c r="F35" s="19">
        <f t="shared" si="5"/>
        <v>7.4687223556173382E-2</v>
      </c>
      <c r="G35" s="20">
        <v>43062.63</v>
      </c>
      <c r="H35" s="20">
        <f t="shared" si="6"/>
        <v>-17550.629999999997</v>
      </c>
      <c r="I35" s="19">
        <f t="shared" si="2"/>
        <v>-0.40756056933819412</v>
      </c>
      <c r="J35" s="54" t="s">
        <v>278</v>
      </c>
      <c r="K35" s="90" t="s">
        <v>187</v>
      </c>
      <c r="L35" s="97"/>
      <c r="M35" s="97"/>
      <c r="N35" s="97"/>
      <c r="O35" s="97"/>
      <c r="P35" s="97"/>
      <c r="Q35" s="97"/>
      <c r="R35" s="97"/>
      <c r="S35" s="97"/>
    </row>
    <row r="36" spans="1:19" ht="15.6">
      <c r="A36" s="28" t="str">
        <v>Greenfield USD - Valle Verde ES</v>
      </c>
      <c r="B36" s="29" t="str">
        <v>CA</v>
      </c>
      <c r="C36" s="24">
        <v>42399</v>
      </c>
      <c r="D36" s="13">
        <v>40587</v>
      </c>
      <c r="E36" s="13">
        <f t="shared" si="4"/>
        <v>1812</v>
      </c>
      <c r="F36" s="14">
        <f t="shared" si="5"/>
        <v>4.4644837016778773E-2</v>
      </c>
      <c r="G36" s="15">
        <v>40204.050000000003</v>
      </c>
      <c r="H36" s="15">
        <f t="shared" si="6"/>
        <v>2194.9499999999971</v>
      </c>
      <c r="I36" s="16">
        <f t="shared" si="2"/>
        <v>5.4595246001335612E-2</v>
      </c>
      <c r="J36" s="41"/>
      <c r="K36" s="41"/>
      <c r="L36" s="97"/>
      <c r="M36" s="97"/>
      <c r="N36" s="97"/>
      <c r="O36" s="97"/>
      <c r="P36" s="97"/>
      <c r="Q36" s="97"/>
      <c r="R36" s="97"/>
      <c r="S36" s="97"/>
    </row>
    <row r="37" spans="1:19" ht="28.9">
      <c r="A37" s="30" t="str">
        <v>Greenfield USD - W.A. Kendrick ES</v>
      </c>
      <c r="B37" s="31" t="str">
        <v>CA</v>
      </c>
      <c r="C37" s="11">
        <v>0</v>
      </c>
      <c r="D37" s="18" t="s">
        <v>24</v>
      </c>
      <c r="E37" s="18" t="str">
        <f t="shared" si="4"/>
        <v/>
      </c>
      <c r="F37" s="19" t="str">
        <f t="shared" si="5"/>
        <v/>
      </c>
      <c r="G37" s="20">
        <v>15487.84</v>
      </c>
      <c r="H37" s="20">
        <f t="shared" si="6"/>
        <v>-15487.84</v>
      </c>
      <c r="I37" s="19">
        <f t="shared" si="2"/>
        <v>-1</v>
      </c>
      <c r="J37" s="42" t="s">
        <v>131</v>
      </c>
      <c r="K37" s="90" t="s">
        <v>50</v>
      </c>
      <c r="L37" s="97"/>
      <c r="M37" s="97"/>
      <c r="N37" s="97"/>
      <c r="O37" s="97"/>
      <c r="P37" s="97"/>
      <c r="Q37" s="97"/>
      <c r="R37" s="97"/>
      <c r="S37" s="97"/>
    </row>
    <row r="38" spans="1:19" ht="57.6">
      <c r="A38" s="28" t="str">
        <v>Muroc Joint USD - Boron HS</v>
      </c>
      <c r="B38" s="29" t="str">
        <v>CA</v>
      </c>
      <c r="C38" s="24">
        <v>0</v>
      </c>
      <c r="D38" s="13" t="s">
        <v>24</v>
      </c>
      <c r="E38" s="13" t="str">
        <f t="shared" si="4"/>
        <v/>
      </c>
      <c r="F38" s="14" t="str">
        <f t="shared" si="5"/>
        <v/>
      </c>
      <c r="G38" s="15">
        <v>37116.29</v>
      </c>
      <c r="H38" s="15">
        <f t="shared" si="6"/>
        <v>-37116.29</v>
      </c>
      <c r="I38" s="16">
        <f t="shared" si="2"/>
        <v>-1</v>
      </c>
      <c r="J38" s="41" t="s">
        <v>51</v>
      </c>
      <c r="K38" s="88" t="s">
        <v>132</v>
      </c>
      <c r="L38" s="98" t="s">
        <v>133</v>
      </c>
      <c r="M38" s="98" t="s">
        <v>53</v>
      </c>
      <c r="N38" s="98" t="s">
        <v>54</v>
      </c>
      <c r="O38" s="97"/>
      <c r="P38" s="97"/>
      <c r="Q38" s="97"/>
      <c r="R38" s="97"/>
      <c r="S38" s="97"/>
    </row>
    <row r="39" spans="1:19" ht="15.6">
      <c r="A39" s="30" t="str">
        <v>Muroc Joint USD - W. Boron ES</v>
      </c>
      <c r="B39" s="31" t="str">
        <v>CA</v>
      </c>
      <c r="C39" s="11">
        <v>14149</v>
      </c>
      <c r="D39" s="18">
        <v>13663</v>
      </c>
      <c r="E39" s="18">
        <f t="shared" si="4"/>
        <v>486</v>
      </c>
      <c r="F39" s="19">
        <f t="shared" si="5"/>
        <v>3.5570518919710165E-2</v>
      </c>
      <c r="G39" s="20">
        <v>13684.78</v>
      </c>
      <c r="H39" s="20">
        <f t="shared" si="6"/>
        <v>464.21999999999935</v>
      </c>
      <c r="I39" s="19">
        <f t="shared" si="2"/>
        <v>3.392235753881314E-2</v>
      </c>
      <c r="J39" s="42"/>
      <c r="K39" s="43"/>
      <c r="L39" s="97"/>
      <c r="M39" s="97"/>
      <c r="N39" s="97"/>
      <c r="O39" s="97"/>
      <c r="P39" s="97"/>
      <c r="Q39" s="97"/>
      <c r="R39" s="97"/>
      <c r="S39" s="97"/>
    </row>
    <row r="40" spans="1:19" ht="115.15">
      <c r="A40" s="28" t="str">
        <v>Colusa - WTP</v>
      </c>
      <c r="B40" s="29" t="str">
        <v>CA</v>
      </c>
      <c r="C40" s="24">
        <v>0</v>
      </c>
      <c r="D40" s="13" t="s">
        <v>24</v>
      </c>
      <c r="E40" s="13" t="str">
        <f t="shared" si="4"/>
        <v/>
      </c>
      <c r="F40" s="14" t="str">
        <f t="shared" si="5"/>
        <v/>
      </c>
      <c r="G40" s="15">
        <v>54361.94</v>
      </c>
      <c r="H40" s="15">
        <f t="shared" si="6"/>
        <v>-54361.94</v>
      </c>
      <c r="I40" s="16">
        <f t="shared" si="2"/>
        <v>-1</v>
      </c>
      <c r="J40" s="41" t="s">
        <v>279</v>
      </c>
      <c r="K40" s="88" t="s">
        <v>280</v>
      </c>
      <c r="L40" s="98" t="s">
        <v>57</v>
      </c>
      <c r="M40" s="98" t="s">
        <v>58</v>
      </c>
      <c r="N40" s="98" t="s">
        <v>59</v>
      </c>
      <c r="O40" s="98" t="s">
        <v>136</v>
      </c>
      <c r="P40" s="98" t="s">
        <v>281</v>
      </c>
      <c r="Q40" s="97"/>
      <c r="R40" s="97"/>
      <c r="S40" s="97"/>
    </row>
    <row r="41" spans="1:19" ht="26.25" customHeight="1">
      <c r="A41" s="30" t="str">
        <v>CDCR-North Kern State Prision</v>
      </c>
      <c r="B41" s="31" t="str">
        <v>CA</v>
      </c>
      <c r="C41" s="11">
        <v>114921</v>
      </c>
      <c r="D41" s="18">
        <v>114921</v>
      </c>
      <c r="E41" s="18">
        <f t="shared" si="4"/>
        <v>0</v>
      </c>
      <c r="F41" s="19">
        <f t="shared" si="5"/>
        <v>0</v>
      </c>
      <c r="G41" s="20">
        <v>209926.89</v>
      </c>
      <c r="H41" s="20">
        <f t="shared" si="6"/>
        <v>-95005.890000000014</v>
      </c>
      <c r="I41" s="19">
        <f t="shared" si="2"/>
        <v>-0.4525665578144849</v>
      </c>
      <c r="J41" s="54" t="s">
        <v>282</v>
      </c>
      <c r="K41" s="90" t="s">
        <v>283</v>
      </c>
      <c r="L41" s="97"/>
      <c r="M41" s="97"/>
      <c r="N41" s="97"/>
      <c r="O41" s="97"/>
      <c r="P41" s="97"/>
      <c r="Q41" s="97"/>
      <c r="R41" s="97"/>
      <c r="S41" s="97"/>
    </row>
    <row r="42" spans="1:19" ht="34.5" customHeight="1">
      <c r="A42" s="28" t="str">
        <v>Muroc Joint USD - District Office</v>
      </c>
      <c r="B42" s="29" t="str">
        <v>CA</v>
      </c>
      <c r="C42" s="24">
        <v>7125</v>
      </c>
      <c r="D42" s="13">
        <v>6887</v>
      </c>
      <c r="E42" s="13">
        <f t="shared" si="4"/>
        <v>238</v>
      </c>
      <c r="F42" s="14">
        <f t="shared" si="5"/>
        <v>3.4557862639756062E-2</v>
      </c>
      <c r="G42" s="15">
        <v>9656.11</v>
      </c>
      <c r="H42" s="15">
        <f t="shared" si="6"/>
        <v>-2531.1100000000006</v>
      </c>
      <c r="I42" s="16">
        <f t="shared" si="2"/>
        <v>-0.26212522433982222</v>
      </c>
      <c r="J42" s="41" t="s">
        <v>284</v>
      </c>
      <c r="K42" s="41"/>
      <c r="L42" s="97"/>
      <c r="M42" s="97"/>
      <c r="N42" s="97"/>
      <c r="O42" s="97"/>
      <c r="P42" s="97"/>
      <c r="Q42" s="97"/>
      <c r="R42" s="97"/>
      <c r="S42" s="97"/>
    </row>
    <row r="43" spans="1:19" ht="109.5" customHeight="1">
      <c r="A43" s="30" t="str">
        <v>Whole Foods - Manhattan Beach</v>
      </c>
      <c r="B43" s="31" t="str">
        <v>CA</v>
      </c>
      <c r="C43" s="11">
        <v>17007</v>
      </c>
      <c r="D43" s="18">
        <v>16746</v>
      </c>
      <c r="E43" s="18">
        <f t="shared" si="4"/>
        <v>261</v>
      </c>
      <c r="F43" s="19">
        <f t="shared" si="5"/>
        <v>1.5585811537083483E-2</v>
      </c>
      <c r="G43" s="20">
        <v>21784.09</v>
      </c>
      <c r="H43" s="20">
        <f t="shared" si="6"/>
        <v>-4777.09</v>
      </c>
      <c r="I43" s="19">
        <f t="shared" si="2"/>
        <v>-0.21929261217705215</v>
      </c>
      <c r="J43" s="42" t="s">
        <v>285</v>
      </c>
      <c r="K43" s="90" t="s">
        <v>286</v>
      </c>
      <c r="L43" s="98" t="s">
        <v>287</v>
      </c>
      <c r="M43" s="98" t="s">
        <v>143</v>
      </c>
      <c r="N43" s="97"/>
      <c r="O43" s="97"/>
      <c r="P43" s="97"/>
      <c r="Q43" s="97"/>
      <c r="R43" s="97"/>
      <c r="S43" s="97"/>
    </row>
    <row r="44" spans="1:19" ht="28.9">
      <c r="A44" s="28" t="str">
        <v>Pioneer USD - Frontier ES</v>
      </c>
      <c r="B44" s="29" t="str">
        <v>CA</v>
      </c>
      <c r="C44" s="24">
        <v>30397</v>
      </c>
      <c r="D44" s="13" t="s">
        <v>24</v>
      </c>
      <c r="E44" s="13" t="str">
        <f t="shared" si="4"/>
        <v/>
      </c>
      <c r="F44" s="14" t="str">
        <f t="shared" si="5"/>
        <v/>
      </c>
      <c r="G44" s="15">
        <v>35194.19</v>
      </c>
      <c r="H44" s="15">
        <f t="shared" si="6"/>
        <v>-4797.1900000000023</v>
      </c>
      <c r="I44" s="16">
        <f t="shared" si="2"/>
        <v>-0.13630630510320033</v>
      </c>
      <c r="J44" s="41" t="s">
        <v>144</v>
      </c>
      <c r="K44" s="88" t="s">
        <v>66</v>
      </c>
      <c r="L44" s="97"/>
      <c r="M44" s="97"/>
      <c r="N44" s="97"/>
      <c r="O44" s="97"/>
      <c r="P44" s="97"/>
      <c r="Q44" s="97"/>
      <c r="R44" s="97"/>
      <c r="S44" s="97"/>
    </row>
    <row r="45" spans="1:19" ht="86.45">
      <c r="A45" s="30" t="str">
        <v>Pioneer USD - Pioneer ES</v>
      </c>
      <c r="B45" s="31" t="str">
        <v>CA</v>
      </c>
      <c r="C45" s="11">
        <v>19143</v>
      </c>
      <c r="D45" s="18" t="s">
        <v>24</v>
      </c>
      <c r="E45" s="18" t="str">
        <f t="shared" si="4"/>
        <v/>
      </c>
      <c r="F45" s="19" t="str">
        <f t="shared" si="5"/>
        <v/>
      </c>
      <c r="G45" s="20">
        <v>35767.49</v>
      </c>
      <c r="H45" s="20">
        <f t="shared" si="6"/>
        <v>-16624.489999999998</v>
      </c>
      <c r="I45" s="19">
        <f t="shared" si="2"/>
        <v>-0.46479330811303782</v>
      </c>
      <c r="J45" s="42" t="s">
        <v>197</v>
      </c>
      <c r="K45" s="92" t="s">
        <v>288</v>
      </c>
      <c r="L45" s="98" t="s">
        <v>69</v>
      </c>
      <c r="M45" s="98" t="s">
        <v>70</v>
      </c>
      <c r="N45" s="98" t="s">
        <v>71</v>
      </c>
      <c r="O45" s="97"/>
      <c r="P45" s="97"/>
      <c r="Q45" s="97"/>
      <c r="R45" s="97"/>
      <c r="S45" s="97"/>
    </row>
    <row r="46" spans="1:19" ht="43.15">
      <c r="A46" s="28" t="str">
        <v>Pioneer USD - Pioneer MS</v>
      </c>
      <c r="B46" s="29" t="str">
        <v>CA</v>
      </c>
      <c r="C46" s="24">
        <v>42437</v>
      </c>
      <c r="D46" s="13" t="s">
        <v>24</v>
      </c>
      <c r="E46" s="13" t="str">
        <f t="shared" si="4"/>
        <v/>
      </c>
      <c r="F46" s="14" t="str">
        <f t="shared" si="5"/>
        <v/>
      </c>
      <c r="G46" s="15">
        <v>47914.68</v>
      </c>
      <c r="H46" s="15">
        <f t="shared" si="6"/>
        <v>-5477.68</v>
      </c>
      <c r="I46" s="16">
        <f t="shared" si="2"/>
        <v>-0.11432153987045307</v>
      </c>
      <c r="J46" s="41" t="s">
        <v>72</v>
      </c>
      <c r="K46" s="88" t="s">
        <v>289</v>
      </c>
      <c r="L46" s="98" t="s">
        <v>74</v>
      </c>
      <c r="M46" s="97"/>
      <c r="N46" s="97"/>
      <c r="O46" s="97"/>
      <c r="P46" s="97"/>
      <c r="Q46" s="97"/>
      <c r="R46" s="97"/>
      <c r="S46" s="97"/>
    </row>
    <row r="47" spans="1:19" ht="184.5" customHeight="1">
      <c r="A47" s="30" t="str">
        <v>Kingsburg Joint UHSD - Kingsburg HS</v>
      </c>
      <c r="B47" s="31" t="str">
        <v>CA</v>
      </c>
      <c r="C47" s="11">
        <v>82857</v>
      </c>
      <c r="D47" s="18">
        <v>79179</v>
      </c>
      <c r="E47" s="18">
        <f t="shared" si="4"/>
        <v>3678</v>
      </c>
      <c r="F47" s="19">
        <f t="shared" si="5"/>
        <v>4.6451710680862353E-2</v>
      </c>
      <c r="G47" s="20">
        <v>90441.64</v>
      </c>
      <c r="H47" s="20">
        <f t="shared" si="6"/>
        <v>-7584.6399999999994</v>
      </c>
      <c r="I47" s="19">
        <f t="shared" si="2"/>
        <v>-8.3862256367752727E-2</v>
      </c>
      <c r="J47" s="53" t="s">
        <v>290</v>
      </c>
      <c r="K47" s="90" t="s">
        <v>291</v>
      </c>
      <c r="L47" s="98" t="s">
        <v>77</v>
      </c>
      <c r="M47" s="98" t="s">
        <v>149</v>
      </c>
      <c r="N47" s="98" t="s">
        <v>150</v>
      </c>
      <c r="O47" s="98" t="s">
        <v>78</v>
      </c>
      <c r="P47" s="98" t="s">
        <v>149</v>
      </c>
      <c r="Q47" s="98" t="s">
        <v>292</v>
      </c>
      <c r="R47" s="97"/>
      <c r="S47" s="97"/>
    </row>
    <row r="48" spans="1:19" ht="86.45">
      <c r="A48" s="28" t="str">
        <v>CADRB</v>
      </c>
      <c r="B48" s="29" t="str">
        <v>CA</v>
      </c>
      <c r="C48" s="24">
        <v>0</v>
      </c>
      <c r="D48" s="13" t="s">
        <v>24</v>
      </c>
      <c r="E48" s="13" t="str">
        <f t="shared" si="4"/>
        <v/>
      </c>
      <c r="F48" s="14" t="str">
        <f t="shared" si="5"/>
        <v/>
      </c>
      <c r="G48" s="15">
        <v>791823</v>
      </c>
      <c r="H48" s="15">
        <f t="shared" si="6"/>
        <v>-791823</v>
      </c>
      <c r="I48" s="16">
        <f t="shared" si="2"/>
        <v>-1</v>
      </c>
      <c r="J48" s="41" t="s">
        <v>293</v>
      </c>
      <c r="K48" s="88" t="s">
        <v>294</v>
      </c>
      <c r="L48" s="98" t="s">
        <v>152</v>
      </c>
      <c r="M48" s="98" t="s">
        <v>295</v>
      </c>
      <c r="N48" s="98" t="s">
        <v>81</v>
      </c>
      <c r="O48" s="98" t="s">
        <v>295</v>
      </c>
      <c r="P48" s="98" t="s">
        <v>82</v>
      </c>
      <c r="Q48" s="97"/>
      <c r="R48" s="97"/>
      <c r="S48" s="97"/>
    </row>
    <row r="49" spans="1:19" ht="45.75" customHeight="1">
      <c r="A49" s="30" t="str">
        <v>CDCR-CA State Prison LA County</v>
      </c>
      <c r="B49" s="31" t="str">
        <v>CA</v>
      </c>
      <c r="C49" s="11">
        <v>312836</v>
      </c>
      <c r="D49" s="18">
        <v>302364</v>
      </c>
      <c r="E49" s="18">
        <f t="shared" si="4"/>
        <v>10472</v>
      </c>
      <c r="F49" s="19">
        <f t="shared" si="5"/>
        <v>3.4633752695426706E-2</v>
      </c>
      <c r="G49" s="20">
        <v>501677.37</v>
      </c>
      <c r="H49" s="20">
        <f t="shared" si="6"/>
        <v>-188841.37</v>
      </c>
      <c r="I49" s="19">
        <f t="shared" si="2"/>
        <v>-0.37641994894049136</v>
      </c>
      <c r="J49" s="42" t="s">
        <v>200</v>
      </c>
      <c r="K49" s="87" t="s">
        <v>201</v>
      </c>
      <c r="L49" s="97"/>
      <c r="M49" s="97"/>
      <c r="N49" s="97"/>
      <c r="O49" s="97"/>
      <c r="P49" s="97"/>
      <c r="Q49" s="97"/>
      <c r="R49" s="97"/>
      <c r="S49" s="97"/>
    </row>
    <row r="50" spans="1:19" ht="86.25" customHeight="1">
      <c r="A50" s="28" t="str">
        <v>Central USD Akers ES</v>
      </c>
      <c r="B50" s="29" t="str">
        <v>CA</v>
      </c>
      <c r="C50" s="24">
        <v>37590</v>
      </c>
      <c r="D50" s="13">
        <v>38998</v>
      </c>
      <c r="E50" s="13">
        <f t="shared" si="4"/>
        <v>-1408</v>
      </c>
      <c r="F50" s="14">
        <f t="shared" si="5"/>
        <v>-3.6104415611056977E-2</v>
      </c>
      <c r="G50" s="15">
        <v>38046.050000000003</v>
      </c>
      <c r="H50" s="15">
        <f t="shared" si="6"/>
        <v>-456.05000000000291</v>
      </c>
      <c r="I50" s="16">
        <f t="shared" si="2"/>
        <v>-1.1986789693016827E-2</v>
      </c>
      <c r="J50" s="41" t="s">
        <v>296</v>
      </c>
      <c r="K50" s="88" t="s">
        <v>203</v>
      </c>
      <c r="L50" s="98" t="s">
        <v>204</v>
      </c>
      <c r="M50" s="97"/>
      <c r="N50" s="97"/>
      <c r="O50" s="97"/>
      <c r="P50" s="97"/>
      <c r="Q50" s="97"/>
      <c r="R50" s="97"/>
      <c r="S50" s="97"/>
    </row>
    <row r="51" spans="1:19" ht="69.75" customHeight="1">
      <c r="A51" s="30" t="str">
        <v>CUSD - District Office</v>
      </c>
      <c r="B51" s="31" t="str">
        <v>CA</v>
      </c>
      <c r="C51" s="11">
        <v>21592</v>
      </c>
      <c r="D51" s="18">
        <v>20775</v>
      </c>
      <c r="E51" s="18">
        <f t="shared" si="4"/>
        <v>817</v>
      </c>
      <c r="F51" s="19">
        <f t="shared" si="5"/>
        <v>3.9326113116726832E-2</v>
      </c>
      <c r="G51" s="20">
        <v>31419.67</v>
      </c>
      <c r="H51" s="20">
        <f t="shared" si="6"/>
        <v>-9827.6699999999983</v>
      </c>
      <c r="I51" s="19">
        <f t="shared" si="2"/>
        <v>-0.31278718076924422</v>
      </c>
      <c r="J51" s="42" t="s">
        <v>297</v>
      </c>
      <c r="K51" s="90" t="s">
        <v>298</v>
      </c>
      <c r="L51" s="98" t="s">
        <v>299</v>
      </c>
      <c r="M51" s="98" t="s">
        <v>209</v>
      </c>
      <c r="N51" s="97"/>
      <c r="O51" s="97"/>
      <c r="P51" s="97"/>
      <c r="Q51" s="97"/>
      <c r="R51" s="97"/>
      <c r="S51" s="97"/>
    </row>
    <row r="52" spans="1:19" ht="111" customHeight="1">
      <c r="A52" s="28" t="str">
        <v>Parlier - WTP</v>
      </c>
      <c r="B52" s="29" t="str">
        <v>CA</v>
      </c>
      <c r="C52" s="24">
        <v>56290</v>
      </c>
      <c r="D52" s="13">
        <v>52027</v>
      </c>
      <c r="E52" s="13">
        <f t="shared" si="4"/>
        <v>4263</v>
      </c>
      <c r="F52" s="14">
        <f t="shared" si="5"/>
        <v>8.1938224383493186E-2</v>
      </c>
      <c r="G52" s="15">
        <v>91735.31</v>
      </c>
      <c r="H52" s="15">
        <f t="shared" si="6"/>
        <v>-35445.31</v>
      </c>
      <c r="I52" s="16">
        <f t="shared" si="2"/>
        <v>-0.38638676862813237</v>
      </c>
      <c r="J52" s="41" t="s">
        <v>300</v>
      </c>
      <c r="K52" s="88" t="s">
        <v>301</v>
      </c>
      <c r="L52" s="98" t="s">
        <v>302</v>
      </c>
      <c r="M52" s="97"/>
      <c r="N52" s="97"/>
      <c r="O52" s="97"/>
      <c r="P52" s="97"/>
      <c r="Q52" s="97"/>
      <c r="R52" s="97"/>
      <c r="S52" s="97"/>
    </row>
    <row r="53" spans="1:19" ht="72">
      <c r="A53" s="30" t="str">
        <v>Snowline SD - Quail Valley MS</v>
      </c>
      <c r="B53" s="31" t="str">
        <v>CA</v>
      </c>
      <c r="C53" s="11">
        <v>39517</v>
      </c>
      <c r="D53" s="18">
        <v>33704</v>
      </c>
      <c r="E53" s="18">
        <f t="shared" si="4"/>
        <v>5813</v>
      </c>
      <c r="F53" s="19">
        <f t="shared" si="5"/>
        <v>0.17247211013529551</v>
      </c>
      <c r="G53" s="20">
        <v>43263.19</v>
      </c>
      <c r="H53" s="20">
        <f t="shared" si="6"/>
        <v>-3746.1900000000023</v>
      </c>
      <c r="I53" s="19">
        <f t="shared" si="2"/>
        <v>-8.6590702165050756E-2</v>
      </c>
      <c r="J53" s="42" t="s">
        <v>303</v>
      </c>
      <c r="K53" s="90" t="s">
        <v>304</v>
      </c>
      <c r="L53" s="98" t="s">
        <v>305</v>
      </c>
      <c r="M53" s="97"/>
      <c r="N53" s="97"/>
      <c r="O53" s="97"/>
      <c r="P53" s="97"/>
      <c r="Q53" s="97"/>
      <c r="R53" s="97"/>
      <c r="S53" s="97"/>
    </row>
    <row r="54" spans="1:19" ht="15.6">
      <c r="A54" s="28" t="str">
        <v>Snowline SD - Serrano HS - Middle Lot</v>
      </c>
      <c r="B54" s="29" t="str">
        <v>CA</v>
      </c>
      <c r="C54" s="24">
        <v>34848</v>
      </c>
      <c r="D54" s="13">
        <v>34831</v>
      </c>
      <c r="E54" s="13">
        <f t="shared" si="4"/>
        <v>17</v>
      </c>
      <c r="F54" s="14">
        <f t="shared" si="5"/>
        <v>4.880709712612328E-4</v>
      </c>
      <c r="G54" s="15">
        <v>55029.14</v>
      </c>
      <c r="H54" s="15">
        <f t="shared" si="6"/>
        <v>-20181.14</v>
      </c>
      <c r="I54" s="16">
        <f t="shared" si="2"/>
        <v>-0.36673551503803259</v>
      </c>
      <c r="J54" s="41" t="s">
        <v>306</v>
      </c>
      <c r="K54" s="41"/>
      <c r="L54" s="97"/>
      <c r="M54" s="97"/>
      <c r="N54" s="97"/>
      <c r="O54" s="97"/>
      <c r="P54" s="97"/>
      <c r="Q54" s="97"/>
      <c r="R54" s="97"/>
      <c r="S54" s="97"/>
    </row>
    <row r="55" spans="1:19" ht="24.75" customHeight="1">
      <c r="A55" s="30" t="str">
        <v>Snowline SD - Pinon Hills ES</v>
      </c>
      <c r="B55" s="31" t="str">
        <v>CA</v>
      </c>
      <c r="C55" s="11">
        <v>12845</v>
      </c>
      <c r="D55" s="18">
        <v>12825</v>
      </c>
      <c r="E55" s="18">
        <f t="shared" si="4"/>
        <v>20</v>
      </c>
      <c r="F55" s="19">
        <f t="shared" si="5"/>
        <v>1.5594541910331384E-3</v>
      </c>
      <c r="G55" s="20">
        <v>25215.87</v>
      </c>
      <c r="H55" s="20">
        <f t="shared" si="6"/>
        <v>-12370.869999999999</v>
      </c>
      <c r="I55" s="19">
        <f t="shared" si="2"/>
        <v>-0.49059857938671159</v>
      </c>
      <c r="J55" s="54" t="s">
        <v>307</v>
      </c>
      <c r="K55" s="92" t="s">
        <v>308</v>
      </c>
      <c r="L55" s="97"/>
      <c r="M55" s="97"/>
      <c r="N55" s="97"/>
      <c r="O55" s="97"/>
      <c r="P55" s="97"/>
      <c r="Q55" s="97"/>
      <c r="R55" s="97"/>
      <c r="S55" s="97"/>
    </row>
    <row r="56" spans="1:19" ht="15.6">
      <c r="A56" s="28" t="str">
        <v>Ramona - Santa Maria WTP</v>
      </c>
      <c r="B56" s="29" t="str">
        <v>CA</v>
      </c>
      <c r="C56" s="24">
        <v>67314</v>
      </c>
      <c r="D56" s="13">
        <v>66838</v>
      </c>
      <c r="E56" s="13">
        <f t="shared" si="4"/>
        <v>476</v>
      </c>
      <c r="F56" s="14">
        <f t="shared" si="5"/>
        <v>7.1216972380980879E-3</v>
      </c>
      <c r="G56" s="15">
        <v>83468.89</v>
      </c>
      <c r="H56" s="15">
        <f t="shared" si="6"/>
        <v>-16154.89</v>
      </c>
      <c r="I56" s="16">
        <f t="shared" si="2"/>
        <v>-0.19354384609643185</v>
      </c>
      <c r="J56" s="41" t="s">
        <v>306</v>
      </c>
      <c r="K56" s="41"/>
      <c r="L56" s="97"/>
      <c r="M56" s="97"/>
      <c r="N56" s="97"/>
      <c r="O56" s="97"/>
      <c r="P56" s="97"/>
      <c r="Q56" s="97"/>
      <c r="R56" s="97"/>
      <c r="S56" s="97"/>
    </row>
    <row r="57" spans="1:19" ht="56.25" customHeight="1">
      <c r="A57" s="30" t="str">
        <v>Kohls - Redding</v>
      </c>
      <c r="B57" s="31" t="str">
        <v>CA</v>
      </c>
      <c r="C57" s="11">
        <v>507</v>
      </c>
      <c r="D57" s="18" t="s">
        <v>24</v>
      </c>
      <c r="E57" s="18" t="str">
        <f t="shared" si="4"/>
        <v/>
      </c>
      <c r="F57" s="19" t="str">
        <f t="shared" si="5"/>
        <v/>
      </c>
      <c r="G57" s="20">
        <v>31544.14</v>
      </c>
      <c r="H57" s="20">
        <f t="shared" si="6"/>
        <v>-31037.14</v>
      </c>
      <c r="I57" s="19">
        <f t="shared" si="2"/>
        <v>-0.98392728411679631</v>
      </c>
      <c r="J57" s="54" t="s">
        <v>309</v>
      </c>
      <c r="K57" s="90" t="s">
        <v>218</v>
      </c>
      <c r="L57" s="98" t="s">
        <v>95</v>
      </c>
      <c r="M57" s="98" t="s">
        <v>219</v>
      </c>
      <c r="N57" s="97"/>
      <c r="O57" s="97"/>
      <c r="P57" s="97"/>
      <c r="Q57" s="97"/>
      <c r="R57" s="97"/>
      <c r="S57" s="97"/>
    </row>
    <row r="58" spans="1:19" ht="123" customHeight="1">
      <c r="A58" s="28" t="str">
        <v>Kohls - Salinas</v>
      </c>
      <c r="B58" s="29" t="str">
        <v>CA</v>
      </c>
      <c r="C58" s="24">
        <v>34837</v>
      </c>
      <c r="D58" s="13">
        <v>33148</v>
      </c>
      <c r="E58" s="13">
        <f t="shared" si="4"/>
        <v>1689</v>
      </c>
      <c r="F58" s="14">
        <f t="shared" si="5"/>
        <v>5.0953300349945697E-2</v>
      </c>
      <c r="G58" s="15">
        <v>49956.33</v>
      </c>
      <c r="H58" s="15">
        <f t="shared" si="6"/>
        <v>-15119.330000000002</v>
      </c>
      <c r="I58" s="16">
        <f t="shared" si="2"/>
        <v>-0.30265093532691456</v>
      </c>
      <c r="J58" s="41" t="s">
        <v>310</v>
      </c>
      <c r="K58" s="88" t="s">
        <v>311</v>
      </c>
      <c r="L58" s="98" t="s">
        <v>221</v>
      </c>
      <c r="M58" s="98" t="s">
        <v>158</v>
      </c>
      <c r="N58" s="98" t="s">
        <v>100</v>
      </c>
      <c r="O58" s="98" t="s">
        <v>98</v>
      </c>
      <c r="P58" s="98" t="s">
        <v>312</v>
      </c>
      <c r="Q58" s="97"/>
      <c r="R58" s="97"/>
      <c r="S58" s="97"/>
    </row>
    <row r="59" spans="1:19" ht="201.6">
      <c r="A59" s="30" t="str">
        <v>Kohls - San Bernardino - Central</v>
      </c>
      <c r="B59" s="31" t="str">
        <v>CA</v>
      </c>
      <c r="C59" s="11">
        <v>1201</v>
      </c>
      <c r="D59" s="18">
        <v>1199</v>
      </c>
      <c r="E59" s="18">
        <f t="shared" si="4"/>
        <v>2</v>
      </c>
      <c r="F59" s="19">
        <f t="shared" si="5"/>
        <v>1.6680567139282735E-3</v>
      </c>
      <c r="G59" s="20">
        <v>137860.17000000001</v>
      </c>
      <c r="H59" s="20">
        <f t="shared" si="6"/>
        <v>-136659.17000000001</v>
      </c>
      <c r="I59" s="19">
        <f t="shared" si="2"/>
        <v>-0.99128827419841425</v>
      </c>
      <c r="J59" s="42" t="s">
        <v>313</v>
      </c>
      <c r="K59" s="90" t="s">
        <v>314</v>
      </c>
      <c r="L59" s="98" t="s">
        <v>315</v>
      </c>
      <c r="M59" s="97"/>
      <c r="N59" s="97"/>
      <c r="O59" s="97"/>
      <c r="P59" s="97"/>
      <c r="Q59" s="97"/>
      <c r="R59" s="97"/>
      <c r="S59" s="97"/>
    </row>
    <row r="60" spans="1:19" ht="118.5" customHeight="1">
      <c r="A60" s="28" t="str">
        <v>Kohls - Sonora</v>
      </c>
      <c r="B60" s="29" t="str">
        <v>CA</v>
      </c>
      <c r="C60" s="24">
        <v>29241</v>
      </c>
      <c r="D60" s="13">
        <v>27901</v>
      </c>
      <c r="E60" s="13">
        <f t="shared" si="4"/>
        <v>1340</v>
      </c>
      <c r="F60" s="14">
        <f t="shared" si="5"/>
        <v>4.8026952438980683E-2</v>
      </c>
      <c r="G60" s="15">
        <v>33281.85</v>
      </c>
      <c r="H60" s="15">
        <f t="shared" si="6"/>
        <v>-4040.8499999999985</v>
      </c>
      <c r="I60" s="16">
        <f t="shared" si="2"/>
        <v>-0.12141302241311702</v>
      </c>
      <c r="J60" s="41" t="s">
        <v>159</v>
      </c>
      <c r="K60" s="91" t="s">
        <v>224</v>
      </c>
      <c r="L60" s="98" t="s">
        <v>161</v>
      </c>
      <c r="M60" s="98" t="s">
        <v>103</v>
      </c>
      <c r="N60" s="98" t="s">
        <v>161</v>
      </c>
      <c r="O60" s="98" t="s">
        <v>103</v>
      </c>
      <c r="P60" s="98" t="s">
        <v>161</v>
      </c>
      <c r="Q60" s="97"/>
      <c r="R60" s="97"/>
      <c r="S60" s="97"/>
    </row>
    <row r="61" spans="1:19" ht="15.6">
      <c r="A61" s="30" t="str">
        <v>CUSD - Stratford ES</v>
      </c>
      <c r="B61" s="31" t="str">
        <v>CA</v>
      </c>
      <c r="C61" s="11">
        <v>25704</v>
      </c>
      <c r="D61" s="18">
        <v>24673</v>
      </c>
      <c r="E61" s="18">
        <f t="shared" si="4"/>
        <v>1031</v>
      </c>
      <c r="F61" s="19">
        <f t="shared" si="5"/>
        <v>4.178656831354112E-2</v>
      </c>
      <c r="G61" s="20">
        <v>23724.43</v>
      </c>
      <c r="H61" s="20">
        <f t="shared" si="6"/>
        <v>1979.5699999999997</v>
      </c>
      <c r="I61" s="19">
        <f t="shared" si="2"/>
        <v>8.3440150090012682E-2</v>
      </c>
      <c r="J61" s="42"/>
      <c r="K61" s="43"/>
      <c r="L61" s="97"/>
      <c r="M61" s="97"/>
      <c r="N61" s="97"/>
      <c r="O61" s="97"/>
      <c r="P61" s="97"/>
      <c r="Q61" s="97"/>
      <c r="R61" s="97"/>
      <c r="S61" s="97"/>
    </row>
    <row r="62" spans="1:19" ht="18.75" customHeight="1">
      <c r="A62" s="28" t="str">
        <v>Taft - City Hall</v>
      </c>
      <c r="B62" s="29" t="str">
        <v>CA</v>
      </c>
      <c r="C62" s="24">
        <v>876</v>
      </c>
      <c r="D62" s="13">
        <v>48</v>
      </c>
      <c r="E62" s="13">
        <f t="shared" si="4"/>
        <v>828</v>
      </c>
      <c r="F62" s="14">
        <f t="shared" si="5"/>
        <v>17.25</v>
      </c>
      <c r="G62" s="15">
        <v>9524.2900000000009</v>
      </c>
      <c r="H62" s="15">
        <f t="shared" si="6"/>
        <v>-8648.2900000000009</v>
      </c>
      <c r="I62" s="16">
        <f t="shared" si="2"/>
        <v>-0.90802464015690409</v>
      </c>
      <c r="J62" s="41" t="s">
        <v>316</v>
      </c>
      <c r="K62" s="91" t="s">
        <v>226</v>
      </c>
      <c r="L62" s="97"/>
      <c r="M62" s="97"/>
      <c r="N62" s="97"/>
      <c r="O62" s="97"/>
      <c r="P62" s="97"/>
      <c r="Q62" s="97"/>
      <c r="R62" s="97"/>
      <c r="S62" s="97"/>
    </row>
    <row r="63" spans="1:19" ht="15.6">
      <c r="A63" s="30" t="str">
        <v>Taft - Federal Prison</v>
      </c>
      <c r="B63" s="31" t="str">
        <v>CA</v>
      </c>
      <c r="C63" s="11">
        <v>16199</v>
      </c>
      <c r="D63" s="18">
        <v>16129</v>
      </c>
      <c r="E63" s="18">
        <f t="shared" si="4"/>
        <v>70</v>
      </c>
      <c r="F63" s="19">
        <f t="shared" si="5"/>
        <v>4.3400086800173604E-3</v>
      </c>
      <c r="G63" s="20">
        <v>15175.89</v>
      </c>
      <c r="H63" s="20">
        <f t="shared" si="6"/>
        <v>1023.1100000000006</v>
      </c>
      <c r="I63" s="19">
        <f t="shared" si="2"/>
        <v>6.741680389090858E-2</v>
      </c>
      <c r="J63" s="42"/>
      <c r="K63" s="43"/>
      <c r="L63" s="97"/>
      <c r="M63" s="97"/>
      <c r="N63" s="97"/>
      <c r="O63" s="97"/>
      <c r="P63" s="97"/>
      <c r="Q63" s="97"/>
      <c r="R63" s="97"/>
      <c r="S63" s="97"/>
    </row>
    <row r="64" spans="1:19" ht="15.6">
      <c r="A64" s="28" t="str">
        <v>Taft - Police Department</v>
      </c>
      <c r="B64" s="29" t="str">
        <v>CA</v>
      </c>
      <c r="C64" s="24">
        <v>11295</v>
      </c>
      <c r="D64" s="13">
        <v>11249</v>
      </c>
      <c r="E64" s="13">
        <f t="shared" si="4"/>
        <v>46</v>
      </c>
      <c r="F64" s="14">
        <f t="shared" si="5"/>
        <v>4.0892523779891546E-3</v>
      </c>
      <c r="G64" s="15">
        <v>10899.77</v>
      </c>
      <c r="H64" s="15">
        <f t="shared" si="6"/>
        <v>395.22999999999956</v>
      </c>
      <c r="I64" s="16">
        <f t="shared" si="2"/>
        <v>3.6260398155190388E-2</v>
      </c>
      <c r="J64" s="41"/>
      <c r="K64" s="41"/>
      <c r="L64" s="97"/>
      <c r="M64" s="97"/>
      <c r="N64" s="97"/>
      <c r="O64" s="97"/>
      <c r="P64" s="97"/>
      <c r="Q64" s="97"/>
      <c r="R64" s="97"/>
      <c r="S64" s="97"/>
    </row>
    <row r="65" spans="1:19" ht="81.75" customHeight="1">
      <c r="A65" s="30" t="str">
        <v>Taft - WTP</v>
      </c>
      <c r="B65" s="31" t="str">
        <v>CA</v>
      </c>
      <c r="C65" s="11">
        <v>876</v>
      </c>
      <c r="D65" s="18">
        <v>52750</v>
      </c>
      <c r="E65" s="18">
        <f t="shared" si="4"/>
        <v>-51874</v>
      </c>
      <c r="F65" s="19">
        <f t="shared" si="5"/>
        <v>-0.98339336492890994</v>
      </c>
      <c r="G65" s="20">
        <v>9524.2900000000009</v>
      </c>
      <c r="H65" s="20">
        <f t="shared" si="6"/>
        <v>-8648.2900000000009</v>
      </c>
      <c r="I65" s="19">
        <f t="shared" si="2"/>
        <v>-0.90802464015690409</v>
      </c>
      <c r="J65" s="42" t="s">
        <v>317</v>
      </c>
      <c r="K65" s="90" t="s">
        <v>318</v>
      </c>
      <c r="L65" s="98" t="s">
        <v>319</v>
      </c>
      <c r="M65" s="98" t="s">
        <v>319</v>
      </c>
      <c r="N65" s="97"/>
      <c r="O65" s="97"/>
      <c r="P65" s="97"/>
      <c r="Q65" s="97"/>
      <c r="R65" s="97"/>
      <c r="S65" s="97"/>
    </row>
    <row r="66" spans="1:19" ht="78" customHeight="1">
      <c r="A66" s="28" t="str">
        <v>CDCR - CA Correctional Institution</v>
      </c>
      <c r="B66" s="29" t="str">
        <v>CA</v>
      </c>
      <c r="C66" s="24">
        <v>193202</v>
      </c>
      <c r="D66" s="13">
        <v>201735</v>
      </c>
      <c r="E66" s="13">
        <f t="shared" si="4"/>
        <v>-8533</v>
      </c>
      <c r="F66" s="14">
        <f t="shared" si="5"/>
        <v>-4.2298064292264605E-2</v>
      </c>
      <c r="G66" s="15">
        <v>221609.78</v>
      </c>
      <c r="H66" s="15">
        <f t="shared" si="6"/>
        <v>-28407.78</v>
      </c>
      <c r="I66" s="16">
        <f t="shared" si="2"/>
        <v>-0.12818829566095863</v>
      </c>
      <c r="J66" s="41" t="s">
        <v>320</v>
      </c>
      <c r="K66" s="88" t="s">
        <v>321</v>
      </c>
      <c r="L66" s="98" t="s">
        <v>111</v>
      </c>
      <c r="M66" s="98" t="s">
        <v>322</v>
      </c>
      <c r="N66" s="97"/>
      <c r="O66" s="97"/>
      <c r="P66" s="97"/>
      <c r="Q66" s="97"/>
      <c r="R66" s="97"/>
      <c r="S66" s="97"/>
    </row>
    <row r="67" spans="1:19" ht="288" customHeight="1">
      <c r="A67" s="30" t="str">
        <v>CDCR - CA Correctional Institution II</v>
      </c>
      <c r="B67" s="31" t="str">
        <v>CA</v>
      </c>
      <c r="C67" s="11">
        <v>317401.68</v>
      </c>
      <c r="D67" s="18">
        <v>140503</v>
      </c>
      <c r="E67" s="18">
        <f t="shared" si="4"/>
        <v>176898.68</v>
      </c>
      <c r="F67" s="19">
        <f t="shared" si="5"/>
        <v>1.2590384546949176</v>
      </c>
      <c r="G67" s="20">
        <v>317401.68</v>
      </c>
      <c r="H67" s="20">
        <f t="shared" si="6"/>
        <v>0</v>
      </c>
      <c r="I67" s="19">
        <f t="shared" si="2"/>
        <v>0</v>
      </c>
      <c r="J67" s="54" t="s">
        <v>323</v>
      </c>
      <c r="K67" s="90" t="s">
        <v>324</v>
      </c>
      <c r="L67" s="98" t="s">
        <v>114</v>
      </c>
      <c r="M67" s="98" t="s">
        <v>325</v>
      </c>
      <c r="N67" s="98" t="s">
        <v>236</v>
      </c>
      <c r="O67" s="98" t="s">
        <v>326</v>
      </c>
      <c r="P67" s="97"/>
      <c r="Q67" s="97"/>
      <c r="R67" s="97"/>
      <c r="S67" s="97"/>
    </row>
    <row r="68" spans="1:19" ht="54.75" customHeight="1">
      <c r="A68" s="28" t="str">
        <v>Snowline SD - Vista Verde ES</v>
      </c>
      <c r="B68" s="29" t="str">
        <v>CA</v>
      </c>
      <c r="C68" s="24">
        <v>15985</v>
      </c>
      <c r="D68" s="13">
        <v>17072</v>
      </c>
      <c r="E68" s="13">
        <f t="shared" si="4"/>
        <v>-1087</v>
      </c>
      <c r="F68" s="14">
        <f t="shared" si="5"/>
        <v>-6.3671508903467663E-2</v>
      </c>
      <c r="G68" s="15">
        <v>31954.52</v>
      </c>
      <c r="H68" s="15">
        <f t="shared" si="6"/>
        <v>-15969.52</v>
      </c>
      <c r="I68" s="16">
        <f t="shared" si="2"/>
        <v>-0.49975778074588512</v>
      </c>
      <c r="J68" s="41" t="s">
        <v>327</v>
      </c>
      <c r="K68" s="88" t="s">
        <v>328</v>
      </c>
      <c r="L68" s="97"/>
      <c r="M68" s="97"/>
      <c r="N68" s="97"/>
      <c r="O68" s="97"/>
      <c r="P68" s="97"/>
      <c r="Q68" s="97"/>
      <c r="R68" s="97"/>
      <c r="S68" s="97"/>
    </row>
    <row r="69" spans="1:19" ht="43.15">
      <c r="A69" s="30" t="str">
        <v>North Stonington</v>
      </c>
      <c r="B69" s="31" t="str">
        <v>CT</v>
      </c>
      <c r="C69" s="11">
        <v>1425880</v>
      </c>
      <c r="D69" s="18" t="s">
        <v>24</v>
      </c>
      <c r="E69" s="18"/>
      <c r="F69" s="19"/>
      <c r="G69" s="81" t="s">
        <v>24</v>
      </c>
      <c r="H69" s="20"/>
      <c r="I69" s="19"/>
      <c r="J69" s="53" t="s">
        <v>329</v>
      </c>
      <c r="K69" s="90" t="s">
        <v>330</v>
      </c>
      <c r="L69" s="97"/>
      <c r="M69" s="97"/>
      <c r="N69" s="97"/>
      <c r="O69" s="97"/>
      <c r="P69" s="97"/>
      <c r="Q69" s="97"/>
      <c r="R69" s="97"/>
      <c r="S69" s="97"/>
    </row>
    <row r="70" spans="1:19" ht="14.45">
      <c r="A70" s="21" t="str">
        <v>CT: Torrington - 2-298 Rossi Road</v>
      </c>
      <c r="B70" s="33" t="str">
        <v>CT</v>
      </c>
      <c r="C70" s="21"/>
      <c r="D70" s="21"/>
      <c r="E70" s="21"/>
      <c r="F70" s="22"/>
      <c r="G70" s="21"/>
      <c r="H70" s="21"/>
      <c r="I70" s="22"/>
      <c r="J70" s="21"/>
      <c r="K70" s="21"/>
    </row>
    <row r="71" spans="1:19" ht="14.45">
      <c r="A71" s="21"/>
      <c r="B71" s="33"/>
      <c r="C71" s="21"/>
      <c r="D71" s="21"/>
      <c r="E71" s="21"/>
      <c r="F71" s="22"/>
      <c r="G71" s="21"/>
      <c r="H71" s="21"/>
      <c r="I71" s="22"/>
      <c r="J71" s="21"/>
      <c r="K71" s="21"/>
    </row>
    <row r="72" spans="1:19" ht="14.45">
      <c r="A72" s="21"/>
      <c r="B72" s="33"/>
      <c r="C72" s="21"/>
      <c r="D72" s="21"/>
      <c r="E72" s="21"/>
      <c r="F72" s="22"/>
      <c r="G72" s="21"/>
      <c r="H72" s="21"/>
      <c r="I72" s="22"/>
      <c r="J72" s="21"/>
      <c r="K72" s="21"/>
    </row>
    <row r="73" spans="1:19" ht="14.45">
      <c r="A73" s="21"/>
      <c r="B73" s="33"/>
      <c r="C73" s="21"/>
      <c r="D73" s="21"/>
      <c r="E73" s="21"/>
      <c r="F73" s="22"/>
      <c r="G73" s="21"/>
      <c r="H73" s="21"/>
      <c r="I73" s="22"/>
      <c r="J73" s="21"/>
      <c r="K73" s="21"/>
    </row>
    <row r="74" spans="1:19" ht="14.45">
      <c r="A74" s="21"/>
      <c r="B74" s="33"/>
      <c r="C74" s="21"/>
      <c r="D74" s="21"/>
      <c r="E74" s="21"/>
      <c r="F74" s="22"/>
      <c r="G74" s="21"/>
      <c r="H74" s="21"/>
      <c r="I74" s="22"/>
      <c r="J74" s="21"/>
      <c r="K74" s="21"/>
    </row>
    <row r="75" spans="1:19" ht="14.45">
      <c r="A75" s="21"/>
      <c r="B75" s="33"/>
      <c r="C75" s="21"/>
      <c r="D75" s="21"/>
      <c r="E75" s="21"/>
      <c r="F75" s="22"/>
      <c r="G75" s="21"/>
      <c r="H75" s="21"/>
      <c r="I75" s="22"/>
      <c r="J75" s="21"/>
      <c r="K75" s="21"/>
    </row>
    <row r="76" spans="1:19" ht="14.45">
      <c r="A76" s="21"/>
      <c r="B76" s="33"/>
      <c r="C76" s="21"/>
      <c r="D76" s="21"/>
      <c r="E76" s="21"/>
      <c r="F76" s="22"/>
      <c r="G76" s="21"/>
      <c r="H76" s="21"/>
      <c r="I76" s="22"/>
      <c r="J76" s="21"/>
      <c r="K76" s="21"/>
    </row>
    <row r="77" spans="1:19" ht="14.45">
      <c r="A77" s="21"/>
      <c r="B77" s="33"/>
      <c r="C77" s="21"/>
      <c r="D77" s="21"/>
      <c r="E77" s="21"/>
      <c r="F77" s="22"/>
      <c r="G77" s="21"/>
      <c r="H77" s="21"/>
      <c r="I77" s="22"/>
      <c r="J77" s="21"/>
      <c r="K77" s="21"/>
    </row>
    <row r="78" spans="1:19" ht="14.45">
      <c r="A78" s="21"/>
      <c r="B78" s="33"/>
      <c r="C78" s="21"/>
      <c r="D78" s="21"/>
      <c r="E78" s="21"/>
      <c r="F78" s="22"/>
      <c r="G78" s="21"/>
      <c r="H78" s="21"/>
      <c r="I78" s="22"/>
      <c r="J78" s="21"/>
      <c r="K78" s="21"/>
    </row>
    <row r="79" spans="1:19" ht="14.45">
      <c r="A79" s="21"/>
      <c r="B79" s="33"/>
      <c r="C79" s="21"/>
      <c r="D79" s="21"/>
      <c r="E79" s="21"/>
      <c r="F79" s="22"/>
      <c r="G79" s="21"/>
      <c r="H79" s="21"/>
      <c r="I79" s="22"/>
      <c r="J79" s="21"/>
      <c r="K79" s="21"/>
    </row>
    <row r="80" spans="1:19"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48" priority="3" stopIfTrue="1" operator="lessThanOrEqual">
      <formula>-0.1</formula>
    </cfRule>
    <cfRule type="expression" dxfId="47" priority="4">
      <formula>AND(ISNUMBER(F2), F2&gt;=0.1)</formula>
    </cfRule>
  </conditionalFormatting>
  <conditionalFormatting sqref="F4:F100 I4:I100">
    <cfRule type="cellIs" dxfId="46" priority="1" stopIfTrue="1" operator="lessThanOrEqual">
      <formula>-0.1</formula>
    </cfRule>
    <cfRule type="expression" dxfId="45" priority="2">
      <formula>AND(ISNUMBER(F4), F4&gt;=0.1)</formula>
    </cfRule>
  </conditionalFormatting>
  <hyperlinks>
    <hyperlink ref="K6" r:id="rId1" display="https://us3.assetplanner.com/service_request?ID=098590" xr:uid="{16C15586-E4CB-41DB-A78E-0CCA7702FD7F}"/>
    <hyperlink ref="K8" r:id="rId2" display="https://us3.assetplanner.com/service_request?ID=096145" xr:uid="{67C3A21D-1B01-4D9F-87EF-C29F3DB77050}"/>
    <hyperlink ref="L8" r:id="rId3" display="https://us3.assetplanner.com/service_request?ID=096237" xr:uid="{785EF9D5-859D-4C8D-B1BA-3EE1F10C0A80}"/>
    <hyperlink ref="M8" r:id="rId4" display="https://us3.assetplanner.com/service_request?ID=095177" xr:uid="{713316C5-C6E0-4261-8D29-C742766BB503}"/>
    <hyperlink ref="K10" r:id="rId5" display="https://us3.assetplanner.com/service_request?ID=100632" xr:uid="{691CDF22-4333-4D82-BFD3-44FBA745D0FC}"/>
    <hyperlink ref="K22" r:id="rId6" display="https://us3.assetplanner.com/service_request?ID=093861" xr:uid="{93FBF8AE-0BD0-41C2-9229-1D1F402CAB5A}"/>
    <hyperlink ref="L22" r:id="rId7" display="https://us3.assetplanner.com/service_request?ID=100060" xr:uid="{EC4545AC-7871-467D-A455-0A448580E36D}"/>
    <hyperlink ref="K23" r:id="rId8" display="https://us3.assetplanner.com/service_request?ID=095623" xr:uid="{4BA203B6-E773-42F5-844A-686FA0F90564}"/>
    <hyperlink ref="L23" r:id="rId9" display="https://us3.assetplanner.com/service_request?ID=098185" xr:uid="{51753CE6-8FFC-4559-AA77-715E10AECA1B}"/>
    <hyperlink ref="M23" r:id="rId10" display="https://us3.assetplanner.com/service_request?ID=099451" xr:uid="{8800BD5A-097C-4EE9-AD67-DB9F99C2721A}"/>
    <hyperlink ref="K26" r:id="rId11" display="https://us3.assetplanner.com/service_request?ID=098973" xr:uid="{CC2D6D68-42A1-4E36-A846-DEFE12368772}"/>
    <hyperlink ref="K27" r:id="rId12" display="https://us3.assetplanner.com/service_request?ID=099380" xr:uid="{06141A57-B3B0-499D-9C51-150847A60D04}"/>
    <hyperlink ref="K29" r:id="rId13" display="https://us3.assetplanner.com/service_request?ID=100011" xr:uid="{49F8D21F-FCFD-4E45-ADB4-3742F749F851}"/>
    <hyperlink ref="K30" r:id="rId14" display="https://us3.assetplanner.com/service_request?ID=100743" xr:uid="{5D4FDC31-28BA-4EB1-9436-30461F72750B}"/>
    <hyperlink ref="L30" r:id="rId15" display="https://us3.assetplanner.com/service_request?ID=092112" xr:uid="{B3A766E9-DEE9-4A67-9299-F967936C1F03}"/>
    <hyperlink ref="M30" r:id="rId16" display="https://us3.assetplanner.com/service_request?ID=089763" xr:uid="{BC04ACA1-714F-43A2-9365-CCB827B74C9E}"/>
    <hyperlink ref="K31" r:id="rId17" display="https://us3.assetplanner.com/service_request?ID=099725" xr:uid="{7DB3C6CD-8850-4ED3-A90A-ACE744E85561}"/>
    <hyperlink ref="L31" r:id="rId18" display="https://us3.assetplanner.com/service_request?ID=100459" xr:uid="{95DD5EBF-2E00-4EA7-BA6F-5EABDB46528D}"/>
    <hyperlink ref="K34" r:id="rId19" display="https://us3.assetplanner.com/service_request?ID=092298" xr:uid="{010A0798-BB2E-4786-B272-FE43747AFAAB}"/>
    <hyperlink ref="L34" r:id="rId20" display="https://us3.assetplanner.com/service_request?ID=099912" xr:uid="{4857C847-CA2A-4678-968E-7848E17C1058}"/>
    <hyperlink ref="K35" r:id="rId21" display="https://us3.assetplanner.com/service_request?ID=099206" xr:uid="{26F3A504-3DBD-447C-A631-CDE7DA38ACA6}"/>
    <hyperlink ref="K37" r:id="rId22" display="https://us3.assetplanner.com/service_request?ID=094440" xr:uid="{0C865A1D-413C-478F-9A3A-546458B64D8D}"/>
    <hyperlink ref="K38" r:id="rId23" display="https://us3.assetplanner.com/service_request?ID=095163" xr:uid="{56CA462F-C7A9-4B5D-BE7E-D9F91E0A1DFB}"/>
    <hyperlink ref="L38" r:id="rId24" display="https://us3.assetplanner.com/service_request?ID=092023" xr:uid="{103F3F4A-1414-4090-9A1A-64D95AE20039}"/>
    <hyperlink ref="M38" r:id="rId25" display="https://us3.assetplanner.com/service_request?ID=089707" xr:uid="{2A623F31-118E-4D8E-926C-4018F56EDF3C}"/>
    <hyperlink ref="N38" r:id="rId26" display="https://us3.assetplanner.com/service_request?ID=093065" xr:uid="{8BCDAB69-F07E-4642-9728-2D018628910E}"/>
    <hyperlink ref="K40" r:id="rId27" display="https://us3.assetplanner.com/service_request?ID=089464" xr:uid="{CD46A9D6-8841-4BFD-8DB2-357B61865F9F}"/>
    <hyperlink ref="L40" r:id="rId28" display="https://us3.assetplanner.com/service_request?ID=093180" xr:uid="{3A07709A-DC2E-4FFF-A003-903628C194FB}"/>
    <hyperlink ref="M40" r:id="rId29" display="https://us3.assetplanner.com/service_request?ID=093174" xr:uid="{1088ACF4-3F1A-4D43-8228-8C808EA9FCB4}"/>
    <hyperlink ref="N40" r:id="rId30" display="https://us3.assetplanner.com/service_request?ID=095356" xr:uid="{8AF09753-D493-452B-AE6E-1F0DFF134F37}"/>
    <hyperlink ref="O40" r:id="rId31" display="https://us3.assetplanner.com/service_request?ID=096916" xr:uid="{ACB1B4E6-7222-42F6-A24B-F3F8BB2521FA}"/>
    <hyperlink ref="P40" r:id="rId32" display="https://us3.assetplanner.com/service_request?ID=100537" xr:uid="{EA641ED2-E812-470A-9DDF-AA8C8D8822D2}"/>
    <hyperlink ref="K41" r:id="rId33" display="https://us3.assetplanner.com/service_request?ID=092753" xr:uid="{92FEC746-2565-4B13-97AD-C37E2C80CC26}"/>
    <hyperlink ref="K43" r:id="rId34" display="https://us3.assetplanner.com/service_request?ID=090375" xr:uid="{364679C5-74D9-4D43-A969-9482093870BA}"/>
    <hyperlink ref="L43" r:id="rId35" display="https://us3.assetplanner.com/service_request?ID=089461" xr:uid="{9E6D7552-7BDB-43F6-B1F5-CFAB0BA17DA4}"/>
    <hyperlink ref="M43" r:id="rId36" display="https://us3.assetplanner.com/service_request?ID=098018" xr:uid="{133DECA3-522B-41DA-8C29-8AB33FD03819}"/>
    <hyperlink ref="K44" r:id="rId37" display="https://us3.assetplanner.com/service_request?ID=092276" xr:uid="{3C53075F-B765-4106-BA3C-5336B249D581}"/>
    <hyperlink ref="K45" r:id="rId38" display="https://us3.assetplanner.com/service_request?ID=085968" xr:uid="{BBB33E71-76D3-4667-9DA4-B19A9264247F}"/>
    <hyperlink ref="L45" r:id="rId39" display="https://us3.assetplanner.com/service_request?ID=092256" xr:uid="{5F9CFE7D-6085-4F4A-ADCA-505D9A1F6974}"/>
    <hyperlink ref="M45" r:id="rId40" display="https://us3.assetplanner.com/service_request?ID=090090" xr:uid="{3C9E8D2D-AEE3-4BB6-AF0B-1D96C47B791A}"/>
    <hyperlink ref="N45" r:id="rId41" display="https://us3.assetplanner.com/service_request?ID=095592" xr:uid="{19AA2FE3-857F-49F9-A175-7DA3259D808E}"/>
    <hyperlink ref="K46" r:id="rId42" display="https://us3.assetplanner.com/service_request?ID=089470" xr:uid="{2586645C-A166-4B5A-A248-A6B22156934E}"/>
    <hyperlink ref="L46" r:id="rId43" display="https://us3.assetplanner.com/service_request?ID=092603" xr:uid="{67049C6A-4EFB-47A6-B6FF-223FBE6007AE}"/>
    <hyperlink ref="K47" r:id="rId44" display="https://us3.assetplanner.com/service_request?ID=089612" xr:uid="{F849D23A-0125-4F33-9CEA-6EA2B3A5E787}"/>
    <hyperlink ref="L47" r:id="rId45" display="https://us3.assetplanner.com/service_request?ID=095339" xr:uid="{5C34BE79-DD4E-4EB9-AF8E-4CBD17DEE52A}"/>
    <hyperlink ref="M47" r:id="rId46" display="https://us3.assetplanner.com/service_request?ID=095385" xr:uid="{803F956C-B198-4BA8-BEB6-24FD8E9BB2FB}"/>
    <hyperlink ref="N47" r:id="rId47" display="https://us3.assetplanner.com/service_request?ID=097012" xr:uid="{A149630A-5067-42D7-84B5-A8A76F09D24D}"/>
    <hyperlink ref="O47" r:id="rId48" display="https://us3.assetplanner.com/service_request?ID=089612" xr:uid="{5E9C859C-A193-4C44-82EB-F12F5FBA927C}"/>
    <hyperlink ref="P47" r:id="rId49" display="https://us3.assetplanner.com/service_request?ID=095385" xr:uid="{1DA00B06-5A83-4C64-9B82-213C6420A253}"/>
    <hyperlink ref="Q47" r:id="rId50" display="https://us3.assetplanner.com/service_request?ID=099766" xr:uid="{BAED89D0-5717-47A6-A476-25A1CD642629}"/>
    <hyperlink ref="K48" r:id="rId51" display="https://us3.assetplanner.com/service_request?ID=092166" xr:uid="{6CB3176C-C13A-4A33-A473-134CD4D1ADD8}"/>
    <hyperlink ref="L48" r:id="rId52" display="https://us3.assetplanner.com/service_request?ID=097558" xr:uid="{0A8C835C-A883-42E1-8BBC-618BF7F64351}"/>
    <hyperlink ref="M48" r:id="rId53" display="https://us3.assetplanner.com/service_request?ID=098717" xr:uid="{77C3F68F-C94F-423B-8FDF-843C345043FA}"/>
    <hyperlink ref="N48" r:id="rId54" display="https://us3.assetplanner.com/service_request?ID=086220" xr:uid="{D4A2384D-31AE-4806-852B-D86D7B46664D}"/>
    <hyperlink ref="O48" r:id="rId55" display="https://us3.assetplanner.com/service_request?ID=098717" xr:uid="{49F1A999-FF6F-42DA-BC91-E35B297767C2}"/>
    <hyperlink ref="P48" r:id="rId56" display="https://us3.assetplanner.com/service_request?ID=091312" xr:uid="{0B013380-76E8-4F3D-A8C6-159B88A5FED8}"/>
    <hyperlink ref="K49" r:id="rId57" display="https://us3.assetplanner.com/service_request?ID=098397" xr:uid="{A475280D-C5D1-41E0-9B6A-DA35BFEC4901}"/>
    <hyperlink ref="K50" r:id="rId58" display="https://us3.assetplanner.com/service_request?ID=098178" xr:uid="{B5172461-E7F1-4977-89B2-B1FEAB86B4FC}"/>
    <hyperlink ref="L50" r:id="rId59" display="https://us3.assetplanner.com/service_request?ID=090370" xr:uid="{F546F8B8-4AB6-409B-B397-78521A5B7524}"/>
    <hyperlink ref="K51" r:id="rId60" display="https://us3.assetplanner.com/service_request?ID=099747" xr:uid="{AA0313C8-FD2C-4087-83C9-45540A6AEDF9}"/>
    <hyperlink ref="L51" r:id="rId61" display="https://us3.assetplanner.com/service_request?ID=099540" xr:uid="{EF4E18C9-7FF8-4A97-BB8B-F256BE3D0498}"/>
    <hyperlink ref="M51" r:id="rId62" display="https://us3.assetplanner.com/service_request?ID=098177" xr:uid="{69C9B6C8-1BFA-4BC2-B783-64ADF92C173F}"/>
    <hyperlink ref="K52" r:id="rId63" display="https://us3.assetplanner.com/service_request?ID=100064" xr:uid="{480E750C-EF6C-4DE5-86E0-5F8E402F6521}"/>
    <hyperlink ref="L52" r:id="rId64" display="https://us3.assetplanner.com/service_request?ID=100858" xr:uid="{0327B3F8-C58F-4935-905C-C82A3BA78177}"/>
    <hyperlink ref="K53" r:id="rId65" display="https://us3.assetplanner.com/service_request?ID=094545" xr:uid="{B02AC763-D72B-4064-881C-C3945F3950DD}"/>
    <hyperlink ref="L53" r:id="rId66" display="https://us3.assetplanner.com/service_request?ID=100842" xr:uid="{431C6DC9-98CF-4866-9FD2-DC9B9D3E4AE6}"/>
    <hyperlink ref="K55" r:id="rId67" display="https://us3.assetplanner.com/service_request?ID=090734" xr:uid="{DFEB0F89-DC77-4949-8D92-E9C71BF5257E}"/>
    <hyperlink ref="K57" r:id="rId68" display="https://us3.assetplanner.com/service_request?ID=090293" xr:uid="{6E7367AA-3C9F-4716-97CD-8E31A02C653A}"/>
    <hyperlink ref="L57" r:id="rId69" display="https://us3.assetplanner.com/service_request?ID=095854" xr:uid="{F18EFE6B-51A4-466E-8B12-F8730BF8DD21}"/>
    <hyperlink ref="M57" r:id="rId70" display="https://us3.assetplanner.com/service_request?ID=099225" xr:uid="{76A882A3-DA55-49B6-9145-968BBFE02BB7}"/>
    <hyperlink ref="K58" r:id="rId71" display="https://us3.assetplanner.com/service_request?ID=098183" xr:uid="{01AE499A-49BC-4D2A-A6FD-5561938AC0CD}"/>
    <hyperlink ref="L58" r:id="rId72" display="https://us3.assetplanner.com/service_request?ID=095449" xr:uid="{347CC055-E2B7-4805-8771-4C6C55233597}"/>
    <hyperlink ref="M58" r:id="rId73" display="https://us3.assetplanner.com/service_request?ID=093474" xr:uid="{21EB10BE-7B4C-47D3-9641-EA209DE121FA}"/>
    <hyperlink ref="N58" r:id="rId74" display="https://us3.assetplanner.com/service_request?ID=090380" xr:uid="{5E89BADA-419D-404C-B5A8-494A74A34847}"/>
    <hyperlink ref="O58" r:id="rId75" display="https://us3.assetplanner.com/service_request?ID=089474" xr:uid="{EA62EBE8-A684-4159-8FF8-56B2333614CE}"/>
    <hyperlink ref="P58" r:id="rId76" display="https://us3.assetplanner.com/service_request?ID=098183" xr:uid="{9E30CD20-4333-43BE-B1E3-B5AD274DCCA4}"/>
    <hyperlink ref="K59" r:id="rId77" display="https://us3.assetplanner.com/service_request?ID=098826" xr:uid="{6B81DA24-791F-4A4A-B2C8-2A57B5431725}"/>
    <hyperlink ref="L59" r:id="rId78" display="https://us3.assetplanner.com/service_request?ID=099327" xr:uid="{EA5DB467-D189-4976-9F9E-10FFCF1F950F}"/>
    <hyperlink ref="K60" r:id="rId79" display="https://us3.assetplanner.com/service_request?ID=089477" xr:uid="{81DDBB8C-3BE4-43B4-82FF-D5B3A5F69229}"/>
    <hyperlink ref="L60" r:id="rId80" display="https://us3.assetplanner.com/service_request?ID=096348" xr:uid="{101C7423-7BA6-4DE0-86B1-376ECD9E1FF4}"/>
    <hyperlink ref="M60" r:id="rId81" display="https://us3.assetplanner.com/service_request?ID=089477" xr:uid="{0514EBB6-9725-4A9E-9739-5A94E1A72B66}"/>
    <hyperlink ref="N60" r:id="rId82" display="https://us3.assetplanner.com/service_request?ID=096348" xr:uid="{2471F84B-6F83-45E4-B0B8-CF808B020FB3}"/>
    <hyperlink ref="O60" r:id="rId83" display="https://us3.assetplanner.com/service_request?ID=089477" xr:uid="{68EB74D2-F643-468D-B573-464548E0D0DB}"/>
    <hyperlink ref="P60" r:id="rId84" display="https://us3.assetplanner.com/service_request?ID=096348" xr:uid="{AF071ECD-20CD-4E49-972B-18F5D54973E0}"/>
    <hyperlink ref="K65" r:id="rId85" display="https://us3.assetplanner.com/service_request?ID=095559" xr:uid="{05DB2F67-55BA-4E8D-B7B5-CDA969F4E397}"/>
    <hyperlink ref="L65" r:id="rId86" display="https://us3.assetplanner.com/service_request?ID=099641" xr:uid="{623AA5A0-C5E5-439B-AE78-4DDAF2FBB615}"/>
    <hyperlink ref="M65" r:id="rId87" display="https://us3.assetplanner.com/service_request?ID=099641" xr:uid="{4E5CFD82-1B47-44B1-850A-FA4258E0B686}"/>
    <hyperlink ref="K66" r:id="rId88" display="https://us3.assetplanner.com/service_request?ID=092170" xr:uid="{BD6E8CAD-6FFD-4E18-B9DF-FA9378162C67}"/>
    <hyperlink ref="L66" r:id="rId89" display="https://us3.assetplanner.com/service_request?ID=092456" xr:uid="{8F32D3B9-DDA3-4BE6-A3F9-F9C98ED2416D}"/>
    <hyperlink ref="M66" r:id="rId90" display="https://us3.assetplanner.com/service_request?ID=101007" xr:uid="{8B502F7C-73D8-4301-8B1B-47C2A8ACA4DD}"/>
    <hyperlink ref="K67" r:id="rId91" display="https://us3.assetplanner.com/service_request?ID=092171" xr:uid="{3487B4DD-AD88-49B6-B7B9-FA3A0067A074}"/>
    <hyperlink ref="L67" r:id="rId92" display="https://us3.assetplanner.com/service_request?ID=092455" xr:uid="{F94BAB75-0DA3-4A1B-AA0C-2FB9EED80BB1}"/>
    <hyperlink ref="M67" r:id="rId93" display="https://us3.assetplanner.com/service_request?ID=099609" xr:uid="{8C84F3DE-EC67-47A5-A4AD-204B16DA2920}"/>
    <hyperlink ref="N67" r:id="rId94" display="https://us3.assetplanner.com/service_request?ID=098778" xr:uid="{2C46BB4A-678A-4F4B-974F-6BDB827B5334}"/>
    <hyperlink ref="O67" r:id="rId95" display="https://us3.assetplanner.com/service_request?ID=099493" xr:uid="{3DE134BC-1B01-4D58-B692-B297404AB2EE}"/>
    <hyperlink ref="K68" r:id="rId96" display="https://us3.assetplanner.com/service_request?ID=098343" xr:uid="{DD616FE4-E092-4889-8563-52278F96FB90}"/>
    <hyperlink ref="K69" r:id="rId97" display="https://us3.assetplanner.com/service_request?ID=097960" xr:uid="{97C1477E-56BE-4DDC-8E59-0B7A43234BF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U342"/>
  <sheetViews>
    <sheetView zoomScale="70" zoomScaleNormal="70" workbookViewId="0">
      <pane xSplit="2" ySplit="3" topLeftCell="C31" activePane="bottomRight" state="frozen"/>
      <selection pane="bottomRight" activeCell="C38" sqref="C38"/>
      <selection pane="bottomLeft" activeCell="J66" sqref="J66"/>
      <selection pane="topRight" activeCell="J66" sqref="J66"/>
    </sheetView>
  </sheetViews>
  <sheetFormatPr defaultRowHeight="13.9"/>
  <cols>
    <col min="1" max="1" width="35.85546875" bestFit="1" customWidth="1"/>
    <col min="2" max="2" width="8.42578125" style="34" customWidth="1"/>
    <col min="3" max="3" width="11.42578125" bestFit="1"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21" width="8.85546875" style="97"/>
  </cols>
  <sheetData>
    <row r="1" spans="1:13" ht="19.5" customHeight="1">
      <c r="A1" s="132" t="str" cm="1">
        <f t="array" ref="A1">portfolio</f>
        <v>Silicon Ranch</v>
      </c>
      <c r="B1" s="132"/>
      <c r="C1" s="132"/>
      <c r="D1" s="133" t="s">
        <v>331</v>
      </c>
      <c r="E1" s="133"/>
      <c r="F1" s="133"/>
      <c r="G1" s="131" t="s">
        <v>332</v>
      </c>
      <c r="H1" s="131"/>
      <c r="I1" s="131"/>
      <c r="J1" s="4"/>
      <c r="K1" s="4"/>
    </row>
    <row r="2" spans="1:13" ht="19.5" customHeight="1">
      <c r="A2" s="134" t="s">
        <v>2</v>
      </c>
      <c r="B2" s="134"/>
      <c r="C2" s="5">
        <f>SUM(C4:C100)</f>
        <v>4480761</v>
      </c>
      <c r="D2" s="5">
        <f>SUM(D4:D100)</f>
        <v>2823886</v>
      </c>
      <c r="E2" s="5">
        <f>C2-D2</f>
        <v>1656875</v>
      </c>
      <c r="F2" s="6">
        <f>IFERROR(E2/D2, 0)</f>
        <v>0.58673579599176451</v>
      </c>
      <c r="G2" s="5">
        <f>SUM(G4:G100)</f>
        <v>5417492.1100000013</v>
      </c>
      <c r="H2" s="7">
        <f>C2-G2</f>
        <v>-936731.11000000127</v>
      </c>
      <c r="I2" s="6">
        <f>IFERROR(H2/G2, 0)</f>
        <v>-0.17290862468833407</v>
      </c>
      <c r="J2" s="26"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8" t="s">
        <v>3</v>
      </c>
      <c r="B3" s="8" t="s">
        <v>4</v>
      </c>
      <c r="C3" s="23" t="s">
        <v>5</v>
      </c>
      <c r="D3" s="35" t="s">
        <v>6</v>
      </c>
      <c r="E3" s="35" t="s">
        <v>7</v>
      </c>
      <c r="F3" s="36" t="s">
        <v>8</v>
      </c>
      <c r="G3" s="37" t="s">
        <v>9</v>
      </c>
      <c r="H3" s="38" t="s">
        <v>7</v>
      </c>
      <c r="I3" s="39" t="s">
        <v>8</v>
      </c>
      <c r="J3" s="25" t="s">
        <v>20</v>
      </c>
      <c r="K3" s="25" t="s">
        <v>21</v>
      </c>
    </row>
    <row r="4" spans="1:13" ht="15.6">
      <c r="A4" s="32" t="str" cm="1">
        <f t="array" ref="A4:A70">Sites[Site]</f>
        <v>Iron Mountain - Windsor</v>
      </c>
      <c r="B4" s="29" t="str" cm="1">
        <f t="array" ref="B4:B70">Sites[State]</f>
        <v>CT</v>
      </c>
      <c r="C4" s="24">
        <v>29586</v>
      </c>
      <c r="D4" s="13">
        <v>29449</v>
      </c>
      <c r="E4" s="13">
        <f>IF(AND(ISNUMBER(C4),ISNUMBER(D4)), C4-D4, "")</f>
        <v>137</v>
      </c>
      <c r="F4" s="14">
        <f>IFERROR(E4/D4, "")</f>
        <v>4.6521104281979017E-3</v>
      </c>
      <c r="G4" s="15">
        <v>34313.449999999997</v>
      </c>
      <c r="H4" s="15">
        <f>IF(AND(ISNUMBER(C4),ISNUMBER(G4)), C4-G4, "")</f>
        <v>-4727.4499999999971</v>
      </c>
      <c r="I4" s="16">
        <f>IFERROR(H4/G4, "")</f>
        <v>-0.13777250611640618</v>
      </c>
      <c r="J4" s="41" t="s">
        <v>333</v>
      </c>
      <c r="K4" s="41"/>
    </row>
    <row r="5" spans="1:13" ht="15.6">
      <c r="A5" s="30" t="str">
        <v>Kohls - Auburn</v>
      </c>
      <c r="B5" s="31" t="str">
        <v>NY</v>
      </c>
      <c r="C5" s="11">
        <v>31098</v>
      </c>
      <c r="D5" s="18">
        <v>30780</v>
      </c>
      <c r="E5" s="18">
        <f t="shared" ref="E5:E25" si="0">IF(AND(ISNUMBER(C5),ISNUMBER(D5)), C5-D5, "")</f>
        <v>318</v>
      </c>
      <c r="F5" s="19">
        <f>IFERROR(E5/D5, "")</f>
        <v>1.0331384015594542E-2</v>
      </c>
      <c r="G5" s="20">
        <v>45680.29</v>
      </c>
      <c r="H5" s="20">
        <f t="shared" ref="H5:H17" si="1">IF(AND(ISNUMBER(C5),ISNUMBER(G5)), C5-G5, "")</f>
        <v>-14582.29</v>
      </c>
      <c r="I5" s="19">
        <f t="shared" ref="I5:I69" si="2">IFERROR(H5/G5, "")</f>
        <v>-0.31922498740704142</v>
      </c>
      <c r="J5" s="42" t="s">
        <v>334</v>
      </c>
      <c r="K5" s="42"/>
    </row>
    <row r="6" spans="1:13" ht="129.6">
      <c r="A6" s="28" t="str">
        <v>Kohls - Bensalem</v>
      </c>
      <c r="B6" s="29" t="str">
        <v>PA</v>
      </c>
      <c r="C6" s="24">
        <v>0</v>
      </c>
      <c r="D6" s="13" t="s">
        <v>24</v>
      </c>
      <c r="E6" s="13" t="str">
        <f t="shared" si="0"/>
        <v/>
      </c>
      <c r="F6" s="14" t="str">
        <f t="shared" ref="F6:F69" si="3">IFERROR(E6/D6, "")</f>
        <v/>
      </c>
      <c r="G6" s="15">
        <v>37858.58</v>
      </c>
      <c r="H6" s="15">
        <f t="shared" si="1"/>
        <v>-37858.58</v>
      </c>
      <c r="I6" s="16">
        <f t="shared" si="2"/>
        <v>-1</v>
      </c>
      <c r="J6" s="41" t="s">
        <v>335</v>
      </c>
      <c r="K6" s="88" t="s">
        <v>171</v>
      </c>
    </row>
    <row r="7" spans="1:13" ht="100.9">
      <c r="A7" s="30" t="str">
        <v>Kohls - Brick</v>
      </c>
      <c r="B7" s="31" t="str">
        <v>NJ</v>
      </c>
      <c r="C7" s="11">
        <v>31086</v>
      </c>
      <c r="D7" s="18">
        <v>31002</v>
      </c>
      <c r="E7" s="18">
        <f t="shared" si="0"/>
        <v>84</v>
      </c>
      <c r="F7" s="19">
        <f t="shared" si="3"/>
        <v>2.7095026127346624E-3</v>
      </c>
      <c r="G7" s="20">
        <v>46381.08</v>
      </c>
      <c r="H7" s="20">
        <f t="shared" si="1"/>
        <v>-15295.080000000002</v>
      </c>
      <c r="I7" s="19">
        <f t="shared" si="2"/>
        <v>-0.32976981131099148</v>
      </c>
      <c r="J7" s="54" t="s">
        <v>336</v>
      </c>
      <c r="K7" s="90" t="s">
        <v>337</v>
      </c>
    </row>
    <row r="8" spans="1:13" ht="43.15">
      <c r="A8" s="28" t="str">
        <v>Kohls - Buffalo</v>
      </c>
      <c r="B8" s="29" t="str">
        <v>NY</v>
      </c>
      <c r="C8" s="24">
        <v>38164</v>
      </c>
      <c r="D8" s="13" t="s">
        <v>24</v>
      </c>
      <c r="E8" s="13" t="str">
        <f t="shared" si="0"/>
        <v/>
      </c>
      <c r="F8" s="14" t="str">
        <f t="shared" si="3"/>
        <v/>
      </c>
      <c r="G8" s="15">
        <v>50993.46</v>
      </c>
      <c r="H8" s="15">
        <f t="shared" si="1"/>
        <v>-12829.46</v>
      </c>
      <c r="I8" s="16">
        <f t="shared" si="2"/>
        <v>-0.25159030197205678</v>
      </c>
      <c r="J8" s="41" t="s">
        <v>338</v>
      </c>
      <c r="K8" s="91" t="s">
        <v>249</v>
      </c>
      <c r="L8" s="98" t="s">
        <v>174</v>
      </c>
      <c r="M8" s="98" t="s">
        <v>28</v>
      </c>
    </row>
    <row r="9" spans="1:13" ht="15.6">
      <c r="A9" s="30" t="str">
        <v>Kohls - Canton</v>
      </c>
      <c r="B9" s="31" t="str">
        <v>CT</v>
      </c>
      <c r="C9" s="11">
        <v>14284</v>
      </c>
      <c r="D9" s="18">
        <v>14088</v>
      </c>
      <c r="E9" s="18">
        <f t="shared" si="0"/>
        <v>196</v>
      </c>
      <c r="F9" s="19">
        <f t="shared" si="3"/>
        <v>1.3912549687677456E-2</v>
      </c>
      <c r="G9" s="20">
        <v>15305.66</v>
      </c>
      <c r="H9" s="20">
        <f t="shared" si="1"/>
        <v>-1021.6599999999999</v>
      </c>
      <c r="I9" s="19">
        <f t="shared" si="2"/>
        <v>-6.6750470087536234E-2</v>
      </c>
      <c r="J9" s="42"/>
      <c r="K9" s="43"/>
    </row>
    <row r="10" spans="1:13" ht="115.15">
      <c r="A10" s="28" t="str">
        <v>Kohls - East Amherst</v>
      </c>
      <c r="B10" s="29" t="str">
        <v>NY</v>
      </c>
      <c r="C10" s="24">
        <v>26632</v>
      </c>
      <c r="D10" s="13">
        <v>26383</v>
      </c>
      <c r="E10" s="13">
        <f t="shared" si="0"/>
        <v>249</v>
      </c>
      <c r="F10" s="14">
        <f t="shared" si="3"/>
        <v>9.4378956146003116E-3</v>
      </c>
      <c r="G10" s="15">
        <v>45726.58</v>
      </c>
      <c r="H10" s="15">
        <f t="shared" si="1"/>
        <v>-19094.580000000002</v>
      </c>
      <c r="I10" s="16">
        <f t="shared" si="2"/>
        <v>-0.41758163413926869</v>
      </c>
      <c r="J10" s="41" t="s">
        <v>339</v>
      </c>
      <c r="K10" s="88" t="s">
        <v>251</v>
      </c>
    </row>
    <row r="11" spans="1:13" ht="28.9">
      <c r="A11" s="30" t="str">
        <v>Kohls - East Brunswick</v>
      </c>
      <c r="B11" s="31" t="str">
        <v>NJ</v>
      </c>
      <c r="C11" s="11">
        <v>49282</v>
      </c>
      <c r="D11" s="18">
        <v>48916</v>
      </c>
      <c r="E11" s="18">
        <f t="shared" si="0"/>
        <v>366</v>
      </c>
      <c r="F11" s="19">
        <f t="shared" si="3"/>
        <v>7.4822144083735382E-3</v>
      </c>
      <c r="G11" s="20">
        <v>59211.63</v>
      </c>
      <c r="H11" s="20">
        <f t="shared" si="1"/>
        <v>-9929.6299999999974</v>
      </c>
      <c r="I11" s="19">
        <f t="shared" si="2"/>
        <v>-0.16769729190025673</v>
      </c>
      <c r="J11" s="54" t="s">
        <v>340</v>
      </c>
      <c r="K11" s="90" t="s">
        <v>341</v>
      </c>
    </row>
    <row r="12" spans="1:13" ht="15.6">
      <c r="A12" s="28" t="str">
        <v>Kohls - Edgewood</v>
      </c>
      <c r="B12" s="29" t="str">
        <v>MD</v>
      </c>
      <c r="C12" s="24">
        <v>263413</v>
      </c>
      <c r="D12" s="13">
        <v>261246</v>
      </c>
      <c r="E12" s="13">
        <f t="shared" si="0"/>
        <v>2167</v>
      </c>
      <c r="F12" s="14">
        <f t="shared" si="3"/>
        <v>8.2948638448052791E-3</v>
      </c>
      <c r="G12" s="15">
        <v>310676.77</v>
      </c>
      <c r="H12" s="15">
        <f t="shared" si="1"/>
        <v>-47263.770000000019</v>
      </c>
      <c r="I12" s="16">
        <f t="shared" si="2"/>
        <v>-0.1521316511691557</v>
      </c>
      <c r="J12" s="41" t="s">
        <v>342</v>
      </c>
      <c r="K12" s="41"/>
    </row>
    <row r="13" spans="1:13" ht="15.6">
      <c r="A13" s="30" t="str">
        <v>Kohls - Granite Run</v>
      </c>
      <c r="B13" s="31" t="str">
        <v>PA</v>
      </c>
      <c r="C13" s="11">
        <v>33132</v>
      </c>
      <c r="D13" s="18">
        <v>32778</v>
      </c>
      <c r="E13" s="18">
        <f t="shared" si="0"/>
        <v>354</v>
      </c>
      <c r="F13" s="19">
        <f t="shared" si="3"/>
        <v>1.0799926780157423E-2</v>
      </c>
      <c r="G13" s="20">
        <v>37858.03</v>
      </c>
      <c r="H13" s="20">
        <f t="shared" si="1"/>
        <v>-4726.0299999999988</v>
      </c>
      <c r="I13" s="19">
        <f t="shared" si="2"/>
        <v>-0.12483560290907897</v>
      </c>
      <c r="J13" s="42" t="s">
        <v>343</v>
      </c>
      <c r="K13" s="43"/>
    </row>
    <row r="14" spans="1:13" ht="15.6">
      <c r="A14" s="28" t="str">
        <v>Kohls - Greece</v>
      </c>
      <c r="B14" s="29" t="str">
        <v>NY</v>
      </c>
      <c r="C14" s="24">
        <v>32389</v>
      </c>
      <c r="D14" s="13">
        <v>32066</v>
      </c>
      <c r="E14" s="13">
        <f t="shared" si="0"/>
        <v>323</v>
      </c>
      <c r="F14" s="14">
        <f t="shared" si="3"/>
        <v>1.007297449011414E-2</v>
      </c>
      <c r="G14" s="15">
        <v>49808.65</v>
      </c>
      <c r="H14" s="15">
        <f t="shared" si="1"/>
        <v>-17419.650000000001</v>
      </c>
      <c r="I14" s="16">
        <f t="shared" si="2"/>
        <v>-0.34973142215257791</v>
      </c>
      <c r="J14" s="41" t="s">
        <v>344</v>
      </c>
      <c r="K14" s="41"/>
    </row>
    <row r="15" spans="1:13" ht="15.6">
      <c r="A15" s="30" t="str">
        <v>Kohls - Hanover</v>
      </c>
      <c r="B15" s="31" t="str">
        <v>PA</v>
      </c>
      <c r="C15" s="11">
        <v>40175</v>
      </c>
      <c r="D15" s="18">
        <v>39884</v>
      </c>
      <c r="E15" s="18">
        <f t="shared" si="0"/>
        <v>291</v>
      </c>
      <c r="F15" s="19">
        <f t="shared" si="3"/>
        <v>7.2961588606960184E-3</v>
      </c>
      <c r="G15" s="20">
        <v>41915.35</v>
      </c>
      <c r="H15" s="20">
        <f t="shared" si="1"/>
        <v>-1740.3499999999985</v>
      </c>
      <c r="I15" s="19">
        <f t="shared" si="2"/>
        <v>-4.1520588519480303E-2</v>
      </c>
      <c r="J15" s="42"/>
      <c r="K15" s="43"/>
    </row>
    <row r="16" spans="1:13" ht="15.6">
      <c r="A16" s="28" t="str">
        <v>Kohls - Horsehead</v>
      </c>
      <c r="B16" s="29" t="str">
        <v>NY</v>
      </c>
      <c r="C16" s="24">
        <v>27105</v>
      </c>
      <c r="D16" s="13">
        <v>26765</v>
      </c>
      <c r="E16" s="13">
        <f t="shared" si="0"/>
        <v>340</v>
      </c>
      <c r="F16" s="14">
        <f t="shared" si="3"/>
        <v>1.2703157108163646E-2</v>
      </c>
      <c r="G16" s="15">
        <v>35914.800000000003</v>
      </c>
      <c r="H16" s="15">
        <f t="shared" si="1"/>
        <v>-8809.8000000000029</v>
      </c>
      <c r="I16" s="16">
        <f t="shared" si="2"/>
        <v>-0.2452972033813359</v>
      </c>
      <c r="J16" s="41" t="s">
        <v>345</v>
      </c>
      <c r="K16" s="41"/>
    </row>
    <row r="17" spans="1:13" ht="15.6">
      <c r="A17" s="30" t="str">
        <v>Kohls - Hudson</v>
      </c>
      <c r="B17" s="31" t="str">
        <v>NY</v>
      </c>
      <c r="C17" s="11">
        <v>31815</v>
      </c>
      <c r="D17" s="18">
        <v>31591</v>
      </c>
      <c r="E17" s="18">
        <f t="shared" si="0"/>
        <v>224</v>
      </c>
      <c r="F17" s="19">
        <f t="shared" si="3"/>
        <v>7.0906270773321515E-3</v>
      </c>
      <c r="G17" s="20">
        <v>35803.72</v>
      </c>
      <c r="H17" s="20">
        <f t="shared" si="1"/>
        <v>-3988.7200000000012</v>
      </c>
      <c r="I17" s="19">
        <f t="shared" si="2"/>
        <v>-0.11140518359544765</v>
      </c>
      <c r="J17" s="42" t="s">
        <v>346</v>
      </c>
      <c r="K17" s="43"/>
    </row>
    <row r="18" spans="1:13" ht="12.75" customHeight="1">
      <c r="A18" s="32" t="str">
        <v>Kohls - Ithaca</v>
      </c>
      <c r="B18" s="29" t="str">
        <v>NY</v>
      </c>
      <c r="C18" s="24">
        <v>28310</v>
      </c>
      <c r="D18" s="13">
        <v>28039</v>
      </c>
      <c r="E18" s="13">
        <f t="shared" si="0"/>
        <v>271</v>
      </c>
      <c r="F18" s="14">
        <f t="shared" si="3"/>
        <v>9.6651093120296728E-3</v>
      </c>
      <c r="G18" s="15">
        <v>41098.379999999997</v>
      </c>
      <c r="H18" s="15">
        <f t="shared" ref="H18:H25" si="4">IF(AND(ISNUMBER(C18),ISNUMBER(G18)), C18-G18, "")</f>
        <v>-12788.379999999997</v>
      </c>
      <c r="I18" s="16">
        <f t="shared" si="2"/>
        <v>-0.31116506295381957</v>
      </c>
      <c r="J18" s="41" t="s">
        <v>347</v>
      </c>
      <c r="K18" s="41"/>
    </row>
    <row r="19" spans="1:13" ht="15.6">
      <c r="A19" s="30" t="str">
        <v>Kohls - Kingston</v>
      </c>
      <c r="B19" s="31" t="str">
        <v>NY</v>
      </c>
      <c r="C19" s="11">
        <v>41330</v>
      </c>
      <c r="D19" s="18">
        <v>40900</v>
      </c>
      <c r="E19" s="18">
        <f t="shared" si="0"/>
        <v>430</v>
      </c>
      <c r="F19" s="19">
        <f t="shared" si="3"/>
        <v>1.0513447432762836E-2</v>
      </c>
      <c r="G19" s="20">
        <v>59092.81</v>
      </c>
      <c r="H19" s="20">
        <f t="shared" si="4"/>
        <v>-17762.809999999998</v>
      </c>
      <c r="I19" s="19">
        <f t="shared" si="2"/>
        <v>-0.30059173019526397</v>
      </c>
      <c r="J19" s="42" t="s">
        <v>348</v>
      </c>
      <c r="K19" s="42"/>
    </row>
    <row r="20" spans="1:13" ht="15.6">
      <c r="A20" s="28" t="str">
        <v>Kohls - Mechanicsburg</v>
      </c>
      <c r="B20" s="29" t="str">
        <v>PA</v>
      </c>
      <c r="C20" s="24">
        <v>43971</v>
      </c>
      <c r="D20" s="13">
        <v>43589</v>
      </c>
      <c r="E20" s="13">
        <f t="shared" si="0"/>
        <v>382</v>
      </c>
      <c r="F20" s="14">
        <f t="shared" si="3"/>
        <v>8.7636789098166964E-3</v>
      </c>
      <c r="G20" s="15">
        <v>48943.99</v>
      </c>
      <c r="H20" s="15">
        <f t="shared" si="4"/>
        <v>-4972.989999999998</v>
      </c>
      <c r="I20" s="16">
        <f t="shared" si="2"/>
        <v>-0.10160573341078237</v>
      </c>
      <c r="J20" s="41" t="s">
        <v>349</v>
      </c>
      <c r="K20" s="41"/>
    </row>
    <row r="21" spans="1:13" ht="100.9">
      <c r="A21" s="30" t="str">
        <v>Kohls - Middletown</v>
      </c>
      <c r="B21" s="31" t="str">
        <v>NJ</v>
      </c>
      <c r="C21" s="11">
        <v>42063</v>
      </c>
      <c r="D21" s="18">
        <v>41447</v>
      </c>
      <c r="E21" s="18">
        <f t="shared" si="0"/>
        <v>616</v>
      </c>
      <c r="F21" s="19">
        <f t="shared" si="3"/>
        <v>1.4862354332038507E-2</v>
      </c>
      <c r="G21" s="20">
        <v>72424.36</v>
      </c>
      <c r="H21" s="20">
        <f t="shared" si="4"/>
        <v>-30361.360000000001</v>
      </c>
      <c r="I21" s="19">
        <f t="shared" si="2"/>
        <v>-0.41921475039613743</v>
      </c>
      <c r="J21" s="42" t="s">
        <v>350</v>
      </c>
      <c r="K21" s="90" t="s">
        <v>351</v>
      </c>
      <c r="L21" s="98" t="s">
        <v>352</v>
      </c>
    </row>
    <row r="22" spans="1:13" ht="28.9">
      <c r="A22" s="28" t="str">
        <v>Kohls - North Amherst</v>
      </c>
      <c r="B22" s="29" t="str">
        <v>NY</v>
      </c>
      <c r="C22" s="24">
        <v>27872</v>
      </c>
      <c r="D22" s="13">
        <v>27733</v>
      </c>
      <c r="E22" s="13">
        <f t="shared" si="0"/>
        <v>139</v>
      </c>
      <c r="F22" s="14">
        <f t="shared" si="3"/>
        <v>5.0120794721090394E-3</v>
      </c>
      <c r="G22" s="15">
        <v>43967.86</v>
      </c>
      <c r="H22" s="15">
        <f t="shared" si="4"/>
        <v>-16095.86</v>
      </c>
      <c r="I22" s="16">
        <f t="shared" si="2"/>
        <v>-0.36608240655788116</v>
      </c>
      <c r="J22" s="41" t="s">
        <v>353</v>
      </c>
      <c r="K22" s="88" t="s">
        <v>354</v>
      </c>
      <c r="L22" s="98" t="s">
        <v>355</v>
      </c>
    </row>
    <row r="23" spans="1:13" ht="72">
      <c r="A23" s="30" t="str">
        <v>Kohls - Staten Island</v>
      </c>
      <c r="B23" s="31" t="str">
        <v>NY</v>
      </c>
      <c r="C23" s="11">
        <v>29967</v>
      </c>
      <c r="D23" s="18" t="s">
        <v>24</v>
      </c>
      <c r="E23" s="18" t="str">
        <f t="shared" si="0"/>
        <v/>
      </c>
      <c r="F23" s="19" t="str">
        <f t="shared" si="3"/>
        <v/>
      </c>
      <c r="G23" s="20">
        <v>41334.61</v>
      </c>
      <c r="H23" s="20">
        <f t="shared" si="4"/>
        <v>-11367.61</v>
      </c>
      <c r="I23" s="19">
        <f t="shared" si="2"/>
        <v>-0.2750143281864762</v>
      </c>
      <c r="J23" s="54" t="s">
        <v>356</v>
      </c>
      <c r="K23" s="90" t="s">
        <v>357</v>
      </c>
      <c r="L23" s="98" t="s">
        <v>39</v>
      </c>
    </row>
    <row r="24" spans="1:13" ht="15.6">
      <c r="A24" s="28" t="str">
        <v>Kohls - Warminster</v>
      </c>
      <c r="B24" s="29" t="str">
        <v>PA</v>
      </c>
      <c r="C24" s="24">
        <v>44971</v>
      </c>
      <c r="D24" s="13">
        <v>44618</v>
      </c>
      <c r="E24" s="13">
        <f t="shared" si="0"/>
        <v>353</v>
      </c>
      <c r="F24" s="14">
        <f t="shared" si="3"/>
        <v>7.9116051817652074E-3</v>
      </c>
      <c r="G24" s="15">
        <v>46156.09</v>
      </c>
      <c r="H24" s="15">
        <f t="shared" si="4"/>
        <v>-1185.0899999999965</v>
      </c>
      <c r="I24" s="16">
        <f t="shared" si="2"/>
        <v>-2.5675701732967342E-2</v>
      </c>
      <c r="J24" s="41"/>
      <c r="K24" s="41"/>
    </row>
    <row r="25" spans="1:13" ht="28.9">
      <c r="A25" s="30" t="str">
        <v xml:space="preserve">Kohls - Waterbury </v>
      </c>
      <c r="B25" s="31" t="str">
        <v>CT</v>
      </c>
      <c r="C25" s="11">
        <v>32687</v>
      </c>
      <c r="D25" s="18">
        <v>32243</v>
      </c>
      <c r="E25" s="18">
        <f t="shared" si="0"/>
        <v>444</v>
      </c>
      <c r="F25" s="19">
        <f t="shared" si="3"/>
        <v>1.3770430791179481E-2</v>
      </c>
      <c r="G25" s="20">
        <v>41949.53</v>
      </c>
      <c r="H25" s="20">
        <f t="shared" si="4"/>
        <v>-9262.5299999999988</v>
      </c>
      <c r="I25" s="19">
        <f t="shared" si="2"/>
        <v>-0.22080175868478144</v>
      </c>
      <c r="J25" s="42" t="s">
        <v>358</v>
      </c>
      <c r="K25" s="90" t="s">
        <v>359</v>
      </c>
    </row>
    <row r="26" spans="1:13" ht="15.6">
      <c r="A26" s="28" t="str">
        <v>Mojave Water Agency - Headquarters</v>
      </c>
      <c r="B26" s="29" t="str">
        <v>CA</v>
      </c>
      <c r="C26" s="24">
        <v>50274</v>
      </c>
      <c r="D26" s="13">
        <v>50207</v>
      </c>
      <c r="E26" s="13">
        <f t="shared" ref="E26:E68" si="5">IF(AND(ISNUMBER(C26),ISNUMBER(D26)), C26-D26, "")</f>
        <v>67</v>
      </c>
      <c r="F26" s="14">
        <f t="shared" si="3"/>
        <v>1.3344752723723785E-3</v>
      </c>
      <c r="G26" s="15">
        <v>39526.57</v>
      </c>
      <c r="H26" s="15">
        <f t="shared" ref="H26:H68" si="6">IF(AND(ISNUMBER(C26),ISNUMBER(G26)), C26-G26, "")</f>
        <v>10747.43</v>
      </c>
      <c r="I26" s="16">
        <f t="shared" si="2"/>
        <v>0.27190393702261545</v>
      </c>
      <c r="J26" s="41"/>
      <c r="K26" s="41"/>
    </row>
    <row r="27" spans="1:13" ht="15.6">
      <c r="A27" s="30" t="str">
        <v>CSU - Bakersfield</v>
      </c>
      <c r="B27" s="31" t="str">
        <v>CA</v>
      </c>
      <c r="C27" s="11">
        <v>192332</v>
      </c>
      <c r="D27" s="18">
        <v>197878</v>
      </c>
      <c r="E27" s="18">
        <f t="shared" si="5"/>
        <v>-5546</v>
      </c>
      <c r="F27" s="19">
        <f t="shared" si="3"/>
        <v>-2.8027370399943401E-2</v>
      </c>
      <c r="G27" s="20">
        <v>171459.72</v>
      </c>
      <c r="H27" s="20">
        <f t="shared" si="6"/>
        <v>20872.28</v>
      </c>
      <c r="I27" s="19">
        <f t="shared" si="2"/>
        <v>0.1217328478082199</v>
      </c>
      <c r="J27" s="42"/>
      <c r="K27" s="43"/>
    </row>
    <row r="28" spans="1:13" ht="15.6">
      <c r="A28" s="28" t="str">
        <v>Greenfield USD - Fairfield ES</v>
      </c>
      <c r="B28" s="29" t="str">
        <v>CA</v>
      </c>
      <c r="C28" s="24">
        <v>16135</v>
      </c>
      <c r="D28" s="13">
        <v>16022</v>
      </c>
      <c r="E28" s="13">
        <f t="shared" si="5"/>
        <v>113</v>
      </c>
      <c r="F28" s="14">
        <f t="shared" si="3"/>
        <v>7.0528023967045316E-3</v>
      </c>
      <c r="G28" s="15">
        <v>16930.919999999998</v>
      </c>
      <c r="H28" s="15">
        <f t="shared" si="6"/>
        <v>-795.91999999999825</v>
      </c>
      <c r="I28" s="16">
        <f t="shared" si="2"/>
        <v>-4.7009849435234369E-2</v>
      </c>
      <c r="J28" s="41"/>
      <c r="K28" s="41"/>
    </row>
    <row r="29" spans="1:13" ht="86.45">
      <c r="A29" s="30" t="str">
        <v>Greenfield USD - Granite Point ES</v>
      </c>
      <c r="B29" s="31" t="str">
        <v>CA</v>
      </c>
      <c r="C29" s="11">
        <v>31577</v>
      </c>
      <c r="D29" s="18">
        <v>31397</v>
      </c>
      <c r="E29" s="18">
        <f t="shared" si="5"/>
        <v>180</v>
      </c>
      <c r="F29" s="19">
        <f t="shared" si="3"/>
        <v>5.7330318183265918E-3</v>
      </c>
      <c r="G29" s="20">
        <v>44787.9</v>
      </c>
      <c r="H29" s="20">
        <f t="shared" si="6"/>
        <v>-13210.900000000001</v>
      </c>
      <c r="I29" s="19">
        <f t="shared" si="2"/>
        <v>-0.29496582782403286</v>
      </c>
      <c r="J29" s="42" t="s">
        <v>360</v>
      </c>
      <c r="K29" s="90" t="s">
        <v>361</v>
      </c>
      <c r="L29" s="98" t="s">
        <v>362</v>
      </c>
      <c r="M29" s="98" t="s">
        <v>363</v>
      </c>
    </row>
    <row r="30" spans="1:13" ht="43.15">
      <c r="A30" s="28" t="str">
        <v>Greenfield USD - Greenfield MS</v>
      </c>
      <c r="B30" s="29" t="str">
        <v>CA</v>
      </c>
      <c r="C30" s="24">
        <v>18679</v>
      </c>
      <c r="D30" s="13">
        <v>18643</v>
      </c>
      <c r="E30" s="13">
        <f t="shared" si="5"/>
        <v>36</v>
      </c>
      <c r="F30" s="14">
        <f t="shared" si="3"/>
        <v>1.9310196856729067E-3</v>
      </c>
      <c r="G30" s="15">
        <v>30442.57</v>
      </c>
      <c r="H30" s="15">
        <f t="shared" si="6"/>
        <v>-11763.57</v>
      </c>
      <c r="I30" s="16">
        <f t="shared" si="2"/>
        <v>-0.38641842656516845</v>
      </c>
      <c r="J30" s="41" t="s">
        <v>364</v>
      </c>
      <c r="K30" s="88" t="s">
        <v>365</v>
      </c>
    </row>
    <row r="31" spans="1:13" ht="187.15">
      <c r="A31" s="30" t="str">
        <v>Greenfield USD - Horizon ES</v>
      </c>
      <c r="B31" s="31" t="str">
        <v>CA</v>
      </c>
      <c r="C31" s="11">
        <v>36639</v>
      </c>
      <c r="D31" s="18">
        <v>36562</v>
      </c>
      <c r="E31" s="18">
        <f t="shared" si="5"/>
        <v>77</v>
      </c>
      <c r="F31" s="19">
        <f t="shared" si="3"/>
        <v>2.1060117061429901E-3</v>
      </c>
      <c r="G31" s="20">
        <v>46583.01</v>
      </c>
      <c r="H31" s="20">
        <f t="shared" si="6"/>
        <v>-9944.010000000002</v>
      </c>
      <c r="I31" s="19">
        <f t="shared" si="2"/>
        <v>-0.21346860153519495</v>
      </c>
      <c r="J31" s="42" t="s">
        <v>366</v>
      </c>
      <c r="K31" s="90" t="s">
        <v>367</v>
      </c>
      <c r="L31" s="98" t="s">
        <v>368</v>
      </c>
      <c r="M31" s="98" t="s">
        <v>369</v>
      </c>
    </row>
    <row r="32" spans="1:13" ht="15.6">
      <c r="A32" s="28" t="str">
        <v>Greenfield USD - McKee MS</v>
      </c>
      <c r="B32" s="29" t="str">
        <v>CA</v>
      </c>
      <c r="C32" s="24">
        <v>21628</v>
      </c>
      <c r="D32" s="13">
        <v>21598</v>
      </c>
      <c r="E32" s="13">
        <f t="shared" si="5"/>
        <v>30</v>
      </c>
      <c r="F32" s="14">
        <f t="shared" si="3"/>
        <v>1.3890175016205205E-3</v>
      </c>
      <c r="G32" s="15">
        <v>28438.799999999999</v>
      </c>
      <c r="H32" s="15">
        <f t="shared" si="6"/>
        <v>-6810.7999999999993</v>
      </c>
      <c r="I32" s="16">
        <f t="shared" si="2"/>
        <v>-0.23948971123957408</v>
      </c>
      <c r="J32" s="41" t="s">
        <v>370</v>
      </c>
      <c r="K32" s="41"/>
    </row>
    <row r="33" spans="1:16" ht="15.6">
      <c r="A33" s="30" t="str">
        <v>Greenfield USD - Plantation ES</v>
      </c>
      <c r="B33" s="31" t="str">
        <v>CA</v>
      </c>
      <c r="C33" s="11">
        <v>19780</v>
      </c>
      <c r="D33" s="18">
        <v>20342</v>
      </c>
      <c r="E33" s="18">
        <f t="shared" si="5"/>
        <v>-562</v>
      </c>
      <c r="F33" s="19">
        <f t="shared" si="3"/>
        <v>-2.7627568577327698E-2</v>
      </c>
      <c r="G33" s="20">
        <v>20341</v>
      </c>
      <c r="H33" s="20">
        <f t="shared" si="6"/>
        <v>-561</v>
      </c>
      <c r="I33" s="19">
        <f t="shared" si="2"/>
        <v>-2.7579765006636843E-2</v>
      </c>
      <c r="J33" s="42"/>
      <c r="K33" s="43"/>
    </row>
    <row r="34" spans="1:16" ht="57.6">
      <c r="A34" s="28" t="str">
        <v>Greenfield USD - Planz ES</v>
      </c>
      <c r="B34" s="29" t="str">
        <v>CA</v>
      </c>
      <c r="C34" s="24">
        <v>7844</v>
      </c>
      <c r="D34" s="13">
        <v>8046</v>
      </c>
      <c r="E34" s="13">
        <f t="shared" si="5"/>
        <v>-202</v>
      </c>
      <c r="F34" s="14">
        <f t="shared" si="3"/>
        <v>-2.5105642555306985E-2</v>
      </c>
      <c r="G34" s="15">
        <v>22372.35</v>
      </c>
      <c r="H34" s="15">
        <f t="shared" si="6"/>
        <v>-14528.349999999999</v>
      </c>
      <c r="I34" s="16">
        <f t="shared" si="2"/>
        <v>-0.64938864267723329</v>
      </c>
      <c r="J34" s="41" t="s">
        <v>371</v>
      </c>
      <c r="K34" s="88" t="s">
        <v>372</v>
      </c>
    </row>
    <row r="35" spans="1:16" ht="43.15">
      <c r="A35" s="30" t="str">
        <v>Greenfield USD - Raffaello Palla ES</v>
      </c>
      <c r="B35" s="31" t="str">
        <v>CA</v>
      </c>
      <c r="C35" s="11">
        <v>28616</v>
      </c>
      <c r="D35" s="18">
        <v>29654</v>
      </c>
      <c r="E35" s="18">
        <f t="shared" si="5"/>
        <v>-1038</v>
      </c>
      <c r="F35" s="19">
        <f t="shared" si="3"/>
        <v>-3.5003709448978217E-2</v>
      </c>
      <c r="G35" s="20">
        <v>50057.440000000002</v>
      </c>
      <c r="H35" s="20">
        <f t="shared" si="6"/>
        <v>-21441.440000000002</v>
      </c>
      <c r="I35" s="19">
        <f t="shared" si="2"/>
        <v>-0.4283367267682886</v>
      </c>
      <c r="J35" s="42" t="s">
        <v>278</v>
      </c>
      <c r="K35" s="90" t="s">
        <v>373</v>
      </c>
    </row>
    <row r="36" spans="1:16" ht="15.6">
      <c r="A36" s="28" t="str">
        <v>Greenfield USD - Valle Verde ES</v>
      </c>
      <c r="B36" s="29" t="str">
        <v>CA</v>
      </c>
      <c r="C36" s="24">
        <v>48072</v>
      </c>
      <c r="D36" s="13">
        <v>49360</v>
      </c>
      <c r="E36" s="13">
        <f t="shared" si="5"/>
        <v>-1288</v>
      </c>
      <c r="F36" s="14">
        <f t="shared" si="3"/>
        <v>-2.6094003241491085E-2</v>
      </c>
      <c r="G36" s="15">
        <v>46702.51</v>
      </c>
      <c r="H36" s="15">
        <f t="shared" si="6"/>
        <v>1369.489999999998</v>
      </c>
      <c r="I36" s="16">
        <f t="shared" si="2"/>
        <v>2.9323691596019098E-2</v>
      </c>
      <c r="J36" s="41"/>
      <c r="K36" s="41"/>
    </row>
    <row r="37" spans="1:16" ht="28.9">
      <c r="A37" s="30" t="str">
        <v>Greenfield USD - W.A. Kendrick ES</v>
      </c>
      <c r="B37" s="31" t="str">
        <v>CA</v>
      </c>
      <c r="C37" s="11">
        <v>0</v>
      </c>
      <c r="D37" s="18" t="s">
        <v>24</v>
      </c>
      <c r="E37" s="18" t="str">
        <f t="shared" si="5"/>
        <v/>
      </c>
      <c r="F37" s="19" t="str">
        <f t="shared" si="3"/>
        <v/>
      </c>
      <c r="G37" s="20">
        <v>18015.53</v>
      </c>
      <c r="H37" s="20">
        <f t="shared" si="6"/>
        <v>-18015.53</v>
      </c>
      <c r="I37" s="19">
        <f t="shared" si="2"/>
        <v>-1</v>
      </c>
      <c r="J37" s="42" t="s">
        <v>131</v>
      </c>
      <c r="K37" s="90" t="s">
        <v>50</v>
      </c>
    </row>
    <row r="38" spans="1:16" ht="57.6">
      <c r="A38" s="28" t="str">
        <v>Muroc Joint USD - Boron HS</v>
      </c>
      <c r="B38" s="29" t="str">
        <v>CA</v>
      </c>
      <c r="C38" s="24">
        <v>0</v>
      </c>
      <c r="D38" s="13" t="s">
        <v>24</v>
      </c>
      <c r="E38" s="13" t="str">
        <f t="shared" si="5"/>
        <v/>
      </c>
      <c r="F38" s="14" t="str">
        <f t="shared" si="3"/>
        <v/>
      </c>
      <c r="G38" s="15">
        <v>40633.79</v>
      </c>
      <c r="H38" s="15">
        <f t="shared" si="6"/>
        <v>-40633.79</v>
      </c>
      <c r="I38" s="16">
        <f t="shared" si="2"/>
        <v>-1</v>
      </c>
      <c r="J38" s="41" t="s">
        <v>374</v>
      </c>
      <c r="K38" s="88" t="s">
        <v>375</v>
      </c>
      <c r="L38" s="98" t="s">
        <v>54</v>
      </c>
    </row>
    <row r="39" spans="1:16" ht="15.6">
      <c r="A39" s="30" t="str">
        <v>Muroc Joint USD - W. Boron ES</v>
      </c>
      <c r="B39" s="31" t="str">
        <v>CA</v>
      </c>
      <c r="C39" s="11">
        <v>13740</v>
      </c>
      <c r="D39" s="18">
        <v>14135</v>
      </c>
      <c r="E39" s="18">
        <f t="shared" si="5"/>
        <v>-395</v>
      </c>
      <c r="F39" s="19">
        <f t="shared" si="3"/>
        <v>-2.7944817828086312E-2</v>
      </c>
      <c r="G39" s="20">
        <v>14985.37</v>
      </c>
      <c r="H39" s="20">
        <f t="shared" si="6"/>
        <v>-1245.3700000000008</v>
      </c>
      <c r="I39" s="19">
        <f t="shared" si="2"/>
        <v>-8.3105722447960967E-2</v>
      </c>
      <c r="J39" s="42"/>
      <c r="K39" s="43"/>
    </row>
    <row r="40" spans="1:16" ht="115.15">
      <c r="A40" s="28" t="str">
        <v>Colusa - WTP</v>
      </c>
      <c r="B40" s="29" t="str">
        <v>CA</v>
      </c>
      <c r="C40" s="24">
        <v>0</v>
      </c>
      <c r="D40" s="13" t="s">
        <v>24</v>
      </c>
      <c r="E40" s="13" t="str">
        <f t="shared" si="5"/>
        <v/>
      </c>
      <c r="F40" s="14" t="str">
        <f t="shared" si="3"/>
        <v/>
      </c>
      <c r="G40" s="15">
        <v>62987.19</v>
      </c>
      <c r="H40" s="15">
        <f t="shared" si="6"/>
        <v>-62987.19</v>
      </c>
      <c r="I40" s="16">
        <f t="shared" si="2"/>
        <v>-1</v>
      </c>
      <c r="J40" s="41" t="s">
        <v>376</v>
      </c>
      <c r="K40" s="88" t="s">
        <v>280</v>
      </c>
      <c r="L40" s="98" t="s">
        <v>57</v>
      </c>
      <c r="M40" s="98" t="s">
        <v>58</v>
      </c>
      <c r="N40" s="98" t="s">
        <v>59</v>
      </c>
      <c r="O40" s="98" t="s">
        <v>136</v>
      </c>
      <c r="P40" s="98" t="s">
        <v>281</v>
      </c>
    </row>
    <row r="41" spans="1:16" ht="15.6">
      <c r="A41" s="30" t="str">
        <v>CDCR-North Kern State Prision</v>
      </c>
      <c r="B41" s="31" t="str">
        <v>CA</v>
      </c>
      <c r="C41" s="11">
        <v>140327</v>
      </c>
      <c r="D41" s="18">
        <v>139595</v>
      </c>
      <c r="E41" s="18">
        <f t="shared" si="5"/>
        <v>732</v>
      </c>
      <c r="F41" s="19">
        <f t="shared" si="3"/>
        <v>5.2437408216626669E-3</v>
      </c>
      <c r="G41" s="20">
        <v>253737.72</v>
      </c>
      <c r="H41" s="20">
        <f t="shared" si="6"/>
        <v>-113410.72</v>
      </c>
      <c r="I41" s="19">
        <f t="shared" si="2"/>
        <v>-0.44696042827215443</v>
      </c>
      <c r="J41" s="54" t="s">
        <v>377</v>
      </c>
      <c r="K41" s="90" t="s">
        <v>378</v>
      </c>
    </row>
    <row r="42" spans="1:16" ht="15.6">
      <c r="A42" s="28" t="str">
        <v>Muroc Joint USD - District Office</v>
      </c>
      <c r="B42" s="29" t="str">
        <v>CA</v>
      </c>
      <c r="C42" s="24">
        <v>6928</v>
      </c>
      <c r="D42" s="13">
        <v>7138</v>
      </c>
      <c r="E42" s="13">
        <f t="shared" si="5"/>
        <v>-210</v>
      </c>
      <c r="F42" s="14">
        <f t="shared" si="3"/>
        <v>-2.9420005603810591E-2</v>
      </c>
      <c r="G42" s="15">
        <v>10570.6</v>
      </c>
      <c r="H42" s="15">
        <f t="shared" si="6"/>
        <v>-3642.6000000000004</v>
      </c>
      <c r="I42" s="16">
        <f t="shared" si="2"/>
        <v>-0.3445972792462112</v>
      </c>
      <c r="J42" s="41" t="s">
        <v>379</v>
      </c>
      <c r="K42" s="41"/>
    </row>
    <row r="43" spans="1:16" ht="115.15">
      <c r="A43" s="30" t="str">
        <v>Whole Foods - Manhattan Beach</v>
      </c>
      <c r="B43" s="31" t="str">
        <v>CA</v>
      </c>
      <c r="C43" s="11">
        <v>16498</v>
      </c>
      <c r="D43" s="18">
        <v>17021</v>
      </c>
      <c r="E43" s="18">
        <f t="shared" si="5"/>
        <v>-523</v>
      </c>
      <c r="F43" s="19">
        <f t="shared" si="3"/>
        <v>-3.0726749309676282E-2</v>
      </c>
      <c r="G43" s="20">
        <v>22703.25</v>
      </c>
      <c r="H43" s="20">
        <f t="shared" si="6"/>
        <v>-6205.25</v>
      </c>
      <c r="I43" s="19">
        <f t="shared" si="2"/>
        <v>-0.273319899133384</v>
      </c>
      <c r="J43" s="54" t="s">
        <v>380</v>
      </c>
      <c r="K43" s="90" t="s">
        <v>381</v>
      </c>
      <c r="L43" s="98" t="s">
        <v>287</v>
      </c>
      <c r="M43" s="98" t="s">
        <v>143</v>
      </c>
      <c r="N43" s="98" t="s">
        <v>382</v>
      </c>
      <c r="O43" s="98" t="s">
        <v>383</v>
      </c>
    </row>
    <row r="44" spans="1:16" ht="28.9">
      <c r="A44" s="28" t="str">
        <v>Pioneer USD - Frontier ES</v>
      </c>
      <c r="B44" s="29" t="str">
        <v>CA</v>
      </c>
      <c r="C44" s="24">
        <v>33974</v>
      </c>
      <c r="D44" s="13" t="s">
        <v>24</v>
      </c>
      <c r="E44" s="13" t="str">
        <f t="shared" si="5"/>
        <v/>
      </c>
      <c r="F44" s="14" t="str">
        <f t="shared" si="3"/>
        <v/>
      </c>
      <c r="G44" s="15">
        <v>39041.660000000003</v>
      </c>
      <c r="H44" s="15">
        <f t="shared" si="6"/>
        <v>-5067.6600000000035</v>
      </c>
      <c r="I44" s="16">
        <f t="shared" si="2"/>
        <v>-0.12980134553704947</v>
      </c>
      <c r="J44" s="41" t="s">
        <v>144</v>
      </c>
      <c r="K44" s="88" t="s">
        <v>384</v>
      </c>
    </row>
    <row r="45" spans="1:16" ht="144">
      <c r="A45" s="30" t="str">
        <v>Pioneer USD - Pioneer ES</v>
      </c>
      <c r="B45" s="31" t="str">
        <v>CA</v>
      </c>
      <c r="C45" s="11">
        <v>9968</v>
      </c>
      <c r="D45" s="18" t="s">
        <v>24</v>
      </c>
      <c r="E45" s="18" t="str">
        <f t="shared" si="5"/>
        <v/>
      </c>
      <c r="F45" s="19" t="str">
        <f t="shared" si="3"/>
        <v/>
      </c>
      <c r="G45" s="20">
        <v>39764.35</v>
      </c>
      <c r="H45" s="20">
        <f t="shared" si="6"/>
        <v>-29796.35</v>
      </c>
      <c r="I45" s="19">
        <f t="shared" si="2"/>
        <v>-0.74932320030378974</v>
      </c>
      <c r="J45" s="42" t="s">
        <v>385</v>
      </c>
      <c r="K45" s="90" t="s">
        <v>386</v>
      </c>
      <c r="L45" s="98" t="s">
        <v>69</v>
      </c>
      <c r="M45" s="98" t="s">
        <v>70</v>
      </c>
      <c r="N45" s="98" t="s">
        <v>71</v>
      </c>
      <c r="O45" s="98" t="s">
        <v>71</v>
      </c>
    </row>
    <row r="46" spans="1:16" ht="72">
      <c r="A46" s="28" t="str">
        <v>Pioneer USD - Pioneer MS</v>
      </c>
      <c r="B46" s="29" t="str">
        <v>CA</v>
      </c>
      <c r="C46" s="24">
        <v>47623</v>
      </c>
      <c r="D46" s="13" t="s">
        <v>24</v>
      </c>
      <c r="E46" s="13" t="str">
        <f t="shared" si="5"/>
        <v/>
      </c>
      <c r="F46" s="14" t="str">
        <f t="shared" si="3"/>
        <v/>
      </c>
      <c r="G46" s="15">
        <v>53427.14</v>
      </c>
      <c r="H46" s="15">
        <f t="shared" si="6"/>
        <v>-5804.1399999999994</v>
      </c>
      <c r="I46" s="16">
        <f t="shared" si="2"/>
        <v>-0.10863654689358254</v>
      </c>
      <c r="J46" s="41" t="s">
        <v>387</v>
      </c>
      <c r="K46" s="88" t="s">
        <v>388</v>
      </c>
      <c r="L46" s="98" t="s">
        <v>74</v>
      </c>
    </row>
    <row r="47" spans="1:16" ht="179.85" customHeight="1">
      <c r="A47" s="30" t="str">
        <v>Kingsburg Joint UHSD - Kingsburg HS</v>
      </c>
      <c r="B47" s="31" t="str">
        <v>CA</v>
      </c>
      <c r="C47" s="11">
        <v>74894</v>
      </c>
      <c r="D47" s="18">
        <v>60742</v>
      </c>
      <c r="E47" s="18">
        <f t="shared" si="5"/>
        <v>14152</v>
      </c>
      <c r="F47" s="19">
        <f t="shared" si="3"/>
        <v>0.23298541371703269</v>
      </c>
      <c r="G47" s="20">
        <v>87255.83</v>
      </c>
      <c r="H47" s="20">
        <f t="shared" si="6"/>
        <v>-12361.830000000002</v>
      </c>
      <c r="I47" s="19">
        <f t="shared" si="2"/>
        <v>-0.14167339878607541</v>
      </c>
      <c r="J47" s="54" t="s">
        <v>389</v>
      </c>
      <c r="K47" s="90" t="s">
        <v>390</v>
      </c>
      <c r="L47" s="98" t="s">
        <v>149</v>
      </c>
      <c r="M47" s="98" t="s">
        <v>391</v>
      </c>
      <c r="N47" s="98" t="s">
        <v>292</v>
      </c>
    </row>
    <row r="48" spans="1:16" ht="86.45">
      <c r="A48" s="28" t="str">
        <v>CADRB</v>
      </c>
      <c r="B48" s="29" t="str">
        <v>CA</v>
      </c>
      <c r="C48" s="24">
        <v>0</v>
      </c>
      <c r="D48" s="13" t="s">
        <v>24</v>
      </c>
      <c r="E48" s="13" t="str">
        <f t="shared" si="5"/>
        <v/>
      </c>
      <c r="F48" s="14" t="str">
        <f t="shared" si="3"/>
        <v/>
      </c>
      <c r="G48" s="15">
        <v>906720</v>
      </c>
      <c r="H48" s="15">
        <f t="shared" si="6"/>
        <v>-906720</v>
      </c>
      <c r="I48" s="16">
        <f t="shared" si="2"/>
        <v>-1</v>
      </c>
      <c r="J48" s="41" t="s">
        <v>293</v>
      </c>
      <c r="K48" s="88" t="s">
        <v>294</v>
      </c>
      <c r="L48" s="98" t="s">
        <v>152</v>
      </c>
      <c r="M48" s="98" t="s">
        <v>295</v>
      </c>
      <c r="N48" s="98" t="s">
        <v>81</v>
      </c>
      <c r="O48" s="98" t="s">
        <v>295</v>
      </c>
      <c r="P48" s="98" t="s">
        <v>82</v>
      </c>
    </row>
    <row r="49" spans="1:20" ht="72">
      <c r="A49" s="30" t="str">
        <v>CDCR-CA State Prison LA County</v>
      </c>
      <c r="B49" s="31" t="str">
        <v>CA</v>
      </c>
      <c r="C49" s="11">
        <v>337153</v>
      </c>
      <c r="D49" s="18">
        <v>336647</v>
      </c>
      <c r="E49" s="18">
        <f t="shared" si="5"/>
        <v>506</v>
      </c>
      <c r="F49" s="19">
        <f t="shared" si="3"/>
        <v>1.5030580994335313E-3</v>
      </c>
      <c r="G49" s="20">
        <v>572636</v>
      </c>
      <c r="H49" s="20">
        <f t="shared" si="6"/>
        <v>-235483</v>
      </c>
      <c r="I49" s="19">
        <f t="shared" si="2"/>
        <v>-0.41122632876731469</v>
      </c>
      <c r="J49" s="42" t="s">
        <v>392</v>
      </c>
      <c r="K49" s="90" t="s">
        <v>393</v>
      </c>
      <c r="L49" s="98" t="s">
        <v>394</v>
      </c>
    </row>
    <row r="50" spans="1:20" ht="15.6">
      <c r="A50" s="28" t="str">
        <v>Central USD Akers ES</v>
      </c>
      <c r="B50" s="29" t="str">
        <v>CA</v>
      </c>
      <c r="C50" s="24">
        <v>48197</v>
      </c>
      <c r="D50" s="13" t="s">
        <v>24</v>
      </c>
      <c r="E50" s="13" t="str">
        <f t="shared" si="5"/>
        <v/>
      </c>
      <c r="F50" s="14" t="str">
        <f t="shared" si="3"/>
        <v/>
      </c>
      <c r="G50" s="15">
        <v>43541.58</v>
      </c>
      <c r="H50" s="15">
        <f t="shared" si="6"/>
        <v>4655.4199999999983</v>
      </c>
      <c r="I50" s="16">
        <f t="shared" si="2"/>
        <v>0.10691894965685669</v>
      </c>
      <c r="J50" s="41"/>
      <c r="K50" s="41"/>
    </row>
    <row r="51" spans="1:20" ht="158.44999999999999">
      <c r="A51" s="30" t="str">
        <v>CUSD - District Office</v>
      </c>
      <c r="B51" s="31" t="str">
        <v>CA</v>
      </c>
      <c r="C51" s="11">
        <v>24878</v>
      </c>
      <c r="D51" s="18">
        <v>25251</v>
      </c>
      <c r="E51" s="18">
        <f t="shared" si="5"/>
        <v>-373</v>
      </c>
      <c r="F51" s="19">
        <f t="shared" si="3"/>
        <v>-1.4771692210209497E-2</v>
      </c>
      <c r="G51" s="20">
        <v>37350.559999999998</v>
      </c>
      <c r="H51" s="20">
        <f t="shared" si="6"/>
        <v>-12472.559999999998</v>
      </c>
      <c r="I51" s="19">
        <f t="shared" si="2"/>
        <v>-0.33393234264760685</v>
      </c>
      <c r="J51" s="42" t="s">
        <v>395</v>
      </c>
      <c r="K51" s="90" t="s">
        <v>396</v>
      </c>
      <c r="L51" s="98" t="s">
        <v>397</v>
      </c>
    </row>
    <row r="52" spans="1:20" ht="43.15">
      <c r="A52" s="28" t="str">
        <v>Parlier - WTP</v>
      </c>
      <c r="B52" s="29" t="str">
        <v>CA</v>
      </c>
      <c r="C52" s="24">
        <v>43664</v>
      </c>
      <c r="D52" s="13">
        <v>43639</v>
      </c>
      <c r="E52" s="13">
        <f t="shared" si="5"/>
        <v>25</v>
      </c>
      <c r="F52" s="14">
        <f t="shared" si="3"/>
        <v>5.728820550425078E-4</v>
      </c>
      <c r="G52" s="15">
        <v>103327.84</v>
      </c>
      <c r="H52" s="15">
        <f t="shared" si="6"/>
        <v>-59663.839999999997</v>
      </c>
      <c r="I52" s="16">
        <f t="shared" si="2"/>
        <v>-0.5774226965356094</v>
      </c>
      <c r="J52" s="41" t="s">
        <v>398</v>
      </c>
      <c r="K52" s="88" t="s">
        <v>399</v>
      </c>
    </row>
    <row r="53" spans="1:20" ht="72">
      <c r="A53" s="30" t="str">
        <v>Snowline SD - Quail Valley MS</v>
      </c>
      <c r="B53" s="31" t="str">
        <v>CA</v>
      </c>
      <c r="C53" s="11">
        <v>42433</v>
      </c>
      <c r="D53" s="18">
        <v>43953</v>
      </c>
      <c r="E53" s="18">
        <f t="shared" si="5"/>
        <v>-1520</v>
      </c>
      <c r="F53" s="19">
        <f t="shared" si="3"/>
        <v>-3.4582394830842036E-2</v>
      </c>
      <c r="G53" s="20">
        <v>49077.26</v>
      </c>
      <c r="H53" s="20">
        <f t="shared" si="6"/>
        <v>-6644.260000000002</v>
      </c>
      <c r="I53" s="19">
        <f t="shared" si="2"/>
        <v>-0.13538367871392987</v>
      </c>
      <c r="J53" s="42" t="s">
        <v>303</v>
      </c>
      <c r="K53" s="90" t="s">
        <v>400</v>
      </c>
      <c r="L53" s="98" t="s">
        <v>305</v>
      </c>
    </row>
    <row r="54" spans="1:20" ht="15.6">
      <c r="A54" s="28" t="str">
        <v>Snowline SD - Serrano HS - Middle Lot</v>
      </c>
      <c r="B54" s="29" t="str">
        <v>CA</v>
      </c>
      <c r="C54" s="24">
        <v>38334</v>
      </c>
      <c r="D54" s="13">
        <v>38295</v>
      </c>
      <c r="E54" s="13">
        <f t="shared" si="5"/>
        <v>39</v>
      </c>
      <c r="F54" s="14">
        <f t="shared" si="3"/>
        <v>1.018409714061888E-3</v>
      </c>
      <c r="G54" s="15">
        <v>62475.15</v>
      </c>
      <c r="H54" s="15">
        <f t="shared" si="6"/>
        <v>-24141.15</v>
      </c>
      <c r="I54" s="16">
        <f t="shared" si="2"/>
        <v>-0.3864120374260806</v>
      </c>
      <c r="J54" s="41" t="s">
        <v>401</v>
      </c>
      <c r="K54" s="41"/>
    </row>
    <row r="55" spans="1:20" ht="28.9">
      <c r="A55" s="30" t="str">
        <v>Snowline SD - Pinon Hills ES</v>
      </c>
      <c r="B55" s="31" t="str">
        <v>CA</v>
      </c>
      <c r="C55" s="11">
        <v>13006</v>
      </c>
      <c r="D55" s="18">
        <v>13385</v>
      </c>
      <c r="E55" s="18">
        <f t="shared" si="5"/>
        <v>-379</v>
      </c>
      <c r="F55" s="19">
        <f t="shared" si="3"/>
        <v>-2.8315278296600674E-2</v>
      </c>
      <c r="G55" s="20">
        <v>26919.02</v>
      </c>
      <c r="H55" s="20">
        <f t="shared" si="6"/>
        <v>-13913.02</v>
      </c>
      <c r="I55" s="19">
        <f t="shared" si="2"/>
        <v>-0.51684719577458615</v>
      </c>
      <c r="J55" s="54" t="s">
        <v>402</v>
      </c>
      <c r="K55" s="90" t="s">
        <v>403</v>
      </c>
      <c r="L55" s="98" t="s">
        <v>404</v>
      </c>
    </row>
    <row r="56" spans="1:20" ht="15.6">
      <c r="A56" s="28" t="str">
        <v>Ramona - Santa Maria WTP</v>
      </c>
      <c r="B56" s="29" t="str">
        <v>CA</v>
      </c>
      <c r="C56" s="24">
        <v>67824</v>
      </c>
      <c r="D56" s="13">
        <v>68980</v>
      </c>
      <c r="E56" s="13">
        <f t="shared" si="5"/>
        <v>-1156</v>
      </c>
      <c r="F56" s="14">
        <f t="shared" si="3"/>
        <v>-1.6758480719049E-2</v>
      </c>
      <c r="G56" s="15">
        <v>81023.929999999993</v>
      </c>
      <c r="H56" s="15">
        <f t="shared" si="6"/>
        <v>-13199.929999999993</v>
      </c>
      <c r="I56" s="16">
        <f t="shared" si="2"/>
        <v>-0.16291396874972608</v>
      </c>
      <c r="J56" s="41" t="s">
        <v>405</v>
      </c>
      <c r="K56" s="41"/>
    </row>
    <row r="57" spans="1:20" ht="15.6">
      <c r="A57" s="30" t="str">
        <v>Kohls - Redding</v>
      </c>
      <c r="B57" s="31" t="str">
        <v>CA</v>
      </c>
      <c r="C57" s="11">
        <v>36806</v>
      </c>
      <c r="D57" s="18"/>
      <c r="E57" s="18" t="str">
        <f t="shared" si="5"/>
        <v/>
      </c>
      <c r="F57" s="19" t="str">
        <f t="shared" si="3"/>
        <v/>
      </c>
      <c r="G57" s="20">
        <v>36330.5</v>
      </c>
      <c r="H57" s="20">
        <f t="shared" si="6"/>
        <v>475.5</v>
      </c>
      <c r="I57" s="19">
        <f t="shared" si="2"/>
        <v>1.3088176600927596E-2</v>
      </c>
      <c r="J57" s="42"/>
      <c r="K57" s="54"/>
    </row>
    <row r="58" spans="1:20" ht="129.6">
      <c r="A58" s="28" t="str">
        <v>Kohls - Salinas</v>
      </c>
      <c r="B58" s="29" t="str">
        <v>CA</v>
      </c>
      <c r="C58" s="24">
        <v>40888</v>
      </c>
      <c r="D58" s="13">
        <v>42185</v>
      </c>
      <c r="E58" s="13">
        <f t="shared" si="5"/>
        <v>-1297</v>
      </c>
      <c r="F58" s="14">
        <f t="shared" si="3"/>
        <v>-3.0745525660779899E-2</v>
      </c>
      <c r="G58" s="15">
        <v>53596.2</v>
      </c>
      <c r="H58" s="15">
        <f t="shared" si="6"/>
        <v>-12708.199999999997</v>
      </c>
      <c r="I58" s="16">
        <f t="shared" si="2"/>
        <v>-0.2371100936260406</v>
      </c>
      <c r="J58" s="41" t="s">
        <v>406</v>
      </c>
      <c r="K58" s="88" t="s">
        <v>407</v>
      </c>
      <c r="L58" s="98" t="s">
        <v>221</v>
      </c>
      <c r="M58" s="98" t="s">
        <v>158</v>
      </c>
      <c r="N58" s="98" t="s">
        <v>100</v>
      </c>
      <c r="O58" s="98" t="s">
        <v>98</v>
      </c>
      <c r="P58" s="98" t="s">
        <v>312</v>
      </c>
      <c r="Q58" s="98" t="s">
        <v>408</v>
      </c>
    </row>
    <row r="59" spans="1:20" ht="187.15">
      <c r="A59" s="30" t="str">
        <v>Kohls - San Bernardino - Central</v>
      </c>
      <c r="B59" s="31" t="str">
        <v>CA</v>
      </c>
      <c r="C59" s="11">
        <v>0</v>
      </c>
      <c r="D59" s="18" t="s">
        <v>24</v>
      </c>
      <c r="E59" s="18" t="str">
        <f t="shared" si="5"/>
        <v/>
      </c>
      <c r="F59" s="19" t="str">
        <f t="shared" si="3"/>
        <v/>
      </c>
      <c r="G59" s="20">
        <v>174622.88</v>
      </c>
      <c r="H59" s="20">
        <f t="shared" si="6"/>
        <v>-174622.88</v>
      </c>
      <c r="I59" s="19">
        <f t="shared" si="2"/>
        <v>-1</v>
      </c>
      <c r="J59" s="42" t="s">
        <v>409</v>
      </c>
      <c r="K59" s="90" t="s">
        <v>410</v>
      </c>
      <c r="L59" s="98" t="s">
        <v>411</v>
      </c>
      <c r="M59" s="98" t="s">
        <v>315</v>
      </c>
      <c r="N59" s="98" t="s">
        <v>412</v>
      </c>
    </row>
    <row r="60" spans="1:20" ht="187.15">
      <c r="A60" s="28" t="str">
        <v>Kohls - Sonora</v>
      </c>
      <c r="B60" s="29" t="str">
        <v>CA</v>
      </c>
      <c r="C60" s="24">
        <v>32625</v>
      </c>
      <c r="D60" s="13">
        <v>33495</v>
      </c>
      <c r="E60" s="13">
        <f t="shared" si="5"/>
        <v>-870</v>
      </c>
      <c r="F60" s="14">
        <f t="shared" si="3"/>
        <v>-2.5974025974025976E-2</v>
      </c>
      <c r="G60" s="15">
        <v>38514.629999999997</v>
      </c>
      <c r="H60" s="15">
        <f t="shared" si="6"/>
        <v>-5889.6299999999974</v>
      </c>
      <c r="I60" s="16">
        <f t="shared" si="2"/>
        <v>-0.15291929326596149</v>
      </c>
      <c r="J60" s="41" t="s">
        <v>413</v>
      </c>
      <c r="K60" s="88" t="s">
        <v>414</v>
      </c>
      <c r="L60" s="98" t="s">
        <v>161</v>
      </c>
      <c r="M60" s="98" t="s">
        <v>415</v>
      </c>
      <c r="N60" s="98" t="s">
        <v>103</v>
      </c>
      <c r="O60" s="98" t="s">
        <v>161</v>
      </c>
      <c r="P60" s="98" t="s">
        <v>103</v>
      </c>
      <c r="Q60" s="98" t="s">
        <v>161</v>
      </c>
      <c r="R60" s="98" t="s">
        <v>416</v>
      </c>
      <c r="S60" s="98" t="s">
        <v>415</v>
      </c>
      <c r="T60" s="98" t="s">
        <v>416</v>
      </c>
    </row>
    <row r="61" spans="1:20" ht="15.6">
      <c r="A61" s="30" t="str">
        <v>CUSD - Stratford ES</v>
      </c>
      <c r="B61" s="31" t="str">
        <v>CA</v>
      </c>
      <c r="C61" s="11">
        <v>28234</v>
      </c>
      <c r="D61" s="18">
        <v>29015</v>
      </c>
      <c r="E61" s="18">
        <f t="shared" si="5"/>
        <v>-781</v>
      </c>
      <c r="F61" s="19">
        <f t="shared" si="3"/>
        <v>-2.6917111838704117E-2</v>
      </c>
      <c r="G61" s="20">
        <v>26263.15</v>
      </c>
      <c r="H61" s="20">
        <f t="shared" si="6"/>
        <v>1970.8499999999985</v>
      </c>
      <c r="I61" s="19">
        <f t="shared" si="2"/>
        <v>7.5042407327376895E-2</v>
      </c>
      <c r="J61" s="42"/>
      <c r="K61" s="54"/>
    </row>
    <row r="62" spans="1:20" ht="16.5" customHeight="1">
      <c r="A62" s="28" t="str">
        <v>Taft - City Hall</v>
      </c>
      <c r="B62" s="29" t="str">
        <v>CA</v>
      </c>
      <c r="C62" s="24">
        <v>796</v>
      </c>
      <c r="D62" s="13">
        <v>64</v>
      </c>
      <c r="E62" s="13">
        <f t="shared" si="5"/>
        <v>732</v>
      </c>
      <c r="F62" s="14">
        <f t="shared" si="3"/>
        <v>11.4375</v>
      </c>
      <c r="G62" s="15">
        <v>11244.78</v>
      </c>
      <c r="H62" s="15">
        <f t="shared" si="6"/>
        <v>-10448.780000000001</v>
      </c>
      <c r="I62" s="16">
        <f t="shared" si="2"/>
        <v>-0.92921159862620706</v>
      </c>
      <c r="J62" s="41" t="s">
        <v>316</v>
      </c>
      <c r="K62" s="88" t="s">
        <v>226</v>
      </c>
    </row>
    <row r="63" spans="1:20" ht="15.6">
      <c r="A63" s="30" t="str">
        <v>Taft - Federal Prison</v>
      </c>
      <c r="B63" s="31" t="str">
        <v>CA</v>
      </c>
      <c r="C63" s="11">
        <v>18988</v>
      </c>
      <c r="D63" s="18">
        <v>19527</v>
      </c>
      <c r="E63" s="18">
        <f t="shared" si="5"/>
        <v>-539</v>
      </c>
      <c r="F63" s="19">
        <f t="shared" si="3"/>
        <v>-2.7602806370666259E-2</v>
      </c>
      <c r="G63" s="20">
        <v>17368.259999999998</v>
      </c>
      <c r="H63" s="20">
        <f t="shared" si="6"/>
        <v>1619.7400000000016</v>
      </c>
      <c r="I63" s="19">
        <f t="shared" si="2"/>
        <v>9.3258622337528449E-2</v>
      </c>
      <c r="J63" s="42"/>
      <c r="K63" s="43"/>
    </row>
    <row r="64" spans="1:20" ht="15.6">
      <c r="A64" s="28" t="str">
        <v>Taft - Police Department</v>
      </c>
      <c r="B64" s="29" t="str">
        <v>CA</v>
      </c>
      <c r="C64" s="24">
        <v>13959</v>
      </c>
      <c r="D64" s="13">
        <v>14376</v>
      </c>
      <c r="E64" s="13">
        <f t="shared" si="5"/>
        <v>-417</v>
      </c>
      <c r="F64" s="14">
        <f t="shared" si="3"/>
        <v>-2.9006677796327211E-2</v>
      </c>
      <c r="G64" s="15">
        <v>12861.22</v>
      </c>
      <c r="H64" s="15">
        <f t="shared" si="6"/>
        <v>1097.7800000000007</v>
      </c>
      <c r="I64" s="16">
        <f t="shared" si="2"/>
        <v>8.5355821609458565E-2</v>
      </c>
      <c r="J64" s="41"/>
      <c r="K64" s="41"/>
    </row>
    <row r="65" spans="1:14" ht="72">
      <c r="A65" s="30" t="str">
        <v>Taft - WTP</v>
      </c>
      <c r="B65" s="31" t="str">
        <v>CA</v>
      </c>
      <c r="C65" s="11">
        <v>65151</v>
      </c>
      <c r="D65" s="18">
        <v>64939</v>
      </c>
      <c r="E65" s="18">
        <f t="shared" si="5"/>
        <v>212</v>
      </c>
      <c r="F65" s="19">
        <f t="shared" si="3"/>
        <v>3.2646021651087944E-3</v>
      </c>
      <c r="G65" s="20">
        <v>77110.149999999994</v>
      </c>
      <c r="H65" s="20">
        <f t="shared" si="6"/>
        <v>-11959.149999999994</v>
      </c>
      <c r="I65" s="19">
        <f t="shared" si="2"/>
        <v>-0.1550917745588615</v>
      </c>
      <c r="J65" s="42" t="s">
        <v>417</v>
      </c>
      <c r="K65" s="90" t="s">
        <v>318</v>
      </c>
      <c r="L65" s="98" t="s">
        <v>319</v>
      </c>
      <c r="M65" s="98" t="s">
        <v>319</v>
      </c>
    </row>
    <row r="66" spans="1:14" ht="28.9">
      <c r="A66" s="28" t="str">
        <v>CDCR - CA Correctional Institution</v>
      </c>
      <c r="B66" s="29" t="str">
        <v>CA</v>
      </c>
      <c r="C66" s="24">
        <v>250530</v>
      </c>
      <c r="D66" s="13">
        <v>249898</v>
      </c>
      <c r="E66" s="13">
        <f t="shared" si="5"/>
        <v>632</v>
      </c>
      <c r="F66" s="14">
        <f t="shared" si="3"/>
        <v>2.5290318449927569E-3</v>
      </c>
      <c r="G66" s="15">
        <v>260218.07</v>
      </c>
      <c r="H66" s="15">
        <f t="shared" si="6"/>
        <v>-9688.070000000007</v>
      </c>
      <c r="I66" s="16">
        <f t="shared" si="2"/>
        <v>-3.723058125825008E-2</v>
      </c>
      <c r="J66" s="41" t="s">
        <v>418</v>
      </c>
      <c r="K66" s="88" t="s">
        <v>419</v>
      </c>
    </row>
    <row r="67" spans="1:14" ht="158.44999999999999">
      <c r="A67" s="30" t="str">
        <v>CDCR - CA Correctional Institution II</v>
      </c>
      <c r="B67" s="31" t="str">
        <v>CA</v>
      </c>
      <c r="C67" s="11">
        <v>203177</v>
      </c>
      <c r="D67" s="18">
        <v>202781</v>
      </c>
      <c r="E67" s="18">
        <f t="shared" si="5"/>
        <v>396</v>
      </c>
      <c r="F67" s="19">
        <f t="shared" si="3"/>
        <v>1.9528456808083597E-3</v>
      </c>
      <c r="G67" s="20">
        <v>386824.62</v>
      </c>
      <c r="H67" s="20">
        <f t="shared" si="6"/>
        <v>-183647.62</v>
      </c>
      <c r="I67" s="19">
        <f t="shared" si="2"/>
        <v>-0.47475680322519287</v>
      </c>
      <c r="J67" s="42" t="s">
        <v>420</v>
      </c>
      <c r="K67" s="90" t="s">
        <v>421</v>
      </c>
      <c r="L67" s="98" t="s">
        <v>114</v>
      </c>
      <c r="M67" s="98" t="s">
        <v>422</v>
      </c>
      <c r="N67" s="98" t="s">
        <v>236</v>
      </c>
    </row>
    <row r="68" spans="1:14" ht="28.9">
      <c r="A68" s="28" t="str">
        <v>Snowline SD - Vista Verde ES</v>
      </c>
      <c r="B68" s="29" t="str">
        <v>CA</v>
      </c>
      <c r="C68" s="24">
        <v>15618</v>
      </c>
      <c r="D68" s="13">
        <v>15599</v>
      </c>
      <c r="E68" s="13">
        <f t="shared" si="5"/>
        <v>19</v>
      </c>
      <c r="F68" s="14">
        <f t="shared" si="3"/>
        <v>1.2180267965895249E-3</v>
      </c>
      <c r="G68" s="15">
        <v>36285.410000000003</v>
      </c>
      <c r="H68" s="15">
        <f t="shared" si="6"/>
        <v>-20667.410000000003</v>
      </c>
      <c r="I68" s="16">
        <f t="shared" si="2"/>
        <v>-0.56957906772997746</v>
      </c>
      <c r="J68" s="41" t="s">
        <v>423</v>
      </c>
      <c r="K68" s="88" t="s">
        <v>424</v>
      </c>
    </row>
    <row r="69" spans="1:14" ht="86.45">
      <c r="A69" s="30" t="str">
        <v>North Stonington</v>
      </c>
      <c r="B69" s="31" t="str">
        <v>CT</v>
      </c>
      <c r="C69" s="11">
        <v>1403640</v>
      </c>
      <c r="D69" s="18" t="s">
        <v>24</v>
      </c>
      <c r="E69" s="18"/>
      <c r="F69" s="19" t="str">
        <f t="shared" si="3"/>
        <v/>
      </c>
      <c r="G69" s="81">
        <v>0</v>
      </c>
      <c r="H69" s="20"/>
      <c r="I69" s="19" t="str">
        <f t="shared" si="2"/>
        <v/>
      </c>
      <c r="J69" s="53" t="s">
        <v>425</v>
      </c>
      <c r="K69" s="90" t="s">
        <v>426</v>
      </c>
      <c r="L69" s="98" t="s">
        <v>427</v>
      </c>
    </row>
    <row r="70" spans="1:14" ht="14.45">
      <c r="A70" s="21" t="str">
        <v>CT: Torrington - 2-298 Rossi Road</v>
      </c>
      <c r="B70" s="33" t="str">
        <v>CT</v>
      </c>
      <c r="C70" s="21"/>
      <c r="D70" s="21"/>
      <c r="E70" s="21"/>
      <c r="F70" s="22"/>
      <c r="G70" s="21"/>
      <c r="H70" s="21"/>
      <c r="I70" s="22"/>
      <c r="J70" s="21"/>
      <c r="K70" s="21"/>
    </row>
    <row r="71" spans="1:14" ht="14.45">
      <c r="A71" s="21"/>
      <c r="B71" s="33"/>
      <c r="C71" s="21"/>
      <c r="D71" s="21"/>
      <c r="E71" s="21"/>
      <c r="F71" s="22"/>
      <c r="G71" s="21"/>
      <c r="H71" s="21"/>
      <c r="I71" s="22"/>
      <c r="J71" s="21"/>
      <c r="K71" s="21"/>
    </row>
    <row r="72" spans="1:14" ht="14.45">
      <c r="A72" s="21"/>
      <c r="B72" s="33"/>
      <c r="C72" s="21"/>
      <c r="D72" s="21"/>
      <c r="E72" s="21"/>
      <c r="F72" s="22"/>
      <c r="G72" s="21"/>
      <c r="H72" s="21"/>
      <c r="I72" s="22"/>
      <c r="J72" s="21"/>
      <c r="K72" s="21"/>
    </row>
    <row r="73" spans="1:14" ht="14.45">
      <c r="A73" s="21"/>
      <c r="B73" s="33"/>
      <c r="C73" s="21"/>
      <c r="D73" s="21"/>
      <c r="E73" s="21"/>
      <c r="F73" s="22"/>
      <c r="G73" s="21"/>
      <c r="H73" s="21"/>
      <c r="I73" s="22"/>
      <c r="J73" s="21"/>
      <c r="K73" s="21"/>
    </row>
    <row r="74" spans="1:14" ht="14.45">
      <c r="A74" s="21"/>
      <c r="B74" s="33"/>
      <c r="C74" s="21"/>
      <c r="D74" s="21"/>
      <c r="E74" s="21"/>
      <c r="F74" s="22"/>
      <c r="G74" s="21"/>
      <c r="H74" s="21"/>
      <c r="I74" s="22"/>
      <c r="J74" s="21"/>
      <c r="K74" s="21"/>
    </row>
    <row r="75" spans="1:14" ht="14.45">
      <c r="A75" s="21"/>
      <c r="B75" s="33"/>
      <c r="C75" s="21"/>
      <c r="D75" s="21"/>
      <c r="E75" s="21"/>
      <c r="F75" s="22"/>
      <c r="G75" s="21"/>
      <c r="H75" s="21"/>
      <c r="I75" s="22"/>
      <c r="J75" s="21"/>
      <c r="K75" s="21"/>
    </row>
    <row r="76" spans="1:14" ht="14.45">
      <c r="A76" s="21"/>
      <c r="B76" s="33"/>
      <c r="C76" s="21"/>
      <c r="D76" s="21"/>
      <c r="E76" s="21"/>
      <c r="F76" s="22"/>
      <c r="G76" s="21"/>
      <c r="H76" s="21"/>
      <c r="I76" s="22"/>
      <c r="J76" s="21"/>
      <c r="K76" s="21"/>
    </row>
    <row r="77" spans="1:14" ht="14.45">
      <c r="A77" s="21"/>
      <c r="B77" s="33"/>
      <c r="C77" s="21"/>
      <c r="D77" s="21"/>
      <c r="E77" s="21"/>
      <c r="F77" s="22"/>
      <c r="G77" s="21"/>
      <c r="H77" s="21"/>
      <c r="I77" s="22"/>
      <c r="J77" s="21"/>
      <c r="K77" s="21"/>
    </row>
    <row r="78" spans="1:14" ht="14.45">
      <c r="A78" s="21"/>
      <c r="B78" s="33"/>
      <c r="C78" s="21"/>
      <c r="D78" s="21"/>
      <c r="E78" s="21"/>
      <c r="F78" s="22"/>
      <c r="G78" s="21"/>
      <c r="H78" s="21"/>
      <c r="I78" s="22"/>
      <c r="J78" s="21"/>
      <c r="K78" s="21"/>
    </row>
    <row r="79" spans="1:14" ht="14.45">
      <c r="A79" s="21"/>
      <c r="B79" s="33"/>
      <c r="C79" s="21"/>
      <c r="D79" s="21"/>
      <c r="E79" s="21"/>
      <c r="F79" s="22"/>
      <c r="G79" s="21"/>
      <c r="H79" s="21"/>
      <c r="I79" s="22"/>
      <c r="J79" s="21"/>
      <c r="K79" s="21"/>
    </row>
    <row r="80" spans="1:14"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44" priority="3" stopIfTrue="1" operator="lessThanOrEqual">
      <formula>-0.1</formula>
    </cfRule>
    <cfRule type="expression" dxfId="43" priority="4">
      <formula>AND(ISNUMBER(F2), F2&gt;=0.1)</formula>
    </cfRule>
  </conditionalFormatting>
  <conditionalFormatting sqref="F4:F100 I4:I100">
    <cfRule type="cellIs" dxfId="42" priority="1" stopIfTrue="1" operator="lessThanOrEqual">
      <formula>-0.1</formula>
    </cfRule>
    <cfRule type="expression" dxfId="41" priority="2">
      <formula>AND(ISNUMBER(F4), F4&gt;=0.1)</formula>
    </cfRule>
  </conditionalFormatting>
  <hyperlinks>
    <hyperlink ref="K6" r:id="rId1" display="https://us3.assetplanner.com/service_request?ID=098590" xr:uid="{A89C459B-1461-4481-A948-8BC30672862D}"/>
    <hyperlink ref="K7" r:id="rId2" display="https://us3.assetplanner.com/service_request?ID=101056" xr:uid="{26CBD58E-92C6-45C3-9679-979B65E7893E}"/>
    <hyperlink ref="K8" r:id="rId3" display="https://us3.assetplanner.com/service_request?ID=096145" xr:uid="{FC0C69A1-FFCB-43B5-BE34-48DB52D3EB3B}"/>
    <hyperlink ref="L8" r:id="rId4" display="https://us3.assetplanner.com/service_request?ID=096237" xr:uid="{A19BAA4E-BCB3-45C2-A5B8-F4543AA27B48}"/>
    <hyperlink ref="M8" r:id="rId5" display="https://us3.assetplanner.com/service_request?ID=095177" xr:uid="{2B46FB33-7FC3-4749-9E4F-C890E9D9AC5D}"/>
    <hyperlink ref="K10" r:id="rId6" display="https://us3.assetplanner.com/service_request?ID=100632" xr:uid="{D049ADE5-5F3F-4C49-B706-C23BB45DDBD3}"/>
    <hyperlink ref="K11" r:id="rId7" display="https://us3.assetplanner.com/service_request?ID=101939" xr:uid="{3C7BC4A6-6A6E-4818-8443-7125C7154E79}"/>
    <hyperlink ref="K21" r:id="rId8" display="https://us3.assetplanner.com/service_request?ID=100937" xr:uid="{02B91FE0-8319-4EAE-9887-70305F326980}"/>
    <hyperlink ref="L21" r:id="rId9" display="https://us3.assetplanner.com/service_request?ID=101331" xr:uid="{4FFF7057-AB48-48F7-BA10-B947BB105FFD}"/>
    <hyperlink ref="K22" r:id="rId10" display="https://us3.assetplanner.com/service_request?ID=100060" xr:uid="{ABFF863C-00FC-4851-B88B-196B208A969C}"/>
    <hyperlink ref="L22" r:id="rId11" display="https://us3.assetplanner.com/service_request?ID=093440" xr:uid="{1DB09D23-7D2D-4179-BE9B-C6FB37BE6BA2}"/>
    <hyperlink ref="K23" r:id="rId12" display="https://us3.assetplanner.com/service_request?ID=102013" xr:uid="{24F03105-396C-492F-A82E-E24CB7B73C06}"/>
    <hyperlink ref="L23" r:id="rId13" display="https://us3.assetplanner.com/service_request?ID=095623" xr:uid="{B4CAE119-1ED2-49A6-9CC0-F82487B98303}"/>
    <hyperlink ref="K25" r:id="rId14" display="https://us3.assetplanner.com/service_request?ID=101039" xr:uid="{EA2228AF-FFAB-40D4-87E8-95EBB1341426}"/>
    <hyperlink ref="K29" r:id="rId15" display="https://us3.assetplanner.com/service_request?ID=100011" xr:uid="{5D507A27-B96D-4EBB-BE3A-A517F1DB9844}"/>
    <hyperlink ref="L29" r:id="rId16" display="https://us3.assetplanner.com/service_request?ID=101440" xr:uid="{7ED8DCB3-B29A-445C-9F9F-F8A73890028F}"/>
    <hyperlink ref="M29" r:id="rId17" display="https://us3.assetplanner.com/service_request?ID=101862" xr:uid="{30567681-B8E2-441B-B7AC-A177BC8BAA3F}"/>
    <hyperlink ref="K30" r:id="rId18" display="https://us3.assetplanner.com/service_request?ID=100743" xr:uid="{0FAFD48E-16AB-4736-B18E-87BABF22508D}"/>
    <hyperlink ref="K31" r:id="rId19" display="https://us3.assetplanner.com/service_request?ID=100459" xr:uid="{227FD0B8-76F6-4293-9E33-E382FEB6F276}"/>
    <hyperlink ref="L31" r:id="rId20" display="https://us3.assetplanner.com/service_request?ID=101131" xr:uid="{E6B5C76B-31AA-4E04-B3D5-7B75000EBB03}"/>
    <hyperlink ref="M31" r:id="rId21" display="https://us3.assetplanner.com/service_request?ID=102150" xr:uid="{E5C937E2-C2C3-4A7F-BAA5-8743B098CAB8}"/>
    <hyperlink ref="K34" r:id="rId22" display="https://us3.assetplanner.com/service_request?ID=099912" xr:uid="{B59CDFBA-2F92-4EAC-A9D1-BFDEFAAB6872}"/>
    <hyperlink ref="K35" r:id="rId23" display="https://us3.assetplanner.com/service_request?ID=099206" xr:uid="{E07EC9BF-D93B-4326-8F0B-BB6527F287F9}"/>
    <hyperlink ref="K37" r:id="rId24" display="https://us3.assetplanner.com/service_request?ID=094440" xr:uid="{64F932C9-B059-4BFB-B17C-6832A6F0B282}"/>
    <hyperlink ref="K38" r:id="rId25" display="https://us3.assetplanner.com/service_request?ID=095163" xr:uid="{13F37E15-1D3A-4F14-831A-0DC1CB7A47D1}"/>
    <hyperlink ref="L38" r:id="rId26" display="https://us3.assetplanner.com/service_request?ID=093065" xr:uid="{D4BD519E-A1EC-4032-A757-BB2CA10D27E1}"/>
    <hyperlink ref="K40" r:id="rId27" display="https://us3.assetplanner.com/service_request?ID=089464" xr:uid="{2F8378E4-E58E-4808-A13D-E8A953943270}"/>
    <hyperlink ref="L40" r:id="rId28" display="https://us3.assetplanner.com/service_request?ID=093180" xr:uid="{FFB733D9-A4B2-41CD-BE93-FCAD2D44E4FD}"/>
    <hyperlink ref="M40" r:id="rId29" display="https://us3.assetplanner.com/service_request?ID=093174" xr:uid="{FF5FD974-2951-46AA-BDF5-4E1443694042}"/>
    <hyperlink ref="N40" r:id="rId30" display="https://us3.assetplanner.com/service_request?ID=095356" xr:uid="{3B13FB90-BF55-4A2D-BF9E-0E7AA4A671F0}"/>
    <hyperlink ref="O40" r:id="rId31" display="https://us3.assetplanner.com/service_request?ID=096916" xr:uid="{FBA9C5DF-F68D-439C-BDE7-A420BA55B6A2}"/>
    <hyperlink ref="P40" r:id="rId32" display="https://us3.assetplanner.com/service_request?ID=100537" xr:uid="{792B58FE-20D4-4FA7-A5EC-965C28671CB3}"/>
    <hyperlink ref="K41" r:id="rId33" display="https://us3.assetplanner.com/service_request?ID=092753" xr:uid="{CC760CBF-C4EE-4418-BADD-6F87911E88CA}"/>
    <hyperlink ref="K43" r:id="rId34" display="https://us3.assetplanner.com/service_request?ID=090375" xr:uid="{C66C05D2-8122-4063-AF69-919DFF3A8B17}"/>
    <hyperlink ref="L43" r:id="rId35" display="https://us3.assetplanner.com/service_request?ID=089461" xr:uid="{0DDA650D-D29D-471B-B775-EE7BE614A369}"/>
    <hyperlink ref="M43" r:id="rId36" display="https://us3.assetplanner.com/service_request?ID=098018" xr:uid="{7112B97C-DC01-44BB-8EF6-F03D278B88D7}"/>
    <hyperlink ref="N43" r:id="rId37" display="https://us3.assetplanner.com/service_request?ID=101562" xr:uid="{92F65D1A-4D99-40A6-BE9F-BCDA8EAF1D2C}"/>
    <hyperlink ref="O43" r:id="rId38" display="https://us3.assetplanner.com/service_request?ID=101561" xr:uid="{47DCD746-49EE-4047-8810-FF38EAEE659C}"/>
    <hyperlink ref="K44" r:id="rId39" display="https://us3.assetplanner.com/service_request?ID=092276" xr:uid="{DC152675-DDC9-4DAE-A672-D12B1EB70B57}"/>
    <hyperlink ref="K45" r:id="rId40" display="https://us3.assetplanner.com/service_request?ID=085968" xr:uid="{17BE7AC6-DC68-4119-997A-25EED88115D7}"/>
    <hyperlink ref="L45" r:id="rId41" display="https://us3.assetplanner.com/service_request?ID=092256" xr:uid="{99FCECC6-1223-495A-89C9-70741235377A}"/>
    <hyperlink ref="M45" r:id="rId42" display="https://us3.assetplanner.com/service_request?ID=090090" xr:uid="{42806F88-B6A1-4B1C-AFD6-0605539F72B3}"/>
    <hyperlink ref="N45" r:id="rId43" display="https://us3.assetplanner.com/service_request?ID=095592" xr:uid="{59197EE3-D7C0-4DA1-9E6E-BB54BF462960}"/>
    <hyperlink ref="O45" r:id="rId44" display="https://us3.assetplanner.com/service_request?ID=095592" xr:uid="{8856525D-34B8-4217-9BF1-8C9D242ACADF}"/>
    <hyperlink ref="K46" r:id="rId45" display="https://us3.assetplanner.com/service_request?ID=089470" xr:uid="{13CA512F-05C0-4D75-A74C-FB757926E86D}"/>
    <hyperlink ref="L46" r:id="rId46" display="https://us3.assetplanner.com/service_request?ID=092603" xr:uid="{4DD885B7-4CB9-40BB-8C9D-B4B2BB33C264}"/>
    <hyperlink ref="K47" r:id="rId47" display="https://us3.assetplanner.com/service_request?ID=089612" xr:uid="{3C18A927-DF79-4234-86DF-5BB99314ADFB}"/>
    <hyperlink ref="L47" r:id="rId48" display="https://us3.assetplanner.com/service_request?ID=095385" xr:uid="{16D2B576-91E5-4CEB-BA51-87FE104B9E75}"/>
    <hyperlink ref="M47" r:id="rId49" display="https://us3.assetplanner.com/service_request?ID=102060" xr:uid="{6B57F9F5-598B-46CE-BAC3-752C28AD701E}"/>
    <hyperlink ref="N47" r:id="rId50" display="https://us3.assetplanner.com/service_request?ID=099766" xr:uid="{408E25EC-BDE5-4C88-8C93-3414E0272F6F}"/>
    <hyperlink ref="K48" r:id="rId51" display="https://us3.assetplanner.com/service_request?ID=092166" xr:uid="{85446B3C-8A36-4FD6-8C67-6FFD8E24B741}"/>
    <hyperlink ref="L48" r:id="rId52" display="https://us3.assetplanner.com/service_request?ID=097558" xr:uid="{8E98ED96-8DEC-45FA-AEA8-AB556BE3A277}"/>
    <hyperlink ref="M48" r:id="rId53" display="https://us3.assetplanner.com/service_request?ID=098717" xr:uid="{689D87C0-1BB1-4667-904B-F8417F6A5597}"/>
    <hyperlink ref="N48" r:id="rId54" display="https://us3.assetplanner.com/service_request?ID=086220" xr:uid="{B100B82C-56DD-487F-9CD7-D0CFE3D6F50D}"/>
    <hyperlink ref="O48" r:id="rId55" display="https://us3.assetplanner.com/service_request?ID=098717" xr:uid="{710D6905-394C-46FC-96F4-DD4E79A3EB1F}"/>
    <hyperlink ref="P48" r:id="rId56" display="https://us3.assetplanner.com/service_request?ID=091312" xr:uid="{7A23369C-2495-43DC-924C-362AA4438908}"/>
    <hyperlink ref="K49" r:id="rId57" display="https://us3.assetplanner.com/service_request?ID=098397" xr:uid="{8AC5F564-F91B-4A4D-AB33-B8E147CBD436}"/>
    <hyperlink ref="L49" r:id="rId58" display="https://us3.assetplanner.com/service_request?ID=098397" xr:uid="{F5C832CB-C0D4-4094-9D87-002B77FBF810}"/>
    <hyperlink ref="K51" r:id="rId59" display="https://us3.assetplanner.com/service_request?ID=101829" xr:uid="{589A043A-A79C-4D58-A1F1-A67A4CA5C319}"/>
    <hyperlink ref="L51" r:id="rId60" display="https://us3.assetplanner.com/service_request?ID=101132" xr:uid="{8BCDF120-9AAC-4FFF-B75A-3578321E5C30}"/>
    <hyperlink ref="K52" r:id="rId61" display="https://us3.assetplanner.com/service_request?ID=100858" xr:uid="{17973ECF-0905-45DE-A618-E33C6D176C0F}"/>
    <hyperlink ref="K53" r:id="rId62" display="https://us3.assetplanner.com/service_request?ID=094545" xr:uid="{0F718068-4852-4F7C-987C-2735CA2658B5}"/>
    <hyperlink ref="L53" r:id="rId63" display="https://us3.assetplanner.com/service_request?ID=100842" xr:uid="{E32404F2-64A3-4162-B614-D7F48F9B0E85}"/>
    <hyperlink ref="K55" r:id="rId64" display="https://us3.assetplanner.com/service_request?ID=080516" xr:uid="{78C4A802-E3F3-4CE3-925B-4B95FA09AED5}"/>
    <hyperlink ref="L55" r:id="rId65" display="https://us3.assetplanner.com/service_request?ID=100976" xr:uid="{80372BBA-9089-4D44-B5BF-C646360A178A}"/>
    <hyperlink ref="K58" r:id="rId66" display="https://us3.assetplanner.com/service_request?ID=098183" xr:uid="{CF47B02C-6CD1-4735-A7A8-50DB2C65005D}"/>
    <hyperlink ref="L58" r:id="rId67" display="https://us3.assetplanner.com/service_request?ID=095449" xr:uid="{4D726792-1B26-46D1-B244-F66544EEFD78}"/>
    <hyperlink ref="M58" r:id="rId68" display="https://us3.assetplanner.com/service_request?ID=093474" xr:uid="{65E27C40-0660-44D1-9C65-708F6E394EC8}"/>
    <hyperlink ref="N58" r:id="rId69" display="https://us3.assetplanner.com/service_request?ID=090380" xr:uid="{7E620AA9-07AD-40F1-9077-F02CF8E976FC}"/>
    <hyperlink ref="O58" r:id="rId70" display="https://us3.assetplanner.com/service_request?ID=089474" xr:uid="{9E098807-FB58-4C66-BE7B-896306F98B8B}"/>
    <hyperlink ref="P58" r:id="rId71" display="https://us3.assetplanner.com/service_request?ID=098183" xr:uid="{C634C2EC-9AF5-41FC-9ABF-8BE6953768FC}"/>
    <hyperlink ref="Q58" r:id="rId72" display="https://us3.assetplanner.com/service_request?ID=101740" xr:uid="{AB943CBF-A924-4E0F-B278-01D95EA17E76}"/>
    <hyperlink ref="K59" r:id="rId73" display="https://us3.assetplanner.com/service_request?ID=098826" xr:uid="{AC61FFDF-7329-4328-8451-276A6F6AE3C9}"/>
    <hyperlink ref="L59" r:id="rId74" display="https://us3.assetplanner.com/service_request?ID=099338" xr:uid="{6FA3A06E-D4DD-46C2-90A8-3ED0FB157EA4}"/>
    <hyperlink ref="M59" r:id="rId75" display="https://us3.assetplanner.com/service_request?ID=099327" xr:uid="{D2F7CF4E-D816-4DD3-86C8-820F0ACBD84C}"/>
    <hyperlink ref="N59" r:id="rId76" display="https://us3.assetplanner.com/service_request?ID=102082" xr:uid="{649B2406-7B3D-4F76-85BF-43ECD3EDAC5D}"/>
    <hyperlink ref="K60" r:id="rId77" display="https://us3.assetplanner.com/service_request?ID=089477" xr:uid="{E3D32AAF-0EA1-4CD3-9A46-9C889EE4FFD8}"/>
    <hyperlink ref="L60" r:id="rId78" display="https://us3.assetplanner.com/service_request?ID=096348" xr:uid="{0800C4EB-9114-488A-B299-355C81E024CB}"/>
    <hyperlink ref="M60" r:id="rId79" display="https://us3.assetplanner.com/service_request?ID=101285" xr:uid="{16AD3119-3A2A-475C-A7AE-9AC4C85928F0}"/>
    <hyperlink ref="N60" r:id="rId80" display="https://us3.assetplanner.com/service_request?ID=089477" xr:uid="{9A009EC3-98E4-4A1F-A12B-67D9DC993AB8}"/>
    <hyperlink ref="O60" r:id="rId81" display="https://us3.assetplanner.com/service_request?ID=096348" xr:uid="{009FA878-E3B6-4E8A-AAB9-01A4B0735872}"/>
    <hyperlink ref="P60" r:id="rId82" display="https://us3.assetplanner.com/service_request?ID=089477" xr:uid="{D50489C8-D1FE-444F-9CF5-91917BB02149}"/>
    <hyperlink ref="Q60" r:id="rId83" display="https://us3.assetplanner.com/service_request?ID=096348" xr:uid="{E46CEDE2-7446-4F29-9213-4271DE27EDC0}"/>
    <hyperlink ref="R60" r:id="rId84" display="https://us3.assetplanner.com/service_request?ID=102153" xr:uid="{28A6FC87-264A-4385-A123-8C92B4F4CB1B}"/>
    <hyperlink ref="S60" r:id="rId85" display="https://us3.assetplanner.com/service_request?ID=101285" xr:uid="{1DA03C94-841E-4DFC-AE84-739CDBDA48A2}"/>
    <hyperlink ref="T60" r:id="rId86" display="https://us3.assetplanner.com/service_request?ID=102153" xr:uid="{049CE486-8D9D-4347-9222-9884471A4C9D}"/>
    <hyperlink ref="K62" r:id="rId87" display="https://us3.assetplanner.com/service_request?ID=097948" xr:uid="{F0AD25FD-E2DF-40CD-B19F-CDE45A0B4559}"/>
    <hyperlink ref="K65" r:id="rId88" display="https://us3.assetplanner.com/service_request?ID=095559" xr:uid="{DC7E9509-3C8D-4E14-B253-C1637215A39C}"/>
    <hyperlink ref="L65" r:id="rId89" display="https://us3.assetplanner.com/service_request?ID=099641" xr:uid="{8916D127-6A5A-42EF-9ABB-F9FF6BED59B9}"/>
    <hyperlink ref="M65" r:id="rId90" display="https://us3.assetplanner.com/service_request?ID=099641" xr:uid="{874E66BF-A1B4-417C-89B5-50F4A3F62A06}"/>
    <hyperlink ref="K66" r:id="rId91" display="https://us3.assetplanner.com/service_request?ID=101606" xr:uid="{86CBD8EF-9D17-4222-B894-D684D4FEAF1F}"/>
    <hyperlink ref="K67" r:id="rId92" display="https://us3.assetplanner.com/service_request?ID=092171" xr:uid="{BBD81C4E-F636-4B56-8453-24E1058DAC00}"/>
    <hyperlink ref="L67" r:id="rId93" display="https://us3.assetplanner.com/service_request?ID=092455" xr:uid="{73CDD2D7-094A-44E4-8BD6-140639776E30}"/>
    <hyperlink ref="M67" r:id="rId94" display="https://us3.assetplanner.com/service_request?ID=101475" xr:uid="{916BEB5E-6BE4-42D0-B215-50AD71975BDE}"/>
    <hyperlink ref="N67" r:id="rId95" display="https://us3.assetplanner.com/service_request?ID=098778" xr:uid="{91248122-4BB2-49FB-A6FD-08A04AEAB707}"/>
    <hyperlink ref="K68" r:id="rId96" display="https://us3.assetplanner.com/service_request?ID=101624" xr:uid="{BDE95E02-5C1A-48F7-9CA9-3DF16F78E059}"/>
    <hyperlink ref="K69" r:id="rId97" display="https://us3.assetplanner.com/service_request?ID=100820" xr:uid="{5EF57AFA-CB50-4C12-AF7C-46DB5AD571DA}"/>
    <hyperlink ref="L69" r:id="rId98" display="https://us3.assetplanner.com/service_request?ID=101886" xr:uid="{92DBF92E-90BB-4EA8-B88E-8F8EBDC1130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T342"/>
  <sheetViews>
    <sheetView zoomScale="70" zoomScaleNormal="70" workbookViewId="0">
      <pane xSplit="2" ySplit="3" topLeftCell="J8" activePane="bottomRight" state="frozen"/>
      <selection pane="bottomRight" activeCell="J8" sqref="J8"/>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4.42578125" customWidth="1"/>
  </cols>
  <sheetData>
    <row r="1" spans="1:20" ht="19.5" customHeight="1">
      <c r="A1" s="132" t="str" cm="1">
        <f t="array" ref="A1">portfolio</f>
        <v>Silicon Ranch</v>
      </c>
      <c r="B1" s="132"/>
      <c r="C1" s="132"/>
      <c r="D1" s="133" t="s">
        <v>428</v>
      </c>
      <c r="E1" s="133"/>
      <c r="F1" s="133"/>
      <c r="G1" s="131" t="s">
        <v>429</v>
      </c>
      <c r="H1" s="131"/>
      <c r="I1" s="131"/>
      <c r="J1" s="4"/>
      <c r="K1" s="4"/>
    </row>
    <row r="2" spans="1:20" ht="19.5" customHeight="1">
      <c r="A2" s="134" t="s">
        <v>2</v>
      </c>
      <c r="B2" s="134"/>
      <c r="C2" s="5">
        <f>SUM(C4:C100)</f>
        <v>4618132</v>
      </c>
      <c r="D2" s="5">
        <f>SUM(D4:D100)</f>
        <v>2685129</v>
      </c>
      <c r="E2" s="5">
        <f>C2-D2</f>
        <v>1933003</v>
      </c>
      <c r="F2" s="6">
        <f>IFERROR(E2/D2, 0)</f>
        <v>0.71989204243073612</v>
      </c>
      <c r="G2" s="5">
        <f>SUM(G4:G100)</f>
        <v>5564523.006000001</v>
      </c>
      <c r="H2" s="7">
        <f>C2-G2</f>
        <v>-946391.00600000098</v>
      </c>
      <c r="I2" s="6">
        <f>IFERROR(H2/G2, 0)</f>
        <v>-0.17007585465628333</v>
      </c>
      <c r="J2" s="2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0" ht="14.25" customHeight="1">
      <c r="A3" s="8" t="s">
        <v>3</v>
      </c>
      <c r="B3" s="8" t="s">
        <v>4</v>
      </c>
      <c r="C3" s="23" t="s">
        <v>5</v>
      </c>
      <c r="D3" s="35" t="s">
        <v>6</v>
      </c>
      <c r="E3" s="35" t="s">
        <v>7</v>
      </c>
      <c r="F3" s="36" t="s">
        <v>8</v>
      </c>
      <c r="G3" s="37" t="s">
        <v>9</v>
      </c>
      <c r="H3" s="38" t="s">
        <v>7</v>
      </c>
      <c r="I3" s="39" t="s">
        <v>8</v>
      </c>
      <c r="J3" s="25" t="s">
        <v>20</v>
      </c>
      <c r="K3" s="25" t="s">
        <v>21</v>
      </c>
    </row>
    <row r="4" spans="1:20" ht="15.6">
      <c r="A4" s="32" t="str" cm="1">
        <f t="array" ref="A4:A70">Sites[Site]</f>
        <v>Iron Mountain - Windsor</v>
      </c>
      <c r="B4" s="29" t="str" cm="1">
        <f t="array" ref="B4:B70">Sites[State]</f>
        <v>CT</v>
      </c>
      <c r="C4" s="24">
        <v>34203</v>
      </c>
      <c r="D4" s="13">
        <v>34070</v>
      </c>
      <c r="E4" s="13">
        <f>IF(AND(ISNUMBER(C4),ISNUMBER(D4)), C4-D4, "")</f>
        <v>133</v>
      </c>
      <c r="F4" s="14">
        <f>IFERROR(E4/D4, "")</f>
        <v>3.903727619606692E-3</v>
      </c>
      <c r="G4" s="15">
        <v>36386.879999999997</v>
      </c>
      <c r="H4" s="15">
        <f>IF(AND(ISNUMBER(C4),ISNUMBER(G4)), C4-G4, "")</f>
        <v>-2183.8799999999974</v>
      </c>
      <c r="I4" s="16">
        <f>IFERROR(H4/G4, "")</f>
        <v>-6.0018336279450107E-2</v>
      </c>
      <c r="J4" s="56"/>
      <c r="K4" s="56"/>
      <c r="L4" s="97"/>
      <c r="M4" s="97"/>
      <c r="N4" s="97"/>
      <c r="O4" s="97"/>
      <c r="P4" s="97"/>
      <c r="Q4" s="97"/>
      <c r="R4" s="97"/>
      <c r="S4" s="97"/>
      <c r="T4" s="97"/>
    </row>
    <row r="5" spans="1:20" ht="72">
      <c r="A5" s="30" t="str">
        <v>Kohls - Auburn</v>
      </c>
      <c r="B5" s="31" t="str">
        <v>NY</v>
      </c>
      <c r="C5" s="11">
        <v>38234</v>
      </c>
      <c r="D5" s="18">
        <v>38019</v>
      </c>
      <c r="E5" s="18">
        <f t="shared" ref="E5:E25" si="0">IF(AND(ISNUMBER(C5),ISNUMBER(D5)), C5-D5, "")</f>
        <v>215</v>
      </c>
      <c r="F5" s="19">
        <f>IFERROR(E5/D5, "")</f>
        <v>5.6550672032404849E-3</v>
      </c>
      <c r="G5" s="20">
        <v>43542.07</v>
      </c>
      <c r="H5" s="20">
        <f t="shared" ref="H5:H25" si="1">IF(AND(ISNUMBER(C5),ISNUMBER(G5)), C5-G5, "")</f>
        <v>-5308.07</v>
      </c>
      <c r="I5" s="19">
        <f t="shared" ref="I5:I69" si="2">IFERROR(H5/G5, "")</f>
        <v>-0.12190669851019945</v>
      </c>
      <c r="J5" s="58" t="s">
        <v>430</v>
      </c>
      <c r="K5" s="54"/>
      <c r="L5" s="97"/>
      <c r="M5" s="97"/>
      <c r="N5" s="97"/>
      <c r="O5" s="97"/>
      <c r="P5" s="97"/>
      <c r="Q5" s="97"/>
      <c r="R5" s="97"/>
      <c r="S5" s="97"/>
      <c r="T5" s="97"/>
    </row>
    <row r="6" spans="1:20" ht="139.5" customHeight="1">
      <c r="A6" s="28" t="str">
        <v>Kohls - Bensalem</v>
      </c>
      <c r="B6" s="29" t="str">
        <v>PA</v>
      </c>
      <c r="C6" s="24">
        <v>0</v>
      </c>
      <c r="D6" s="13" t="s">
        <v>24</v>
      </c>
      <c r="E6" s="13" t="str">
        <f t="shared" si="0"/>
        <v/>
      </c>
      <c r="F6" s="14" t="str">
        <f t="shared" ref="F6:F69" si="3">IFERROR(E6/D6, "")</f>
        <v/>
      </c>
      <c r="G6" s="15">
        <v>38810.239999999998</v>
      </c>
      <c r="H6" s="15">
        <f t="shared" si="1"/>
        <v>-38810.239999999998</v>
      </c>
      <c r="I6" s="16">
        <f t="shared" si="2"/>
        <v>-1</v>
      </c>
      <c r="J6" s="56" t="s">
        <v>335</v>
      </c>
      <c r="K6" s="91" t="s">
        <v>247</v>
      </c>
      <c r="L6" s="97"/>
      <c r="M6" s="97"/>
      <c r="N6" s="97"/>
      <c r="O6" s="97"/>
      <c r="P6" s="97"/>
      <c r="Q6" s="97"/>
      <c r="R6" s="97"/>
      <c r="S6" s="97"/>
      <c r="T6" s="97"/>
    </row>
    <row r="7" spans="1:20" ht="15.6">
      <c r="A7" s="30" t="str">
        <v>Kohls - Brick</v>
      </c>
      <c r="B7" s="31" t="str">
        <v>NJ</v>
      </c>
      <c r="C7" s="11">
        <v>44342</v>
      </c>
      <c r="D7" s="18">
        <v>44268</v>
      </c>
      <c r="E7" s="18">
        <f t="shared" si="0"/>
        <v>74</v>
      </c>
      <c r="F7" s="19">
        <f t="shared" si="3"/>
        <v>1.6716363964940815E-3</v>
      </c>
      <c r="G7" s="20">
        <v>46826.96</v>
      </c>
      <c r="H7" s="20">
        <f t="shared" si="1"/>
        <v>-2484.9599999999991</v>
      </c>
      <c r="I7" s="19">
        <f t="shared" si="2"/>
        <v>-5.3066865754257786E-2</v>
      </c>
      <c r="J7" s="58"/>
      <c r="K7" s="57"/>
      <c r="L7" s="97"/>
      <c r="M7" s="97"/>
      <c r="N7" s="97"/>
      <c r="O7" s="97"/>
      <c r="P7" s="97"/>
      <c r="Q7" s="97"/>
      <c r="R7" s="97"/>
      <c r="S7" s="97"/>
      <c r="T7" s="97"/>
    </row>
    <row r="8" spans="1:20" ht="28.9">
      <c r="A8" s="28" t="str">
        <v>Kohls - Buffalo</v>
      </c>
      <c r="B8" s="29" t="str">
        <v>NY</v>
      </c>
      <c r="C8" s="24">
        <v>33455</v>
      </c>
      <c r="D8" s="13" t="s">
        <v>24</v>
      </c>
      <c r="E8" s="13" t="str">
        <f t="shared" si="0"/>
        <v/>
      </c>
      <c r="F8" s="14" t="str">
        <f t="shared" si="3"/>
        <v/>
      </c>
      <c r="G8" s="15">
        <v>51113.8</v>
      </c>
      <c r="H8" s="15">
        <f t="shared" si="1"/>
        <v>-17658.800000000003</v>
      </c>
      <c r="I8" s="16">
        <f t="shared" si="2"/>
        <v>-0.34548008561288734</v>
      </c>
      <c r="J8" s="56" t="s">
        <v>431</v>
      </c>
      <c r="K8" s="91" t="s">
        <v>432</v>
      </c>
      <c r="L8" s="97"/>
      <c r="M8" s="97"/>
      <c r="N8" s="97"/>
      <c r="O8" s="97"/>
      <c r="P8" s="97"/>
      <c r="Q8" s="97"/>
      <c r="R8" s="97"/>
      <c r="S8" s="97"/>
      <c r="T8" s="97"/>
    </row>
    <row r="9" spans="1:20" ht="15.6">
      <c r="A9" s="30" t="str">
        <v>Kohls - Canton</v>
      </c>
      <c r="B9" s="31" t="str">
        <v>CT</v>
      </c>
      <c r="C9" s="11">
        <v>16944</v>
      </c>
      <c r="D9" s="18">
        <v>16776</v>
      </c>
      <c r="E9" s="18">
        <f t="shared" si="0"/>
        <v>168</v>
      </c>
      <c r="F9" s="19">
        <f t="shared" si="3"/>
        <v>1.0014306151645207E-2</v>
      </c>
      <c r="G9" s="20">
        <v>16488.62</v>
      </c>
      <c r="H9" s="20">
        <f t="shared" si="1"/>
        <v>455.38000000000102</v>
      </c>
      <c r="I9" s="19">
        <f t="shared" si="2"/>
        <v>2.7617835816460143E-2</v>
      </c>
      <c r="J9" s="58"/>
      <c r="K9" s="57"/>
      <c r="L9" s="97"/>
      <c r="M9" s="97"/>
      <c r="N9" s="97"/>
      <c r="O9" s="97"/>
      <c r="P9" s="97"/>
      <c r="Q9" s="97"/>
      <c r="R9" s="97"/>
      <c r="S9" s="97"/>
      <c r="T9" s="97"/>
    </row>
    <row r="10" spans="1:20" ht="57" customHeight="1">
      <c r="A10" s="28" t="str">
        <v>Kohls - East Amherst</v>
      </c>
      <c r="B10" s="29" t="str">
        <v>NY</v>
      </c>
      <c r="C10" s="24">
        <v>1158</v>
      </c>
      <c r="D10" s="13">
        <v>1143</v>
      </c>
      <c r="E10" s="13">
        <f t="shared" si="0"/>
        <v>15</v>
      </c>
      <c r="F10" s="14">
        <f t="shared" si="3"/>
        <v>1.3123359580052493E-2</v>
      </c>
      <c r="G10" s="15">
        <v>45911.7</v>
      </c>
      <c r="H10" s="15">
        <f t="shared" si="1"/>
        <v>-44753.7</v>
      </c>
      <c r="I10" s="16">
        <f t="shared" si="2"/>
        <v>-0.97477767105116997</v>
      </c>
      <c r="J10" s="56" t="s">
        <v>433</v>
      </c>
      <c r="K10" s="91" t="s">
        <v>434</v>
      </c>
      <c r="L10" s="97"/>
      <c r="M10" s="97"/>
      <c r="N10" s="97"/>
      <c r="O10" s="97"/>
      <c r="P10" s="97"/>
      <c r="Q10" s="97"/>
      <c r="R10" s="97"/>
      <c r="S10" s="97"/>
      <c r="T10" s="97"/>
    </row>
    <row r="11" spans="1:20" ht="15.6">
      <c r="A11" s="30" t="str">
        <v>Kohls - East Brunswick</v>
      </c>
      <c r="B11" s="31" t="str">
        <v>NJ</v>
      </c>
      <c r="C11" s="11">
        <v>49427</v>
      </c>
      <c r="D11" s="18">
        <v>49189</v>
      </c>
      <c r="E11" s="18">
        <f t="shared" si="0"/>
        <v>238</v>
      </c>
      <c r="F11" s="19">
        <f t="shared" si="3"/>
        <v>4.8384801480005693E-3</v>
      </c>
      <c r="G11" s="20">
        <v>61550.239999999998</v>
      </c>
      <c r="H11" s="20">
        <f t="shared" si="1"/>
        <v>-12123.239999999998</v>
      </c>
      <c r="I11" s="19">
        <f t="shared" si="2"/>
        <v>-0.19696495090839611</v>
      </c>
      <c r="J11" s="58" t="s">
        <v>435</v>
      </c>
      <c r="K11" s="90" t="s">
        <v>436</v>
      </c>
      <c r="L11" s="97"/>
      <c r="M11" s="97"/>
      <c r="N11" s="97"/>
      <c r="O11" s="97"/>
      <c r="P11" s="97"/>
      <c r="Q11" s="97"/>
      <c r="R11" s="97"/>
      <c r="S11" s="97"/>
      <c r="T11" s="97"/>
    </row>
    <row r="12" spans="1:20" ht="28.9">
      <c r="A12" s="28" t="str">
        <v>Kohls - Edgewood</v>
      </c>
      <c r="B12" s="29" t="str">
        <v>MD</v>
      </c>
      <c r="C12" s="24">
        <v>254970</v>
      </c>
      <c r="D12" s="13">
        <v>246644</v>
      </c>
      <c r="E12" s="13">
        <f t="shared" si="0"/>
        <v>8326</v>
      </c>
      <c r="F12" s="14">
        <f t="shared" si="3"/>
        <v>3.3757156062989575E-2</v>
      </c>
      <c r="G12" s="15">
        <v>325236.26</v>
      </c>
      <c r="H12" s="15">
        <f t="shared" si="1"/>
        <v>-70266.260000000009</v>
      </c>
      <c r="I12" s="16">
        <f t="shared" si="2"/>
        <v>-0.21604682085570659</v>
      </c>
      <c r="J12" s="56" t="s">
        <v>437</v>
      </c>
      <c r="K12" s="91" t="s">
        <v>438</v>
      </c>
      <c r="L12" s="97"/>
      <c r="M12" s="97"/>
      <c r="N12" s="97"/>
      <c r="O12" s="97"/>
      <c r="P12" s="97"/>
      <c r="Q12" s="97"/>
      <c r="R12" s="97"/>
      <c r="S12" s="97"/>
      <c r="T12" s="97"/>
    </row>
    <row r="13" spans="1:20" ht="15.6">
      <c r="A13" s="30" t="str">
        <v>Kohls - Granite Run</v>
      </c>
      <c r="B13" s="31" t="str">
        <v>PA</v>
      </c>
      <c r="C13" s="11">
        <v>36002</v>
      </c>
      <c r="D13" s="18">
        <v>35701</v>
      </c>
      <c r="E13" s="18">
        <f t="shared" si="0"/>
        <v>301</v>
      </c>
      <c r="F13" s="19">
        <f t="shared" si="3"/>
        <v>8.4311363827343777E-3</v>
      </c>
      <c r="G13" s="20">
        <v>38472.17</v>
      </c>
      <c r="H13" s="20">
        <f t="shared" si="1"/>
        <v>-2470.1699999999983</v>
      </c>
      <c r="I13" s="19">
        <f t="shared" si="2"/>
        <v>-6.4206671991727998E-2</v>
      </c>
      <c r="J13" s="58" t="s">
        <v>439</v>
      </c>
      <c r="K13" s="90" t="s">
        <v>440</v>
      </c>
      <c r="L13" s="97"/>
      <c r="M13" s="97"/>
      <c r="N13" s="97"/>
      <c r="O13" s="97"/>
      <c r="P13" s="97"/>
      <c r="Q13" s="97"/>
      <c r="R13" s="97"/>
      <c r="S13" s="97"/>
      <c r="T13" s="97"/>
    </row>
    <row r="14" spans="1:20" ht="72">
      <c r="A14" s="28" t="str">
        <v>Kohls - Greece</v>
      </c>
      <c r="B14" s="29" t="str">
        <v>NY</v>
      </c>
      <c r="C14" s="24">
        <v>39812</v>
      </c>
      <c r="D14" s="13">
        <v>39530</v>
      </c>
      <c r="E14" s="13">
        <f t="shared" si="0"/>
        <v>282</v>
      </c>
      <c r="F14" s="14">
        <f t="shared" si="3"/>
        <v>7.1338224133569439E-3</v>
      </c>
      <c r="G14" s="15">
        <v>50012.29</v>
      </c>
      <c r="H14" s="15">
        <f t="shared" si="1"/>
        <v>-10200.290000000001</v>
      </c>
      <c r="I14" s="16">
        <f t="shared" si="2"/>
        <v>-0.20395566769688012</v>
      </c>
      <c r="J14" s="56" t="s">
        <v>430</v>
      </c>
      <c r="K14" s="56"/>
      <c r="L14" s="97"/>
      <c r="M14" s="97"/>
      <c r="N14" s="97"/>
      <c r="O14" s="97"/>
      <c r="P14" s="97"/>
      <c r="Q14" s="97"/>
      <c r="R14" s="97"/>
      <c r="S14" s="97"/>
      <c r="T14" s="97"/>
    </row>
    <row r="15" spans="1:20" ht="28.5" customHeight="1">
      <c r="A15" s="30" t="str">
        <v>Kohls - Hanover</v>
      </c>
      <c r="B15" s="31" t="str">
        <v>PA</v>
      </c>
      <c r="C15" s="11">
        <v>42098</v>
      </c>
      <c r="D15" s="18">
        <v>41881</v>
      </c>
      <c r="E15" s="18">
        <f t="shared" si="0"/>
        <v>217</v>
      </c>
      <c r="F15" s="19">
        <f t="shared" si="3"/>
        <v>5.1813471502590676E-3</v>
      </c>
      <c r="G15" s="20">
        <v>43878.47</v>
      </c>
      <c r="H15" s="20">
        <f t="shared" si="1"/>
        <v>-1780.4700000000012</v>
      </c>
      <c r="I15" s="19">
        <f t="shared" si="2"/>
        <v>-4.057730362977563E-2</v>
      </c>
      <c r="J15" s="54" t="s">
        <v>441</v>
      </c>
      <c r="K15" s="90" t="s">
        <v>442</v>
      </c>
      <c r="L15" s="97"/>
      <c r="M15" s="97"/>
      <c r="N15" s="97"/>
      <c r="O15" s="97"/>
      <c r="P15" s="97"/>
      <c r="Q15" s="97"/>
      <c r="R15" s="97"/>
      <c r="S15" s="97"/>
      <c r="T15" s="97"/>
    </row>
    <row r="16" spans="1:20" ht="15.6">
      <c r="A16" s="28" t="str">
        <v>Kohls - Horsehead</v>
      </c>
      <c r="B16" s="29" t="str">
        <v>NY</v>
      </c>
      <c r="C16" s="24">
        <v>32992</v>
      </c>
      <c r="D16" s="13">
        <v>32788</v>
      </c>
      <c r="E16" s="13">
        <f t="shared" si="0"/>
        <v>204</v>
      </c>
      <c r="F16" s="14">
        <f t="shared" si="3"/>
        <v>6.221788459192387E-3</v>
      </c>
      <c r="G16" s="15">
        <v>36470.18</v>
      </c>
      <c r="H16" s="15">
        <f t="shared" si="1"/>
        <v>-3478.1800000000003</v>
      </c>
      <c r="I16" s="16">
        <f t="shared" si="2"/>
        <v>-9.5370519147424018E-2</v>
      </c>
      <c r="J16" s="56"/>
      <c r="K16" s="56"/>
      <c r="L16" s="97"/>
      <c r="M16" s="97"/>
      <c r="N16" s="97"/>
      <c r="O16" s="97"/>
      <c r="P16" s="97"/>
      <c r="Q16" s="97"/>
      <c r="R16" s="97"/>
      <c r="S16" s="97"/>
      <c r="T16" s="97"/>
    </row>
    <row r="17" spans="1:20" ht="72">
      <c r="A17" s="30" t="str">
        <v>Kohls - Hudson</v>
      </c>
      <c r="B17" s="31" t="str">
        <v>NY</v>
      </c>
      <c r="C17" s="11">
        <v>30623</v>
      </c>
      <c r="D17" s="18">
        <v>19297</v>
      </c>
      <c r="E17" s="18">
        <f t="shared" si="0"/>
        <v>11326</v>
      </c>
      <c r="F17" s="19">
        <f t="shared" si="3"/>
        <v>0.58693061097579935</v>
      </c>
      <c r="G17" s="20">
        <v>38886.1</v>
      </c>
      <c r="H17" s="20">
        <f t="shared" si="1"/>
        <v>-8263.0999999999985</v>
      </c>
      <c r="I17" s="19">
        <f t="shared" si="2"/>
        <v>-0.21249495320950157</v>
      </c>
      <c r="J17" s="54" t="s">
        <v>443</v>
      </c>
      <c r="K17" s="90" t="s">
        <v>444</v>
      </c>
      <c r="L17" s="97"/>
      <c r="M17" s="97"/>
      <c r="N17" s="97"/>
      <c r="O17" s="97"/>
      <c r="P17" s="97"/>
      <c r="Q17" s="97"/>
      <c r="R17" s="97"/>
      <c r="S17" s="97"/>
      <c r="T17" s="97"/>
    </row>
    <row r="18" spans="1:20" ht="62.25" customHeight="1">
      <c r="A18" s="32" t="str">
        <v>Kohls - Ithaca</v>
      </c>
      <c r="B18" s="29" t="str">
        <v>NY</v>
      </c>
      <c r="C18" s="24">
        <v>33290</v>
      </c>
      <c r="D18" s="13">
        <v>33121</v>
      </c>
      <c r="E18" s="13">
        <f t="shared" si="0"/>
        <v>169</v>
      </c>
      <c r="F18" s="14">
        <f t="shared" si="3"/>
        <v>5.1025029437516984E-3</v>
      </c>
      <c r="G18" s="15">
        <v>41422.35</v>
      </c>
      <c r="H18" s="15">
        <f t="shared" si="1"/>
        <v>-8132.3499999999985</v>
      </c>
      <c r="I18" s="16">
        <f t="shared" si="2"/>
        <v>-0.19632758643582507</v>
      </c>
      <c r="J18" s="56" t="s">
        <v>430</v>
      </c>
      <c r="K18" s="56"/>
      <c r="L18" s="97"/>
      <c r="M18" s="97"/>
      <c r="N18" s="97"/>
      <c r="O18" s="97"/>
      <c r="P18" s="97"/>
      <c r="Q18" s="97"/>
      <c r="R18" s="97"/>
      <c r="S18" s="97"/>
      <c r="T18" s="97"/>
    </row>
    <row r="19" spans="1:20" ht="15.6">
      <c r="A19" s="30" t="str">
        <v>Kohls - Kingston</v>
      </c>
      <c r="B19" s="31" t="str">
        <v>NY</v>
      </c>
      <c r="C19" s="11">
        <v>35999</v>
      </c>
      <c r="D19" s="18">
        <v>35715</v>
      </c>
      <c r="E19" s="18">
        <f t="shared" si="0"/>
        <v>284</v>
      </c>
      <c r="F19" s="19">
        <f t="shared" si="3"/>
        <v>7.9518409631807365E-3</v>
      </c>
      <c r="G19" s="20">
        <v>62369.57</v>
      </c>
      <c r="H19" s="20">
        <f t="shared" si="1"/>
        <v>-26370.57</v>
      </c>
      <c r="I19" s="19">
        <f t="shared" si="2"/>
        <v>-0.42281147681473513</v>
      </c>
      <c r="J19" s="58" t="s">
        <v>445</v>
      </c>
      <c r="K19" s="90" t="s">
        <v>446</v>
      </c>
      <c r="L19" s="97"/>
      <c r="M19" s="97"/>
      <c r="N19" s="97"/>
      <c r="O19" s="97"/>
      <c r="P19" s="97"/>
      <c r="Q19" s="97"/>
      <c r="R19" s="97"/>
      <c r="S19" s="97"/>
      <c r="T19" s="97"/>
    </row>
    <row r="20" spans="1:20" ht="28.9">
      <c r="A20" s="28" t="str">
        <v>Kohls - Mechanicsburg</v>
      </c>
      <c r="B20" s="29" t="str">
        <v>PA</v>
      </c>
      <c r="C20" s="24">
        <v>38425</v>
      </c>
      <c r="D20" s="13">
        <v>38125</v>
      </c>
      <c r="E20" s="13">
        <f t="shared" si="0"/>
        <v>300</v>
      </c>
      <c r="F20" s="14">
        <f t="shared" si="3"/>
        <v>7.8688524590163934E-3</v>
      </c>
      <c r="G20" s="15">
        <v>51230.67</v>
      </c>
      <c r="H20" s="15">
        <f t="shared" si="1"/>
        <v>-12805.669999999998</v>
      </c>
      <c r="I20" s="16">
        <f t="shared" si="2"/>
        <v>-0.24996100968423796</v>
      </c>
      <c r="J20" s="56" t="s">
        <v>447</v>
      </c>
      <c r="K20" s="91" t="s">
        <v>448</v>
      </c>
      <c r="L20" s="97"/>
      <c r="M20" s="97"/>
      <c r="N20" s="97"/>
      <c r="O20" s="97"/>
      <c r="P20" s="97"/>
      <c r="Q20" s="97"/>
      <c r="R20" s="97"/>
      <c r="S20" s="97"/>
      <c r="T20" s="97"/>
    </row>
    <row r="21" spans="1:20" ht="25.35" customHeight="1">
      <c r="A21" s="30" t="str">
        <v>Kohls - Middletown</v>
      </c>
      <c r="B21" s="31" t="str">
        <v>NJ</v>
      </c>
      <c r="C21" s="11">
        <v>0</v>
      </c>
      <c r="D21" s="18" t="s">
        <v>24</v>
      </c>
      <c r="E21" s="18" t="str">
        <f t="shared" si="0"/>
        <v/>
      </c>
      <c r="F21" s="19" t="str">
        <f t="shared" si="3"/>
        <v/>
      </c>
      <c r="G21" s="20">
        <v>71205.009999999995</v>
      </c>
      <c r="H21" s="20">
        <f t="shared" si="1"/>
        <v>-71205.009999999995</v>
      </c>
      <c r="I21" s="19">
        <f t="shared" si="2"/>
        <v>-1</v>
      </c>
      <c r="J21" s="54" t="s">
        <v>449</v>
      </c>
      <c r="K21" s="90" t="s">
        <v>450</v>
      </c>
      <c r="L21" s="97"/>
      <c r="M21" s="97"/>
      <c r="N21" s="97"/>
      <c r="O21" s="97"/>
      <c r="P21" s="97"/>
      <c r="Q21" s="97"/>
      <c r="R21" s="97"/>
      <c r="S21" s="97"/>
      <c r="T21" s="97"/>
    </row>
    <row r="22" spans="1:20" ht="19.5" customHeight="1">
      <c r="A22" s="28" t="str">
        <v>Kohls - North Amherst</v>
      </c>
      <c r="B22" s="29" t="str">
        <v>NY</v>
      </c>
      <c r="C22" s="24">
        <v>35591</v>
      </c>
      <c r="D22" s="13">
        <v>35470</v>
      </c>
      <c r="E22" s="13">
        <f t="shared" si="0"/>
        <v>121</v>
      </c>
      <c r="F22" s="14">
        <f t="shared" si="3"/>
        <v>3.4113335212855936E-3</v>
      </c>
      <c r="G22" s="15">
        <v>43967.86</v>
      </c>
      <c r="H22" s="15">
        <f t="shared" si="1"/>
        <v>-8376.86</v>
      </c>
      <c r="I22" s="16">
        <f t="shared" si="2"/>
        <v>-0.19052234973455612</v>
      </c>
      <c r="J22" s="56" t="s">
        <v>353</v>
      </c>
      <c r="K22" s="91" t="s">
        <v>451</v>
      </c>
      <c r="L22" s="97"/>
      <c r="M22" s="97"/>
      <c r="N22" s="97"/>
      <c r="O22" s="97"/>
      <c r="P22" s="97"/>
      <c r="Q22" s="97"/>
      <c r="R22" s="97"/>
      <c r="S22" s="97"/>
      <c r="T22" s="97"/>
    </row>
    <row r="23" spans="1:20" ht="72">
      <c r="A23" s="30" t="str">
        <v>Kohls - Staten Island</v>
      </c>
      <c r="B23" s="31" t="str">
        <v>NY</v>
      </c>
      <c r="C23" s="11">
        <v>31014</v>
      </c>
      <c r="D23" s="18" t="s">
        <v>24</v>
      </c>
      <c r="E23" s="18" t="str">
        <f t="shared" si="0"/>
        <v/>
      </c>
      <c r="F23" s="19" t="str">
        <f t="shared" si="3"/>
        <v/>
      </c>
      <c r="G23" s="20">
        <v>44009.37</v>
      </c>
      <c r="H23" s="20">
        <f t="shared" si="1"/>
        <v>-12995.370000000003</v>
      </c>
      <c r="I23" s="19">
        <f t="shared" si="2"/>
        <v>-0.2952864355931476</v>
      </c>
      <c r="J23" s="53" t="s">
        <v>452</v>
      </c>
      <c r="K23" s="90" t="s">
        <v>357</v>
      </c>
      <c r="L23" s="98" t="s">
        <v>39</v>
      </c>
      <c r="M23" s="97"/>
      <c r="N23" s="97"/>
      <c r="O23" s="97"/>
      <c r="P23" s="97"/>
      <c r="Q23" s="97"/>
      <c r="R23" s="97"/>
      <c r="S23" s="97"/>
      <c r="T23" s="97"/>
    </row>
    <row r="24" spans="1:20" ht="104.25" customHeight="1">
      <c r="A24" s="28" t="str">
        <v>Kohls - Warminster</v>
      </c>
      <c r="B24" s="29" t="str">
        <v>PA</v>
      </c>
      <c r="C24" s="24">
        <v>46979</v>
      </c>
      <c r="D24" s="13">
        <v>39236</v>
      </c>
      <c r="E24" s="13">
        <f t="shared" si="0"/>
        <v>7743</v>
      </c>
      <c r="F24" s="14">
        <f t="shared" si="3"/>
        <v>0.19734427566520543</v>
      </c>
      <c r="G24" s="15">
        <v>47419.53</v>
      </c>
      <c r="H24" s="15">
        <f t="shared" si="1"/>
        <v>-440.52999999999884</v>
      </c>
      <c r="I24" s="16">
        <f t="shared" si="2"/>
        <v>-9.2900541190517674E-3</v>
      </c>
      <c r="J24" s="56" t="s">
        <v>453</v>
      </c>
      <c r="K24" s="91" t="s">
        <v>454</v>
      </c>
      <c r="L24" s="97"/>
      <c r="M24" s="97"/>
      <c r="N24" s="97"/>
      <c r="O24" s="97"/>
      <c r="P24" s="97"/>
      <c r="Q24" s="97"/>
      <c r="R24" s="97"/>
      <c r="S24" s="97"/>
      <c r="T24" s="97"/>
    </row>
    <row r="25" spans="1:20" ht="15.6">
      <c r="A25" s="30" t="str">
        <v xml:space="preserve">Kohls - Waterbury </v>
      </c>
      <c r="B25" s="31" t="str">
        <v>CT</v>
      </c>
      <c r="C25" s="11">
        <v>41302</v>
      </c>
      <c r="D25" s="18">
        <v>40904</v>
      </c>
      <c r="E25" s="18">
        <f t="shared" si="0"/>
        <v>398</v>
      </c>
      <c r="F25" s="19">
        <f t="shared" si="3"/>
        <v>9.7300997457461375E-3</v>
      </c>
      <c r="G25" s="20">
        <v>41585.54</v>
      </c>
      <c r="H25" s="20">
        <f t="shared" si="1"/>
        <v>-283.54000000000087</v>
      </c>
      <c r="I25" s="19">
        <f t="shared" si="2"/>
        <v>-6.8182353770084711E-3</v>
      </c>
      <c r="J25" s="42"/>
      <c r="K25" s="60"/>
      <c r="L25" s="97"/>
      <c r="M25" s="97"/>
      <c r="N25" s="97"/>
      <c r="O25" s="97"/>
      <c r="P25" s="97"/>
      <c r="Q25" s="97"/>
      <c r="R25" s="97"/>
      <c r="S25" s="97"/>
      <c r="T25" s="97"/>
    </row>
    <row r="26" spans="1:20" ht="43.15">
      <c r="A26" s="28" t="str">
        <v>Mojave Water Agency - Headquarters</v>
      </c>
      <c r="B26" s="29" t="str">
        <v>CA</v>
      </c>
      <c r="C26" s="24">
        <v>48001</v>
      </c>
      <c r="D26" s="13">
        <v>45858</v>
      </c>
      <c r="E26" s="13">
        <f t="shared" ref="E26:E68" si="4">IF(AND(ISNUMBER(C26),ISNUMBER(D26)), C26-D26, "")</f>
        <v>2143</v>
      </c>
      <c r="F26" s="14">
        <f t="shared" si="3"/>
        <v>4.6731213746783552E-2</v>
      </c>
      <c r="G26" s="15">
        <v>42273.72</v>
      </c>
      <c r="H26" s="15">
        <f t="shared" ref="H26:H68" si="5">IF(AND(ISNUMBER(C26),ISNUMBER(G26)), C26-G26, "")</f>
        <v>5727.2799999999988</v>
      </c>
      <c r="I26" s="16">
        <f t="shared" si="2"/>
        <v>0.13548086139568505</v>
      </c>
      <c r="J26" s="56" t="s">
        <v>455</v>
      </c>
      <c r="K26" s="91" t="s">
        <v>456</v>
      </c>
      <c r="L26" s="97"/>
      <c r="M26" s="97"/>
      <c r="N26" s="97"/>
      <c r="O26" s="97"/>
      <c r="P26" s="97"/>
      <c r="Q26" s="97"/>
      <c r="R26" s="97"/>
      <c r="S26" s="97"/>
      <c r="T26" s="97"/>
    </row>
    <row r="27" spans="1:20" ht="15.6">
      <c r="A27" s="30" t="str">
        <v>CSU - Bakersfield</v>
      </c>
      <c r="B27" s="31" t="str">
        <v>CA</v>
      </c>
      <c r="C27" s="11">
        <v>197214</v>
      </c>
      <c r="D27" s="18">
        <v>196762</v>
      </c>
      <c r="E27" s="18">
        <f t="shared" si="4"/>
        <v>452</v>
      </c>
      <c r="F27" s="19">
        <f t="shared" si="3"/>
        <v>2.2971915308850287E-3</v>
      </c>
      <c r="G27" s="20">
        <v>193210.61</v>
      </c>
      <c r="H27" s="20">
        <f t="shared" si="5"/>
        <v>4003.390000000014</v>
      </c>
      <c r="I27" s="19">
        <f t="shared" si="2"/>
        <v>2.0720342428399839E-2</v>
      </c>
      <c r="J27" s="42"/>
      <c r="K27" s="60"/>
      <c r="L27" s="97"/>
      <c r="M27" s="97"/>
      <c r="N27" s="97"/>
      <c r="O27" s="97"/>
      <c r="P27" s="97"/>
      <c r="Q27" s="97"/>
      <c r="R27" s="97"/>
      <c r="S27" s="97"/>
      <c r="T27" s="97"/>
    </row>
    <row r="28" spans="1:20" ht="28.9">
      <c r="A28" s="28" t="str">
        <v>Greenfield USD - Fairfield ES</v>
      </c>
      <c r="B28" s="29" t="str">
        <v>CA</v>
      </c>
      <c r="C28" s="24">
        <v>3965</v>
      </c>
      <c r="D28" s="13">
        <v>3920</v>
      </c>
      <c r="E28" s="13">
        <f t="shared" si="4"/>
        <v>45</v>
      </c>
      <c r="F28" s="14">
        <f t="shared" si="3"/>
        <v>1.1479591836734694E-2</v>
      </c>
      <c r="G28" s="15">
        <v>16940.11</v>
      </c>
      <c r="H28" s="15">
        <f t="shared" si="5"/>
        <v>-12975.11</v>
      </c>
      <c r="I28" s="16">
        <f t="shared" si="2"/>
        <v>-0.76594012671700484</v>
      </c>
      <c r="J28" s="56" t="s">
        <v>457</v>
      </c>
      <c r="K28" s="91" t="s">
        <v>458</v>
      </c>
      <c r="L28" s="97"/>
      <c r="M28" s="97"/>
      <c r="N28" s="97"/>
      <c r="O28" s="97"/>
      <c r="P28" s="97"/>
      <c r="Q28" s="97"/>
      <c r="R28" s="97"/>
      <c r="S28" s="97"/>
      <c r="T28" s="97"/>
    </row>
    <row r="29" spans="1:20" ht="28.9">
      <c r="A29" s="30" t="str">
        <v>Greenfield USD - Granite Point ES</v>
      </c>
      <c r="B29" s="31" t="str">
        <v>CA</v>
      </c>
      <c r="C29" s="11">
        <v>46308</v>
      </c>
      <c r="D29" s="18">
        <v>46078</v>
      </c>
      <c r="E29" s="18">
        <f t="shared" si="4"/>
        <v>230</v>
      </c>
      <c r="F29" s="19">
        <f t="shared" si="3"/>
        <v>4.9915360909761706E-3</v>
      </c>
      <c r="G29" s="20">
        <v>44892.68</v>
      </c>
      <c r="H29" s="20">
        <f t="shared" si="5"/>
        <v>1415.3199999999997</v>
      </c>
      <c r="I29" s="19">
        <f t="shared" si="2"/>
        <v>3.1526743335439089E-2</v>
      </c>
      <c r="J29" s="102" t="s">
        <v>459</v>
      </c>
      <c r="K29" s="90" t="s">
        <v>460</v>
      </c>
      <c r="L29" s="97"/>
      <c r="M29" s="97"/>
      <c r="N29" s="97"/>
      <c r="O29" s="97"/>
      <c r="P29" s="97"/>
      <c r="Q29" s="97"/>
      <c r="R29" s="97"/>
      <c r="S29" s="97"/>
      <c r="T29" s="97"/>
    </row>
    <row r="30" spans="1:20" ht="28.9">
      <c r="A30" s="28" t="str">
        <v>Greenfield USD - Greenfield MS</v>
      </c>
      <c r="B30" s="29" t="str">
        <v>CA</v>
      </c>
      <c r="C30" s="24">
        <v>21143</v>
      </c>
      <c r="D30" s="13">
        <v>21124</v>
      </c>
      <c r="E30" s="13">
        <f t="shared" si="4"/>
        <v>19</v>
      </c>
      <c r="F30" s="14">
        <f t="shared" si="3"/>
        <v>8.994508615792463E-4</v>
      </c>
      <c r="G30" s="15">
        <v>30479.335999999999</v>
      </c>
      <c r="H30" s="15">
        <f t="shared" si="5"/>
        <v>-9336.3359999999993</v>
      </c>
      <c r="I30" s="16">
        <f t="shared" si="2"/>
        <v>-0.30631690926600236</v>
      </c>
      <c r="J30" s="56" t="s">
        <v>461</v>
      </c>
      <c r="K30" s="91" t="s">
        <v>462</v>
      </c>
      <c r="L30" s="97"/>
      <c r="M30" s="97"/>
      <c r="N30" s="97"/>
      <c r="O30" s="97"/>
      <c r="P30" s="97"/>
      <c r="Q30" s="97"/>
      <c r="R30" s="97"/>
      <c r="S30" s="97"/>
      <c r="T30" s="97"/>
    </row>
    <row r="31" spans="1:20" ht="72">
      <c r="A31" s="30" t="str">
        <v>Greenfield USD - Horizon ES</v>
      </c>
      <c r="B31" s="31" t="str">
        <v>CA</v>
      </c>
      <c r="C31" s="11">
        <v>29096</v>
      </c>
      <c r="D31" s="18">
        <v>29067</v>
      </c>
      <c r="E31" s="18">
        <f t="shared" si="4"/>
        <v>29</v>
      </c>
      <c r="F31" s="19">
        <f t="shared" si="3"/>
        <v>9.9769498056214941E-4</v>
      </c>
      <c r="G31" s="20">
        <v>46803.61</v>
      </c>
      <c r="H31" s="20">
        <f t="shared" si="5"/>
        <v>-17707.61</v>
      </c>
      <c r="I31" s="19">
        <f t="shared" si="2"/>
        <v>-0.37833855123568461</v>
      </c>
      <c r="J31" s="54" t="s">
        <v>463</v>
      </c>
      <c r="K31" s="90" t="s">
        <v>464</v>
      </c>
      <c r="L31" s="98" t="s">
        <v>369</v>
      </c>
      <c r="M31" s="97"/>
      <c r="N31" s="97"/>
      <c r="O31" s="97"/>
      <c r="P31" s="97"/>
      <c r="Q31" s="97"/>
      <c r="R31" s="97"/>
      <c r="S31" s="97"/>
      <c r="T31" s="97"/>
    </row>
    <row r="32" spans="1:20" ht="72">
      <c r="A32" s="28" t="str">
        <v>Greenfield USD - McKee MS</v>
      </c>
      <c r="B32" s="29" t="str">
        <v>CA</v>
      </c>
      <c r="C32" s="24">
        <v>20399</v>
      </c>
      <c r="D32" s="13">
        <v>20390</v>
      </c>
      <c r="E32" s="13">
        <f t="shared" si="4"/>
        <v>9</v>
      </c>
      <c r="F32" s="14">
        <f t="shared" si="3"/>
        <v>4.4139283962726824E-4</v>
      </c>
      <c r="G32" s="15">
        <v>28558.29</v>
      </c>
      <c r="H32" s="15">
        <f t="shared" si="5"/>
        <v>-8159.2900000000009</v>
      </c>
      <c r="I32" s="16">
        <f t="shared" si="2"/>
        <v>-0.28570653214880865</v>
      </c>
      <c r="J32" s="56" t="s">
        <v>430</v>
      </c>
      <c r="K32" s="56"/>
      <c r="L32" s="97"/>
      <c r="M32" s="97"/>
      <c r="N32" s="97"/>
      <c r="O32" s="97"/>
      <c r="P32" s="97"/>
      <c r="Q32" s="97"/>
      <c r="R32" s="97"/>
      <c r="S32" s="97"/>
      <c r="T32" s="97"/>
    </row>
    <row r="33" spans="1:20" ht="15.6">
      <c r="A33" s="30" t="str">
        <v>Greenfield USD - Plantation ES</v>
      </c>
      <c r="B33" s="31" t="str">
        <v>CA</v>
      </c>
      <c r="C33" s="11">
        <v>19830</v>
      </c>
      <c r="D33" s="18">
        <v>19791</v>
      </c>
      <c r="E33" s="18">
        <f t="shared" si="4"/>
        <v>39</v>
      </c>
      <c r="F33" s="19">
        <f t="shared" si="3"/>
        <v>1.9705926936486283E-3</v>
      </c>
      <c r="G33" s="20">
        <v>20460.5</v>
      </c>
      <c r="H33" s="20">
        <f t="shared" si="5"/>
        <v>-630.5</v>
      </c>
      <c r="I33" s="19">
        <f t="shared" si="2"/>
        <v>-3.0815473717651084E-2</v>
      </c>
      <c r="J33" s="42"/>
      <c r="K33" s="60"/>
      <c r="L33" s="97"/>
      <c r="M33" s="97"/>
      <c r="N33" s="97"/>
      <c r="O33" s="97"/>
      <c r="P33" s="97"/>
      <c r="Q33" s="97"/>
      <c r="R33" s="97"/>
      <c r="S33" s="97"/>
      <c r="T33" s="97"/>
    </row>
    <row r="34" spans="1:20" ht="43.15">
      <c r="A34" s="28" t="str">
        <v>Greenfield USD - Planz ES</v>
      </c>
      <c r="B34" s="29" t="str">
        <v>CA</v>
      </c>
      <c r="C34" s="24">
        <v>7842</v>
      </c>
      <c r="D34" s="13">
        <v>7809</v>
      </c>
      <c r="E34" s="13">
        <f t="shared" si="4"/>
        <v>33</v>
      </c>
      <c r="F34" s="14">
        <f t="shared" si="3"/>
        <v>4.2258932001536685E-3</v>
      </c>
      <c r="G34" s="15">
        <v>22583.75</v>
      </c>
      <c r="H34" s="15">
        <f t="shared" si="5"/>
        <v>-14741.75</v>
      </c>
      <c r="I34" s="16">
        <f t="shared" si="2"/>
        <v>-0.65275917418497809</v>
      </c>
      <c r="J34" s="56" t="s">
        <v>465</v>
      </c>
      <c r="K34" s="91" t="s">
        <v>466</v>
      </c>
      <c r="L34" s="97"/>
      <c r="M34" s="97"/>
      <c r="N34" s="97"/>
      <c r="O34" s="97"/>
      <c r="P34" s="97"/>
      <c r="Q34" s="97"/>
      <c r="R34" s="97"/>
      <c r="S34" s="97"/>
      <c r="T34" s="97"/>
    </row>
    <row r="35" spans="1:20" ht="43.15">
      <c r="A35" s="30" t="str">
        <v>Greenfield USD - Raffaello Palla ES</v>
      </c>
      <c r="B35" s="31" t="str">
        <v>CA</v>
      </c>
      <c r="C35" s="11">
        <v>42185</v>
      </c>
      <c r="D35" s="18">
        <v>41864</v>
      </c>
      <c r="E35" s="18">
        <f t="shared" si="4"/>
        <v>321</v>
      </c>
      <c r="F35" s="19">
        <f t="shared" si="3"/>
        <v>7.6676858398624119E-3</v>
      </c>
      <c r="G35" s="20">
        <v>50085.01</v>
      </c>
      <c r="H35" s="20">
        <f t="shared" si="5"/>
        <v>-7900.010000000002</v>
      </c>
      <c r="I35" s="19">
        <f t="shared" si="2"/>
        <v>-0.1577320240127735</v>
      </c>
      <c r="J35" s="42" t="s">
        <v>278</v>
      </c>
      <c r="K35" s="87" t="s">
        <v>467</v>
      </c>
      <c r="L35" s="97"/>
      <c r="M35" s="97"/>
      <c r="N35" s="97"/>
      <c r="O35" s="97"/>
      <c r="P35" s="97"/>
      <c r="Q35" s="97"/>
      <c r="R35" s="97"/>
      <c r="S35" s="97"/>
      <c r="T35" s="97"/>
    </row>
    <row r="36" spans="1:20" ht="15.6">
      <c r="A36" s="28" t="str">
        <v>Greenfield USD - Valle Verde ES</v>
      </c>
      <c r="B36" s="29" t="str">
        <v>CA</v>
      </c>
      <c r="C36" s="24">
        <v>46743</v>
      </c>
      <c r="D36" s="13">
        <v>46683</v>
      </c>
      <c r="E36" s="13">
        <f t="shared" si="4"/>
        <v>60</v>
      </c>
      <c r="F36" s="14">
        <f t="shared" si="3"/>
        <v>1.2852644431591801E-3</v>
      </c>
      <c r="G36" s="15">
        <v>46739.27</v>
      </c>
      <c r="H36" s="15">
        <f t="shared" si="5"/>
        <v>3.7300000000032014</v>
      </c>
      <c r="I36" s="16">
        <f t="shared" si="2"/>
        <v>7.9804412863170555E-5</v>
      </c>
      <c r="J36" s="56"/>
      <c r="K36" s="56"/>
      <c r="L36" s="97"/>
      <c r="M36" s="97"/>
      <c r="N36" s="97"/>
      <c r="O36" s="97"/>
      <c r="P36" s="97"/>
      <c r="Q36" s="97"/>
      <c r="R36" s="97"/>
      <c r="S36" s="97"/>
      <c r="T36" s="97"/>
    </row>
    <row r="37" spans="1:20" ht="28.9">
      <c r="A37" s="30" t="str">
        <v>Greenfield USD - W.A. Kendrick ES</v>
      </c>
      <c r="B37" s="31" t="str">
        <v>CA</v>
      </c>
      <c r="C37" s="11">
        <v>0</v>
      </c>
      <c r="D37" s="18" t="s">
        <v>24</v>
      </c>
      <c r="E37" s="18" t="str">
        <f t="shared" si="4"/>
        <v/>
      </c>
      <c r="F37" s="19" t="str">
        <f t="shared" si="3"/>
        <v/>
      </c>
      <c r="G37" s="20">
        <v>18024.72</v>
      </c>
      <c r="H37" s="20">
        <f t="shared" si="5"/>
        <v>-18024.72</v>
      </c>
      <c r="I37" s="19">
        <f t="shared" si="2"/>
        <v>-1</v>
      </c>
      <c r="J37" s="42" t="s">
        <v>468</v>
      </c>
      <c r="K37" s="87" t="s">
        <v>469</v>
      </c>
      <c r="L37" s="97"/>
      <c r="M37" s="97"/>
      <c r="N37" s="97"/>
      <c r="O37" s="97"/>
      <c r="P37" s="97"/>
      <c r="Q37" s="97"/>
      <c r="R37" s="97"/>
      <c r="S37" s="97"/>
      <c r="T37" s="97"/>
    </row>
    <row r="38" spans="1:20" ht="57.6">
      <c r="A38" s="28" t="str">
        <v>Muroc Joint USD - Boron HS</v>
      </c>
      <c r="B38" s="29" t="str">
        <v>CA</v>
      </c>
      <c r="C38" s="24">
        <v>0</v>
      </c>
      <c r="D38" s="13" t="s">
        <v>24</v>
      </c>
      <c r="E38" s="13" t="str">
        <f t="shared" si="4"/>
        <v/>
      </c>
      <c r="F38" s="14" t="str">
        <f t="shared" si="3"/>
        <v/>
      </c>
      <c r="G38" s="15">
        <v>39659.47</v>
      </c>
      <c r="H38" s="15">
        <f t="shared" si="5"/>
        <v>-39659.47</v>
      </c>
      <c r="I38" s="16">
        <f t="shared" si="2"/>
        <v>-1</v>
      </c>
      <c r="J38" s="56" t="s">
        <v>51</v>
      </c>
      <c r="K38" s="91" t="s">
        <v>470</v>
      </c>
      <c r="L38" s="98" t="s">
        <v>54</v>
      </c>
      <c r="M38" s="97"/>
      <c r="N38" s="97"/>
      <c r="O38" s="97"/>
      <c r="P38" s="97"/>
      <c r="Q38" s="97"/>
      <c r="R38" s="97"/>
      <c r="S38" s="97"/>
      <c r="T38" s="97"/>
    </row>
    <row r="39" spans="1:20" ht="15.6">
      <c r="A39" s="30" t="str">
        <v>Muroc Joint USD - W. Boron ES</v>
      </c>
      <c r="B39" s="31" t="str">
        <v>CA</v>
      </c>
      <c r="C39" s="11">
        <v>13826</v>
      </c>
      <c r="D39" s="18">
        <v>13782</v>
      </c>
      <c r="E39" s="18">
        <f t="shared" si="4"/>
        <v>44</v>
      </c>
      <c r="F39" s="19">
        <f t="shared" si="3"/>
        <v>3.1925700188651864E-3</v>
      </c>
      <c r="G39" s="20">
        <v>14625.55</v>
      </c>
      <c r="H39" s="20">
        <f t="shared" si="5"/>
        <v>-799.54999999999927</v>
      </c>
      <c r="I39" s="19">
        <f t="shared" si="2"/>
        <v>-5.4668029578374785E-2</v>
      </c>
      <c r="J39" s="42"/>
      <c r="K39" s="60"/>
      <c r="L39" s="97"/>
      <c r="M39" s="97"/>
      <c r="N39" s="97"/>
      <c r="O39" s="97"/>
      <c r="P39" s="97"/>
      <c r="Q39" s="97"/>
      <c r="R39" s="97"/>
      <c r="S39" s="97"/>
      <c r="T39" s="97"/>
    </row>
    <row r="40" spans="1:20" ht="139.5" customHeight="1">
      <c r="A40" s="28" t="str">
        <v>Colusa - WTP</v>
      </c>
      <c r="B40" s="29" t="str">
        <v>CA</v>
      </c>
      <c r="C40" s="24">
        <v>0</v>
      </c>
      <c r="D40" s="13" t="s">
        <v>24</v>
      </c>
      <c r="E40" s="13" t="str">
        <f t="shared" si="4"/>
        <v/>
      </c>
      <c r="F40" s="14" t="str">
        <f t="shared" si="3"/>
        <v/>
      </c>
      <c r="G40" s="15">
        <v>65825.77</v>
      </c>
      <c r="H40" s="15">
        <f t="shared" si="5"/>
        <v>-65825.77</v>
      </c>
      <c r="I40" s="16">
        <f t="shared" si="2"/>
        <v>-1</v>
      </c>
      <c r="J40" s="56" t="s">
        <v>471</v>
      </c>
      <c r="K40" s="91" t="s">
        <v>280</v>
      </c>
      <c r="L40" s="98" t="s">
        <v>57</v>
      </c>
      <c r="M40" s="98" t="s">
        <v>58</v>
      </c>
      <c r="N40" s="98" t="s">
        <v>59</v>
      </c>
      <c r="O40" s="98" t="s">
        <v>136</v>
      </c>
      <c r="P40" s="98" t="s">
        <v>281</v>
      </c>
      <c r="Q40" s="97"/>
      <c r="R40" s="97"/>
      <c r="S40" s="97"/>
      <c r="T40" s="97"/>
    </row>
    <row r="41" spans="1:20" ht="43.15">
      <c r="A41" s="30" t="str">
        <v>CDCR-North Kern State Prision</v>
      </c>
      <c r="B41" s="31" t="str">
        <v>CA</v>
      </c>
      <c r="C41" s="11">
        <v>141129</v>
      </c>
      <c r="D41" s="18">
        <v>140568</v>
      </c>
      <c r="E41" s="18">
        <f t="shared" si="4"/>
        <v>561</v>
      </c>
      <c r="F41" s="19">
        <f t="shared" si="3"/>
        <v>3.9909509988048488E-3</v>
      </c>
      <c r="G41" s="20">
        <v>263777</v>
      </c>
      <c r="H41" s="20">
        <f t="shared" si="5"/>
        <v>-122648</v>
      </c>
      <c r="I41" s="19">
        <f t="shared" si="2"/>
        <v>-0.46496851507144293</v>
      </c>
      <c r="J41" s="42" t="s">
        <v>472</v>
      </c>
      <c r="K41" s="87" t="s">
        <v>378</v>
      </c>
      <c r="L41" s="97"/>
      <c r="M41" s="97"/>
      <c r="N41" s="97"/>
      <c r="O41" s="97"/>
      <c r="P41" s="97"/>
      <c r="Q41" s="97"/>
      <c r="R41" s="97"/>
      <c r="S41" s="97"/>
      <c r="T41" s="97"/>
    </row>
    <row r="42" spans="1:20" ht="15.6">
      <c r="A42" s="28" t="str">
        <v>Muroc Joint USD - District Office</v>
      </c>
      <c r="B42" s="29" t="str">
        <v>CA</v>
      </c>
      <c r="C42" s="24">
        <v>9927</v>
      </c>
      <c r="D42" s="13">
        <v>9916</v>
      </c>
      <c r="E42" s="13">
        <f t="shared" si="4"/>
        <v>11</v>
      </c>
      <c r="F42" s="14">
        <f t="shared" si="3"/>
        <v>1.1093182734973779E-3</v>
      </c>
      <c r="G42" s="15">
        <v>10315.02</v>
      </c>
      <c r="H42" s="15">
        <f t="shared" si="5"/>
        <v>-388.02000000000044</v>
      </c>
      <c r="I42" s="16">
        <f t="shared" si="2"/>
        <v>-3.761698959381566E-2</v>
      </c>
      <c r="J42" s="86"/>
      <c r="K42" s="56"/>
      <c r="L42" s="97"/>
      <c r="M42" s="97"/>
      <c r="N42" s="97"/>
      <c r="O42" s="97"/>
      <c r="P42" s="97"/>
      <c r="Q42" s="97"/>
      <c r="R42" s="97"/>
      <c r="S42" s="97"/>
      <c r="T42" s="97"/>
    </row>
    <row r="43" spans="1:20" ht="158.44999999999999">
      <c r="A43" s="30" t="str">
        <v>Whole Foods - Manhattan Beach</v>
      </c>
      <c r="B43" s="31" t="str">
        <v>CA</v>
      </c>
      <c r="C43" s="11">
        <v>15504</v>
      </c>
      <c r="D43" s="18">
        <v>15456</v>
      </c>
      <c r="E43" s="18">
        <f t="shared" si="4"/>
        <v>48</v>
      </c>
      <c r="F43" s="19">
        <f t="shared" si="3"/>
        <v>3.105590062111801E-3</v>
      </c>
      <c r="G43" s="20">
        <v>21449.05</v>
      </c>
      <c r="H43" s="20">
        <f t="shared" si="5"/>
        <v>-5945.0499999999993</v>
      </c>
      <c r="I43" s="19">
        <f t="shared" si="2"/>
        <v>-0.27717078378762694</v>
      </c>
      <c r="J43" s="54" t="s">
        <v>473</v>
      </c>
      <c r="K43" s="90" t="s">
        <v>474</v>
      </c>
      <c r="L43" s="98" t="s">
        <v>287</v>
      </c>
      <c r="M43" s="98" t="s">
        <v>475</v>
      </c>
      <c r="N43" s="98" t="s">
        <v>382</v>
      </c>
      <c r="O43" s="98" t="s">
        <v>383</v>
      </c>
      <c r="P43" s="98" t="s">
        <v>476</v>
      </c>
      <c r="Q43" s="98" t="s">
        <v>477</v>
      </c>
      <c r="R43" s="97"/>
      <c r="S43" s="97"/>
      <c r="T43" s="97"/>
    </row>
    <row r="44" spans="1:20" ht="28.9">
      <c r="A44" s="28" t="str">
        <v>Pioneer USD - Frontier ES</v>
      </c>
      <c r="B44" s="29" t="str">
        <v>CA</v>
      </c>
      <c r="C44" s="24">
        <v>31765</v>
      </c>
      <c r="D44" s="13" t="s">
        <v>24</v>
      </c>
      <c r="E44" s="13" t="str">
        <f t="shared" si="4"/>
        <v/>
      </c>
      <c r="F44" s="14" t="str">
        <f t="shared" si="3"/>
        <v/>
      </c>
      <c r="G44" s="15">
        <v>39224.36</v>
      </c>
      <c r="H44" s="15">
        <f t="shared" si="5"/>
        <v>-7459.3600000000006</v>
      </c>
      <c r="I44" s="16">
        <f t="shared" si="2"/>
        <v>-0.1901716178415658</v>
      </c>
      <c r="J44" s="56" t="s">
        <v>144</v>
      </c>
      <c r="K44" s="91" t="s">
        <v>384</v>
      </c>
      <c r="L44" s="97"/>
      <c r="M44" s="97"/>
      <c r="N44" s="97"/>
      <c r="O44" s="97"/>
      <c r="P44" s="97"/>
      <c r="Q44" s="97"/>
      <c r="R44" s="97"/>
      <c r="S44" s="97"/>
      <c r="T44" s="97"/>
    </row>
    <row r="45" spans="1:20" ht="129.6">
      <c r="A45" s="30" t="str">
        <v>Pioneer USD - Pioneer ES</v>
      </c>
      <c r="B45" s="31" t="str">
        <v>CA</v>
      </c>
      <c r="C45" s="11">
        <v>7837</v>
      </c>
      <c r="D45" s="18" t="s">
        <v>24</v>
      </c>
      <c r="E45" s="18" t="str">
        <f t="shared" si="4"/>
        <v/>
      </c>
      <c r="F45" s="19" t="str">
        <f t="shared" si="3"/>
        <v/>
      </c>
      <c r="G45" s="20">
        <v>39859.75</v>
      </c>
      <c r="H45" s="20">
        <f t="shared" si="5"/>
        <v>-32022.75</v>
      </c>
      <c r="I45" s="19">
        <f t="shared" si="2"/>
        <v>-0.80338562083304588</v>
      </c>
      <c r="J45" s="42" t="s">
        <v>478</v>
      </c>
      <c r="K45" s="90" t="s">
        <v>479</v>
      </c>
      <c r="L45" s="98" t="s">
        <v>69</v>
      </c>
      <c r="M45" s="98" t="s">
        <v>70</v>
      </c>
      <c r="N45" s="98" t="s">
        <v>71</v>
      </c>
      <c r="O45" s="98" t="s">
        <v>480</v>
      </c>
      <c r="P45" s="98" t="s">
        <v>71</v>
      </c>
      <c r="Q45" s="98" t="s">
        <v>480</v>
      </c>
      <c r="R45" s="97"/>
      <c r="S45" s="97"/>
      <c r="T45" s="97"/>
    </row>
    <row r="46" spans="1:20" ht="15.6">
      <c r="A46" s="28" t="str">
        <v>Pioneer USD - Pioneer MS</v>
      </c>
      <c r="B46" s="29" t="str">
        <v>CA</v>
      </c>
      <c r="C46" s="24">
        <v>66270</v>
      </c>
      <c r="D46" s="13" t="s">
        <v>24</v>
      </c>
      <c r="E46" s="13" t="str">
        <f t="shared" si="4"/>
        <v/>
      </c>
      <c r="F46" s="14" t="str">
        <f t="shared" si="3"/>
        <v/>
      </c>
      <c r="G46" s="15">
        <v>53161.64</v>
      </c>
      <c r="H46" s="15">
        <f t="shared" si="5"/>
        <v>13108.36</v>
      </c>
      <c r="I46" s="16">
        <f t="shared" si="2"/>
        <v>0.24657553830167769</v>
      </c>
      <c r="J46" s="56"/>
      <c r="K46" s="56"/>
      <c r="L46" s="97"/>
      <c r="M46" s="97"/>
      <c r="N46" s="97"/>
      <c r="O46" s="97"/>
      <c r="P46" s="97"/>
      <c r="Q46" s="97"/>
      <c r="R46" s="97"/>
      <c r="S46" s="97"/>
      <c r="T46" s="97"/>
    </row>
    <row r="47" spans="1:20" ht="180.75" customHeight="1">
      <c r="A47" s="30" t="str">
        <v>Kingsburg Joint UHSD - Kingsburg HS</v>
      </c>
      <c r="B47" s="31" t="str">
        <v>CA</v>
      </c>
      <c r="C47" s="11">
        <v>11153</v>
      </c>
      <c r="D47" s="18" t="s">
        <v>24</v>
      </c>
      <c r="E47" s="18" t="str">
        <f t="shared" si="4"/>
        <v/>
      </c>
      <c r="F47" s="19" t="str">
        <f t="shared" si="3"/>
        <v/>
      </c>
      <c r="G47" s="20">
        <v>88262.31</v>
      </c>
      <c r="H47" s="20">
        <f t="shared" si="5"/>
        <v>-77109.31</v>
      </c>
      <c r="I47" s="19">
        <f t="shared" si="2"/>
        <v>-0.87363802284349912</v>
      </c>
      <c r="J47" s="54" t="s">
        <v>481</v>
      </c>
      <c r="K47" s="90" t="s">
        <v>390</v>
      </c>
      <c r="L47" s="98" t="s">
        <v>149</v>
      </c>
      <c r="M47" s="98" t="s">
        <v>391</v>
      </c>
      <c r="N47" s="98" t="s">
        <v>292</v>
      </c>
      <c r="O47" s="97"/>
      <c r="P47" s="97"/>
      <c r="Q47" s="97"/>
      <c r="R47" s="97"/>
      <c r="S47" s="97"/>
      <c r="T47" s="97"/>
    </row>
    <row r="48" spans="1:20" ht="86.45">
      <c r="A48" s="28" t="str">
        <v>CADRB</v>
      </c>
      <c r="B48" s="29" t="str">
        <v>CA</v>
      </c>
      <c r="C48" s="24">
        <v>0</v>
      </c>
      <c r="D48" s="13" t="s">
        <v>24</v>
      </c>
      <c r="E48" s="13" t="str">
        <f t="shared" si="4"/>
        <v/>
      </c>
      <c r="F48" s="14" t="str">
        <f t="shared" si="3"/>
        <v/>
      </c>
      <c r="G48" s="15">
        <v>945631</v>
      </c>
      <c r="H48" s="15">
        <f t="shared" si="5"/>
        <v>-945631</v>
      </c>
      <c r="I48" s="16">
        <f t="shared" si="2"/>
        <v>-1</v>
      </c>
      <c r="J48" s="56" t="s">
        <v>482</v>
      </c>
      <c r="K48" s="91" t="s">
        <v>294</v>
      </c>
      <c r="L48" s="98" t="s">
        <v>152</v>
      </c>
      <c r="M48" s="98" t="s">
        <v>295</v>
      </c>
      <c r="N48" s="98" t="s">
        <v>81</v>
      </c>
      <c r="O48" s="98" t="s">
        <v>295</v>
      </c>
      <c r="P48" s="98" t="s">
        <v>82</v>
      </c>
      <c r="Q48" s="97"/>
      <c r="R48" s="97"/>
      <c r="S48" s="97"/>
      <c r="T48" s="97"/>
    </row>
    <row r="49" spans="1:20" ht="43.15">
      <c r="A49" s="30" t="str">
        <v>CDCR-CA State Prison LA County</v>
      </c>
      <c r="B49" s="31" t="str">
        <v>CA</v>
      </c>
      <c r="C49" s="11">
        <v>313581</v>
      </c>
      <c r="D49" s="18">
        <v>312903</v>
      </c>
      <c r="E49" s="18">
        <f t="shared" si="4"/>
        <v>678</v>
      </c>
      <c r="F49" s="19">
        <f t="shared" si="3"/>
        <v>2.1668056873855477E-3</v>
      </c>
      <c r="G49" s="20">
        <v>569051.78</v>
      </c>
      <c r="H49" s="20">
        <f t="shared" si="5"/>
        <v>-255470.78000000003</v>
      </c>
      <c r="I49" s="19">
        <f t="shared" si="2"/>
        <v>-0.44894118422755835</v>
      </c>
      <c r="J49" s="42" t="s">
        <v>200</v>
      </c>
      <c r="K49" s="90" t="s">
        <v>201</v>
      </c>
      <c r="L49" s="97"/>
      <c r="M49" s="97"/>
      <c r="N49" s="97"/>
      <c r="O49" s="97"/>
      <c r="P49" s="97"/>
      <c r="Q49" s="97"/>
      <c r="R49" s="97"/>
      <c r="S49" s="97"/>
      <c r="T49" s="97"/>
    </row>
    <row r="50" spans="1:20" ht="15.6">
      <c r="A50" s="28" t="str">
        <v>Central USD Akers ES</v>
      </c>
      <c r="B50" s="29" t="str">
        <v>CA</v>
      </c>
      <c r="C50" s="24">
        <v>42269</v>
      </c>
      <c r="D50" s="13" t="s">
        <v>24</v>
      </c>
      <c r="E50" s="13" t="str">
        <f t="shared" si="4"/>
        <v/>
      </c>
      <c r="F50" s="14" t="str">
        <f t="shared" si="3"/>
        <v/>
      </c>
      <c r="G50" s="15">
        <v>43241.29</v>
      </c>
      <c r="H50" s="15">
        <f t="shared" si="5"/>
        <v>-972.29000000000087</v>
      </c>
      <c r="I50" s="16">
        <f t="shared" si="2"/>
        <v>-2.2485221879365785E-2</v>
      </c>
      <c r="J50" s="56"/>
      <c r="K50" s="56"/>
      <c r="L50" s="97"/>
      <c r="M50" s="97"/>
      <c r="N50" s="97"/>
      <c r="O50" s="97"/>
      <c r="P50" s="97"/>
      <c r="Q50" s="97"/>
      <c r="R50" s="97"/>
      <c r="S50" s="97"/>
      <c r="T50" s="97"/>
    </row>
    <row r="51" spans="1:20" ht="72">
      <c r="A51" s="30" t="str">
        <v>CUSD - District Office</v>
      </c>
      <c r="B51" s="31" t="str">
        <v>CA</v>
      </c>
      <c r="C51" s="11">
        <v>13941</v>
      </c>
      <c r="D51" s="18">
        <v>13912</v>
      </c>
      <c r="E51" s="18">
        <f t="shared" si="4"/>
        <v>29</v>
      </c>
      <c r="F51" s="19">
        <f t="shared" si="3"/>
        <v>2.0845313398504886E-3</v>
      </c>
      <c r="G51" s="20">
        <v>37509.370000000003</v>
      </c>
      <c r="H51" s="20">
        <f t="shared" si="5"/>
        <v>-23568.370000000003</v>
      </c>
      <c r="I51" s="19">
        <f t="shared" si="2"/>
        <v>-0.62833286722757542</v>
      </c>
      <c r="J51" s="42" t="s">
        <v>483</v>
      </c>
      <c r="K51" s="90" t="s">
        <v>396</v>
      </c>
      <c r="L51" s="98" t="s">
        <v>397</v>
      </c>
      <c r="M51" s="97"/>
      <c r="N51" s="97"/>
      <c r="O51" s="97"/>
      <c r="P51" s="97"/>
      <c r="Q51" s="97"/>
      <c r="R51" s="97"/>
      <c r="S51" s="97"/>
      <c r="T51" s="97"/>
    </row>
    <row r="52" spans="1:20" ht="28.9">
      <c r="A52" s="28" t="str">
        <v>Parlier - WTP</v>
      </c>
      <c r="B52" s="29" t="str">
        <v>CA</v>
      </c>
      <c r="C52" s="24">
        <v>49857</v>
      </c>
      <c r="D52" s="13">
        <v>49841</v>
      </c>
      <c r="E52" s="13">
        <f t="shared" si="4"/>
        <v>16</v>
      </c>
      <c r="F52" s="14">
        <f t="shared" si="3"/>
        <v>3.2102084629120604E-4</v>
      </c>
      <c r="G52" s="15">
        <v>112049.85</v>
      </c>
      <c r="H52" s="15">
        <f t="shared" si="5"/>
        <v>-62192.850000000006</v>
      </c>
      <c r="I52" s="16">
        <f t="shared" si="2"/>
        <v>-0.55504625842872612</v>
      </c>
      <c r="J52" s="56" t="s">
        <v>484</v>
      </c>
      <c r="K52" s="91" t="s">
        <v>399</v>
      </c>
      <c r="L52" s="97"/>
      <c r="M52" s="97"/>
      <c r="N52" s="97"/>
      <c r="O52" s="97"/>
      <c r="P52" s="97"/>
      <c r="Q52" s="97"/>
      <c r="R52" s="97"/>
      <c r="S52" s="97"/>
      <c r="T52" s="97"/>
    </row>
    <row r="53" spans="1:20" ht="86.45">
      <c r="A53" s="30" t="str">
        <v>Snowline SD - Quail Valley MS</v>
      </c>
      <c r="B53" s="31" t="str">
        <v>CA</v>
      </c>
      <c r="C53" s="11">
        <v>49138</v>
      </c>
      <c r="D53" s="18">
        <v>49087</v>
      </c>
      <c r="E53" s="18">
        <f t="shared" si="4"/>
        <v>51</v>
      </c>
      <c r="F53" s="19">
        <f t="shared" si="3"/>
        <v>1.0389716218143297E-3</v>
      </c>
      <c r="G53" s="20">
        <v>50428.09</v>
      </c>
      <c r="H53" s="20">
        <f t="shared" si="5"/>
        <v>-1290.0899999999965</v>
      </c>
      <c r="I53" s="19">
        <f t="shared" si="2"/>
        <v>-2.5582765478525889E-2</v>
      </c>
      <c r="J53" s="54" t="s">
        <v>485</v>
      </c>
      <c r="K53" s="90" t="s">
        <v>304</v>
      </c>
      <c r="L53" s="98" t="s">
        <v>305</v>
      </c>
      <c r="M53" s="97"/>
      <c r="N53" s="97"/>
      <c r="O53" s="97"/>
      <c r="P53" s="97"/>
      <c r="Q53" s="97"/>
      <c r="R53" s="97"/>
      <c r="S53" s="97"/>
      <c r="T53" s="97"/>
    </row>
    <row r="54" spans="1:20" ht="43.15">
      <c r="A54" s="28" t="str">
        <v>Snowline SD - Serrano HS - Middle Lot</v>
      </c>
      <c r="B54" s="29" t="str">
        <v>CA</v>
      </c>
      <c r="C54" s="24">
        <v>21719</v>
      </c>
      <c r="D54" s="13">
        <v>20532</v>
      </c>
      <c r="E54" s="13">
        <f t="shared" si="4"/>
        <v>1187</v>
      </c>
      <c r="F54" s="14">
        <f t="shared" si="3"/>
        <v>5.7812195597116693E-2</v>
      </c>
      <c r="G54" s="15">
        <v>60759.23</v>
      </c>
      <c r="H54" s="15">
        <f t="shared" si="5"/>
        <v>-39040.230000000003</v>
      </c>
      <c r="I54" s="16">
        <f t="shared" si="2"/>
        <v>-0.64253990710547193</v>
      </c>
      <c r="J54" s="56" t="s">
        <v>486</v>
      </c>
      <c r="K54" s="91" t="s">
        <v>487</v>
      </c>
      <c r="L54" s="98" t="s">
        <v>488</v>
      </c>
      <c r="M54" s="97"/>
      <c r="N54" s="97"/>
      <c r="O54" s="97"/>
      <c r="P54" s="97"/>
      <c r="Q54" s="97"/>
      <c r="R54" s="97"/>
      <c r="S54" s="97"/>
      <c r="T54" s="97"/>
    </row>
    <row r="55" spans="1:20" ht="33" customHeight="1">
      <c r="A55" s="30" t="str">
        <v>Snowline SD - Pinon Hills ES</v>
      </c>
      <c r="B55" s="31" t="str">
        <v>CA</v>
      </c>
      <c r="C55" s="11">
        <v>13280</v>
      </c>
      <c r="D55" s="18">
        <v>13267</v>
      </c>
      <c r="E55" s="18">
        <f t="shared" si="4"/>
        <v>13</v>
      </c>
      <c r="F55" s="19">
        <f t="shared" si="3"/>
        <v>9.7987487751564038E-4</v>
      </c>
      <c r="G55" s="20">
        <v>26187.01</v>
      </c>
      <c r="H55" s="20">
        <f t="shared" si="5"/>
        <v>-12907.009999999998</v>
      </c>
      <c r="I55" s="19">
        <f t="shared" si="2"/>
        <v>-0.49287833929875918</v>
      </c>
      <c r="J55" s="54" t="s">
        <v>489</v>
      </c>
      <c r="K55" s="90" t="s">
        <v>490</v>
      </c>
      <c r="L55" s="98" t="s">
        <v>491</v>
      </c>
      <c r="M55" s="98" t="s">
        <v>492</v>
      </c>
      <c r="N55" s="97"/>
      <c r="O55" s="97"/>
      <c r="P55" s="97"/>
      <c r="Q55" s="97"/>
      <c r="R55" s="97"/>
      <c r="S55" s="97"/>
      <c r="T55" s="97"/>
    </row>
    <row r="56" spans="1:20" ht="15.6">
      <c r="A56" s="28" t="str">
        <v>Ramona - Santa Maria WTP</v>
      </c>
      <c r="B56" s="29" t="str">
        <v>CA</v>
      </c>
      <c r="C56" s="24">
        <v>74655</v>
      </c>
      <c r="D56" s="13">
        <v>74477</v>
      </c>
      <c r="E56" s="13">
        <f t="shared" si="4"/>
        <v>178</v>
      </c>
      <c r="F56" s="14">
        <f t="shared" si="3"/>
        <v>2.389999597191079E-3</v>
      </c>
      <c r="G56" s="15">
        <v>81869.56</v>
      </c>
      <c r="H56" s="15">
        <f t="shared" si="5"/>
        <v>-7214.5599999999977</v>
      </c>
      <c r="I56" s="16">
        <f t="shared" si="2"/>
        <v>-8.8122618467718627E-2</v>
      </c>
      <c r="J56" s="56"/>
      <c r="K56" s="56"/>
      <c r="L56" s="97"/>
      <c r="M56" s="97"/>
      <c r="N56" s="97"/>
      <c r="O56" s="97"/>
      <c r="P56" s="97"/>
      <c r="Q56" s="97"/>
      <c r="R56" s="97"/>
      <c r="S56" s="97"/>
      <c r="T56" s="97"/>
    </row>
    <row r="57" spans="1:20" ht="28.9">
      <c r="A57" s="30" t="str">
        <v>Kohls - Redding</v>
      </c>
      <c r="B57" s="31" t="str">
        <v>CA</v>
      </c>
      <c r="C57" s="11">
        <v>44733</v>
      </c>
      <c r="D57" s="18">
        <v>56</v>
      </c>
      <c r="E57" s="18">
        <f t="shared" si="4"/>
        <v>44677</v>
      </c>
      <c r="F57" s="19">
        <f t="shared" si="3"/>
        <v>797.80357142857144</v>
      </c>
      <c r="G57" s="20">
        <v>37815.99</v>
      </c>
      <c r="H57" s="20">
        <f t="shared" si="5"/>
        <v>6917.010000000002</v>
      </c>
      <c r="I57" s="19">
        <f t="shared" si="2"/>
        <v>0.18291230773014278</v>
      </c>
      <c r="J57" s="42" t="s">
        <v>493</v>
      </c>
      <c r="K57" s="90" t="s">
        <v>494</v>
      </c>
      <c r="L57" s="97"/>
      <c r="M57" s="97"/>
      <c r="N57" s="97"/>
      <c r="O57" s="97"/>
      <c r="P57" s="97"/>
      <c r="Q57" s="97"/>
      <c r="R57" s="97"/>
      <c r="S57" s="97"/>
      <c r="T57" s="97"/>
    </row>
    <row r="58" spans="1:20" ht="93.75" customHeight="1">
      <c r="A58" s="28" t="str">
        <v>Kohls - Salinas</v>
      </c>
      <c r="B58" s="29" t="str">
        <v>CA</v>
      </c>
      <c r="C58" s="24">
        <v>37254</v>
      </c>
      <c r="D58" s="13">
        <v>37059</v>
      </c>
      <c r="E58" s="13">
        <f t="shared" si="4"/>
        <v>195</v>
      </c>
      <c r="F58" s="14">
        <f t="shared" si="3"/>
        <v>5.2618797053347365E-3</v>
      </c>
      <c r="G58" s="15">
        <v>50893.87</v>
      </c>
      <c r="H58" s="15">
        <f t="shared" si="5"/>
        <v>-13639.870000000003</v>
      </c>
      <c r="I58" s="16">
        <f t="shared" si="2"/>
        <v>-0.26800614690924468</v>
      </c>
      <c r="J58" s="56" t="s">
        <v>495</v>
      </c>
      <c r="K58" s="91" t="s">
        <v>496</v>
      </c>
      <c r="L58" s="98" t="s">
        <v>221</v>
      </c>
      <c r="M58" s="98" t="s">
        <v>158</v>
      </c>
      <c r="N58" s="98" t="s">
        <v>100</v>
      </c>
      <c r="O58" s="98" t="s">
        <v>98</v>
      </c>
      <c r="P58" s="98" t="s">
        <v>312</v>
      </c>
      <c r="Q58" s="98" t="s">
        <v>408</v>
      </c>
      <c r="R58" s="97"/>
      <c r="S58" s="97"/>
      <c r="T58" s="97"/>
    </row>
    <row r="59" spans="1:20" ht="150.75" customHeight="1">
      <c r="A59" s="30" t="str">
        <v>Kohls - San Bernardino - Central</v>
      </c>
      <c r="B59" s="31" t="str">
        <v>CA</v>
      </c>
      <c r="C59" s="11">
        <v>20237</v>
      </c>
      <c r="D59" s="18">
        <v>20187</v>
      </c>
      <c r="E59" s="18">
        <f t="shared" si="4"/>
        <v>50</v>
      </c>
      <c r="F59" s="19">
        <f t="shared" si="3"/>
        <v>2.476841531678803E-3</v>
      </c>
      <c r="G59" s="20">
        <v>173166.93</v>
      </c>
      <c r="H59" s="20">
        <f t="shared" si="5"/>
        <v>-152929.93</v>
      </c>
      <c r="I59" s="19">
        <f t="shared" si="2"/>
        <v>-0.88313588512541052</v>
      </c>
      <c r="J59" s="54" t="s">
        <v>497</v>
      </c>
      <c r="K59" s="90" t="s">
        <v>498</v>
      </c>
      <c r="L59" s="98" t="s">
        <v>411</v>
      </c>
      <c r="M59" s="98" t="s">
        <v>315</v>
      </c>
      <c r="N59" s="98" t="s">
        <v>412</v>
      </c>
      <c r="O59" s="97"/>
      <c r="P59" s="97"/>
      <c r="Q59" s="97"/>
      <c r="R59" s="97"/>
      <c r="S59" s="97"/>
      <c r="T59" s="97"/>
    </row>
    <row r="60" spans="1:20" ht="111" customHeight="1">
      <c r="A60" s="28" t="str">
        <v>Kohls - Sonora</v>
      </c>
      <c r="B60" s="29" t="str">
        <v>CA</v>
      </c>
      <c r="C60" s="24">
        <v>32433</v>
      </c>
      <c r="D60" s="13">
        <v>32270</v>
      </c>
      <c r="E60" s="13">
        <f t="shared" si="4"/>
        <v>163</v>
      </c>
      <c r="F60" s="14">
        <f t="shared" si="3"/>
        <v>5.0511310814998454E-3</v>
      </c>
      <c r="G60" s="15">
        <v>38490.730000000003</v>
      </c>
      <c r="H60" s="15">
        <f t="shared" si="5"/>
        <v>-6057.7300000000032</v>
      </c>
      <c r="I60" s="16">
        <f t="shared" si="2"/>
        <v>-0.15738153056593113</v>
      </c>
      <c r="J60" s="56" t="s">
        <v>499</v>
      </c>
      <c r="K60" s="91" t="s">
        <v>500</v>
      </c>
      <c r="L60" s="98" t="s">
        <v>161</v>
      </c>
      <c r="M60" s="98" t="s">
        <v>103</v>
      </c>
      <c r="N60" s="98" t="s">
        <v>161</v>
      </c>
      <c r="O60" s="98" t="s">
        <v>416</v>
      </c>
      <c r="P60" s="98" t="s">
        <v>415</v>
      </c>
      <c r="Q60" s="98" t="s">
        <v>416</v>
      </c>
      <c r="R60" s="97"/>
      <c r="S60" s="97"/>
      <c r="T60" s="97"/>
    </row>
    <row r="61" spans="1:20" ht="28.9">
      <c r="A61" s="30" t="str">
        <v>CUSD - Stratford ES</v>
      </c>
      <c r="B61" s="31" t="str">
        <v>CA</v>
      </c>
      <c r="C61" s="11">
        <v>22815</v>
      </c>
      <c r="D61" s="18">
        <v>22765</v>
      </c>
      <c r="E61" s="18">
        <f t="shared" si="4"/>
        <v>50</v>
      </c>
      <c r="F61" s="19">
        <f t="shared" si="3"/>
        <v>2.1963540522732263E-3</v>
      </c>
      <c r="G61" s="20">
        <v>25679.48</v>
      </c>
      <c r="H61" s="20">
        <f t="shared" si="5"/>
        <v>-2864.4799999999996</v>
      </c>
      <c r="I61" s="19">
        <f t="shared" si="2"/>
        <v>-0.11154743008814819</v>
      </c>
      <c r="J61" s="42" t="s">
        <v>501</v>
      </c>
      <c r="K61" s="90" t="s">
        <v>502</v>
      </c>
      <c r="L61" s="97"/>
      <c r="M61" s="97"/>
      <c r="N61" s="97"/>
      <c r="O61" s="97"/>
      <c r="P61" s="97"/>
      <c r="Q61" s="97"/>
      <c r="R61" s="97"/>
      <c r="S61" s="97"/>
      <c r="T61" s="97"/>
    </row>
    <row r="62" spans="1:20" ht="72">
      <c r="A62" s="28" t="str">
        <v>Taft - City Hall</v>
      </c>
      <c r="B62" s="29" t="str">
        <v>CA</v>
      </c>
      <c r="C62" s="24">
        <v>246</v>
      </c>
      <c r="D62" s="13">
        <v>42</v>
      </c>
      <c r="E62" s="13">
        <f t="shared" si="4"/>
        <v>204</v>
      </c>
      <c r="F62" s="14">
        <f t="shared" si="3"/>
        <v>4.8571428571428568</v>
      </c>
      <c r="G62" s="15">
        <v>11320.54</v>
      </c>
      <c r="H62" s="15">
        <f t="shared" si="5"/>
        <v>-11074.54</v>
      </c>
      <c r="I62" s="16">
        <f t="shared" si="2"/>
        <v>-0.97826958784651619</v>
      </c>
      <c r="J62" s="56" t="s">
        <v>503</v>
      </c>
      <c r="K62" s="91" t="s">
        <v>504</v>
      </c>
      <c r="L62" s="97"/>
      <c r="M62" s="97"/>
      <c r="N62" s="97"/>
      <c r="O62" s="97"/>
      <c r="P62" s="97"/>
      <c r="Q62" s="97"/>
      <c r="R62" s="97"/>
      <c r="S62" s="97"/>
      <c r="T62" s="97"/>
    </row>
    <row r="63" spans="1:20" ht="15.6">
      <c r="A63" s="30" t="str">
        <v>Taft - Federal Prison</v>
      </c>
      <c r="B63" s="31" t="str">
        <v>CA</v>
      </c>
      <c r="C63" s="11">
        <v>19072</v>
      </c>
      <c r="D63" s="18">
        <v>19051</v>
      </c>
      <c r="E63" s="18">
        <f t="shared" si="4"/>
        <v>21</v>
      </c>
      <c r="F63" s="19">
        <f t="shared" si="3"/>
        <v>1.1023043409794761E-3</v>
      </c>
      <c r="G63" s="20">
        <v>17196.66</v>
      </c>
      <c r="H63" s="20">
        <f t="shared" si="5"/>
        <v>1875.3400000000001</v>
      </c>
      <c r="I63" s="19">
        <f t="shared" si="2"/>
        <v>0.1090525718366241</v>
      </c>
      <c r="J63" s="42"/>
      <c r="K63" s="60"/>
      <c r="L63" s="97"/>
      <c r="M63" s="97"/>
      <c r="N63" s="97"/>
      <c r="O63" s="97"/>
      <c r="P63" s="97"/>
      <c r="Q63" s="97"/>
      <c r="R63" s="97"/>
      <c r="S63" s="97"/>
      <c r="T63" s="97"/>
    </row>
    <row r="64" spans="1:20" ht="15.6">
      <c r="A64" s="28" t="str">
        <v>Taft - Police Department</v>
      </c>
      <c r="B64" s="29" t="str">
        <v>CA</v>
      </c>
      <c r="C64" s="24">
        <v>14121</v>
      </c>
      <c r="D64" s="13">
        <v>14107</v>
      </c>
      <c r="E64" s="13">
        <f t="shared" si="4"/>
        <v>14</v>
      </c>
      <c r="F64" s="14">
        <f t="shared" si="3"/>
        <v>9.9241511306443603E-4</v>
      </c>
      <c r="G64" s="15">
        <v>12944.27</v>
      </c>
      <c r="H64" s="15">
        <f t="shared" si="5"/>
        <v>1176.7299999999996</v>
      </c>
      <c r="I64" s="16">
        <f t="shared" si="2"/>
        <v>9.0907405361600122E-2</v>
      </c>
      <c r="J64" s="56"/>
      <c r="K64" s="56"/>
      <c r="L64" s="97"/>
      <c r="M64" s="97"/>
      <c r="N64" s="97"/>
      <c r="O64" s="97"/>
      <c r="P64" s="97"/>
      <c r="Q64" s="97"/>
      <c r="R64" s="97"/>
      <c r="S64" s="97"/>
      <c r="T64" s="97"/>
    </row>
    <row r="65" spans="1:20" ht="43.15">
      <c r="A65" s="30" t="str">
        <v>Taft - WTP</v>
      </c>
      <c r="B65" s="31" t="str">
        <v>CA</v>
      </c>
      <c r="C65" s="11">
        <v>63372</v>
      </c>
      <c r="D65" s="18">
        <v>63142</v>
      </c>
      <c r="E65" s="18">
        <f t="shared" si="4"/>
        <v>230</v>
      </c>
      <c r="F65" s="19">
        <f t="shared" si="3"/>
        <v>3.6425833834848437E-3</v>
      </c>
      <c r="G65" s="20">
        <v>76485.119999999995</v>
      </c>
      <c r="H65" s="20">
        <f t="shared" si="5"/>
        <v>-13113.119999999995</v>
      </c>
      <c r="I65" s="19">
        <f t="shared" si="2"/>
        <v>-0.17144668139371419</v>
      </c>
      <c r="J65" s="42" t="s">
        <v>505</v>
      </c>
      <c r="K65" s="90" t="s">
        <v>506</v>
      </c>
      <c r="L65" s="97"/>
      <c r="M65" s="97"/>
      <c r="N65" s="97"/>
      <c r="O65" s="97"/>
      <c r="P65" s="97"/>
      <c r="Q65" s="97"/>
      <c r="R65" s="97"/>
      <c r="S65" s="97"/>
      <c r="T65" s="97"/>
    </row>
    <row r="66" spans="1:20" ht="57.6">
      <c r="A66" s="28" t="str">
        <v>CDCR - CA Correctional Institution</v>
      </c>
      <c r="B66" s="29" t="str">
        <v>CA</v>
      </c>
      <c r="C66" s="24">
        <v>244241</v>
      </c>
      <c r="D66" s="13">
        <v>243776</v>
      </c>
      <c r="E66" s="13">
        <f t="shared" si="4"/>
        <v>465</v>
      </c>
      <c r="F66" s="14">
        <f t="shared" si="3"/>
        <v>1.9074888422158046E-3</v>
      </c>
      <c r="G66" s="15">
        <v>272813.68</v>
      </c>
      <c r="H66" s="15">
        <f t="shared" si="5"/>
        <v>-28572.679999999993</v>
      </c>
      <c r="I66" s="16">
        <f t="shared" si="2"/>
        <v>-0.1047333110275115</v>
      </c>
      <c r="J66" s="56" t="s">
        <v>507</v>
      </c>
      <c r="K66" s="91" t="s">
        <v>508</v>
      </c>
      <c r="L66" s="98" t="s">
        <v>111</v>
      </c>
      <c r="M66" s="97"/>
      <c r="N66" s="97"/>
      <c r="O66" s="97"/>
      <c r="P66" s="97"/>
      <c r="Q66" s="97"/>
      <c r="R66" s="97"/>
      <c r="S66" s="97"/>
      <c r="T66" s="97"/>
    </row>
    <row r="67" spans="1:20" ht="94.5" customHeight="1">
      <c r="A67" s="30" t="str">
        <v>CDCR - CA Correctional Institution II</v>
      </c>
      <c r="B67" s="31" t="str">
        <v>CA</v>
      </c>
      <c r="C67" s="11">
        <v>218011</v>
      </c>
      <c r="D67" s="18">
        <v>217710</v>
      </c>
      <c r="E67" s="18">
        <f t="shared" si="4"/>
        <v>301</v>
      </c>
      <c r="F67" s="19">
        <f t="shared" si="3"/>
        <v>1.3825731477653759E-3</v>
      </c>
      <c r="G67" s="20">
        <v>409853.3</v>
      </c>
      <c r="H67" s="20">
        <f t="shared" si="5"/>
        <v>-191842.3</v>
      </c>
      <c r="I67" s="19">
        <f t="shared" si="2"/>
        <v>-0.46807552848787604</v>
      </c>
      <c r="J67" s="42" t="s">
        <v>509</v>
      </c>
      <c r="K67" s="90" t="s">
        <v>510</v>
      </c>
      <c r="L67" s="98" t="s">
        <v>511</v>
      </c>
      <c r="M67" s="97"/>
      <c r="N67" s="97"/>
      <c r="O67" s="97"/>
      <c r="P67" s="97"/>
      <c r="Q67" s="97"/>
      <c r="R67" s="97"/>
      <c r="S67" s="97"/>
      <c r="T67" s="97"/>
    </row>
    <row r="68" spans="1:20" ht="52.5" customHeight="1">
      <c r="A68" s="28" t="str">
        <v>Snowline SD - Vista Verde ES</v>
      </c>
      <c r="B68" s="29" t="str">
        <v>CA</v>
      </c>
      <c r="C68" s="24">
        <v>0</v>
      </c>
      <c r="D68" s="13" t="s">
        <v>24</v>
      </c>
      <c r="E68" s="13" t="str">
        <f t="shared" si="4"/>
        <v/>
      </c>
      <c r="F68" s="14" t="str">
        <f t="shared" si="3"/>
        <v/>
      </c>
      <c r="G68" s="15">
        <v>37127.85</v>
      </c>
      <c r="H68" s="15">
        <f t="shared" si="5"/>
        <v>-37127.85</v>
      </c>
      <c r="I68" s="16">
        <f t="shared" si="2"/>
        <v>-1</v>
      </c>
      <c r="J68" s="56" t="s">
        <v>512</v>
      </c>
      <c r="K68" s="91" t="s">
        <v>513</v>
      </c>
      <c r="L68" s="98" t="s">
        <v>514</v>
      </c>
      <c r="M68" s="97"/>
      <c r="N68" s="97"/>
      <c r="O68" s="97"/>
      <c r="P68" s="97"/>
      <c r="Q68" s="97"/>
      <c r="R68" s="97"/>
      <c r="S68" s="97"/>
      <c r="T68" s="97"/>
    </row>
    <row r="69" spans="1:20" ht="39.75" customHeight="1">
      <c r="A69" s="30" t="str">
        <v>North Stonington</v>
      </c>
      <c r="B69" s="31" t="str">
        <v>CT</v>
      </c>
      <c r="C69" s="11">
        <v>1626160</v>
      </c>
      <c r="D69" s="18" t="s">
        <v>24</v>
      </c>
      <c r="E69" s="18" t="str">
        <f>IF(AND(ISNUMBER(C69),ISNUMBER(D69)), C69-D69, "")</f>
        <v/>
      </c>
      <c r="F69" s="19" t="str">
        <f t="shared" si="3"/>
        <v/>
      </c>
      <c r="G69" s="20">
        <v>0</v>
      </c>
      <c r="H69" s="20">
        <f>IF(AND(ISNUMBER(C69),ISNUMBER(G69)), C69-G69, "")</f>
        <v>1626160</v>
      </c>
      <c r="I69" s="19" t="str">
        <f t="shared" si="2"/>
        <v/>
      </c>
      <c r="J69" s="42" t="s">
        <v>515</v>
      </c>
      <c r="K69" s="87" t="s">
        <v>516</v>
      </c>
    </row>
    <row r="70" spans="1:20" ht="14.45">
      <c r="A70" s="21" t="str">
        <v>CT: Torrington - 2-298 Rossi Road</v>
      </c>
      <c r="B70" s="33" t="str">
        <v>CT</v>
      </c>
      <c r="C70" s="21"/>
      <c r="D70" s="21"/>
      <c r="E70" s="21"/>
      <c r="F70" s="22"/>
      <c r="G70" s="21"/>
      <c r="H70" s="21"/>
      <c r="I70" s="22"/>
      <c r="J70" s="21"/>
      <c r="K70" s="21"/>
    </row>
    <row r="71" spans="1:20" ht="14.45">
      <c r="A71" s="21"/>
      <c r="B71" s="33"/>
      <c r="C71" s="21"/>
      <c r="D71" s="21"/>
      <c r="E71" s="21"/>
      <c r="F71" s="22"/>
      <c r="G71" s="21"/>
      <c r="H71" s="21"/>
      <c r="I71" s="22"/>
      <c r="J71" s="21"/>
      <c r="K71" s="21"/>
    </row>
    <row r="72" spans="1:20" ht="14.45">
      <c r="A72" s="21"/>
      <c r="B72" s="33"/>
      <c r="C72" s="21"/>
      <c r="D72" s="21"/>
      <c r="E72" s="21"/>
      <c r="F72" s="22"/>
      <c r="G72" s="21"/>
      <c r="H72" s="21"/>
      <c r="I72" s="22"/>
      <c r="J72" s="21"/>
      <c r="K72" s="21"/>
    </row>
    <row r="73" spans="1:20" ht="14.45">
      <c r="A73" s="21"/>
      <c r="B73" s="33"/>
      <c r="C73" s="21"/>
      <c r="D73" s="21"/>
      <c r="E73" s="21"/>
      <c r="F73" s="22"/>
      <c r="G73" s="21"/>
      <c r="H73" s="21"/>
      <c r="I73" s="22"/>
      <c r="J73" s="21"/>
      <c r="K73" s="21"/>
    </row>
    <row r="74" spans="1:20" ht="14.45">
      <c r="A74" s="21"/>
      <c r="B74" s="33"/>
      <c r="C74" s="21"/>
      <c r="D74" s="21"/>
      <c r="E74" s="21"/>
      <c r="F74" s="22"/>
      <c r="G74" s="21"/>
      <c r="H74" s="21"/>
      <c r="I74" s="22"/>
      <c r="J74" s="21"/>
      <c r="K74" s="21"/>
    </row>
    <row r="75" spans="1:20" ht="14.45">
      <c r="A75" s="21"/>
      <c r="B75" s="33"/>
      <c r="C75" s="21"/>
      <c r="D75" s="21"/>
      <c r="E75" s="21"/>
      <c r="F75" s="22"/>
      <c r="G75" s="21"/>
      <c r="H75" s="21"/>
      <c r="I75" s="22"/>
      <c r="J75" s="21"/>
      <c r="K75" s="21"/>
    </row>
    <row r="76" spans="1:20" ht="14.45">
      <c r="A76" s="21"/>
      <c r="B76" s="33"/>
      <c r="C76" s="21"/>
      <c r="D76" s="21"/>
      <c r="E76" s="21"/>
      <c r="F76" s="22"/>
      <c r="G76" s="21"/>
      <c r="H76" s="21"/>
      <c r="I76" s="22"/>
      <c r="J76" s="21"/>
      <c r="K76" s="21"/>
    </row>
    <row r="77" spans="1:20" ht="14.45">
      <c r="A77" s="21"/>
      <c r="B77" s="33"/>
      <c r="C77" s="21"/>
      <c r="D77" s="21"/>
      <c r="E77" s="21"/>
      <c r="F77" s="22"/>
      <c r="G77" s="21"/>
      <c r="H77" s="21"/>
      <c r="I77" s="22"/>
      <c r="J77" s="21"/>
      <c r="K77" s="21"/>
    </row>
    <row r="78" spans="1:20" ht="14.45">
      <c r="A78" s="21"/>
      <c r="B78" s="33"/>
      <c r="C78" s="21"/>
      <c r="D78" s="21"/>
      <c r="E78" s="21"/>
      <c r="F78" s="22"/>
      <c r="G78" s="21"/>
      <c r="H78" s="21"/>
      <c r="I78" s="22"/>
      <c r="J78" s="21"/>
      <c r="K78" s="21"/>
    </row>
    <row r="79" spans="1:20" ht="14.45">
      <c r="A79" s="21"/>
      <c r="B79" s="33"/>
      <c r="C79" s="21"/>
      <c r="D79" s="21"/>
      <c r="E79" s="21"/>
      <c r="F79" s="22"/>
      <c r="G79" s="21"/>
      <c r="H79" s="21"/>
      <c r="I79" s="22"/>
      <c r="J79" s="21"/>
      <c r="K79" s="21"/>
    </row>
    <row r="80" spans="1:20"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40" priority="3" stopIfTrue="1" operator="lessThanOrEqual">
      <formula>-0.1</formula>
    </cfRule>
    <cfRule type="expression" dxfId="39" priority="4">
      <formula>AND(ISNUMBER(F2), F2&gt;=0.1)</formula>
    </cfRule>
  </conditionalFormatting>
  <conditionalFormatting sqref="F4:F100 I4:I100">
    <cfRule type="cellIs" dxfId="38" priority="1" stopIfTrue="1" operator="lessThanOrEqual">
      <formula>-0.1</formula>
    </cfRule>
    <cfRule type="expression" dxfId="37" priority="2">
      <formula>AND(ISNUMBER(F4), F4&gt;=0.1)</formula>
    </cfRule>
  </conditionalFormatting>
  <hyperlinks>
    <hyperlink ref="K6" r:id="rId1" display="https://us3.assetplanner.com/service_request?ID=098590" xr:uid="{D39B0291-0C28-4247-A4BA-B894D1346A78}"/>
    <hyperlink ref="K8" r:id="rId2" display="https://us3.assetplanner.com/service_request?ID=103346" xr:uid="{50DE491E-98F7-4B57-8589-46B3B95F6265}"/>
    <hyperlink ref="K10" r:id="rId3" display="https://us3.assetplanner.com/service_request?ID=102277" xr:uid="{2D8142C6-7F73-4EB2-B344-3F9D3A4F3C71}"/>
    <hyperlink ref="K11" r:id="rId4" display="https://us3.assetplanner.com/service_request?ID=102623" xr:uid="{DA299C15-EE35-4991-89D0-169BB4BD9506}"/>
    <hyperlink ref="K12" r:id="rId5" display="https://us3.assetplanner.com/service_request?ID=102796" xr:uid="{9967B93E-DC68-47AE-90AE-5C5FAD8B1F0E}"/>
    <hyperlink ref="K13" r:id="rId6" display="https://us3.assetplanner.com/service_request?ID=103142" xr:uid="{B8680EDB-C973-42EE-A473-C56A50078EDB}"/>
    <hyperlink ref="K15" r:id="rId7" display="https://us3.assetplanner.com/service_request?ID=103669" xr:uid="{96344C84-230E-4537-830D-457379C8DC93}"/>
    <hyperlink ref="K17" r:id="rId8" display="https://us3.assetplanner.com/service_request?ID=102624" xr:uid="{1888EF9E-115F-4011-81DA-672F8438C630}"/>
    <hyperlink ref="K19" r:id="rId9" display="https://us3.assetplanner.com/service_request?ID=103424" xr:uid="{C98D0B45-8DFA-4D97-B4B0-412614E953E6}"/>
    <hyperlink ref="K20" r:id="rId10" display="https://us3.assetplanner.com/service_request?ID=103623" xr:uid="{9B2DED8D-E2E4-42B0-84BC-315EA990383C}"/>
    <hyperlink ref="K21" r:id="rId11" display="https://us3.assetplanner.com/service_request?ID=101331" xr:uid="{DC46B728-7D5F-4132-9E84-4E9F4B20972F}"/>
    <hyperlink ref="K22" r:id="rId12" display="https://us3.assetplanner.com/service_request?ID=100060" xr:uid="{FE01D8AF-9529-4695-8133-03399C9959F1}"/>
    <hyperlink ref="K23" r:id="rId13" display="https://us3.assetplanner.com/service_request?ID=102013" xr:uid="{DAA48397-8ECE-4B74-A680-44ED1001A0FC}"/>
    <hyperlink ref="L23" r:id="rId14" display="https://us3.assetplanner.com/service_request?ID=095623" xr:uid="{0DAE99C9-EBD4-409A-B4AB-DD6F0B9BED09}"/>
    <hyperlink ref="K24" r:id="rId15" display="https://us3.assetplanner.com/service_request?ID=102907" xr:uid="{F92F2A78-959E-468A-BF09-28DC4DF06DC3}"/>
    <hyperlink ref="K26" r:id="rId16" display="https://us3.assetplanner.com/service_request?ID=103534" xr:uid="{6C2CAAAA-F6F5-4D93-913A-FB3AAA6E74DB}"/>
    <hyperlink ref="K28" r:id="rId17" display="https://us3.assetplanner.com/service_request?ID=102456" xr:uid="{3528DA1D-E89E-45C2-92D1-487F952F2EF4}"/>
    <hyperlink ref="K29" r:id="rId18" display="https://us3.assetplanner.com/service_request?ID=101862" xr:uid="{EF4810C4-F912-4FCD-AA35-93E850B24A6E}"/>
    <hyperlink ref="K30" r:id="rId19" display="https://us3.assetplanner.com/service_request?ID=100743" xr:uid="{BA887861-8ECD-43A7-A2FA-A97B85697724}"/>
    <hyperlink ref="K31" r:id="rId20" display="https://us3.assetplanner.com/service_request?ID=101131" xr:uid="{0316DB06-02A1-4F27-9D5F-A78E38007F13}"/>
    <hyperlink ref="L31" r:id="rId21" display="https://us3.assetplanner.com/service_request?ID=102150" xr:uid="{3C0902CD-2E24-47A3-AB5E-F9D86C73CD01}"/>
    <hyperlink ref="K34" r:id="rId22" display="https://us3.assetplanner.com/service_request?ID=099912" xr:uid="{20C75AE1-1239-4A21-9907-03EE92E09910}"/>
    <hyperlink ref="K35" r:id="rId23" display="https://us3.assetplanner.com/service_request?ID=099206" xr:uid="{60616109-BA4F-4EF5-80A2-75B5DCD3C996}"/>
    <hyperlink ref="K37" r:id="rId24" display="https://us3.assetplanner.com/service_request?ID=094440" xr:uid="{0BBD5EBD-2197-439C-9820-1741B6A6F222}"/>
    <hyperlink ref="K38" r:id="rId25" display="https://us3.assetplanner.com/service_request?ID=095163" xr:uid="{6D9744F2-07B7-419C-AD3B-F1B57EDEF04A}"/>
    <hyperlink ref="L38" r:id="rId26" display="https://us3.assetplanner.com/service_request?ID=093065" xr:uid="{2A4C8713-7D01-4014-B0BD-EBB2B312DC1D}"/>
    <hyperlink ref="K40" r:id="rId27" display="https://us3.assetplanner.com/service_request?ID=089464" xr:uid="{514EF532-466F-4C8A-B130-17C42C961511}"/>
    <hyperlink ref="L40" r:id="rId28" display="https://us3.assetplanner.com/service_request?ID=093180" xr:uid="{0A556DF9-61F6-44CD-A0D2-756658A06E6B}"/>
    <hyperlink ref="M40" r:id="rId29" display="https://us3.assetplanner.com/service_request?ID=093174" xr:uid="{CDF651BB-58D8-4A4F-821D-5B6D6D89A35C}"/>
    <hyperlink ref="N40" r:id="rId30" display="https://us3.assetplanner.com/service_request?ID=095356" xr:uid="{0A8B1F15-4C37-431B-998D-E1C61868B6B5}"/>
    <hyperlink ref="O40" r:id="rId31" display="https://us3.assetplanner.com/service_request?ID=096916" xr:uid="{5749B9DF-3848-416E-9FA9-4A131A0C3249}"/>
    <hyperlink ref="P40" r:id="rId32" display="https://us3.assetplanner.com/service_request?ID=100537" xr:uid="{E38A181A-3BE4-44E4-A63E-37014B430C5E}"/>
    <hyperlink ref="K41" r:id="rId33" display="https://us3.assetplanner.com/service_request?ID=092753" xr:uid="{8F570130-9680-4375-82A6-DDAD2C4D2DA1}"/>
    <hyperlink ref="K43" r:id="rId34" display="https://us3.assetplanner.com/service_request?ID=090375" xr:uid="{D5A528C6-41FD-45F4-A0C6-044A0F032758}"/>
    <hyperlink ref="L43" r:id="rId35" display="https://us3.assetplanner.com/service_request?ID=089461" xr:uid="{5B9BA85C-784F-4D1C-8E38-7FD02041C89D}"/>
    <hyperlink ref="M43" r:id="rId36" display="https://us3.assetplanner.com/service_request?ID=101136" xr:uid="{B0C9DCC0-C0EB-4FF1-8EDE-7A9A424EB5BC}"/>
    <hyperlink ref="N43" r:id="rId37" display="https://us3.assetplanner.com/service_request?ID=101562" xr:uid="{140A0582-B744-469C-AB3D-4654FE10BDEB}"/>
    <hyperlink ref="O43" r:id="rId38" display="https://us3.assetplanner.com/service_request?ID=101561" xr:uid="{E84F25D7-020C-42B5-8470-5AD7D0027F96}"/>
    <hyperlink ref="P43" r:id="rId39" display="https://us3.assetplanner.com/service_request?ID=103159" xr:uid="{5A6B1186-2C9D-4A4F-BA81-F544BB9DBACC}"/>
    <hyperlink ref="Q43" r:id="rId40" display="https://us3.assetplanner.com/service_request?ID=102346" xr:uid="{3D761557-2C0E-41C3-BB14-59BD28DD6F91}"/>
    <hyperlink ref="K44" r:id="rId41" display="https://us3.assetplanner.com/service_request?ID=092276" xr:uid="{E4D261BA-D220-4D35-AAA3-69589C88E09C}"/>
    <hyperlink ref="K45" r:id="rId42" display="https://us3.assetplanner.com/service_request?ID=085968" xr:uid="{7BBB2026-D88D-482B-A5D0-F7927FE5B4E3}"/>
    <hyperlink ref="L45" r:id="rId43" display="https://us3.assetplanner.com/service_request?ID=092256" xr:uid="{177EF651-FCD0-44C3-B5A4-261FC15822A3}"/>
    <hyperlink ref="M45" r:id="rId44" display="https://us3.assetplanner.com/service_request?ID=090090" xr:uid="{F4E140AD-0EE6-47FF-8FB4-45B8F95E4B9A}"/>
    <hyperlink ref="N45" r:id="rId45" display="https://us3.assetplanner.com/service_request?ID=095592" xr:uid="{1DF4D1AA-06D5-4047-A52C-68B87DB4DA16}"/>
    <hyperlink ref="O45" r:id="rId46" display="https://us3.assetplanner.com/service_request?ID=101190" xr:uid="{7C1643EB-3B3B-442B-8BB2-08B43510AC87}"/>
    <hyperlink ref="P45" r:id="rId47" display="https://us3.assetplanner.com/service_request?ID=095592" xr:uid="{324EC517-3673-4D93-8C04-BA7151A0386B}"/>
    <hyperlink ref="Q45" r:id="rId48" display="https://us3.assetplanner.com/service_request?ID=101190" xr:uid="{872BAEFC-478D-4479-B226-C882997BD211}"/>
    <hyperlink ref="K47" r:id="rId49" display="https://us3.assetplanner.com/service_request?ID=089612" xr:uid="{45011019-88EA-42B5-9C9C-A6FDE2D58EA4}"/>
    <hyperlink ref="L47" r:id="rId50" display="https://us3.assetplanner.com/service_request?ID=095385" xr:uid="{159A35E2-1CC1-46C8-A804-AEFD68BEE266}"/>
    <hyperlink ref="M47" r:id="rId51" display="https://us3.assetplanner.com/service_request?ID=102060" xr:uid="{47D682F9-DED6-412C-90D9-4A99EB506E73}"/>
    <hyperlink ref="N47" r:id="rId52" display="https://us3.assetplanner.com/service_request?ID=099766" xr:uid="{1C5B1963-C01A-49F2-BDED-702510C408E4}"/>
    <hyperlink ref="K48" r:id="rId53" display="https://us3.assetplanner.com/service_request?ID=092166" xr:uid="{5F5A9BC4-B7C0-4C31-AF9A-9DF567C3D000}"/>
    <hyperlink ref="L48" r:id="rId54" display="https://us3.assetplanner.com/service_request?ID=097558" xr:uid="{97989902-DCC0-473F-9520-60AB5AF61A4F}"/>
    <hyperlink ref="M48" r:id="rId55" display="https://us3.assetplanner.com/service_request?ID=098717" xr:uid="{258826F6-9557-498B-BA44-E46F4DCB967D}"/>
    <hyperlink ref="N48" r:id="rId56" display="https://us3.assetplanner.com/service_request?ID=086220" xr:uid="{625B0A68-858D-45E8-BA30-A630D12FF7AD}"/>
    <hyperlink ref="O48" r:id="rId57" display="https://us3.assetplanner.com/service_request?ID=098717" xr:uid="{43A012F1-4127-4AD1-B761-B721CCFF322B}"/>
    <hyperlink ref="P48" r:id="rId58" display="https://us3.assetplanner.com/service_request?ID=091312" xr:uid="{2716C4D4-54B6-4958-9232-E952D867E424}"/>
    <hyperlink ref="K49" r:id="rId59" display="https://us3.assetplanner.com/service_request?ID=098397" xr:uid="{7C9FADF5-D65A-44AE-A26B-7D3CE6FAA2AE}"/>
    <hyperlink ref="K51" r:id="rId60" display="https://us3.assetplanner.com/service_request?ID=101829" xr:uid="{20A22BA3-CCFE-43BB-8518-BA29E535E978}"/>
    <hyperlink ref="L51" r:id="rId61" display="https://us3.assetplanner.com/service_request?ID=101132" xr:uid="{7586AB19-CD9A-4E3E-B461-5B74669A51FE}"/>
    <hyperlink ref="K52" r:id="rId62" display="https://us3.assetplanner.com/service_request?ID=100858" xr:uid="{D7C82ECF-1D88-482E-A145-FACC4A08AA51}"/>
    <hyperlink ref="K53" r:id="rId63" display="https://us3.assetplanner.com/service_request?ID=094545" xr:uid="{AD5C4945-57B3-46B1-BF04-30FF5B4A0B6E}"/>
    <hyperlink ref="L53" r:id="rId64" display="https://us3.assetplanner.com/service_request?ID=100842" xr:uid="{280BE4DD-39C7-4F13-A6E7-A70B8ACAE48B}"/>
    <hyperlink ref="K54" r:id="rId65" display="https://us3.assetplanner.com/service_request?ID=102808" xr:uid="{E2D1B9F5-9131-45C3-85F8-5117A57F2B0D}"/>
    <hyperlink ref="L54" r:id="rId66" display="https://us3.assetplanner.com/service_request?ID=102808" xr:uid="{3F3F4AA2-FA60-4394-B0DD-6F464241CBDA}"/>
    <hyperlink ref="K55" r:id="rId67" display="https://us3.assetplanner.com/service_request?ID=102897" xr:uid="{CE694415-FD5C-4C79-ABAD-3E2DF85307CC}"/>
    <hyperlink ref="L55" r:id="rId68" display="https://us3.assetplanner.com/service_request?ID=80516," xr:uid="{602E39C4-63F2-427F-BCFF-FFFAC2133ADE}"/>
    <hyperlink ref="M55" r:id="rId69" display="https://us3.assetplanner.com/service_request?ID=90734" xr:uid="{78B0D375-A951-4F6A-A254-17AAC6063693}"/>
    <hyperlink ref="K57" r:id="rId70" display="https://us3.assetplanner.com/service_request?ID=090293" xr:uid="{2955C729-C31A-404A-8D8C-B2581B7D3067}"/>
    <hyperlink ref="K58" r:id="rId71" display="https://us3.assetplanner.com/service_request?ID=098183" xr:uid="{76EE178D-F258-4875-8278-6E2C5D8F17CA}"/>
    <hyperlink ref="L58" r:id="rId72" display="https://us3.assetplanner.com/service_request?ID=095449" xr:uid="{077859A4-30B0-448D-AD4C-FE0A62712D32}"/>
    <hyperlink ref="M58" r:id="rId73" display="https://us3.assetplanner.com/service_request?ID=093474" xr:uid="{9C0AF4D7-F9C0-49AB-A199-3588AD8467B3}"/>
    <hyperlink ref="N58" r:id="rId74" display="https://us3.assetplanner.com/service_request?ID=090380" xr:uid="{7C1DFF5D-2123-4152-A8CF-0D5F1BE2AD2E}"/>
    <hyperlink ref="O58" r:id="rId75" display="https://us3.assetplanner.com/service_request?ID=089474" xr:uid="{AC37EE9A-347C-496D-88CC-21218C758C79}"/>
    <hyperlink ref="P58" r:id="rId76" display="https://us3.assetplanner.com/service_request?ID=098183" xr:uid="{EB590975-FC75-4110-98BD-49414A88E23B}"/>
    <hyperlink ref="Q58" r:id="rId77" display="https://us3.assetplanner.com/service_request?ID=101740" xr:uid="{04F1F464-7E0E-4D47-ABC4-59DB165400E6}"/>
    <hyperlink ref="K59" r:id="rId78" display="https://us3.assetplanner.com/service_request?ID=098826" xr:uid="{3B20EA9A-880A-407C-AEDE-60C9AA6D6E3A}"/>
    <hyperlink ref="L59" r:id="rId79" display="https://us3.assetplanner.com/service_request?ID=099338" xr:uid="{1FC33402-9D68-4865-951F-ECFCEBA28432}"/>
    <hyperlink ref="M59" r:id="rId80" display="https://us3.assetplanner.com/service_request?ID=099327" xr:uid="{25FBBDA4-D62B-4364-8FBC-8EFDC7328280}"/>
    <hyperlink ref="N59" r:id="rId81" display="https://us3.assetplanner.com/service_request?ID=102082" xr:uid="{D723DDEE-B52B-41FF-8ABC-938290A0F8DA}"/>
    <hyperlink ref="K60" r:id="rId82" display="https://us3.assetplanner.com/service_request?ID=089477" xr:uid="{EA0098DF-39E9-4608-AC3F-E42C976BECC6}"/>
    <hyperlink ref="L60" r:id="rId83" display="https://us3.assetplanner.com/service_request?ID=096348" xr:uid="{B1239FE4-3AFA-49A7-A917-1CADF91534ED}"/>
    <hyperlink ref="M60" r:id="rId84" display="https://us3.assetplanner.com/service_request?ID=089477" xr:uid="{F0064E7D-734E-410D-94C8-DB1B8AE867EA}"/>
    <hyperlink ref="N60" r:id="rId85" display="https://us3.assetplanner.com/service_request?ID=096348" xr:uid="{049813CA-66BF-4EEE-9630-6EB07E7B1ED4}"/>
    <hyperlink ref="O60" r:id="rId86" display="https://us3.assetplanner.com/service_request?ID=102153" xr:uid="{3DB802D1-9A57-425B-80B0-179237F13F24}"/>
    <hyperlink ref="P60" r:id="rId87" display="https://us3.assetplanner.com/service_request?ID=101285" xr:uid="{7834F220-A38D-4F66-BAB5-59BA6EF4ABBE}"/>
    <hyperlink ref="Q60" r:id="rId88" display="https://us3.assetplanner.com/service_request?ID=102153" xr:uid="{916B1299-1E9B-4453-9D77-0C89A2D36715}"/>
    <hyperlink ref="K61" r:id="rId89" display="https://us3.assetplanner.com/service_request?ID=102151" xr:uid="{E1F6CCE0-94B8-4750-9A61-FDE69E77BD96}"/>
    <hyperlink ref="K62" r:id="rId90" display="https://us3.assetplanner.com/service_request?ID=103666" xr:uid="{126CBA1C-8D1A-400A-9654-2D21E9958197}"/>
    <hyperlink ref="K65" r:id="rId91" display="https://us3.assetplanner.com/service_request?ID=099641" xr:uid="{16E2E120-6B35-45E9-8E37-1CD1353AD6CE}"/>
    <hyperlink ref="K66" r:id="rId92" display="https://us3.assetplanner.com/service_request?ID=096410" xr:uid="{B096483F-F966-425C-AF31-2F77F16F2A62}"/>
    <hyperlink ref="L66" r:id="rId93" display="https://us3.assetplanner.com/service_request?ID=092456" xr:uid="{5137030F-FF6A-4B53-89E8-2101CB85DD39}"/>
    <hyperlink ref="K67" r:id="rId94" display="https://us3.assetplanner.com/service_request?ID=098778" xr:uid="{A093A2F5-C199-4AEC-B01B-AE47E9FD051B}"/>
    <hyperlink ref="L67" r:id="rId95" display="https://us3.assetplanner.com/service_request?ID=103724" xr:uid="{4A35ACD5-E461-4DAF-B897-AC775B324549}"/>
    <hyperlink ref="K68" r:id="rId96" display="https://us3.assetplanner.com/service_request?ID=101624" xr:uid="{AF1AF15B-A3E1-4554-8AA5-A9701B24B0A1}"/>
    <hyperlink ref="L68" r:id="rId97" display="https://us3.assetplanner.com/service_request?ID=102522" xr:uid="{CF5B3066-630D-4823-866C-C693E7A3D4DE}"/>
    <hyperlink ref="K69" r:id="rId98" display="https://us3.assetplanner.com/service_request?ID=101886" xr:uid="{0E137E64-C0D5-496D-8F0C-E09C4DB7BC8B}"/>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U342"/>
  <sheetViews>
    <sheetView zoomScale="70" zoomScaleNormal="70" workbookViewId="0">
      <pane xSplit="2" ySplit="3" topLeftCell="E30" activePane="bottomRight" state="frozen"/>
      <selection pane="bottomRight" activeCell="E41" sqref="E41"/>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1" ht="19.5" customHeight="1">
      <c r="A1" s="132" t="str" cm="1">
        <f t="array" ref="A1">portfolio</f>
        <v>Silicon Ranch</v>
      </c>
      <c r="B1" s="132"/>
      <c r="C1" s="132"/>
      <c r="D1" s="133" t="s">
        <v>517</v>
      </c>
      <c r="E1" s="133"/>
      <c r="F1" s="133"/>
      <c r="G1" s="131" t="s">
        <v>518</v>
      </c>
      <c r="H1" s="131"/>
      <c r="I1" s="131"/>
      <c r="J1" s="4"/>
      <c r="K1" s="4"/>
    </row>
    <row r="2" spans="1:21" ht="19.5" customHeight="1">
      <c r="A2" s="134" t="s">
        <v>2</v>
      </c>
      <c r="B2" s="134"/>
      <c r="C2" s="5">
        <f>SUM(C4:C100)</f>
        <v>4507614</v>
      </c>
      <c r="D2" s="5">
        <f>SUM(D4:D100)</f>
        <v>2532830</v>
      </c>
      <c r="E2" s="5">
        <f>C2-D2</f>
        <v>1974784</v>
      </c>
      <c r="F2" s="6">
        <f>IFERROR(E2/D2, 0)</f>
        <v>0.77967490909378045</v>
      </c>
      <c r="G2" s="5">
        <f>SUM(G4:G100)</f>
        <v>5398892.6860000007</v>
      </c>
      <c r="H2" s="7">
        <f>C2-G2</f>
        <v>-891278.68600000069</v>
      </c>
      <c r="I2" s="6">
        <f>IFERROR(H2/G2, 0)</f>
        <v>-0.1650854606373631</v>
      </c>
      <c r="J2" s="2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1" ht="14.25" customHeight="1">
      <c r="A3" s="8" t="s">
        <v>3</v>
      </c>
      <c r="B3" s="8" t="s">
        <v>4</v>
      </c>
      <c r="C3" s="23" t="s">
        <v>5</v>
      </c>
      <c r="D3" s="35" t="s">
        <v>6</v>
      </c>
      <c r="E3" s="35" t="s">
        <v>7</v>
      </c>
      <c r="F3" s="36" t="s">
        <v>8</v>
      </c>
      <c r="G3" s="37" t="s">
        <v>9</v>
      </c>
      <c r="H3" s="38" t="s">
        <v>7</v>
      </c>
      <c r="I3" s="39" t="s">
        <v>8</v>
      </c>
      <c r="J3" s="25" t="s">
        <v>20</v>
      </c>
      <c r="K3" s="25" t="s">
        <v>21</v>
      </c>
    </row>
    <row r="4" spans="1:21" ht="15.6">
      <c r="A4" s="32" t="str" cm="1">
        <f t="array" ref="A4:A70">Sites[Site]</f>
        <v>Iron Mountain - Windsor</v>
      </c>
      <c r="B4" s="29" t="e" cm="1" vm="1">
        <f t="array" aca="1" ref="B4" ca="1">Sites[State]</f>
        <v>#VALUE!</v>
      </c>
      <c r="C4" s="24">
        <v>37799</v>
      </c>
      <c r="D4" s="13">
        <v>37699</v>
      </c>
      <c r="E4" s="13">
        <f>IF(AND(ISNUMBER(C4),ISNUMBER(D4)), C4-D4, "")</f>
        <v>100</v>
      </c>
      <c r="F4" s="14">
        <f>IFERROR(E4/D4, "")</f>
        <v>2.6525902543834052E-3</v>
      </c>
      <c r="G4" s="15">
        <v>35701.9</v>
      </c>
      <c r="H4" s="15">
        <f>IF(AND(ISNUMBER(C4),ISNUMBER(G4)), C4-G4, "")</f>
        <v>2097.0999999999985</v>
      </c>
      <c r="I4" s="16">
        <f>IFERROR(H4/G4, "")</f>
        <v>5.8739170744414121E-2</v>
      </c>
      <c r="J4" s="41"/>
      <c r="K4" s="41"/>
      <c r="L4" s="97"/>
      <c r="M4" s="97"/>
      <c r="N4" s="97"/>
      <c r="O4" s="97"/>
      <c r="P4" s="97"/>
      <c r="Q4" s="97"/>
      <c r="R4" s="97"/>
      <c r="S4" s="97"/>
      <c r="T4" s="97"/>
      <c r="U4" s="97"/>
    </row>
    <row r="5" spans="1:21" ht="15.6">
      <c r="A5" s="30" t="str">
        <v>Kohls - Auburn</v>
      </c>
      <c r="B5" s="31"/>
      <c r="C5" s="11">
        <v>44556</v>
      </c>
      <c r="D5" s="18">
        <v>44420</v>
      </c>
      <c r="E5" s="18">
        <f t="shared" ref="E5:E25" si="0">IF(AND(ISNUMBER(C5),ISNUMBER(D5)), C5-D5, "")</f>
        <v>136</v>
      </c>
      <c r="F5" s="19">
        <f>IFERROR(E5/D5, "")</f>
        <v>3.0616839261593878E-3</v>
      </c>
      <c r="G5" s="20">
        <v>44245.55</v>
      </c>
      <c r="H5" s="20">
        <f t="shared" ref="H5:H25" si="1">IF(AND(ISNUMBER(C5),ISNUMBER(G5)), C5-G5, "")</f>
        <v>310.44999999999709</v>
      </c>
      <c r="I5" s="19">
        <f t="shared" ref="I5:I68" si="2">IFERROR(H5/G5, "")</f>
        <v>7.016524825660367E-3</v>
      </c>
      <c r="J5" s="42"/>
      <c r="K5" s="42"/>
      <c r="L5" s="97"/>
      <c r="M5" s="97"/>
      <c r="N5" s="97"/>
      <c r="O5" s="97"/>
      <c r="P5" s="97"/>
      <c r="Q5" s="97"/>
      <c r="R5" s="97"/>
      <c r="S5" s="97"/>
      <c r="T5" s="97"/>
      <c r="U5" s="97"/>
    </row>
    <row r="6" spans="1:21" ht="144" customHeight="1">
      <c r="A6" s="28" t="str">
        <v>Kohls - Bensalem</v>
      </c>
      <c r="B6" s="29"/>
      <c r="C6" s="24">
        <v>0</v>
      </c>
      <c r="D6" s="13" t="s">
        <v>24</v>
      </c>
      <c r="E6" s="13" t="str">
        <f t="shared" si="0"/>
        <v/>
      </c>
      <c r="F6" s="14" t="str">
        <f t="shared" ref="F6:F25" si="3">IFERROR(E6/D6, "")</f>
        <v/>
      </c>
      <c r="G6" s="15">
        <v>39533.49</v>
      </c>
      <c r="H6" s="15">
        <f t="shared" si="1"/>
        <v>-39533.49</v>
      </c>
      <c r="I6" s="16">
        <f t="shared" si="2"/>
        <v>-1</v>
      </c>
      <c r="J6" s="41" t="s">
        <v>335</v>
      </c>
      <c r="K6" s="88" t="s">
        <v>519</v>
      </c>
      <c r="L6" s="97"/>
      <c r="M6" s="97"/>
      <c r="N6" s="97"/>
      <c r="O6" s="97"/>
      <c r="P6" s="97"/>
      <c r="Q6" s="97"/>
      <c r="R6" s="97"/>
      <c r="S6" s="97"/>
      <c r="T6" s="97"/>
      <c r="U6" s="97"/>
    </row>
    <row r="7" spans="1:21" ht="15.6">
      <c r="A7" s="30" t="str">
        <v>Kohls - Brick</v>
      </c>
      <c r="B7" s="31"/>
      <c r="C7" s="11">
        <v>48789</v>
      </c>
      <c r="D7" s="18">
        <v>48707</v>
      </c>
      <c r="E7" s="18">
        <f t="shared" si="0"/>
        <v>82</v>
      </c>
      <c r="F7" s="19">
        <f t="shared" si="3"/>
        <v>1.6835362473566428E-3</v>
      </c>
      <c r="G7" s="20">
        <v>49138.28</v>
      </c>
      <c r="H7" s="20">
        <f t="shared" si="1"/>
        <v>-349.27999999999884</v>
      </c>
      <c r="I7" s="19">
        <f t="shared" si="2"/>
        <v>-7.1081039059567985E-3</v>
      </c>
      <c r="J7" s="42"/>
      <c r="K7" s="43"/>
      <c r="L7" s="97"/>
      <c r="M7" s="97"/>
      <c r="N7" s="97"/>
      <c r="O7" s="97"/>
      <c r="P7" s="97"/>
      <c r="Q7" s="97"/>
      <c r="R7" s="97"/>
      <c r="S7" s="97"/>
      <c r="T7" s="97"/>
      <c r="U7" s="97"/>
    </row>
    <row r="8" spans="1:21" ht="86.45">
      <c r="A8" s="28" t="str">
        <v>Kohls - Buffalo</v>
      </c>
      <c r="B8" s="29"/>
      <c r="C8" s="24">
        <v>58595</v>
      </c>
      <c r="D8" s="13" t="s">
        <v>520</v>
      </c>
      <c r="E8" s="13" t="str">
        <f t="shared" si="0"/>
        <v/>
      </c>
      <c r="F8" s="14" t="str">
        <f t="shared" si="3"/>
        <v/>
      </c>
      <c r="G8" s="15">
        <v>52511.51</v>
      </c>
      <c r="H8" s="15">
        <f t="shared" si="1"/>
        <v>6083.489999999998</v>
      </c>
      <c r="I8" s="16">
        <f t="shared" si="2"/>
        <v>0.11585060113487496</v>
      </c>
      <c r="J8" s="41" t="s">
        <v>521</v>
      </c>
      <c r="K8" s="88" t="s">
        <v>522</v>
      </c>
      <c r="L8" s="98" t="s">
        <v>523</v>
      </c>
      <c r="M8" s="98" t="s">
        <v>524</v>
      </c>
      <c r="N8" s="97"/>
      <c r="O8" s="97"/>
      <c r="P8" s="97"/>
      <c r="Q8" s="97"/>
      <c r="R8" s="97"/>
      <c r="S8" s="97"/>
      <c r="T8" s="97"/>
      <c r="U8" s="97"/>
    </row>
    <row r="9" spans="1:21" ht="15.6">
      <c r="A9" s="30" t="str">
        <v>Kohls - Canton</v>
      </c>
      <c r="B9" s="31"/>
      <c r="C9" s="11">
        <v>18679</v>
      </c>
      <c r="D9" s="18">
        <v>18476</v>
      </c>
      <c r="E9" s="18">
        <f t="shared" si="0"/>
        <v>203</v>
      </c>
      <c r="F9" s="19">
        <f t="shared" si="3"/>
        <v>1.0987226672439922E-2</v>
      </c>
      <c r="G9" s="20">
        <v>16279.33</v>
      </c>
      <c r="H9" s="20">
        <f t="shared" si="1"/>
        <v>2399.67</v>
      </c>
      <c r="I9" s="19">
        <f t="shared" si="2"/>
        <v>0.14740594361070142</v>
      </c>
      <c r="J9" s="42"/>
      <c r="K9" s="43"/>
      <c r="L9" s="97"/>
      <c r="M9" s="97"/>
      <c r="N9" s="97"/>
      <c r="O9" s="97"/>
      <c r="P9" s="97"/>
      <c r="Q9" s="97"/>
      <c r="R9" s="97"/>
      <c r="S9" s="97"/>
      <c r="T9" s="97"/>
      <c r="U9" s="97"/>
    </row>
    <row r="10" spans="1:21" ht="43.15">
      <c r="A10" s="28" t="str">
        <v>Kohls - East Amherst</v>
      </c>
      <c r="B10" s="29"/>
      <c r="C10" s="24">
        <v>0</v>
      </c>
      <c r="D10" s="13">
        <v>0</v>
      </c>
      <c r="E10" s="13">
        <f t="shared" si="0"/>
        <v>0</v>
      </c>
      <c r="F10" s="14" t="str">
        <f t="shared" si="3"/>
        <v/>
      </c>
      <c r="G10" s="15">
        <v>48225.8</v>
      </c>
      <c r="H10" s="15">
        <f t="shared" si="1"/>
        <v>-48225.8</v>
      </c>
      <c r="I10" s="16">
        <f t="shared" si="2"/>
        <v>-1</v>
      </c>
      <c r="J10" s="41" t="s">
        <v>525</v>
      </c>
      <c r="K10" s="88" t="s">
        <v>526</v>
      </c>
      <c r="L10" s="98" t="s">
        <v>527</v>
      </c>
      <c r="M10" s="97"/>
      <c r="N10" s="97"/>
      <c r="O10" s="97"/>
      <c r="P10" s="97"/>
      <c r="Q10" s="97"/>
      <c r="R10" s="97"/>
      <c r="S10" s="97"/>
      <c r="T10" s="97"/>
      <c r="U10" s="97"/>
    </row>
    <row r="11" spans="1:21" ht="28.9">
      <c r="A11" s="30" t="str">
        <v>Kohls - East Brunswick</v>
      </c>
      <c r="B11" s="31"/>
      <c r="C11" s="11">
        <v>21605</v>
      </c>
      <c r="D11" s="18">
        <v>21561</v>
      </c>
      <c r="E11" s="18">
        <f t="shared" si="0"/>
        <v>44</v>
      </c>
      <c r="F11" s="19">
        <f t="shared" si="3"/>
        <v>2.0407216733917721E-3</v>
      </c>
      <c r="G11" s="20">
        <v>60986.06</v>
      </c>
      <c r="H11" s="20">
        <f t="shared" si="1"/>
        <v>-39381.06</v>
      </c>
      <c r="I11" s="19">
        <f t="shared" si="2"/>
        <v>-0.6457387147161171</v>
      </c>
      <c r="J11" s="42" t="s">
        <v>528</v>
      </c>
      <c r="K11" s="92" t="s">
        <v>529</v>
      </c>
      <c r="L11" s="97"/>
      <c r="M11" s="97"/>
      <c r="N11" s="97"/>
      <c r="O11" s="97"/>
      <c r="P11" s="97"/>
      <c r="Q11" s="97"/>
      <c r="R11" s="97"/>
      <c r="S11" s="97"/>
      <c r="T11" s="97"/>
      <c r="U11" s="97"/>
    </row>
    <row r="12" spans="1:21" ht="100.9">
      <c r="A12" s="28" t="str">
        <v>Kohls - Edgewood</v>
      </c>
      <c r="B12" s="29"/>
      <c r="C12" s="24">
        <v>182967</v>
      </c>
      <c r="D12" s="13">
        <v>182193</v>
      </c>
      <c r="E12" s="13">
        <f t="shared" si="0"/>
        <v>774</v>
      </c>
      <c r="F12" s="14">
        <f t="shared" si="3"/>
        <v>4.2482422486045017E-3</v>
      </c>
      <c r="G12" s="15">
        <v>322055.92</v>
      </c>
      <c r="H12" s="15">
        <f t="shared" si="1"/>
        <v>-139088.91999999998</v>
      </c>
      <c r="I12" s="16">
        <f t="shared" si="2"/>
        <v>-0.43187816575456833</v>
      </c>
      <c r="J12" s="41" t="s">
        <v>530</v>
      </c>
      <c r="K12" s="88" t="s">
        <v>531</v>
      </c>
      <c r="L12" s="98" t="s">
        <v>532</v>
      </c>
      <c r="M12" s="97"/>
      <c r="N12" s="97"/>
      <c r="O12" s="97"/>
      <c r="P12" s="97"/>
      <c r="Q12" s="97"/>
      <c r="R12" s="97"/>
      <c r="S12" s="97"/>
      <c r="T12" s="97"/>
      <c r="U12" s="97"/>
    </row>
    <row r="13" spans="1:21" ht="15.6">
      <c r="A13" s="30" t="str">
        <v>Kohls - Granite Run</v>
      </c>
      <c r="B13" s="31"/>
      <c r="C13" s="11">
        <v>39643</v>
      </c>
      <c r="D13" s="18">
        <v>39349</v>
      </c>
      <c r="E13" s="18">
        <f t="shared" si="0"/>
        <v>294</v>
      </c>
      <c r="F13" s="19">
        <f t="shared" si="3"/>
        <v>7.4716002947978347E-3</v>
      </c>
      <c r="G13" s="20">
        <v>39195.43</v>
      </c>
      <c r="H13" s="20">
        <f t="shared" si="1"/>
        <v>447.56999999999971</v>
      </c>
      <c r="I13" s="19">
        <f t="shared" si="2"/>
        <v>1.1418933278701106E-2</v>
      </c>
      <c r="J13" s="42"/>
      <c r="K13" s="43"/>
      <c r="L13" s="97"/>
      <c r="M13" s="97"/>
      <c r="N13" s="97"/>
      <c r="O13" s="97"/>
      <c r="P13" s="97"/>
      <c r="Q13" s="97"/>
      <c r="R13" s="97"/>
      <c r="S13" s="97"/>
      <c r="T13" s="97"/>
      <c r="U13" s="97"/>
    </row>
    <row r="14" spans="1:21" ht="72">
      <c r="A14" s="28" t="str">
        <v>Kohls - Greece</v>
      </c>
      <c r="B14" s="29"/>
      <c r="C14" s="24">
        <v>42002</v>
      </c>
      <c r="D14" s="13">
        <v>41818</v>
      </c>
      <c r="E14" s="13">
        <f t="shared" si="0"/>
        <v>184</v>
      </c>
      <c r="F14" s="14">
        <f t="shared" si="3"/>
        <v>4.4000191305179591E-3</v>
      </c>
      <c r="G14" s="15">
        <v>50058.57</v>
      </c>
      <c r="H14" s="15">
        <f t="shared" si="1"/>
        <v>-8056.57</v>
      </c>
      <c r="I14" s="16">
        <f t="shared" si="2"/>
        <v>-0.16094287152030112</v>
      </c>
      <c r="J14" s="41" t="s">
        <v>430</v>
      </c>
      <c r="K14" s="41"/>
      <c r="L14" s="97"/>
      <c r="M14" s="97"/>
      <c r="N14" s="97"/>
      <c r="O14" s="97"/>
      <c r="P14" s="97"/>
      <c r="Q14" s="97"/>
      <c r="R14" s="97"/>
      <c r="S14" s="97"/>
      <c r="T14" s="97"/>
      <c r="U14" s="97"/>
    </row>
    <row r="15" spans="1:21" ht="15.6">
      <c r="A15" s="30" t="str">
        <v>Kohls - Hanover</v>
      </c>
      <c r="B15" s="31"/>
      <c r="C15" s="11">
        <v>38149</v>
      </c>
      <c r="D15" s="18">
        <v>37978</v>
      </c>
      <c r="E15" s="18">
        <f t="shared" si="0"/>
        <v>171</v>
      </c>
      <c r="F15" s="19">
        <f t="shared" si="3"/>
        <v>4.5026067723418824E-3</v>
      </c>
      <c r="G15" s="20">
        <v>44023.48</v>
      </c>
      <c r="H15" s="20">
        <f t="shared" si="1"/>
        <v>-5874.4800000000032</v>
      </c>
      <c r="I15" s="19">
        <f t="shared" si="2"/>
        <v>-0.13343970081420195</v>
      </c>
      <c r="J15" s="42" t="s">
        <v>533</v>
      </c>
      <c r="K15" s="92" t="s">
        <v>534</v>
      </c>
      <c r="L15" s="97"/>
      <c r="M15" s="97"/>
      <c r="N15" s="97"/>
      <c r="O15" s="97"/>
      <c r="P15" s="97"/>
      <c r="Q15" s="97"/>
      <c r="R15" s="97"/>
      <c r="S15" s="97"/>
      <c r="T15" s="97"/>
      <c r="U15" s="97"/>
    </row>
    <row r="16" spans="1:21" ht="15.6">
      <c r="A16" s="28" t="str">
        <v>Kohls - Horsehead</v>
      </c>
      <c r="B16" s="29"/>
      <c r="C16" s="24">
        <v>37333</v>
      </c>
      <c r="D16" s="13"/>
      <c r="E16" s="13" t="str">
        <f t="shared" si="0"/>
        <v/>
      </c>
      <c r="F16" s="14" t="str">
        <f t="shared" si="3"/>
        <v/>
      </c>
      <c r="G16" s="15">
        <v>36747.879999999997</v>
      </c>
      <c r="H16" s="15">
        <f t="shared" si="1"/>
        <v>585.12000000000262</v>
      </c>
      <c r="I16" s="16">
        <f t="shared" si="2"/>
        <v>1.5922551178462613E-2</v>
      </c>
      <c r="J16" s="41"/>
      <c r="K16" s="41"/>
      <c r="L16" s="97"/>
      <c r="M16" s="97"/>
      <c r="N16" s="97"/>
      <c r="O16" s="97"/>
      <c r="P16" s="97"/>
      <c r="Q16" s="97"/>
      <c r="R16" s="97"/>
      <c r="S16" s="97"/>
      <c r="T16" s="97"/>
      <c r="U16" s="97"/>
    </row>
    <row r="17" spans="1:21" ht="89.25" customHeight="1">
      <c r="A17" s="30" t="str">
        <v>Kohls - Hudson</v>
      </c>
      <c r="B17" s="31"/>
      <c r="C17" s="11">
        <v>49090</v>
      </c>
      <c r="D17" s="18">
        <v>688</v>
      </c>
      <c r="E17" s="18">
        <f t="shared" si="0"/>
        <v>48402</v>
      </c>
      <c r="F17" s="19">
        <f t="shared" si="3"/>
        <v>70.351744186046517</v>
      </c>
      <c r="G17" s="20">
        <v>41607.480000000003</v>
      </c>
      <c r="H17" s="20">
        <f t="shared" si="1"/>
        <v>7482.5199999999968</v>
      </c>
      <c r="I17" s="19">
        <f t="shared" si="2"/>
        <v>0.17983593334660009</v>
      </c>
      <c r="J17" s="53" t="s">
        <v>535</v>
      </c>
      <c r="K17" s="87" t="s">
        <v>536</v>
      </c>
      <c r="L17" s="97"/>
      <c r="M17" s="97"/>
      <c r="N17" s="97"/>
      <c r="O17" s="97"/>
      <c r="P17" s="97"/>
      <c r="Q17" s="97"/>
      <c r="R17" s="97"/>
      <c r="S17" s="97"/>
      <c r="T17" s="97"/>
      <c r="U17" s="97"/>
    </row>
    <row r="18" spans="1:21" ht="19.5" customHeight="1">
      <c r="A18" s="32" t="str">
        <v>Kohls - Ithaca</v>
      </c>
      <c r="B18" s="29"/>
      <c r="C18" s="24">
        <v>38495</v>
      </c>
      <c r="D18" s="13">
        <v>38361</v>
      </c>
      <c r="E18" s="13">
        <f t="shared" si="0"/>
        <v>134</v>
      </c>
      <c r="F18" s="14">
        <f t="shared" si="3"/>
        <v>3.4931310445504549E-3</v>
      </c>
      <c r="G18" s="15">
        <v>42051.79</v>
      </c>
      <c r="H18" s="15">
        <f t="shared" si="1"/>
        <v>-3556.7900000000009</v>
      </c>
      <c r="I18" s="16">
        <f t="shared" si="2"/>
        <v>-8.4581179540752033E-2</v>
      </c>
      <c r="J18" s="41"/>
      <c r="K18" s="41"/>
      <c r="L18" s="97"/>
      <c r="M18" s="97"/>
      <c r="N18" s="97"/>
      <c r="O18" s="97"/>
      <c r="P18" s="97"/>
      <c r="Q18" s="97"/>
      <c r="R18" s="97"/>
      <c r="S18" s="97"/>
      <c r="T18" s="97"/>
      <c r="U18" s="97"/>
    </row>
    <row r="19" spans="1:21" ht="21.75" customHeight="1">
      <c r="A19" s="30" t="str">
        <v>Kohls - Kingston</v>
      </c>
      <c r="B19" s="31"/>
      <c r="C19" s="11">
        <v>63760</v>
      </c>
      <c r="D19" s="18">
        <v>51065</v>
      </c>
      <c r="E19" s="18">
        <f t="shared" si="0"/>
        <v>12695</v>
      </c>
      <c r="F19" s="19">
        <f t="shared" si="3"/>
        <v>0.2486047194751787</v>
      </c>
      <c r="G19" s="20">
        <v>61555.01</v>
      </c>
      <c r="H19" s="20">
        <f t="shared" si="1"/>
        <v>2204.989999999998</v>
      </c>
      <c r="I19" s="19">
        <f t="shared" si="2"/>
        <v>3.5821454663072884E-2</v>
      </c>
      <c r="J19" s="42" t="s">
        <v>537</v>
      </c>
      <c r="K19" s="92" t="s">
        <v>446</v>
      </c>
      <c r="L19" s="97"/>
      <c r="M19" s="97"/>
      <c r="N19" s="97"/>
      <c r="O19" s="97"/>
      <c r="P19" s="97"/>
      <c r="Q19" s="97"/>
      <c r="R19" s="97"/>
      <c r="S19" s="97"/>
      <c r="T19" s="97"/>
      <c r="U19" s="97"/>
    </row>
    <row r="20" spans="1:21" ht="45" customHeight="1">
      <c r="A20" s="28" t="str">
        <v>Kohls - Mechanicsburg</v>
      </c>
      <c r="B20" s="29"/>
      <c r="C20" s="24">
        <v>3184</v>
      </c>
      <c r="D20" s="13">
        <v>3163</v>
      </c>
      <c r="E20" s="13">
        <f t="shared" si="0"/>
        <v>21</v>
      </c>
      <c r="F20" s="14">
        <f t="shared" si="3"/>
        <v>6.6392665191274108E-3</v>
      </c>
      <c r="G20" s="15">
        <v>51398.34</v>
      </c>
      <c r="H20" s="15">
        <f t="shared" si="1"/>
        <v>-48214.34</v>
      </c>
      <c r="I20" s="16">
        <f t="shared" si="2"/>
        <v>-0.93805247406822867</v>
      </c>
      <c r="J20" s="41" t="s">
        <v>538</v>
      </c>
      <c r="K20" s="88" t="s">
        <v>448</v>
      </c>
      <c r="L20" s="97"/>
      <c r="M20" s="97"/>
      <c r="N20" s="97"/>
      <c r="O20" s="97"/>
      <c r="P20" s="97"/>
      <c r="Q20" s="97"/>
      <c r="R20" s="97"/>
      <c r="S20" s="97"/>
      <c r="T20" s="97"/>
      <c r="U20" s="97"/>
    </row>
    <row r="21" spans="1:21" ht="30" customHeight="1">
      <c r="A21" s="30" t="str">
        <v>Kohls - Middletown</v>
      </c>
      <c r="B21" s="31"/>
      <c r="C21" s="11">
        <v>0</v>
      </c>
      <c r="D21" s="18">
        <v>0</v>
      </c>
      <c r="E21" s="18">
        <f t="shared" si="0"/>
        <v>0</v>
      </c>
      <c r="F21" s="19" t="str">
        <f t="shared" si="3"/>
        <v/>
      </c>
      <c r="G21" s="20">
        <v>70367.839999999997</v>
      </c>
      <c r="H21" s="20">
        <f t="shared" si="1"/>
        <v>-70367.839999999997</v>
      </c>
      <c r="I21" s="19">
        <f t="shared" si="2"/>
        <v>-1</v>
      </c>
      <c r="J21" s="53" t="s">
        <v>449</v>
      </c>
      <c r="K21" s="92" t="s">
        <v>450</v>
      </c>
      <c r="L21" s="97"/>
      <c r="M21" s="97"/>
      <c r="N21" s="97"/>
      <c r="O21" s="97"/>
      <c r="P21" s="97"/>
      <c r="Q21" s="97"/>
      <c r="R21" s="97"/>
      <c r="S21" s="97"/>
      <c r="T21" s="97"/>
      <c r="U21" s="97"/>
    </row>
    <row r="22" spans="1:21" ht="92.25" customHeight="1">
      <c r="A22" s="28" t="str">
        <v>Kohls - North Amherst</v>
      </c>
      <c r="B22" s="29"/>
      <c r="C22" s="24">
        <v>23666</v>
      </c>
      <c r="D22" s="13">
        <v>23596</v>
      </c>
      <c r="E22" s="13">
        <f t="shared" si="0"/>
        <v>70</v>
      </c>
      <c r="F22" s="14">
        <f t="shared" si="3"/>
        <v>2.9666045092388541E-3</v>
      </c>
      <c r="G22" s="15">
        <v>44708.37</v>
      </c>
      <c r="H22" s="15">
        <f t="shared" si="1"/>
        <v>-21042.370000000003</v>
      </c>
      <c r="I22" s="16">
        <f t="shared" si="2"/>
        <v>-0.47065840244231677</v>
      </c>
      <c r="J22" s="41" t="s">
        <v>539</v>
      </c>
      <c r="K22" s="88" t="s">
        <v>540</v>
      </c>
      <c r="L22" s="97"/>
      <c r="M22" s="97"/>
      <c r="N22" s="97"/>
      <c r="O22" s="97"/>
      <c r="P22" s="97"/>
      <c r="Q22" s="97"/>
      <c r="R22" s="97"/>
      <c r="S22" s="97"/>
      <c r="T22" s="97"/>
      <c r="U22" s="97"/>
    </row>
    <row r="23" spans="1:21" ht="127.5" customHeight="1">
      <c r="A23" s="30" t="str">
        <v>Kohls - Staten Island</v>
      </c>
      <c r="B23" s="31"/>
      <c r="C23" s="11">
        <v>35516</v>
      </c>
      <c r="D23" s="18" t="s">
        <v>520</v>
      </c>
      <c r="E23" s="18" t="str">
        <f t="shared" si="0"/>
        <v/>
      </c>
      <c r="F23" s="19" t="str">
        <f t="shared" si="3"/>
        <v/>
      </c>
      <c r="G23" s="20">
        <v>40682.01</v>
      </c>
      <c r="H23" s="20">
        <f t="shared" si="1"/>
        <v>-5166.010000000002</v>
      </c>
      <c r="I23" s="19">
        <f t="shared" si="2"/>
        <v>-0.12698512192490002</v>
      </c>
      <c r="J23" s="42" t="s">
        <v>541</v>
      </c>
      <c r="K23" s="87" t="s">
        <v>542</v>
      </c>
      <c r="L23" s="98" t="s">
        <v>39</v>
      </c>
      <c r="M23" s="98" t="s">
        <v>543</v>
      </c>
      <c r="N23" s="97"/>
      <c r="O23" s="97"/>
      <c r="P23" s="97"/>
      <c r="Q23" s="97"/>
      <c r="R23" s="97"/>
      <c r="S23" s="97"/>
      <c r="T23" s="97"/>
      <c r="U23" s="97"/>
    </row>
    <row r="24" spans="1:21" ht="15.6">
      <c r="A24" s="28" t="str">
        <v>Kohls - Warminster</v>
      </c>
      <c r="B24" s="29"/>
      <c r="C24" s="24">
        <v>51308</v>
      </c>
      <c r="D24" s="13">
        <v>51124</v>
      </c>
      <c r="E24" s="13">
        <f t="shared" si="0"/>
        <v>184</v>
      </c>
      <c r="F24" s="14">
        <f t="shared" si="3"/>
        <v>3.5990924027853844E-3</v>
      </c>
      <c r="G24" s="15">
        <v>48325.86</v>
      </c>
      <c r="H24" s="15">
        <f t="shared" si="1"/>
        <v>2982.1399999999994</v>
      </c>
      <c r="I24" s="16">
        <f t="shared" si="2"/>
        <v>6.1708989762417045E-2</v>
      </c>
      <c r="J24" s="41"/>
      <c r="K24" s="41"/>
      <c r="L24" s="97"/>
      <c r="M24" s="97"/>
      <c r="N24" s="97"/>
      <c r="O24" s="97"/>
      <c r="P24" s="97"/>
      <c r="Q24" s="97"/>
      <c r="R24" s="97"/>
      <c r="S24" s="97"/>
      <c r="T24" s="97"/>
      <c r="U24" s="97"/>
    </row>
    <row r="25" spans="1:21" ht="15.6">
      <c r="A25" s="30" t="str">
        <v xml:space="preserve">Kohls - Waterbury </v>
      </c>
      <c r="B25" s="31"/>
      <c r="C25" s="11">
        <v>43943</v>
      </c>
      <c r="D25" s="18">
        <v>43673</v>
      </c>
      <c r="E25" s="18">
        <f t="shared" si="0"/>
        <v>270</v>
      </c>
      <c r="F25" s="19">
        <f t="shared" si="3"/>
        <v>6.1823094360359951E-3</v>
      </c>
      <c r="G25" s="20">
        <v>41803.94</v>
      </c>
      <c r="H25" s="20">
        <f t="shared" si="1"/>
        <v>2139.0599999999977</v>
      </c>
      <c r="I25" s="19">
        <f t="shared" si="2"/>
        <v>5.1168861116918589E-2</v>
      </c>
      <c r="J25" s="42"/>
      <c r="K25" s="43"/>
      <c r="L25" s="97"/>
      <c r="M25" s="97"/>
      <c r="N25" s="97"/>
      <c r="O25" s="97"/>
      <c r="P25" s="97"/>
      <c r="Q25" s="97"/>
      <c r="R25" s="97"/>
      <c r="S25" s="97"/>
      <c r="T25" s="97"/>
      <c r="U25" s="97"/>
    </row>
    <row r="26" spans="1:21" ht="26.45">
      <c r="A26" s="28" t="str">
        <v>Mojave Water Agency - Headquarters</v>
      </c>
      <c r="B26" s="29"/>
      <c r="C26" s="24">
        <v>4075</v>
      </c>
      <c r="D26" s="13">
        <v>2601</v>
      </c>
      <c r="E26" s="13">
        <f t="shared" ref="E26:E68" si="4">IF(AND(ISNUMBER(C26),ISNUMBER(D26)), C26-D26, "")</f>
        <v>1474</v>
      </c>
      <c r="F26" s="14">
        <f t="shared" ref="F26:F68" si="5">IFERROR(E26/D26, "")</f>
        <v>0.56670511341791618</v>
      </c>
      <c r="G26" s="15">
        <v>39251.32</v>
      </c>
      <c r="H26" s="15">
        <f t="shared" ref="H26:H68" si="6">IF(AND(ISNUMBER(C26),ISNUMBER(G26)), C26-G26, "")</f>
        <v>-35176.32</v>
      </c>
      <c r="I26" s="16">
        <f t="shared" si="2"/>
        <v>-0.89618183541343321</v>
      </c>
      <c r="J26" s="41" t="s">
        <v>544</v>
      </c>
      <c r="K26" s="88" t="s">
        <v>545</v>
      </c>
      <c r="L26" s="98" t="s">
        <v>546</v>
      </c>
      <c r="M26" s="97"/>
      <c r="N26" s="97"/>
      <c r="O26" s="97"/>
      <c r="P26" s="97"/>
      <c r="Q26" s="97"/>
      <c r="R26" s="97"/>
      <c r="S26" s="97"/>
      <c r="T26" s="97"/>
      <c r="U26" s="97"/>
    </row>
    <row r="27" spans="1:21" ht="15.6">
      <c r="A27" s="30" t="str">
        <v>CSU - Bakersfield</v>
      </c>
      <c r="B27" s="31"/>
      <c r="C27" s="11">
        <v>190709</v>
      </c>
      <c r="D27" s="18">
        <v>190291</v>
      </c>
      <c r="E27" s="18">
        <f t="shared" si="4"/>
        <v>418</v>
      </c>
      <c r="F27" s="19">
        <f t="shared" si="5"/>
        <v>2.1966356790389455E-3</v>
      </c>
      <c r="G27" s="20">
        <v>193659.71</v>
      </c>
      <c r="H27" s="20">
        <f t="shared" si="6"/>
        <v>-2950.7099999999919</v>
      </c>
      <c r="I27" s="19">
        <f t="shared" si="2"/>
        <v>-1.5236571406618299E-2</v>
      </c>
      <c r="J27" s="42"/>
      <c r="K27" s="43"/>
      <c r="L27" s="97"/>
      <c r="M27" s="97"/>
      <c r="N27" s="97"/>
      <c r="O27" s="97"/>
      <c r="P27" s="97"/>
      <c r="Q27" s="97"/>
      <c r="R27" s="97"/>
      <c r="S27" s="97"/>
      <c r="T27" s="97"/>
      <c r="U27" s="97"/>
    </row>
    <row r="28" spans="1:21" ht="28.9">
      <c r="A28" s="28" t="str">
        <v>Greenfield USD - Fairfield ES</v>
      </c>
      <c r="B28" s="29"/>
      <c r="C28" s="24">
        <v>6869</v>
      </c>
      <c r="D28" s="13">
        <v>6810</v>
      </c>
      <c r="E28" s="13">
        <f t="shared" si="4"/>
        <v>59</v>
      </c>
      <c r="F28" s="14">
        <f t="shared" si="5"/>
        <v>8.6637298091042578E-3</v>
      </c>
      <c r="G28" s="15">
        <v>17096.37</v>
      </c>
      <c r="H28" s="15">
        <f t="shared" si="6"/>
        <v>-10227.369999999999</v>
      </c>
      <c r="I28" s="16">
        <f t="shared" si="2"/>
        <v>-0.59821880317283727</v>
      </c>
      <c r="J28" s="41" t="s">
        <v>547</v>
      </c>
      <c r="K28" s="88" t="s">
        <v>548</v>
      </c>
      <c r="L28" s="97"/>
      <c r="M28" s="97"/>
      <c r="N28" s="97"/>
      <c r="O28" s="97"/>
      <c r="P28" s="97"/>
      <c r="Q28" s="97"/>
      <c r="R28" s="97"/>
      <c r="S28" s="97"/>
      <c r="T28" s="97"/>
      <c r="U28" s="97"/>
    </row>
    <row r="29" spans="1:21" ht="15.6">
      <c r="A29" s="30" t="str">
        <v>Greenfield USD - Granite Point ES</v>
      </c>
      <c r="B29" s="31"/>
      <c r="C29" s="11">
        <v>46822</v>
      </c>
      <c r="D29" s="18">
        <v>46511</v>
      </c>
      <c r="E29" s="18">
        <f t="shared" si="4"/>
        <v>311</v>
      </c>
      <c r="F29" s="19">
        <f t="shared" si="5"/>
        <v>6.6865902689686313E-3</v>
      </c>
      <c r="G29" s="20">
        <v>45287.92</v>
      </c>
      <c r="H29" s="20">
        <f t="shared" si="6"/>
        <v>1534.0800000000017</v>
      </c>
      <c r="I29" s="19">
        <f t="shared" si="2"/>
        <v>3.3873933711241359E-2</v>
      </c>
      <c r="J29" s="42"/>
      <c r="K29" s="43"/>
      <c r="L29" s="97"/>
      <c r="M29" s="97"/>
      <c r="N29" s="97"/>
      <c r="O29" s="97"/>
      <c r="P29" s="97"/>
      <c r="Q29" s="97"/>
      <c r="R29" s="97"/>
      <c r="S29" s="97"/>
      <c r="T29" s="97"/>
      <c r="U29" s="97"/>
    </row>
    <row r="30" spans="1:21" ht="72">
      <c r="A30" s="28" t="str">
        <v>Greenfield USD - Greenfield MS</v>
      </c>
      <c r="B30" s="29"/>
      <c r="C30" s="24">
        <v>25214</v>
      </c>
      <c r="D30" s="13">
        <v>25198</v>
      </c>
      <c r="E30" s="13">
        <f t="shared" si="4"/>
        <v>16</v>
      </c>
      <c r="F30" s="14">
        <f t="shared" si="5"/>
        <v>6.3497102944678151E-4</v>
      </c>
      <c r="G30" s="15">
        <v>30764.276000000002</v>
      </c>
      <c r="H30" s="15">
        <f t="shared" si="6"/>
        <v>-5550.2760000000017</v>
      </c>
      <c r="I30" s="16">
        <f t="shared" si="2"/>
        <v>-0.18041302190891803</v>
      </c>
      <c r="J30" s="41" t="s">
        <v>430</v>
      </c>
      <c r="K30" s="41"/>
      <c r="L30" s="97"/>
      <c r="M30" s="97"/>
      <c r="N30" s="97"/>
      <c r="O30" s="97"/>
      <c r="P30" s="97"/>
      <c r="Q30" s="97"/>
      <c r="R30" s="97"/>
      <c r="S30" s="97"/>
      <c r="T30" s="97"/>
      <c r="U30" s="97"/>
    </row>
    <row r="31" spans="1:21" ht="56.25" customHeight="1">
      <c r="A31" s="30" t="str">
        <v>Greenfield USD - Horizon ES</v>
      </c>
      <c r="B31" s="31"/>
      <c r="C31" s="11">
        <v>32399</v>
      </c>
      <c r="D31" s="18">
        <v>32335</v>
      </c>
      <c r="E31" s="18">
        <f t="shared" si="4"/>
        <v>64</v>
      </c>
      <c r="F31" s="19">
        <f t="shared" si="5"/>
        <v>1.979279418586671E-3</v>
      </c>
      <c r="G31" s="20">
        <v>47171.28</v>
      </c>
      <c r="H31" s="20">
        <f t="shared" si="6"/>
        <v>-14772.279999999999</v>
      </c>
      <c r="I31" s="19">
        <f t="shared" si="2"/>
        <v>-0.3131625853697419</v>
      </c>
      <c r="J31" s="42" t="s">
        <v>549</v>
      </c>
      <c r="K31" s="87" t="s">
        <v>550</v>
      </c>
      <c r="L31" s="98" t="s">
        <v>551</v>
      </c>
      <c r="M31" s="97"/>
      <c r="N31" s="97"/>
      <c r="O31" s="97"/>
      <c r="P31" s="97"/>
      <c r="Q31" s="97"/>
      <c r="R31" s="97"/>
      <c r="S31" s="97"/>
      <c r="T31" s="97"/>
      <c r="U31" s="97"/>
    </row>
    <row r="32" spans="1:21" ht="87.75" customHeight="1">
      <c r="A32" s="28" t="str">
        <v>Greenfield USD - McKee MS</v>
      </c>
      <c r="B32" s="29"/>
      <c r="C32" s="24">
        <v>19824</v>
      </c>
      <c r="D32" s="13">
        <v>19814</v>
      </c>
      <c r="E32" s="13">
        <f t="shared" si="4"/>
        <v>10</v>
      </c>
      <c r="F32" s="14">
        <f t="shared" si="5"/>
        <v>5.0469365095387095E-4</v>
      </c>
      <c r="G32" s="15">
        <v>28788.080000000002</v>
      </c>
      <c r="H32" s="15">
        <f t="shared" si="6"/>
        <v>-8964.0800000000017</v>
      </c>
      <c r="I32" s="16">
        <f t="shared" si="2"/>
        <v>-0.31138165518506272</v>
      </c>
      <c r="J32" s="41" t="s">
        <v>430</v>
      </c>
      <c r="K32" s="41"/>
      <c r="L32" s="97"/>
      <c r="M32" s="97"/>
      <c r="N32" s="97"/>
      <c r="O32" s="97"/>
      <c r="P32" s="97"/>
      <c r="Q32" s="97"/>
      <c r="R32" s="97"/>
      <c r="S32" s="97"/>
      <c r="T32" s="97"/>
      <c r="U32" s="97"/>
    </row>
    <row r="33" spans="1:21" ht="15.6">
      <c r="A33" s="30" t="str">
        <v>Greenfield USD - Plantation ES</v>
      </c>
      <c r="B33" s="31"/>
      <c r="C33" s="11">
        <v>19773</v>
      </c>
      <c r="D33" s="18">
        <v>19751</v>
      </c>
      <c r="E33" s="18">
        <f t="shared" si="4"/>
        <v>22</v>
      </c>
      <c r="F33" s="19">
        <f t="shared" si="5"/>
        <v>1.1138676522707712E-3</v>
      </c>
      <c r="G33" s="20">
        <v>20625.939999999999</v>
      </c>
      <c r="H33" s="20">
        <f t="shared" si="6"/>
        <v>-852.93999999999869</v>
      </c>
      <c r="I33" s="19">
        <f t="shared" si="2"/>
        <v>-4.1352781982299899E-2</v>
      </c>
      <c r="J33" s="42"/>
      <c r="K33" s="43"/>
      <c r="L33" s="97"/>
      <c r="M33" s="97"/>
      <c r="N33" s="97"/>
      <c r="O33" s="97"/>
      <c r="P33" s="97"/>
      <c r="Q33" s="97"/>
      <c r="R33" s="97"/>
      <c r="S33" s="97"/>
      <c r="T33" s="97"/>
      <c r="U33" s="97"/>
    </row>
    <row r="34" spans="1:21" ht="43.15">
      <c r="A34" s="28" t="str">
        <v>Greenfield USD - Planz ES</v>
      </c>
      <c r="B34" s="29"/>
      <c r="C34" s="24">
        <v>7662</v>
      </c>
      <c r="D34" s="13">
        <v>7627</v>
      </c>
      <c r="E34" s="13">
        <f t="shared" si="4"/>
        <v>35</v>
      </c>
      <c r="F34" s="14">
        <f t="shared" si="5"/>
        <v>4.5889602727153533E-3</v>
      </c>
      <c r="G34" s="15">
        <v>23208.78</v>
      </c>
      <c r="H34" s="15">
        <f t="shared" si="6"/>
        <v>-15546.779999999999</v>
      </c>
      <c r="I34" s="16">
        <f t="shared" si="2"/>
        <v>-0.66986631783316486</v>
      </c>
      <c r="J34" s="41" t="s">
        <v>552</v>
      </c>
      <c r="K34" s="88" t="s">
        <v>553</v>
      </c>
      <c r="L34" s="98" t="s">
        <v>554</v>
      </c>
      <c r="M34" s="97"/>
      <c r="N34" s="97"/>
      <c r="O34" s="97"/>
      <c r="P34" s="97"/>
      <c r="Q34" s="97"/>
      <c r="R34" s="97"/>
      <c r="S34" s="97"/>
      <c r="T34" s="97"/>
      <c r="U34" s="97"/>
    </row>
    <row r="35" spans="1:21" ht="43.15">
      <c r="A35" s="30" t="str">
        <v>Greenfield USD - Raffaello Palla ES</v>
      </c>
      <c r="B35" s="31"/>
      <c r="C35" s="11">
        <v>39368</v>
      </c>
      <c r="D35" s="18">
        <v>39039</v>
      </c>
      <c r="E35" s="18">
        <f t="shared" si="4"/>
        <v>329</v>
      </c>
      <c r="F35" s="19">
        <f t="shared" si="5"/>
        <v>8.4274699659315049E-3</v>
      </c>
      <c r="G35" s="20">
        <v>50572.17</v>
      </c>
      <c r="H35" s="20">
        <f t="shared" si="6"/>
        <v>-11204.169999999998</v>
      </c>
      <c r="I35" s="19">
        <f t="shared" si="2"/>
        <v>-0.22154813605981311</v>
      </c>
      <c r="J35" s="42" t="s">
        <v>278</v>
      </c>
      <c r="K35" s="90" t="s">
        <v>555</v>
      </c>
      <c r="L35" s="98" t="s">
        <v>556</v>
      </c>
      <c r="M35" s="97"/>
      <c r="N35" s="97"/>
      <c r="O35" s="97"/>
      <c r="P35" s="97"/>
      <c r="Q35" s="97"/>
      <c r="R35" s="97"/>
      <c r="S35" s="97"/>
      <c r="T35" s="97"/>
      <c r="U35" s="97"/>
    </row>
    <row r="36" spans="1:21" ht="15.6">
      <c r="A36" s="28" t="str">
        <v>Greenfield USD - Valle Verde ES</v>
      </c>
      <c r="B36" s="29"/>
      <c r="C36" s="24">
        <v>45490</v>
      </c>
      <c r="D36" s="13">
        <v>45416</v>
      </c>
      <c r="E36" s="13">
        <f t="shared" si="4"/>
        <v>74</v>
      </c>
      <c r="F36" s="14">
        <f t="shared" si="5"/>
        <v>1.6293817156949092E-3</v>
      </c>
      <c r="G36" s="15">
        <v>47171.28</v>
      </c>
      <c r="H36" s="15">
        <f t="shared" si="6"/>
        <v>-1681.2799999999988</v>
      </c>
      <c r="I36" s="16">
        <f t="shared" si="2"/>
        <v>-3.5642026249870659E-2</v>
      </c>
      <c r="J36" s="41"/>
      <c r="K36" s="41"/>
      <c r="L36" s="97"/>
      <c r="M36" s="97"/>
      <c r="N36" s="97"/>
      <c r="O36" s="97"/>
      <c r="P36" s="97"/>
      <c r="Q36" s="97"/>
      <c r="R36" s="97"/>
      <c r="S36" s="97"/>
      <c r="T36" s="97"/>
      <c r="U36" s="97"/>
    </row>
    <row r="37" spans="1:21" ht="28.9">
      <c r="A37" s="30" t="str">
        <v>Greenfield USD - W.A. Kendrick ES</v>
      </c>
      <c r="B37" s="31"/>
      <c r="C37" s="11">
        <v>0</v>
      </c>
      <c r="D37" s="18">
        <v>0</v>
      </c>
      <c r="E37" s="18">
        <f t="shared" si="4"/>
        <v>0</v>
      </c>
      <c r="F37" s="19" t="str">
        <f t="shared" si="5"/>
        <v/>
      </c>
      <c r="G37" s="20">
        <v>18190.169999999998</v>
      </c>
      <c r="H37" s="20">
        <f t="shared" si="6"/>
        <v>-18190.169999999998</v>
      </c>
      <c r="I37" s="19">
        <f t="shared" si="2"/>
        <v>-1</v>
      </c>
      <c r="J37" s="42" t="s">
        <v>468</v>
      </c>
      <c r="K37" s="87" t="s">
        <v>557</v>
      </c>
      <c r="L37" s="97"/>
      <c r="M37" s="97"/>
      <c r="N37" s="97"/>
      <c r="O37" s="97"/>
      <c r="P37" s="97"/>
      <c r="Q37" s="97"/>
      <c r="R37" s="97"/>
      <c r="S37" s="97"/>
      <c r="T37" s="97"/>
      <c r="U37" s="97"/>
    </row>
    <row r="38" spans="1:21" ht="30.75">
      <c r="A38" s="28" t="str">
        <v>Muroc Joint USD - Boron HS</v>
      </c>
      <c r="B38" s="24">
        <v>0</v>
      </c>
      <c r="C38" s="24">
        <v>0</v>
      </c>
      <c r="D38" s="13">
        <v>0</v>
      </c>
      <c r="E38" s="13">
        <f>IF(AND(ISNUMBER(B38),ISNUMBER(D38)), B38-D38, "")</f>
        <v>0</v>
      </c>
      <c r="F38" s="14" t="str">
        <f t="shared" si="5"/>
        <v/>
      </c>
      <c r="G38" s="15">
        <v>38442.26</v>
      </c>
      <c r="H38" s="15">
        <f>IF(AND(ISNUMBER(B38),ISNUMBER(G38)), B38-G38, "")</f>
        <v>-38442.26</v>
      </c>
      <c r="I38" s="16">
        <f t="shared" si="2"/>
        <v>-1</v>
      </c>
      <c r="J38" s="41" t="s">
        <v>558</v>
      </c>
      <c r="K38" s="88" t="s">
        <v>559</v>
      </c>
      <c r="L38" s="97"/>
      <c r="M38" s="97"/>
      <c r="N38" s="97"/>
      <c r="O38" s="97"/>
      <c r="P38" s="97"/>
      <c r="Q38" s="97"/>
      <c r="R38" s="97"/>
      <c r="S38" s="97"/>
      <c r="T38" s="97"/>
      <c r="U38" s="97"/>
    </row>
    <row r="39" spans="1:21" ht="15.6">
      <c r="A39" s="30" t="str">
        <v>Muroc Joint USD - W. Boron ES</v>
      </c>
      <c r="B39" s="31"/>
      <c r="C39" s="11">
        <v>14154</v>
      </c>
      <c r="D39" s="18">
        <v>14113</v>
      </c>
      <c r="E39" s="18">
        <f t="shared" si="4"/>
        <v>41</v>
      </c>
      <c r="F39" s="19">
        <f t="shared" si="5"/>
        <v>2.9051229362998653E-3</v>
      </c>
      <c r="G39" s="20">
        <v>14183.26</v>
      </c>
      <c r="H39" s="20">
        <f t="shared" si="6"/>
        <v>-29.260000000000218</v>
      </c>
      <c r="I39" s="19">
        <f t="shared" si="2"/>
        <v>-2.0629953903404589E-3</v>
      </c>
      <c r="J39" s="42"/>
      <c r="K39" s="43"/>
      <c r="L39" s="97"/>
      <c r="M39" s="97"/>
      <c r="N39" s="97"/>
      <c r="O39" s="97"/>
      <c r="P39" s="97"/>
      <c r="Q39" s="97"/>
      <c r="R39" s="97"/>
      <c r="S39" s="97"/>
      <c r="T39" s="97"/>
      <c r="U39" s="97"/>
    </row>
    <row r="40" spans="1:21" ht="43.15">
      <c r="A40" s="28" t="str">
        <v>Colusa - WTP</v>
      </c>
      <c r="B40" s="29"/>
      <c r="C40" s="24">
        <v>0</v>
      </c>
      <c r="D40" s="13" t="s">
        <v>520</v>
      </c>
      <c r="E40" s="13" t="str">
        <f t="shared" si="4"/>
        <v/>
      </c>
      <c r="F40" s="14" t="str">
        <f t="shared" si="5"/>
        <v/>
      </c>
      <c r="G40" s="15">
        <v>67861.149999999994</v>
      </c>
      <c r="H40" s="15">
        <f t="shared" si="6"/>
        <v>-67861.149999999994</v>
      </c>
      <c r="I40" s="16">
        <f t="shared" si="2"/>
        <v>-1</v>
      </c>
      <c r="J40" s="41" t="s">
        <v>560</v>
      </c>
      <c r="K40" s="88" t="s">
        <v>561</v>
      </c>
      <c r="L40" s="98" t="s">
        <v>562</v>
      </c>
      <c r="M40" s="97"/>
      <c r="N40" s="97"/>
      <c r="O40" s="97"/>
      <c r="P40" s="97"/>
      <c r="Q40" s="97"/>
      <c r="R40" s="97"/>
      <c r="S40" s="97"/>
      <c r="T40" s="97"/>
      <c r="U40" s="97"/>
    </row>
    <row r="41" spans="1:21" ht="57.6">
      <c r="A41" s="30" t="str">
        <v>CDCR-North Kern State Prision</v>
      </c>
      <c r="B41" s="31"/>
      <c r="C41" s="11">
        <v>104432</v>
      </c>
      <c r="D41" s="18">
        <v>104067</v>
      </c>
      <c r="E41" s="18">
        <f t="shared" si="4"/>
        <v>365</v>
      </c>
      <c r="F41" s="19">
        <f t="shared" si="5"/>
        <v>3.5073558380658613E-3</v>
      </c>
      <c r="G41" s="20">
        <v>265603.15000000002</v>
      </c>
      <c r="H41" s="20">
        <f t="shared" si="6"/>
        <v>-161171.15000000002</v>
      </c>
      <c r="I41" s="19">
        <f t="shared" si="2"/>
        <v>-0.60681189210293629</v>
      </c>
      <c r="J41" s="42" t="s">
        <v>563</v>
      </c>
      <c r="K41" s="92" t="s">
        <v>564</v>
      </c>
      <c r="L41" s="98" t="s">
        <v>193</v>
      </c>
      <c r="M41" s="97"/>
      <c r="N41" s="97"/>
      <c r="O41" s="97"/>
      <c r="P41" s="97"/>
      <c r="Q41" s="97"/>
      <c r="R41" s="97"/>
      <c r="S41" s="97"/>
      <c r="T41" s="97"/>
      <c r="U41" s="97"/>
    </row>
    <row r="42" spans="1:21" ht="89.25" customHeight="1">
      <c r="A42" s="28" t="str">
        <v>Muroc Joint USD - District Office</v>
      </c>
      <c r="B42" s="29"/>
      <c r="C42" s="24">
        <v>8475</v>
      </c>
      <c r="D42" s="13">
        <v>8467</v>
      </c>
      <c r="E42" s="13">
        <f t="shared" si="4"/>
        <v>8</v>
      </c>
      <c r="F42" s="14">
        <f t="shared" si="5"/>
        <v>9.4484469115389163E-4</v>
      </c>
      <c r="G42" s="15">
        <v>9995.08</v>
      </c>
      <c r="H42" s="15">
        <f t="shared" si="6"/>
        <v>-1520.08</v>
      </c>
      <c r="I42" s="16">
        <f t="shared" si="2"/>
        <v>-0.15208282474977688</v>
      </c>
      <c r="J42" s="41" t="s">
        <v>430</v>
      </c>
      <c r="K42" s="41"/>
      <c r="L42" s="97"/>
      <c r="M42" s="97"/>
      <c r="N42" s="97"/>
      <c r="O42" s="97"/>
      <c r="P42" s="97"/>
      <c r="Q42" s="97"/>
      <c r="R42" s="97"/>
      <c r="S42" s="97"/>
      <c r="T42" s="97"/>
      <c r="U42" s="97"/>
    </row>
    <row r="43" spans="1:21" ht="115.15">
      <c r="A43" s="30" t="str">
        <v>Whole Foods - Manhattan Beach</v>
      </c>
      <c r="B43" s="31"/>
      <c r="C43" s="11">
        <v>16724</v>
      </c>
      <c r="D43" s="18">
        <v>16692</v>
      </c>
      <c r="E43" s="18">
        <f t="shared" si="4"/>
        <v>32</v>
      </c>
      <c r="F43" s="19">
        <f t="shared" si="5"/>
        <v>1.917086029235562E-3</v>
      </c>
      <c r="G43" s="20">
        <v>23457.05</v>
      </c>
      <c r="H43" s="20">
        <f t="shared" si="6"/>
        <v>-6733.0499999999993</v>
      </c>
      <c r="I43" s="19">
        <f t="shared" si="2"/>
        <v>-0.28703737255963557</v>
      </c>
      <c r="J43" s="42" t="s">
        <v>565</v>
      </c>
      <c r="K43" s="92" t="s">
        <v>566</v>
      </c>
      <c r="L43" s="98" t="s">
        <v>477</v>
      </c>
      <c r="M43" s="98" t="s">
        <v>476</v>
      </c>
      <c r="N43" s="98" t="s">
        <v>567</v>
      </c>
      <c r="O43" s="98" t="s">
        <v>568</v>
      </c>
      <c r="P43" s="97"/>
      <c r="Q43" s="97"/>
      <c r="R43" s="97"/>
      <c r="S43" s="97"/>
      <c r="T43" s="97"/>
      <c r="U43" s="97"/>
    </row>
    <row r="44" spans="1:21" ht="28.9">
      <c r="A44" s="28" t="str">
        <v>Pioneer USD - Frontier ES</v>
      </c>
      <c r="B44" s="29"/>
      <c r="C44" s="24">
        <v>30328</v>
      </c>
      <c r="D44" s="13">
        <v>0</v>
      </c>
      <c r="E44" s="13">
        <f t="shared" si="4"/>
        <v>30328</v>
      </c>
      <c r="F44" s="14" t="str">
        <f t="shared" si="5"/>
        <v/>
      </c>
      <c r="G44" s="15">
        <v>39491.660000000003</v>
      </c>
      <c r="H44" s="15">
        <f t="shared" si="6"/>
        <v>-9163.6600000000035</v>
      </c>
      <c r="I44" s="16">
        <f t="shared" si="2"/>
        <v>-0.23204038523576884</v>
      </c>
      <c r="J44" s="41" t="s">
        <v>569</v>
      </c>
      <c r="K44" s="88" t="s">
        <v>66</v>
      </c>
      <c r="L44" s="97"/>
      <c r="M44" s="97"/>
      <c r="N44" s="97"/>
      <c r="O44" s="97"/>
      <c r="P44" s="97"/>
      <c r="Q44" s="97"/>
      <c r="R44" s="97"/>
      <c r="S44" s="97"/>
      <c r="T44" s="97"/>
      <c r="U44" s="97"/>
    </row>
    <row r="45" spans="1:21" ht="28.9">
      <c r="A45" s="30" t="str">
        <v>Pioneer USD - Pioneer ES</v>
      </c>
      <c r="B45" s="31"/>
      <c r="C45" s="11">
        <v>7212</v>
      </c>
      <c r="D45" s="18">
        <v>0</v>
      </c>
      <c r="E45" s="18">
        <f t="shared" si="4"/>
        <v>7212</v>
      </c>
      <c r="F45" s="19" t="str">
        <f t="shared" si="5"/>
        <v/>
      </c>
      <c r="G45" s="20">
        <v>40411.449999999997</v>
      </c>
      <c r="H45" s="20">
        <f t="shared" si="6"/>
        <v>-33199.449999999997</v>
      </c>
      <c r="I45" s="19">
        <f t="shared" si="2"/>
        <v>-0.82153572811665998</v>
      </c>
      <c r="J45" s="42" t="s">
        <v>570</v>
      </c>
      <c r="K45" s="92" t="s">
        <v>571</v>
      </c>
      <c r="L45" s="98" t="s">
        <v>572</v>
      </c>
      <c r="M45" s="97"/>
      <c r="N45" s="97"/>
      <c r="O45" s="97"/>
      <c r="P45" s="97"/>
      <c r="Q45" s="97"/>
      <c r="R45" s="97"/>
      <c r="S45" s="97"/>
      <c r="T45" s="97"/>
      <c r="U45" s="97"/>
    </row>
    <row r="46" spans="1:21" ht="62.25" customHeight="1">
      <c r="A46" s="28" t="str">
        <v>Pioneer USD - Pioneer MS</v>
      </c>
      <c r="B46" s="29"/>
      <c r="C46" s="24">
        <v>43768</v>
      </c>
      <c r="D46" s="13">
        <v>0</v>
      </c>
      <c r="E46" s="13">
        <f t="shared" si="4"/>
        <v>43768</v>
      </c>
      <c r="F46" s="14" t="str">
        <f t="shared" si="5"/>
        <v/>
      </c>
      <c r="G46" s="15">
        <v>54189.43</v>
      </c>
      <c r="H46" s="15">
        <f t="shared" si="6"/>
        <v>-10421.43</v>
      </c>
      <c r="I46" s="16">
        <f t="shared" si="2"/>
        <v>-0.19231481120949234</v>
      </c>
      <c r="J46" s="41" t="s">
        <v>430</v>
      </c>
      <c r="K46" s="41"/>
      <c r="L46" s="97"/>
      <c r="M46" s="97"/>
      <c r="N46" s="97"/>
      <c r="O46" s="97"/>
      <c r="P46" s="97"/>
      <c r="Q46" s="97"/>
      <c r="R46" s="97"/>
      <c r="S46" s="97"/>
      <c r="T46" s="97"/>
      <c r="U46" s="97"/>
    </row>
    <row r="47" spans="1:21" ht="115.15">
      <c r="A47" s="30" t="str">
        <v>Kingsburg Joint UHSD - Kingsburg HS</v>
      </c>
      <c r="B47" s="31"/>
      <c r="C47" s="11">
        <v>23415</v>
      </c>
      <c r="D47" s="18">
        <v>0</v>
      </c>
      <c r="E47" s="18">
        <f t="shared" si="4"/>
        <v>23415</v>
      </c>
      <c r="F47" s="19" t="str">
        <f t="shared" si="5"/>
        <v/>
      </c>
      <c r="G47" s="20">
        <v>93257.03</v>
      </c>
      <c r="H47" s="20">
        <f t="shared" si="6"/>
        <v>-69842.03</v>
      </c>
      <c r="I47" s="19">
        <f t="shared" si="2"/>
        <v>-0.7489197329145052</v>
      </c>
      <c r="J47" s="42" t="s">
        <v>573</v>
      </c>
      <c r="K47" s="87" t="s">
        <v>574</v>
      </c>
      <c r="L47" s="98" t="s">
        <v>78</v>
      </c>
      <c r="M47" s="98" t="s">
        <v>149</v>
      </c>
      <c r="N47" s="98" t="s">
        <v>391</v>
      </c>
      <c r="O47" s="97"/>
      <c r="P47" s="97"/>
      <c r="Q47" s="97"/>
      <c r="R47" s="97"/>
      <c r="S47" s="97"/>
      <c r="T47" s="97"/>
      <c r="U47" s="97"/>
    </row>
    <row r="48" spans="1:21" ht="86.45">
      <c r="A48" s="28" t="str">
        <v>CADRB</v>
      </c>
      <c r="B48" s="29"/>
      <c r="C48" s="24">
        <v>0</v>
      </c>
      <c r="D48" s="13">
        <v>0</v>
      </c>
      <c r="E48" s="13">
        <f t="shared" si="4"/>
        <v>0</v>
      </c>
      <c r="F48" s="14" t="str">
        <f t="shared" si="5"/>
        <v/>
      </c>
      <c r="G48" s="15">
        <v>932886</v>
      </c>
      <c r="H48" s="15">
        <f t="shared" si="6"/>
        <v>-932886</v>
      </c>
      <c r="I48" s="16">
        <f t="shared" si="2"/>
        <v>-1</v>
      </c>
      <c r="J48" s="41" t="s">
        <v>482</v>
      </c>
      <c r="K48" s="88" t="s">
        <v>294</v>
      </c>
      <c r="L48" s="98" t="s">
        <v>152</v>
      </c>
      <c r="M48" s="98" t="s">
        <v>295</v>
      </c>
      <c r="N48" s="98" t="s">
        <v>81</v>
      </c>
      <c r="O48" s="98" t="s">
        <v>295</v>
      </c>
      <c r="P48" s="98" t="s">
        <v>82</v>
      </c>
      <c r="Q48" s="97"/>
      <c r="R48" s="97"/>
      <c r="S48" s="97"/>
      <c r="T48" s="97"/>
      <c r="U48" s="97"/>
    </row>
    <row r="49" spans="1:21" ht="57.6">
      <c r="A49" s="30" t="str">
        <v>CDCR-CA State Prison LA County</v>
      </c>
      <c r="B49" s="31"/>
      <c r="C49" s="11">
        <v>224654</v>
      </c>
      <c r="D49" s="18">
        <v>224234</v>
      </c>
      <c r="E49" s="18">
        <f t="shared" si="4"/>
        <v>420</v>
      </c>
      <c r="F49" s="19">
        <f t="shared" si="5"/>
        <v>1.8730433386551549E-3</v>
      </c>
      <c r="G49" s="20">
        <v>550300.92000000004</v>
      </c>
      <c r="H49" s="20">
        <f t="shared" si="6"/>
        <v>-325646.92000000004</v>
      </c>
      <c r="I49" s="19">
        <f t="shared" si="2"/>
        <v>-0.59176154021330729</v>
      </c>
      <c r="J49" s="42" t="s">
        <v>575</v>
      </c>
      <c r="K49" s="87" t="s">
        <v>576</v>
      </c>
      <c r="L49" s="98" t="s">
        <v>394</v>
      </c>
      <c r="M49" s="97"/>
      <c r="N49" s="97"/>
      <c r="O49" s="97"/>
      <c r="P49" s="97"/>
      <c r="Q49" s="97"/>
      <c r="R49" s="97"/>
      <c r="S49" s="97"/>
      <c r="T49" s="97"/>
      <c r="U49" s="97"/>
    </row>
    <row r="50" spans="1:21" ht="28.9">
      <c r="A50" s="28" t="str">
        <v>Central USD Akers ES</v>
      </c>
      <c r="B50" s="29"/>
      <c r="C50" s="24">
        <v>3124</v>
      </c>
      <c r="D50" s="13" t="s">
        <v>24</v>
      </c>
      <c r="E50" s="13" t="str">
        <f t="shared" si="4"/>
        <v/>
      </c>
      <c r="F50" s="14" t="str">
        <f t="shared" si="5"/>
        <v/>
      </c>
      <c r="G50" s="15">
        <v>42446.3</v>
      </c>
      <c r="H50" s="15">
        <f t="shared" si="6"/>
        <v>-39322.300000000003</v>
      </c>
      <c r="I50" s="16">
        <f t="shared" si="2"/>
        <v>-0.92640112330167768</v>
      </c>
      <c r="J50" s="41" t="s">
        <v>577</v>
      </c>
      <c r="K50" s="88" t="s">
        <v>578</v>
      </c>
      <c r="L50" s="98" t="s">
        <v>579</v>
      </c>
      <c r="M50" s="97"/>
      <c r="N50" s="97"/>
      <c r="O50" s="97"/>
      <c r="P50" s="97"/>
      <c r="Q50" s="97"/>
      <c r="R50" s="97"/>
      <c r="S50" s="97"/>
      <c r="T50" s="97"/>
      <c r="U50" s="97"/>
    </row>
    <row r="51" spans="1:21" ht="28.9">
      <c r="A51" s="30" t="str">
        <v>CUSD - District Office</v>
      </c>
      <c r="B51" s="31"/>
      <c r="C51" s="11">
        <v>30845</v>
      </c>
      <c r="D51" s="18">
        <v>30784</v>
      </c>
      <c r="E51" s="18">
        <f t="shared" si="4"/>
        <v>61</v>
      </c>
      <c r="F51" s="19">
        <f t="shared" si="5"/>
        <v>1.9815488565488567E-3</v>
      </c>
      <c r="G51" s="20">
        <v>36534.58</v>
      </c>
      <c r="H51" s="20">
        <f t="shared" si="6"/>
        <v>-5689.5800000000017</v>
      </c>
      <c r="I51" s="19">
        <f t="shared" si="2"/>
        <v>-0.15573136464138909</v>
      </c>
      <c r="J51" s="42" t="s">
        <v>580</v>
      </c>
      <c r="K51" s="92" t="s">
        <v>581</v>
      </c>
      <c r="L51" s="98" t="s">
        <v>582</v>
      </c>
      <c r="M51" s="97"/>
      <c r="N51" s="97"/>
      <c r="O51" s="97"/>
      <c r="P51" s="97"/>
      <c r="Q51" s="97"/>
      <c r="R51" s="97"/>
      <c r="S51" s="97"/>
      <c r="T51" s="97"/>
      <c r="U51" s="97"/>
    </row>
    <row r="52" spans="1:21" ht="15.6">
      <c r="A52" s="28" t="str">
        <v>Parlier - WTP</v>
      </c>
      <c r="B52" s="29"/>
      <c r="C52" s="24"/>
      <c r="D52" s="13">
        <v>47921</v>
      </c>
      <c r="E52" s="13" t="str">
        <f t="shared" si="4"/>
        <v/>
      </c>
      <c r="F52" s="14" t="str">
        <f t="shared" si="5"/>
        <v/>
      </c>
      <c r="G52" s="15"/>
      <c r="H52" s="15" t="str">
        <f t="shared" si="6"/>
        <v/>
      </c>
      <c r="I52" s="16" t="str">
        <f t="shared" si="2"/>
        <v/>
      </c>
      <c r="J52" s="41"/>
      <c r="K52" s="41"/>
      <c r="L52" s="97"/>
      <c r="M52" s="97"/>
      <c r="N52" s="97"/>
      <c r="O52" s="97"/>
      <c r="P52" s="97"/>
      <c r="Q52" s="97"/>
      <c r="R52" s="97"/>
      <c r="S52" s="97"/>
      <c r="T52" s="97"/>
      <c r="U52" s="97"/>
    </row>
    <row r="53" spans="1:21" ht="15.6">
      <c r="A53" s="30" t="str">
        <v>Snowline SD - Quail Valley MS</v>
      </c>
      <c r="B53" s="31"/>
      <c r="C53" s="11">
        <v>51648</v>
      </c>
      <c r="D53" s="18">
        <v>51603</v>
      </c>
      <c r="E53" s="18">
        <f t="shared" si="4"/>
        <v>45</v>
      </c>
      <c r="F53" s="19">
        <f t="shared" si="5"/>
        <v>8.7204232312074876E-4</v>
      </c>
      <c r="G53" s="20">
        <v>48529.62</v>
      </c>
      <c r="H53" s="20">
        <f t="shared" si="6"/>
        <v>3118.3799999999974</v>
      </c>
      <c r="I53" s="19">
        <f t="shared" si="2"/>
        <v>6.4257251550702374E-2</v>
      </c>
      <c r="J53" s="42"/>
      <c r="K53" s="43"/>
      <c r="L53" s="97"/>
      <c r="M53" s="97"/>
      <c r="N53" s="97"/>
      <c r="O53" s="97"/>
      <c r="P53" s="97"/>
      <c r="Q53" s="97"/>
      <c r="R53" s="97"/>
      <c r="S53" s="97"/>
      <c r="T53" s="97"/>
      <c r="U53" s="97"/>
    </row>
    <row r="54" spans="1:21" ht="28.9">
      <c r="A54" s="28" t="str">
        <v>Snowline SD - Serrano HS - Middle Lot</v>
      </c>
      <c r="B54" s="29"/>
      <c r="C54" s="24"/>
      <c r="D54" s="13">
        <v>51356</v>
      </c>
      <c r="E54" s="13" t="str">
        <f t="shared" si="4"/>
        <v/>
      </c>
      <c r="F54" s="14" t="str">
        <f t="shared" si="5"/>
        <v/>
      </c>
      <c r="G54" s="15"/>
      <c r="H54" s="15" t="str">
        <f t="shared" si="6"/>
        <v/>
      </c>
      <c r="I54" s="16" t="str">
        <f t="shared" si="2"/>
        <v/>
      </c>
      <c r="J54" s="41" t="s">
        <v>583</v>
      </c>
      <c r="K54" s="88" t="s">
        <v>584</v>
      </c>
      <c r="L54" s="97"/>
      <c r="M54" s="97"/>
      <c r="N54" s="97"/>
      <c r="O54" s="97"/>
      <c r="P54" s="97"/>
      <c r="Q54" s="97"/>
      <c r="R54" s="97"/>
      <c r="S54" s="97"/>
      <c r="T54" s="97"/>
      <c r="U54" s="97"/>
    </row>
    <row r="55" spans="1:21" ht="28.9">
      <c r="A55" s="30" t="str">
        <v>Snowline SD - Pinon Hills ES</v>
      </c>
      <c r="B55" s="31"/>
      <c r="C55" s="11">
        <v>13315</v>
      </c>
      <c r="D55" s="18">
        <v>13307</v>
      </c>
      <c r="E55" s="18">
        <f t="shared" si="4"/>
        <v>8</v>
      </c>
      <c r="F55" s="19">
        <f t="shared" si="5"/>
        <v>6.011873450063876E-4</v>
      </c>
      <c r="G55" s="20">
        <v>25453.18</v>
      </c>
      <c r="H55" s="20">
        <f t="shared" si="6"/>
        <v>-12138.18</v>
      </c>
      <c r="I55" s="19">
        <f t="shared" si="2"/>
        <v>-0.47688265277658826</v>
      </c>
      <c r="J55" s="42" t="s">
        <v>489</v>
      </c>
      <c r="K55" s="87" t="s">
        <v>585</v>
      </c>
      <c r="L55" s="97"/>
      <c r="M55" s="97"/>
      <c r="N55" s="97"/>
      <c r="O55" s="97"/>
      <c r="P55" s="97"/>
      <c r="Q55" s="97"/>
      <c r="R55" s="97"/>
      <c r="S55" s="97"/>
      <c r="T55" s="97"/>
      <c r="U55" s="97"/>
    </row>
    <row r="56" spans="1:21" ht="15.6">
      <c r="A56" s="28" t="str">
        <v>Ramona - Santa Maria WTP</v>
      </c>
      <c r="B56" s="29"/>
      <c r="C56" s="24">
        <v>79894</v>
      </c>
      <c r="D56" s="13">
        <v>79770</v>
      </c>
      <c r="E56" s="13">
        <f t="shared" si="4"/>
        <v>124</v>
      </c>
      <c r="F56" s="14">
        <f t="shared" si="5"/>
        <v>1.5544690986586437E-3</v>
      </c>
      <c r="G56" s="15">
        <v>84213.41</v>
      </c>
      <c r="H56" s="15">
        <f t="shared" si="6"/>
        <v>-4319.4100000000035</v>
      </c>
      <c r="I56" s="16">
        <f t="shared" si="2"/>
        <v>-5.129123734569118E-2</v>
      </c>
      <c r="J56" s="41"/>
      <c r="K56" s="41"/>
      <c r="L56" s="97"/>
      <c r="M56" s="97"/>
      <c r="N56" s="97"/>
      <c r="O56" s="97"/>
      <c r="P56" s="97"/>
      <c r="Q56" s="97"/>
      <c r="R56" s="97"/>
      <c r="S56" s="97"/>
      <c r="T56" s="97"/>
      <c r="U56" s="97"/>
    </row>
    <row r="57" spans="1:21" ht="28.9">
      <c r="A57" s="30" t="str">
        <v>Kohls - Redding</v>
      </c>
      <c r="B57" s="31"/>
      <c r="C57" s="11">
        <v>43166</v>
      </c>
      <c r="D57" s="18">
        <v>133</v>
      </c>
      <c r="E57" s="18">
        <f t="shared" si="4"/>
        <v>43033</v>
      </c>
      <c r="F57" s="19">
        <f t="shared" si="5"/>
        <v>323.55639097744358</v>
      </c>
      <c r="G57" s="20">
        <v>38835.61</v>
      </c>
      <c r="H57" s="20">
        <f t="shared" si="6"/>
        <v>4330.3899999999994</v>
      </c>
      <c r="I57" s="19">
        <f t="shared" si="2"/>
        <v>0.11150565164291225</v>
      </c>
      <c r="J57" s="42" t="s">
        <v>493</v>
      </c>
      <c r="K57" s="87" t="s">
        <v>586</v>
      </c>
      <c r="L57" s="97"/>
      <c r="M57" s="97"/>
      <c r="N57" s="97"/>
      <c r="O57" s="97"/>
      <c r="P57" s="97"/>
      <c r="Q57" s="97"/>
      <c r="R57" s="97"/>
      <c r="S57" s="97"/>
      <c r="T57" s="97"/>
      <c r="U57" s="97"/>
    </row>
    <row r="58" spans="1:21" ht="99.75" customHeight="1">
      <c r="A58" s="28" t="str">
        <v>Kohls - Salinas</v>
      </c>
      <c r="B58" s="29"/>
      <c r="C58" s="24">
        <v>35475</v>
      </c>
      <c r="D58" s="13">
        <v>35241</v>
      </c>
      <c r="E58" s="13">
        <f t="shared" si="4"/>
        <v>234</v>
      </c>
      <c r="F58" s="14">
        <f t="shared" si="5"/>
        <v>6.6399931897505749E-3</v>
      </c>
      <c r="G58" s="15">
        <v>51757.88</v>
      </c>
      <c r="H58" s="15">
        <f t="shared" si="6"/>
        <v>-16282.879999999997</v>
      </c>
      <c r="I58" s="16">
        <f t="shared" si="2"/>
        <v>-0.31459712028390652</v>
      </c>
      <c r="J58" s="41" t="s">
        <v>495</v>
      </c>
      <c r="K58" s="88" t="s">
        <v>496</v>
      </c>
      <c r="L58" s="98" t="s">
        <v>221</v>
      </c>
      <c r="M58" s="98" t="s">
        <v>158</v>
      </c>
      <c r="N58" s="98" t="s">
        <v>100</v>
      </c>
      <c r="O58" s="98" t="s">
        <v>98</v>
      </c>
      <c r="P58" s="98" t="s">
        <v>312</v>
      </c>
      <c r="Q58" s="98" t="s">
        <v>408</v>
      </c>
      <c r="R58" s="97"/>
      <c r="S58" s="97"/>
      <c r="T58" s="97"/>
      <c r="U58" s="97"/>
    </row>
    <row r="59" spans="1:21" ht="15.6">
      <c r="A59" s="30" t="str">
        <v>Kohls - San Bernardino - Central</v>
      </c>
      <c r="B59" s="31"/>
      <c r="C59" s="11">
        <v>169840</v>
      </c>
      <c r="D59" s="18">
        <v>168308</v>
      </c>
      <c r="E59" s="18">
        <f t="shared" si="4"/>
        <v>1532</v>
      </c>
      <c r="F59" s="19">
        <f t="shared" si="5"/>
        <v>9.1023599591225617E-3</v>
      </c>
      <c r="G59" s="20">
        <v>182266.61</v>
      </c>
      <c r="H59" s="20">
        <f t="shared" si="6"/>
        <v>-12426.609999999986</v>
      </c>
      <c r="I59" s="19">
        <f t="shared" si="2"/>
        <v>-6.8178203347283334E-2</v>
      </c>
      <c r="J59" s="42"/>
      <c r="K59" s="43"/>
      <c r="L59" s="97"/>
      <c r="M59" s="97"/>
      <c r="N59" s="97"/>
      <c r="O59" s="97"/>
      <c r="P59" s="97"/>
      <c r="Q59" s="97"/>
      <c r="R59" s="97"/>
      <c r="S59" s="97"/>
      <c r="T59" s="97"/>
      <c r="U59" s="97"/>
    </row>
    <row r="60" spans="1:21" ht="100.9">
      <c r="A60" s="28" t="str">
        <v>Kohls - Sonora</v>
      </c>
      <c r="B60" s="29"/>
      <c r="C60" s="24">
        <v>34686</v>
      </c>
      <c r="D60" s="13">
        <v>34522</v>
      </c>
      <c r="E60" s="13">
        <f t="shared" si="4"/>
        <v>164</v>
      </c>
      <c r="F60" s="14">
        <f t="shared" si="5"/>
        <v>4.7505938242280287E-3</v>
      </c>
      <c r="G60" s="15">
        <v>39593.72</v>
      </c>
      <c r="H60" s="15">
        <f t="shared" si="6"/>
        <v>-4907.7200000000012</v>
      </c>
      <c r="I60" s="16">
        <f t="shared" si="2"/>
        <v>-0.12395198026353677</v>
      </c>
      <c r="J60" s="41" t="s">
        <v>587</v>
      </c>
      <c r="K60" s="88" t="s">
        <v>588</v>
      </c>
      <c r="L60" s="98" t="s">
        <v>161</v>
      </c>
      <c r="M60" s="98" t="s">
        <v>103</v>
      </c>
      <c r="N60" s="98" t="s">
        <v>161</v>
      </c>
      <c r="O60" s="98" t="s">
        <v>589</v>
      </c>
      <c r="P60" s="98" t="s">
        <v>590</v>
      </c>
      <c r="Q60" s="97"/>
      <c r="R60" s="97"/>
      <c r="S60" s="97"/>
      <c r="T60" s="97"/>
      <c r="U60" s="97"/>
    </row>
    <row r="61" spans="1:21" ht="28.9">
      <c r="A61" s="30" t="str">
        <v>CUSD - Stratford ES</v>
      </c>
      <c r="B61" s="31"/>
      <c r="C61" s="11">
        <v>26243</v>
      </c>
      <c r="D61" s="18">
        <v>26203</v>
      </c>
      <c r="E61" s="18">
        <f t="shared" si="4"/>
        <v>40</v>
      </c>
      <c r="F61" s="19">
        <f t="shared" si="5"/>
        <v>1.5265427622791284E-3</v>
      </c>
      <c r="G61" s="20">
        <v>25376.16</v>
      </c>
      <c r="H61" s="20">
        <f t="shared" si="6"/>
        <v>866.84000000000015</v>
      </c>
      <c r="I61" s="19">
        <f t="shared" si="2"/>
        <v>3.4159620683350045E-2</v>
      </c>
      <c r="J61" s="42" t="s">
        <v>591</v>
      </c>
      <c r="K61" s="87" t="s">
        <v>502</v>
      </c>
      <c r="L61" s="97"/>
      <c r="M61" s="97"/>
      <c r="N61" s="97"/>
      <c r="O61" s="97"/>
      <c r="P61" s="97"/>
      <c r="Q61" s="97"/>
      <c r="R61" s="97"/>
      <c r="S61" s="97"/>
      <c r="T61" s="97"/>
      <c r="U61" s="97"/>
    </row>
    <row r="62" spans="1:21" ht="72">
      <c r="A62" s="28" t="str">
        <v>Taft - City Hall</v>
      </c>
      <c r="B62" s="29"/>
      <c r="C62" s="24">
        <v>176</v>
      </c>
      <c r="D62" s="13">
        <v>88</v>
      </c>
      <c r="E62" s="13">
        <f t="shared" si="4"/>
        <v>88</v>
      </c>
      <c r="F62" s="14">
        <f t="shared" si="5"/>
        <v>1</v>
      </c>
      <c r="G62" s="15">
        <v>11379.86</v>
      </c>
      <c r="H62" s="15">
        <f t="shared" si="6"/>
        <v>-11203.86</v>
      </c>
      <c r="I62" s="16">
        <f t="shared" si="2"/>
        <v>-0.98453408038411716</v>
      </c>
      <c r="J62" s="41" t="s">
        <v>503</v>
      </c>
      <c r="K62" s="88" t="s">
        <v>592</v>
      </c>
      <c r="L62" s="98" t="s">
        <v>593</v>
      </c>
      <c r="M62" s="97"/>
      <c r="N62" s="97"/>
      <c r="O62" s="97"/>
      <c r="P62" s="97"/>
      <c r="Q62" s="97"/>
      <c r="R62" s="97"/>
      <c r="S62" s="97"/>
      <c r="T62" s="97"/>
      <c r="U62" s="97"/>
    </row>
    <row r="63" spans="1:21" ht="28.9">
      <c r="A63" s="30" t="str">
        <v>Taft - Federal Prison</v>
      </c>
      <c r="B63" s="31"/>
      <c r="C63" s="11">
        <v>6848</v>
      </c>
      <c r="D63" s="18">
        <v>6840</v>
      </c>
      <c r="E63" s="18">
        <f t="shared" si="4"/>
        <v>8</v>
      </c>
      <c r="F63" s="19">
        <f t="shared" si="5"/>
        <v>1.1695906432748538E-3</v>
      </c>
      <c r="G63" s="20">
        <v>17410.240000000002</v>
      </c>
      <c r="H63" s="20">
        <f t="shared" si="6"/>
        <v>-10562.240000000002</v>
      </c>
      <c r="I63" s="19">
        <f t="shared" si="2"/>
        <v>-0.60666825959894866</v>
      </c>
      <c r="J63" s="42" t="s">
        <v>594</v>
      </c>
      <c r="K63" s="87" t="s">
        <v>595</v>
      </c>
      <c r="L63" s="97"/>
      <c r="M63" s="97"/>
      <c r="N63" s="97"/>
      <c r="O63" s="97"/>
      <c r="P63" s="97"/>
      <c r="Q63" s="97"/>
      <c r="R63" s="97"/>
      <c r="S63" s="97"/>
      <c r="T63" s="97"/>
      <c r="U63" s="97"/>
    </row>
    <row r="64" spans="1:21" ht="15.6">
      <c r="A64" s="28" t="str">
        <v>Taft - Police Department</v>
      </c>
      <c r="B64" s="29"/>
      <c r="C64" s="24">
        <v>14052</v>
      </c>
      <c r="D64" s="13">
        <v>14039</v>
      </c>
      <c r="E64" s="13">
        <f t="shared" si="4"/>
        <v>13</v>
      </c>
      <c r="F64" s="14">
        <f t="shared" si="5"/>
        <v>9.2599187976351587E-4</v>
      </c>
      <c r="G64" s="15">
        <v>13013.64</v>
      </c>
      <c r="H64" s="15">
        <f t="shared" si="6"/>
        <v>1038.3600000000006</v>
      </c>
      <c r="I64" s="16">
        <f t="shared" si="2"/>
        <v>7.979012789657626E-2</v>
      </c>
      <c r="J64" s="41"/>
      <c r="K64" s="41"/>
      <c r="L64" s="97"/>
      <c r="M64" s="97"/>
      <c r="N64" s="97"/>
      <c r="O64" s="97"/>
      <c r="P64" s="97"/>
      <c r="Q64" s="97"/>
      <c r="R64" s="97"/>
      <c r="S64" s="97"/>
      <c r="T64" s="97"/>
      <c r="U64" s="97"/>
    </row>
    <row r="65" spans="1:21" ht="43.15">
      <c r="A65" s="30" t="str">
        <v>Taft - WTP</v>
      </c>
      <c r="B65" s="31"/>
      <c r="C65" s="11">
        <v>63472</v>
      </c>
      <c r="D65" s="18">
        <v>63265</v>
      </c>
      <c r="E65" s="18">
        <f t="shared" si="4"/>
        <v>207</v>
      </c>
      <c r="F65" s="19">
        <f t="shared" si="5"/>
        <v>3.2719513158934641E-3</v>
      </c>
      <c r="G65" s="20">
        <v>77461.27</v>
      </c>
      <c r="H65" s="20">
        <f t="shared" si="6"/>
        <v>-13989.270000000004</v>
      </c>
      <c r="I65" s="19">
        <f t="shared" si="2"/>
        <v>-0.18059696155252816</v>
      </c>
      <c r="J65" s="42" t="s">
        <v>596</v>
      </c>
      <c r="K65" s="87" t="s">
        <v>506</v>
      </c>
      <c r="L65" s="97"/>
      <c r="M65" s="97"/>
      <c r="N65" s="97"/>
      <c r="O65" s="97"/>
      <c r="P65" s="97"/>
      <c r="Q65" s="97"/>
      <c r="R65" s="97"/>
      <c r="S65" s="97"/>
      <c r="T65" s="97"/>
      <c r="U65" s="97"/>
    </row>
    <row r="66" spans="1:21" ht="72">
      <c r="A66" s="28" t="str">
        <v>CDCR - CA Correctional Institution</v>
      </c>
      <c r="B66" s="29"/>
      <c r="C66" s="24">
        <v>215482</v>
      </c>
      <c r="D66" s="13">
        <v>215107</v>
      </c>
      <c r="E66" s="13">
        <f t="shared" si="4"/>
        <v>375</v>
      </c>
      <c r="F66" s="14">
        <f t="shared" si="5"/>
        <v>1.7433184415198018E-3</v>
      </c>
      <c r="G66" s="15">
        <v>280389.3</v>
      </c>
      <c r="H66" s="15">
        <f t="shared" si="6"/>
        <v>-64907.299999999988</v>
      </c>
      <c r="I66" s="16">
        <f t="shared" si="2"/>
        <v>-0.23148993203378299</v>
      </c>
      <c r="J66" s="41" t="s">
        <v>597</v>
      </c>
      <c r="K66" s="88" t="s">
        <v>598</v>
      </c>
      <c r="L66" s="98" t="s">
        <v>599</v>
      </c>
      <c r="M66" s="98" t="s">
        <v>111</v>
      </c>
      <c r="N66" s="97"/>
      <c r="O66" s="97"/>
      <c r="P66" s="97"/>
      <c r="Q66" s="97"/>
      <c r="R66" s="97"/>
      <c r="S66" s="97"/>
      <c r="T66" s="97"/>
      <c r="U66" s="97"/>
    </row>
    <row r="67" spans="1:21" ht="129.6">
      <c r="A67" s="30" t="str">
        <v>CDCR - CA Correctional Institution II</v>
      </c>
      <c r="B67" s="31"/>
      <c r="C67" s="11">
        <v>198551</v>
      </c>
      <c r="D67" s="18">
        <v>198232</v>
      </c>
      <c r="E67" s="18">
        <f t="shared" si="4"/>
        <v>319</v>
      </c>
      <c r="F67" s="19">
        <f t="shared" si="5"/>
        <v>1.6092255538964445E-3</v>
      </c>
      <c r="G67" s="20">
        <v>415368.28</v>
      </c>
      <c r="H67" s="20">
        <f t="shared" si="6"/>
        <v>-216817.28000000003</v>
      </c>
      <c r="I67" s="19">
        <f t="shared" si="2"/>
        <v>-0.52198805358945566</v>
      </c>
      <c r="J67" s="42" t="s">
        <v>600</v>
      </c>
      <c r="K67" s="87" t="s">
        <v>601</v>
      </c>
      <c r="L67" s="98" t="s">
        <v>602</v>
      </c>
      <c r="M67" s="98" t="s">
        <v>511</v>
      </c>
      <c r="N67" s="98" t="s">
        <v>603</v>
      </c>
      <c r="O67" s="98" t="s">
        <v>604</v>
      </c>
      <c r="P67" s="97"/>
      <c r="Q67" s="97"/>
      <c r="R67" s="97"/>
      <c r="S67" s="97"/>
      <c r="T67" s="97"/>
      <c r="U67" s="97"/>
    </row>
    <row r="68" spans="1:21" ht="28.9">
      <c r="A68" s="28" t="str">
        <v>Snowline SD - Vista Verde ES</v>
      </c>
      <c r="B68" s="29"/>
      <c r="C68" s="24">
        <v>9281</v>
      </c>
      <c r="D68" s="13">
        <v>9274</v>
      </c>
      <c r="E68" s="13">
        <f t="shared" si="4"/>
        <v>7</v>
      </c>
      <c r="F68" s="14">
        <f t="shared" si="5"/>
        <v>7.5479836100927325E-4</v>
      </c>
      <c r="G68" s="15">
        <v>35793.449999999997</v>
      </c>
      <c r="H68" s="15">
        <f t="shared" si="6"/>
        <v>-26512.449999999997</v>
      </c>
      <c r="I68" s="16">
        <f t="shared" si="2"/>
        <v>-0.74070674941923731</v>
      </c>
      <c r="J68" s="41" t="s">
        <v>605</v>
      </c>
      <c r="K68" s="88" t="s">
        <v>606</v>
      </c>
      <c r="L68" s="97"/>
      <c r="M68" s="97"/>
      <c r="N68" s="97"/>
      <c r="O68" s="97"/>
      <c r="P68" s="97"/>
      <c r="Q68" s="97"/>
      <c r="R68" s="97"/>
      <c r="S68" s="97"/>
      <c r="T68" s="97"/>
      <c r="U68" s="97"/>
    </row>
    <row r="69" spans="1:21" ht="15.6">
      <c r="A69" s="30" t="str">
        <v>North Stonington</v>
      </c>
      <c r="B69" s="31"/>
      <c r="C69" s="11">
        <v>1721070</v>
      </c>
      <c r="D69" s="18" t="s">
        <v>24</v>
      </c>
      <c r="E69" s="18"/>
      <c r="F69" s="19"/>
      <c r="G69" s="81" t="s">
        <v>24</v>
      </c>
      <c r="H69" s="20"/>
      <c r="I69" s="19" t="str">
        <f t="shared" ref="I69" si="7">IFERROR(H69/G69, "")</f>
        <v/>
      </c>
      <c r="J69" s="42"/>
      <c r="K69" s="60"/>
    </row>
    <row r="70" spans="1:21" ht="14.45">
      <c r="A70" s="21" t="str">
        <v>CT: Torrington - 2-298 Rossi Road</v>
      </c>
      <c r="B70" s="33"/>
      <c r="C70" s="21"/>
      <c r="D70" s="21"/>
      <c r="E70" s="21"/>
      <c r="F70" s="22"/>
      <c r="G70" s="21"/>
      <c r="H70" s="21"/>
      <c r="I70" s="22"/>
      <c r="J70" s="21"/>
      <c r="K70" s="21"/>
    </row>
    <row r="71" spans="1:21" ht="14.45">
      <c r="A71" s="21"/>
      <c r="B71" s="33"/>
      <c r="C71" s="21"/>
      <c r="D71" s="21"/>
      <c r="E71" s="21"/>
      <c r="F71" s="22"/>
      <c r="G71" s="21"/>
      <c r="H71" s="21"/>
      <c r="I71" s="22"/>
      <c r="J71" s="21"/>
      <c r="K71" s="21"/>
    </row>
    <row r="72" spans="1:21" ht="14.45">
      <c r="A72" s="21"/>
      <c r="B72" s="33"/>
      <c r="C72" s="21"/>
      <c r="D72" s="21"/>
      <c r="E72" s="21"/>
      <c r="F72" s="22"/>
      <c r="G72" s="21"/>
      <c r="H72" s="21"/>
      <c r="I72" s="22"/>
      <c r="J72" s="21"/>
      <c r="K72" s="21"/>
    </row>
    <row r="73" spans="1:21" ht="14.45">
      <c r="A73" s="21"/>
      <c r="B73" s="33"/>
      <c r="C73" s="21"/>
      <c r="D73" s="21"/>
      <c r="E73" s="21"/>
      <c r="F73" s="22"/>
      <c r="G73" s="21"/>
      <c r="H73" s="21"/>
      <c r="I73" s="22"/>
      <c r="J73" s="21"/>
      <c r="K73" s="21"/>
    </row>
    <row r="74" spans="1:21" ht="14.45">
      <c r="A74" s="21"/>
      <c r="B74" s="33"/>
      <c r="C74" s="21"/>
      <c r="D74" s="21"/>
      <c r="E74" s="21"/>
      <c r="F74" s="22"/>
      <c r="G74" s="21"/>
      <c r="H74" s="21"/>
      <c r="I74" s="22"/>
      <c r="J74" s="21"/>
      <c r="K74" s="21"/>
    </row>
    <row r="75" spans="1:21" ht="14.45">
      <c r="A75" s="21"/>
      <c r="B75" s="33"/>
      <c r="C75" s="21"/>
      <c r="D75" s="21"/>
      <c r="E75" s="21"/>
      <c r="F75" s="22"/>
      <c r="G75" s="21"/>
      <c r="H75" s="21"/>
      <c r="I75" s="22"/>
      <c r="J75" s="21"/>
      <c r="K75" s="21"/>
    </row>
    <row r="76" spans="1:21" ht="14.45">
      <c r="A76" s="21"/>
      <c r="B76" s="33"/>
      <c r="C76" s="21"/>
      <c r="D76" s="21"/>
      <c r="E76" s="21"/>
      <c r="F76" s="22"/>
      <c r="G76" s="21"/>
      <c r="H76" s="21"/>
      <c r="I76" s="22"/>
      <c r="J76" s="21"/>
      <c r="K76" s="21"/>
    </row>
    <row r="77" spans="1:21" ht="14.45">
      <c r="A77" s="21"/>
      <c r="B77" s="33"/>
      <c r="C77" s="21"/>
      <c r="D77" s="21"/>
      <c r="E77" s="21"/>
      <c r="F77" s="22"/>
      <c r="G77" s="21"/>
      <c r="H77" s="21"/>
      <c r="I77" s="22"/>
      <c r="J77" s="21"/>
      <c r="K77" s="21"/>
    </row>
    <row r="78" spans="1:21" ht="14.45">
      <c r="A78" s="21"/>
      <c r="B78" s="33"/>
      <c r="C78" s="21"/>
      <c r="D78" s="21"/>
      <c r="E78" s="21"/>
      <c r="F78" s="22"/>
      <c r="G78" s="21"/>
      <c r="H78" s="21"/>
      <c r="I78" s="22"/>
      <c r="J78" s="21"/>
      <c r="K78" s="21"/>
    </row>
    <row r="79" spans="1:21" ht="14.45">
      <c r="A79" s="21"/>
      <c r="B79" s="33"/>
      <c r="C79" s="21"/>
      <c r="D79" s="21"/>
      <c r="E79" s="21"/>
      <c r="F79" s="22"/>
      <c r="G79" s="21"/>
      <c r="H79" s="21"/>
      <c r="I79" s="22"/>
      <c r="J79" s="21"/>
      <c r="K79" s="21"/>
    </row>
    <row r="80" spans="1:2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sortState xmlns:xlrd2="http://schemas.microsoft.com/office/spreadsheetml/2017/richdata2" ref="A3:K15">
    <sortCondition ref="A3:A15"/>
  </sortState>
  <mergeCells count="4">
    <mergeCell ref="G1:I1"/>
    <mergeCell ref="A1:C1"/>
    <mergeCell ref="D1:F1"/>
    <mergeCell ref="A2:B2"/>
  </mergeCells>
  <phoneticPr fontId="38" type="noConversion"/>
  <conditionalFormatting sqref="F2 I2">
    <cfRule type="cellIs" dxfId="36" priority="3" stopIfTrue="1" operator="lessThanOrEqual">
      <formula>-0.1</formula>
    </cfRule>
    <cfRule type="expression" dxfId="35" priority="4">
      <formula>AND(ISNUMBER(F2), F2&gt;=0.1)</formula>
    </cfRule>
  </conditionalFormatting>
  <conditionalFormatting sqref="F4:F100 I4:I100">
    <cfRule type="cellIs" dxfId="34" priority="1" stopIfTrue="1" operator="lessThanOrEqual">
      <formula>-0.1</formula>
    </cfRule>
    <cfRule type="expression" dxfId="33" priority="2">
      <formula>AND(ISNUMBER(F4), F4&gt;=0.1)</formula>
    </cfRule>
  </conditionalFormatting>
  <hyperlinks>
    <hyperlink ref="K48" r:id="rId1" display="https://us3.assetplanner.com/service_request?ID=092166" xr:uid="{7408DD3F-43BD-445A-AC28-6C5FABA6C002}"/>
    <hyperlink ref="K58" r:id="rId2" display="https://us3.assetplanner.com/service_request?ID=098183" xr:uid="{4D795E04-DFC0-4C1C-8D47-CEE8E164A642}"/>
    <hyperlink ref="K6" r:id="rId3" display="https://us3.assetplanner.com/service_request?ID=098590" xr:uid="{CCF49DB1-D022-41B8-B1A9-B5271285F922}"/>
    <hyperlink ref="K8" r:id="rId4" display="https://us3.assetplanner.com/service_request?ID=103346" xr:uid="{A632914C-6B88-4246-9CAC-029B55953013}"/>
    <hyperlink ref="L8" r:id="rId5" display="https://us3.assetplanner.com/service_request?ID=104755" xr:uid="{1CCB7E56-061E-4AF3-ADED-9FD427CF6180}"/>
    <hyperlink ref="M8" r:id="rId6" display="https://us3.assetplanner.com/service_request?ID=104916" xr:uid="{11A3DCDE-C1EF-4397-92D5-8A85A8497331}"/>
    <hyperlink ref="K10" r:id="rId7" display="https://us3.assetplanner.com/service_request?ID=102467" xr:uid="{6C12D902-283C-4D2A-8EDE-59CBECFC462D}"/>
    <hyperlink ref="L10" r:id="rId8" display="https://us3.assetplanner.com/service_request?ID=102277" xr:uid="{A205AE06-78CF-436D-B6A5-E736339908C5}"/>
    <hyperlink ref="K11" r:id="rId9" display="https://us3.assetplanner.com/service_request?ID=104016" xr:uid="{6A35BAB3-93FC-4262-A882-067AB4DDCFF7}"/>
    <hyperlink ref="K12" r:id="rId10" display="https://us3.assetplanner.com/service_request?ID=102796" xr:uid="{7529D90B-0C38-4B20-9E37-0EE0E59253A9}"/>
    <hyperlink ref="L12" r:id="rId11" display="https://us3.assetplanner.com/service_request?ID=104045" xr:uid="{0C07FF5F-2E46-47DD-8B3D-A8748F481CCD}"/>
    <hyperlink ref="K15" r:id="rId12" display="https://us3.assetplanner.com/service_request?ID=103669" xr:uid="{A436AEB3-FF85-4E5B-A78F-1E2CFD788FAE}"/>
    <hyperlink ref="K17" r:id="rId13" display="https://us3.assetplanner.com/service_request?ID=103499" xr:uid="{B5528559-7463-4F7A-95F6-8496FF320781}"/>
    <hyperlink ref="K19" r:id="rId14" display="https://us3.assetplanner.com/service_request?ID=103424" xr:uid="{A6C170DE-0B96-4FFC-8701-89B535D3A125}"/>
    <hyperlink ref="K20" r:id="rId15" display="https://us3.assetplanner.com/service_request?ID=103623" xr:uid="{0ABD2227-43C4-43E3-B304-3610B69CA7FD}"/>
    <hyperlink ref="K21" r:id="rId16" display="https://us3.assetplanner.com/service_request?ID=101331" xr:uid="{F03EE4DA-8A65-4250-8492-E5E6BA216FF9}"/>
    <hyperlink ref="K22" r:id="rId17" display="https://us3.assetplanner.com/service_request?ID=104634" xr:uid="{3160F502-81D4-40C7-8567-6B0ED4C0990E}"/>
    <hyperlink ref="K23" r:id="rId18" display="https://us3.assetplanner.com/service_request?ID=102013" xr:uid="{AB097D15-FB99-4C13-9978-D2852619A19C}"/>
    <hyperlink ref="L23" r:id="rId19" display="https://us3.assetplanner.com/service_request?ID=095623" xr:uid="{F4857A7B-1889-48CD-85CA-A6CBE9655F08}"/>
    <hyperlink ref="M23" r:id="rId20" display="https://us3.assetplanner.com/service_request?ID=105300" xr:uid="{64CFCB98-706E-4724-A9D9-1BBA65E58146}"/>
    <hyperlink ref="K26" r:id="rId21" display="https://us3.assetplanner.com/service_request?ID=104085" xr:uid="{39C922BD-6482-48F7-AB9F-8261237A0F26}"/>
    <hyperlink ref="L26" r:id="rId22" display="https://us3.assetplanner.com/service_request?ID=104907" xr:uid="{DD77F4D9-A82C-4209-809F-B6E4EFE12532}"/>
    <hyperlink ref="K28" r:id="rId23" display="https://us3.assetplanner.com/service_request?ID=104402" xr:uid="{ACADA2EA-4443-4B8A-A3A9-5FA7116D000B}"/>
    <hyperlink ref="K31" r:id="rId24" display="https://us3.assetplanner.com/service_request?ID=102150" xr:uid="{35620F20-A04D-4A5C-8B9F-EE8002CAC5EC}"/>
    <hyperlink ref="L31" r:id="rId25" display="https://us3.assetplanner.com/service_request?ID=104343" xr:uid="{83E5446F-A258-4127-9911-6E6A5EE6D764}"/>
    <hyperlink ref="K34" r:id="rId26" display="https://us3.assetplanner.com/service_request?ID=104165" xr:uid="{552C17B7-00F2-4FA8-BF98-D4FDCE992581}"/>
    <hyperlink ref="L34" r:id="rId27" display="https://us3.assetplanner.com/service_request?ID=103032" xr:uid="{7004D3C9-8746-449B-9D7A-6F5C03124EBC}"/>
    <hyperlink ref="K35" r:id="rId28" display="https://us3.assetplanner.com/service_request?ID=104919" xr:uid="{B3D71B2A-434B-4311-83B1-D8C08D509212}"/>
    <hyperlink ref="L35" r:id="rId29" display="https://us3.assetplanner.com/service_request?ID=099206" xr:uid="{531DD0CF-0347-4D0C-A2B5-FDB2F724FBF5}"/>
    <hyperlink ref="K37" r:id="rId30" display="https://us3.assetplanner.com/service_request?ID=094440" xr:uid="{5DDEE800-E7CC-4A08-8B35-8EA8A31DB7BC}"/>
    <hyperlink ref="K38" r:id="rId31" display="https://us3.assetplanner.com/service_request?ID=095163" xr:uid="{1FEFBDA0-1010-41C3-A954-B2C8E95AB878}"/>
    <hyperlink ref="K40" r:id="rId32" display="https://us3.assetplanner.com/service_request?ID=105065" xr:uid="{A278E5BE-D915-43A5-B09C-59C80F5C0317}"/>
    <hyperlink ref="L40" r:id="rId33" display="https://us3.assetplanner.com/service_request?ID=105063" xr:uid="{66E0A8A0-A41C-401A-AEDC-ADC95B932811}"/>
    <hyperlink ref="K41" r:id="rId34" display="https://us3.assetplanner.com/service_request?ID=104640" xr:uid="{3FCA3556-F08E-4DD4-BB41-20704212937B}"/>
    <hyperlink ref="L41" r:id="rId35" display="https://us3.assetplanner.com/service_request?ID=092753" xr:uid="{2B9F276C-E60C-4AD4-ACBD-1D16CB393CCC}"/>
    <hyperlink ref="K43" r:id="rId36" display="https://us3.assetplanner.com/service_request?ID=104027" xr:uid="{64711122-420A-4C57-97B4-142C94828970}"/>
    <hyperlink ref="L43" r:id="rId37" display="https://us3.assetplanner.com/service_request?ID=102346" xr:uid="{0CFA09B5-D09D-473C-9DD4-E0791D8DA2C0}"/>
    <hyperlink ref="M43" r:id="rId38" display="https://us3.assetplanner.com/service_request?ID=103159" xr:uid="{80E23654-2265-4139-9DAB-3C2CEBEAD8B8}"/>
    <hyperlink ref="N43" r:id="rId39" display="https://us3.assetplanner.com/service_request?ID=105161" xr:uid="{1AD375B1-3DFB-4B94-B6DD-062256683F64}"/>
    <hyperlink ref="O43" r:id="rId40" display="https://us3.assetplanner.com/service_request?ID=105162" xr:uid="{E168C2CB-2989-42B8-B31F-77029F0F9E7A}"/>
    <hyperlink ref="K44" r:id="rId41" display="https://us3.assetplanner.com/service_request?ID=092276" xr:uid="{5B2A0106-C3C0-407E-AF1E-B5F5B5D8B026}"/>
    <hyperlink ref="K45" r:id="rId42" display="https://us3.assetplanner.com/service_request?ID=101137" xr:uid="{30C2209C-BC4D-4955-977E-615228F1F26C}"/>
    <hyperlink ref="L45" r:id="rId43" display="https://us3.assetplanner.com/service_request?ID=104917" xr:uid="{E5AC6064-3841-4E35-A12A-27353FD31357}"/>
    <hyperlink ref="K47" r:id="rId44" display="https://us3.assetplanner.com/service_request?ID=105133" xr:uid="{222E46DD-5913-405B-BF1B-CD514907F813}"/>
    <hyperlink ref="L47" r:id="rId45" display="https://us3.assetplanner.com/service_request?ID=089612" xr:uid="{5E638903-807C-4DCF-BD08-8F2EC80D1EBA}"/>
    <hyperlink ref="M47" r:id="rId46" display="https://us3.assetplanner.com/service_request?ID=095385" xr:uid="{ACD63A86-A9E2-4E4A-B492-7BCAD26ED255}"/>
    <hyperlink ref="N47" r:id="rId47" display="https://us3.assetplanner.com/service_request?ID=102060" xr:uid="{7DE4C934-2DCD-41E2-98AE-89EE3D3C3EEF}"/>
    <hyperlink ref="L48" r:id="rId48" display="https://us3.assetplanner.com/service_request?ID=097558" xr:uid="{7349A218-8C3A-4421-8C15-47DEC41656FC}"/>
    <hyperlink ref="M48" r:id="rId49" display="https://us3.assetplanner.com/service_request?ID=098717" xr:uid="{43300A70-41B4-4542-AF8F-4B9075D4D3DC}"/>
    <hyperlink ref="N48" r:id="rId50" display="https://us3.assetplanner.com/service_request?ID=086220" xr:uid="{A96AB09A-30B9-4F08-BADB-65AC7ABC7716}"/>
    <hyperlink ref="O48" r:id="rId51" display="https://us3.assetplanner.com/service_request?ID=098717" xr:uid="{AF615602-D23E-4FBE-9F26-08D234117B91}"/>
    <hyperlink ref="P48" r:id="rId52" display="https://us3.assetplanner.com/service_request?ID=091312" xr:uid="{6B795EEF-17E7-41EE-AD46-A47AC46FCEA7}"/>
    <hyperlink ref="K49" r:id="rId53" display="https://us3.assetplanner.com/service_request?ID=104021" xr:uid="{2B8EE30B-185B-4834-B9FF-592DC811E216}"/>
    <hyperlink ref="L49" r:id="rId54" display="https://us3.assetplanner.com/service_request?ID=098397" xr:uid="{85A1F527-3605-4D83-B346-677A1E66E3B4}"/>
    <hyperlink ref="K50" r:id="rId55" display="https://us3.assetplanner.com/service_request?ID=094234" xr:uid="{D7EF42C7-1062-4E3F-B3C7-6BDCB15F073A}"/>
    <hyperlink ref="L50" r:id="rId56" display="https://us3.assetplanner.com/service_request?ID=104249" xr:uid="{FF33292E-4342-4466-9C54-C0DCE389DAAF}"/>
    <hyperlink ref="K51" r:id="rId57" display="https://us3.assetplanner.com/service_request?ID=101132" xr:uid="{453B433F-AB7A-41C9-8821-46146F57D15E}"/>
    <hyperlink ref="L51" r:id="rId58" display="https://us3.assetplanner.com/service_request?ID=101829" xr:uid="{5D4A0AFF-192E-4A8E-8EE0-E1FA2A5374BB}"/>
    <hyperlink ref="K54" r:id="rId59" display="https://us3.assetplanner.com/service_request?ID=102808" xr:uid="{188B89DA-1336-46DD-AE02-ECF93334E252}"/>
    <hyperlink ref="K55" r:id="rId60" display="https://us3.assetplanner.com/service_request?ID=102897" xr:uid="{F00FC8F7-6523-49E7-AB23-E09441F03C43}"/>
    <hyperlink ref="K57" r:id="rId61" display="https://us3.assetplanner.com/service_request?ID=090293" xr:uid="{4CE88203-8775-4D5D-A660-23E862DBE83A}"/>
    <hyperlink ref="L58" r:id="rId62" display="https://us3.assetplanner.com/service_request?ID=095449" xr:uid="{30ECF386-1CE3-4A80-9B93-2FCD1C75057A}"/>
    <hyperlink ref="M58" r:id="rId63" display="https://us3.assetplanner.com/service_request?ID=093474" xr:uid="{10D4F61C-17F5-4EE6-9ECD-91E589EE78B0}"/>
    <hyperlink ref="N58" r:id="rId64" display="https://us3.assetplanner.com/service_request?ID=090380" xr:uid="{F9FEF91E-A341-4876-9E7B-1EB2F037DBA5}"/>
    <hyperlink ref="O58" r:id="rId65" display="https://us3.assetplanner.com/service_request?ID=089474" xr:uid="{B6F09E7A-983E-48C7-AD17-154A4B25213E}"/>
    <hyperlink ref="P58" r:id="rId66" display="https://us3.assetplanner.com/service_request?ID=098183" xr:uid="{47C76FB1-7FB1-4596-81F9-44CE858FE089}"/>
    <hyperlink ref="Q58" r:id="rId67" display="https://us3.assetplanner.com/service_request?ID=101740" xr:uid="{0FE1B24D-90A8-4774-848E-FF8A2FFD2047}"/>
    <hyperlink ref="K60" r:id="rId68" display="https://us3.assetplanner.com/service_request?ID=089477" xr:uid="{B4C33052-BC39-431A-818B-4BE40E43E58B}"/>
    <hyperlink ref="L60" r:id="rId69" display="https://us3.assetplanner.com/service_request?ID=096348" xr:uid="{7CE140B6-4BCA-48AB-ABB4-A5044B1656EB}"/>
    <hyperlink ref="M60" r:id="rId70" display="https://us3.assetplanner.com/service_request?ID=089477" xr:uid="{2898B83E-9832-44BC-BBB1-47C7632D501D}"/>
    <hyperlink ref="N60" r:id="rId71" display="https://us3.assetplanner.com/service_request?ID=096348" xr:uid="{7C3657EB-9039-471B-86C8-CB5E5B7A10DF}"/>
    <hyperlink ref="O60" r:id="rId72" display="https://us3.assetplanner.com/service_request?ID=103802" xr:uid="{A131C362-AAC1-40B2-ADAA-CE65C4FB7134}"/>
    <hyperlink ref="P60" r:id="rId73" display="https://us3.assetplanner.com/service_request?ID=105126" xr:uid="{43DD7055-6129-4CF7-BCEF-AE55CD5C7080}"/>
    <hyperlink ref="K61" r:id="rId74" display="https://us3.assetplanner.com/service_request?ID=102151" xr:uid="{1D0FE81C-2EBB-4B2A-AAE5-359F09075DC4}"/>
    <hyperlink ref="K62" r:id="rId75" display="https://us3.assetplanner.com/service_request?ID=103666" xr:uid="{CA8D0A36-AE6A-4897-87FC-765CFEBC5451}"/>
    <hyperlink ref="L62" r:id="rId76" display="https://us3.assetplanner.com/service_request?ID=104943" xr:uid="{0442E99F-FB31-466D-8323-413D282E808B}"/>
    <hyperlink ref="K63" r:id="rId77" display="https://us3.assetplanner.com/service_request?ID=104404" xr:uid="{586AA901-2AB2-4EDC-B35F-799644ED6AC9}"/>
    <hyperlink ref="K65" r:id="rId78" display="https://us3.assetplanner.com/service_request?ID=099641" xr:uid="{CBE2DFF6-A3DC-4A76-9719-6172B103A763}"/>
    <hyperlink ref="K66" r:id="rId79" display="https://us3.assetplanner.com/service_request?ID=104035" xr:uid="{D4069479-F3E4-446E-ABAA-46931FA99CD0}"/>
    <hyperlink ref="L66" r:id="rId80" display="https://us3.assetplanner.com/service_request?ID=105453" xr:uid="{128A44E3-0A55-4ED2-AF04-1EA264977A0C}"/>
    <hyperlink ref="M66" r:id="rId81" display="https://us3.assetplanner.com/service_request?ID=092456" xr:uid="{A7E52460-C6CC-4E35-B680-6A2CBE95BF33}"/>
    <hyperlink ref="K67" r:id="rId82" display="https://us3.assetplanner.com/service_request?ID=098778" xr:uid="{32BCBEF1-6C79-431D-AE23-972E48DA4E22}"/>
    <hyperlink ref="L67" r:id="rId83" display="https://us3.assetplanner.com/service_request?ID=103948" xr:uid="{0B61AD4F-3E6A-4B28-A9C6-0D7D1AF84286}"/>
    <hyperlink ref="M67" r:id="rId84" display="https://us3.assetplanner.com/service_request?ID=103724" xr:uid="{DD89C520-B471-4216-AF06-2652F1E9ADB1}"/>
    <hyperlink ref="N67" r:id="rId85" display="https://us3.assetplanner.com/service_request?ID=104036" xr:uid="{D2CA49BD-1BC1-4640-B095-36A421D6C68C}"/>
    <hyperlink ref="O67" r:id="rId86" display="https://us3.assetplanner.com/service_request?ID=105452" xr:uid="{8AFE636C-BD91-451B-97BE-B1B6540C1156}"/>
    <hyperlink ref="K68" r:id="rId87" display="https://us3.assetplanner.com/service_request?ID=102522" xr:uid="{79B43AAA-4BF1-41D7-9A72-0E9D7F721FC4}"/>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T342"/>
  <sheetViews>
    <sheetView zoomScale="70" zoomScaleNormal="70" workbookViewId="0">
      <pane xSplit="2" ySplit="3" topLeftCell="C38" activePane="bottomRight" state="frozen"/>
      <selection pane="bottomRight" activeCell="C38" sqref="C38"/>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0" ht="19.5" customHeight="1">
      <c r="A1" s="132" t="str" cm="1">
        <f t="array" ref="A1">portfolio</f>
        <v>Silicon Ranch</v>
      </c>
      <c r="B1" s="132"/>
      <c r="C1" s="132"/>
      <c r="D1" s="133" t="s">
        <v>607</v>
      </c>
      <c r="E1" s="133"/>
      <c r="F1" s="133"/>
      <c r="G1" s="131" t="s">
        <v>608</v>
      </c>
      <c r="H1" s="131"/>
      <c r="I1" s="131"/>
      <c r="J1" s="4"/>
      <c r="K1" s="4"/>
    </row>
    <row r="2" spans="1:20" ht="19.5" customHeight="1">
      <c r="A2" s="134" t="s">
        <v>2</v>
      </c>
      <c r="B2" s="134"/>
      <c r="C2" s="5">
        <f>SUM(C4:C100)</f>
        <v>4498570</v>
      </c>
      <c r="D2" s="5">
        <f>SUM(D4:D100)</f>
        <v>2410536</v>
      </c>
      <c r="E2" s="5">
        <f>C2-D2</f>
        <v>2088034</v>
      </c>
      <c r="F2" s="6">
        <f>IFERROR(E2/D2, 0)</f>
        <v>0.86621149818961429</v>
      </c>
      <c r="G2" s="5">
        <f>SUM(G4:G100)</f>
        <v>5042734.33</v>
      </c>
      <c r="H2" s="7">
        <f>C2-G2</f>
        <v>-544164.33000000007</v>
      </c>
      <c r="I2" s="6">
        <f>IFERROR(H2/G2, 0)</f>
        <v>-0.10791056882824125</v>
      </c>
      <c r="J2" s="2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0" ht="14.25" customHeight="1">
      <c r="A3" s="8" t="s">
        <v>3</v>
      </c>
      <c r="B3" s="8" t="s">
        <v>4</v>
      </c>
      <c r="C3" s="23" t="s">
        <v>5</v>
      </c>
      <c r="D3" s="35" t="s">
        <v>6</v>
      </c>
      <c r="E3" s="35" t="s">
        <v>7</v>
      </c>
      <c r="F3" s="36" t="s">
        <v>8</v>
      </c>
      <c r="G3" s="37" t="s">
        <v>9</v>
      </c>
      <c r="H3" s="38" t="s">
        <v>7</v>
      </c>
      <c r="I3" s="39" t="s">
        <v>8</v>
      </c>
      <c r="J3" s="25" t="s">
        <v>20</v>
      </c>
      <c r="K3" s="25" t="s">
        <v>21</v>
      </c>
    </row>
    <row r="4" spans="1:20" ht="15.6">
      <c r="A4" s="32" t="str" cm="1">
        <f t="array" ref="A4:A70">Sites[Site]</f>
        <v>Iron Mountain - Windsor</v>
      </c>
      <c r="B4" s="29" t="str" cm="1">
        <f t="array" ref="B4:B70">Sites[State]</f>
        <v>CT</v>
      </c>
      <c r="C4" s="24">
        <v>37476</v>
      </c>
      <c r="D4" s="13">
        <v>37396</v>
      </c>
      <c r="E4" s="13">
        <f t="shared" ref="E4:E10" si="0">IF(AND(ISNUMBER(C4),ISNUMBER(D4)), C4-D4, "")</f>
        <v>80</v>
      </c>
      <c r="F4" s="14">
        <f t="shared" ref="F4:F11" si="1">IFERROR(E4/D4, "")</f>
        <v>2.1392662316825329E-3</v>
      </c>
      <c r="G4" s="15">
        <v>32418.76</v>
      </c>
      <c r="H4" s="15">
        <f t="shared" ref="H4:H10" si="2">IF(AND(ISNUMBER(C4),ISNUMBER(G4)), C4-G4, "")</f>
        <v>5057.2400000000016</v>
      </c>
      <c r="I4" s="16">
        <f t="shared" ref="I4:I10" si="3">IFERROR(H4/G4, "")</f>
        <v>0.15599732994105889</v>
      </c>
      <c r="J4" s="41"/>
      <c r="K4" s="41"/>
    </row>
    <row r="5" spans="1:20" ht="15.6">
      <c r="A5" s="30" t="str">
        <v>Kohls - Auburn</v>
      </c>
      <c r="B5" s="31" t="str">
        <v>NY</v>
      </c>
      <c r="C5" s="11">
        <v>41821</v>
      </c>
      <c r="D5" s="18">
        <v>41705</v>
      </c>
      <c r="E5" s="18">
        <f t="shared" si="0"/>
        <v>116</v>
      </c>
      <c r="F5" s="19">
        <f t="shared" si="1"/>
        <v>2.7814410742117253E-3</v>
      </c>
      <c r="G5" s="20">
        <v>39885.79</v>
      </c>
      <c r="H5" s="20">
        <f t="shared" si="2"/>
        <v>1935.2099999999991</v>
      </c>
      <c r="I5" s="19">
        <f t="shared" si="3"/>
        <v>4.851878325589136E-2</v>
      </c>
      <c r="J5" s="42"/>
      <c r="K5" s="42"/>
      <c r="L5" s="97"/>
      <c r="M5" s="97"/>
      <c r="N5" s="97"/>
      <c r="O5" s="97"/>
      <c r="P5" s="97"/>
      <c r="Q5" s="97"/>
      <c r="R5" s="97"/>
      <c r="S5" s="97"/>
      <c r="T5" s="97"/>
    </row>
    <row r="6" spans="1:20" ht="129.6">
      <c r="A6" s="28" t="str">
        <v>Kohls - Bensalem</v>
      </c>
      <c r="B6" s="29" t="str">
        <v>PA</v>
      </c>
      <c r="C6" s="24">
        <v>0</v>
      </c>
      <c r="D6" s="13">
        <v>0</v>
      </c>
      <c r="E6" s="13">
        <f t="shared" si="0"/>
        <v>0</v>
      </c>
      <c r="F6" s="14" t="str">
        <f t="shared" si="1"/>
        <v/>
      </c>
      <c r="G6" s="15">
        <v>38128.67</v>
      </c>
      <c r="H6" s="15">
        <f t="shared" si="2"/>
        <v>-38128.67</v>
      </c>
      <c r="I6" s="16">
        <f t="shared" si="3"/>
        <v>-1</v>
      </c>
      <c r="J6" s="41" t="s">
        <v>609</v>
      </c>
      <c r="K6" s="88" t="s">
        <v>519</v>
      </c>
      <c r="L6" s="97"/>
      <c r="M6" s="97"/>
      <c r="N6" s="97"/>
      <c r="O6" s="97"/>
      <c r="P6" s="97"/>
      <c r="Q6" s="97"/>
      <c r="R6" s="97"/>
      <c r="S6" s="97"/>
      <c r="T6" s="97"/>
    </row>
    <row r="7" spans="1:20" ht="43.15">
      <c r="A7" s="30" t="str">
        <v>Kohls - Brick</v>
      </c>
      <c r="B7" s="31" t="str">
        <v>NJ</v>
      </c>
      <c r="C7" s="11">
        <v>48807</v>
      </c>
      <c r="D7" s="18">
        <v>48741</v>
      </c>
      <c r="E7" s="18">
        <f t="shared" si="0"/>
        <v>66</v>
      </c>
      <c r="F7" s="19">
        <f t="shared" si="1"/>
        <v>1.3540961408259986E-3</v>
      </c>
      <c r="G7" s="20">
        <v>42004.13</v>
      </c>
      <c r="H7" s="20">
        <f t="shared" si="2"/>
        <v>6802.8700000000026</v>
      </c>
      <c r="I7" s="19">
        <f t="shared" si="3"/>
        <v>0.1619571694497661</v>
      </c>
      <c r="J7" s="42" t="s">
        <v>610</v>
      </c>
      <c r="K7" s="87" t="s">
        <v>611</v>
      </c>
      <c r="L7" s="97"/>
      <c r="M7" s="97"/>
      <c r="N7" s="97"/>
      <c r="O7" s="97"/>
      <c r="P7" s="97"/>
      <c r="Q7" s="97"/>
      <c r="R7" s="97"/>
      <c r="S7" s="97"/>
      <c r="T7" s="97"/>
    </row>
    <row r="8" spans="1:20" ht="129.6">
      <c r="A8" s="28" t="str">
        <v>Kohls - Buffalo</v>
      </c>
      <c r="B8" s="29" t="str">
        <v>NY</v>
      </c>
      <c r="C8" s="24">
        <v>23490</v>
      </c>
      <c r="D8" s="13">
        <v>0</v>
      </c>
      <c r="E8" s="13">
        <f t="shared" si="0"/>
        <v>23490</v>
      </c>
      <c r="F8" s="14" t="str">
        <f t="shared" si="1"/>
        <v/>
      </c>
      <c r="G8" s="15">
        <v>48410.93</v>
      </c>
      <c r="H8" s="15">
        <f t="shared" si="2"/>
        <v>-24920.93</v>
      </c>
      <c r="I8" s="16">
        <f t="shared" si="3"/>
        <v>-0.51477899722232145</v>
      </c>
      <c r="J8" s="41" t="s">
        <v>612</v>
      </c>
      <c r="K8" s="88" t="s">
        <v>613</v>
      </c>
      <c r="L8" s="98" t="s">
        <v>614</v>
      </c>
      <c r="M8" s="98" t="s">
        <v>615</v>
      </c>
      <c r="N8" s="98" t="s">
        <v>616</v>
      </c>
      <c r="O8" s="97"/>
      <c r="P8" s="97"/>
      <c r="Q8" s="97"/>
      <c r="R8" s="97"/>
      <c r="S8" s="97"/>
      <c r="T8" s="97"/>
    </row>
    <row r="9" spans="1:20" ht="15.6">
      <c r="A9" s="30" t="str">
        <v>Kohls - Canton</v>
      </c>
      <c r="B9" s="31" t="str">
        <v>CT</v>
      </c>
      <c r="C9" s="11">
        <v>19146</v>
      </c>
      <c r="D9" s="18">
        <v>18907</v>
      </c>
      <c r="E9" s="18">
        <f t="shared" si="0"/>
        <v>239</v>
      </c>
      <c r="F9" s="19">
        <f t="shared" si="1"/>
        <v>1.2640820859998942E-2</v>
      </c>
      <c r="G9" s="20">
        <v>14905.28</v>
      </c>
      <c r="H9" s="20">
        <f t="shared" si="2"/>
        <v>4240.7199999999993</v>
      </c>
      <c r="I9" s="19">
        <f t="shared" si="3"/>
        <v>0.28451126043925368</v>
      </c>
      <c r="J9" s="42"/>
      <c r="K9" s="43"/>
      <c r="L9" s="97"/>
      <c r="M9" s="97"/>
      <c r="N9" s="97"/>
      <c r="O9" s="97"/>
      <c r="P9" s="97"/>
      <c r="Q9" s="97"/>
      <c r="R9" s="97"/>
      <c r="S9" s="97"/>
      <c r="T9" s="97"/>
    </row>
    <row r="10" spans="1:20" ht="43.15">
      <c r="A10" s="28" t="str">
        <v>Kohls - East Amherst</v>
      </c>
      <c r="B10" s="29" t="str">
        <v>NY</v>
      </c>
      <c r="C10" s="24">
        <v>0</v>
      </c>
      <c r="D10" s="13">
        <v>0</v>
      </c>
      <c r="E10" s="13">
        <f t="shared" si="0"/>
        <v>0</v>
      </c>
      <c r="F10" s="14" t="str">
        <f t="shared" si="1"/>
        <v/>
      </c>
      <c r="G10" s="15">
        <v>42394.28</v>
      </c>
      <c r="H10" s="15">
        <f t="shared" si="2"/>
        <v>-42394.28</v>
      </c>
      <c r="I10" s="16">
        <f t="shared" si="3"/>
        <v>-1</v>
      </c>
      <c r="J10" s="41" t="s">
        <v>525</v>
      </c>
      <c r="K10" s="88" t="s">
        <v>526</v>
      </c>
      <c r="L10" s="98" t="s">
        <v>527</v>
      </c>
      <c r="M10" s="97"/>
      <c r="N10" s="97"/>
      <c r="O10" s="97"/>
      <c r="P10" s="97"/>
      <c r="Q10" s="97"/>
      <c r="R10" s="97"/>
      <c r="S10" s="97"/>
      <c r="T10" s="97"/>
    </row>
    <row r="11" spans="1:20" ht="100.9">
      <c r="A11" s="30" t="str">
        <v>Kohls - East Brunswick</v>
      </c>
      <c r="B11" s="31" t="str">
        <v>NJ</v>
      </c>
      <c r="C11" s="11">
        <v>57950</v>
      </c>
      <c r="D11" s="18">
        <v>34623</v>
      </c>
      <c r="E11" s="18">
        <f t="shared" ref="E11:E17" si="4">IF(AND(ISNUMBER(C11),ISNUMBER(D11)), C11-D11, "")</f>
        <v>23327</v>
      </c>
      <c r="F11" s="19">
        <f t="shared" si="1"/>
        <v>0.67374288767582247</v>
      </c>
      <c r="G11" s="20">
        <v>54316</v>
      </c>
      <c r="H11" s="20">
        <f t="shared" ref="H11:H17" si="5">IF(AND(ISNUMBER(C11),ISNUMBER(G11)), C11-G11, "")</f>
        <v>3634</v>
      </c>
      <c r="I11" s="19">
        <f t="shared" ref="I11:I69" si="6">IFERROR(H11/G11, "")</f>
        <v>6.6904779438839379E-2</v>
      </c>
      <c r="J11" s="42" t="s">
        <v>617</v>
      </c>
      <c r="K11" s="87" t="s">
        <v>618</v>
      </c>
      <c r="L11" s="97"/>
      <c r="M11" s="97"/>
      <c r="N11" s="97"/>
      <c r="O11" s="97"/>
      <c r="P11" s="97"/>
      <c r="Q11" s="97"/>
      <c r="R11" s="97"/>
      <c r="S11" s="97"/>
      <c r="T11" s="97"/>
    </row>
    <row r="12" spans="1:20" ht="100.9">
      <c r="A12" s="28" t="str">
        <v>Kohls - Edgewood</v>
      </c>
      <c r="B12" s="29" t="str">
        <v>MD</v>
      </c>
      <c r="C12" s="24">
        <v>175088</v>
      </c>
      <c r="D12" s="13">
        <v>174259</v>
      </c>
      <c r="E12" s="13">
        <f t="shared" si="4"/>
        <v>829</v>
      </c>
      <c r="F12" s="14">
        <f t="shared" ref="F12:F17" si="7">IFERROR(E12/D12, "")</f>
        <v>4.7572865676952123E-3</v>
      </c>
      <c r="G12" s="15">
        <v>286680.90999999997</v>
      </c>
      <c r="H12" s="15">
        <f t="shared" si="5"/>
        <v>-111592.90999999997</v>
      </c>
      <c r="I12" s="16">
        <f t="shared" si="6"/>
        <v>-0.38925825231962596</v>
      </c>
      <c r="J12" s="41" t="s">
        <v>619</v>
      </c>
      <c r="K12" s="88" t="s">
        <v>531</v>
      </c>
      <c r="L12" s="98" t="s">
        <v>532</v>
      </c>
      <c r="M12" s="97"/>
      <c r="N12" s="97"/>
      <c r="O12" s="97"/>
      <c r="P12" s="97"/>
      <c r="Q12" s="97"/>
      <c r="R12" s="97"/>
      <c r="S12" s="97"/>
      <c r="T12" s="97"/>
    </row>
    <row r="13" spans="1:20" ht="15.6">
      <c r="A13" s="30" t="str">
        <v>Kohls - Granite Run</v>
      </c>
      <c r="B13" s="31" t="str">
        <v>PA</v>
      </c>
      <c r="C13" s="11">
        <v>37772</v>
      </c>
      <c r="D13" s="18">
        <v>37523</v>
      </c>
      <c r="E13" s="18">
        <f t="shared" si="4"/>
        <v>249</v>
      </c>
      <c r="F13" s="19">
        <f t="shared" si="7"/>
        <v>6.6359299629560539E-3</v>
      </c>
      <c r="G13" s="20">
        <v>37427.17</v>
      </c>
      <c r="H13" s="20">
        <f t="shared" si="5"/>
        <v>344.83000000000175</v>
      </c>
      <c r="I13" s="19">
        <f t="shared" si="6"/>
        <v>9.2133602407021894E-3</v>
      </c>
      <c r="J13" s="42" t="s">
        <v>620</v>
      </c>
      <c r="K13" s="92" t="s">
        <v>621</v>
      </c>
      <c r="L13" s="97"/>
      <c r="M13" s="97"/>
      <c r="N13" s="97"/>
      <c r="O13" s="97"/>
      <c r="P13" s="97"/>
      <c r="Q13" s="97"/>
      <c r="R13" s="97"/>
      <c r="S13" s="97"/>
      <c r="T13" s="97"/>
    </row>
    <row r="14" spans="1:20" ht="72">
      <c r="A14" s="28" t="str">
        <v>Kohls - Greece</v>
      </c>
      <c r="B14" s="29" t="str">
        <v>NY</v>
      </c>
      <c r="C14" s="24">
        <v>38224</v>
      </c>
      <c r="D14" s="13">
        <v>38021</v>
      </c>
      <c r="E14" s="13">
        <f t="shared" si="4"/>
        <v>203</v>
      </c>
      <c r="F14" s="14">
        <f t="shared" si="7"/>
        <v>5.339154677678125E-3</v>
      </c>
      <c r="G14" s="15">
        <v>45328.55</v>
      </c>
      <c r="H14" s="15">
        <f t="shared" si="5"/>
        <v>-7104.5500000000029</v>
      </c>
      <c r="I14" s="16">
        <f t="shared" si="6"/>
        <v>-0.1567345525060917</v>
      </c>
      <c r="J14" s="41" t="s">
        <v>430</v>
      </c>
      <c r="K14" s="41"/>
      <c r="L14" s="97"/>
      <c r="M14" s="97"/>
      <c r="N14" s="97"/>
      <c r="O14" s="97"/>
      <c r="P14" s="97"/>
      <c r="Q14" s="97"/>
      <c r="R14" s="97"/>
      <c r="S14" s="97"/>
      <c r="T14" s="97"/>
    </row>
    <row r="15" spans="1:20" ht="15.6">
      <c r="A15" s="30" t="str">
        <v>Kohls - Hanover</v>
      </c>
      <c r="B15" s="31" t="str">
        <v>PA</v>
      </c>
      <c r="C15" s="11">
        <v>42513</v>
      </c>
      <c r="D15" s="18">
        <v>42320</v>
      </c>
      <c r="E15" s="18">
        <f t="shared" si="4"/>
        <v>193</v>
      </c>
      <c r="F15" s="19">
        <f t="shared" si="7"/>
        <v>4.5604914933837426E-3</v>
      </c>
      <c r="G15" s="20">
        <v>39141.050000000003</v>
      </c>
      <c r="H15" s="20">
        <f t="shared" si="5"/>
        <v>3371.9499999999971</v>
      </c>
      <c r="I15" s="19">
        <f t="shared" si="6"/>
        <v>8.6148685331640232E-2</v>
      </c>
      <c r="J15" s="54"/>
      <c r="K15" s="54"/>
      <c r="L15" s="97"/>
      <c r="M15" s="97"/>
      <c r="N15" s="97"/>
      <c r="O15" s="97"/>
      <c r="P15" s="97"/>
      <c r="Q15" s="97"/>
      <c r="R15" s="97"/>
      <c r="S15" s="97"/>
      <c r="T15" s="97"/>
    </row>
    <row r="16" spans="1:20" ht="15.6">
      <c r="A16" s="28" t="str">
        <v>Kohls - Horsehead</v>
      </c>
      <c r="B16" s="29" t="str">
        <v>NY</v>
      </c>
      <c r="C16" s="24">
        <v>35330</v>
      </c>
      <c r="D16" s="13">
        <v>35165</v>
      </c>
      <c r="E16" s="13">
        <f t="shared" si="4"/>
        <v>165</v>
      </c>
      <c r="F16" s="14">
        <f t="shared" si="7"/>
        <v>4.6921655054741928E-3</v>
      </c>
      <c r="G16" s="15">
        <v>33230.449999999997</v>
      </c>
      <c r="H16" s="15">
        <f t="shared" si="5"/>
        <v>2099.5500000000029</v>
      </c>
      <c r="I16" s="16">
        <f t="shared" si="6"/>
        <v>6.3181509729781066E-2</v>
      </c>
      <c r="J16" s="41"/>
      <c r="K16" s="41"/>
      <c r="L16" s="97"/>
      <c r="M16" s="97"/>
      <c r="N16" s="97"/>
      <c r="O16" s="97"/>
      <c r="P16" s="97"/>
      <c r="Q16" s="97"/>
      <c r="R16" s="97"/>
      <c r="S16" s="97"/>
      <c r="T16" s="97"/>
    </row>
    <row r="17" spans="1:20" ht="86.45">
      <c r="A17" s="30" t="str">
        <v>Kohls - Hudson</v>
      </c>
      <c r="B17" s="31" t="str">
        <v>NY</v>
      </c>
      <c r="C17" s="11">
        <v>40415</v>
      </c>
      <c r="D17" s="18">
        <v>25968</v>
      </c>
      <c r="E17" s="18">
        <f t="shared" si="4"/>
        <v>14447</v>
      </c>
      <c r="F17" s="19">
        <f t="shared" si="7"/>
        <v>0.55633857054836722</v>
      </c>
      <c r="G17" s="20">
        <v>38256.67</v>
      </c>
      <c r="H17" s="20">
        <f t="shared" si="5"/>
        <v>2158.3300000000017</v>
      </c>
      <c r="I17" s="19">
        <f t="shared" si="6"/>
        <v>5.6417090144019376E-2</v>
      </c>
      <c r="J17" s="42" t="s">
        <v>622</v>
      </c>
      <c r="K17" s="90" t="s">
        <v>623</v>
      </c>
      <c r="L17" s="97"/>
      <c r="M17" s="97"/>
      <c r="N17" s="97"/>
      <c r="O17" s="97"/>
      <c r="P17" s="97"/>
      <c r="Q17" s="97"/>
      <c r="R17" s="97"/>
      <c r="S17" s="97"/>
      <c r="T17" s="97"/>
    </row>
    <row r="18" spans="1:20" ht="12.75" customHeight="1">
      <c r="A18" s="32" t="str">
        <v>Kohls - Ithaca</v>
      </c>
      <c r="B18" s="29" t="str">
        <v>NY</v>
      </c>
      <c r="C18" s="24">
        <v>36950</v>
      </c>
      <c r="D18" s="13">
        <v>36827</v>
      </c>
      <c r="E18" s="13">
        <f t="shared" ref="E18:E69" si="8">IF(AND(ISNUMBER(C18),ISNUMBER(D18)), C18-D18, "")</f>
        <v>123</v>
      </c>
      <c r="F18" s="14">
        <f t="shared" ref="F18:F69" si="9">IFERROR(E18/D18, "")</f>
        <v>3.3399408043011921E-3</v>
      </c>
      <c r="G18" s="15">
        <v>39376.69</v>
      </c>
      <c r="H18" s="15">
        <f t="shared" ref="H18:H69" si="10">IF(AND(ISNUMBER(C18),ISNUMBER(G18)), C18-G18, "")</f>
        <v>-2426.6900000000023</v>
      </c>
      <c r="I18" s="16">
        <f t="shared" si="6"/>
        <v>-6.1627577127483346E-2</v>
      </c>
      <c r="J18" s="41"/>
      <c r="K18" s="41"/>
      <c r="L18" s="97"/>
      <c r="M18" s="97"/>
      <c r="N18" s="97"/>
      <c r="O18" s="97"/>
      <c r="P18" s="97"/>
      <c r="Q18" s="97"/>
      <c r="R18" s="97"/>
      <c r="S18" s="97"/>
      <c r="T18" s="97"/>
    </row>
    <row r="19" spans="1:20" ht="15.6">
      <c r="A19" s="30" t="str">
        <v>Kohls - Kingston</v>
      </c>
      <c r="B19" s="31" t="str">
        <v>NY</v>
      </c>
      <c r="C19" s="11">
        <v>51055</v>
      </c>
      <c r="D19" s="18">
        <v>50767</v>
      </c>
      <c r="E19" s="18">
        <f t="shared" si="8"/>
        <v>288</v>
      </c>
      <c r="F19" s="19">
        <f t="shared" si="9"/>
        <v>5.6729765398782677E-3</v>
      </c>
      <c r="G19" s="20">
        <v>56556.55</v>
      </c>
      <c r="H19" s="20">
        <f t="shared" si="10"/>
        <v>-5501.5500000000029</v>
      </c>
      <c r="I19" s="19">
        <f t="shared" si="6"/>
        <v>-9.7275205082346827E-2</v>
      </c>
      <c r="J19" s="42"/>
      <c r="K19" s="42"/>
      <c r="L19" s="97"/>
      <c r="M19" s="97"/>
      <c r="N19" s="97"/>
      <c r="O19" s="97"/>
      <c r="P19" s="97"/>
      <c r="Q19" s="97"/>
      <c r="R19" s="97"/>
      <c r="S19" s="97"/>
      <c r="T19" s="97"/>
    </row>
    <row r="20" spans="1:20" ht="28.9">
      <c r="A20" s="28" t="str">
        <v>Kohls - Mechanicsburg</v>
      </c>
      <c r="B20" s="29" t="str">
        <v>PA</v>
      </c>
      <c r="C20" s="24">
        <v>28272</v>
      </c>
      <c r="D20" s="13">
        <v>28150</v>
      </c>
      <c r="E20" s="13">
        <f t="shared" si="8"/>
        <v>122</v>
      </c>
      <c r="F20" s="14">
        <f t="shared" si="9"/>
        <v>4.3339253996447606E-3</v>
      </c>
      <c r="G20" s="15">
        <v>45705.64</v>
      </c>
      <c r="H20" s="15">
        <f t="shared" si="10"/>
        <v>-17433.64</v>
      </c>
      <c r="I20" s="16">
        <f t="shared" si="6"/>
        <v>-0.3814330135186817</v>
      </c>
      <c r="J20" s="41" t="s">
        <v>624</v>
      </c>
      <c r="K20" s="88" t="s">
        <v>625</v>
      </c>
      <c r="L20" s="97"/>
      <c r="M20" s="97"/>
      <c r="N20" s="97"/>
      <c r="O20" s="97"/>
      <c r="P20" s="97"/>
      <c r="Q20" s="97"/>
      <c r="R20" s="97"/>
      <c r="S20" s="97"/>
      <c r="T20" s="97"/>
    </row>
    <row r="21" spans="1:20" ht="28.9">
      <c r="A21" s="30" t="str">
        <v>Kohls - Middletown</v>
      </c>
      <c r="B21" s="31" t="str">
        <v>NJ</v>
      </c>
      <c r="C21" s="11">
        <v>0</v>
      </c>
      <c r="D21" s="18">
        <v>0</v>
      </c>
      <c r="E21" s="18">
        <f t="shared" si="8"/>
        <v>0</v>
      </c>
      <c r="F21" s="19" t="str">
        <f t="shared" si="9"/>
        <v/>
      </c>
      <c r="G21" s="20">
        <v>65781.600000000006</v>
      </c>
      <c r="H21" s="20">
        <f t="shared" si="10"/>
        <v>-65781.600000000006</v>
      </c>
      <c r="I21" s="19">
        <f t="shared" si="6"/>
        <v>-1</v>
      </c>
      <c r="J21" s="42" t="s">
        <v>626</v>
      </c>
      <c r="K21" s="87" t="s">
        <v>450</v>
      </c>
      <c r="L21" s="97"/>
      <c r="M21" s="97"/>
      <c r="N21" s="97"/>
      <c r="O21" s="97"/>
      <c r="P21" s="97"/>
      <c r="Q21" s="97"/>
      <c r="R21" s="97"/>
      <c r="S21" s="97"/>
      <c r="T21" s="97"/>
    </row>
    <row r="22" spans="1:20" ht="86.45">
      <c r="A22" s="28" t="str">
        <v>Kohls - North Amherst</v>
      </c>
      <c r="B22" s="29" t="str">
        <v>NY</v>
      </c>
      <c r="C22" s="24">
        <v>35604</v>
      </c>
      <c r="D22" s="13">
        <v>35478</v>
      </c>
      <c r="E22" s="13">
        <f t="shared" si="8"/>
        <v>126</v>
      </c>
      <c r="F22" s="14">
        <f t="shared" si="9"/>
        <v>3.5514967021816335E-3</v>
      </c>
      <c r="G22" s="15">
        <v>40357.870000000003</v>
      </c>
      <c r="H22" s="15">
        <f t="shared" si="10"/>
        <v>-4753.8700000000026</v>
      </c>
      <c r="I22" s="16">
        <f t="shared" si="6"/>
        <v>-0.11779288649277087</v>
      </c>
      <c r="J22" s="41" t="s">
        <v>627</v>
      </c>
      <c r="K22" s="88" t="s">
        <v>628</v>
      </c>
      <c r="L22" s="97"/>
      <c r="M22" s="97"/>
      <c r="N22" s="97"/>
      <c r="O22" s="97"/>
      <c r="P22" s="97"/>
      <c r="Q22" s="97"/>
      <c r="R22" s="97"/>
      <c r="S22" s="97"/>
      <c r="T22" s="97"/>
    </row>
    <row r="23" spans="1:20" ht="158.44999999999999">
      <c r="A23" s="30" t="str">
        <v>Kohls - Staten Island</v>
      </c>
      <c r="B23" s="31" t="str">
        <v>NY</v>
      </c>
      <c r="C23" s="11">
        <v>35446</v>
      </c>
      <c r="D23" s="18" t="s">
        <v>24</v>
      </c>
      <c r="E23" s="18" t="str">
        <f t="shared" si="8"/>
        <v/>
      </c>
      <c r="F23" s="19" t="str">
        <f t="shared" si="9"/>
        <v/>
      </c>
      <c r="G23" s="20">
        <v>38181.9</v>
      </c>
      <c r="H23" s="20">
        <f t="shared" si="10"/>
        <v>-2735.9000000000015</v>
      </c>
      <c r="I23" s="19">
        <f t="shared" si="6"/>
        <v>-7.1654370264444711E-2</v>
      </c>
      <c r="J23" s="42" t="s">
        <v>629</v>
      </c>
      <c r="K23" s="87" t="s">
        <v>630</v>
      </c>
      <c r="L23" s="98" t="s">
        <v>39</v>
      </c>
      <c r="M23" s="98" t="s">
        <v>631</v>
      </c>
      <c r="N23" s="98" t="s">
        <v>632</v>
      </c>
      <c r="O23" s="97"/>
      <c r="P23" s="97"/>
      <c r="Q23" s="97"/>
      <c r="R23" s="97"/>
      <c r="S23" s="97"/>
      <c r="T23" s="97"/>
    </row>
    <row r="24" spans="1:20" ht="15.6">
      <c r="A24" s="28" t="str">
        <v>Kohls - Warminster</v>
      </c>
      <c r="B24" s="29" t="str">
        <v>PA</v>
      </c>
      <c r="C24" s="24">
        <v>50734</v>
      </c>
      <c r="D24" s="13">
        <v>50512</v>
      </c>
      <c r="E24" s="13">
        <f t="shared" si="8"/>
        <v>222</v>
      </c>
      <c r="F24" s="14">
        <f t="shared" si="9"/>
        <v>4.3949952486537856E-3</v>
      </c>
      <c r="G24" s="15">
        <v>46616.51</v>
      </c>
      <c r="H24" s="15">
        <f t="shared" si="10"/>
        <v>4117.489999999998</v>
      </c>
      <c r="I24" s="16">
        <f t="shared" si="6"/>
        <v>8.8326861019840344E-2</v>
      </c>
      <c r="J24" s="41"/>
      <c r="K24" s="41"/>
      <c r="L24" s="97"/>
      <c r="M24" s="97"/>
      <c r="N24" s="97"/>
      <c r="O24" s="97"/>
      <c r="P24" s="97"/>
      <c r="Q24" s="97"/>
      <c r="R24" s="97"/>
      <c r="S24" s="97"/>
      <c r="T24" s="97"/>
    </row>
    <row r="25" spans="1:20" ht="15.6">
      <c r="A25" s="30" t="str">
        <v xml:space="preserve">Kohls - Waterbury </v>
      </c>
      <c r="B25" s="31" t="str">
        <v>CT</v>
      </c>
      <c r="C25" s="11">
        <v>44862</v>
      </c>
      <c r="D25" s="18">
        <v>44549</v>
      </c>
      <c r="E25" s="18">
        <f t="shared" si="8"/>
        <v>313</v>
      </c>
      <c r="F25" s="19">
        <f t="shared" si="9"/>
        <v>7.0259714022761453E-3</v>
      </c>
      <c r="G25" s="20">
        <v>38582.65</v>
      </c>
      <c r="H25" s="20">
        <f t="shared" si="10"/>
        <v>6279.3499999999985</v>
      </c>
      <c r="I25" s="19">
        <f t="shared" si="6"/>
        <v>0.1627506145897184</v>
      </c>
      <c r="J25" s="42"/>
      <c r="K25" s="43"/>
      <c r="L25" s="97"/>
      <c r="M25" s="97"/>
      <c r="N25" s="97"/>
      <c r="O25" s="97"/>
      <c r="P25" s="97"/>
      <c r="Q25" s="97"/>
      <c r="R25" s="97"/>
      <c r="S25" s="97"/>
      <c r="T25" s="97"/>
    </row>
    <row r="26" spans="1:20" ht="28.9">
      <c r="A26" s="28" t="str">
        <v>Mojave Water Agency - Headquarters</v>
      </c>
      <c r="B26" s="29" t="str">
        <v>CA</v>
      </c>
      <c r="C26" s="24">
        <v>5198</v>
      </c>
      <c r="D26" s="13">
        <v>5191</v>
      </c>
      <c r="E26" s="13">
        <f t="shared" si="8"/>
        <v>7</v>
      </c>
      <c r="F26" s="14">
        <f t="shared" si="9"/>
        <v>1.3484877672895396E-3</v>
      </c>
      <c r="G26" s="15">
        <v>37859.11</v>
      </c>
      <c r="H26" s="15">
        <f t="shared" si="10"/>
        <v>-32661.11</v>
      </c>
      <c r="I26" s="16">
        <f t="shared" si="6"/>
        <v>-0.86270147396491892</v>
      </c>
      <c r="J26" s="41" t="s">
        <v>633</v>
      </c>
      <c r="K26" s="88" t="s">
        <v>545</v>
      </c>
      <c r="L26" s="98" t="s">
        <v>546</v>
      </c>
      <c r="M26" s="97"/>
      <c r="N26" s="97"/>
      <c r="O26" s="97"/>
      <c r="P26" s="97"/>
      <c r="Q26" s="97"/>
      <c r="R26" s="97"/>
      <c r="S26" s="97"/>
      <c r="T26" s="97"/>
    </row>
    <row r="27" spans="1:20" ht="15.6">
      <c r="A27" s="30" t="str">
        <v>CSU - Bakersfield</v>
      </c>
      <c r="B27" s="31" t="str">
        <v>CA</v>
      </c>
      <c r="C27" s="11">
        <v>157309</v>
      </c>
      <c r="D27" s="18">
        <v>156987</v>
      </c>
      <c r="E27" s="18">
        <f t="shared" si="8"/>
        <v>322</v>
      </c>
      <c r="F27" s="19">
        <f t="shared" si="9"/>
        <v>2.0511252524094354E-3</v>
      </c>
      <c r="G27" s="20">
        <v>174493.55</v>
      </c>
      <c r="H27" s="20">
        <f t="shared" si="10"/>
        <v>-17184.549999999988</v>
      </c>
      <c r="I27" s="19">
        <f t="shared" si="6"/>
        <v>-9.8482436743363808E-2</v>
      </c>
      <c r="J27" s="42"/>
      <c r="K27" s="43"/>
      <c r="L27" s="97"/>
      <c r="M27" s="97"/>
      <c r="N27" s="97"/>
      <c r="O27" s="97"/>
      <c r="P27" s="97"/>
      <c r="Q27" s="97"/>
      <c r="R27" s="97"/>
      <c r="S27" s="97"/>
      <c r="T27" s="97"/>
    </row>
    <row r="28" spans="1:20" ht="43.15">
      <c r="A28" s="28" t="str">
        <v>Greenfield USD - Fairfield ES</v>
      </c>
      <c r="B28" s="29" t="str">
        <v>CA</v>
      </c>
      <c r="C28" s="24">
        <v>8584</v>
      </c>
      <c r="D28" s="13">
        <v>8503</v>
      </c>
      <c r="E28" s="13">
        <f t="shared" si="8"/>
        <v>81</v>
      </c>
      <c r="F28" s="14">
        <f t="shared" si="9"/>
        <v>9.5260496295425136E-3</v>
      </c>
      <c r="G28" s="15">
        <v>16544.88</v>
      </c>
      <c r="H28" s="15">
        <f t="shared" si="10"/>
        <v>-7960.880000000001</v>
      </c>
      <c r="I28" s="16">
        <f t="shared" si="6"/>
        <v>-0.48116879663074019</v>
      </c>
      <c r="J28" s="41" t="s">
        <v>634</v>
      </c>
      <c r="K28" s="88" t="s">
        <v>635</v>
      </c>
      <c r="L28" s="98" t="s">
        <v>636</v>
      </c>
      <c r="M28" s="98" t="s">
        <v>637</v>
      </c>
      <c r="N28" s="98" t="s">
        <v>638</v>
      </c>
      <c r="O28" s="97"/>
      <c r="P28" s="97"/>
      <c r="Q28" s="97"/>
      <c r="R28" s="97"/>
      <c r="S28" s="97"/>
      <c r="T28" s="97"/>
    </row>
    <row r="29" spans="1:20" ht="15.6">
      <c r="A29" s="30" t="str">
        <v>Greenfield USD - Granite Point ES</v>
      </c>
      <c r="B29" s="31" t="str">
        <v>CA</v>
      </c>
      <c r="C29" s="11">
        <v>40599</v>
      </c>
      <c r="D29" s="18">
        <v>40334</v>
      </c>
      <c r="E29" s="18">
        <f t="shared" si="8"/>
        <v>265</v>
      </c>
      <c r="F29" s="19">
        <f t="shared" si="9"/>
        <v>6.5701393365398923E-3</v>
      </c>
      <c r="G29" s="20">
        <v>43702.37</v>
      </c>
      <c r="H29" s="20">
        <f t="shared" si="10"/>
        <v>-3103.3700000000026</v>
      </c>
      <c r="I29" s="19">
        <f t="shared" si="6"/>
        <v>-7.1011480613065212E-2</v>
      </c>
      <c r="J29" s="42"/>
      <c r="K29" s="42"/>
      <c r="L29" s="97"/>
      <c r="M29" s="97"/>
      <c r="N29" s="97"/>
      <c r="O29" s="97"/>
      <c r="P29" s="97"/>
      <c r="Q29" s="97"/>
      <c r="R29" s="97"/>
      <c r="S29" s="97"/>
      <c r="T29" s="97"/>
    </row>
    <row r="30" spans="1:20" ht="72">
      <c r="A30" s="28" t="str">
        <v>Greenfield USD - Greenfield MS</v>
      </c>
      <c r="B30" s="29" t="str">
        <v>CA</v>
      </c>
      <c r="C30" s="24">
        <v>21557</v>
      </c>
      <c r="D30" s="13">
        <v>21523</v>
      </c>
      <c r="E30" s="13">
        <f t="shared" si="8"/>
        <v>34</v>
      </c>
      <c r="F30" s="14">
        <f t="shared" si="9"/>
        <v>1.5797054313989685E-3</v>
      </c>
      <c r="G30" s="15">
        <v>29780.78</v>
      </c>
      <c r="H30" s="15">
        <f t="shared" si="10"/>
        <v>-8223.7799999999988</v>
      </c>
      <c r="I30" s="16">
        <f t="shared" si="6"/>
        <v>-0.27614387534510509</v>
      </c>
      <c r="J30" s="41" t="s">
        <v>430</v>
      </c>
      <c r="K30" s="41"/>
      <c r="L30" s="97"/>
      <c r="M30" s="97"/>
      <c r="N30" s="97"/>
      <c r="O30" s="97"/>
      <c r="P30" s="97"/>
      <c r="Q30" s="97"/>
      <c r="R30" s="97"/>
      <c r="S30" s="97"/>
      <c r="T30" s="97"/>
    </row>
    <row r="31" spans="1:20" ht="43.15">
      <c r="A31" s="30" t="str">
        <v>Greenfield USD - Horizon ES</v>
      </c>
      <c r="B31" s="31" t="str">
        <v>CA</v>
      </c>
      <c r="C31" s="11">
        <v>36184</v>
      </c>
      <c r="D31" s="18">
        <v>36137</v>
      </c>
      <c r="E31" s="18">
        <f t="shared" si="8"/>
        <v>47</v>
      </c>
      <c r="F31" s="19">
        <f t="shared" si="9"/>
        <v>1.3006060270636744E-3</v>
      </c>
      <c r="G31" s="20">
        <v>45342.15</v>
      </c>
      <c r="H31" s="20">
        <f t="shared" si="10"/>
        <v>-9158.1500000000015</v>
      </c>
      <c r="I31" s="19">
        <f t="shared" si="6"/>
        <v>-0.20197873281262579</v>
      </c>
      <c r="J31" s="42" t="s">
        <v>639</v>
      </c>
      <c r="K31" s="90" t="s">
        <v>640</v>
      </c>
      <c r="L31" s="97"/>
      <c r="M31" s="97"/>
      <c r="N31" s="97"/>
      <c r="O31" s="97"/>
      <c r="P31" s="97"/>
      <c r="Q31" s="97"/>
      <c r="R31" s="97"/>
      <c r="S31" s="97"/>
      <c r="T31" s="97"/>
    </row>
    <row r="32" spans="1:20" ht="72">
      <c r="A32" s="28" t="str">
        <v>Greenfield USD - McKee MS</v>
      </c>
      <c r="B32" s="29" t="str">
        <v>CA</v>
      </c>
      <c r="C32" s="24">
        <v>16356</v>
      </c>
      <c r="D32" s="13">
        <v>16349</v>
      </c>
      <c r="E32" s="13">
        <f t="shared" si="8"/>
        <v>7</v>
      </c>
      <c r="F32" s="14">
        <f t="shared" si="9"/>
        <v>4.2816074377637775E-4</v>
      </c>
      <c r="G32" s="15">
        <v>27685.09</v>
      </c>
      <c r="H32" s="15">
        <f t="shared" si="10"/>
        <v>-11329.09</v>
      </c>
      <c r="I32" s="16">
        <f t="shared" si="6"/>
        <v>-0.40921268451718956</v>
      </c>
      <c r="J32" s="41" t="s">
        <v>430</v>
      </c>
      <c r="K32" s="41"/>
      <c r="L32" s="97"/>
      <c r="M32" s="97"/>
      <c r="N32" s="97"/>
      <c r="O32" s="97"/>
      <c r="P32" s="97"/>
      <c r="Q32" s="97"/>
      <c r="R32" s="97"/>
      <c r="S32" s="97"/>
      <c r="T32" s="97"/>
    </row>
    <row r="33" spans="1:20" ht="72">
      <c r="A33" s="30" t="str">
        <v>Greenfield USD - Plantation ES</v>
      </c>
      <c r="B33" s="31" t="str">
        <v>CA</v>
      </c>
      <c r="C33" s="11">
        <v>17062</v>
      </c>
      <c r="D33" s="18">
        <v>17034</v>
      </c>
      <c r="E33" s="18">
        <f t="shared" si="8"/>
        <v>28</v>
      </c>
      <c r="F33" s="19">
        <f t="shared" si="9"/>
        <v>1.6437712809674767E-3</v>
      </c>
      <c r="G33" s="20">
        <v>19789.509999999998</v>
      </c>
      <c r="H33" s="20">
        <f t="shared" si="10"/>
        <v>-2727.5099999999984</v>
      </c>
      <c r="I33" s="19">
        <f t="shared" si="6"/>
        <v>-0.13782605026602471</v>
      </c>
      <c r="J33" s="42" t="s">
        <v>430</v>
      </c>
      <c r="K33" s="43"/>
      <c r="L33" s="97"/>
      <c r="M33" s="97"/>
      <c r="N33" s="97"/>
      <c r="O33" s="97"/>
      <c r="P33" s="97"/>
      <c r="Q33" s="97"/>
      <c r="R33" s="97"/>
      <c r="S33" s="97"/>
      <c r="T33" s="97"/>
    </row>
    <row r="34" spans="1:20" ht="28.9">
      <c r="A34" s="28" t="str">
        <v>Greenfield USD - Planz ES</v>
      </c>
      <c r="B34" s="29" t="str">
        <v>CA</v>
      </c>
      <c r="C34" s="24">
        <v>8193</v>
      </c>
      <c r="D34" s="13">
        <v>8152</v>
      </c>
      <c r="E34" s="13">
        <f t="shared" si="8"/>
        <v>41</v>
      </c>
      <c r="F34" s="14">
        <f t="shared" si="9"/>
        <v>5.0294406280667319E-3</v>
      </c>
      <c r="G34" s="15">
        <v>22390.73</v>
      </c>
      <c r="H34" s="15">
        <f t="shared" si="10"/>
        <v>-14197.73</v>
      </c>
      <c r="I34" s="16">
        <f t="shared" si="6"/>
        <v>-0.63408964334793905</v>
      </c>
      <c r="J34" s="41" t="s">
        <v>641</v>
      </c>
      <c r="K34" s="88" t="s">
        <v>642</v>
      </c>
      <c r="L34" s="98" t="s">
        <v>554</v>
      </c>
      <c r="M34" s="98" t="s">
        <v>643</v>
      </c>
      <c r="N34" s="97"/>
      <c r="O34" s="97"/>
      <c r="P34" s="97"/>
      <c r="Q34" s="97"/>
      <c r="R34" s="97"/>
      <c r="S34" s="97"/>
      <c r="T34" s="97"/>
    </row>
    <row r="35" spans="1:20" ht="43.15">
      <c r="A35" s="30" t="str">
        <v>Greenfield USD - Raffaello Palla ES</v>
      </c>
      <c r="B35" s="31" t="str">
        <v>CA</v>
      </c>
      <c r="C35" s="11">
        <v>27992</v>
      </c>
      <c r="D35" s="18">
        <v>27657</v>
      </c>
      <c r="E35" s="18">
        <f t="shared" si="8"/>
        <v>335</v>
      </c>
      <c r="F35" s="19">
        <f t="shared" si="9"/>
        <v>1.2112665871208012E-2</v>
      </c>
      <c r="G35" s="20">
        <v>48991.21</v>
      </c>
      <c r="H35" s="20">
        <f t="shared" si="10"/>
        <v>-20999.21</v>
      </c>
      <c r="I35" s="19">
        <f t="shared" si="6"/>
        <v>-0.42863219749012116</v>
      </c>
      <c r="J35" s="42" t="s">
        <v>278</v>
      </c>
      <c r="K35" s="87" t="s">
        <v>555</v>
      </c>
      <c r="L35" s="98" t="s">
        <v>556</v>
      </c>
      <c r="M35" s="97"/>
      <c r="N35" s="97"/>
      <c r="O35" s="97"/>
      <c r="P35" s="97"/>
      <c r="Q35" s="97"/>
      <c r="R35" s="97"/>
      <c r="S35" s="97"/>
      <c r="T35" s="97"/>
    </row>
    <row r="36" spans="1:20" ht="72">
      <c r="A36" s="28" t="str">
        <v>Greenfield USD - Valle Verde ES</v>
      </c>
      <c r="B36" s="29" t="str">
        <v>CA</v>
      </c>
      <c r="C36" s="24">
        <v>38056</v>
      </c>
      <c r="D36" s="13">
        <v>37925</v>
      </c>
      <c r="E36" s="13">
        <f t="shared" si="8"/>
        <v>131</v>
      </c>
      <c r="F36" s="14">
        <f t="shared" si="9"/>
        <v>3.4541858932102833E-3</v>
      </c>
      <c r="G36" s="15">
        <v>45663.86</v>
      </c>
      <c r="H36" s="15">
        <f t="shared" si="10"/>
        <v>-7607.8600000000006</v>
      </c>
      <c r="I36" s="16">
        <f t="shared" si="6"/>
        <v>-0.16660571401541613</v>
      </c>
      <c r="J36" s="41" t="s">
        <v>430</v>
      </c>
      <c r="K36" s="41"/>
      <c r="L36" s="97"/>
      <c r="M36" s="97"/>
      <c r="N36" s="97"/>
      <c r="O36" s="97"/>
      <c r="P36" s="97"/>
      <c r="Q36" s="97"/>
      <c r="R36" s="97"/>
      <c r="S36" s="97"/>
      <c r="T36" s="97"/>
    </row>
    <row r="37" spans="1:20" ht="28.9">
      <c r="A37" s="30" t="str">
        <v>Greenfield USD - W.A. Kendrick ES</v>
      </c>
      <c r="B37" s="31" t="str">
        <v>CA</v>
      </c>
      <c r="C37" s="11">
        <v>0</v>
      </c>
      <c r="D37" s="18">
        <v>0</v>
      </c>
      <c r="E37" s="18">
        <f t="shared" si="8"/>
        <v>0</v>
      </c>
      <c r="F37" s="19" t="str">
        <f t="shared" si="9"/>
        <v/>
      </c>
      <c r="G37" s="20">
        <v>17601.91</v>
      </c>
      <c r="H37" s="20">
        <f t="shared" si="10"/>
        <v>-17601.91</v>
      </c>
      <c r="I37" s="19">
        <f t="shared" si="6"/>
        <v>-1</v>
      </c>
      <c r="J37" s="42" t="s">
        <v>468</v>
      </c>
      <c r="K37" s="87" t="s">
        <v>644</v>
      </c>
      <c r="L37" s="98" t="s">
        <v>645</v>
      </c>
      <c r="M37" s="97"/>
      <c r="N37" s="97"/>
      <c r="O37" s="97"/>
      <c r="P37" s="97"/>
      <c r="Q37" s="97"/>
      <c r="R37" s="97"/>
      <c r="S37" s="97"/>
      <c r="T37" s="97"/>
    </row>
    <row r="38" spans="1:20" ht="28.9">
      <c r="A38" s="28" t="str">
        <v>Muroc Joint USD - Boron HS</v>
      </c>
      <c r="B38" s="29" t="str">
        <v>CA</v>
      </c>
      <c r="C38" s="24">
        <v>0</v>
      </c>
      <c r="D38" s="13">
        <v>0</v>
      </c>
      <c r="E38" s="13">
        <f t="shared" si="8"/>
        <v>0</v>
      </c>
      <c r="F38" s="14" t="str">
        <f t="shared" si="9"/>
        <v/>
      </c>
      <c r="G38" s="15">
        <v>37925.65</v>
      </c>
      <c r="H38" s="15">
        <f t="shared" si="10"/>
        <v>-37925.65</v>
      </c>
      <c r="I38" s="16">
        <f t="shared" si="6"/>
        <v>-1</v>
      </c>
      <c r="J38" s="41" t="s">
        <v>558</v>
      </c>
      <c r="K38" s="88" t="s">
        <v>559</v>
      </c>
      <c r="L38" s="97"/>
      <c r="M38" s="97"/>
      <c r="N38" s="97"/>
      <c r="O38" s="97"/>
      <c r="P38" s="97"/>
      <c r="Q38" s="97"/>
      <c r="R38" s="97"/>
      <c r="S38" s="97"/>
      <c r="T38" s="97"/>
    </row>
    <row r="39" spans="1:20" ht="72">
      <c r="A39" s="30" t="str">
        <v>Muroc Joint USD - W. Boron ES</v>
      </c>
      <c r="B39" s="31" t="str">
        <v>CA</v>
      </c>
      <c r="C39" s="11">
        <v>12430</v>
      </c>
      <c r="D39" s="18">
        <v>12406</v>
      </c>
      <c r="E39" s="18">
        <f t="shared" si="8"/>
        <v>24</v>
      </c>
      <c r="F39" s="19">
        <f t="shared" si="9"/>
        <v>1.9345477994518782E-3</v>
      </c>
      <c r="G39" s="20">
        <v>13990.21</v>
      </c>
      <c r="H39" s="20">
        <f t="shared" si="10"/>
        <v>-1560.2099999999991</v>
      </c>
      <c r="I39" s="19">
        <f t="shared" si="6"/>
        <v>-0.11152155686011855</v>
      </c>
      <c r="J39" s="42" t="s">
        <v>430</v>
      </c>
      <c r="K39" s="43"/>
      <c r="L39" s="97"/>
      <c r="M39" s="97"/>
      <c r="N39" s="97"/>
      <c r="O39" s="97"/>
      <c r="P39" s="97"/>
      <c r="Q39" s="97"/>
      <c r="R39" s="97"/>
      <c r="S39" s="97"/>
      <c r="T39" s="97"/>
    </row>
    <row r="40" spans="1:20" ht="43.15">
      <c r="A40" s="28" t="str">
        <v>Colusa - WTP</v>
      </c>
      <c r="B40" s="29" t="str">
        <v>CA</v>
      </c>
      <c r="C40" s="24">
        <v>0</v>
      </c>
      <c r="D40" s="13">
        <v>0</v>
      </c>
      <c r="E40" s="13">
        <f t="shared" si="8"/>
        <v>0</v>
      </c>
      <c r="F40" s="14" t="str">
        <f t="shared" si="9"/>
        <v/>
      </c>
      <c r="G40" s="15">
        <v>57556.480000000003</v>
      </c>
      <c r="H40" s="15">
        <f t="shared" si="10"/>
        <v>-57556.480000000003</v>
      </c>
      <c r="I40" s="16">
        <f t="shared" si="6"/>
        <v>-1</v>
      </c>
      <c r="J40" s="41" t="s">
        <v>560</v>
      </c>
      <c r="K40" s="88" t="s">
        <v>561</v>
      </c>
      <c r="L40" s="98" t="s">
        <v>562</v>
      </c>
      <c r="M40" s="97"/>
      <c r="N40" s="97"/>
      <c r="O40" s="97"/>
      <c r="P40" s="97"/>
      <c r="Q40" s="97"/>
      <c r="R40" s="97"/>
      <c r="S40" s="97"/>
      <c r="T40" s="97"/>
    </row>
    <row r="41" spans="1:20" ht="86.45">
      <c r="A41" s="30" t="str">
        <v>CDCR-North Kern State Prision</v>
      </c>
      <c r="B41" s="31" t="str">
        <v>CA</v>
      </c>
      <c r="C41" s="11">
        <v>58379</v>
      </c>
      <c r="D41" s="18">
        <v>58170</v>
      </c>
      <c r="E41" s="18">
        <f t="shared" si="8"/>
        <v>209</v>
      </c>
      <c r="F41" s="19">
        <f t="shared" si="9"/>
        <v>3.5929173113288639E-3</v>
      </c>
      <c r="G41" s="20">
        <v>249174</v>
      </c>
      <c r="H41" s="20">
        <f t="shared" si="10"/>
        <v>-190795</v>
      </c>
      <c r="I41" s="19">
        <f t="shared" si="6"/>
        <v>-0.76570990552786411</v>
      </c>
      <c r="J41" s="42" t="s">
        <v>646</v>
      </c>
      <c r="K41" s="87" t="s">
        <v>647</v>
      </c>
      <c r="L41" s="98" t="s">
        <v>648</v>
      </c>
      <c r="M41" s="98" t="s">
        <v>193</v>
      </c>
      <c r="N41" s="98" t="s">
        <v>649</v>
      </c>
      <c r="O41" s="98" t="s">
        <v>650</v>
      </c>
      <c r="P41" s="97"/>
      <c r="Q41" s="97"/>
      <c r="R41" s="97"/>
      <c r="S41" s="97"/>
      <c r="T41" s="97"/>
    </row>
    <row r="42" spans="1:20" ht="72">
      <c r="A42" s="28" t="str">
        <v>Muroc Joint USD - District Office</v>
      </c>
      <c r="B42" s="29" t="str">
        <v>CA</v>
      </c>
      <c r="C42" s="24">
        <v>5987</v>
      </c>
      <c r="D42" s="13">
        <v>5980</v>
      </c>
      <c r="E42" s="13">
        <f t="shared" si="8"/>
        <v>7</v>
      </c>
      <c r="F42" s="14">
        <f t="shared" si="9"/>
        <v>1.1705685618729096E-3</v>
      </c>
      <c r="G42" s="15">
        <v>9865.4699999999993</v>
      </c>
      <c r="H42" s="15">
        <f t="shared" si="10"/>
        <v>-3878.4699999999993</v>
      </c>
      <c r="I42" s="16">
        <f t="shared" si="6"/>
        <v>-0.39313585667991485</v>
      </c>
      <c r="J42" s="41" t="s">
        <v>430</v>
      </c>
      <c r="K42" s="41"/>
      <c r="L42" s="97"/>
      <c r="M42" s="97"/>
      <c r="N42" s="97"/>
      <c r="O42" s="97"/>
      <c r="P42" s="97"/>
      <c r="Q42" s="97"/>
      <c r="R42" s="97"/>
      <c r="S42" s="97"/>
      <c r="T42" s="97"/>
    </row>
    <row r="43" spans="1:20" ht="144">
      <c r="A43" s="30" t="str">
        <v>Whole Foods - Manhattan Beach</v>
      </c>
      <c r="B43" s="31" t="str">
        <v>CA</v>
      </c>
      <c r="C43" s="11">
        <v>16165</v>
      </c>
      <c r="D43" s="18">
        <v>16144</v>
      </c>
      <c r="E43" s="18">
        <f t="shared" si="8"/>
        <v>21</v>
      </c>
      <c r="F43" s="19">
        <f t="shared" si="9"/>
        <v>1.300792864222002E-3</v>
      </c>
      <c r="G43" s="20">
        <v>21814.14</v>
      </c>
      <c r="H43" s="20">
        <f t="shared" si="10"/>
        <v>-5649.1399999999994</v>
      </c>
      <c r="I43" s="19">
        <f t="shared" si="6"/>
        <v>-0.25896689028309161</v>
      </c>
      <c r="J43" s="42" t="s">
        <v>651</v>
      </c>
      <c r="K43" s="87" t="s">
        <v>652</v>
      </c>
      <c r="L43" s="98" t="s">
        <v>477</v>
      </c>
      <c r="M43" s="98" t="s">
        <v>476</v>
      </c>
      <c r="N43" s="98" t="s">
        <v>567</v>
      </c>
      <c r="O43" s="98" t="s">
        <v>568</v>
      </c>
      <c r="P43" s="98" t="s">
        <v>64</v>
      </c>
      <c r="Q43" s="98" t="s">
        <v>653</v>
      </c>
      <c r="R43" s="98" t="s">
        <v>287</v>
      </c>
      <c r="S43" s="98" t="s">
        <v>653</v>
      </c>
      <c r="T43" s="98" t="s">
        <v>475</v>
      </c>
    </row>
    <row r="44" spans="1:20" ht="28.9">
      <c r="A44" s="28" t="str">
        <v>Pioneer USD - Frontier ES</v>
      </c>
      <c r="B44" s="29" t="str">
        <v>CA</v>
      </c>
      <c r="C44" s="24">
        <v>25848</v>
      </c>
      <c r="D44" s="13">
        <v>0</v>
      </c>
      <c r="E44" s="13">
        <f t="shared" si="8"/>
        <v>25848</v>
      </c>
      <c r="F44" s="14" t="str">
        <f t="shared" si="9"/>
        <v/>
      </c>
      <c r="G44" s="15">
        <v>38751.86</v>
      </c>
      <c r="H44" s="15">
        <f t="shared" si="10"/>
        <v>-12903.86</v>
      </c>
      <c r="I44" s="16">
        <f t="shared" si="6"/>
        <v>-0.33298685534062106</v>
      </c>
      <c r="J44" s="41" t="s">
        <v>654</v>
      </c>
      <c r="K44" s="88" t="s">
        <v>655</v>
      </c>
      <c r="L44" s="98" t="s">
        <v>656</v>
      </c>
      <c r="M44" s="97"/>
      <c r="N44" s="97"/>
      <c r="O44" s="97"/>
      <c r="P44" s="97"/>
      <c r="Q44" s="97"/>
      <c r="R44" s="97"/>
      <c r="S44" s="97"/>
      <c r="T44" s="97"/>
    </row>
    <row r="45" spans="1:20" ht="28.9">
      <c r="A45" s="30" t="str">
        <v>Pioneer USD - Pioneer ES</v>
      </c>
      <c r="B45" s="31" t="str">
        <v>CA</v>
      </c>
      <c r="C45" s="11">
        <v>6407</v>
      </c>
      <c r="D45" s="18">
        <v>0</v>
      </c>
      <c r="E45" s="18">
        <f t="shared" si="8"/>
        <v>6407</v>
      </c>
      <c r="F45" s="19" t="str">
        <f t="shared" si="9"/>
        <v/>
      </c>
      <c r="G45" s="20">
        <v>39394.46</v>
      </c>
      <c r="H45" s="20">
        <f t="shared" si="10"/>
        <v>-32987.46</v>
      </c>
      <c r="I45" s="19">
        <f t="shared" si="6"/>
        <v>-0.83736291854235345</v>
      </c>
      <c r="J45" s="42" t="s">
        <v>570</v>
      </c>
      <c r="K45" s="92" t="s">
        <v>571</v>
      </c>
      <c r="L45" s="98" t="s">
        <v>572</v>
      </c>
      <c r="M45" s="97"/>
      <c r="N45" s="97"/>
      <c r="O45" s="97"/>
      <c r="P45" s="97"/>
      <c r="Q45" s="97"/>
      <c r="R45" s="97"/>
      <c r="S45" s="97"/>
      <c r="T45" s="97"/>
    </row>
    <row r="46" spans="1:20" ht="72">
      <c r="A46" s="28" t="str">
        <v>Pioneer USD - Pioneer MS</v>
      </c>
      <c r="B46" s="29" t="str">
        <v>CA</v>
      </c>
      <c r="C46" s="24">
        <v>40649</v>
      </c>
      <c r="D46" s="13">
        <v>0</v>
      </c>
      <c r="E46" s="13">
        <f t="shared" si="8"/>
        <v>40649</v>
      </c>
      <c r="F46" s="14" t="str">
        <f t="shared" si="9"/>
        <v/>
      </c>
      <c r="G46" s="15">
        <v>52823.24</v>
      </c>
      <c r="H46" s="15">
        <f t="shared" si="10"/>
        <v>-12174.239999999998</v>
      </c>
      <c r="I46" s="16">
        <f t="shared" si="6"/>
        <v>-0.2304712849874411</v>
      </c>
      <c r="J46" s="41" t="s">
        <v>430</v>
      </c>
      <c r="K46" s="41"/>
      <c r="L46" s="97"/>
      <c r="M46" s="97"/>
      <c r="N46" s="97"/>
      <c r="O46" s="97"/>
      <c r="P46" s="97"/>
      <c r="Q46" s="97"/>
      <c r="R46" s="97"/>
      <c r="S46" s="97"/>
      <c r="T46" s="97"/>
    </row>
    <row r="47" spans="1:20" ht="115.15">
      <c r="A47" s="30" t="str">
        <v>Kingsburg Joint UHSD - Kingsburg HS</v>
      </c>
      <c r="B47" s="31" t="str">
        <v>CA</v>
      </c>
      <c r="C47" s="11">
        <v>21421</v>
      </c>
      <c r="D47" s="18">
        <v>0</v>
      </c>
      <c r="E47" s="18">
        <f t="shared" si="8"/>
        <v>21421</v>
      </c>
      <c r="F47" s="19" t="str">
        <f t="shared" si="9"/>
        <v/>
      </c>
      <c r="G47" s="20">
        <v>91328.63</v>
      </c>
      <c r="H47" s="20">
        <f t="shared" si="10"/>
        <v>-69907.63</v>
      </c>
      <c r="I47" s="19">
        <f t="shared" si="6"/>
        <v>-0.7654514252540523</v>
      </c>
      <c r="J47" s="42" t="s">
        <v>573</v>
      </c>
      <c r="K47" s="87" t="s">
        <v>574</v>
      </c>
      <c r="L47" s="98" t="s">
        <v>78</v>
      </c>
      <c r="M47" s="98" t="s">
        <v>149</v>
      </c>
      <c r="N47" s="98" t="s">
        <v>391</v>
      </c>
      <c r="O47" s="97"/>
      <c r="P47" s="97"/>
      <c r="Q47" s="97"/>
      <c r="R47" s="97"/>
      <c r="S47" s="97"/>
      <c r="T47" s="97"/>
    </row>
    <row r="48" spans="1:20" ht="115.15">
      <c r="A48" s="28" t="str">
        <v>CADRB</v>
      </c>
      <c r="B48" s="29" t="str">
        <v>CA</v>
      </c>
      <c r="C48" s="24">
        <v>0</v>
      </c>
      <c r="D48" s="13">
        <v>0</v>
      </c>
      <c r="E48" s="13">
        <f t="shared" si="8"/>
        <v>0</v>
      </c>
      <c r="F48" s="14" t="str">
        <f t="shared" si="9"/>
        <v/>
      </c>
      <c r="G48" s="15">
        <v>719943</v>
      </c>
      <c r="H48" s="15">
        <f t="shared" si="10"/>
        <v>-719943</v>
      </c>
      <c r="I48" s="16">
        <f t="shared" si="6"/>
        <v>-1</v>
      </c>
      <c r="J48" s="41" t="s">
        <v>657</v>
      </c>
      <c r="K48" s="88" t="s">
        <v>658</v>
      </c>
      <c r="L48" s="98" t="s">
        <v>152</v>
      </c>
      <c r="M48" s="98" t="s">
        <v>295</v>
      </c>
      <c r="N48" s="98" t="s">
        <v>81</v>
      </c>
      <c r="O48" s="98" t="s">
        <v>295</v>
      </c>
      <c r="P48" s="98" t="s">
        <v>82</v>
      </c>
      <c r="Q48" s="98" t="s">
        <v>659</v>
      </c>
      <c r="R48" s="97"/>
      <c r="S48" s="97"/>
      <c r="T48" s="97"/>
    </row>
    <row r="49" spans="1:20" ht="57.6">
      <c r="A49" s="30" t="str">
        <v>CDCR-CA State Prison LA County</v>
      </c>
      <c r="B49" s="31" t="str">
        <v>CA</v>
      </c>
      <c r="C49" s="11">
        <v>261101</v>
      </c>
      <c r="D49" s="18">
        <v>260541</v>
      </c>
      <c r="E49" s="18">
        <f t="shared" si="8"/>
        <v>560</v>
      </c>
      <c r="F49" s="19">
        <f t="shared" si="9"/>
        <v>2.1493738029715092E-3</v>
      </c>
      <c r="G49" s="20">
        <v>526862</v>
      </c>
      <c r="H49" s="20">
        <f t="shared" si="10"/>
        <v>-265761</v>
      </c>
      <c r="I49" s="19">
        <f t="shared" si="6"/>
        <v>-0.50442241042246361</v>
      </c>
      <c r="J49" s="42" t="s">
        <v>660</v>
      </c>
      <c r="K49" s="87" t="s">
        <v>576</v>
      </c>
      <c r="L49" s="98" t="s">
        <v>394</v>
      </c>
      <c r="M49" s="97"/>
      <c r="N49" s="97"/>
      <c r="O49" s="97"/>
      <c r="P49" s="97"/>
      <c r="Q49" s="97"/>
      <c r="R49" s="97"/>
      <c r="S49" s="97"/>
      <c r="T49" s="97"/>
    </row>
    <row r="50" spans="1:20" ht="28.9">
      <c r="A50" s="28" t="str">
        <v>Central USD Akers ES</v>
      </c>
      <c r="B50" s="29" t="str">
        <v>CA</v>
      </c>
      <c r="C50" s="24">
        <v>0</v>
      </c>
      <c r="D50" s="13" t="s">
        <v>24</v>
      </c>
      <c r="E50" s="13" t="str">
        <f t="shared" si="8"/>
        <v/>
      </c>
      <c r="F50" s="14" t="str">
        <f t="shared" si="9"/>
        <v/>
      </c>
      <c r="G50" s="15">
        <v>39742.800000000003</v>
      </c>
      <c r="H50" s="15">
        <f t="shared" si="10"/>
        <v>-39742.800000000003</v>
      </c>
      <c r="I50" s="16">
        <f t="shared" si="6"/>
        <v>-1</v>
      </c>
      <c r="J50" s="41" t="s">
        <v>577</v>
      </c>
      <c r="K50" s="88" t="s">
        <v>661</v>
      </c>
      <c r="L50" s="98" t="s">
        <v>579</v>
      </c>
      <c r="M50" s="98" t="s">
        <v>662</v>
      </c>
      <c r="N50" s="97"/>
      <c r="O50" s="97"/>
      <c r="P50" s="97"/>
      <c r="Q50" s="97"/>
      <c r="R50" s="97"/>
      <c r="S50" s="97"/>
      <c r="T50" s="97"/>
    </row>
    <row r="51" spans="1:20" ht="43.15">
      <c r="A51" s="30" t="str">
        <v>CUSD - District Office</v>
      </c>
      <c r="B51" s="31" t="str">
        <v>CA</v>
      </c>
      <c r="C51" s="11">
        <v>22676</v>
      </c>
      <c r="D51" s="18">
        <v>22624</v>
      </c>
      <c r="E51" s="18">
        <f t="shared" si="8"/>
        <v>52</v>
      </c>
      <c r="F51" s="19">
        <f t="shared" si="9"/>
        <v>2.2984441301272984E-3</v>
      </c>
      <c r="G51" s="20">
        <v>33305.360000000001</v>
      </c>
      <c r="H51" s="20">
        <f t="shared" si="10"/>
        <v>-10629.36</v>
      </c>
      <c r="I51" s="19">
        <f t="shared" si="6"/>
        <v>-0.31914862952990153</v>
      </c>
      <c r="J51" s="42" t="s">
        <v>663</v>
      </c>
      <c r="K51" s="87" t="s">
        <v>664</v>
      </c>
      <c r="L51" s="97"/>
      <c r="M51" s="97"/>
      <c r="N51" s="97"/>
      <c r="O51" s="97"/>
      <c r="P51" s="97"/>
      <c r="Q51" s="97"/>
      <c r="R51" s="97"/>
      <c r="S51" s="97"/>
      <c r="T51" s="97"/>
    </row>
    <row r="52" spans="1:20" ht="72">
      <c r="A52" s="28" t="str">
        <v>Parlier - WTP</v>
      </c>
      <c r="B52" s="29" t="str">
        <v>CA</v>
      </c>
      <c r="C52" s="24">
        <v>36391</v>
      </c>
      <c r="D52" s="13">
        <v>36374</v>
      </c>
      <c r="E52" s="13">
        <f t="shared" si="8"/>
        <v>17</v>
      </c>
      <c r="F52" s="14">
        <f t="shared" si="9"/>
        <v>4.6736680046186838E-4</v>
      </c>
      <c r="G52" s="15">
        <v>104476.96</v>
      </c>
      <c r="H52" s="15">
        <f t="shared" si="10"/>
        <v>-68085.960000000006</v>
      </c>
      <c r="I52" s="16">
        <f t="shared" si="6"/>
        <v>-0.65168396936511175</v>
      </c>
      <c r="J52" s="41" t="s">
        <v>430</v>
      </c>
      <c r="K52" s="41"/>
      <c r="L52" s="97"/>
      <c r="M52" s="97"/>
      <c r="N52" s="97"/>
      <c r="O52" s="97"/>
      <c r="P52" s="97"/>
      <c r="Q52" s="97"/>
      <c r="R52" s="97"/>
      <c r="S52" s="97"/>
      <c r="T52" s="97"/>
    </row>
    <row r="53" spans="1:20" ht="28.9">
      <c r="A53" s="30" t="str">
        <v>Snowline SD - Quail Valley MS</v>
      </c>
      <c r="B53" s="31" t="str">
        <v>CA</v>
      </c>
      <c r="C53" s="11">
        <v>6586</v>
      </c>
      <c r="D53" s="18">
        <v>6579</v>
      </c>
      <c r="E53" s="18">
        <f>IF(AND(ISNUMBER(C53),ISNUMBER(D52)), C53-D52, "")</f>
        <v>-29788</v>
      </c>
      <c r="F53" s="19">
        <f>IFERROR(E53/D52, "")</f>
        <v>-0.81893660306812555</v>
      </c>
      <c r="G53" s="20">
        <v>45736.68</v>
      </c>
      <c r="H53" s="20">
        <f t="shared" si="10"/>
        <v>-39150.68</v>
      </c>
      <c r="I53" s="19">
        <f t="shared" si="6"/>
        <v>-0.8560017911225738</v>
      </c>
      <c r="J53" s="42" t="s">
        <v>665</v>
      </c>
      <c r="K53" s="87" t="s">
        <v>666</v>
      </c>
      <c r="L53" s="97"/>
      <c r="M53" s="97"/>
      <c r="N53" s="97"/>
      <c r="O53" s="97"/>
      <c r="P53" s="97"/>
      <c r="Q53" s="97"/>
      <c r="R53" s="97"/>
      <c r="S53" s="97"/>
      <c r="T53" s="97"/>
    </row>
    <row r="54" spans="1:20" ht="15.6">
      <c r="A54" s="28" t="str">
        <v>Snowline SD - Serrano HS - Middle Lot</v>
      </c>
      <c r="B54" s="29" t="str">
        <v>CA</v>
      </c>
      <c r="C54" s="24">
        <v>56288</v>
      </c>
      <c r="D54" s="13">
        <v>50248</v>
      </c>
      <c r="E54" s="13">
        <f t="shared" si="8"/>
        <v>6040</v>
      </c>
      <c r="F54" s="14">
        <f t="shared" si="9"/>
        <v>0.12020378920554052</v>
      </c>
      <c r="G54" s="15">
        <v>55248</v>
      </c>
      <c r="H54" s="15">
        <f t="shared" si="10"/>
        <v>1040</v>
      </c>
      <c r="I54" s="16">
        <f t="shared" si="6"/>
        <v>1.8824210831161307E-2</v>
      </c>
      <c r="J54" s="41"/>
      <c r="K54" s="41"/>
      <c r="L54" s="97"/>
      <c r="M54" s="97"/>
      <c r="N54" s="97"/>
      <c r="O54" s="97"/>
      <c r="P54" s="97"/>
      <c r="Q54" s="97"/>
      <c r="R54" s="97"/>
      <c r="S54" s="97"/>
      <c r="T54" s="97"/>
    </row>
    <row r="55" spans="1:20" ht="39.6">
      <c r="A55" s="30" t="str">
        <v>Snowline SD - Pinon Hills ES</v>
      </c>
      <c r="B55" s="31" t="str">
        <v>CA</v>
      </c>
      <c r="C55" s="11">
        <v>12155</v>
      </c>
      <c r="D55" s="18">
        <v>12147</v>
      </c>
      <c r="E55" s="18">
        <f t="shared" si="8"/>
        <v>8</v>
      </c>
      <c r="F55" s="19">
        <f t="shared" si="9"/>
        <v>6.5859883098707498E-4</v>
      </c>
      <c r="G55" s="20">
        <v>24831.61</v>
      </c>
      <c r="H55" s="20">
        <f t="shared" si="10"/>
        <v>-12676.61</v>
      </c>
      <c r="I55" s="19">
        <f t="shared" si="6"/>
        <v>-0.5105029436270947</v>
      </c>
      <c r="J55" s="80" t="s">
        <v>667</v>
      </c>
      <c r="K55" s="87" t="s">
        <v>668</v>
      </c>
      <c r="L55" s="97"/>
      <c r="M55" s="97"/>
      <c r="N55" s="97"/>
      <c r="O55" s="97"/>
      <c r="P55" s="97"/>
      <c r="Q55" s="97"/>
      <c r="R55" s="97"/>
      <c r="S55" s="97"/>
      <c r="T55" s="97"/>
    </row>
    <row r="56" spans="1:20" ht="72">
      <c r="A56" s="28" t="str">
        <v>Ramona - Santa Maria WTP</v>
      </c>
      <c r="B56" s="29" t="str">
        <v>CA</v>
      </c>
      <c r="C56" s="24">
        <v>73596</v>
      </c>
      <c r="D56" s="13">
        <v>69986</v>
      </c>
      <c r="E56" s="13">
        <f t="shared" si="8"/>
        <v>3610</v>
      </c>
      <c r="F56" s="14">
        <f t="shared" si="9"/>
        <v>5.1581744920412655E-2</v>
      </c>
      <c r="G56" s="15">
        <v>85059.04</v>
      </c>
      <c r="H56" s="15">
        <f t="shared" si="10"/>
        <v>-11463.039999999994</v>
      </c>
      <c r="I56" s="16">
        <f t="shared" si="6"/>
        <v>-0.13476568745661829</v>
      </c>
      <c r="J56" s="41" t="s">
        <v>430</v>
      </c>
      <c r="K56" s="41"/>
      <c r="L56" s="97"/>
      <c r="M56" s="97"/>
      <c r="N56" s="97"/>
      <c r="O56" s="97"/>
      <c r="P56" s="97"/>
      <c r="Q56" s="97"/>
      <c r="R56" s="97"/>
      <c r="S56" s="97"/>
      <c r="T56" s="97"/>
    </row>
    <row r="57" spans="1:20" ht="28.9">
      <c r="A57" s="30" t="str">
        <v>Kohls - Redding</v>
      </c>
      <c r="B57" s="31" t="str">
        <v>CA</v>
      </c>
      <c r="C57" s="11">
        <v>41426</v>
      </c>
      <c r="D57" s="18">
        <v>0</v>
      </c>
      <c r="E57" s="18">
        <f t="shared" si="8"/>
        <v>41426</v>
      </c>
      <c r="F57" s="19" t="str">
        <f t="shared" si="9"/>
        <v/>
      </c>
      <c r="G57" s="20">
        <v>34483.39</v>
      </c>
      <c r="H57" s="20">
        <f t="shared" si="10"/>
        <v>6942.6100000000006</v>
      </c>
      <c r="I57" s="19">
        <f t="shared" si="6"/>
        <v>0.20133200361101392</v>
      </c>
      <c r="J57" s="42" t="s">
        <v>669</v>
      </c>
      <c r="K57" s="87" t="s">
        <v>586</v>
      </c>
      <c r="L57" s="97"/>
      <c r="M57" s="97"/>
      <c r="N57" s="97"/>
      <c r="O57" s="97"/>
      <c r="P57" s="97"/>
      <c r="Q57" s="97"/>
      <c r="R57" s="97"/>
      <c r="S57" s="97"/>
      <c r="T57" s="97"/>
    </row>
    <row r="58" spans="1:20" ht="100.9">
      <c r="A58" s="28" t="str">
        <v>Kohls - Salinas</v>
      </c>
      <c r="B58" s="29" t="str">
        <v>CA</v>
      </c>
      <c r="C58" s="24">
        <v>37432</v>
      </c>
      <c r="D58" s="13">
        <v>37243</v>
      </c>
      <c r="E58" s="13">
        <f t="shared" si="8"/>
        <v>189</v>
      </c>
      <c r="F58" s="14">
        <f t="shared" si="9"/>
        <v>5.0747791531294472E-3</v>
      </c>
      <c r="G58" s="15">
        <v>49882.8</v>
      </c>
      <c r="H58" s="15">
        <f t="shared" si="10"/>
        <v>-12450.800000000003</v>
      </c>
      <c r="I58" s="16">
        <f t="shared" si="6"/>
        <v>-0.24960106489611655</v>
      </c>
      <c r="J58" s="41" t="s">
        <v>670</v>
      </c>
      <c r="K58" s="88" t="s">
        <v>671</v>
      </c>
      <c r="L58" s="98" t="s">
        <v>221</v>
      </c>
      <c r="M58" s="98" t="s">
        <v>158</v>
      </c>
      <c r="N58" s="98" t="s">
        <v>100</v>
      </c>
      <c r="O58" s="98" t="s">
        <v>98</v>
      </c>
      <c r="P58" s="98" t="s">
        <v>672</v>
      </c>
      <c r="Q58" s="98" t="s">
        <v>408</v>
      </c>
      <c r="R58" s="98" t="s">
        <v>673</v>
      </c>
      <c r="S58" s="98" t="s">
        <v>674</v>
      </c>
      <c r="T58" s="97"/>
    </row>
    <row r="59" spans="1:20" s="111" customFormat="1" ht="15.6" hidden="1">
      <c r="A59" s="103" t="str">
        <v>Kohls - San Bernardino - Central</v>
      </c>
      <c r="B59" s="104" t="str">
        <v>CA</v>
      </c>
      <c r="C59" s="105">
        <v>24056</v>
      </c>
      <c r="D59" s="106">
        <v>24004</v>
      </c>
      <c r="E59" s="106">
        <f t="shared" si="8"/>
        <v>52</v>
      </c>
      <c r="F59" s="107">
        <f t="shared" si="9"/>
        <v>2.1663056157307115E-3</v>
      </c>
      <c r="G59" s="108">
        <v>159304.39000000001</v>
      </c>
      <c r="H59" s="108">
        <f t="shared" si="10"/>
        <v>-135248.39000000001</v>
      </c>
      <c r="I59" s="107">
        <f t="shared" si="6"/>
        <v>-0.84899348975881961</v>
      </c>
      <c r="J59" s="109"/>
      <c r="K59" s="110"/>
      <c r="L59" s="112"/>
      <c r="M59" s="112"/>
      <c r="N59" s="112"/>
      <c r="O59" s="112"/>
      <c r="P59" s="112"/>
      <c r="Q59" s="112"/>
      <c r="R59" s="112"/>
      <c r="S59" s="112"/>
      <c r="T59" s="112"/>
    </row>
    <row r="60" spans="1:20" ht="79.150000000000006">
      <c r="A60" s="28" t="str">
        <v>Kohls - Sonora</v>
      </c>
      <c r="B60" s="29" t="str">
        <v>CA</v>
      </c>
      <c r="C60" s="24">
        <v>31630</v>
      </c>
      <c r="D60" s="13">
        <v>31511</v>
      </c>
      <c r="E60" s="13">
        <f t="shared" si="8"/>
        <v>119</v>
      </c>
      <c r="F60" s="14">
        <f t="shared" si="9"/>
        <v>3.7764590143124625E-3</v>
      </c>
      <c r="G60" s="15">
        <v>34926.230000000003</v>
      </c>
      <c r="H60" s="15">
        <f t="shared" si="10"/>
        <v>-3296.2300000000032</v>
      </c>
      <c r="I60" s="16">
        <f t="shared" si="6"/>
        <v>-9.4376919581644028E-2</v>
      </c>
      <c r="J60" s="41" t="s">
        <v>675</v>
      </c>
      <c r="K60" s="88" t="s">
        <v>588</v>
      </c>
      <c r="L60" s="98" t="s">
        <v>161</v>
      </c>
      <c r="M60" s="98" t="s">
        <v>103</v>
      </c>
      <c r="N60" s="98" t="s">
        <v>161</v>
      </c>
      <c r="O60" s="98" t="s">
        <v>589</v>
      </c>
      <c r="P60" s="98" t="s">
        <v>590</v>
      </c>
      <c r="Q60" s="97"/>
      <c r="R60" s="97"/>
      <c r="S60" s="97"/>
      <c r="T60" s="97"/>
    </row>
    <row r="61" spans="1:20" ht="28.9">
      <c r="A61" s="30" t="str">
        <v>CUSD - Stratford ES</v>
      </c>
      <c r="B61" s="31" t="str">
        <v>CA</v>
      </c>
      <c r="C61" s="11">
        <v>22538</v>
      </c>
      <c r="D61" s="18">
        <v>22512</v>
      </c>
      <c r="E61" s="18">
        <f t="shared" si="8"/>
        <v>26</v>
      </c>
      <c r="F61" s="19">
        <f t="shared" si="9"/>
        <v>1.1549395877754086E-3</v>
      </c>
      <c r="G61" s="20">
        <v>24283.98</v>
      </c>
      <c r="H61" s="20">
        <f t="shared" si="10"/>
        <v>-1745.9799999999996</v>
      </c>
      <c r="I61" s="19">
        <f t="shared" si="6"/>
        <v>-7.1898428511306609E-2</v>
      </c>
      <c r="J61" s="42" t="s">
        <v>591</v>
      </c>
      <c r="K61" s="87" t="s">
        <v>502</v>
      </c>
      <c r="L61" s="97"/>
      <c r="M61" s="97"/>
      <c r="N61" s="97"/>
      <c r="O61" s="97"/>
      <c r="P61" s="97"/>
      <c r="Q61" s="97"/>
      <c r="R61" s="97"/>
      <c r="S61" s="97"/>
      <c r="T61" s="97"/>
    </row>
    <row r="62" spans="1:20" ht="72">
      <c r="A62" s="28" t="str">
        <v>Taft - City Hall</v>
      </c>
      <c r="B62" s="29" t="str">
        <v>CA</v>
      </c>
      <c r="C62" s="24">
        <v>137</v>
      </c>
      <c r="D62" s="13">
        <v>430</v>
      </c>
      <c r="E62" s="13">
        <f t="shared" si="8"/>
        <v>-293</v>
      </c>
      <c r="F62" s="14">
        <f t="shared" si="9"/>
        <v>-0.68139534883720931</v>
      </c>
      <c r="G62" s="15">
        <v>10853.22</v>
      </c>
      <c r="H62" s="15">
        <f t="shared" si="10"/>
        <v>-10716.22</v>
      </c>
      <c r="I62" s="16">
        <f t="shared" si="6"/>
        <v>-0.98737701806468492</v>
      </c>
      <c r="J62" s="41" t="s">
        <v>503</v>
      </c>
      <c r="K62" s="88" t="s">
        <v>592</v>
      </c>
      <c r="L62" s="98" t="s">
        <v>593</v>
      </c>
      <c r="M62" s="97"/>
      <c r="N62" s="97"/>
      <c r="O62" s="97"/>
      <c r="P62" s="97"/>
      <c r="Q62" s="97"/>
      <c r="R62" s="97"/>
      <c r="S62" s="97"/>
      <c r="T62" s="97"/>
    </row>
    <row r="63" spans="1:20" ht="15.6">
      <c r="A63" s="30" t="str">
        <v>Taft - Federal Prison</v>
      </c>
      <c r="B63" s="31" t="str">
        <v>CA</v>
      </c>
      <c r="C63" s="11">
        <v>11413</v>
      </c>
      <c r="D63" s="18">
        <v>11698</v>
      </c>
      <c r="E63" s="18">
        <f t="shared" si="8"/>
        <v>-285</v>
      </c>
      <c r="F63" s="19">
        <f t="shared" si="9"/>
        <v>-2.4363138998119337E-2</v>
      </c>
      <c r="G63" s="20">
        <v>17081.66</v>
      </c>
      <c r="H63" s="20">
        <f t="shared" si="10"/>
        <v>-5668.66</v>
      </c>
      <c r="I63" s="19">
        <f t="shared" si="6"/>
        <v>-0.3318565057494412</v>
      </c>
      <c r="J63" s="42" t="s">
        <v>676</v>
      </c>
      <c r="K63" s="92" t="s">
        <v>677</v>
      </c>
      <c r="L63" s="97"/>
      <c r="M63" s="97"/>
      <c r="N63" s="97"/>
      <c r="O63" s="97"/>
      <c r="P63" s="97"/>
      <c r="Q63" s="97"/>
      <c r="R63" s="97"/>
      <c r="S63" s="97"/>
      <c r="T63" s="97"/>
    </row>
    <row r="64" spans="1:20" ht="15.6">
      <c r="A64" s="28" t="str">
        <v>Taft - Police Department</v>
      </c>
      <c r="B64" s="29" t="str">
        <v>CA</v>
      </c>
      <c r="C64" s="24">
        <v>12757</v>
      </c>
      <c r="D64" s="13">
        <v>12739</v>
      </c>
      <c r="E64" s="13">
        <f t="shared" si="8"/>
        <v>18</v>
      </c>
      <c r="F64" s="14">
        <f t="shared" si="9"/>
        <v>1.4129837506868671E-3</v>
      </c>
      <c r="G64" s="15">
        <v>12412.16</v>
      </c>
      <c r="H64" s="15">
        <f t="shared" si="10"/>
        <v>344.84000000000015</v>
      </c>
      <c r="I64" s="16">
        <f t="shared" si="6"/>
        <v>2.7782432711147789E-2</v>
      </c>
      <c r="J64" s="41"/>
      <c r="K64" s="41"/>
      <c r="L64" s="97"/>
      <c r="M64" s="97"/>
      <c r="N64" s="97"/>
      <c r="O64" s="97"/>
      <c r="P64" s="97"/>
      <c r="Q64" s="97"/>
      <c r="R64" s="97"/>
      <c r="S64" s="97"/>
      <c r="T64" s="97"/>
    </row>
    <row r="65" spans="1:20" ht="15.6">
      <c r="A65" s="30" t="str">
        <v>Taft - WTP</v>
      </c>
      <c r="B65" s="31" t="str">
        <v>CA</v>
      </c>
      <c r="C65" s="11">
        <v>58981</v>
      </c>
      <c r="D65" s="18">
        <v>58793</v>
      </c>
      <c r="E65" s="18">
        <f t="shared" si="8"/>
        <v>188</v>
      </c>
      <c r="F65" s="19">
        <f t="shared" si="9"/>
        <v>3.1976595853247837E-3</v>
      </c>
      <c r="G65" s="20">
        <v>76005</v>
      </c>
      <c r="H65" s="20">
        <f t="shared" si="10"/>
        <v>-17024</v>
      </c>
      <c r="I65" s="19">
        <f t="shared" si="6"/>
        <v>-0.22398526412736003</v>
      </c>
      <c r="J65" s="42" t="s">
        <v>678</v>
      </c>
      <c r="K65" s="92" t="s">
        <v>679</v>
      </c>
      <c r="L65" s="97"/>
      <c r="M65" s="97"/>
      <c r="N65" s="97"/>
      <c r="O65" s="97"/>
      <c r="P65" s="97"/>
      <c r="Q65" s="97"/>
      <c r="R65" s="97"/>
      <c r="S65" s="97"/>
      <c r="T65" s="97"/>
    </row>
    <row r="66" spans="1:20" ht="15.6">
      <c r="A66" s="28" t="str">
        <v>CDCR - CA Correctional Institution</v>
      </c>
      <c r="B66" s="29" t="str">
        <v>CA</v>
      </c>
      <c r="C66" s="24">
        <v>203635</v>
      </c>
      <c r="D66" s="13">
        <v>203164</v>
      </c>
      <c r="E66" s="13">
        <f t="shared" si="8"/>
        <v>471</v>
      </c>
      <c r="F66" s="14">
        <f t="shared" si="9"/>
        <v>2.3183241125396231E-3</v>
      </c>
      <c r="G66" s="15">
        <v>260218</v>
      </c>
      <c r="H66" s="15">
        <f t="shared" si="10"/>
        <v>-56583</v>
      </c>
      <c r="I66" s="16">
        <f t="shared" si="6"/>
        <v>-0.21744460413960603</v>
      </c>
      <c r="J66" s="41" t="s">
        <v>680</v>
      </c>
      <c r="K66" s="88" t="s">
        <v>681</v>
      </c>
      <c r="L66" s="97"/>
      <c r="M66" s="97"/>
      <c r="N66" s="97"/>
      <c r="O66" s="97"/>
      <c r="P66" s="97"/>
      <c r="Q66" s="97"/>
      <c r="R66" s="97"/>
      <c r="S66" s="97"/>
      <c r="T66" s="97"/>
    </row>
    <row r="67" spans="1:20" ht="43.15">
      <c r="A67" s="30" t="str">
        <v>CDCR - CA Correctional Institution II</v>
      </c>
      <c r="B67" s="31" t="str">
        <v>CA</v>
      </c>
      <c r="C67" s="11">
        <v>268006</v>
      </c>
      <c r="D67" s="18">
        <v>267542</v>
      </c>
      <c r="E67" s="18">
        <f t="shared" si="8"/>
        <v>464</v>
      </c>
      <c r="F67" s="19">
        <f t="shared" si="9"/>
        <v>1.7343071368233773E-3</v>
      </c>
      <c r="G67" s="20">
        <v>388253</v>
      </c>
      <c r="H67" s="20">
        <f t="shared" si="10"/>
        <v>-120247</v>
      </c>
      <c r="I67" s="19">
        <f t="shared" si="6"/>
        <v>-0.30971299642243588</v>
      </c>
      <c r="J67" s="42" t="s">
        <v>682</v>
      </c>
      <c r="K67" s="90" t="s">
        <v>683</v>
      </c>
      <c r="L67" s="98" t="s">
        <v>602</v>
      </c>
      <c r="M67" s="98" t="s">
        <v>684</v>
      </c>
      <c r="N67" s="97"/>
      <c r="O67" s="97"/>
      <c r="P67" s="97"/>
      <c r="Q67" s="97"/>
      <c r="R67" s="97"/>
      <c r="S67" s="97"/>
      <c r="T67" s="97"/>
    </row>
    <row r="68" spans="1:20" ht="15.6">
      <c r="A68" s="28" t="str">
        <v>Snowline SD - Vista Verde ES</v>
      </c>
      <c r="B68" s="29" t="str">
        <v>CA</v>
      </c>
      <c r="C68" s="24">
        <v>33035</v>
      </c>
      <c r="D68" s="13">
        <v>32998</v>
      </c>
      <c r="E68" s="13">
        <f t="shared" si="8"/>
        <v>37</v>
      </c>
      <c r="F68" s="14">
        <f t="shared" si="9"/>
        <v>1.1212800775804595E-3</v>
      </c>
      <c r="G68" s="15">
        <v>33667.71</v>
      </c>
      <c r="H68" s="15">
        <f t="shared" si="10"/>
        <v>-632.70999999999913</v>
      </c>
      <c r="I68" s="16">
        <f t="shared" si="6"/>
        <v>-1.8792783946398467E-2</v>
      </c>
      <c r="J68" s="41"/>
      <c r="K68" s="41"/>
      <c r="L68" s="97"/>
      <c r="M68" s="97"/>
      <c r="N68" s="97"/>
      <c r="O68" s="97"/>
      <c r="P68" s="97"/>
      <c r="Q68" s="97"/>
      <c r="R68" s="97"/>
      <c r="S68" s="97"/>
      <c r="T68" s="97"/>
    </row>
    <row r="69" spans="1:20" ht="15.6">
      <c r="A69" s="30" t="str">
        <v>North Stonington</v>
      </c>
      <c r="B69" s="31" t="str">
        <v>CT</v>
      </c>
      <c r="C69" s="11">
        <v>1839400</v>
      </c>
      <c r="D69" s="18" t="s">
        <v>24</v>
      </c>
      <c r="E69" s="18" t="str">
        <f t="shared" si="8"/>
        <v/>
      </c>
      <c r="F69" s="19" t="str">
        <f t="shared" si="9"/>
        <v/>
      </c>
      <c r="G69" s="81" t="s">
        <v>24</v>
      </c>
      <c r="H69" s="20" t="str">
        <f t="shared" si="10"/>
        <v/>
      </c>
      <c r="I69" s="19" t="str">
        <f t="shared" si="6"/>
        <v/>
      </c>
      <c r="J69" s="42" t="s">
        <v>685</v>
      </c>
      <c r="K69" s="90" t="s">
        <v>686</v>
      </c>
      <c r="L69" s="97"/>
      <c r="M69" s="97"/>
      <c r="N69" s="97"/>
      <c r="O69" s="97"/>
      <c r="P69" s="97"/>
      <c r="Q69" s="97"/>
      <c r="R69" s="97"/>
      <c r="S69" s="97"/>
      <c r="T69" s="97"/>
    </row>
    <row r="70" spans="1:20" ht="14.45">
      <c r="A70" s="21" t="str">
        <v>CT: Torrington - 2-298 Rossi Road</v>
      </c>
      <c r="B70" s="33" t="str">
        <v>CT</v>
      </c>
      <c r="C70" s="21"/>
      <c r="D70" s="21"/>
      <c r="E70" s="21"/>
      <c r="F70" s="22"/>
      <c r="G70" s="21"/>
      <c r="H70" s="21"/>
      <c r="I70" s="22"/>
      <c r="J70" s="21"/>
      <c r="K70" s="21"/>
    </row>
    <row r="71" spans="1:20" ht="14.45">
      <c r="A71" s="21"/>
      <c r="B71" s="33"/>
      <c r="C71" s="21"/>
      <c r="D71" s="21"/>
      <c r="E71" s="21"/>
      <c r="F71" s="22"/>
      <c r="G71" s="21"/>
      <c r="H71" s="21"/>
      <c r="I71" s="22"/>
      <c r="J71" s="21"/>
      <c r="K71" s="21"/>
    </row>
    <row r="72" spans="1:20" ht="14.45">
      <c r="A72" s="21"/>
      <c r="B72" s="33"/>
      <c r="C72" s="21"/>
      <c r="D72" s="21"/>
      <c r="E72" s="21"/>
      <c r="F72" s="22"/>
      <c r="G72" s="21"/>
      <c r="H72" s="21"/>
      <c r="I72" s="22"/>
      <c r="J72" s="21"/>
      <c r="K72" s="21"/>
    </row>
    <row r="73" spans="1:20" ht="14.45">
      <c r="A73" s="21"/>
      <c r="B73" s="33"/>
      <c r="C73" s="21"/>
      <c r="D73" s="21"/>
      <c r="E73" s="21"/>
      <c r="F73" s="22"/>
      <c r="G73" s="21"/>
      <c r="H73" s="21"/>
      <c r="I73" s="22"/>
      <c r="J73" s="21"/>
      <c r="K73" s="21"/>
    </row>
    <row r="74" spans="1:20" ht="14.45">
      <c r="A74" s="21"/>
      <c r="B74" s="33"/>
      <c r="C74" s="21"/>
      <c r="D74" s="21"/>
      <c r="E74" s="21"/>
      <c r="F74" s="22"/>
      <c r="G74" s="21"/>
      <c r="H74" s="21"/>
      <c r="I74" s="22"/>
      <c r="J74" s="21"/>
      <c r="K74" s="21"/>
    </row>
    <row r="75" spans="1:20" ht="14.45">
      <c r="A75" s="21"/>
      <c r="B75" s="33"/>
      <c r="C75" s="21"/>
      <c r="D75" s="21"/>
      <c r="E75" s="21"/>
      <c r="F75" s="22"/>
      <c r="G75" s="21"/>
      <c r="H75" s="21"/>
      <c r="I75" s="22"/>
      <c r="J75" s="21"/>
      <c r="K75" s="21"/>
    </row>
    <row r="76" spans="1:20" ht="14.45">
      <c r="A76" s="21"/>
      <c r="B76" s="33"/>
      <c r="C76" s="21"/>
      <c r="D76" s="21"/>
      <c r="E76" s="21"/>
      <c r="F76" s="22"/>
      <c r="G76" s="21"/>
      <c r="H76" s="21"/>
      <c r="I76" s="22"/>
      <c r="J76" s="21"/>
      <c r="K76" s="21"/>
    </row>
    <row r="77" spans="1:20" ht="14.45">
      <c r="A77" s="21"/>
      <c r="B77" s="33"/>
      <c r="C77" s="21"/>
      <c r="D77" s="21"/>
      <c r="E77" s="21"/>
      <c r="F77" s="22"/>
      <c r="G77" s="21"/>
      <c r="H77" s="21"/>
      <c r="I77" s="22"/>
      <c r="J77" s="21"/>
      <c r="K77" s="21"/>
    </row>
    <row r="78" spans="1:20" ht="14.45">
      <c r="A78" s="21"/>
      <c r="B78" s="33"/>
      <c r="C78" s="21"/>
      <c r="D78" s="21"/>
      <c r="E78" s="21"/>
      <c r="F78" s="22"/>
      <c r="G78" s="21"/>
      <c r="H78" s="21"/>
      <c r="I78" s="22"/>
      <c r="J78" s="21"/>
      <c r="K78" s="21"/>
    </row>
    <row r="79" spans="1:20" ht="14.45">
      <c r="A79" s="21"/>
      <c r="B79" s="33"/>
      <c r="C79" s="21"/>
      <c r="D79" s="21"/>
      <c r="E79" s="21"/>
      <c r="F79" s="22"/>
      <c r="G79" s="21"/>
      <c r="H79" s="21"/>
      <c r="I79" s="22"/>
      <c r="J79" s="21"/>
      <c r="K79" s="21"/>
    </row>
    <row r="80" spans="1:20"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32" priority="3" stopIfTrue="1" operator="lessThanOrEqual">
      <formula>-0.1</formula>
    </cfRule>
    <cfRule type="expression" dxfId="31" priority="4">
      <formula>AND(ISNUMBER(F2), F2&gt;=0.1)</formula>
    </cfRule>
  </conditionalFormatting>
  <conditionalFormatting sqref="F4:F100 I4:I100">
    <cfRule type="cellIs" dxfId="30" priority="1" stopIfTrue="1" operator="lessThanOrEqual">
      <formula>-0.1</formula>
    </cfRule>
    <cfRule type="expression" dxfId="29" priority="2">
      <formula>AND(ISNUMBER(F4), F4&gt;=0.1)</formula>
    </cfRule>
  </conditionalFormatting>
  <hyperlinks>
    <hyperlink ref="K6" r:id="rId1" display="https://us3.assetplanner.com/service_request?ID=098590" xr:uid="{E6940982-D38B-42CF-AFCC-01D6A2E61905}"/>
    <hyperlink ref="K7" r:id="rId2" display="https://us3.assetplanner.com/service_request?ID=106649" xr:uid="{883F28F2-0DAD-47D8-8017-139A1A18F5FC}"/>
    <hyperlink ref="K8" r:id="rId3" display="https://us3.assetplanner.com/service_request?ID=105534" xr:uid="{2D539DA8-89EA-40E2-B1C6-A9B33711B127}"/>
    <hyperlink ref="L8" r:id="rId4" display="https://us3.assetplanner.com/service_request?ID=105560" xr:uid="{5E68373B-13A8-47F1-8859-C02D51A93E1A}"/>
    <hyperlink ref="M8" r:id="rId5" display="https://us3.assetplanner.com/service_request?ID=105651" xr:uid="{1421C296-ECBC-4A67-AD0C-02DA2130E090}"/>
    <hyperlink ref="N8" r:id="rId6" display="https://us3.assetplanner.com/service_request?ID=106870" xr:uid="{A96CB994-E077-4B3B-B891-3409610C36EB}"/>
    <hyperlink ref="K10" r:id="rId7" display="https://us3.assetplanner.com/service_request?ID=102467" xr:uid="{75F11C51-78CB-466C-B914-A41B7A49CA5B}"/>
    <hyperlink ref="L10" r:id="rId8" display="https://us3.assetplanner.com/service_request?ID=102277" xr:uid="{E3008E8E-F3A3-4967-BEAC-A74227AB7157}"/>
    <hyperlink ref="K11" r:id="rId9" display="https://us3.assetplanner.com/service_request?ID=105446" xr:uid="{2A7FB9C3-098C-470C-88B3-6445B09BF079}"/>
    <hyperlink ref="K12" r:id="rId10" display="https://us3.assetplanner.com/service_request?ID=102796" xr:uid="{99BFF339-87DB-4230-8EBB-25BD253B67E1}"/>
    <hyperlink ref="L12" r:id="rId11" display="https://us3.assetplanner.com/service_request?ID=104045" xr:uid="{307CBE68-DD16-4FCA-B852-910377D83F20}"/>
    <hyperlink ref="K13" r:id="rId12" display="https://us3.assetplanner.com/service_request?ID=103142" xr:uid="{E7CAFE44-2A38-4082-B2E2-E581BDA7467E}"/>
    <hyperlink ref="K17" r:id="rId13" display="https://us3.assetplanner.com/service_request?ID=103499" xr:uid="{87AEF4FC-B5D1-40FE-AFDD-3EF2A33365FC}"/>
    <hyperlink ref="K20" r:id="rId14" display="https://us3.assetplanner.com/service_request?ID=106427" xr:uid="{2BBD9146-F1FF-4781-8382-94FC1522C692}"/>
    <hyperlink ref="K21" r:id="rId15" display="https://us3.assetplanner.com/service_request?ID=101331" xr:uid="{5AA997D4-A6E1-4BAC-9062-D972E5901B1F}"/>
    <hyperlink ref="K22" r:id="rId16" display="https://us3.assetplanner.com/service_request?ID=104634" xr:uid="{9D092F0D-3843-44EF-B7B9-8F905DCE9329}"/>
    <hyperlink ref="K23" r:id="rId17" display="https://us3.assetplanner.com/service_request?ID=102013" xr:uid="{175AF20E-17F2-41B8-8B93-A79A3966D85E}"/>
    <hyperlink ref="L23" r:id="rId18" display="https://us3.assetplanner.com/service_request?ID=095623" xr:uid="{6D7DD7AA-BDE5-4EA5-8E4E-F0D2358D247D}"/>
    <hyperlink ref="M23" r:id="rId19" display="https://us3.assetplanner.com/service_request?ID=105793" xr:uid="{DED59FA8-39FD-4229-AA8C-66651BE33B56}"/>
    <hyperlink ref="N23" r:id="rId20" display="https://us3.assetplanner.com/service_request?ID=106438" xr:uid="{7C84204D-5F33-4A33-8DB1-D75D1CD660EF}"/>
    <hyperlink ref="K26" r:id="rId21" display="https://us3.assetplanner.com/service_request?ID=104085" xr:uid="{981F5707-7366-4B83-A1B7-4DC5AA89942E}"/>
    <hyperlink ref="L26" r:id="rId22" display="https://us3.assetplanner.com/service_request?ID=104907" xr:uid="{93ECCC1F-ABCB-4F69-8F45-D71BEFAC0666}"/>
    <hyperlink ref="K28" r:id="rId23" display="https://us3.assetplanner.com/service_request?ID=104402" xr:uid="{EB129B7F-8739-410D-ADFD-D62D428EA782}"/>
    <hyperlink ref="L28" r:id="rId24" display="https://us3.assetplanner.com/service_request?ID=105870" xr:uid="{2C2DBF61-17C7-46DC-8714-DCA7BD88826D}"/>
    <hyperlink ref="M28" r:id="rId25" display="https://us3.assetplanner.com/service_request?ID=104158" xr:uid="{26933250-C949-4896-BEF8-0744A54AB5AD}"/>
    <hyperlink ref="N28" r:id="rId26" display="https://us3.assetplanner.com/service_request?ID=103759" xr:uid="{CE5FA0DA-0965-4FDE-BA41-539426C552C9}"/>
    <hyperlink ref="K31" r:id="rId27" display="https://us3.assetplanner.com/service_request?ID=104343" xr:uid="{783EFC34-623E-48C9-A831-3CC751FCD350}"/>
    <hyperlink ref="K34" r:id="rId28" display="https://us3.assetplanner.com/service_request?ID=104165" xr:uid="{2E51D52A-1DDE-4D5A-93AE-43C0D32C5E96}"/>
    <hyperlink ref="L34" r:id="rId29" display="https://us3.assetplanner.com/service_request?ID=103032" xr:uid="{1D01EBD1-8ED9-4790-8DDF-C969518EE365}"/>
    <hyperlink ref="M34" r:id="rId30" display="https://us3.assetplanner.com/service_request?ID=105073" xr:uid="{9E5B29C9-6CFE-423D-BE12-F318E14C73FB}"/>
    <hyperlink ref="K35" r:id="rId31" display="https://us3.assetplanner.com/service_request?ID=104919" xr:uid="{E1289EBF-A583-4428-8E2A-7D83F9E8A494}"/>
    <hyperlink ref="L35" r:id="rId32" display="https://us3.assetplanner.com/service_request?ID=099206" xr:uid="{8EDC528E-FE20-4DDB-BB03-29A87AA4B889}"/>
    <hyperlink ref="K37" r:id="rId33" display="https://us3.assetplanner.com/service_request?ID=094440" xr:uid="{28AB0462-4FF9-4509-AFA0-074C430E3F71}"/>
    <hyperlink ref="L37" r:id="rId34" display="https://us3.assetplanner.com/service_request?ID=106741" xr:uid="{9418413E-885B-45D2-87EF-68BFC8934625}"/>
    <hyperlink ref="K38" r:id="rId35" display="https://us3.assetplanner.com/service_request?ID=095163" xr:uid="{96AA1813-72DB-4E62-B6CA-CFF8C105785C}"/>
    <hyperlink ref="K40" r:id="rId36" display="https://us3.assetplanner.com/service_request?ID=105065" xr:uid="{3DC6B133-7DF3-45DA-9C3A-3F1CE488E86A}"/>
    <hyperlink ref="L40" r:id="rId37" display="https://us3.assetplanner.com/service_request?ID=105063" xr:uid="{4D9E2486-2EE2-4D24-A544-023B8C505060}"/>
    <hyperlink ref="K41" r:id="rId38" display="https://us3.assetplanner.com/service_request?ID=104640" xr:uid="{8A5F8878-0C80-4800-A02A-75C4A30102B0}"/>
    <hyperlink ref="L41" r:id="rId39" display="https://us3.assetplanner.com/service_request?ID=106181" xr:uid="{408AA7C0-2B1F-415F-B785-AE1148F3B073}"/>
    <hyperlink ref="M41" r:id="rId40" display="https://us3.assetplanner.com/service_request?ID=092753" xr:uid="{E38A90E3-AFCA-4612-AB2A-53A743B1A4E9}"/>
    <hyperlink ref="N41" r:id="rId41" display="https://us3.assetplanner.com/service_request?ID=106812" xr:uid="{C8A4B999-ACD8-4849-8E26-B8C0F3885DC0}"/>
    <hyperlink ref="O41" r:id="rId42" display="https://us3.assetplanner.com/service_request?ID=101902" xr:uid="{0199CD4E-E357-42AA-8A2F-246D8071EAA5}"/>
    <hyperlink ref="K43" r:id="rId43" display="https://us3.assetplanner.com/service_request?ID=104027" xr:uid="{A7438762-9271-47FA-917D-0B5ED00F6172}"/>
    <hyperlink ref="L43" r:id="rId44" display="https://us3.assetplanner.com/service_request?ID=102346" xr:uid="{DB3A8F4C-CA61-4AC8-82E0-128CA3478404}"/>
    <hyperlink ref="M43" r:id="rId45" display="https://us3.assetplanner.com/service_request?ID=103159" xr:uid="{7C5569AF-E82F-4F14-AE99-EBC18963B56F}"/>
    <hyperlink ref="N43" r:id="rId46" display="https://us3.assetplanner.com/service_request?ID=105161" xr:uid="{2C05146D-CFB9-4E24-96FF-E729B9916F09}"/>
    <hyperlink ref="O43" r:id="rId47" display="https://us3.assetplanner.com/service_request?ID=105162" xr:uid="{E0B3C16F-1D89-4D1E-9EC6-FB915F7795D8}"/>
    <hyperlink ref="P43" r:id="rId48" display="https://us3.assetplanner.com/service_request?ID=090375" xr:uid="{E2B85034-D6E1-4C54-9B66-886753889107}"/>
    <hyperlink ref="Q43" r:id="rId49" display="https://us3.assetplanner.com/service_request?ID=105124" xr:uid="{43F13E6E-0DC5-45E8-BE44-9BCE2AA6ECDD}"/>
    <hyperlink ref="R43" r:id="rId50" display="https://us3.assetplanner.com/service_request?ID=089461" xr:uid="{27F507BC-738B-4DF5-B011-979BD2398894}"/>
    <hyperlink ref="S43" r:id="rId51" display="https://us3.assetplanner.com/service_request?ID=105124" xr:uid="{F02A6D0B-DD5A-419E-9D0C-E718C258ADD9}"/>
    <hyperlink ref="T43" r:id="rId52" display="https://us3.assetplanner.com/service_request?ID=101136" xr:uid="{5A830134-112D-466E-BEBF-D1678632A5CA}"/>
    <hyperlink ref="K44" r:id="rId53" display="https://us3.assetplanner.com/service_request?ID=092276" xr:uid="{DDC9E19C-B102-458C-883C-6A81904D883B}"/>
    <hyperlink ref="L44" r:id="rId54" display="https://us3.assetplanner.com/service_request?ID=104333" xr:uid="{7EDFA5F1-6ED4-44B8-824C-0497C144EAC6}"/>
    <hyperlink ref="K45" r:id="rId55" display="https://us3.assetplanner.com/service_request?ID=101137" xr:uid="{3DD898F1-7CB7-4B47-A5D0-C47C65A829F2}"/>
    <hyperlink ref="L45" r:id="rId56" display="https://us3.assetplanner.com/service_request?ID=104917" xr:uid="{B7BD0517-7698-4957-ABB1-9313B25F29B4}"/>
    <hyperlink ref="K47" r:id="rId57" display="https://us3.assetplanner.com/service_request?ID=105133" xr:uid="{7994F358-373F-41A5-BA00-A1B3174F6987}"/>
    <hyperlink ref="L47" r:id="rId58" display="https://us3.assetplanner.com/service_request?ID=089612" xr:uid="{6130D46F-55B8-44B3-9A4A-7EAF708E8AA2}"/>
    <hyperlink ref="M47" r:id="rId59" display="https://us3.assetplanner.com/service_request?ID=095385" xr:uid="{AC6AD549-8BC5-4B95-A6FA-2E1159D1AF8D}"/>
    <hyperlink ref="N47" r:id="rId60" display="https://us3.assetplanner.com/service_request?ID=102060" xr:uid="{8F4CB17F-E212-42EF-91EB-FBE30BF135F7}"/>
    <hyperlink ref="K48" r:id="rId61" display="https://us3.assetplanner.com/service_request?ID=092166" xr:uid="{857671FE-A5ED-4825-996E-F4AC16B9EA0F}"/>
    <hyperlink ref="L48" r:id="rId62" display="https://us3.assetplanner.com/service_request?ID=097558" xr:uid="{63D938F6-8C49-491E-8E51-4308F41245BC}"/>
    <hyperlink ref="M48" r:id="rId63" display="https://us3.assetplanner.com/service_request?ID=098717" xr:uid="{69BEDC7D-4B31-4AAF-B800-3233E1BA68C6}"/>
    <hyperlink ref="N48" r:id="rId64" display="https://us3.assetplanner.com/service_request?ID=086220" xr:uid="{73640C6C-380A-4379-B256-00A5358319C1}"/>
    <hyperlink ref="O48" r:id="rId65" display="https://us3.assetplanner.com/service_request?ID=098717" xr:uid="{0D307984-594B-46AC-98B9-105153BAB355}"/>
    <hyperlink ref="P48" r:id="rId66" display="https://us3.assetplanner.com/service_request?ID=091312" xr:uid="{B650FA2A-FE82-412F-9ADD-21E1ED43A04D}"/>
    <hyperlink ref="Q48" r:id="rId67" display="https://us3.assetplanner.com/service_request?ID=106272" xr:uid="{4B5C746E-A695-4A23-A4C5-B395E69868CC}"/>
    <hyperlink ref="K49" r:id="rId68" display="https://us3.assetplanner.com/service_request?ID=104021" xr:uid="{BE0FB619-5206-407F-A60F-D75236483794}"/>
    <hyperlink ref="L49" r:id="rId69" display="https://us3.assetplanner.com/service_request?ID=098397" xr:uid="{275A3BEB-30F5-4BAD-88BE-C944F6655EA6}"/>
    <hyperlink ref="K50" r:id="rId70" display="https://us3.assetplanner.com/service_request?ID=094234" xr:uid="{5FE44DA0-FFD7-4D93-A3A9-F4F80317C7B3}"/>
    <hyperlink ref="L50" r:id="rId71" display="https://us3.assetplanner.com/service_request?ID=104249" xr:uid="{1EA5ECFF-1D7A-4B55-B389-BCBAA15AC564}"/>
    <hyperlink ref="M50" r:id="rId72" display="https://us3.assetplanner.com/service_request?ID=105086" xr:uid="{3697978C-3B93-40CE-B641-014169F76A10}"/>
    <hyperlink ref="K51" r:id="rId73" display="https://us3.assetplanner.com/service_request?ID=105759" xr:uid="{9BAFCE30-614E-4421-9089-D0F814F10A8A}"/>
    <hyperlink ref="K53" r:id="rId74" display="https://us3.assetplanner.com/service_request?ID=105836" xr:uid="{9DD1A6B6-9947-44BE-BED4-4DEFC5DB3C1F}"/>
    <hyperlink ref="K55" r:id="rId75" display="https://us3.assetplanner.com/service_request?ID=102897" xr:uid="{F50E3646-5839-4F72-BADA-A6486B20145A}"/>
    <hyperlink ref="K57" r:id="rId76" display="https://us3.assetplanner.com/service_request?ID=090293" xr:uid="{DF9A6306-FAB2-4F14-8340-541D32694450}"/>
    <hyperlink ref="K58" r:id="rId77" display="https://us3.assetplanner.com/service_request?ID=098183" xr:uid="{3E861CF6-D198-416D-8E81-C8AAAAFA29CC}"/>
    <hyperlink ref="L58" r:id="rId78" display="https://us3.assetplanner.com/service_request?ID=095449" xr:uid="{214BECAE-2A6E-45BE-97C9-0E38DC42EC4D}"/>
    <hyperlink ref="M58" r:id="rId79" display="https://us3.assetplanner.com/service_request?ID=093474" xr:uid="{BFDAF59E-B164-4B9A-A4AE-D944CA6EC087}"/>
    <hyperlink ref="N58" r:id="rId80" display="https://us3.assetplanner.com/service_request?ID=090380" xr:uid="{99A67B40-4161-47A3-ACC2-DF26E11F8E33}"/>
    <hyperlink ref="O58" r:id="rId81" display="https://us3.assetplanner.com/service_request?ID=089474" xr:uid="{4AC22F55-BF06-4917-B80F-2550699C2A3B}"/>
    <hyperlink ref="P58" r:id="rId82" display="https://us3.assetplanner.com/service_request?ID=105125" xr:uid="{C9805ECB-79EB-4969-9306-917D71C964EA}"/>
    <hyperlink ref="Q58" r:id="rId83" display="https://us3.assetplanner.com/service_request?ID=101740" xr:uid="{BCDBDB5C-C8FF-4E7D-8CCD-F500E5A7D640}"/>
    <hyperlink ref="R58" r:id="rId84" display="https://us3.assetplanner.com/service_request?ID=103833" xr:uid="{AE83384E-66CB-4DDC-9FF8-F03DA353D2B8}"/>
    <hyperlink ref="S58" r:id="rId85" display="https://us3.assetplanner.com/service_request?ID=104174" xr:uid="{B7177D9D-C42F-49DF-A552-2C4F9E7AD046}"/>
    <hyperlink ref="K60" r:id="rId86" display="https://us3.assetplanner.com/service_request?ID=089477" xr:uid="{7805E520-3B47-44CC-9F4D-BEEA84C88A45}"/>
    <hyperlink ref="L60" r:id="rId87" display="https://us3.assetplanner.com/service_request?ID=096348" xr:uid="{4743862A-6209-4DF3-8FE6-CF627CF5535C}"/>
    <hyperlink ref="M60" r:id="rId88" display="https://us3.assetplanner.com/service_request?ID=089477" xr:uid="{07B2A286-E28C-4B16-9B44-A7597BD39217}"/>
    <hyperlink ref="N60" r:id="rId89" display="https://us3.assetplanner.com/service_request?ID=096348" xr:uid="{EC781B5A-49FD-4DF4-953D-73E9E29972E9}"/>
    <hyperlink ref="O60" r:id="rId90" display="https://us3.assetplanner.com/service_request?ID=103802" xr:uid="{41180168-8339-4445-AB00-BEFB5C6A40AE}"/>
    <hyperlink ref="P60" r:id="rId91" display="https://us3.assetplanner.com/service_request?ID=105126" xr:uid="{024F19D5-1E0A-4190-8289-FFCFC8337D2D}"/>
    <hyperlink ref="K61" r:id="rId92" display="https://us3.assetplanner.com/service_request?ID=102151" xr:uid="{A8813B93-9E5B-4949-8ABE-39C601A50BB4}"/>
    <hyperlink ref="K62" r:id="rId93" display="https://us3.assetplanner.com/service_request?ID=103666" xr:uid="{4BBA7DE0-067B-4955-93DC-1256211F7989}"/>
    <hyperlink ref="L62" r:id="rId94" display="https://us3.assetplanner.com/service_request?ID=104943" xr:uid="{C96A79E9-9593-4AB4-A37E-8800BC89ADD9}"/>
    <hyperlink ref="K63" r:id="rId95" display="https://us3.assetplanner.com/service_request?ID=106155" xr:uid="{607893A7-9ED0-483D-99B6-056EEC7E53F7}"/>
    <hyperlink ref="K65" r:id="rId96" display="https://us3.assetplanner.com/service_request?ID=106653" xr:uid="{48E32280-0F12-4121-B9DD-1350CC667441}"/>
    <hyperlink ref="K66" r:id="rId97" display="https://us3.assetplanner.com/service_request?ID=105453" xr:uid="{40168941-AC27-49D1-B76C-65368550DC90}"/>
    <hyperlink ref="K67" r:id="rId98" display="https://us3.assetplanner.com/service_request?ID=105452" xr:uid="{43E8BC56-BD8D-49C8-BEA9-2B242BDD8D1B}"/>
    <hyperlink ref="L67" r:id="rId99" display="https://us3.assetplanner.com/service_request?ID=103948" xr:uid="{98A3A870-CF89-40BF-BE38-AF18ADFC8F5D}"/>
    <hyperlink ref="M67" r:id="rId100" display="https://us3.assetplanner.com/service_request?ID=106212" xr:uid="{7284C559-1F42-4C3B-8CC3-C90F5DD1D3B7}"/>
    <hyperlink ref="K69" r:id="rId101" display="https://us3.assetplanner.com/service_request?ID=107088" xr:uid="{CB425AF6-A15B-488F-9DC3-A5AFCFFBD2FB}"/>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Y342"/>
  <sheetViews>
    <sheetView zoomScale="70" zoomScaleNormal="70" workbookViewId="0">
      <pane xSplit="2" ySplit="3" topLeftCell="E58" activePane="bottomRight" state="frozen"/>
      <selection pane="bottomRight" activeCell="A4" sqref="A4:A70"/>
      <selection pane="bottomLeft" activeCell="J66" sqref="J66"/>
      <selection pane="topRight" activeCell="J66" sqref="J66"/>
    </sheetView>
  </sheetViews>
  <sheetFormatPr defaultRowHeight="13.9"/>
  <cols>
    <col min="1" max="1" width="35.85546875" bestFit="1" customWidth="1"/>
    <col min="2" max="2" width="8.42578125" style="71" customWidth="1"/>
    <col min="3" max="3" width="11.7109375" customWidth="1"/>
    <col min="4" max="5" width="13.28515625" customWidth="1"/>
    <col min="6" max="6" width="13.28515625" style="1" customWidth="1"/>
    <col min="7" max="8" width="13.28515625" customWidth="1"/>
    <col min="9" max="9" width="13.28515625" style="1" customWidth="1"/>
    <col min="10" max="10" width="71.5703125" style="97" customWidth="1"/>
    <col min="11" max="11" width="20.5703125" style="97" bestFit="1" customWidth="1"/>
  </cols>
  <sheetData>
    <row r="1" spans="1:25" ht="19.5" customHeight="1">
      <c r="A1" s="132" t="str" cm="1">
        <f t="array" ref="A1">portfolio</f>
        <v>Silicon Ranch</v>
      </c>
      <c r="B1" s="132"/>
      <c r="C1" s="132"/>
      <c r="D1" s="133" t="s">
        <v>687</v>
      </c>
      <c r="E1" s="133"/>
      <c r="F1" s="133"/>
      <c r="G1" s="131" t="s">
        <v>688</v>
      </c>
      <c r="H1" s="131"/>
      <c r="I1" s="131"/>
      <c r="J1" s="114"/>
      <c r="K1" s="114"/>
    </row>
    <row r="2" spans="1:25" ht="19.5" customHeight="1">
      <c r="A2" s="134" t="s">
        <v>2</v>
      </c>
      <c r="B2" s="134"/>
      <c r="C2" s="5">
        <f>SUM(C4:C100)</f>
        <v>3724519</v>
      </c>
      <c r="D2" s="5">
        <f>SUM(D4:D100)</f>
        <v>2082277</v>
      </c>
      <c r="E2" s="5">
        <f>C2-D2</f>
        <v>1642242</v>
      </c>
      <c r="F2" s="6">
        <f>IFERROR(E2/D2, 0)</f>
        <v>0.78867605030454646</v>
      </c>
      <c r="G2" s="5">
        <f>SUM(G4:G100)</f>
        <v>3432807.5510000009</v>
      </c>
      <c r="H2" s="7">
        <f>C2-G2</f>
        <v>291711.44899999909</v>
      </c>
      <c r="I2" s="6">
        <f>IFERROR(H2/G2, 0)</f>
        <v>8.4977513206361224E-2</v>
      </c>
      <c r="J2" s="115"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114"/>
    </row>
    <row r="3" spans="1:25" ht="14.25" customHeight="1">
      <c r="A3" s="8" t="s">
        <v>3</v>
      </c>
      <c r="B3" s="66" t="s">
        <v>4</v>
      </c>
      <c r="C3" s="23" t="s">
        <v>5</v>
      </c>
      <c r="D3" s="35" t="s">
        <v>6</v>
      </c>
      <c r="E3" s="35" t="s">
        <v>7</v>
      </c>
      <c r="F3" s="36" t="s">
        <v>8</v>
      </c>
      <c r="G3" s="37" t="s">
        <v>9</v>
      </c>
      <c r="H3" s="38" t="s">
        <v>7</v>
      </c>
      <c r="I3" s="39" t="s">
        <v>8</v>
      </c>
      <c r="J3" s="116" t="s">
        <v>20</v>
      </c>
      <c r="K3" s="116" t="s">
        <v>21</v>
      </c>
    </row>
    <row r="4" spans="1:25" ht="15.6">
      <c r="A4" s="32" t="str" cm="1">
        <f t="array" ref="A4:A70">Sites[Site]</f>
        <v>Iron Mountain - Windsor</v>
      </c>
      <c r="B4" s="67" t="str" cm="1">
        <f t="array" ref="B4:B70">Sites[State]</f>
        <v>CT</v>
      </c>
      <c r="C4" s="24">
        <v>29842</v>
      </c>
      <c r="D4" s="13">
        <v>29744</v>
      </c>
      <c r="E4" s="13">
        <f>IF(AND(ISNUMBER(C4),ISNUMBER(D4)), C4-D4, "")</f>
        <v>98</v>
      </c>
      <c r="F4" s="14">
        <f>IFERROR(E4/D4, "")</f>
        <v>3.2947821409359873E-3</v>
      </c>
      <c r="G4" s="15">
        <v>26177.67</v>
      </c>
      <c r="H4" s="15">
        <f>IF(AND(ISNUMBER(C4),ISNUMBER(G4)), C4-G4, "")</f>
        <v>3664.3300000000017</v>
      </c>
      <c r="I4" s="16">
        <f>IFERROR(H4/G4, "")</f>
        <v>0.13997922656982084</v>
      </c>
      <c r="J4" s="56"/>
      <c r="K4" s="56"/>
    </row>
    <row r="5" spans="1:25" ht="15.6">
      <c r="A5" s="30" t="str">
        <v>Kohls - Auburn</v>
      </c>
      <c r="B5" s="68" t="str">
        <v>NY</v>
      </c>
      <c r="C5" s="11">
        <v>34620</v>
      </c>
      <c r="D5" s="18">
        <v>34515</v>
      </c>
      <c r="E5" s="18">
        <f t="shared" ref="E5:E17" si="0">IF(AND(ISNUMBER(C5),ISNUMBER(D5)), C5-D5, "")</f>
        <v>105</v>
      </c>
      <c r="F5" s="19">
        <f>IFERROR(E5/D5, "")</f>
        <v>3.0421555845284659E-3</v>
      </c>
      <c r="G5" s="20">
        <v>30971.89</v>
      </c>
      <c r="H5" s="20">
        <f t="shared" ref="H5:H17" si="1">IF(AND(ISNUMBER(C5),ISNUMBER(G5)), C5-G5, "")</f>
        <v>3648.1100000000006</v>
      </c>
      <c r="I5" s="19">
        <f t="shared" ref="I5:I68" si="2">IFERROR(H5/G5, "")</f>
        <v>0.11778777465630934</v>
      </c>
      <c r="J5" s="54"/>
      <c r="K5" s="54"/>
    </row>
    <row r="6" spans="1:25" ht="144">
      <c r="A6" s="28" t="str">
        <v>Kohls - Bensalem</v>
      </c>
      <c r="B6" s="67" t="str">
        <v>PA</v>
      </c>
      <c r="C6" s="24">
        <v>0</v>
      </c>
      <c r="D6" s="13">
        <v>0</v>
      </c>
      <c r="E6" s="13">
        <f t="shared" si="0"/>
        <v>0</v>
      </c>
      <c r="F6" s="14" t="str">
        <f t="shared" ref="F6:F69" si="3">IFERROR(E6/D6, "")</f>
        <v/>
      </c>
      <c r="G6" s="15">
        <v>29752.31</v>
      </c>
      <c r="H6" s="15">
        <f t="shared" si="1"/>
        <v>-29752.31</v>
      </c>
      <c r="I6" s="16">
        <f t="shared" si="2"/>
        <v>-1</v>
      </c>
      <c r="J6" s="41" t="s">
        <v>689</v>
      </c>
      <c r="K6" s="88" t="s">
        <v>247</v>
      </c>
      <c r="L6" s="97"/>
      <c r="M6" s="97"/>
      <c r="N6" s="97"/>
      <c r="O6" s="97"/>
      <c r="P6" s="97"/>
      <c r="Q6" s="97"/>
      <c r="R6" s="97"/>
      <c r="S6" s="97"/>
      <c r="T6" s="97"/>
      <c r="U6" s="97"/>
      <c r="V6" s="97"/>
      <c r="W6" s="97"/>
      <c r="X6" s="97"/>
      <c r="Y6" s="97"/>
    </row>
    <row r="7" spans="1:25" ht="15.6">
      <c r="A7" s="30" t="str">
        <v>Kohls - Brick</v>
      </c>
      <c r="B7" s="68" t="str">
        <v>NJ</v>
      </c>
      <c r="C7" s="11">
        <v>39569</v>
      </c>
      <c r="D7" s="18">
        <v>39509</v>
      </c>
      <c r="E7" s="18">
        <f t="shared" si="0"/>
        <v>60</v>
      </c>
      <c r="F7" s="19">
        <f t="shared" si="3"/>
        <v>1.5186413222303778E-3</v>
      </c>
      <c r="G7" s="20">
        <v>36261.4</v>
      </c>
      <c r="H7" s="20">
        <f t="shared" si="1"/>
        <v>3307.5999999999985</v>
      </c>
      <c r="I7" s="19">
        <f t="shared" si="2"/>
        <v>9.1215452243983919E-2</v>
      </c>
      <c r="J7" s="53"/>
      <c r="K7" s="60"/>
      <c r="L7" s="97"/>
      <c r="M7" s="97"/>
      <c r="N7" s="97"/>
      <c r="O7" s="97"/>
      <c r="P7" s="97"/>
      <c r="Q7" s="97"/>
      <c r="R7" s="97"/>
      <c r="S7" s="97"/>
      <c r="T7" s="97"/>
      <c r="U7" s="97"/>
      <c r="V7" s="97"/>
      <c r="W7" s="97"/>
      <c r="X7" s="97"/>
      <c r="Y7" s="97"/>
    </row>
    <row r="8" spans="1:25" ht="130.5" customHeight="1">
      <c r="A8" s="28" t="str">
        <v>Kohls - Buffalo</v>
      </c>
      <c r="B8" s="67" t="str">
        <v>NY</v>
      </c>
      <c r="C8" s="24">
        <v>55452</v>
      </c>
      <c r="D8" s="13">
        <v>0</v>
      </c>
      <c r="E8" s="13">
        <f t="shared" si="0"/>
        <v>55452</v>
      </c>
      <c r="F8" s="14" t="str">
        <f t="shared" si="3"/>
        <v/>
      </c>
      <c r="G8" s="15">
        <v>37951.21</v>
      </c>
      <c r="H8" s="15">
        <f t="shared" si="1"/>
        <v>17500.79</v>
      </c>
      <c r="I8" s="16">
        <f t="shared" si="2"/>
        <v>0.4611391837045512</v>
      </c>
      <c r="J8" s="41" t="s">
        <v>690</v>
      </c>
      <c r="K8" s="88" t="s">
        <v>613</v>
      </c>
      <c r="L8" s="98" t="s">
        <v>614</v>
      </c>
      <c r="M8" s="98" t="s">
        <v>615</v>
      </c>
      <c r="N8" s="98" t="s">
        <v>616</v>
      </c>
      <c r="O8" s="97"/>
      <c r="P8" s="97"/>
      <c r="Q8" s="97"/>
      <c r="R8" s="97"/>
      <c r="S8" s="97"/>
      <c r="T8" s="97"/>
      <c r="U8" s="97"/>
      <c r="V8" s="97"/>
      <c r="W8" s="97"/>
      <c r="X8" s="97"/>
      <c r="Y8" s="97"/>
    </row>
    <row r="9" spans="1:25" ht="15.6">
      <c r="A9" s="30" t="str">
        <v>Kohls - Canton</v>
      </c>
      <c r="B9" s="68" t="str">
        <v>CT</v>
      </c>
      <c r="C9" s="11">
        <v>14928</v>
      </c>
      <c r="D9" s="18">
        <v>14779</v>
      </c>
      <c r="E9" s="18">
        <f t="shared" si="0"/>
        <v>149</v>
      </c>
      <c r="F9" s="19">
        <f t="shared" si="3"/>
        <v>1.0081872927802963E-2</v>
      </c>
      <c r="G9" s="20">
        <v>12348.27</v>
      </c>
      <c r="H9" s="20">
        <f t="shared" si="1"/>
        <v>2579.7299999999996</v>
      </c>
      <c r="I9" s="19">
        <f t="shared" si="2"/>
        <v>0.20891428515897364</v>
      </c>
      <c r="J9" s="53"/>
      <c r="K9" s="60"/>
      <c r="L9" s="97"/>
      <c r="M9" s="97"/>
      <c r="N9" s="97"/>
      <c r="O9" s="97"/>
      <c r="P9" s="97"/>
      <c r="Q9" s="97"/>
      <c r="R9" s="97"/>
      <c r="S9" s="97"/>
      <c r="T9" s="97"/>
      <c r="U9" s="97"/>
      <c r="V9" s="97"/>
      <c r="W9" s="97"/>
      <c r="X9" s="97"/>
      <c r="Y9" s="97"/>
    </row>
    <row r="10" spans="1:25" ht="43.15">
      <c r="A10" s="28" t="str">
        <v>Kohls - East Amherst</v>
      </c>
      <c r="B10" s="67" t="str">
        <v>NY</v>
      </c>
      <c r="C10" s="24">
        <v>0</v>
      </c>
      <c r="D10" s="13">
        <v>0</v>
      </c>
      <c r="E10" s="13">
        <f t="shared" si="0"/>
        <v>0</v>
      </c>
      <c r="F10" s="14" t="str">
        <f t="shared" si="3"/>
        <v/>
      </c>
      <c r="G10" s="15">
        <v>33230.449999999997</v>
      </c>
      <c r="H10" s="15">
        <f t="shared" si="1"/>
        <v>-33230.449999999997</v>
      </c>
      <c r="I10" s="16">
        <f t="shared" si="2"/>
        <v>-1</v>
      </c>
      <c r="J10" s="41" t="s">
        <v>691</v>
      </c>
      <c r="K10" s="88" t="s">
        <v>526</v>
      </c>
      <c r="L10" s="98" t="s">
        <v>527</v>
      </c>
      <c r="M10" s="97"/>
      <c r="N10" s="97"/>
      <c r="O10" s="97"/>
      <c r="P10" s="97"/>
      <c r="Q10" s="97"/>
      <c r="R10" s="97"/>
      <c r="S10" s="97"/>
      <c r="T10" s="97"/>
      <c r="U10" s="97"/>
      <c r="V10" s="97"/>
      <c r="W10" s="97"/>
      <c r="X10" s="97"/>
      <c r="Y10" s="97"/>
    </row>
    <row r="11" spans="1:25" ht="28.9">
      <c r="A11" s="30" t="str">
        <v>Kohls - East Brunswick</v>
      </c>
      <c r="B11" s="68" t="str">
        <v>NJ</v>
      </c>
      <c r="C11" s="11">
        <v>36924</v>
      </c>
      <c r="D11" s="18">
        <v>36774</v>
      </c>
      <c r="E11" s="18">
        <f t="shared" si="0"/>
        <v>150</v>
      </c>
      <c r="F11" s="19">
        <f t="shared" si="3"/>
        <v>4.0789688366780876E-3</v>
      </c>
      <c r="G11" s="20">
        <v>47619.63</v>
      </c>
      <c r="H11" s="20">
        <f t="shared" si="1"/>
        <v>-10695.629999999997</v>
      </c>
      <c r="I11" s="19">
        <f t="shared" si="2"/>
        <v>-0.22460548307494196</v>
      </c>
      <c r="J11" s="53" t="s">
        <v>692</v>
      </c>
      <c r="K11" s="87" t="s">
        <v>693</v>
      </c>
      <c r="L11" s="97"/>
      <c r="M11" s="97"/>
      <c r="N11" s="97"/>
      <c r="O11" s="97"/>
      <c r="P11" s="97"/>
      <c r="Q11" s="97"/>
      <c r="R11" s="97"/>
      <c r="S11" s="97"/>
      <c r="T11" s="97"/>
      <c r="U11" s="97"/>
      <c r="V11" s="97"/>
      <c r="W11" s="97"/>
      <c r="X11" s="97"/>
      <c r="Y11" s="97"/>
    </row>
    <row r="12" spans="1:25" ht="57.6">
      <c r="A12" s="28" t="str">
        <v>Kohls - Edgewood</v>
      </c>
      <c r="B12" s="67" t="str">
        <v>MD</v>
      </c>
      <c r="C12" s="24">
        <v>151849</v>
      </c>
      <c r="D12" s="13">
        <v>151090</v>
      </c>
      <c r="E12" s="13">
        <f t="shared" si="0"/>
        <v>759</v>
      </c>
      <c r="F12" s="14">
        <f t="shared" si="3"/>
        <v>5.0234959295783971E-3</v>
      </c>
      <c r="G12" s="15">
        <v>239949.49</v>
      </c>
      <c r="H12" s="15">
        <f t="shared" si="1"/>
        <v>-88100.489999999991</v>
      </c>
      <c r="I12" s="16">
        <f t="shared" si="2"/>
        <v>-0.36716264743884219</v>
      </c>
      <c r="J12" s="41" t="s">
        <v>694</v>
      </c>
      <c r="K12" s="88" t="s">
        <v>695</v>
      </c>
      <c r="L12" s="98" t="s">
        <v>696</v>
      </c>
      <c r="M12" s="97"/>
      <c r="N12" s="97"/>
      <c r="O12" s="97"/>
      <c r="P12" s="97"/>
      <c r="Q12" s="97"/>
      <c r="R12" s="97"/>
      <c r="S12" s="97"/>
      <c r="T12" s="97"/>
      <c r="U12" s="97"/>
      <c r="V12" s="97"/>
      <c r="W12" s="97"/>
      <c r="X12" s="97"/>
      <c r="Y12" s="97"/>
    </row>
    <row r="13" spans="1:25" ht="15.6">
      <c r="A13" s="30" t="str">
        <v>Kohls - Granite Run</v>
      </c>
      <c r="B13" s="68" t="str">
        <v>PA</v>
      </c>
      <c r="C13" s="11">
        <v>30768</v>
      </c>
      <c r="D13" s="18">
        <v>30544</v>
      </c>
      <c r="E13" s="18">
        <f t="shared" si="0"/>
        <v>224</v>
      </c>
      <c r="F13" s="19">
        <f t="shared" si="3"/>
        <v>7.3336825563122057E-3</v>
      </c>
      <c r="G13" s="20">
        <v>29650.799999999999</v>
      </c>
      <c r="H13" s="20">
        <f t="shared" si="1"/>
        <v>1117.2000000000007</v>
      </c>
      <c r="I13" s="19">
        <f t="shared" si="2"/>
        <v>3.7678578655550632E-2</v>
      </c>
      <c r="J13" s="53" t="s">
        <v>697</v>
      </c>
      <c r="K13" s="87" t="s">
        <v>698</v>
      </c>
      <c r="L13" s="97"/>
      <c r="M13" s="97"/>
      <c r="N13" s="97"/>
      <c r="O13" s="97"/>
      <c r="P13" s="97"/>
      <c r="Q13" s="97"/>
      <c r="R13" s="97"/>
      <c r="S13" s="97"/>
      <c r="T13" s="97"/>
      <c r="U13" s="97"/>
      <c r="V13" s="97"/>
      <c r="W13" s="97"/>
      <c r="X13" s="97"/>
      <c r="Y13" s="97"/>
    </row>
    <row r="14" spans="1:25" ht="36" customHeight="1">
      <c r="A14" s="28" t="str">
        <v>Kohls - Greece</v>
      </c>
      <c r="B14" s="67" t="str">
        <v>NY</v>
      </c>
      <c r="C14" s="24">
        <v>31874</v>
      </c>
      <c r="D14" s="13">
        <v>31724</v>
      </c>
      <c r="E14" s="13">
        <f t="shared" si="0"/>
        <v>150</v>
      </c>
      <c r="F14" s="14">
        <f t="shared" si="3"/>
        <v>4.7282814273105532E-3</v>
      </c>
      <c r="G14" s="15">
        <v>37005.370000000003</v>
      </c>
      <c r="H14" s="15">
        <f t="shared" si="1"/>
        <v>-5131.3700000000026</v>
      </c>
      <c r="I14" s="16">
        <f t="shared" si="2"/>
        <v>-0.13866555043227516</v>
      </c>
      <c r="J14" s="41" t="s">
        <v>699</v>
      </c>
      <c r="K14" s="88" t="s">
        <v>700</v>
      </c>
      <c r="L14" s="97"/>
      <c r="M14" s="97"/>
      <c r="N14" s="97"/>
      <c r="O14" s="97"/>
      <c r="P14" s="97"/>
      <c r="Q14" s="97"/>
      <c r="R14" s="97"/>
      <c r="S14" s="97"/>
      <c r="T14" s="97"/>
      <c r="U14" s="97"/>
      <c r="V14" s="97"/>
      <c r="W14" s="97"/>
      <c r="X14" s="97"/>
      <c r="Y14" s="97"/>
    </row>
    <row r="15" spans="1:25" ht="15.6">
      <c r="A15" s="30" t="str">
        <v>Kohls - Hanover</v>
      </c>
      <c r="B15" s="68" t="str">
        <v>PA</v>
      </c>
      <c r="C15" s="11">
        <v>34981</v>
      </c>
      <c r="D15" s="18">
        <v>34776</v>
      </c>
      <c r="E15" s="18">
        <f t="shared" si="0"/>
        <v>205</v>
      </c>
      <c r="F15" s="19">
        <f t="shared" si="3"/>
        <v>5.8948700253048077E-3</v>
      </c>
      <c r="G15" s="20">
        <v>32232.05</v>
      </c>
      <c r="H15" s="20">
        <f t="shared" si="1"/>
        <v>2748.9500000000007</v>
      </c>
      <c r="I15" s="19">
        <f t="shared" si="2"/>
        <v>8.5286229079441139E-2</v>
      </c>
      <c r="J15" s="53"/>
      <c r="K15" s="60"/>
      <c r="L15" s="97"/>
      <c r="M15" s="97"/>
      <c r="N15" s="97"/>
      <c r="O15" s="97"/>
      <c r="P15" s="97"/>
      <c r="Q15" s="97"/>
      <c r="R15" s="97"/>
      <c r="S15" s="97"/>
      <c r="T15" s="97"/>
      <c r="U15" s="97"/>
      <c r="V15" s="97"/>
      <c r="W15" s="97"/>
      <c r="X15" s="97"/>
      <c r="Y15" s="97"/>
    </row>
    <row r="16" spans="1:25" ht="15.6">
      <c r="A16" s="28" t="str">
        <v>Kohls - Horsehead</v>
      </c>
      <c r="B16" s="67" t="str">
        <v>NY</v>
      </c>
      <c r="C16" s="24">
        <v>28420</v>
      </c>
      <c r="D16" s="13">
        <v>28274</v>
      </c>
      <c r="E16" s="13">
        <f t="shared" si="0"/>
        <v>146</v>
      </c>
      <c r="F16" s="14">
        <f t="shared" si="3"/>
        <v>5.1637546862842191E-3</v>
      </c>
      <c r="G16" s="15">
        <v>26839.46</v>
      </c>
      <c r="H16" s="15">
        <f t="shared" si="1"/>
        <v>1580.5400000000009</v>
      </c>
      <c r="I16" s="16">
        <f t="shared" si="2"/>
        <v>5.8888666165414688E-2</v>
      </c>
      <c r="J16" s="41"/>
      <c r="K16" s="41"/>
      <c r="L16" s="97"/>
      <c r="M16" s="97"/>
      <c r="N16" s="97"/>
      <c r="O16" s="97"/>
      <c r="P16" s="97"/>
      <c r="Q16" s="97"/>
      <c r="R16" s="97"/>
      <c r="S16" s="97"/>
      <c r="T16" s="97"/>
      <c r="U16" s="97"/>
      <c r="V16" s="97"/>
      <c r="W16" s="97"/>
      <c r="X16" s="97"/>
      <c r="Y16" s="97"/>
    </row>
    <row r="17" spans="1:25" ht="109.5" customHeight="1">
      <c r="A17" s="30" t="str">
        <v>Kohls - Hudson</v>
      </c>
      <c r="B17" s="68" t="str">
        <v>NY</v>
      </c>
      <c r="C17" s="11">
        <v>1258</v>
      </c>
      <c r="D17" s="18">
        <v>1253</v>
      </c>
      <c r="E17" s="18">
        <f t="shared" si="0"/>
        <v>5</v>
      </c>
      <c r="F17" s="19">
        <f t="shared" si="3"/>
        <v>3.9904229848363925E-3</v>
      </c>
      <c r="G17" s="20">
        <v>31684.63</v>
      </c>
      <c r="H17" s="20">
        <f t="shared" si="1"/>
        <v>-30426.63</v>
      </c>
      <c r="I17" s="19">
        <f t="shared" si="2"/>
        <v>-0.96029620670968863</v>
      </c>
      <c r="J17" s="53" t="s">
        <v>701</v>
      </c>
      <c r="K17" s="87" t="s">
        <v>623</v>
      </c>
      <c r="L17" s="97"/>
      <c r="M17" s="97"/>
      <c r="N17" s="97"/>
      <c r="O17" s="97"/>
      <c r="P17" s="97"/>
      <c r="Q17" s="97"/>
      <c r="R17" s="97"/>
      <c r="S17" s="97"/>
      <c r="T17" s="97"/>
      <c r="U17" s="97"/>
      <c r="V17" s="97"/>
      <c r="W17" s="97"/>
      <c r="X17" s="97"/>
      <c r="Y17" s="97"/>
    </row>
    <row r="18" spans="1:25" ht="12.75" customHeight="1">
      <c r="A18" s="28" t="str">
        <v>Kohls - Ithaca</v>
      </c>
      <c r="B18" s="67" t="str">
        <v>NY</v>
      </c>
      <c r="C18" s="24">
        <v>29986</v>
      </c>
      <c r="D18" s="13">
        <v>29897</v>
      </c>
      <c r="E18" s="13">
        <f>IF(AND(ISNUMBER(C18),ISNUMBER(D18)), C18-D18, "")</f>
        <v>89</v>
      </c>
      <c r="F18" s="14">
        <f t="shared" si="3"/>
        <v>2.9768873131083388E-3</v>
      </c>
      <c r="G18" s="15">
        <v>29872.69</v>
      </c>
      <c r="H18" s="62">
        <f>IF(AND(ISNUMBER(C18),ISNUMBER(G18)), C18-G18, "")</f>
        <v>113.31000000000131</v>
      </c>
      <c r="I18" s="16">
        <f t="shared" si="2"/>
        <v>3.7930966377651733E-3</v>
      </c>
      <c r="J18" s="41"/>
      <c r="K18" s="41"/>
      <c r="L18" s="97"/>
      <c r="M18" s="97"/>
      <c r="N18" s="97"/>
      <c r="O18" s="97"/>
      <c r="P18" s="97"/>
      <c r="Q18" s="97"/>
      <c r="R18" s="97"/>
      <c r="S18" s="97"/>
      <c r="T18" s="97"/>
      <c r="U18" s="97"/>
      <c r="V18" s="97"/>
      <c r="W18" s="97"/>
      <c r="X18" s="97"/>
      <c r="Y18" s="97"/>
    </row>
    <row r="19" spans="1:25" ht="12.75" customHeight="1">
      <c r="A19" s="30" t="str">
        <v>Kohls - Kingston</v>
      </c>
      <c r="B19" s="68" t="str">
        <v>NY</v>
      </c>
      <c r="C19" s="11">
        <v>41846</v>
      </c>
      <c r="D19" s="18">
        <v>41553</v>
      </c>
      <c r="E19" s="18">
        <f t="shared" ref="E19:E20" si="4">IF(AND(ISNUMBER(C19),ISNUMBER(D19)), C19-D19, "")</f>
        <v>293</v>
      </c>
      <c r="F19" s="19">
        <f t="shared" si="3"/>
        <v>7.051235771183789E-3</v>
      </c>
      <c r="G19" s="61">
        <v>46546.25</v>
      </c>
      <c r="H19" s="20">
        <f t="shared" ref="H19:H20" si="5">IF(AND(ISNUMBER(C19),ISNUMBER(G19)), C19-G19, "")</f>
        <v>-4700.25</v>
      </c>
      <c r="I19" s="19">
        <f t="shared" si="2"/>
        <v>-0.10098020785777587</v>
      </c>
      <c r="J19" s="53" t="s">
        <v>702</v>
      </c>
      <c r="K19" s="87" t="s">
        <v>703</v>
      </c>
      <c r="L19" s="97"/>
      <c r="M19" s="97"/>
      <c r="N19" s="97"/>
      <c r="O19" s="97"/>
      <c r="P19" s="97"/>
      <c r="Q19" s="97"/>
      <c r="R19" s="97"/>
      <c r="S19" s="97"/>
      <c r="T19" s="97"/>
      <c r="U19" s="97"/>
      <c r="V19" s="97"/>
      <c r="W19" s="97"/>
      <c r="X19" s="97"/>
      <c r="Y19" s="97"/>
    </row>
    <row r="20" spans="1:25" ht="26.25" customHeight="1">
      <c r="A20" s="28" t="str">
        <v>Kohls - Mechanicsburg</v>
      </c>
      <c r="B20" s="67" t="str">
        <v>PA</v>
      </c>
      <c r="C20" s="24">
        <v>0</v>
      </c>
      <c r="D20" s="13">
        <v>0</v>
      </c>
      <c r="E20" s="13">
        <f t="shared" si="4"/>
        <v>0</v>
      </c>
      <c r="F20" s="14" t="str">
        <f t="shared" si="3"/>
        <v/>
      </c>
      <c r="G20" s="15">
        <v>37616.589999999997</v>
      </c>
      <c r="H20" s="62">
        <f t="shared" si="5"/>
        <v>-37616.589999999997</v>
      </c>
      <c r="I20" s="16">
        <f t="shared" si="2"/>
        <v>-1</v>
      </c>
      <c r="J20" s="41" t="s">
        <v>624</v>
      </c>
      <c r="K20" s="88" t="s">
        <v>704</v>
      </c>
      <c r="L20" s="97"/>
      <c r="M20" s="97"/>
      <c r="N20" s="97"/>
      <c r="O20" s="97"/>
      <c r="P20" s="97"/>
      <c r="Q20" s="97"/>
      <c r="R20" s="97"/>
      <c r="S20" s="97"/>
      <c r="T20" s="97"/>
      <c r="U20" s="97"/>
      <c r="V20" s="97"/>
      <c r="W20" s="97"/>
      <c r="X20" s="97"/>
      <c r="Y20" s="97"/>
    </row>
    <row r="21" spans="1:25" ht="15.6">
      <c r="A21" s="30" t="str">
        <v>Kohls - Middletown</v>
      </c>
      <c r="B21" s="68" t="str">
        <v>NJ</v>
      </c>
      <c r="C21" s="65">
        <v>39458</v>
      </c>
      <c r="D21" s="18">
        <v>38918</v>
      </c>
      <c r="E21" s="18">
        <f t="shared" ref="E21:E68" si="6">IF(AND(ISNUMBER(C21),ISNUMBER(D21)), C21-D21, "")</f>
        <v>540</v>
      </c>
      <c r="F21" s="19">
        <f t="shared" si="3"/>
        <v>1.3875327611901947E-2</v>
      </c>
      <c r="G21" s="20">
        <v>56536.32</v>
      </c>
      <c r="H21" s="61">
        <f t="shared" ref="H21:H27" si="7">IF(AND(ISNUMBER(C21),ISNUMBER(G21)), C21-G21, "")</f>
        <v>-17078.32</v>
      </c>
      <c r="I21" s="19">
        <f t="shared" si="2"/>
        <v>-0.30207696574520593</v>
      </c>
      <c r="J21" s="53" t="s">
        <v>705</v>
      </c>
      <c r="K21" s="87" t="s">
        <v>706</v>
      </c>
      <c r="L21" s="97"/>
      <c r="M21" s="97"/>
      <c r="N21" s="97"/>
      <c r="O21" s="97"/>
      <c r="P21" s="97"/>
      <c r="Q21" s="97"/>
      <c r="R21" s="97"/>
      <c r="S21" s="97"/>
      <c r="T21" s="97"/>
      <c r="U21" s="97"/>
      <c r="V21" s="97"/>
      <c r="W21" s="97"/>
      <c r="X21" s="97"/>
      <c r="Y21" s="97"/>
    </row>
    <row r="22" spans="1:25" ht="15.6">
      <c r="A22" s="28" t="str">
        <v>Kohls - North Amherst</v>
      </c>
      <c r="B22" s="67" t="str">
        <v>NY</v>
      </c>
      <c r="C22" s="24">
        <v>31507</v>
      </c>
      <c r="D22" s="13">
        <v>31404</v>
      </c>
      <c r="E22" s="13">
        <f t="shared" si="6"/>
        <v>103</v>
      </c>
      <c r="F22" s="14">
        <f t="shared" si="3"/>
        <v>3.2798369634441473E-3</v>
      </c>
      <c r="G22" s="15">
        <v>33181.67</v>
      </c>
      <c r="H22" s="62">
        <f t="shared" si="7"/>
        <v>-1674.6699999999983</v>
      </c>
      <c r="I22" s="16">
        <f t="shared" si="2"/>
        <v>-5.0469732234694586E-2</v>
      </c>
      <c r="J22" s="41"/>
      <c r="K22" s="41"/>
      <c r="L22" s="97"/>
      <c r="M22" s="97"/>
      <c r="N22" s="97"/>
      <c r="O22" s="97"/>
      <c r="P22" s="97"/>
      <c r="Q22" s="97"/>
      <c r="R22" s="97"/>
      <c r="S22" s="97"/>
      <c r="T22" s="97"/>
      <c r="U22" s="97"/>
      <c r="V22" s="97"/>
      <c r="W22" s="97"/>
      <c r="X22" s="97"/>
      <c r="Y22" s="97"/>
    </row>
    <row r="23" spans="1:25" ht="100.9">
      <c r="A23" s="30" t="str">
        <v>Kohls - Staten Island</v>
      </c>
      <c r="B23" s="68" t="str">
        <v>NY</v>
      </c>
      <c r="C23" s="11">
        <v>29412</v>
      </c>
      <c r="D23" s="18" t="s">
        <v>24</v>
      </c>
      <c r="E23" s="18" t="str">
        <f t="shared" si="6"/>
        <v/>
      </c>
      <c r="F23" s="19" t="str">
        <f t="shared" si="3"/>
        <v/>
      </c>
      <c r="G23" s="20">
        <v>31288.2</v>
      </c>
      <c r="H23" s="20">
        <f t="shared" si="7"/>
        <v>-1876.2000000000007</v>
      </c>
      <c r="I23" s="19">
        <f t="shared" si="2"/>
        <v>-5.996509866339389E-2</v>
      </c>
      <c r="J23" s="53" t="s">
        <v>707</v>
      </c>
      <c r="K23" s="87" t="s">
        <v>708</v>
      </c>
      <c r="L23" s="98" t="s">
        <v>39</v>
      </c>
      <c r="M23" s="97"/>
      <c r="N23" s="97"/>
      <c r="O23" s="97"/>
      <c r="P23" s="97"/>
      <c r="Q23" s="97"/>
      <c r="R23" s="97"/>
      <c r="S23" s="97"/>
      <c r="T23" s="97"/>
      <c r="U23" s="97"/>
      <c r="V23" s="97"/>
      <c r="W23" s="97"/>
      <c r="X23" s="97"/>
      <c r="Y23" s="97"/>
    </row>
    <row r="24" spans="1:25" ht="15.6">
      <c r="A24" s="28" t="str">
        <v>Kohls - Warminster</v>
      </c>
      <c r="B24" s="67" t="str">
        <v>PA</v>
      </c>
      <c r="C24" s="24">
        <v>40929</v>
      </c>
      <c r="D24" s="13">
        <v>40706</v>
      </c>
      <c r="E24" s="13">
        <f t="shared" si="6"/>
        <v>223</v>
      </c>
      <c r="F24" s="14">
        <f t="shared" si="3"/>
        <v>5.4783078661622365E-3</v>
      </c>
      <c r="G24" s="15">
        <v>36465.54</v>
      </c>
      <c r="H24" s="62">
        <f t="shared" si="7"/>
        <v>4463.4599999999991</v>
      </c>
      <c r="I24" s="16">
        <f t="shared" si="2"/>
        <v>0.12240213637313471</v>
      </c>
      <c r="J24" s="41"/>
      <c r="K24" s="41"/>
      <c r="L24" s="97"/>
      <c r="M24" s="97"/>
      <c r="N24" s="97"/>
      <c r="O24" s="97"/>
      <c r="P24" s="97"/>
      <c r="Q24" s="97"/>
      <c r="R24" s="97"/>
      <c r="S24" s="97"/>
      <c r="T24" s="97"/>
      <c r="U24" s="97"/>
      <c r="V24" s="97"/>
      <c r="W24" s="97"/>
      <c r="X24" s="97"/>
      <c r="Y24" s="97"/>
    </row>
    <row r="25" spans="1:25" ht="15.6">
      <c r="A25" s="30" t="str">
        <v xml:space="preserve">Kohls - Waterbury </v>
      </c>
      <c r="B25" s="68" t="str">
        <v>CT</v>
      </c>
      <c r="C25" s="11">
        <v>36433</v>
      </c>
      <c r="D25" s="18">
        <v>36153</v>
      </c>
      <c r="E25" s="18">
        <f t="shared" si="6"/>
        <v>280</v>
      </c>
      <c r="F25" s="19">
        <f t="shared" si="3"/>
        <v>7.7448621137941528E-3</v>
      </c>
      <c r="G25">
        <v>31321.1</v>
      </c>
      <c r="H25" s="20">
        <f t="shared" si="7"/>
        <v>5111.9000000000015</v>
      </c>
      <c r="I25" s="19">
        <f t="shared" si="2"/>
        <v>0.16320946582335874</v>
      </c>
      <c r="J25" s="53"/>
      <c r="K25" s="60"/>
      <c r="L25" s="97"/>
      <c r="M25" s="97"/>
      <c r="N25" s="97"/>
      <c r="O25" s="97"/>
      <c r="P25" s="97"/>
      <c r="Q25" s="97"/>
      <c r="R25" s="97"/>
      <c r="S25" s="97"/>
      <c r="T25" s="97"/>
      <c r="U25" s="97"/>
      <c r="V25" s="97"/>
      <c r="W25" s="97"/>
      <c r="X25" s="97"/>
      <c r="Y25" s="97"/>
    </row>
    <row r="26" spans="1:25" ht="15.6">
      <c r="A26" s="28" t="str">
        <v>Mojave Water Agency - Headquarters</v>
      </c>
      <c r="B26" s="67" t="str">
        <v>CA</v>
      </c>
      <c r="C26" s="24">
        <v>38622</v>
      </c>
      <c r="D26" s="13">
        <v>38555</v>
      </c>
      <c r="E26" s="13">
        <f t="shared" si="6"/>
        <v>67</v>
      </c>
      <c r="F26" s="14">
        <f t="shared" si="3"/>
        <v>1.7377772014005965E-3</v>
      </c>
      <c r="G26" s="15">
        <v>34023.440000000002</v>
      </c>
      <c r="H26" s="62">
        <f t="shared" si="7"/>
        <v>4598.5599999999977</v>
      </c>
      <c r="I26" s="16">
        <f t="shared" si="2"/>
        <v>0.13515858478742881</v>
      </c>
      <c r="J26" s="41"/>
      <c r="K26" s="41"/>
      <c r="L26" s="97"/>
      <c r="M26" s="97"/>
      <c r="N26" s="97"/>
      <c r="O26" s="97"/>
      <c r="P26" s="97"/>
      <c r="Q26" s="97"/>
      <c r="R26" s="97"/>
      <c r="S26" s="97"/>
      <c r="T26" s="97"/>
      <c r="U26" s="97"/>
      <c r="V26" s="97"/>
      <c r="W26" s="97"/>
      <c r="X26" s="97"/>
      <c r="Y26" s="97"/>
    </row>
    <row r="27" spans="1:25" ht="15.6">
      <c r="A27" s="30" t="str">
        <v>CSU - Bakersfield</v>
      </c>
      <c r="B27" s="68" t="str">
        <v>CA</v>
      </c>
      <c r="C27" s="11">
        <v>73334</v>
      </c>
      <c r="D27" s="18">
        <v>73170</v>
      </c>
      <c r="E27" s="18">
        <f t="shared" si="6"/>
        <v>164</v>
      </c>
      <c r="F27" s="19">
        <f t="shared" si="3"/>
        <v>2.2413557468908022E-3</v>
      </c>
      <c r="G27" s="20">
        <v>141106.99</v>
      </c>
      <c r="H27" s="20">
        <f t="shared" si="7"/>
        <v>-67772.989999999991</v>
      </c>
      <c r="I27" s="19">
        <f t="shared" si="2"/>
        <v>-0.48029505838087821</v>
      </c>
      <c r="J27" s="53" t="s">
        <v>709</v>
      </c>
      <c r="K27" s="87" t="s">
        <v>710</v>
      </c>
      <c r="L27" s="97"/>
      <c r="M27" s="97"/>
      <c r="N27" s="97"/>
      <c r="O27" s="97"/>
      <c r="P27" s="97"/>
      <c r="Q27" s="97"/>
      <c r="R27" s="97"/>
      <c r="S27" s="97"/>
      <c r="T27" s="97"/>
      <c r="U27" s="97"/>
      <c r="V27" s="97"/>
      <c r="W27" s="97"/>
      <c r="X27" s="97"/>
      <c r="Y27" s="97"/>
    </row>
    <row r="28" spans="1:25" ht="72">
      <c r="A28" s="28" t="str">
        <v>Greenfield USD - Fairfield ES</v>
      </c>
      <c r="B28" s="67" t="str">
        <v>CA</v>
      </c>
      <c r="C28" s="24">
        <v>11877</v>
      </c>
      <c r="D28" s="13">
        <v>11799</v>
      </c>
      <c r="E28" s="13">
        <f t="shared" si="6"/>
        <v>78</v>
      </c>
      <c r="F28" s="14">
        <f t="shared" si="3"/>
        <v>6.6107297228578691E-3</v>
      </c>
      <c r="G28" s="15">
        <v>14394.04</v>
      </c>
      <c r="H28" s="15">
        <f t="shared" ref="H28:H29" si="8">IF(AND(ISNUMBER(C28),ISNUMBER(G28)), C28-G28, "")</f>
        <v>-2517.0400000000009</v>
      </c>
      <c r="I28" s="16">
        <f t="shared" si="2"/>
        <v>-0.17486681987822741</v>
      </c>
      <c r="J28" s="41" t="s">
        <v>430</v>
      </c>
      <c r="K28" s="41"/>
      <c r="L28" s="97"/>
      <c r="M28" s="97"/>
      <c r="N28" s="97"/>
      <c r="O28" s="97"/>
      <c r="P28" s="97"/>
      <c r="Q28" s="97"/>
      <c r="R28" s="97"/>
      <c r="S28" s="97"/>
      <c r="T28" s="97"/>
      <c r="U28" s="97"/>
      <c r="V28" s="97"/>
      <c r="W28" s="97"/>
      <c r="X28" s="97"/>
      <c r="Y28" s="97"/>
    </row>
    <row r="29" spans="1:25" ht="43.15">
      <c r="A29" s="30" t="str">
        <v>Greenfield USD - Granite Point ES</v>
      </c>
      <c r="B29" s="68" t="str">
        <v>CA</v>
      </c>
      <c r="C29" s="11">
        <v>35847</v>
      </c>
      <c r="D29" s="18">
        <v>35726</v>
      </c>
      <c r="E29" s="18">
        <f t="shared" si="6"/>
        <v>121</v>
      </c>
      <c r="F29" s="19">
        <f t="shared" si="3"/>
        <v>3.3868891003750769E-3</v>
      </c>
      <c r="G29" s="20">
        <v>37853.760000000002</v>
      </c>
      <c r="H29" s="20">
        <f t="shared" si="8"/>
        <v>-2006.760000000002</v>
      </c>
      <c r="I29" s="19">
        <f t="shared" si="2"/>
        <v>-5.3013491922599021E-2</v>
      </c>
      <c r="J29" s="53" t="s">
        <v>711</v>
      </c>
      <c r="K29" s="87" t="s">
        <v>712</v>
      </c>
      <c r="L29" s="97"/>
      <c r="M29" s="97"/>
      <c r="N29" s="97"/>
      <c r="O29" s="97"/>
      <c r="P29" s="97"/>
      <c r="Q29" s="97"/>
      <c r="R29" s="97"/>
      <c r="S29" s="97"/>
      <c r="T29" s="97"/>
      <c r="U29" s="97"/>
      <c r="V29" s="97"/>
      <c r="W29" s="97"/>
      <c r="X29" s="97"/>
      <c r="Y29" s="97"/>
    </row>
    <row r="30" spans="1:25" ht="72">
      <c r="A30" s="28" t="str">
        <v>Greenfield USD - Greenfield MS</v>
      </c>
      <c r="B30" s="67" t="str">
        <v>CA</v>
      </c>
      <c r="C30" s="24">
        <v>19188</v>
      </c>
      <c r="D30" s="13">
        <v>19154</v>
      </c>
      <c r="E30" s="13">
        <f t="shared" si="6"/>
        <v>34</v>
      </c>
      <c r="F30" s="14">
        <f t="shared" si="3"/>
        <v>1.7750861438863945E-3</v>
      </c>
      <c r="G30" s="15">
        <v>25901.920999999998</v>
      </c>
      <c r="H30" s="62">
        <f t="shared" ref="H30:H56" si="9">IF(AND(ISNUMBER(C30),ISNUMBER(G30)), C30-G30, "")</f>
        <v>-6713.9209999999985</v>
      </c>
      <c r="I30" s="16">
        <f t="shared" si="2"/>
        <v>-0.2592055237910732</v>
      </c>
      <c r="J30" s="41" t="s">
        <v>430</v>
      </c>
      <c r="K30" s="41"/>
      <c r="L30" s="97"/>
      <c r="M30" s="97"/>
      <c r="N30" s="97"/>
      <c r="O30" s="97"/>
      <c r="P30" s="97"/>
      <c r="Q30" s="97"/>
      <c r="R30" s="97"/>
      <c r="S30" s="97"/>
      <c r="T30" s="97"/>
      <c r="U30" s="97"/>
      <c r="V30" s="97"/>
      <c r="W30" s="97"/>
      <c r="X30" s="97"/>
      <c r="Y30" s="97"/>
    </row>
    <row r="31" spans="1:25" ht="28.9">
      <c r="A31" s="30" t="str">
        <v>Greenfield USD - Horizon ES</v>
      </c>
      <c r="B31" s="68" t="str">
        <v>CA</v>
      </c>
      <c r="C31" s="11">
        <v>31130</v>
      </c>
      <c r="D31" s="18">
        <v>31086</v>
      </c>
      <c r="E31" s="18">
        <f t="shared" si="6"/>
        <v>44</v>
      </c>
      <c r="F31" s="19">
        <f t="shared" si="3"/>
        <v>1.4154281670205238E-3</v>
      </c>
      <c r="G31" s="20">
        <v>38990.76</v>
      </c>
      <c r="H31" s="20">
        <f t="shared" si="9"/>
        <v>-7860.760000000002</v>
      </c>
      <c r="I31" s="19">
        <f t="shared" si="2"/>
        <v>-0.20160571376397898</v>
      </c>
      <c r="J31" s="53" t="s">
        <v>713</v>
      </c>
      <c r="K31" s="87" t="s">
        <v>714</v>
      </c>
      <c r="L31" s="97"/>
      <c r="M31" s="97"/>
      <c r="N31" s="97"/>
      <c r="O31" s="97"/>
      <c r="P31" s="97"/>
      <c r="Q31" s="97"/>
      <c r="R31" s="97"/>
      <c r="S31" s="97"/>
      <c r="T31" s="97"/>
      <c r="U31" s="97"/>
      <c r="V31" s="97"/>
      <c r="W31" s="97"/>
      <c r="X31" s="97"/>
      <c r="Y31" s="97"/>
    </row>
    <row r="32" spans="1:25" ht="72">
      <c r="A32" s="28" t="str">
        <v>Greenfield USD - McKee MS</v>
      </c>
      <c r="B32" s="67" t="str">
        <v>CA</v>
      </c>
      <c r="C32" s="24">
        <v>13747</v>
      </c>
      <c r="D32" s="13">
        <v>13740</v>
      </c>
      <c r="E32" s="13">
        <f t="shared" si="6"/>
        <v>7</v>
      </c>
      <c r="F32" s="14">
        <f t="shared" si="3"/>
        <v>5.0946142649199418E-4</v>
      </c>
      <c r="G32" s="15">
        <v>23861.39</v>
      </c>
      <c r="H32" s="62">
        <f t="shared" si="9"/>
        <v>-10114.39</v>
      </c>
      <c r="I32" s="16">
        <f t="shared" si="2"/>
        <v>-0.42388100609394508</v>
      </c>
      <c r="J32" s="41" t="s">
        <v>430</v>
      </c>
      <c r="K32" s="41"/>
      <c r="L32" s="97"/>
      <c r="M32" s="97"/>
      <c r="N32" s="97"/>
      <c r="O32" s="97"/>
      <c r="P32" s="97"/>
      <c r="Q32" s="97"/>
      <c r="R32" s="97"/>
      <c r="S32" s="97"/>
      <c r="T32" s="97"/>
      <c r="U32" s="97"/>
      <c r="V32" s="97"/>
      <c r="W32" s="97"/>
      <c r="X32" s="97"/>
      <c r="Y32" s="97"/>
    </row>
    <row r="33" spans="1:25" ht="72">
      <c r="A33" s="30" t="str">
        <v>Greenfield USD - Plantation ES</v>
      </c>
      <c r="B33" s="68" t="str">
        <v>CA</v>
      </c>
      <c r="C33" s="11">
        <v>14303</v>
      </c>
      <c r="D33" s="18">
        <v>14277</v>
      </c>
      <c r="E33" s="18">
        <f t="shared" si="6"/>
        <v>26</v>
      </c>
      <c r="F33" s="19">
        <f t="shared" si="3"/>
        <v>1.8211108776353575E-3</v>
      </c>
      <c r="G33" s="61">
        <v>16995.259999999998</v>
      </c>
      <c r="H33" s="20">
        <f t="shared" si="9"/>
        <v>-2692.2599999999984</v>
      </c>
      <c r="I33" s="19">
        <f t="shared" si="2"/>
        <v>-0.15841240439981494</v>
      </c>
      <c r="J33" s="53" t="s">
        <v>430</v>
      </c>
      <c r="K33" s="60"/>
      <c r="L33" s="97"/>
      <c r="M33" s="97"/>
      <c r="N33" s="97"/>
      <c r="O33" s="97"/>
      <c r="P33" s="97"/>
      <c r="Q33" s="97"/>
      <c r="R33" s="97"/>
      <c r="S33" s="97"/>
      <c r="T33" s="97"/>
      <c r="U33" s="97"/>
      <c r="V33" s="97"/>
      <c r="W33" s="97"/>
      <c r="X33" s="97"/>
      <c r="Y33" s="97"/>
    </row>
    <row r="34" spans="1:25" ht="72">
      <c r="A34" s="28" t="str">
        <v>Greenfield USD - Planz ES</v>
      </c>
      <c r="B34" s="67" t="str">
        <v>CA</v>
      </c>
      <c r="C34" s="24">
        <v>15256</v>
      </c>
      <c r="D34" s="13">
        <v>14807</v>
      </c>
      <c r="E34" s="13">
        <f t="shared" si="6"/>
        <v>449</v>
      </c>
      <c r="F34" s="14">
        <f t="shared" si="3"/>
        <v>3.0323495643952186E-2</v>
      </c>
      <c r="G34" s="15">
        <v>19587.29</v>
      </c>
      <c r="H34" s="62">
        <f t="shared" si="9"/>
        <v>-4331.2900000000009</v>
      </c>
      <c r="I34" s="16">
        <f t="shared" si="2"/>
        <v>-0.22112757813868078</v>
      </c>
      <c r="J34" s="41" t="s">
        <v>715</v>
      </c>
      <c r="K34" s="88" t="s">
        <v>716</v>
      </c>
      <c r="L34" s="97"/>
      <c r="M34" s="97"/>
      <c r="N34" s="97"/>
      <c r="O34" s="97"/>
      <c r="P34" s="97"/>
      <c r="Q34" s="97"/>
      <c r="R34" s="97"/>
      <c r="S34" s="97"/>
      <c r="T34" s="97"/>
      <c r="U34" s="97"/>
      <c r="V34" s="97"/>
      <c r="W34" s="97"/>
      <c r="X34" s="97"/>
      <c r="Y34" s="97"/>
    </row>
    <row r="35" spans="1:25" ht="43.15">
      <c r="A35" s="61" t="str">
        <v>Greenfield USD - Raffaello Palla ES</v>
      </c>
      <c r="B35" s="69" t="str">
        <v>CA</v>
      </c>
      <c r="C35" s="61">
        <v>26539</v>
      </c>
      <c r="D35" s="61">
        <v>26165</v>
      </c>
      <c r="E35" s="61">
        <f t="shared" si="6"/>
        <v>374</v>
      </c>
      <c r="F35" s="19">
        <f t="shared" si="3"/>
        <v>1.429390407032295E-2</v>
      </c>
      <c r="G35" s="61">
        <v>42593.86</v>
      </c>
      <c r="H35" s="61">
        <f t="shared" si="9"/>
        <v>-16054.86</v>
      </c>
      <c r="I35" s="19">
        <f t="shared" si="2"/>
        <v>-0.3769289752091029</v>
      </c>
      <c r="J35" s="118" t="s">
        <v>717</v>
      </c>
      <c r="K35" s="119" t="s">
        <v>718</v>
      </c>
      <c r="L35" s="97"/>
      <c r="M35" s="97"/>
      <c r="N35" s="97"/>
      <c r="O35" s="97"/>
      <c r="P35" s="97"/>
      <c r="Q35" s="97"/>
      <c r="R35" s="97"/>
      <c r="S35" s="97"/>
      <c r="T35" s="97"/>
      <c r="U35" s="97"/>
      <c r="V35" s="97"/>
      <c r="W35" s="97"/>
      <c r="X35" s="97"/>
      <c r="Y35" s="97"/>
    </row>
    <row r="36" spans="1:25" ht="72">
      <c r="A36" s="28" t="str">
        <v>Greenfield USD - Valle Verde ES</v>
      </c>
      <c r="B36" s="67" t="str">
        <v>CA</v>
      </c>
      <c r="C36" s="24">
        <v>33803</v>
      </c>
      <c r="D36" s="13">
        <v>33617</v>
      </c>
      <c r="E36" s="13">
        <f t="shared" si="6"/>
        <v>186</v>
      </c>
      <c r="F36" s="14">
        <f t="shared" si="3"/>
        <v>5.5329148942499327E-3</v>
      </c>
      <c r="G36" s="15">
        <v>39762.85</v>
      </c>
      <c r="H36" s="62">
        <f t="shared" si="9"/>
        <v>-5959.8499999999985</v>
      </c>
      <c r="I36" s="16">
        <f t="shared" si="2"/>
        <v>-0.14988487998219441</v>
      </c>
      <c r="J36" s="41" t="s">
        <v>430</v>
      </c>
      <c r="K36" s="41"/>
      <c r="L36" s="97"/>
      <c r="M36" s="97"/>
      <c r="N36" s="97"/>
      <c r="O36" s="97"/>
      <c r="P36" s="97"/>
      <c r="Q36" s="97"/>
      <c r="R36" s="97"/>
      <c r="S36" s="97"/>
      <c r="T36" s="97"/>
      <c r="U36" s="97"/>
      <c r="V36" s="97"/>
      <c r="W36" s="97"/>
      <c r="X36" s="97"/>
      <c r="Y36" s="97"/>
    </row>
    <row r="37" spans="1:25" ht="28.9">
      <c r="A37" s="61" t="str">
        <v>Greenfield USD - W.A. Kendrick ES</v>
      </c>
      <c r="B37" s="69" t="str">
        <v>CA</v>
      </c>
      <c r="C37" s="61">
        <v>0</v>
      </c>
      <c r="D37" s="61">
        <v>0</v>
      </c>
      <c r="E37" s="61">
        <f t="shared" si="6"/>
        <v>0</v>
      </c>
      <c r="F37" s="19" t="str">
        <f t="shared" si="3"/>
        <v/>
      </c>
      <c r="G37" s="20">
        <v>15313.2</v>
      </c>
      <c r="H37" s="61">
        <f t="shared" si="9"/>
        <v>-15313.2</v>
      </c>
      <c r="I37" s="19">
        <f t="shared" si="2"/>
        <v>-1</v>
      </c>
      <c r="J37" s="118" t="s">
        <v>719</v>
      </c>
      <c r="K37" s="119" t="s">
        <v>644</v>
      </c>
      <c r="L37" s="98" t="s">
        <v>645</v>
      </c>
      <c r="M37" s="97"/>
      <c r="N37" s="97"/>
      <c r="O37" s="97"/>
      <c r="P37" s="97"/>
      <c r="Q37" s="97"/>
      <c r="R37" s="97"/>
      <c r="S37" s="97"/>
      <c r="T37" s="97"/>
      <c r="U37" s="97"/>
      <c r="V37" s="97"/>
      <c r="W37" s="97"/>
      <c r="X37" s="97"/>
      <c r="Y37" s="97"/>
    </row>
    <row r="38" spans="1:25" ht="26.45">
      <c r="A38" s="28" t="str">
        <v>Muroc Joint USD - Boron HS</v>
      </c>
      <c r="B38" s="67" t="str">
        <v>CA</v>
      </c>
      <c r="C38" s="24">
        <v>0</v>
      </c>
      <c r="D38" s="13">
        <v>0</v>
      </c>
      <c r="E38" s="13">
        <f t="shared" si="6"/>
        <v>0</v>
      </c>
      <c r="F38" s="14" t="str">
        <f t="shared" si="3"/>
        <v/>
      </c>
      <c r="G38" s="15">
        <v>34605.74</v>
      </c>
      <c r="H38" s="62">
        <f t="shared" si="9"/>
        <v>-34605.74</v>
      </c>
      <c r="I38" s="16">
        <f t="shared" si="2"/>
        <v>-1</v>
      </c>
      <c r="J38" s="64" t="s">
        <v>720</v>
      </c>
      <c r="K38" s="88" t="s">
        <v>721</v>
      </c>
      <c r="L38" s="98" t="s">
        <v>722</v>
      </c>
      <c r="M38" s="97"/>
      <c r="N38" s="97"/>
      <c r="O38" s="97"/>
      <c r="P38" s="97"/>
      <c r="Q38" s="97"/>
      <c r="R38" s="97"/>
      <c r="S38" s="97"/>
      <c r="T38" s="97"/>
      <c r="U38" s="97"/>
      <c r="V38" s="97"/>
      <c r="W38" s="97"/>
      <c r="X38" s="97"/>
      <c r="Y38" s="97"/>
    </row>
    <row r="39" spans="1:25" ht="72">
      <c r="A39" s="30" t="str">
        <v>Muroc Joint USD - W. Boron ES</v>
      </c>
      <c r="B39" s="68" t="str">
        <v>CA</v>
      </c>
      <c r="C39" s="11">
        <v>9564</v>
      </c>
      <c r="D39" s="18">
        <v>9545</v>
      </c>
      <c r="E39" s="18">
        <f t="shared" si="6"/>
        <v>19</v>
      </c>
      <c r="F39" s="19">
        <f t="shared" si="3"/>
        <v>1.9905709795704557E-3</v>
      </c>
      <c r="G39" s="72">
        <v>12771.19</v>
      </c>
      <c r="H39" s="20">
        <f t="shared" si="9"/>
        <v>-3207.1900000000005</v>
      </c>
      <c r="I39" s="19">
        <f t="shared" si="2"/>
        <v>-0.25112695058173906</v>
      </c>
      <c r="J39" s="53" t="s">
        <v>430</v>
      </c>
      <c r="K39" s="60"/>
      <c r="L39" s="97"/>
      <c r="M39" s="97"/>
      <c r="N39" s="97"/>
      <c r="O39" s="97"/>
      <c r="P39" s="97"/>
      <c r="Q39" s="97"/>
      <c r="R39" s="97"/>
      <c r="S39" s="97"/>
      <c r="T39" s="97"/>
      <c r="U39" s="97"/>
      <c r="V39" s="97"/>
      <c r="W39" s="97"/>
      <c r="X39" s="97"/>
      <c r="Y39" s="97"/>
    </row>
    <row r="40" spans="1:25" ht="43.15">
      <c r="A40" s="28" t="str">
        <v>Colusa - WTP</v>
      </c>
      <c r="B40" s="67" t="str">
        <v>CA</v>
      </c>
      <c r="C40" s="24">
        <v>0</v>
      </c>
      <c r="D40" s="13">
        <v>0</v>
      </c>
      <c r="E40" s="13">
        <f t="shared" si="6"/>
        <v>0</v>
      </c>
      <c r="F40" s="14" t="str">
        <f t="shared" si="3"/>
        <v/>
      </c>
      <c r="G40" s="15">
        <v>44773.02</v>
      </c>
      <c r="H40" s="62">
        <f t="shared" si="9"/>
        <v>-44773.02</v>
      </c>
      <c r="I40" s="16">
        <f t="shared" si="2"/>
        <v>-1</v>
      </c>
      <c r="J40" s="41" t="s">
        <v>560</v>
      </c>
      <c r="K40" s="88" t="s">
        <v>561</v>
      </c>
      <c r="L40" s="98" t="s">
        <v>562</v>
      </c>
      <c r="M40" s="97"/>
      <c r="N40" s="97"/>
      <c r="O40" s="97"/>
      <c r="P40" s="97"/>
      <c r="Q40" s="97"/>
      <c r="R40" s="97"/>
      <c r="S40" s="97"/>
      <c r="T40" s="97"/>
      <c r="U40" s="97"/>
      <c r="V40" s="97"/>
      <c r="W40" s="97"/>
      <c r="X40" s="97"/>
      <c r="Y40" s="97"/>
    </row>
    <row r="41" spans="1:25" ht="72">
      <c r="A41" s="30" t="str">
        <v>CDCR-North Kern State Prision</v>
      </c>
      <c r="B41" s="68" t="str">
        <v>CA</v>
      </c>
      <c r="C41" s="11">
        <v>125236</v>
      </c>
      <c r="D41" s="18">
        <v>124281</v>
      </c>
      <c r="E41" s="18">
        <f t="shared" si="6"/>
        <v>955</v>
      </c>
      <c r="F41" s="19">
        <f t="shared" si="3"/>
        <v>7.6841995156138104E-3</v>
      </c>
      <c r="G41" s="20">
        <v>203537.81</v>
      </c>
      <c r="H41" s="20">
        <f t="shared" si="9"/>
        <v>-78301.81</v>
      </c>
      <c r="I41" s="19">
        <f t="shared" si="2"/>
        <v>-0.38470400167909835</v>
      </c>
      <c r="J41" s="53" t="s">
        <v>723</v>
      </c>
      <c r="K41" s="87" t="s">
        <v>724</v>
      </c>
      <c r="L41" s="98" t="s">
        <v>648</v>
      </c>
      <c r="M41" s="98" t="s">
        <v>193</v>
      </c>
      <c r="N41" s="97"/>
      <c r="O41" s="97"/>
      <c r="P41" s="97"/>
      <c r="Q41" s="97"/>
      <c r="R41" s="97"/>
      <c r="S41" s="97"/>
      <c r="T41" s="97"/>
      <c r="U41" s="97"/>
      <c r="V41" s="97"/>
      <c r="W41" s="97"/>
      <c r="X41" s="97"/>
      <c r="Y41" s="97"/>
    </row>
    <row r="42" spans="1:25" ht="72">
      <c r="A42" s="28" t="str">
        <v>Muroc Joint USD - District Office</v>
      </c>
      <c r="B42" s="67" t="str">
        <v>CA</v>
      </c>
      <c r="C42" s="24">
        <v>5831</v>
      </c>
      <c r="D42" s="13">
        <v>5828</v>
      </c>
      <c r="E42" s="13">
        <f t="shared" si="6"/>
        <v>3</v>
      </c>
      <c r="F42" s="14">
        <f t="shared" si="3"/>
        <v>5.1475634866163353E-4</v>
      </c>
      <c r="G42" s="15">
        <v>9000.83</v>
      </c>
      <c r="H42" s="62">
        <f t="shared" si="9"/>
        <v>-3169.83</v>
      </c>
      <c r="I42" s="16">
        <f t="shared" si="2"/>
        <v>-0.35217085535445064</v>
      </c>
      <c r="J42" s="41" t="s">
        <v>430</v>
      </c>
      <c r="K42" s="88"/>
      <c r="L42" s="97"/>
      <c r="M42" s="97"/>
      <c r="N42" s="97"/>
      <c r="O42" s="97"/>
      <c r="P42" s="97"/>
      <c r="Q42" s="97"/>
      <c r="R42" s="97"/>
      <c r="S42" s="97"/>
      <c r="T42" s="97"/>
      <c r="U42" s="97"/>
      <c r="V42" s="97"/>
      <c r="W42" s="97"/>
      <c r="X42" s="97"/>
      <c r="Y42" s="97"/>
    </row>
    <row r="43" spans="1:25" ht="144">
      <c r="A43" s="30" t="str">
        <v>Whole Foods - Manhattan Beach</v>
      </c>
      <c r="B43" s="68" t="str">
        <v>CA</v>
      </c>
      <c r="C43" s="11">
        <v>14516</v>
      </c>
      <c r="D43" s="18">
        <v>14488</v>
      </c>
      <c r="E43" s="18">
        <f t="shared" si="6"/>
        <v>28</v>
      </c>
      <c r="F43" s="19">
        <f t="shared" si="3"/>
        <v>1.932633903920486E-3</v>
      </c>
      <c r="G43" s="20">
        <v>17067.97</v>
      </c>
      <c r="H43" s="20">
        <f t="shared" si="9"/>
        <v>-2551.9700000000012</v>
      </c>
      <c r="I43" s="19">
        <f t="shared" si="2"/>
        <v>-0.14951807391271493</v>
      </c>
      <c r="J43" s="53" t="s">
        <v>651</v>
      </c>
      <c r="K43" s="87" t="s">
        <v>652</v>
      </c>
      <c r="L43" s="98" t="s">
        <v>477</v>
      </c>
      <c r="M43" s="98" t="s">
        <v>476</v>
      </c>
      <c r="N43" s="98" t="s">
        <v>567</v>
      </c>
      <c r="O43" s="98" t="s">
        <v>568</v>
      </c>
      <c r="P43" s="98" t="s">
        <v>64</v>
      </c>
      <c r="Q43" s="98" t="s">
        <v>653</v>
      </c>
      <c r="R43" s="98" t="s">
        <v>287</v>
      </c>
      <c r="S43" s="98" t="s">
        <v>653</v>
      </c>
      <c r="T43" s="98" t="s">
        <v>475</v>
      </c>
      <c r="U43" s="97"/>
      <c r="V43" s="97"/>
      <c r="W43" s="97"/>
      <c r="X43" s="97"/>
      <c r="Y43" s="97"/>
    </row>
    <row r="44" spans="1:25" ht="100.9">
      <c r="A44" s="28" t="str">
        <v>Pioneer USD - Frontier ES</v>
      </c>
      <c r="B44" s="67" t="str">
        <v>CA</v>
      </c>
      <c r="C44" s="24">
        <v>8744</v>
      </c>
      <c r="D44" s="13">
        <v>0</v>
      </c>
      <c r="E44" s="13">
        <f t="shared" si="6"/>
        <v>8744</v>
      </c>
      <c r="F44" s="14" t="str">
        <f t="shared" si="3"/>
        <v/>
      </c>
      <c r="G44" s="15">
        <v>33882.01</v>
      </c>
      <c r="H44" s="62">
        <f t="shared" si="9"/>
        <v>-25138.010000000002</v>
      </c>
      <c r="I44" s="16">
        <f t="shared" si="2"/>
        <v>-0.74192794347206681</v>
      </c>
      <c r="J44" s="41" t="s">
        <v>725</v>
      </c>
      <c r="K44" s="88" t="s">
        <v>726</v>
      </c>
      <c r="L44" s="98" t="s">
        <v>727</v>
      </c>
      <c r="M44" s="98" t="s">
        <v>728</v>
      </c>
      <c r="N44" s="97"/>
      <c r="O44" s="97"/>
      <c r="P44" s="97"/>
      <c r="Q44" s="97"/>
      <c r="R44" s="97"/>
      <c r="S44" s="97"/>
      <c r="T44" s="97"/>
      <c r="U44" s="97"/>
      <c r="V44" s="97"/>
      <c r="W44" s="97"/>
      <c r="X44" s="97"/>
      <c r="Y44" s="97"/>
    </row>
    <row r="45" spans="1:25" ht="43.15">
      <c r="A45" s="30" t="str">
        <v>Pioneer USD - Pioneer ES</v>
      </c>
      <c r="B45" s="68" t="str">
        <v>CA</v>
      </c>
      <c r="C45" s="11">
        <v>6554</v>
      </c>
      <c r="D45" s="18">
        <v>0</v>
      </c>
      <c r="E45" s="18">
        <f t="shared" si="6"/>
        <v>6554</v>
      </c>
      <c r="F45" s="19" t="str">
        <f t="shared" si="3"/>
        <v/>
      </c>
      <c r="G45" s="20">
        <v>34590.300000000003</v>
      </c>
      <c r="H45" s="20">
        <f t="shared" si="9"/>
        <v>-28036.300000000003</v>
      </c>
      <c r="I45" s="19">
        <f t="shared" si="2"/>
        <v>-0.81052491594464349</v>
      </c>
      <c r="J45" s="53" t="s">
        <v>729</v>
      </c>
      <c r="K45" s="87" t="s">
        <v>730</v>
      </c>
      <c r="L45" s="98" t="s">
        <v>572</v>
      </c>
      <c r="M45" s="98" t="s">
        <v>731</v>
      </c>
      <c r="N45" s="97"/>
      <c r="O45" s="97"/>
      <c r="P45" s="97"/>
      <c r="Q45" s="97"/>
      <c r="R45" s="97"/>
      <c r="S45" s="97"/>
      <c r="T45" s="97"/>
      <c r="U45" s="97"/>
      <c r="V45" s="97"/>
      <c r="W45" s="97"/>
      <c r="X45" s="97"/>
      <c r="Y45" s="97"/>
    </row>
    <row r="46" spans="1:25" ht="57.6">
      <c r="A46" s="28" t="str">
        <v>Pioneer USD - Pioneer MS</v>
      </c>
      <c r="B46" s="67" t="str">
        <v>CA</v>
      </c>
      <c r="C46" s="24">
        <v>40352</v>
      </c>
      <c r="D46" s="13">
        <v>0</v>
      </c>
      <c r="E46" s="13">
        <f t="shared" si="6"/>
        <v>40352</v>
      </c>
      <c r="F46" s="14" t="str">
        <f t="shared" si="3"/>
        <v/>
      </c>
      <c r="G46" s="15">
        <v>46438.7</v>
      </c>
      <c r="H46" s="62">
        <f t="shared" si="9"/>
        <v>-6086.6999999999971</v>
      </c>
      <c r="I46" s="16">
        <f t="shared" si="2"/>
        <v>-0.13106956051741322</v>
      </c>
      <c r="J46" s="41" t="s">
        <v>732</v>
      </c>
      <c r="K46" s="41"/>
      <c r="L46" s="97"/>
      <c r="M46" s="97"/>
      <c r="N46" s="97"/>
      <c r="O46" s="97"/>
      <c r="P46" s="97"/>
      <c r="Q46" s="97"/>
      <c r="R46" s="97"/>
      <c r="S46" s="97"/>
      <c r="T46" s="97"/>
      <c r="U46" s="97"/>
      <c r="V46" s="97"/>
      <c r="W46" s="97"/>
      <c r="X46" s="97"/>
      <c r="Y46" s="97"/>
    </row>
    <row r="47" spans="1:25" ht="115.15">
      <c r="A47" s="30" t="str">
        <v>Kingsburg Joint UHSD - Kingsburg HS</v>
      </c>
      <c r="B47" s="68" t="str">
        <v>CA</v>
      </c>
      <c r="C47" s="11">
        <v>40722</v>
      </c>
      <c r="D47" s="18">
        <v>0</v>
      </c>
      <c r="E47" s="18">
        <f t="shared" si="6"/>
        <v>40722</v>
      </c>
      <c r="F47" s="19" t="str">
        <f t="shared" si="3"/>
        <v/>
      </c>
      <c r="G47" s="20">
        <v>82583.740000000005</v>
      </c>
      <c r="H47" s="20">
        <f t="shared" si="9"/>
        <v>-41861.740000000005</v>
      </c>
      <c r="I47" s="19">
        <f t="shared" si="2"/>
        <v>-0.50690051092382116</v>
      </c>
      <c r="J47" s="53" t="s">
        <v>733</v>
      </c>
      <c r="K47" s="87" t="s">
        <v>734</v>
      </c>
      <c r="L47" s="98" t="s">
        <v>78</v>
      </c>
      <c r="M47" s="98" t="s">
        <v>149</v>
      </c>
      <c r="N47" s="98" t="s">
        <v>391</v>
      </c>
      <c r="O47" s="98" t="s">
        <v>735</v>
      </c>
      <c r="P47" s="97"/>
      <c r="Q47" s="97"/>
      <c r="R47" s="97"/>
      <c r="S47" s="97"/>
      <c r="T47" s="97"/>
      <c r="U47" s="97"/>
      <c r="V47" s="97"/>
      <c r="W47" s="97"/>
      <c r="X47" s="97"/>
      <c r="Y47" s="97"/>
    </row>
    <row r="48" spans="1:25" ht="26.45">
      <c r="A48" s="28" t="str">
        <v>CADRB</v>
      </c>
      <c r="B48" s="67" t="str">
        <v>CA</v>
      </c>
      <c r="C48" s="24">
        <v>0</v>
      </c>
      <c r="D48" s="13">
        <v>0</v>
      </c>
      <c r="E48" s="13">
        <f t="shared" si="6"/>
        <v>0</v>
      </c>
      <c r="F48" s="14" t="str">
        <f t="shared" si="3"/>
        <v/>
      </c>
      <c r="G48" s="15">
        <v>0</v>
      </c>
      <c r="H48" s="62">
        <f t="shared" si="9"/>
        <v>0</v>
      </c>
      <c r="I48" s="16" t="str">
        <f t="shared" si="2"/>
        <v/>
      </c>
      <c r="J48" s="64" t="s">
        <v>736</v>
      </c>
      <c r="K48" s="88" t="s">
        <v>737</v>
      </c>
      <c r="L48" s="98" t="s">
        <v>738</v>
      </c>
      <c r="M48" s="98" t="s">
        <v>739</v>
      </c>
      <c r="N48" s="97"/>
      <c r="O48" s="97"/>
      <c r="P48" s="97"/>
      <c r="Q48" s="97"/>
      <c r="R48" s="97"/>
      <c r="S48" s="97"/>
      <c r="T48" s="97"/>
      <c r="U48" s="97"/>
      <c r="V48" s="97"/>
      <c r="W48" s="97"/>
      <c r="X48" s="97"/>
      <c r="Y48" s="97"/>
    </row>
    <row r="49" spans="1:25" ht="72">
      <c r="A49" s="30" t="str">
        <v>CDCR-CA State Prison LA County</v>
      </c>
      <c r="B49" s="68" t="str">
        <v>CA</v>
      </c>
      <c r="C49" s="11">
        <v>224028</v>
      </c>
      <c r="D49" s="18">
        <v>223772</v>
      </c>
      <c r="E49" s="18">
        <f t="shared" si="6"/>
        <v>256</v>
      </c>
      <c r="F49" s="19">
        <f t="shared" si="3"/>
        <v>1.1440215934075755E-3</v>
      </c>
      <c r="G49" s="20">
        <v>428604</v>
      </c>
      <c r="H49" s="20">
        <f t="shared" si="9"/>
        <v>-204576</v>
      </c>
      <c r="I49" s="19">
        <f t="shared" si="2"/>
        <v>-0.47730772461292942</v>
      </c>
      <c r="J49" s="53" t="s">
        <v>740</v>
      </c>
      <c r="K49" s="87" t="s">
        <v>741</v>
      </c>
      <c r="L49" s="98" t="s">
        <v>742</v>
      </c>
      <c r="M49" s="97"/>
      <c r="N49" s="97"/>
      <c r="O49" s="97"/>
      <c r="P49" s="97"/>
      <c r="Q49" s="97"/>
      <c r="R49" s="97"/>
      <c r="S49" s="97"/>
      <c r="T49" s="97"/>
      <c r="U49" s="97"/>
      <c r="V49" s="97"/>
      <c r="W49" s="97"/>
      <c r="X49" s="97"/>
      <c r="Y49" s="97"/>
    </row>
    <row r="50" spans="1:25" ht="28.9">
      <c r="A50" s="28" t="str">
        <v>Central USD Akers ES</v>
      </c>
      <c r="B50" s="67" t="str">
        <v>CA</v>
      </c>
      <c r="C50" s="24">
        <v>0</v>
      </c>
      <c r="D50" s="13">
        <v>0</v>
      </c>
      <c r="E50" s="13">
        <f t="shared" si="6"/>
        <v>0</v>
      </c>
      <c r="F50" s="14" t="str">
        <f t="shared" si="3"/>
        <v/>
      </c>
      <c r="G50" s="15">
        <v>0</v>
      </c>
      <c r="H50" s="62">
        <f t="shared" si="9"/>
        <v>0</v>
      </c>
      <c r="I50" s="16" t="str">
        <f t="shared" si="2"/>
        <v/>
      </c>
      <c r="J50" s="41" t="s">
        <v>577</v>
      </c>
      <c r="K50" s="120" t="s">
        <v>661</v>
      </c>
      <c r="L50" s="98" t="s">
        <v>579</v>
      </c>
      <c r="M50" s="98" t="s">
        <v>662</v>
      </c>
      <c r="N50" s="97"/>
      <c r="O50" s="97"/>
      <c r="P50" s="97"/>
      <c r="Q50" s="97"/>
      <c r="R50" s="97"/>
      <c r="S50" s="97"/>
      <c r="T50" s="97"/>
      <c r="U50" s="97"/>
      <c r="V50" s="97"/>
      <c r="W50" s="97"/>
      <c r="X50" s="97"/>
      <c r="Y50" s="97"/>
    </row>
    <row r="51" spans="1:25" ht="43.15">
      <c r="A51" s="30" t="str">
        <v>CUSD - District Office</v>
      </c>
      <c r="B51" s="68" t="str">
        <v>CA</v>
      </c>
      <c r="C51" s="11">
        <v>16327</v>
      </c>
      <c r="D51" s="18">
        <v>16293</v>
      </c>
      <c r="E51" s="18">
        <f t="shared" si="6"/>
        <v>34</v>
      </c>
      <c r="F51" s="19">
        <f t="shared" si="3"/>
        <v>2.0867857362057325E-3</v>
      </c>
      <c r="G51" s="20">
        <v>26407.89</v>
      </c>
      <c r="H51" s="20">
        <f t="shared" si="9"/>
        <v>-10080.89</v>
      </c>
      <c r="I51" s="19">
        <f t="shared" si="2"/>
        <v>-0.38173780639043858</v>
      </c>
      <c r="J51" s="53" t="s">
        <v>743</v>
      </c>
      <c r="K51" s="87" t="s">
        <v>744</v>
      </c>
      <c r="L51" s="98" t="s">
        <v>745</v>
      </c>
      <c r="M51" s="97"/>
      <c r="N51" s="97"/>
      <c r="O51" s="97"/>
      <c r="P51" s="97"/>
      <c r="Q51" s="97"/>
      <c r="R51" s="97"/>
      <c r="S51" s="97"/>
      <c r="T51" s="97"/>
      <c r="U51" s="97"/>
      <c r="V51" s="97"/>
      <c r="W51" s="97"/>
      <c r="X51" s="97"/>
      <c r="Y51" s="97"/>
    </row>
    <row r="52" spans="1:25" ht="72">
      <c r="A52" s="28" t="str">
        <v>Parlier - WTP</v>
      </c>
      <c r="B52" s="67" t="str">
        <v>CA</v>
      </c>
      <c r="C52" s="24">
        <v>28816</v>
      </c>
      <c r="D52" s="13">
        <v>28793</v>
      </c>
      <c r="E52" s="13">
        <f t="shared" si="6"/>
        <v>23</v>
      </c>
      <c r="F52" s="14">
        <f t="shared" si="3"/>
        <v>7.988052651686174E-4</v>
      </c>
      <c r="G52" s="15">
        <v>79687.83</v>
      </c>
      <c r="H52" s="62">
        <f t="shared" si="9"/>
        <v>-50871.83</v>
      </c>
      <c r="I52" s="16">
        <f t="shared" si="2"/>
        <v>-0.63838894847557026</v>
      </c>
      <c r="J52" s="41" t="s">
        <v>430</v>
      </c>
      <c r="K52" s="41"/>
      <c r="L52" s="97"/>
      <c r="M52" s="97"/>
      <c r="N52" s="97"/>
      <c r="O52" s="97"/>
      <c r="P52" s="97"/>
      <c r="Q52" s="97"/>
      <c r="R52" s="97"/>
      <c r="S52" s="97"/>
      <c r="T52" s="97"/>
      <c r="U52" s="97"/>
      <c r="V52" s="97"/>
      <c r="W52" s="97"/>
      <c r="X52" s="97"/>
      <c r="Y52" s="97"/>
    </row>
    <row r="53" spans="1:25" ht="26.45">
      <c r="A53" s="30" t="str">
        <v>Snowline SD - Quail Valley MS</v>
      </c>
      <c r="B53" s="68" t="str">
        <v>CA</v>
      </c>
      <c r="C53" s="11">
        <v>0</v>
      </c>
      <c r="D53" s="18">
        <v>0</v>
      </c>
      <c r="E53" s="18">
        <f t="shared" si="6"/>
        <v>0</v>
      </c>
      <c r="F53" s="19" t="str">
        <f t="shared" si="3"/>
        <v/>
      </c>
      <c r="G53" s="20">
        <v>38202.080000000002</v>
      </c>
      <c r="H53" s="20">
        <f t="shared" si="9"/>
        <v>-38202.080000000002</v>
      </c>
      <c r="I53" s="19">
        <f t="shared" si="2"/>
        <v>-1</v>
      </c>
      <c r="J53" s="53" t="s">
        <v>746</v>
      </c>
      <c r="K53" s="87" t="s">
        <v>747</v>
      </c>
      <c r="L53" s="98" t="s">
        <v>748</v>
      </c>
      <c r="M53" s="98" t="s">
        <v>749</v>
      </c>
      <c r="N53" s="97"/>
      <c r="O53" s="97"/>
      <c r="P53" s="97"/>
      <c r="Q53" s="97"/>
      <c r="R53" s="97"/>
      <c r="S53" s="97"/>
      <c r="T53" s="97"/>
      <c r="U53" s="97"/>
      <c r="V53" s="97"/>
      <c r="W53" s="97"/>
      <c r="X53" s="97"/>
      <c r="Y53" s="97"/>
    </row>
    <row r="54" spans="1:25" ht="28.9">
      <c r="A54" s="29" t="str">
        <v>Snowline SD - Serrano HS - Middle Lot</v>
      </c>
      <c r="B54" s="67" t="str">
        <v>CA</v>
      </c>
      <c r="C54" s="63">
        <v>46953</v>
      </c>
      <c r="D54" s="13">
        <v>44104</v>
      </c>
      <c r="E54" s="13">
        <f t="shared" si="6"/>
        <v>2849</v>
      </c>
      <c r="F54" s="14">
        <f t="shared" si="3"/>
        <v>6.4597315436241615E-2</v>
      </c>
      <c r="G54" s="62">
        <v>45405</v>
      </c>
      <c r="H54" s="62">
        <f t="shared" si="9"/>
        <v>1548</v>
      </c>
      <c r="I54" s="16">
        <f t="shared" si="2"/>
        <v>3.4093161546085236E-2</v>
      </c>
      <c r="J54" s="64" t="s">
        <v>750</v>
      </c>
      <c r="K54" s="120" t="s">
        <v>751</v>
      </c>
      <c r="L54" s="97"/>
      <c r="M54" s="97"/>
      <c r="N54" s="97"/>
      <c r="O54" s="97"/>
      <c r="P54" s="97"/>
      <c r="Q54" s="97"/>
      <c r="R54" s="97"/>
      <c r="S54" s="97"/>
      <c r="T54" s="97"/>
      <c r="U54" s="97"/>
      <c r="V54" s="97"/>
      <c r="W54" s="97"/>
      <c r="X54" s="97"/>
      <c r="Y54" s="97"/>
    </row>
    <row r="55" spans="1:25" ht="43.15">
      <c r="A55" s="30" t="str">
        <v>Snowline SD - Pinon Hills ES</v>
      </c>
      <c r="B55" s="68" t="str">
        <v>CA</v>
      </c>
      <c r="C55" s="11">
        <v>19303</v>
      </c>
      <c r="D55" s="18">
        <v>19280</v>
      </c>
      <c r="E55" s="18">
        <f t="shared" si="6"/>
        <v>23</v>
      </c>
      <c r="F55" s="19">
        <f t="shared" si="3"/>
        <v>1.1929460580912864E-3</v>
      </c>
      <c r="G55" s="20">
        <v>22827.27</v>
      </c>
      <c r="H55" s="20">
        <f t="shared" si="9"/>
        <v>-3524.2700000000004</v>
      </c>
      <c r="I55" s="19">
        <f t="shared" si="2"/>
        <v>-0.15438858873619143</v>
      </c>
      <c r="J55" s="53" t="s">
        <v>667</v>
      </c>
      <c r="K55" s="87" t="s">
        <v>668</v>
      </c>
      <c r="L55" s="97"/>
      <c r="M55" s="97"/>
      <c r="N55" s="97"/>
      <c r="O55" s="97"/>
      <c r="P55" s="97"/>
      <c r="Q55" s="97"/>
      <c r="R55" s="97"/>
      <c r="S55" s="97"/>
      <c r="T55" s="97"/>
      <c r="U55" s="97"/>
      <c r="V55" s="97"/>
      <c r="W55" s="97"/>
      <c r="X55" s="97"/>
      <c r="Y55" s="97"/>
    </row>
    <row r="56" spans="1:25" ht="72">
      <c r="A56" s="28" t="str">
        <v>Ramona - Santa Maria WTP</v>
      </c>
      <c r="B56" s="67" t="str">
        <v>CA</v>
      </c>
      <c r="C56" s="24">
        <v>64576</v>
      </c>
      <c r="D56" s="13">
        <v>56732</v>
      </c>
      <c r="E56" s="13">
        <f t="shared" si="6"/>
        <v>7844</v>
      </c>
      <c r="F56" s="14">
        <f t="shared" si="3"/>
        <v>0.13826411901572305</v>
      </c>
      <c r="G56" s="15">
        <v>73541.97</v>
      </c>
      <c r="H56" s="62">
        <f t="shared" si="9"/>
        <v>-8965.9700000000012</v>
      </c>
      <c r="I56" s="16">
        <f t="shared" si="2"/>
        <v>-0.12191636965939315</v>
      </c>
      <c r="J56" s="41" t="s">
        <v>430</v>
      </c>
      <c r="K56" s="41"/>
      <c r="L56" s="97"/>
      <c r="M56" s="97"/>
      <c r="N56" s="97"/>
      <c r="O56" s="97"/>
      <c r="P56" s="97"/>
      <c r="Q56" s="97"/>
      <c r="R56" s="97"/>
      <c r="S56" s="97"/>
      <c r="T56" s="97"/>
      <c r="U56" s="97"/>
      <c r="V56" s="97"/>
      <c r="W56" s="97"/>
      <c r="X56" s="97"/>
      <c r="Y56" s="97"/>
    </row>
    <row r="57" spans="1:25" ht="28.9">
      <c r="A57" s="30" t="str">
        <v>Kohls - Redding</v>
      </c>
      <c r="B57" s="68" t="str">
        <v>CA</v>
      </c>
      <c r="C57" s="11">
        <v>11200</v>
      </c>
      <c r="D57" s="18">
        <v>0</v>
      </c>
      <c r="E57" s="18">
        <f t="shared" si="6"/>
        <v>11200</v>
      </c>
      <c r="F57" s="19" t="str">
        <f t="shared" si="3"/>
        <v/>
      </c>
      <c r="G57" s="20">
        <v>29624.52</v>
      </c>
      <c r="H57" s="20">
        <f t="shared" ref="H57:H58" si="10">IF(AND(ISNUMBER(C57),ISNUMBER(G57)), C57-G57, "")</f>
        <v>-18424.52</v>
      </c>
      <c r="I57" s="19">
        <f t="shared" si="2"/>
        <v>-0.62193480265671819</v>
      </c>
      <c r="J57" s="53" t="s">
        <v>752</v>
      </c>
      <c r="K57" s="87" t="s">
        <v>753</v>
      </c>
      <c r="L57" s="97"/>
      <c r="M57" s="97"/>
      <c r="N57" s="97"/>
      <c r="O57" s="97"/>
      <c r="P57" s="97"/>
      <c r="Q57" s="97"/>
      <c r="R57" s="97"/>
      <c r="S57" s="97"/>
      <c r="T57" s="97"/>
      <c r="U57" s="97"/>
      <c r="V57" s="97"/>
      <c r="W57" s="97"/>
      <c r="X57" s="97"/>
      <c r="Y57" s="97"/>
    </row>
    <row r="58" spans="1:25" ht="100.9">
      <c r="A58" s="28" t="str">
        <v>Kohls - Salinas</v>
      </c>
      <c r="B58" s="67" t="str">
        <v>CA</v>
      </c>
      <c r="C58" s="24">
        <v>31672</v>
      </c>
      <c r="D58" s="13">
        <v>30218</v>
      </c>
      <c r="E58" s="13">
        <f t="shared" si="6"/>
        <v>1454</v>
      </c>
      <c r="F58" s="14">
        <f t="shared" si="3"/>
        <v>4.8117016347872132E-2</v>
      </c>
      <c r="G58" s="15">
        <v>42551.27</v>
      </c>
      <c r="H58" s="62">
        <f t="shared" si="10"/>
        <v>-10879.269999999997</v>
      </c>
      <c r="I58" s="16">
        <f t="shared" si="2"/>
        <v>-0.25567438997707936</v>
      </c>
      <c r="J58" s="41" t="s">
        <v>670</v>
      </c>
      <c r="K58" s="120" t="s">
        <v>671</v>
      </c>
      <c r="L58" s="98" t="s">
        <v>221</v>
      </c>
      <c r="M58" s="98" t="s">
        <v>158</v>
      </c>
      <c r="N58" s="98" t="s">
        <v>100</v>
      </c>
      <c r="O58" s="98" t="s">
        <v>98</v>
      </c>
      <c r="P58" s="98" t="s">
        <v>672</v>
      </c>
      <c r="Q58" s="98" t="s">
        <v>408</v>
      </c>
      <c r="R58" s="98" t="s">
        <v>673</v>
      </c>
      <c r="S58" s="98" t="s">
        <v>674</v>
      </c>
      <c r="T58" s="97"/>
      <c r="U58" s="97"/>
      <c r="V58" s="97"/>
      <c r="W58" s="97"/>
      <c r="X58" s="97"/>
      <c r="Y58" s="97"/>
    </row>
    <row r="59" spans="1:25" ht="15.6" hidden="1">
      <c r="A59" s="30" t="str">
        <v>Kohls - San Bernardino - Central</v>
      </c>
      <c r="B59" s="68" t="str">
        <v>CA</v>
      </c>
      <c r="C59" s="11"/>
      <c r="D59" s="18"/>
      <c r="E59" s="18" t="str">
        <f t="shared" si="6"/>
        <v/>
      </c>
      <c r="F59" s="19" t="str">
        <f t="shared" si="3"/>
        <v/>
      </c>
      <c r="G59" s="20"/>
      <c r="H59" s="20" t="str">
        <f t="shared" ref="H59:H68" si="11">IF(AND(ISNUMBER(C59),ISNUMBER(G59)), C59-G59, "")</f>
        <v/>
      </c>
      <c r="I59" s="19" t="str">
        <f t="shared" si="2"/>
        <v/>
      </c>
      <c r="J59" s="53"/>
      <c r="K59" s="60"/>
      <c r="L59" s="97"/>
      <c r="M59" s="97"/>
      <c r="N59" s="97"/>
      <c r="O59" s="97"/>
      <c r="P59" s="97"/>
      <c r="Q59" s="97"/>
      <c r="R59" s="97"/>
      <c r="S59" s="97"/>
      <c r="T59" s="97"/>
      <c r="U59" s="97"/>
      <c r="V59" s="97"/>
      <c r="W59" s="97"/>
      <c r="X59" s="97"/>
      <c r="Y59" s="97"/>
    </row>
    <row r="60" spans="1:25" ht="28.9">
      <c r="A60" s="28" t="str">
        <v>Kohls - Sonora</v>
      </c>
      <c r="B60" s="67" t="str">
        <v>CA</v>
      </c>
      <c r="C60" s="24">
        <v>27037</v>
      </c>
      <c r="D60" s="13">
        <v>26901</v>
      </c>
      <c r="E60" s="13">
        <f t="shared" si="6"/>
        <v>136</v>
      </c>
      <c r="F60" s="14">
        <f t="shared" si="3"/>
        <v>5.0555741422251962E-3</v>
      </c>
      <c r="G60" s="15">
        <v>29459.99</v>
      </c>
      <c r="H60" s="62">
        <f t="shared" si="11"/>
        <v>-2422.9900000000016</v>
      </c>
      <c r="I60" s="16">
        <f t="shared" si="2"/>
        <v>-8.2246803206654229E-2</v>
      </c>
      <c r="J60" s="41" t="s">
        <v>754</v>
      </c>
      <c r="K60" s="88" t="s">
        <v>755</v>
      </c>
      <c r="L60" s="98" t="s">
        <v>590</v>
      </c>
      <c r="M60" s="97"/>
      <c r="N60" s="97"/>
      <c r="O60" s="97"/>
      <c r="P60" s="97"/>
      <c r="Q60" s="97"/>
      <c r="R60" s="97"/>
      <c r="S60" s="97"/>
      <c r="T60" s="97"/>
      <c r="U60" s="97"/>
      <c r="V60" s="97"/>
      <c r="W60" s="97"/>
      <c r="X60" s="97"/>
      <c r="Y60" s="97"/>
    </row>
    <row r="61" spans="1:25" ht="26.45">
      <c r="A61" s="30" t="str">
        <v>CUSD - Stratford ES</v>
      </c>
      <c r="B61" s="68" t="str">
        <v>CA</v>
      </c>
      <c r="C61" s="11">
        <v>18765</v>
      </c>
      <c r="D61" s="18">
        <v>18732</v>
      </c>
      <c r="E61" s="18">
        <f t="shared" si="6"/>
        <v>33</v>
      </c>
      <c r="F61" s="19">
        <f t="shared" si="3"/>
        <v>1.7616912235746316E-3</v>
      </c>
      <c r="G61" s="20">
        <v>21218.13</v>
      </c>
      <c r="H61" s="20">
        <f t="shared" si="11"/>
        <v>-2453.130000000001</v>
      </c>
      <c r="I61" s="19">
        <f t="shared" si="2"/>
        <v>-0.11561480677137904</v>
      </c>
      <c r="J61" s="53" t="s">
        <v>756</v>
      </c>
      <c r="K61" s="87" t="s">
        <v>757</v>
      </c>
      <c r="L61" s="98" t="s">
        <v>758</v>
      </c>
      <c r="M61" s="97"/>
      <c r="N61" s="97"/>
      <c r="O61" s="97"/>
      <c r="P61" s="97"/>
      <c r="Q61" s="97"/>
      <c r="R61" s="97"/>
      <c r="S61" s="97"/>
      <c r="T61" s="97"/>
      <c r="U61" s="97"/>
      <c r="V61" s="97"/>
      <c r="W61" s="97"/>
      <c r="X61" s="97"/>
      <c r="Y61" s="97"/>
    </row>
    <row r="62" spans="1:25" ht="15.6">
      <c r="A62" s="28" t="str">
        <v>Taft - City Hall</v>
      </c>
      <c r="B62" s="67" t="str">
        <v>CA</v>
      </c>
      <c r="C62" s="24">
        <v>0</v>
      </c>
      <c r="D62" s="13">
        <v>0</v>
      </c>
      <c r="E62" s="13">
        <f t="shared" si="6"/>
        <v>0</v>
      </c>
      <c r="F62" s="14" t="str">
        <f t="shared" si="3"/>
        <v/>
      </c>
      <c r="G62" s="15">
        <v>9243.17</v>
      </c>
      <c r="H62" s="62">
        <f t="shared" si="11"/>
        <v>-9243.17</v>
      </c>
      <c r="I62" s="16">
        <f t="shared" si="2"/>
        <v>-1</v>
      </c>
      <c r="J62" s="41" t="s">
        <v>759</v>
      </c>
      <c r="K62" s="88" t="s">
        <v>760</v>
      </c>
      <c r="L62" s="97"/>
      <c r="M62" s="97"/>
      <c r="N62" s="97"/>
      <c r="O62" s="97"/>
      <c r="P62" s="97"/>
      <c r="Q62" s="97"/>
      <c r="R62" s="97"/>
      <c r="S62" s="97"/>
      <c r="T62" s="97"/>
      <c r="U62" s="97"/>
      <c r="V62" s="97"/>
      <c r="W62" s="97"/>
      <c r="X62" s="97"/>
      <c r="Y62" s="97"/>
    </row>
    <row r="63" spans="1:25" ht="15.6">
      <c r="A63" s="30" t="str">
        <v>Taft - Federal Prison</v>
      </c>
      <c r="B63" s="68" t="str">
        <v>CA</v>
      </c>
      <c r="C63" s="11">
        <v>15334</v>
      </c>
      <c r="D63" s="18">
        <v>15305</v>
      </c>
      <c r="E63" s="18">
        <f t="shared" si="6"/>
        <v>29</v>
      </c>
      <c r="F63" s="19">
        <f t="shared" si="3"/>
        <v>1.8948056190787323E-3</v>
      </c>
      <c r="G63" s="61">
        <v>15211.49</v>
      </c>
      <c r="H63" s="20">
        <f t="shared" si="11"/>
        <v>122.51000000000022</v>
      </c>
      <c r="I63" s="19">
        <f t="shared" si="2"/>
        <v>8.0537803988958486E-3</v>
      </c>
      <c r="J63" s="53"/>
      <c r="K63" s="60"/>
      <c r="L63" s="97"/>
      <c r="M63" s="97"/>
      <c r="N63" s="97"/>
      <c r="O63" s="97"/>
      <c r="P63" s="97"/>
      <c r="Q63" s="97"/>
      <c r="R63" s="97"/>
      <c r="S63" s="97"/>
      <c r="T63" s="97"/>
      <c r="U63" s="97"/>
      <c r="V63" s="97"/>
      <c r="W63" s="97"/>
      <c r="X63" s="97"/>
      <c r="Y63" s="97"/>
    </row>
    <row r="64" spans="1:25" ht="15.6">
      <c r="A64" s="28" t="str">
        <v>Taft - Police Department</v>
      </c>
      <c r="B64" s="67" t="str">
        <v>CA</v>
      </c>
      <c r="C64" s="24">
        <v>10639</v>
      </c>
      <c r="D64" s="13">
        <v>10609</v>
      </c>
      <c r="E64" s="13">
        <f t="shared" si="6"/>
        <v>30</v>
      </c>
      <c r="F64" s="14">
        <f t="shared" si="3"/>
        <v>2.8277877274012629E-3</v>
      </c>
      <c r="G64" s="15">
        <v>10574.84</v>
      </c>
      <c r="H64" s="62">
        <f t="shared" si="11"/>
        <v>64.159999999999854</v>
      </c>
      <c r="I64" s="16">
        <f t="shared" si="2"/>
        <v>6.0672312772580821E-3</v>
      </c>
      <c r="J64" s="41"/>
      <c r="K64" s="41"/>
      <c r="L64" s="97"/>
      <c r="M64" s="97"/>
      <c r="N64" s="97"/>
      <c r="O64" s="97"/>
      <c r="P64" s="97"/>
      <c r="Q64" s="97"/>
      <c r="R64" s="97"/>
      <c r="S64" s="97"/>
      <c r="T64" s="97"/>
      <c r="U64" s="97"/>
      <c r="V64" s="97"/>
      <c r="W64" s="97"/>
      <c r="X64" s="97"/>
      <c r="Y64" s="97"/>
    </row>
    <row r="65" spans="1:25" ht="15.6">
      <c r="A65" s="30" t="str">
        <v>Taft - WTP</v>
      </c>
      <c r="B65" s="68" t="str">
        <v>CA</v>
      </c>
      <c r="C65" s="65">
        <v>50140</v>
      </c>
      <c r="D65" s="18">
        <v>49961</v>
      </c>
      <c r="E65" s="18">
        <f t="shared" si="6"/>
        <v>179</v>
      </c>
      <c r="F65" s="19">
        <f t="shared" si="3"/>
        <v>3.5827945797722222E-3</v>
      </c>
      <c r="G65" s="61">
        <v>67591</v>
      </c>
      <c r="H65" s="61">
        <f t="shared" si="11"/>
        <v>-17451</v>
      </c>
      <c r="I65" s="19">
        <f t="shared" si="2"/>
        <v>-0.25818526135136333</v>
      </c>
      <c r="J65" s="53" t="s">
        <v>761</v>
      </c>
      <c r="K65" s="87" t="s">
        <v>679</v>
      </c>
      <c r="L65" s="97"/>
      <c r="M65" s="97"/>
      <c r="N65" s="97"/>
      <c r="O65" s="97"/>
      <c r="P65" s="97"/>
      <c r="Q65" s="97"/>
      <c r="R65" s="97"/>
      <c r="S65" s="97"/>
      <c r="T65" s="97"/>
      <c r="U65" s="97"/>
      <c r="V65" s="97"/>
      <c r="W65" s="97"/>
      <c r="X65" s="97"/>
      <c r="Y65" s="97"/>
    </row>
    <row r="66" spans="1:25" ht="15.6">
      <c r="A66" s="28" t="str">
        <v>CDCR - CA Correctional Institution</v>
      </c>
      <c r="B66" s="67" t="str">
        <v>CA</v>
      </c>
      <c r="C66" s="24">
        <v>176161</v>
      </c>
      <c r="D66" s="13">
        <v>175560</v>
      </c>
      <c r="E66" s="13">
        <f t="shared" si="6"/>
        <v>601</v>
      </c>
      <c r="F66" s="14">
        <f t="shared" si="3"/>
        <v>3.4233310549100023E-3</v>
      </c>
      <c r="G66" s="15">
        <v>206641</v>
      </c>
      <c r="H66" s="62">
        <f t="shared" si="11"/>
        <v>-30480</v>
      </c>
      <c r="I66" s="16">
        <f t="shared" si="2"/>
        <v>-0.14750218978808657</v>
      </c>
      <c r="J66" s="64" t="s">
        <v>762</v>
      </c>
      <c r="K66" s="88" t="s">
        <v>763</v>
      </c>
      <c r="L66" s="97"/>
      <c r="M66" s="97"/>
      <c r="N66" s="97"/>
      <c r="O66" s="97"/>
      <c r="P66" s="97"/>
      <c r="Q66" s="97"/>
      <c r="R66" s="97"/>
      <c r="S66" s="97"/>
      <c r="T66" s="97"/>
      <c r="U66" s="97"/>
      <c r="V66" s="97"/>
      <c r="W66" s="97"/>
      <c r="X66" s="97"/>
      <c r="Y66" s="97"/>
    </row>
    <row r="67" spans="1:25" ht="15.6">
      <c r="A67" s="30" t="str">
        <v>CDCR - CA Correctional Institution II</v>
      </c>
      <c r="B67" s="68" t="str">
        <v>CA</v>
      </c>
      <c r="C67" s="65">
        <v>233638</v>
      </c>
      <c r="D67" s="18">
        <v>232960</v>
      </c>
      <c r="E67" s="18">
        <f t="shared" si="6"/>
        <v>678</v>
      </c>
      <c r="F67" s="19">
        <f t="shared" si="3"/>
        <v>2.9103708791208792E-3</v>
      </c>
      <c r="G67" s="61">
        <v>334022.59999999998</v>
      </c>
      <c r="H67" s="61">
        <f t="shared" si="11"/>
        <v>-100384.59999999998</v>
      </c>
      <c r="I67" s="19">
        <f t="shared" si="2"/>
        <v>-0.30053235918767168</v>
      </c>
      <c r="J67" s="53" t="s">
        <v>762</v>
      </c>
      <c r="K67" s="87" t="s">
        <v>764</v>
      </c>
      <c r="L67" s="121"/>
      <c r="M67" s="97"/>
      <c r="N67" s="97"/>
      <c r="O67" s="97"/>
      <c r="P67" s="97"/>
      <c r="Q67" s="97"/>
      <c r="R67" s="97"/>
      <c r="S67" s="97"/>
      <c r="T67" s="97"/>
      <c r="U67" s="97"/>
      <c r="V67" s="97"/>
      <c r="W67" s="97"/>
      <c r="X67" s="97"/>
      <c r="Y67" s="97"/>
    </row>
    <row r="68" spans="1:25" ht="15.6">
      <c r="A68" s="28" t="str">
        <v>Snowline SD - Vista Verde ES</v>
      </c>
      <c r="B68" s="67" t="str">
        <v>CA</v>
      </c>
      <c r="C68" s="24">
        <v>15219</v>
      </c>
      <c r="D68" s="13">
        <v>15206</v>
      </c>
      <c r="E68" s="13">
        <f t="shared" si="6"/>
        <v>13</v>
      </c>
      <c r="F68" s="14">
        <f t="shared" si="3"/>
        <v>8.5492568722872551E-4</v>
      </c>
      <c r="G68" s="15">
        <v>27854.44</v>
      </c>
      <c r="H68" s="62">
        <f t="shared" si="11"/>
        <v>-12635.439999999999</v>
      </c>
      <c r="I68" s="16">
        <f t="shared" si="2"/>
        <v>-0.45362391058660662</v>
      </c>
      <c r="J68" s="41" t="s">
        <v>765</v>
      </c>
      <c r="K68" s="88" t="s">
        <v>766</v>
      </c>
      <c r="L68" s="97"/>
      <c r="M68" s="97"/>
      <c r="N68" s="97"/>
      <c r="O68" s="97"/>
      <c r="P68" s="97"/>
      <c r="Q68" s="97"/>
      <c r="R68" s="97"/>
      <c r="S68" s="97"/>
      <c r="T68" s="97"/>
      <c r="U68" s="97"/>
      <c r="V68" s="97"/>
      <c r="W68" s="97"/>
      <c r="X68" s="97"/>
      <c r="Y68" s="97"/>
    </row>
    <row r="69" spans="1:25" ht="15.6">
      <c r="A69" s="30" t="str">
        <v>North Stonington</v>
      </c>
      <c r="B69" s="68" t="str">
        <v>CT</v>
      </c>
      <c r="C69" s="65">
        <v>1429490</v>
      </c>
      <c r="D69" s="18" t="s">
        <v>24</v>
      </c>
      <c r="E69" s="18"/>
      <c r="F69" s="19" t="str">
        <f t="shared" si="3"/>
        <v/>
      </c>
      <c r="G69" s="113" t="s">
        <v>24</v>
      </c>
      <c r="H69" s="61" t="str">
        <f>IF(AND(ISNUMBER(C69),ISNUMBER(G69)), C69-G69, "")</f>
        <v/>
      </c>
      <c r="I69" s="96" t="str">
        <f>IFERROR(H69/G69, "")</f>
        <v/>
      </c>
      <c r="J69" s="54"/>
      <c r="K69" s="57"/>
      <c r="L69" s="30"/>
    </row>
    <row r="70" spans="1:25" ht="15.6">
      <c r="A70" s="28" t="str">
        <v>CT: Torrington - 2-298 Rossi Road</v>
      </c>
      <c r="B70" s="67" t="str">
        <v>CT</v>
      </c>
      <c r="C70" s="24"/>
      <c r="D70" s="13"/>
      <c r="E70" s="13"/>
      <c r="F70" s="14"/>
      <c r="G70" s="15"/>
      <c r="H70" s="62"/>
      <c r="I70" s="16"/>
      <c r="J70" s="41" t="s">
        <v>767</v>
      </c>
      <c r="K70" s="88"/>
      <c r="L70" s="97"/>
      <c r="M70" s="97"/>
      <c r="N70" s="97"/>
      <c r="O70" s="97"/>
      <c r="P70" s="97"/>
      <c r="Q70" s="97"/>
      <c r="R70" s="97"/>
      <c r="S70" s="97"/>
      <c r="T70" s="97"/>
      <c r="U70" s="97"/>
      <c r="V70" s="97"/>
      <c r="W70" s="97"/>
      <c r="X70" s="97"/>
      <c r="Y70" s="97"/>
    </row>
    <row r="71" spans="1:25" ht="14.45">
      <c r="A71" s="21"/>
      <c r="B71" s="70"/>
      <c r="C71" s="21"/>
      <c r="D71" s="21"/>
      <c r="E71" s="21"/>
      <c r="F71" s="22"/>
      <c r="G71" s="21"/>
      <c r="H71" s="21"/>
      <c r="I71" s="22"/>
      <c r="J71" s="117"/>
      <c r="K71" s="117"/>
    </row>
    <row r="72" spans="1:25" ht="14.45">
      <c r="A72" s="21"/>
      <c r="B72" s="70"/>
      <c r="C72" s="21"/>
      <c r="D72" s="21"/>
      <c r="E72" s="21"/>
      <c r="F72" s="22"/>
      <c r="G72" s="21"/>
      <c r="H72" s="21"/>
      <c r="I72" s="22"/>
      <c r="J72" s="117"/>
      <c r="K72" s="117"/>
    </row>
    <row r="73" spans="1:25" ht="14.45">
      <c r="A73" s="21"/>
      <c r="B73" s="70"/>
      <c r="C73" s="21"/>
      <c r="D73" s="21"/>
      <c r="E73" s="21"/>
      <c r="F73" s="22"/>
      <c r="G73" s="21"/>
      <c r="H73" s="21"/>
      <c r="I73" s="22"/>
      <c r="J73" s="117"/>
      <c r="K73" s="117"/>
    </row>
    <row r="74" spans="1:25" ht="14.45">
      <c r="A74" s="21"/>
      <c r="B74" s="70"/>
      <c r="C74" s="21"/>
      <c r="D74" s="21"/>
      <c r="E74" s="21"/>
      <c r="F74" s="22"/>
      <c r="G74" s="21"/>
      <c r="H74" s="21"/>
      <c r="I74" s="22"/>
      <c r="J74" s="117"/>
      <c r="K74" s="117"/>
    </row>
    <row r="75" spans="1:25" ht="14.45">
      <c r="A75" s="21"/>
      <c r="B75" s="70"/>
      <c r="C75" s="21"/>
      <c r="D75" s="21"/>
      <c r="E75" s="21"/>
      <c r="F75" s="22"/>
      <c r="G75" s="21"/>
      <c r="H75" s="21"/>
      <c r="I75" s="22"/>
      <c r="J75" s="117"/>
      <c r="K75" s="117"/>
    </row>
    <row r="76" spans="1:25" ht="14.45">
      <c r="A76" s="21"/>
      <c r="B76" s="70"/>
      <c r="C76" s="21"/>
      <c r="D76" s="21"/>
      <c r="E76" s="21"/>
      <c r="F76" s="22"/>
      <c r="G76" s="21"/>
      <c r="H76" s="21"/>
      <c r="I76" s="22"/>
      <c r="J76" s="117"/>
      <c r="K76" s="117"/>
    </row>
    <row r="77" spans="1:25" ht="14.45">
      <c r="A77" s="21"/>
      <c r="B77" s="70"/>
      <c r="C77" s="21"/>
      <c r="D77" s="21"/>
      <c r="E77" s="21"/>
      <c r="F77" s="22"/>
      <c r="G77" s="21"/>
      <c r="H77" s="21"/>
      <c r="I77" s="22"/>
      <c r="J77" s="117"/>
      <c r="K77" s="117"/>
    </row>
    <row r="78" spans="1:25" ht="14.45">
      <c r="A78" s="21"/>
      <c r="B78" s="70"/>
      <c r="C78" s="21"/>
      <c r="D78" s="21"/>
      <c r="E78" s="21"/>
      <c r="F78" s="22"/>
      <c r="G78" s="21"/>
      <c r="H78" s="21"/>
      <c r="I78" s="22"/>
      <c r="J78" s="117"/>
      <c r="K78" s="117"/>
    </row>
    <row r="79" spans="1:25" ht="14.45">
      <c r="A79" s="21"/>
      <c r="B79" s="70"/>
      <c r="C79" s="21"/>
      <c r="D79" s="21"/>
      <c r="E79" s="21"/>
      <c r="F79" s="22"/>
      <c r="G79" s="21"/>
      <c r="H79" s="21"/>
      <c r="I79" s="22"/>
      <c r="J79" s="117"/>
      <c r="K79" s="117"/>
    </row>
    <row r="80" spans="1:25" ht="14.45">
      <c r="A80" s="21"/>
      <c r="B80" s="70"/>
      <c r="C80" s="21"/>
      <c r="D80" s="21"/>
      <c r="E80" s="21"/>
      <c r="F80" s="22"/>
      <c r="G80" s="21"/>
      <c r="H80" s="21"/>
      <c r="I80" s="22"/>
      <c r="J80" s="117"/>
      <c r="K80" s="117"/>
    </row>
    <row r="81" spans="1:11" ht="14.45">
      <c r="A81" s="21"/>
      <c r="B81" s="70"/>
      <c r="C81" s="21"/>
      <c r="D81" s="21"/>
      <c r="E81" s="21"/>
      <c r="F81" s="22"/>
      <c r="G81" s="21"/>
      <c r="H81" s="21"/>
      <c r="I81" s="22"/>
      <c r="J81" s="117"/>
      <c r="K81" s="117"/>
    </row>
    <row r="82" spans="1:11" ht="14.45">
      <c r="A82" s="21"/>
      <c r="B82" s="70"/>
      <c r="C82" s="21"/>
      <c r="D82" s="21"/>
      <c r="E82" s="21"/>
      <c r="F82" s="22"/>
      <c r="G82" s="21"/>
      <c r="H82" s="21"/>
      <c r="I82" s="22"/>
      <c r="J82" s="117"/>
      <c r="K82" s="117"/>
    </row>
    <row r="83" spans="1:11" ht="14.45">
      <c r="A83" s="21"/>
      <c r="B83" s="70"/>
      <c r="C83" s="21"/>
      <c r="D83" s="21"/>
      <c r="E83" s="21"/>
      <c r="F83" s="22"/>
      <c r="G83" s="21"/>
      <c r="H83" s="21"/>
      <c r="I83" s="22"/>
      <c r="J83" s="117"/>
      <c r="K83" s="117"/>
    </row>
    <row r="84" spans="1:11" ht="14.45">
      <c r="A84" s="21"/>
      <c r="B84" s="70"/>
      <c r="C84" s="21"/>
      <c r="D84" s="21"/>
      <c r="E84" s="21"/>
      <c r="F84" s="22"/>
      <c r="G84" s="21"/>
      <c r="H84" s="21"/>
      <c r="I84" s="22"/>
      <c r="J84" s="117"/>
      <c r="K84" s="117"/>
    </row>
    <row r="85" spans="1:11" ht="14.45">
      <c r="A85" s="21"/>
      <c r="B85" s="70"/>
      <c r="C85" s="21"/>
      <c r="D85" s="21"/>
      <c r="E85" s="21"/>
      <c r="F85" s="22"/>
      <c r="G85" s="21"/>
      <c r="H85" s="21"/>
      <c r="I85" s="22"/>
      <c r="J85" s="117"/>
      <c r="K85" s="117"/>
    </row>
    <row r="86" spans="1:11" ht="14.45">
      <c r="A86" s="21"/>
      <c r="B86" s="70"/>
      <c r="C86" s="21"/>
      <c r="D86" s="21"/>
      <c r="E86" s="21"/>
      <c r="F86" s="22"/>
      <c r="G86" s="21"/>
      <c r="H86" s="21"/>
      <c r="I86" s="22"/>
      <c r="J86" s="117"/>
      <c r="K86" s="117"/>
    </row>
    <row r="87" spans="1:11" ht="14.45">
      <c r="A87" s="21"/>
      <c r="B87" s="70"/>
      <c r="C87" s="21"/>
      <c r="D87" s="21"/>
      <c r="E87" s="21"/>
      <c r="F87" s="22"/>
      <c r="G87" s="21"/>
      <c r="H87" s="21"/>
      <c r="I87" s="22"/>
      <c r="J87" s="117"/>
      <c r="K87" s="117"/>
    </row>
    <row r="88" spans="1:11" ht="14.45">
      <c r="A88" s="21"/>
      <c r="B88" s="70"/>
      <c r="C88" s="21"/>
      <c r="D88" s="21"/>
      <c r="E88" s="21"/>
      <c r="F88" s="22"/>
      <c r="G88" s="21"/>
      <c r="H88" s="21"/>
      <c r="I88" s="22"/>
      <c r="J88" s="117"/>
      <c r="K88" s="117"/>
    </row>
    <row r="89" spans="1:11" ht="14.45">
      <c r="A89" s="21"/>
      <c r="B89" s="70"/>
      <c r="C89" s="21"/>
      <c r="D89" s="21"/>
      <c r="E89" s="21"/>
      <c r="F89" s="22"/>
      <c r="G89" s="21"/>
      <c r="H89" s="21"/>
      <c r="I89" s="22"/>
      <c r="J89" s="117"/>
      <c r="K89" s="117"/>
    </row>
    <row r="90" spans="1:11" ht="14.45">
      <c r="A90" s="21"/>
      <c r="B90" s="70"/>
      <c r="C90" s="21"/>
      <c r="D90" s="21"/>
      <c r="E90" s="21"/>
      <c r="F90" s="22"/>
      <c r="G90" s="21"/>
      <c r="H90" s="21"/>
      <c r="I90" s="22"/>
      <c r="J90" s="117"/>
      <c r="K90" s="117"/>
    </row>
    <row r="91" spans="1:11" ht="14.45">
      <c r="A91" s="21"/>
      <c r="B91" s="70"/>
      <c r="C91" s="21"/>
      <c r="D91" s="21"/>
      <c r="E91" s="21"/>
      <c r="F91" s="22"/>
      <c r="G91" s="21"/>
      <c r="H91" s="21"/>
      <c r="I91" s="22"/>
      <c r="J91" s="117"/>
      <c r="K91" s="117"/>
    </row>
    <row r="92" spans="1:11" ht="14.45">
      <c r="A92" s="21"/>
      <c r="B92" s="70"/>
      <c r="C92" s="21"/>
      <c r="D92" s="21"/>
      <c r="E92" s="21"/>
      <c r="F92" s="22"/>
      <c r="G92" s="21"/>
      <c r="H92" s="21"/>
      <c r="I92" s="22"/>
      <c r="J92" s="117"/>
      <c r="K92" s="117"/>
    </row>
    <row r="93" spans="1:11" ht="14.45">
      <c r="A93" s="21"/>
      <c r="B93" s="70"/>
      <c r="C93" s="21"/>
      <c r="D93" s="21"/>
      <c r="E93" s="21"/>
      <c r="F93" s="22"/>
      <c r="G93" s="21"/>
      <c r="H93" s="21"/>
      <c r="I93" s="22"/>
      <c r="J93" s="117"/>
      <c r="K93" s="117"/>
    </row>
    <row r="94" spans="1:11" ht="14.45">
      <c r="A94" s="21"/>
      <c r="B94" s="70"/>
      <c r="C94" s="21"/>
      <c r="D94" s="21"/>
      <c r="E94" s="21"/>
      <c r="F94" s="22"/>
      <c r="G94" s="21"/>
      <c r="H94" s="21"/>
      <c r="I94" s="22"/>
      <c r="J94" s="117"/>
      <c r="K94" s="117"/>
    </row>
    <row r="95" spans="1:11" ht="14.45">
      <c r="A95" s="21"/>
      <c r="B95" s="70"/>
      <c r="C95" s="21"/>
      <c r="D95" s="21"/>
      <c r="E95" s="21"/>
      <c r="F95" s="22"/>
      <c r="G95" s="21"/>
      <c r="H95" s="21"/>
      <c r="I95" s="22"/>
      <c r="J95" s="117"/>
      <c r="K95" s="117"/>
    </row>
    <row r="96" spans="1:11" ht="14.45">
      <c r="A96" s="21"/>
      <c r="B96" s="70"/>
      <c r="C96" s="21"/>
      <c r="D96" s="21"/>
      <c r="E96" s="21"/>
      <c r="F96" s="22"/>
      <c r="G96" s="21"/>
      <c r="H96" s="21"/>
      <c r="I96" s="22"/>
      <c r="J96" s="117"/>
      <c r="K96" s="117"/>
    </row>
    <row r="97" spans="1:11" ht="14.45">
      <c r="A97" s="21"/>
      <c r="B97" s="70"/>
      <c r="C97" s="21"/>
      <c r="D97" s="21"/>
      <c r="E97" s="21"/>
      <c r="F97" s="22"/>
      <c r="G97" s="21"/>
      <c r="H97" s="21"/>
      <c r="I97" s="22"/>
      <c r="J97" s="117"/>
      <c r="K97" s="117"/>
    </row>
    <row r="98" spans="1:11" ht="14.45">
      <c r="A98" s="21"/>
      <c r="B98" s="70"/>
      <c r="C98" s="21"/>
      <c r="D98" s="21"/>
      <c r="E98" s="21"/>
      <c r="F98" s="22"/>
      <c r="G98" s="21"/>
      <c r="H98" s="21"/>
      <c r="I98" s="22"/>
      <c r="J98" s="117"/>
      <c r="K98" s="117"/>
    </row>
    <row r="99" spans="1:11" ht="14.45">
      <c r="A99" s="21"/>
      <c r="B99" s="70"/>
      <c r="C99" s="21"/>
      <c r="D99" s="21"/>
      <c r="E99" s="21"/>
      <c r="F99" s="22"/>
      <c r="G99" s="21"/>
      <c r="H99" s="21"/>
      <c r="I99" s="22"/>
      <c r="J99" s="117"/>
      <c r="K99" s="117"/>
    </row>
    <row r="100" spans="1:11" ht="14.45">
      <c r="A100" s="21"/>
      <c r="B100" s="70"/>
      <c r="C100" s="21"/>
      <c r="D100" s="21"/>
      <c r="E100" s="21"/>
      <c r="F100" s="22"/>
      <c r="G100" s="21"/>
      <c r="H100" s="21"/>
      <c r="I100" s="22"/>
      <c r="J100" s="117"/>
      <c r="K100" s="117"/>
    </row>
    <row r="101" spans="1:11" ht="14.45">
      <c r="A101" s="21"/>
      <c r="B101" s="70"/>
      <c r="C101" s="21"/>
      <c r="D101" s="21"/>
      <c r="E101" s="21"/>
      <c r="F101" s="22"/>
      <c r="G101" s="21"/>
      <c r="H101" s="21"/>
      <c r="I101" s="22"/>
      <c r="J101" s="117"/>
      <c r="K101" s="117"/>
    </row>
    <row r="102" spans="1:11" ht="14.45">
      <c r="A102" s="21"/>
      <c r="B102" s="70"/>
      <c r="C102" s="21"/>
      <c r="D102" s="21"/>
      <c r="E102" s="21"/>
      <c r="F102" s="22"/>
      <c r="G102" s="21"/>
      <c r="H102" s="21"/>
      <c r="I102" s="22"/>
      <c r="J102" s="117"/>
      <c r="K102" s="117"/>
    </row>
    <row r="103" spans="1:11" ht="14.45">
      <c r="A103" s="21"/>
      <c r="B103" s="70"/>
      <c r="C103" s="21"/>
      <c r="D103" s="21"/>
      <c r="E103" s="21"/>
      <c r="F103" s="22"/>
      <c r="G103" s="21"/>
      <c r="H103" s="21"/>
      <c r="I103" s="22"/>
      <c r="J103" s="117"/>
      <c r="K103" s="117"/>
    </row>
    <row r="104" spans="1:11" ht="14.45">
      <c r="A104" s="21"/>
      <c r="B104" s="70"/>
      <c r="C104" s="21"/>
      <c r="D104" s="21"/>
      <c r="E104" s="21"/>
      <c r="F104" s="22"/>
      <c r="G104" s="21"/>
      <c r="H104" s="21"/>
      <c r="I104" s="22"/>
      <c r="J104" s="117"/>
      <c r="K104" s="117"/>
    </row>
    <row r="105" spans="1:11" ht="14.45">
      <c r="A105" s="21"/>
      <c r="B105" s="70"/>
      <c r="C105" s="21"/>
      <c r="D105" s="21"/>
      <c r="E105" s="21"/>
      <c r="F105" s="22"/>
      <c r="G105" s="21"/>
      <c r="H105" s="21"/>
      <c r="I105" s="22"/>
      <c r="J105" s="117"/>
      <c r="K105" s="117"/>
    </row>
    <row r="106" spans="1:11" ht="14.45">
      <c r="A106" s="21"/>
      <c r="B106" s="70"/>
      <c r="C106" s="21"/>
      <c r="D106" s="21"/>
      <c r="E106" s="21"/>
      <c r="F106" s="22"/>
      <c r="G106" s="21"/>
      <c r="H106" s="21"/>
      <c r="I106" s="22"/>
      <c r="J106" s="117"/>
      <c r="K106" s="117"/>
    </row>
    <row r="107" spans="1:11" ht="14.45">
      <c r="A107" s="21"/>
      <c r="B107" s="70"/>
      <c r="C107" s="21"/>
      <c r="D107" s="21"/>
      <c r="E107" s="21"/>
      <c r="F107" s="22"/>
      <c r="G107" s="21"/>
      <c r="H107" s="21"/>
      <c r="I107" s="22"/>
      <c r="J107" s="117"/>
      <c r="K107" s="117"/>
    </row>
    <row r="108" spans="1:11" ht="14.45">
      <c r="A108" s="21"/>
      <c r="B108" s="70"/>
      <c r="C108" s="21"/>
      <c r="D108" s="21"/>
      <c r="E108" s="21"/>
      <c r="F108" s="22"/>
      <c r="G108" s="21"/>
      <c r="H108" s="21"/>
      <c r="I108" s="22"/>
      <c r="J108" s="117"/>
      <c r="K108" s="117"/>
    </row>
    <row r="109" spans="1:11" ht="14.45">
      <c r="A109" s="21"/>
      <c r="B109" s="70"/>
      <c r="C109" s="21"/>
      <c r="D109" s="21"/>
      <c r="E109" s="21"/>
      <c r="F109" s="22"/>
      <c r="G109" s="21"/>
      <c r="H109" s="21"/>
      <c r="I109" s="22"/>
      <c r="J109" s="117"/>
      <c r="K109" s="117"/>
    </row>
    <row r="110" spans="1:11" ht="14.45">
      <c r="A110" s="21"/>
      <c r="B110" s="70"/>
      <c r="C110" s="21"/>
      <c r="D110" s="21"/>
      <c r="E110" s="21"/>
      <c r="F110" s="22"/>
      <c r="G110" s="21"/>
      <c r="H110" s="21"/>
      <c r="I110" s="22"/>
      <c r="J110" s="117"/>
      <c r="K110" s="117"/>
    </row>
    <row r="111" spans="1:11" ht="14.45">
      <c r="A111" s="21"/>
      <c r="B111" s="70"/>
      <c r="C111" s="21"/>
      <c r="D111" s="21"/>
      <c r="E111" s="21"/>
      <c r="F111" s="22"/>
      <c r="G111" s="21"/>
      <c r="H111" s="21"/>
      <c r="I111" s="22"/>
      <c r="J111" s="117"/>
      <c r="K111" s="117"/>
    </row>
    <row r="112" spans="1:11" ht="14.45">
      <c r="A112" s="21"/>
      <c r="B112" s="70"/>
      <c r="C112" s="21"/>
      <c r="D112" s="21"/>
      <c r="E112" s="21"/>
      <c r="F112" s="22"/>
      <c r="G112" s="21"/>
      <c r="H112" s="21"/>
      <c r="I112" s="22"/>
      <c r="J112" s="117"/>
      <c r="K112" s="117"/>
    </row>
    <row r="113" spans="1:11" ht="14.45">
      <c r="A113" s="21"/>
      <c r="B113" s="70"/>
      <c r="C113" s="21"/>
      <c r="D113" s="21"/>
      <c r="E113" s="21"/>
      <c r="F113" s="22"/>
      <c r="G113" s="21"/>
      <c r="H113" s="21"/>
      <c r="I113" s="22"/>
      <c r="J113" s="117"/>
      <c r="K113" s="117"/>
    </row>
    <row r="114" spans="1:11" ht="14.45">
      <c r="A114" s="21"/>
      <c r="B114" s="70"/>
      <c r="C114" s="21"/>
      <c r="D114" s="21"/>
      <c r="E114" s="21"/>
      <c r="F114" s="22"/>
      <c r="G114" s="21"/>
      <c r="H114" s="21"/>
      <c r="I114" s="22"/>
      <c r="J114" s="117"/>
      <c r="K114" s="117"/>
    </row>
    <row r="115" spans="1:11" ht="14.45">
      <c r="A115" s="21"/>
      <c r="B115" s="70"/>
      <c r="C115" s="21"/>
      <c r="D115" s="21"/>
      <c r="E115" s="21"/>
      <c r="F115" s="22"/>
      <c r="G115" s="21"/>
      <c r="H115" s="21"/>
      <c r="I115" s="22"/>
      <c r="J115" s="117"/>
      <c r="K115" s="117"/>
    </row>
    <row r="116" spans="1:11" ht="14.45">
      <c r="A116" s="21"/>
      <c r="B116" s="70"/>
      <c r="C116" s="21"/>
      <c r="D116" s="21"/>
      <c r="E116" s="21"/>
      <c r="F116" s="22"/>
      <c r="G116" s="21"/>
      <c r="H116" s="21"/>
      <c r="I116" s="22"/>
      <c r="J116" s="117"/>
      <c r="K116" s="117"/>
    </row>
    <row r="117" spans="1:11" ht="14.45">
      <c r="A117" s="21"/>
      <c r="B117" s="70"/>
      <c r="C117" s="21"/>
      <c r="D117" s="21"/>
      <c r="E117" s="21"/>
      <c r="F117" s="22"/>
      <c r="G117" s="21"/>
      <c r="H117" s="21"/>
      <c r="I117" s="22"/>
      <c r="J117" s="117"/>
      <c r="K117" s="117"/>
    </row>
    <row r="118" spans="1:11" ht="14.45">
      <c r="A118" s="21"/>
      <c r="B118" s="70"/>
      <c r="C118" s="21"/>
      <c r="D118" s="21"/>
      <c r="E118" s="21"/>
      <c r="F118" s="22"/>
      <c r="G118" s="21"/>
      <c r="H118" s="21"/>
      <c r="I118" s="22"/>
      <c r="J118" s="117"/>
      <c r="K118" s="117"/>
    </row>
    <row r="119" spans="1:11" ht="14.45">
      <c r="A119" s="21"/>
      <c r="B119" s="70"/>
      <c r="C119" s="21"/>
      <c r="D119" s="21"/>
      <c r="E119" s="21"/>
      <c r="F119" s="22"/>
      <c r="G119" s="21"/>
      <c r="H119" s="21"/>
      <c r="I119" s="22"/>
      <c r="J119" s="117"/>
      <c r="K119" s="117"/>
    </row>
    <row r="120" spans="1:11" ht="14.45">
      <c r="A120" s="21"/>
      <c r="B120" s="70"/>
      <c r="C120" s="21"/>
      <c r="D120" s="21"/>
      <c r="E120" s="21"/>
      <c r="F120" s="22"/>
      <c r="G120" s="21"/>
      <c r="H120" s="21"/>
      <c r="I120" s="22"/>
      <c r="J120" s="117"/>
      <c r="K120" s="117"/>
    </row>
    <row r="121" spans="1:11" ht="14.45">
      <c r="A121" s="21"/>
      <c r="B121" s="70"/>
      <c r="C121" s="21"/>
      <c r="D121" s="21"/>
      <c r="E121" s="21"/>
      <c r="F121" s="22"/>
      <c r="G121" s="21"/>
      <c r="H121" s="21"/>
      <c r="I121" s="22"/>
      <c r="J121" s="117"/>
      <c r="K121" s="117"/>
    </row>
    <row r="122" spans="1:11" ht="14.45">
      <c r="A122" s="21"/>
      <c r="B122" s="70"/>
      <c r="C122" s="21"/>
      <c r="D122" s="21"/>
      <c r="E122" s="21"/>
      <c r="F122" s="22"/>
      <c r="G122" s="21"/>
      <c r="H122" s="21"/>
      <c r="I122" s="22"/>
      <c r="J122" s="117"/>
      <c r="K122" s="117"/>
    </row>
    <row r="123" spans="1:11" ht="14.45">
      <c r="A123" s="21"/>
      <c r="B123" s="70"/>
      <c r="C123" s="21"/>
      <c r="D123" s="21"/>
      <c r="E123" s="21"/>
      <c r="F123" s="22"/>
      <c r="G123" s="21"/>
      <c r="H123" s="21"/>
      <c r="I123" s="22"/>
      <c r="J123" s="117"/>
      <c r="K123" s="117"/>
    </row>
    <row r="124" spans="1:11" ht="14.45">
      <c r="A124" s="21"/>
      <c r="B124" s="70"/>
      <c r="C124" s="21"/>
      <c r="D124" s="21"/>
      <c r="E124" s="21"/>
      <c r="F124" s="22"/>
      <c r="G124" s="21"/>
      <c r="H124" s="21"/>
      <c r="I124" s="22"/>
      <c r="J124" s="117"/>
      <c r="K124" s="117"/>
    </row>
    <row r="125" spans="1:11" ht="14.45">
      <c r="A125" s="21"/>
      <c r="B125" s="70"/>
      <c r="C125" s="21"/>
      <c r="D125" s="21"/>
      <c r="E125" s="21"/>
      <c r="F125" s="22"/>
      <c r="G125" s="21"/>
      <c r="H125" s="21"/>
      <c r="I125" s="22"/>
      <c r="J125" s="117"/>
      <c r="K125" s="117"/>
    </row>
    <row r="126" spans="1:11" ht="14.45">
      <c r="A126" s="21"/>
      <c r="B126" s="70"/>
      <c r="C126" s="21"/>
      <c r="D126" s="21"/>
      <c r="E126" s="21"/>
      <c r="F126" s="22"/>
      <c r="G126" s="21"/>
      <c r="H126" s="21"/>
      <c r="I126" s="22"/>
      <c r="J126" s="117"/>
      <c r="K126" s="117"/>
    </row>
    <row r="127" spans="1:11" ht="14.45">
      <c r="A127" s="21"/>
      <c r="B127" s="70"/>
      <c r="C127" s="21"/>
      <c r="D127" s="21"/>
      <c r="E127" s="21"/>
      <c r="F127" s="22"/>
      <c r="G127" s="21"/>
      <c r="H127" s="21"/>
      <c r="I127" s="22"/>
      <c r="J127" s="117"/>
      <c r="K127" s="117"/>
    </row>
    <row r="128" spans="1:11" ht="14.45">
      <c r="A128" s="21"/>
      <c r="B128" s="70"/>
      <c r="C128" s="21"/>
      <c r="D128" s="21"/>
      <c r="E128" s="21"/>
      <c r="F128" s="22"/>
      <c r="G128" s="21"/>
      <c r="H128" s="21"/>
      <c r="I128" s="22"/>
      <c r="J128" s="117"/>
      <c r="K128" s="117"/>
    </row>
    <row r="129" spans="1:11" ht="14.45">
      <c r="A129" s="21"/>
      <c r="B129" s="70"/>
      <c r="C129" s="21"/>
      <c r="D129" s="21"/>
      <c r="E129" s="21"/>
      <c r="F129" s="22"/>
      <c r="G129" s="21"/>
      <c r="H129" s="21"/>
      <c r="I129" s="22"/>
      <c r="J129" s="117"/>
      <c r="K129" s="117"/>
    </row>
    <row r="130" spans="1:11" ht="14.45">
      <c r="A130" s="21"/>
      <c r="B130" s="70"/>
      <c r="C130" s="21"/>
      <c r="D130" s="21"/>
      <c r="E130" s="21"/>
      <c r="F130" s="22"/>
      <c r="G130" s="21"/>
      <c r="H130" s="21"/>
      <c r="I130" s="22"/>
      <c r="J130" s="117"/>
      <c r="K130" s="117"/>
    </row>
    <row r="131" spans="1:11" ht="14.45">
      <c r="A131" s="21"/>
      <c r="B131" s="70"/>
      <c r="C131" s="21"/>
      <c r="D131" s="21"/>
      <c r="E131" s="21"/>
      <c r="F131" s="22"/>
      <c r="G131" s="21"/>
      <c r="H131" s="21"/>
      <c r="I131" s="22"/>
      <c r="J131" s="117"/>
      <c r="K131" s="117"/>
    </row>
    <row r="132" spans="1:11" ht="14.45">
      <c r="A132" s="21"/>
      <c r="B132" s="70"/>
      <c r="C132" s="21"/>
      <c r="D132" s="21"/>
      <c r="E132" s="21"/>
      <c r="F132" s="22"/>
      <c r="G132" s="21"/>
      <c r="H132" s="21"/>
      <c r="I132" s="22"/>
      <c r="J132" s="117"/>
      <c r="K132" s="117"/>
    </row>
    <row r="133" spans="1:11" ht="14.45">
      <c r="A133" s="21"/>
      <c r="B133" s="70"/>
      <c r="C133" s="21"/>
      <c r="D133" s="21"/>
      <c r="E133" s="21"/>
      <c r="F133" s="22"/>
      <c r="G133" s="21"/>
      <c r="H133" s="21"/>
      <c r="I133" s="22"/>
      <c r="J133" s="117"/>
      <c r="K133" s="117"/>
    </row>
    <row r="134" spans="1:11" ht="14.45">
      <c r="A134" s="21"/>
      <c r="B134" s="70"/>
      <c r="C134" s="21"/>
      <c r="D134" s="21"/>
      <c r="E134" s="21"/>
      <c r="F134" s="22"/>
      <c r="G134" s="21"/>
      <c r="H134" s="21"/>
      <c r="I134" s="22"/>
      <c r="J134" s="117"/>
      <c r="K134" s="117"/>
    </row>
    <row r="135" spans="1:11" ht="14.45">
      <c r="A135" s="21"/>
      <c r="B135" s="70"/>
      <c r="C135" s="21"/>
      <c r="D135" s="21"/>
      <c r="E135" s="21"/>
      <c r="F135" s="22"/>
      <c r="G135" s="21"/>
      <c r="H135" s="21"/>
      <c r="I135" s="22"/>
      <c r="J135" s="117"/>
      <c r="K135" s="117"/>
    </row>
    <row r="136" spans="1:11" ht="14.45">
      <c r="A136" s="21"/>
      <c r="B136" s="70"/>
      <c r="C136" s="21"/>
      <c r="D136" s="21"/>
      <c r="E136" s="21"/>
      <c r="F136" s="22"/>
      <c r="G136" s="21"/>
      <c r="H136" s="21"/>
      <c r="I136" s="22"/>
      <c r="J136" s="117"/>
      <c r="K136" s="117"/>
    </row>
    <row r="137" spans="1:11" ht="14.45">
      <c r="A137" s="21"/>
      <c r="B137" s="70"/>
      <c r="C137" s="21"/>
      <c r="D137" s="21"/>
      <c r="E137" s="21"/>
      <c r="F137" s="22"/>
      <c r="G137" s="21"/>
      <c r="H137" s="21"/>
      <c r="I137" s="22"/>
      <c r="J137" s="117"/>
      <c r="K137" s="117"/>
    </row>
    <row r="138" spans="1:11" ht="14.45">
      <c r="A138" s="21"/>
      <c r="B138" s="70"/>
      <c r="C138" s="21"/>
      <c r="D138" s="21"/>
      <c r="E138" s="21"/>
      <c r="F138" s="22"/>
      <c r="G138" s="21"/>
      <c r="H138" s="21"/>
      <c r="I138" s="22"/>
      <c r="J138" s="117"/>
      <c r="K138" s="117"/>
    </row>
    <row r="139" spans="1:11" ht="14.45">
      <c r="A139" s="21"/>
      <c r="B139" s="70"/>
      <c r="C139" s="21"/>
      <c r="D139" s="21"/>
      <c r="E139" s="21"/>
      <c r="F139" s="22"/>
      <c r="G139" s="21"/>
      <c r="H139" s="21"/>
      <c r="I139" s="22"/>
      <c r="J139" s="117"/>
      <c r="K139" s="117"/>
    </row>
    <row r="140" spans="1:11" ht="14.45">
      <c r="A140" s="21"/>
      <c r="B140" s="70"/>
      <c r="C140" s="21"/>
      <c r="D140" s="21"/>
      <c r="E140" s="21"/>
      <c r="F140" s="22"/>
      <c r="G140" s="21"/>
      <c r="H140" s="21"/>
      <c r="I140" s="22"/>
      <c r="J140" s="117"/>
      <c r="K140" s="117"/>
    </row>
    <row r="141" spans="1:11" ht="14.45">
      <c r="A141" s="21"/>
      <c r="B141" s="70"/>
      <c r="C141" s="21"/>
      <c r="D141" s="21"/>
      <c r="E141" s="21"/>
      <c r="F141" s="22"/>
      <c r="G141" s="21"/>
      <c r="H141" s="21"/>
      <c r="I141" s="22"/>
      <c r="J141" s="117"/>
      <c r="K141" s="117"/>
    </row>
    <row r="142" spans="1:11" ht="14.45">
      <c r="A142" s="21"/>
      <c r="B142" s="70"/>
      <c r="C142" s="21"/>
      <c r="D142" s="21"/>
      <c r="E142" s="21"/>
      <c r="F142" s="22"/>
      <c r="G142" s="21"/>
      <c r="H142" s="21"/>
      <c r="I142" s="22"/>
      <c r="J142" s="117"/>
      <c r="K142" s="117"/>
    </row>
    <row r="143" spans="1:11" ht="14.45">
      <c r="A143" s="21"/>
      <c r="B143" s="70"/>
      <c r="C143" s="21"/>
      <c r="D143" s="21"/>
      <c r="E143" s="21"/>
      <c r="F143" s="22"/>
      <c r="G143" s="21"/>
      <c r="H143" s="21"/>
      <c r="I143" s="22"/>
      <c r="J143" s="117"/>
      <c r="K143" s="117"/>
    </row>
    <row r="144" spans="1:11" ht="14.45">
      <c r="A144" s="21"/>
      <c r="B144" s="70"/>
      <c r="C144" s="21"/>
      <c r="D144" s="21"/>
      <c r="E144" s="21"/>
      <c r="F144" s="22"/>
      <c r="G144" s="21"/>
      <c r="H144" s="21"/>
      <c r="I144" s="22"/>
      <c r="J144" s="117"/>
      <c r="K144" s="117"/>
    </row>
    <row r="145" spans="1:11" ht="14.45">
      <c r="A145" s="21"/>
      <c r="B145" s="70"/>
      <c r="C145" s="21"/>
      <c r="D145" s="21"/>
      <c r="E145" s="21"/>
      <c r="F145" s="22"/>
      <c r="G145" s="21"/>
      <c r="H145" s="21"/>
      <c r="I145" s="22"/>
      <c r="J145" s="117"/>
      <c r="K145" s="117"/>
    </row>
    <row r="146" spans="1:11" ht="14.45">
      <c r="A146" s="21"/>
      <c r="B146" s="70"/>
      <c r="C146" s="21"/>
      <c r="D146" s="21"/>
      <c r="E146" s="21"/>
      <c r="F146" s="22"/>
      <c r="G146" s="21"/>
      <c r="H146" s="21"/>
      <c r="I146" s="22"/>
      <c r="J146" s="117"/>
      <c r="K146" s="117"/>
    </row>
    <row r="147" spans="1:11" ht="14.45">
      <c r="A147" s="21"/>
      <c r="B147" s="70"/>
      <c r="C147" s="21"/>
      <c r="D147" s="21"/>
      <c r="E147" s="21"/>
      <c r="F147" s="22"/>
      <c r="G147" s="21"/>
      <c r="H147" s="21"/>
      <c r="I147" s="22"/>
      <c r="J147" s="117"/>
      <c r="K147" s="117"/>
    </row>
    <row r="148" spans="1:11" ht="14.45">
      <c r="A148" s="21"/>
      <c r="B148" s="70"/>
      <c r="C148" s="21"/>
      <c r="D148" s="21"/>
      <c r="E148" s="21"/>
      <c r="F148" s="22"/>
      <c r="G148" s="21"/>
      <c r="H148" s="21"/>
      <c r="I148" s="22"/>
      <c r="J148" s="117"/>
      <c r="K148" s="117"/>
    </row>
    <row r="149" spans="1:11" ht="14.45">
      <c r="A149" s="21"/>
      <c r="B149" s="70"/>
      <c r="C149" s="21"/>
      <c r="D149" s="21"/>
      <c r="E149" s="21"/>
      <c r="F149" s="22"/>
      <c r="G149" s="21"/>
      <c r="H149" s="21"/>
      <c r="I149" s="22"/>
      <c r="J149" s="117"/>
      <c r="K149" s="117"/>
    </row>
    <row r="150" spans="1:11" ht="14.45">
      <c r="A150" s="21"/>
      <c r="B150" s="70"/>
      <c r="C150" s="21"/>
      <c r="D150" s="21"/>
      <c r="E150" s="21"/>
      <c r="F150" s="22"/>
      <c r="G150" s="21"/>
      <c r="H150" s="21"/>
      <c r="I150" s="22"/>
      <c r="J150" s="117"/>
      <c r="K150" s="117"/>
    </row>
    <row r="151" spans="1:11" ht="14.45">
      <c r="A151" s="21"/>
      <c r="B151" s="70"/>
      <c r="C151" s="21"/>
      <c r="D151" s="21"/>
      <c r="E151" s="21"/>
      <c r="F151" s="22"/>
      <c r="G151" s="21"/>
      <c r="H151" s="21"/>
      <c r="I151" s="22"/>
      <c r="J151" s="117"/>
      <c r="K151" s="117"/>
    </row>
    <row r="152" spans="1:11" ht="14.45">
      <c r="A152" s="21"/>
      <c r="B152" s="70"/>
      <c r="C152" s="21"/>
      <c r="D152" s="21"/>
      <c r="E152" s="21"/>
      <c r="F152" s="22"/>
      <c r="G152" s="21"/>
      <c r="H152" s="21"/>
      <c r="I152" s="22"/>
      <c r="J152" s="117"/>
      <c r="K152" s="117"/>
    </row>
    <row r="153" spans="1:11" ht="14.45">
      <c r="A153" s="21"/>
      <c r="B153" s="70"/>
      <c r="C153" s="21"/>
      <c r="D153" s="21"/>
      <c r="E153" s="21"/>
      <c r="F153" s="22"/>
      <c r="G153" s="21"/>
      <c r="H153" s="21"/>
      <c r="I153" s="22"/>
      <c r="J153" s="117"/>
      <c r="K153" s="117"/>
    </row>
    <row r="154" spans="1:11" ht="14.45">
      <c r="A154" s="21"/>
      <c r="B154" s="70"/>
      <c r="C154" s="21"/>
      <c r="D154" s="21"/>
      <c r="E154" s="21"/>
      <c r="F154" s="22"/>
      <c r="G154" s="21"/>
      <c r="H154" s="21"/>
      <c r="I154" s="22"/>
      <c r="J154" s="117"/>
      <c r="K154" s="117"/>
    </row>
    <row r="155" spans="1:11" ht="14.45">
      <c r="A155" s="21"/>
      <c r="B155" s="70"/>
      <c r="C155" s="21"/>
      <c r="D155" s="21"/>
      <c r="E155" s="21"/>
      <c r="F155" s="22"/>
      <c r="G155" s="21"/>
      <c r="H155" s="21"/>
      <c r="I155" s="22"/>
      <c r="J155" s="117"/>
      <c r="K155" s="117"/>
    </row>
    <row r="156" spans="1:11" ht="14.45">
      <c r="A156" s="21"/>
      <c r="B156" s="70"/>
      <c r="C156" s="21"/>
      <c r="D156" s="21"/>
      <c r="E156" s="21"/>
      <c r="F156" s="22"/>
      <c r="G156" s="21"/>
      <c r="H156" s="21"/>
      <c r="I156" s="22"/>
      <c r="J156" s="117"/>
      <c r="K156" s="117"/>
    </row>
    <row r="157" spans="1:11" ht="14.45">
      <c r="A157" s="21"/>
      <c r="B157" s="70"/>
      <c r="C157" s="21"/>
      <c r="D157" s="21"/>
      <c r="E157" s="21"/>
      <c r="F157" s="22"/>
      <c r="G157" s="21"/>
      <c r="H157" s="21"/>
      <c r="I157" s="22"/>
      <c r="J157" s="117"/>
      <c r="K157" s="117"/>
    </row>
    <row r="158" spans="1:11" ht="14.45">
      <c r="A158" s="21"/>
      <c r="B158" s="70"/>
      <c r="C158" s="21"/>
      <c r="D158" s="21"/>
      <c r="E158" s="21"/>
      <c r="F158" s="22"/>
      <c r="G158" s="21"/>
      <c r="H158" s="21"/>
      <c r="I158" s="22"/>
      <c r="J158" s="117"/>
      <c r="K158" s="117"/>
    </row>
    <row r="159" spans="1:11" ht="14.45">
      <c r="A159" s="21"/>
      <c r="B159" s="70"/>
      <c r="C159" s="21"/>
      <c r="D159" s="21"/>
      <c r="E159" s="21"/>
      <c r="F159" s="22"/>
      <c r="G159" s="21"/>
      <c r="H159" s="21"/>
      <c r="I159" s="22"/>
      <c r="J159" s="117"/>
      <c r="K159" s="117"/>
    </row>
    <row r="160" spans="1:11" ht="14.45">
      <c r="A160" s="21"/>
      <c r="B160" s="70"/>
      <c r="C160" s="21"/>
      <c r="D160" s="21"/>
      <c r="E160" s="21"/>
      <c r="F160" s="22"/>
      <c r="G160" s="21"/>
      <c r="H160" s="21"/>
      <c r="I160" s="22"/>
      <c r="J160" s="117"/>
      <c r="K160" s="117"/>
    </row>
    <row r="161" spans="1:11" ht="14.45">
      <c r="A161" s="21"/>
      <c r="B161" s="70"/>
      <c r="C161" s="21"/>
      <c r="D161" s="21"/>
      <c r="E161" s="21"/>
      <c r="F161" s="22"/>
      <c r="G161" s="21"/>
      <c r="H161" s="21"/>
      <c r="I161" s="22"/>
      <c r="J161" s="117"/>
      <c r="K161" s="117"/>
    </row>
    <row r="162" spans="1:11" ht="14.45">
      <c r="A162" s="21"/>
      <c r="B162" s="70"/>
      <c r="C162" s="21"/>
      <c r="D162" s="21"/>
      <c r="E162" s="21"/>
      <c r="F162" s="22"/>
      <c r="G162" s="21"/>
      <c r="H162" s="21"/>
      <c r="I162" s="22"/>
      <c r="J162" s="117"/>
      <c r="K162" s="117"/>
    </row>
    <row r="163" spans="1:11" ht="14.45">
      <c r="A163" s="21"/>
      <c r="B163" s="70"/>
      <c r="C163" s="21"/>
      <c r="D163" s="21"/>
      <c r="E163" s="21"/>
      <c r="F163" s="22"/>
      <c r="G163" s="21"/>
      <c r="H163" s="21"/>
      <c r="I163" s="22"/>
      <c r="J163" s="117"/>
      <c r="K163" s="117"/>
    </row>
    <row r="164" spans="1:11" ht="14.45">
      <c r="A164" s="21"/>
      <c r="B164" s="70"/>
      <c r="C164" s="21"/>
      <c r="D164" s="21"/>
      <c r="E164" s="21"/>
      <c r="F164" s="22"/>
      <c r="G164" s="21"/>
      <c r="H164" s="21"/>
      <c r="I164" s="22"/>
      <c r="J164" s="117"/>
      <c r="K164" s="117"/>
    </row>
    <row r="165" spans="1:11" ht="14.45">
      <c r="A165" s="21"/>
      <c r="B165" s="70"/>
      <c r="C165" s="21"/>
      <c r="D165" s="21"/>
      <c r="E165" s="21"/>
      <c r="F165" s="22"/>
      <c r="G165" s="21"/>
      <c r="H165" s="21"/>
      <c r="I165" s="22"/>
      <c r="J165" s="117"/>
      <c r="K165" s="117"/>
    </row>
    <row r="166" spans="1:11" ht="14.45">
      <c r="A166" s="21"/>
      <c r="B166" s="70"/>
      <c r="C166" s="21"/>
      <c r="D166" s="21"/>
      <c r="E166" s="21"/>
      <c r="F166" s="22"/>
      <c r="G166" s="21"/>
      <c r="H166" s="21"/>
      <c r="I166" s="22"/>
      <c r="J166" s="117"/>
      <c r="K166" s="117"/>
    </row>
    <row r="167" spans="1:11" ht="14.45">
      <c r="A167" s="21"/>
      <c r="B167" s="70"/>
      <c r="C167" s="21"/>
      <c r="D167" s="21"/>
      <c r="E167" s="21"/>
      <c r="F167" s="22"/>
      <c r="G167" s="21"/>
      <c r="H167" s="21"/>
      <c r="I167" s="22"/>
      <c r="J167" s="117"/>
      <c r="K167" s="117"/>
    </row>
    <row r="168" spans="1:11" ht="14.45">
      <c r="A168" s="21"/>
      <c r="B168" s="70"/>
      <c r="C168" s="21"/>
      <c r="D168" s="21"/>
      <c r="E168" s="21"/>
      <c r="F168" s="22"/>
      <c r="G168" s="21"/>
      <c r="H168" s="21"/>
      <c r="I168" s="22"/>
      <c r="J168" s="117"/>
      <c r="K168" s="117"/>
    </row>
    <row r="169" spans="1:11" ht="14.45">
      <c r="A169" s="21"/>
      <c r="B169" s="70"/>
      <c r="C169" s="21"/>
      <c r="D169" s="21"/>
      <c r="E169" s="21"/>
      <c r="F169" s="22"/>
      <c r="G169" s="21"/>
      <c r="H169" s="21"/>
      <c r="I169" s="22"/>
      <c r="J169" s="117"/>
      <c r="K169" s="117"/>
    </row>
    <row r="170" spans="1:11" ht="14.45">
      <c r="A170" s="21"/>
      <c r="B170" s="70"/>
      <c r="C170" s="21"/>
      <c r="D170" s="21"/>
      <c r="E170" s="21"/>
      <c r="F170" s="22"/>
      <c r="G170" s="21"/>
      <c r="H170" s="21"/>
      <c r="I170" s="22"/>
      <c r="J170" s="117"/>
      <c r="K170" s="117"/>
    </row>
    <row r="171" spans="1:11" ht="14.45">
      <c r="A171" s="21"/>
      <c r="B171" s="70"/>
      <c r="C171" s="21"/>
      <c r="D171" s="21"/>
      <c r="E171" s="21"/>
      <c r="F171" s="22"/>
      <c r="G171" s="21"/>
      <c r="H171" s="21"/>
      <c r="I171" s="22"/>
      <c r="J171" s="117"/>
      <c r="K171" s="117"/>
    </row>
    <row r="172" spans="1:11" ht="14.45">
      <c r="A172" s="21"/>
      <c r="B172" s="70"/>
      <c r="C172" s="21"/>
      <c r="D172" s="21"/>
      <c r="E172" s="21"/>
      <c r="F172" s="22"/>
      <c r="G172" s="21"/>
      <c r="H172" s="21"/>
      <c r="I172" s="22"/>
      <c r="J172" s="117"/>
      <c r="K172" s="117"/>
    </row>
    <row r="173" spans="1:11" ht="14.45">
      <c r="A173" s="21"/>
      <c r="B173" s="70"/>
      <c r="C173" s="21"/>
      <c r="D173" s="21"/>
      <c r="E173" s="21"/>
      <c r="F173" s="22"/>
      <c r="G173" s="21"/>
      <c r="H173" s="21"/>
      <c r="I173" s="22"/>
      <c r="J173" s="117"/>
      <c r="K173" s="117"/>
    </row>
    <row r="174" spans="1:11" ht="14.45">
      <c r="A174" s="21"/>
      <c r="B174" s="70"/>
      <c r="C174" s="21"/>
      <c r="D174" s="21"/>
      <c r="E174" s="21"/>
      <c r="F174" s="22"/>
      <c r="G174" s="21"/>
      <c r="H174" s="21"/>
      <c r="I174" s="22"/>
      <c r="J174" s="117"/>
      <c r="K174" s="117"/>
    </row>
    <row r="175" spans="1:11" ht="14.45">
      <c r="A175" s="21"/>
      <c r="B175" s="70"/>
      <c r="C175" s="21"/>
      <c r="D175" s="21"/>
      <c r="E175" s="21"/>
      <c r="F175" s="22"/>
      <c r="G175" s="21"/>
      <c r="H175" s="21"/>
      <c r="I175" s="22"/>
      <c r="J175" s="117"/>
      <c r="K175" s="117"/>
    </row>
    <row r="176" spans="1:11" ht="14.45">
      <c r="A176" s="21"/>
      <c r="B176" s="70"/>
      <c r="C176" s="21"/>
      <c r="D176" s="21"/>
      <c r="E176" s="21"/>
      <c r="F176" s="22"/>
      <c r="G176" s="21"/>
      <c r="H176" s="21"/>
      <c r="I176" s="22"/>
      <c r="J176" s="117"/>
      <c r="K176" s="117"/>
    </row>
    <row r="177" spans="1:11" ht="14.45">
      <c r="A177" s="21"/>
      <c r="B177" s="70"/>
      <c r="C177" s="21"/>
      <c r="D177" s="21"/>
      <c r="E177" s="21"/>
      <c r="F177" s="22"/>
      <c r="G177" s="21"/>
      <c r="H177" s="21"/>
      <c r="I177" s="22"/>
      <c r="J177" s="117"/>
      <c r="K177" s="117"/>
    </row>
    <row r="178" spans="1:11" ht="14.45">
      <c r="A178" s="21"/>
      <c r="B178" s="70"/>
      <c r="C178" s="21"/>
      <c r="D178" s="21"/>
      <c r="E178" s="21"/>
      <c r="F178" s="22"/>
      <c r="G178" s="21"/>
      <c r="H178" s="21"/>
      <c r="I178" s="22"/>
      <c r="J178" s="117"/>
      <c r="K178" s="117"/>
    </row>
    <row r="179" spans="1:11" ht="14.45">
      <c r="A179" s="21"/>
      <c r="B179" s="70"/>
      <c r="C179" s="21"/>
      <c r="D179" s="21"/>
      <c r="E179" s="21"/>
      <c r="F179" s="22"/>
      <c r="G179" s="21"/>
      <c r="H179" s="21"/>
      <c r="I179" s="22"/>
      <c r="J179" s="117"/>
      <c r="K179" s="117"/>
    </row>
    <row r="180" spans="1:11" ht="14.45">
      <c r="A180" s="21"/>
      <c r="B180" s="70"/>
      <c r="C180" s="21"/>
      <c r="D180" s="21"/>
      <c r="E180" s="21"/>
      <c r="F180" s="22"/>
      <c r="G180" s="21"/>
      <c r="H180" s="21"/>
      <c r="I180" s="22"/>
      <c r="J180" s="117"/>
      <c r="K180" s="117"/>
    </row>
    <row r="181" spans="1:11" ht="14.45">
      <c r="A181" s="21"/>
      <c r="B181" s="70"/>
      <c r="C181" s="21"/>
      <c r="D181" s="21"/>
      <c r="E181" s="21"/>
      <c r="F181" s="22"/>
      <c r="G181" s="21"/>
      <c r="H181" s="21"/>
      <c r="I181" s="22"/>
      <c r="J181" s="117"/>
      <c r="K181" s="117"/>
    </row>
    <row r="182" spans="1:11" ht="14.45">
      <c r="A182" s="21"/>
      <c r="B182" s="70"/>
      <c r="C182" s="21"/>
      <c r="D182" s="21"/>
      <c r="E182" s="21"/>
      <c r="F182" s="22"/>
      <c r="G182" s="21"/>
      <c r="H182" s="21"/>
      <c r="I182" s="22"/>
      <c r="J182" s="117"/>
      <c r="K182" s="117"/>
    </row>
    <row r="183" spans="1:11" ht="14.45">
      <c r="A183" s="21"/>
      <c r="B183" s="70"/>
      <c r="C183" s="21"/>
      <c r="D183" s="21"/>
      <c r="E183" s="21"/>
      <c r="F183" s="22"/>
      <c r="G183" s="21"/>
      <c r="H183" s="21"/>
      <c r="I183" s="22"/>
      <c r="J183" s="117"/>
      <c r="K183" s="117"/>
    </row>
    <row r="184" spans="1:11" ht="14.45">
      <c r="A184" s="21"/>
      <c r="B184" s="70"/>
      <c r="C184" s="21"/>
      <c r="D184" s="21"/>
      <c r="E184" s="21"/>
      <c r="F184" s="22"/>
      <c r="G184" s="21"/>
      <c r="H184" s="21"/>
      <c r="I184" s="22"/>
      <c r="J184" s="117"/>
      <c r="K184" s="117"/>
    </row>
    <row r="185" spans="1:11" ht="14.45">
      <c r="A185" s="21"/>
      <c r="B185" s="70"/>
      <c r="C185" s="21"/>
      <c r="D185" s="21"/>
      <c r="E185" s="21"/>
      <c r="F185" s="22"/>
      <c r="G185" s="21"/>
      <c r="H185" s="21"/>
      <c r="I185" s="22"/>
      <c r="J185" s="117"/>
      <c r="K185" s="117"/>
    </row>
    <row r="186" spans="1:11" ht="14.45">
      <c r="A186" s="21"/>
      <c r="B186" s="70"/>
      <c r="C186" s="21"/>
      <c r="D186" s="21"/>
      <c r="E186" s="21"/>
      <c r="F186" s="22"/>
      <c r="G186" s="21"/>
      <c r="H186" s="21"/>
      <c r="I186" s="22"/>
      <c r="J186" s="117"/>
      <c r="K186" s="117"/>
    </row>
    <row r="187" spans="1:11" ht="14.45">
      <c r="A187" s="21"/>
      <c r="B187" s="70"/>
      <c r="C187" s="21"/>
      <c r="D187" s="21"/>
      <c r="E187" s="21"/>
      <c r="F187" s="22"/>
      <c r="G187" s="21"/>
      <c r="H187" s="21"/>
      <c r="I187" s="22"/>
      <c r="J187" s="117"/>
      <c r="K187" s="117"/>
    </row>
    <row r="188" spans="1:11" ht="14.45">
      <c r="A188" s="21"/>
      <c r="B188" s="70"/>
      <c r="C188" s="21"/>
      <c r="D188" s="21"/>
      <c r="E188" s="21"/>
      <c r="F188" s="22"/>
      <c r="G188" s="21"/>
      <c r="H188" s="21"/>
      <c r="I188" s="22"/>
      <c r="J188" s="117"/>
      <c r="K188" s="117"/>
    </row>
    <row r="189" spans="1:11" ht="14.45">
      <c r="A189" s="21"/>
      <c r="B189" s="70"/>
      <c r="C189" s="21"/>
      <c r="D189" s="21"/>
      <c r="E189" s="21"/>
      <c r="F189" s="22"/>
      <c r="G189" s="21"/>
      <c r="H189" s="21"/>
      <c r="I189" s="22"/>
      <c r="J189" s="117"/>
      <c r="K189" s="117"/>
    </row>
    <row r="190" spans="1:11" ht="14.45">
      <c r="A190" s="21"/>
      <c r="B190" s="70"/>
      <c r="C190" s="21"/>
      <c r="D190" s="21"/>
      <c r="E190" s="21"/>
      <c r="F190" s="22"/>
      <c r="G190" s="21"/>
      <c r="H190" s="21"/>
      <c r="I190" s="22"/>
      <c r="J190" s="117"/>
      <c r="K190" s="117"/>
    </row>
    <row r="191" spans="1:11" ht="14.45">
      <c r="A191" s="21"/>
      <c r="B191" s="70"/>
      <c r="C191" s="21"/>
      <c r="D191" s="21"/>
      <c r="E191" s="21"/>
      <c r="F191" s="22"/>
      <c r="G191" s="21"/>
      <c r="H191" s="21"/>
      <c r="I191" s="22"/>
      <c r="J191" s="117"/>
      <c r="K191" s="117"/>
    </row>
    <row r="192" spans="1:11" ht="14.45">
      <c r="A192" s="21"/>
      <c r="B192" s="70"/>
      <c r="C192" s="21"/>
      <c r="D192" s="21"/>
      <c r="E192" s="21"/>
      <c r="F192" s="22"/>
      <c r="G192" s="21"/>
      <c r="H192" s="21"/>
      <c r="I192" s="22"/>
      <c r="J192" s="117"/>
      <c r="K192" s="117"/>
    </row>
    <row r="193" spans="1:11" ht="14.45">
      <c r="A193" s="21"/>
      <c r="B193" s="70"/>
      <c r="C193" s="21"/>
      <c r="D193" s="21"/>
      <c r="E193" s="21"/>
      <c r="F193" s="22"/>
      <c r="G193" s="21"/>
      <c r="H193" s="21"/>
      <c r="I193" s="22"/>
      <c r="J193" s="117"/>
      <c r="K193" s="117"/>
    </row>
    <row r="194" spans="1:11" ht="14.45">
      <c r="A194" s="21"/>
      <c r="B194" s="70"/>
      <c r="C194" s="21"/>
      <c r="D194" s="21"/>
      <c r="E194" s="21"/>
      <c r="F194" s="22"/>
      <c r="G194" s="21"/>
      <c r="H194" s="21"/>
      <c r="I194" s="22"/>
      <c r="J194" s="117"/>
      <c r="K194" s="117"/>
    </row>
    <row r="195" spans="1:11" ht="14.45">
      <c r="A195" s="21"/>
      <c r="B195" s="70"/>
      <c r="C195" s="21"/>
      <c r="D195" s="21"/>
      <c r="E195" s="21"/>
      <c r="F195" s="22"/>
      <c r="G195" s="21"/>
      <c r="H195" s="21"/>
      <c r="I195" s="22"/>
      <c r="J195" s="117"/>
      <c r="K195" s="117"/>
    </row>
    <row r="196" spans="1:11" ht="14.45">
      <c r="A196" s="21"/>
      <c r="B196" s="70"/>
      <c r="C196" s="21"/>
      <c r="D196" s="21"/>
      <c r="E196" s="21"/>
      <c r="F196" s="22"/>
      <c r="G196" s="21"/>
      <c r="H196" s="21"/>
      <c r="I196" s="22"/>
      <c r="J196" s="117"/>
      <c r="K196" s="117"/>
    </row>
    <row r="197" spans="1:11" ht="14.45">
      <c r="A197" s="21"/>
      <c r="B197" s="70"/>
      <c r="C197" s="21"/>
      <c r="D197" s="21"/>
      <c r="E197" s="21"/>
      <c r="F197" s="22"/>
      <c r="G197" s="21"/>
      <c r="H197" s="21"/>
      <c r="I197" s="22"/>
      <c r="J197" s="117"/>
      <c r="K197" s="117"/>
    </row>
    <row r="198" spans="1:11" ht="14.45">
      <c r="A198" s="21"/>
      <c r="B198" s="70"/>
      <c r="C198" s="21"/>
      <c r="D198" s="21"/>
      <c r="E198" s="21"/>
      <c r="F198" s="22"/>
      <c r="G198" s="21"/>
      <c r="H198" s="21"/>
      <c r="I198" s="22"/>
      <c r="J198" s="117"/>
      <c r="K198" s="117"/>
    </row>
    <row r="199" spans="1:11" ht="14.45">
      <c r="A199" s="21"/>
      <c r="B199" s="70"/>
      <c r="C199" s="21"/>
      <c r="D199" s="21"/>
      <c r="E199" s="21"/>
      <c r="F199" s="22"/>
      <c r="G199" s="21"/>
      <c r="H199" s="21"/>
      <c r="I199" s="22"/>
      <c r="J199" s="117"/>
      <c r="K199" s="117"/>
    </row>
    <row r="200" spans="1:11" ht="14.45">
      <c r="A200" s="21"/>
      <c r="B200" s="70"/>
      <c r="C200" s="21"/>
      <c r="D200" s="21"/>
      <c r="E200" s="21"/>
      <c r="F200" s="22"/>
      <c r="G200" s="21"/>
      <c r="H200" s="21"/>
      <c r="I200" s="22"/>
      <c r="J200" s="117"/>
      <c r="K200" s="117"/>
    </row>
    <row r="201" spans="1:11" ht="14.45">
      <c r="A201" s="21"/>
      <c r="B201" s="70"/>
      <c r="C201" s="21"/>
      <c r="D201" s="21"/>
      <c r="E201" s="21"/>
      <c r="F201" s="22"/>
      <c r="G201" s="21"/>
      <c r="H201" s="21"/>
      <c r="I201" s="22"/>
      <c r="J201" s="117"/>
      <c r="K201" s="117"/>
    </row>
    <row r="202" spans="1:11" ht="14.45">
      <c r="A202" s="21"/>
      <c r="B202" s="70"/>
      <c r="C202" s="21"/>
      <c r="D202" s="21"/>
      <c r="E202" s="21"/>
      <c r="F202" s="22"/>
      <c r="G202" s="21"/>
      <c r="H202" s="21"/>
      <c r="I202" s="22"/>
      <c r="J202" s="117"/>
      <c r="K202" s="117"/>
    </row>
    <row r="203" spans="1:11" ht="14.45">
      <c r="A203" s="21"/>
      <c r="B203" s="70"/>
      <c r="C203" s="21"/>
      <c r="D203" s="21"/>
      <c r="E203" s="21"/>
      <c r="F203" s="22"/>
      <c r="G203" s="21"/>
      <c r="H203" s="21"/>
      <c r="I203" s="22"/>
      <c r="J203" s="117"/>
      <c r="K203" s="117"/>
    </row>
    <row r="204" spans="1:11" ht="14.45">
      <c r="A204" s="21"/>
      <c r="B204" s="70"/>
      <c r="C204" s="21"/>
      <c r="D204" s="21"/>
      <c r="E204" s="21"/>
      <c r="F204" s="22"/>
      <c r="G204" s="21"/>
      <c r="H204" s="21"/>
      <c r="I204" s="22"/>
      <c r="J204" s="117"/>
      <c r="K204" s="117"/>
    </row>
    <row r="205" spans="1:11" ht="14.45">
      <c r="A205" s="21"/>
      <c r="B205" s="70"/>
      <c r="C205" s="21"/>
      <c r="D205" s="21"/>
      <c r="E205" s="21"/>
      <c r="F205" s="22"/>
      <c r="G205" s="21"/>
      <c r="H205" s="21"/>
      <c r="I205" s="22"/>
      <c r="J205" s="117"/>
      <c r="K205" s="117"/>
    </row>
    <row r="206" spans="1:11" ht="14.45">
      <c r="A206" s="21"/>
      <c r="B206" s="70"/>
      <c r="C206" s="21"/>
      <c r="D206" s="21"/>
      <c r="E206" s="21"/>
      <c r="F206" s="22"/>
      <c r="G206" s="21"/>
      <c r="H206" s="21"/>
      <c r="I206" s="22"/>
      <c r="J206" s="117"/>
      <c r="K206" s="117"/>
    </row>
    <row r="207" spans="1:11" ht="14.45">
      <c r="A207" s="21"/>
      <c r="B207" s="70"/>
      <c r="C207" s="21"/>
      <c r="D207" s="21"/>
      <c r="E207" s="21"/>
      <c r="F207" s="22"/>
      <c r="G207" s="21"/>
      <c r="H207" s="21"/>
      <c r="I207" s="22"/>
      <c r="J207" s="117"/>
      <c r="K207" s="117"/>
    </row>
    <row r="208" spans="1:11" ht="14.45">
      <c r="A208" s="21"/>
      <c r="B208" s="70"/>
      <c r="C208" s="21"/>
      <c r="D208" s="21"/>
      <c r="E208" s="21"/>
      <c r="F208" s="22"/>
      <c r="G208" s="21"/>
      <c r="H208" s="21"/>
      <c r="I208" s="22"/>
      <c r="J208" s="117"/>
      <c r="K208" s="117"/>
    </row>
    <row r="209" spans="1:11" ht="14.45">
      <c r="A209" s="21"/>
      <c r="B209" s="70"/>
      <c r="C209" s="21"/>
      <c r="D209" s="21"/>
      <c r="E209" s="21"/>
      <c r="F209" s="22"/>
      <c r="G209" s="21"/>
      <c r="H209" s="21"/>
      <c r="I209" s="22"/>
      <c r="J209" s="117"/>
      <c r="K209" s="117"/>
    </row>
    <row r="210" spans="1:11" ht="14.45">
      <c r="A210" s="21"/>
      <c r="B210" s="70"/>
      <c r="C210" s="21"/>
      <c r="D210" s="21"/>
      <c r="E210" s="21"/>
      <c r="F210" s="22"/>
      <c r="G210" s="21"/>
      <c r="H210" s="21"/>
      <c r="I210" s="22"/>
      <c r="J210" s="117"/>
      <c r="K210" s="117"/>
    </row>
    <row r="211" spans="1:11" ht="14.45">
      <c r="A211" s="21"/>
      <c r="B211" s="70"/>
      <c r="C211" s="21"/>
      <c r="D211" s="21"/>
      <c r="E211" s="21"/>
      <c r="F211" s="22"/>
      <c r="G211" s="21"/>
      <c r="H211" s="21"/>
      <c r="I211" s="22"/>
      <c r="J211" s="117"/>
      <c r="K211" s="117"/>
    </row>
    <row r="212" spans="1:11" ht="14.45">
      <c r="A212" s="21"/>
      <c r="B212" s="70"/>
      <c r="C212" s="21"/>
      <c r="D212" s="21"/>
      <c r="E212" s="21"/>
      <c r="F212" s="22"/>
      <c r="G212" s="21"/>
      <c r="H212" s="21"/>
      <c r="I212" s="22"/>
      <c r="J212" s="117"/>
      <c r="K212" s="117"/>
    </row>
    <row r="213" spans="1:11" ht="14.45">
      <c r="A213" s="21"/>
      <c r="B213" s="70"/>
      <c r="C213" s="21"/>
      <c r="D213" s="21"/>
      <c r="E213" s="21"/>
      <c r="F213" s="22"/>
      <c r="G213" s="21"/>
      <c r="H213" s="21"/>
      <c r="I213" s="22"/>
      <c r="J213" s="117"/>
      <c r="K213" s="117"/>
    </row>
    <row r="214" spans="1:11" ht="14.45">
      <c r="A214" s="21"/>
      <c r="B214" s="70"/>
      <c r="C214" s="21"/>
      <c r="D214" s="21"/>
      <c r="E214" s="21"/>
      <c r="F214" s="22"/>
      <c r="G214" s="21"/>
      <c r="H214" s="21"/>
      <c r="I214" s="22"/>
      <c r="J214" s="117"/>
      <c r="K214" s="117"/>
    </row>
    <row r="215" spans="1:11" ht="14.45">
      <c r="A215" s="21"/>
      <c r="B215" s="70"/>
      <c r="C215" s="21"/>
      <c r="D215" s="21"/>
      <c r="E215" s="21"/>
      <c r="F215" s="22"/>
      <c r="G215" s="21"/>
      <c r="H215" s="21"/>
      <c r="I215" s="22"/>
      <c r="J215" s="117"/>
      <c r="K215" s="117"/>
    </row>
    <row r="216" spans="1:11" ht="14.45">
      <c r="A216" s="21"/>
      <c r="B216" s="70"/>
      <c r="C216" s="21"/>
      <c r="D216" s="21"/>
      <c r="E216" s="21"/>
      <c r="F216" s="22"/>
      <c r="G216" s="21"/>
      <c r="H216" s="21"/>
      <c r="I216" s="22"/>
      <c r="J216" s="117"/>
      <c r="K216" s="117"/>
    </row>
    <row r="217" spans="1:11" ht="14.45">
      <c r="A217" s="21"/>
      <c r="B217" s="70"/>
      <c r="C217" s="21"/>
      <c r="D217" s="21"/>
      <c r="E217" s="21"/>
      <c r="F217" s="22"/>
      <c r="G217" s="21"/>
      <c r="H217" s="21"/>
      <c r="I217" s="22"/>
      <c r="J217" s="117"/>
      <c r="K217" s="117"/>
    </row>
    <row r="218" spans="1:11" ht="14.45">
      <c r="A218" s="21"/>
      <c r="B218" s="70"/>
      <c r="C218" s="21"/>
      <c r="D218" s="21"/>
      <c r="E218" s="21"/>
      <c r="F218" s="22"/>
      <c r="G218" s="21"/>
      <c r="H218" s="21"/>
      <c r="I218" s="22"/>
      <c r="J218" s="117"/>
      <c r="K218" s="117"/>
    </row>
    <row r="219" spans="1:11" ht="14.45">
      <c r="A219" s="21"/>
      <c r="B219" s="70"/>
      <c r="C219" s="21"/>
      <c r="D219" s="21"/>
      <c r="E219" s="21"/>
      <c r="F219" s="22"/>
      <c r="G219" s="21"/>
      <c r="H219" s="21"/>
      <c r="I219" s="22"/>
      <c r="J219" s="117"/>
      <c r="K219" s="117"/>
    </row>
    <row r="220" spans="1:11" ht="14.45">
      <c r="A220" s="21"/>
      <c r="B220" s="70"/>
      <c r="C220" s="21"/>
      <c r="D220" s="21"/>
      <c r="E220" s="21"/>
      <c r="F220" s="22"/>
      <c r="G220" s="21"/>
      <c r="H220" s="21"/>
      <c r="I220" s="22"/>
      <c r="J220" s="117"/>
      <c r="K220" s="117"/>
    </row>
    <row r="221" spans="1:11" ht="14.45">
      <c r="A221" s="21"/>
      <c r="B221" s="70"/>
      <c r="C221" s="21"/>
      <c r="D221" s="21"/>
      <c r="E221" s="21"/>
      <c r="F221" s="22"/>
      <c r="G221" s="21"/>
      <c r="H221" s="21"/>
      <c r="I221" s="22"/>
      <c r="J221" s="117"/>
      <c r="K221" s="117"/>
    </row>
    <row r="222" spans="1:11" ht="14.45">
      <c r="A222" s="21"/>
      <c r="B222" s="70"/>
      <c r="C222" s="21"/>
      <c r="D222" s="21"/>
      <c r="E222" s="21"/>
      <c r="F222" s="22"/>
      <c r="G222" s="21"/>
      <c r="H222" s="21"/>
      <c r="I222" s="22"/>
      <c r="J222" s="117"/>
      <c r="K222" s="117"/>
    </row>
    <row r="223" spans="1:11" ht="14.45">
      <c r="A223" s="21"/>
      <c r="B223" s="70"/>
      <c r="C223" s="21"/>
      <c r="D223" s="21"/>
      <c r="E223" s="21"/>
      <c r="F223" s="22"/>
      <c r="G223" s="21"/>
      <c r="H223" s="21"/>
      <c r="I223" s="22"/>
      <c r="J223" s="117"/>
      <c r="K223" s="117"/>
    </row>
    <row r="224" spans="1:11" ht="14.45">
      <c r="A224" s="21"/>
      <c r="B224" s="70"/>
      <c r="C224" s="21"/>
      <c r="D224" s="21"/>
      <c r="E224" s="21"/>
      <c r="F224" s="22"/>
      <c r="G224" s="21"/>
      <c r="H224" s="21"/>
      <c r="I224" s="22"/>
      <c r="J224" s="117"/>
      <c r="K224" s="117"/>
    </row>
    <row r="225" spans="1:11" ht="14.45">
      <c r="A225" s="21"/>
      <c r="B225" s="70"/>
      <c r="C225" s="21"/>
      <c r="D225" s="21"/>
      <c r="E225" s="21"/>
      <c r="F225" s="22"/>
      <c r="G225" s="21"/>
      <c r="H225" s="21"/>
      <c r="I225" s="22"/>
      <c r="J225" s="117"/>
      <c r="K225" s="117"/>
    </row>
    <row r="226" spans="1:11" ht="14.45">
      <c r="A226" s="21"/>
      <c r="B226" s="70"/>
      <c r="C226" s="21"/>
      <c r="D226" s="21"/>
      <c r="E226" s="21"/>
      <c r="F226" s="22"/>
      <c r="G226" s="21"/>
      <c r="H226" s="21"/>
      <c r="I226" s="22"/>
      <c r="J226" s="117"/>
      <c r="K226" s="117"/>
    </row>
    <row r="227" spans="1:11" ht="14.45">
      <c r="A227" s="21"/>
      <c r="B227" s="70"/>
      <c r="C227" s="21"/>
      <c r="D227" s="21"/>
      <c r="E227" s="21"/>
      <c r="F227" s="22"/>
      <c r="G227" s="21"/>
      <c r="H227" s="21"/>
      <c r="I227" s="22"/>
      <c r="J227" s="117"/>
      <c r="K227" s="117"/>
    </row>
    <row r="228" spans="1:11" ht="14.45">
      <c r="A228" s="21"/>
      <c r="B228" s="70"/>
      <c r="C228" s="21"/>
      <c r="D228" s="21"/>
      <c r="E228" s="21"/>
      <c r="F228" s="22"/>
      <c r="G228" s="21"/>
      <c r="H228" s="21"/>
      <c r="I228" s="22"/>
      <c r="J228" s="117"/>
      <c r="K228" s="117"/>
    </row>
    <row r="229" spans="1:11" ht="14.45">
      <c r="A229" s="21"/>
      <c r="B229" s="70"/>
      <c r="C229" s="21"/>
      <c r="D229" s="21"/>
      <c r="E229" s="21"/>
      <c r="F229" s="22"/>
      <c r="G229" s="21"/>
      <c r="H229" s="21"/>
      <c r="I229" s="22"/>
      <c r="J229" s="117"/>
      <c r="K229" s="117"/>
    </row>
    <row r="230" spans="1:11" ht="14.45">
      <c r="A230" s="21"/>
      <c r="B230" s="70"/>
      <c r="C230" s="21"/>
      <c r="D230" s="21"/>
      <c r="E230" s="21"/>
      <c r="F230" s="22"/>
      <c r="G230" s="21"/>
      <c r="H230" s="21"/>
      <c r="I230" s="22"/>
      <c r="J230" s="117"/>
      <c r="K230" s="117"/>
    </row>
    <row r="231" spans="1:11" ht="14.45">
      <c r="A231" s="21"/>
      <c r="B231" s="70"/>
      <c r="C231" s="21"/>
      <c r="D231" s="21"/>
      <c r="E231" s="21"/>
      <c r="F231" s="22"/>
      <c r="G231" s="21"/>
      <c r="H231" s="21"/>
      <c r="I231" s="22"/>
      <c r="J231" s="117"/>
      <c r="K231" s="117"/>
    </row>
    <row r="232" spans="1:11" ht="14.45">
      <c r="A232" s="21"/>
      <c r="B232" s="70"/>
      <c r="C232" s="21"/>
      <c r="D232" s="21"/>
      <c r="E232" s="21"/>
      <c r="F232" s="22"/>
      <c r="G232" s="21"/>
      <c r="H232" s="21"/>
      <c r="I232" s="22"/>
      <c r="J232" s="117"/>
      <c r="K232" s="117"/>
    </row>
    <row r="233" spans="1:11" ht="14.45">
      <c r="A233" s="21"/>
      <c r="B233" s="70"/>
      <c r="C233" s="21"/>
      <c r="D233" s="21"/>
      <c r="E233" s="21"/>
      <c r="F233" s="22"/>
      <c r="G233" s="21"/>
      <c r="H233" s="21"/>
      <c r="I233" s="22"/>
      <c r="J233" s="117"/>
      <c r="K233" s="117"/>
    </row>
    <row r="234" spans="1:11" ht="14.45">
      <c r="A234" s="21"/>
      <c r="B234" s="70"/>
      <c r="C234" s="21"/>
      <c r="D234" s="21"/>
      <c r="E234" s="21"/>
      <c r="F234" s="22"/>
      <c r="G234" s="21"/>
      <c r="H234" s="21"/>
      <c r="I234" s="22"/>
      <c r="J234" s="117"/>
      <c r="K234" s="117"/>
    </row>
    <row r="235" spans="1:11" ht="14.45">
      <c r="A235" s="21"/>
      <c r="B235" s="70"/>
      <c r="C235" s="21"/>
      <c r="D235" s="21"/>
      <c r="E235" s="21"/>
      <c r="F235" s="22"/>
      <c r="G235" s="21"/>
      <c r="H235" s="21"/>
      <c r="I235" s="22"/>
      <c r="J235" s="117"/>
      <c r="K235" s="117"/>
    </row>
    <row r="236" spans="1:11" ht="14.45">
      <c r="A236" s="21"/>
      <c r="B236" s="70"/>
      <c r="C236" s="21"/>
      <c r="D236" s="21"/>
      <c r="E236" s="21"/>
      <c r="F236" s="22"/>
      <c r="G236" s="21"/>
      <c r="H236" s="21"/>
      <c r="I236" s="22"/>
      <c r="J236" s="117"/>
      <c r="K236" s="117"/>
    </row>
    <row r="237" spans="1:11" ht="14.45">
      <c r="A237" s="21"/>
      <c r="B237" s="70"/>
      <c r="C237" s="21"/>
      <c r="D237" s="21"/>
      <c r="E237" s="21"/>
      <c r="F237" s="22"/>
      <c r="G237" s="21"/>
      <c r="H237" s="21"/>
      <c r="I237" s="22"/>
      <c r="J237" s="117"/>
      <c r="K237" s="117"/>
    </row>
    <row r="238" spans="1:11" ht="14.45">
      <c r="A238" s="21"/>
      <c r="B238" s="70"/>
      <c r="C238" s="21"/>
      <c r="D238" s="21"/>
      <c r="E238" s="21"/>
      <c r="F238" s="22"/>
      <c r="G238" s="21"/>
      <c r="H238" s="21"/>
      <c r="I238" s="22"/>
      <c r="J238" s="117"/>
      <c r="K238" s="117"/>
    </row>
    <row r="239" spans="1:11" ht="14.45">
      <c r="A239" s="21"/>
      <c r="B239" s="70"/>
      <c r="C239" s="21"/>
      <c r="D239" s="21"/>
      <c r="E239" s="21"/>
      <c r="F239" s="22"/>
      <c r="G239" s="21"/>
      <c r="H239" s="21"/>
      <c r="I239" s="22"/>
      <c r="J239" s="117"/>
      <c r="K239" s="117"/>
    </row>
    <row r="240" spans="1:11" ht="14.45">
      <c r="A240" s="21"/>
      <c r="B240" s="70"/>
      <c r="C240" s="21"/>
      <c r="D240" s="21"/>
      <c r="E240" s="21"/>
      <c r="F240" s="22"/>
      <c r="G240" s="21"/>
      <c r="H240" s="21"/>
      <c r="I240" s="22"/>
      <c r="J240" s="117"/>
      <c r="K240" s="117"/>
    </row>
    <row r="241" spans="1:11" ht="14.45">
      <c r="A241" s="21"/>
      <c r="B241" s="70"/>
      <c r="C241" s="21"/>
      <c r="D241" s="21"/>
      <c r="E241" s="21"/>
      <c r="F241" s="22"/>
      <c r="G241" s="21"/>
      <c r="H241" s="21"/>
      <c r="I241" s="22"/>
      <c r="J241" s="117"/>
      <c r="K241" s="117"/>
    </row>
    <row r="242" spans="1:11" ht="14.45">
      <c r="A242" s="21"/>
      <c r="B242" s="70"/>
      <c r="C242" s="21"/>
      <c r="D242" s="21"/>
      <c r="E242" s="21"/>
      <c r="F242" s="22"/>
      <c r="G242" s="21"/>
      <c r="H242" s="21"/>
      <c r="I242" s="22"/>
      <c r="J242" s="117"/>
      <c r="K242" s="117"/>
    </row>
    <row r="243" spans="1:11" ht="14.45">
      <c r="A243" s="21"/>
      <c r="B243" s="70"/>
      <c r="C243" s="21"/>
      <c r="D243" s="21"/>
      <c r="E243" s="21"/>
      <c r="F243" s="22"/>
      <c r="G243" s="21"/>
      <c r="H243" s="21"/>
      <c r="I243" s="22"/>
      <c r="J243" s="117"/>
      <c r="K243" s="117"/>
    </row>
    <row r="244" spans="1:11" ht="14.45">
      <c r="A244" s="21"/>
      <c r="B244" s="70"/>
      <c r="C244" s="21"/>
      <c r="D244" s="21"/>
      <c r="E244" s="21"/>
      <c r="F244" s="22"/>
      <c r="G244" s="21"/>
      <c r="H244" s="21"/>
      <c r="I244" s="22"/>
      <c r="J244" s="117"/>
      <c r="K244" s="117"/>
    </row>
    <row r="245" spans="1:11" ht="14.45">
      <c r="A245" s="21"/>
      <c r="B245" s="70"/>
      <c r="C245" s="21"/>
      <c r="D245" s="21"/>
      <c r="E245" s="21"/>
      <c r="F245" s="22"/>
      <c r="G245" s="21"/>
      <c r="H245" s="21"/>
      <c r="I245" s="22"/>
      <c r="J245" s="117"/>
      <c r="K245" s="117"/>
    </row>
    <row r="246" spans="1:11" ht="14.45">
      <c r="A246" s="21"/>
      <c r="B246" s="70"/>
      <c r="C246" s="21"/>
      <c r="D246" s="21"/>
      <c r="E246" s="21"/>
      <c r="F246" s="22"/>
      <c r="G246" s="21"/>
      <c r="H246" s="21"/>
      <c r="I246" s="22"/>
      <c r="J246" s="117"/>
      <c r="K246" s="117"/>
    </row>
    <row r="247" spans="1:11" ht="14.45">
      <c r="A247" s="21"/>
      <c r="B247" s="70"/>
      <c r="C247" s="21"/>
      <c r="D247" s="21"/>
      <c r="E247" s="21"/>
      <c r="F247" s="22"/>
      <c r="G247" s="21"/>
      <c r="H247" s="21"/>
      <c r="I247" s="22"/>
      <c r="J247" s="117"/>
      <c r="K247" s="117"/>
    </row>
    <row r="248" spans="1:11" ht="14.45">
      <c r="A248" s="21"/>
      <c r="B248" s="70"/>
      <c r="C248" s="21"/>
      <c r="D248" s="21"/>
      <c r="E248" s="21"/>
      <c r="F248" s="22"/>
      <c r="G248" s="21"/>
      <c r="H248" s="21"/>
      <c r="I248" s="22"/>
      <c r="J248" s="117"/>
      <c r="K248" s="117"/>
    </row>
    <row r="249" spans="1:11" ht="14.45">
      <c r="A249" s="21"/>
      <c r="B249" s="70"/>
      <c r="C249" s="21"/>
      <c r="D249" s="21"/>
      <c r="E249" s="21"/>
      <c r="F249" s="22"/>
      <c r="G249" s="21"/>
      <c r="H249" s="21"/>
      <c r="I249" s="22"/>
      <c r="J249" s="117"/>
      <c r="K249" s="117"/>
    </row>
    <row r="250" spans="1:11" ht="14.45">
      <c r="A250" s="21"/>
      <c r="B250" s="70"/>
      <c r="C250" s="21"/>
      <c r="D250" s="21"/>
      <c r="E250" s="21"/>
      <c r="F250" s="22"/>
      <c r="G250" s="21"/>
      <c r="H250" s="21"/>
      <c r="I250" s="22"/>
      <c r="J250" s="117"/>
      <c r="K250" s="117"/>
    </row>
    <row r="251" spans="1:11" ht="14.45">
      <c r="A251" s="21"/>
      <c r="B251" s="70"/>
      <c r="C251" s="21"/>
      <c r="D251" s="21"/>
      <c r="E251" s="21"/>
      <c r="F251" s="22"/>
      <c r="G251" s="21"/>
      <c r="H251" s="21"/>
      <c r="I251" s="22"/>
      <c r="J251" s="117"/>
      <c r="K251" s="117"/>
    </row>
    <row r="252" spans="1:11" ht="14.45">
      <c r="A252" s="21"/>
      <c r="B252" s="70"/>
      <c r="C252" s="21"/>
      <c r="D252" s="21"/>
      <c r="E252" s="21"/>
      <c r="F252" s="22"/>
      <c r="G252" s="21"/>
      <c r="H252" s="21"/>
      <c r="I252" s="22"/>
      <c r="J252" s="117"/>
      <c r="K252" s="117"/>
    </row>
    <row r="253" spans="1:11" ht="14.45">
      <c r="A253" s="21"/>
      <c r="B253" s="70"/>
      <c r="C253" s="21"/>
      <c r="D253" s="21"/>
      <c r="E253" s="21"/>
      <c r="F253" s="22"/>
      <c r="G253" s="21"/>
      <c r="H253" s="21"/>
      <c r="I253" s="22"/>
      <c r="J253" s="117"/>
      <c r="K253" s="117"/>
    </row>
    <row r="254" spans="1:11" ht="14.45">
      <c r="A254" s="21"/>
      <c r="B254" s="70"/>
      <c r="C254" s="21"/>
      <c r="D254" s="21"/>
      <c r="E254" s="21"/>
      <c r="F254" s="22"/>
      <c r="G254" s="21"/>
      <c r="H254" s="21"/>
      <c r="I254" s="22"/>
      <c r="J254" s="117"/>
      <c r="K254" s="117"/>
    </row>
    <row r="255" spans="1:11" ht="14.45">
      <c r="A255" s="21"/>
      <c r="B255" s="70"/>
      <c r="C255" s="21"/>
      <c r="D255" s="21"/>
      <c r="E255" s="21"/>
      <c r="F255" s="22"/>
      <c r="G255" s="21"/>
      <c r="H255" s="21"/>
      <c r="I255" s="22"/>
      <c r="J255" s="117"/>
      <c r="K255" s="117"/>
    </row>
    <row r="256" spans="1:11" ht="14.45">
      <c r="A256" s="21"/>
      <c r="B256" s="70"/>
      <c r="C256" s="21"/>
      <c r="D256" s="21"/>
      <c r="E256" s="21"/>
      <c r="F256" s="22"/>
      <c r="G256" s="21"/>
      <c r="H256" s="21"/>
      <c r="I256" s="22"/>
      <c r="J256" s="117"/>
      <c r="K256" s="117"/>
    </row>
    <row r="257" spans="1:11" ht="14.45">
      <c r="A257" s="21"/>
      <c r="B257" s="70"/>
      <c r="C257" s="21"/>
      <c r="D257" s="21"/>
      <c r="E257" s="21"/>
      <c r="F257" s="22"/>
      <c r="G257" s="21"/>
      <c r="H257" s="21"/>
      <c r="I257" s="22"/>
      <c r="J257" s="117"/>
      <c r="K257" s="117"/>
    </row>
    <row r="258" spans="1:11" ht="14.45">
      <c r="A258" s="21"/>
      <c r="B258" s="70"/>
      <c r="C258" s="21"/>
      <c r="D258" s="21"/>
      <c r="E258" s="21"/>
      <c r="F258" s="22"/>
      <c r="G258" s="21"/>
      <c r="H258" s="21"/>
      <c r="I258" s="22"/>
      <c r="J258" s="117"/>
      <c r="K258" s="117"/>
    </row>
    <row r="259" spans="1:11" ht="14.45">
      <c r="A259" s="21"/>
      <c r="B259" s="70"/>
      <c r="C259" s="21"/>
      <c r="D259" s="21"/>
      <c r="E259" s="21"/>
      <c r="F259" s="22"/>
      <c r="G259" s="21"/>
      <c r="H259" s="21"/>
      <c r="I259" s="22"/>
      <c r="J259" s="117"/>
      <c r="K259" s="117"/>
    </row>
    <row r="260" spans="1:11" ht="14.45">
      <c r="A260" s="21"/>
      <c r="B260" s="70"/>
      <c r="C260" s="21"/>
      <c r="D260" s="21"/>
      <c r="E260" s="21"/>
      <c r="F260" s="22"/>
      <c r="G260" s="21"/>
      <c r="H260" s="21"/>
      <c r="I260" s="22"/>
      <c r="J260" s="117"/>
      <c r="K260" s="117"/>
    </row>
    <row r="261" spans="1:11" ht="14.45">
      <c r="A261" s="21"/>
      <c r="B261" s="70"/>
      <c r="C261" s="21"/>
      <c r="D261" s="21"/>
      <c r="E261" s="21"/>
      <c r="F261" s="22"/>
      <c r="G261" s="21"/>
      <c r="H261" s="21"/>
      <c r="I261" s="22"/>
      <c r="J261" s="117"/>
      <c r="K261" s="117"/>
    </row>
    <row r="262" spans="1:11" ht="14.45">
      <c r="A262" s="21"/>
      <c r="B262" s="70"/>
      <c r="C262" s="21"/>
      <c r="D262" s="21"/>
      <c r="E262" s="21"/>
      <c r="F262" s="22"/>
      <c r="G262" s="21"/>
      <c r="H262" s="21"/>
      <c r="I262" s="22"/>
      <c r="J262" s="117"/>
      <c r="K262" s="117"/>
    </row>
    <row r="263" spans="1:11" ht="14.45">
      <c r="A263" s="21"/>
      <c r="B263" s="70"/>
      <c r="C263" s="21"/>
      <c r="D263" s="21"/>
      <c r="E263" s="21"/>
      <c r="F263" s="22"/>
      <c r="G263" s="21"/>
      <c r="H263" s="21"/>
      <c r="I263" s="22"/>
      <c r="J263" s="117"/>
      <c r="K263" s="117"/>
    </row>
    <row r="264" spans="1:11" ht="14.45">
      <c r="A264" s="21"/>
      <c r="B264" s="70"/>
      <c r="C264" s="21"/>
      <c r="D264" s="21"/>
      <c r="E264" s="21"/>
      <c r="F264" s="22"/>
      <c r="G264" s="21"/>
      <c r="H264" s="21"/>
      <c r="I264" s="22"/>
      <c r="J264" s="117"/>
      <c r="K264" s="117"/>
    </row>
    <row r="265" spans="1:11" ht="14.45">
      <c r="A265" s="21"/>
      <c r="B265" s="70"/>
      <c r="C265" s="21"/>
      <c r="D265" s="21"/>
      <c r="E265" s="21"/>
      <c r="F265" s="22"/>
      <c r="G265" s="21"/>
      <c r="H265" s="21"/>
      <c r="I265" s="22"/>
      <c r="J265" s="117"/>
      <c r="K265" s="117"/>
    </row>
    <row r="266" spans="1:11" ht="14.45">
      <c r="A266" s="21"/>
      <c r="B266" s="70"/>
      <c r="C266" s="21"/>
      <c r="D266" s="21"/>
      <c r="E266" s="21"/>
      <c r="F266" s="22"/>
      <c r="G266" s="21"/>
      <c r="H266" s="21"/>
      <c r="I266" s="22"/>
      <c r="J266" s="117"/>
      <c r="K266" s="117"/>
    </row>
    <row r="267" spans="1:11" ht="14.45">
      <c r="A267" s="21"/>
      <c r="B267" s="70"/>
      <c r="C267" s="21"/>
      <c r="D267" s="21"/>
      <c r="E267" s="21"/>
      <c r="F267" s="22"/>
      <c r="G267" s="21"/>
      <c r="H267" s="21"/>
      <c r="I267" s="22"/>
      <c r="J267" s="117"/>
      <c r="K267" s="117"/>
    </row>
    <row r="268" spans="1:11" ht="14.45">
      <c r="A268" s="21"/>
      <c r="B268" s="70"/>
      <c r="C268" s="21"/>
      <c r="D268" s="21"/>
      <c r="E268" s="21"/>
      <c r="F268" s="22"/>
      <c r="G268" s="21"/>
      <c r="H268" s="21"/>
      <c r="I268" s="22"/>
      <c r="J268" s="117"/>
      <c r="K268" s="117"/>
    </row>
    <row r="269" spans="1:11" ht="14.45">
      <c r="A269" s="21"/>
      <c r="B269" s="70"/>
      <c r="C269" s="21"/>
      <c r="D269" s="21"/>
      <c r="E269" s="21"/>
      <c r="F269" s="22"/>
      <c r="G269" s="21"/>
      <c r="H269" s="21"/>
      <c r="I269" s="22"/>
      <c r="J269" s="117"/>
      <c r="K269" s="117"/>
    </row>
    <row r="270" spans="1:11" ht="14.45">
      <c r="A270" s="21"/>
      <c r="B270" s="70"/>
      <c r="C270" s="21"/>
      <c r="D270" s="21"/>
      <c r="E270" s="21"/>
      <c r="F270" s="22"/>
      <c r="G270" s="21"/>
      <c r="H270" s="21"/>
      <c r="I270" s="22"/>
      <c r="J270" s="117"/>
      <c r="K270" s="117"/>
    </row>
    <row r="271" spans="1:11" ht="14.45">
      <c r="A271" s="21"/>
      <c r="B271" s="70"/>
      <c r="C271" s="21"/>
      <c r="D271" s="21"/>
      <c r="E271" s="21"/>
      <c r="F271" s="22"/>
      <c r="G271" s="21"/>
      <c r="H271" s="21"/>
      <c r="I271" s="22"/>
      <c r="J271" s="117"/>
      <c r="K271" s="117"/>
    </row>
    <row r="272" spans="1:11" ht="14.45">
      <c r="A272" s="21"/>
      <c r="B272" s="70"/>
      <c r="C272" s="21"/>
      <c r="D272" s="21"/>
      <c r="E272" s="21"/>
      <c r="F272" s="22"/>
      <c r="G272" s="21"/>
      <c r="H272" s="21"/>
      <c r="I272" s="22"/>
      <c r="J272" s="117"/>
      <c r="K272" s="117"/>
    </row>
    <row r="273" spans="1:11" ht="14.45">
      <c r="A273" s="21"/>
      <c r="B273" s="70"/>
      <c r="C273" s="21"/>
      <c r="D273" s="21"/>
      <c r="E273" s="21"/>
      <c r="F273" s="22"/>
      <c r="G273" s="21"/>
      <c r="H273" s="21"/>
      <c r="I273" s="22"/>
      <c r="J273" s="117"/>
      <c r="K273" s="117"/>
    </row>
    <row r="274" spans="1:11" ht="14.45">
      <c r="A274" s="21"/>
      <c r="B274" s="70"/>
      <c r="C274" s="21"/>
      <c r="D274" s="21"/>
      <c r="E274" s="21"/>
      <c r="F274" s="22"/>
      <c r="G274" s="21"/>
      <c r="H274" s="21"/>
      <c r="I274" s="22"/>
      <c r="J274" s="117"/>
      <c r="K274" s="117"/>
    </row>
    <row r="275" spans="1:11" ht="14.45">
      <c r="A275" s="21"/>
      <c r="B275" s="70"/>
      <c r="C275" s="21"/>
      <c r="D275" s="21"/>
      <c r="E275" s="21"/>
      <c r="F275" s="22"/>
      <c r="G275" s="21"/>
      <c r="H275" s="21"/>
      <c r="I275" s="22"/>
      <c r="J275" s="117"/>
      <c r="K275" s="117"/>
    </row>
    <row r="276" spans="1:11" ht="14.45">
      <c r="A276" s="21"/>
      <c r="B276" s="70"/>
      <c r="C276" s="21"/>
      <c r="D276" s="21"/>
      <c r="E276" s="21"/>
      <c r="F276" s="22"/>
      <c r="G276" s="21"/>
      <c r="H276" s="21"/>
      <c r="I276" s="22"/>
      <c r="J276" s="117"/>
      <c r="K276" s="117"/>
    </row>
    <row r="277" spans="1:11" ht="14.45">
      <c r="A277" s="21"/>
      <c r="B277" s="70"/>
      <c r="C277" s="21"/>
      <c r="D277" s="21"/>
      <c r="E277" s="21"/>
      <c r="F277" s="22"/>
      <c r="G277" s="21"/>
      <c r="H277" s="21"/>
      <c r="I277" s="22"/>
      <c r="J277" s="117"/>
      <c r="K277" s="117"/>
    </row>
    <row r="278" spans="1:11" ht="14.45">
      <c r="A278" s="21"/>
      <c r="B278" s="70"/>
      <c r="C278" s="21"/>
      <c r="D278" s="21"/>
      <c r="E278" s="21"/>
      <c r="F278" s="22"/>
      <c r="G278" s="21"/>
      <c r="H278" s="21"/>
      <c r="I278" s="22"/>
      <c r="J278" s="117"/>
      <c r="K278" s="117"/>
    </row>
    <row r="279" spans="1:11" ht="14.45">
      <c r="A279" s="21"/>
      <c r="B279" s="70"/>
      <c r="C279" s="21"/>
      <c r="D279" s="21"/>
      <c r="E279" s="21"/>
      <c r="F279" s="22"/>
      <c r="G279" s="21"/>
      <c r="H279" s="21"/>
      <c r="I279" s="22"/>
      <c r="J279" s="117"/>
      <c r="K279" s="117"/>
    </row>
    <row r="280" spans="1:11" ht="14.45">
      <c r="A280" s="21"/>
      <c r="B280" s="70"/>
      <c r="C280" s="21"/>
      <c r="D280" s="21"/>
      <c r="E280" s="21"/>
      <c r="F280" s="22"/>
      <c r="G280" s="21"/>
      <c r="H280" s="21"/>
      <c r="I280" s="22"/>
      <c r="J280" s="117"/>
      <c r="K280" s="117"/>
    </row>
    <row r="281" spans="1:11" ht="14.45">
      <c r="A281" s="21"/>
      <c r="B281" s="70"/>
      <c r="C281" s="21"/>
      <c r="D281" s="21"/>
      <c r="E281" s="21"/>
      <c r="F281" s="22"/>
      <c r="G281" s="21"/>
      <c r="H281" s="21"/>
      <c r="I281" s="22"/>
      <c r="J281" s="117"/>
      <c r="K281" s="117"/>
    </row>
    <row r="282" spans="1:11" ht="14.45">
      <c r="A282" s="21"/>
      <c r="B282" s="70"/>
      <c r="C282" s="21"/>
      <c r="D282" s="21"/>
      <c r="E282" s="21"/>
      <c r="F282" s="22"/>
      <c r="G282" s="21"/>
      <c r="H282" s="21"/>
      <c r="I282" s="22"/>
      <c r="J282" s="117"/>
      <c r="K282" s="117"/>
    </row>
    <row r="283" spans="1:11" ht="14.45">
      <c r="A283" s="21"/>
      <c r="B283" s="70"/>
      <c r="C283" s="21"/>
      <c r="D283" s="21"/>
      <c r="E283" s="21"/>
      <c r="F283" s="22"/>
      <c r="G283" s="21"/>
      <c r="H283" s="21"/>
      <c r="I283" s="22"/>
      <c r="J283" s="117"/>
      <c r="K283" s="117"/>
    </row>
    <row r="284" spans="1:11" ht="14.45">
      <c r="A284" s="21"/>
      <c r="B284" s="70"/>
      <c r="C284" s="21"/>
      <c r="D284" s="21"/>
      <c r="E284" s="21"/>
      <c r="F284" s="22"/>
      <c r="G284" s="21"/>
      <c r="H284" s="21"/>
      <c r="I284" s="22"/>
      <c r="J284" s="117"/>
      <c r="K284" s="117"/>
    </row>
    <row r="285" spans="1:11" ht="14.45">
      <c r="A285" s="21"/>
      <c r="B285" s="70"/>
      <c r="C285" s="21"/>
      <c r="D285" s="21"/>
      <c r="E285" s="21"/>
      <c r="F285" s="22"/>
      <c r="G285" s="21"/>
      <c r="H285" s="21"/>
      <c r="I285" s="22"/>
      <c r="J285" s="117"/>
      <c r="K285" s="117"/>
    </row>
    <row r="286" spans="1:11" ht="14.45">
      <c r="A286" s="21"/>
      <c r="B286" s="70"/>
      <c r="C286" s="21"/>
      <c r="D286" s="21"/>
      <c r="E286" s="21"/>
      <c r="F286" s="22"/>
      <c r="G286" s="21"/>
      <c r="H286" s="21"/>
      <c r="I286" s="22"/>
      <c r="J286" s="117"/>
      <c r="K286" s="117"/>
    </row>
    <row r="287" spans="1:11" ht="14.45">
      <c r="A287" s="21"/>
      <c r="B287" s="70"/>
      <c r="C287" s="21"/>
      <c r="D287" s="21"/>
      <c r="E287" s="21"/>
      <c r="F287" s="22"/>
      <c r="G287" s="21"/>
      <c r="H287" s="21"/>
      <c r="I287" s="22"/>
      <c r="J287" s="117"/>
      <c r="K287" s="117"/>
    </row>
    <row r="288" spans="1:11" ht="14.45">
      <c r="A288" s="21"/>
      <c r="B288" s="70"/>
      <c r="C288" s="21"/>
      <c r="D288" s="21"/>
      <c r="E288" s="21"/>
      <c r="F288" s="22"/>
      <c r="G288" s="21"/>
      <c r="H288" s="21"/>
      <c r="I288" s="22"/>
      <c r="J288" s="117"/>
      <c r="K288" s="117"/>
    </row>
    <row r="289" spans="1:11" ht="14.45">
      <c r="A289" s="21"/>
      <c r="B289" s="70"/>
      <c r="C289" s="21"/>
      <c r="D289" s="21"/>
      <c r="E289" s="21"/>
      <c r="F289" s="22"/>
      <c r="G289" s="21"/>
      <c r="H289" s="21"/>
      <c r="I289" s="22"/>
      <c r="J289" s="117"/>
      <c r="K289" s="117"/>
    </row>
    <row r="290" spans="1:11" ht="14.45">
      <c r="A290" s="21"/>
      <c r="B290" s="70"/>
      <c r="C290" s="21"/>
      <c r="D290" s="21"/>
      <c r="E290" s="21"/>
      <c r="F290" s="22"/>
      <c r="G290" s="21"/>
      <c r="H290" s="21"/>
      <c r="I290" s="22"/>
      <c r="J290" s="117"/>
      <c r="K290" s="117"/>
    </row>
    <row r="291" spans="1:11" ht="14.45">
      <c r="A291" s="21"/>
      <c r="B291" s="70"/>
      <c r="C291" s="21"/>
      <c r="D291" s="21"/>
      <c r="E291" s="21"/>
      <c r="F291" s="22"/>
      <c r="G291" s="21"/>
      <c r="H291" s="21"/>
      <c r="I291" s="22"/>
      <c r="J291" s="117"/>
      <c r="K291" s="117"/>
    </row>
    <row r="292" spans="1:11" ht="14.45">
      <c r="A292" s="21"/>
      <c r="B292" s="70"/>
      <c r="C292" s="21"/>
      <c r="D292" s="21"/>
      <c r="E292" s="21"/>
      <c r="F292" s="22"/>
      <c r="G292" s="21"/>
      <c r="H292" s="21"/>
      <c r="I292" s="22"/>
      <c r="J292" s="117"/>
      <c r="K292" s="117"/>
    </row>
    <row r="293" spans="1:11" ht="14.45">
      <c r="A293" s="21"/>
      <c r="B293" s="70"/>
      <c r="C293" s="21"/>
      <c r="D293" s="21"/>
      <c r="E293" s="21"/>
      <c r="F293" s="22"/>
      <c r="G293" s="21"/>
      <c r="H293" s="21"/>
      <c r="I293" s="22"/>
      <c r="J293" s="117"/>
      <c r="K293" s="117"/>
    </row>
    <row r="294" spans="1:11" ht="14.45">
      <c r="A294" s="21"/>
      <c r="B294" s="70"/>
      <c r="C294" s="21"/>
      <c r="D294" s="21"/>
      <c r="E294" s="21"/>
      <c r="F294" s="22"/>
      <c r="G294" s="21"/>
      <c r="H294" s="21"/>
      <c r="I294" s="22"/>
      <c r="J294" s="117"/>
      <c r="K294" s="117"/>
    </row>
    <row r="295" spans="1:11" ht="14.45">
      <c r="A295" s="21"/>
      <c r="B295" s="70"/>
      <c r="C295" s="21"/>
      <c r="D295" s="21"/>
      <c r="E295" s="21"/>
      <c r="F295" s="22"/>
      <c r="G295" s="21"/>
      <c r="H295" s="21"/>
      <c r="I295" s="22"/>
      <c r="J295" s="117"/>
      <c r="K295" s="117"/>
    </row>
    <row r="296" spans="1:11" ht="14.45">
      <c r="A296" s="21"/>
      <c r="B296" s="70"/>
      <c r="C296" s="21"/>
      <c r="D296" s="21"/>
      <c r="E296" s="21"/>
      <c r="F296" s="22"/>
      <c r="G296" s="21"/>
      <c r="H296" s="21"/>
      <c r="I296" s="22"/>
      <c r="J296" s="117"/>
      <c r="K296" s="117"/>
    </row>
    <row r="297" spans="1:11" ht="14.45">
      <c r="A297" s="21"/>
      <c r="B297" s="70"/>
      <c r="C297" s="21"/>
      <c r="D297" s="21"/>
      <c r="E297" s="21"/>
      <c r="F297" s="22"/>
      <c r="G297" s="21"/>
      <c r="H297" s="21"/>
      <c r="I297" s="22"/>
      <c r="J297" s="117"/>
      <c r="K297" s="117"/>
    </row>
    <row r="298" spans="1:11" ht="14.45">
      <c r="A298" s="21"/>
      <c r="B298" s="70"/>
      <c r="C298" s="21"/>
      <c r="D298" s="21"/>
      <c r="E298" s="21"/>
      <c r="F298" s="22"/>
      <c r="G298" s="21"/>
      <c r="H298" s="21"/>
      <c r="I298" s="22"/>
      <c r="J298" s="117"/>
      <c r="K298" s="117"/>
    </row>
    <row r="299" spans="1:11" ht="14.45">
      <c r="A299" s="21"/>
      <c r="B299" s="70"/>
      <c r="C299" s="21"/>
      <c r="D299" s="21"/>
      <c r="E299" s="21"/>
      <c r="F299" s="22"/>
      <c r="G299" s="21"/>
      <c r="H299" s="21"/>
      <c r="I299" s="22"/>
      <c r="J299" s="117"/>
      <c r="K299" s="117"/>
    </row>
    <row r="300" spans="1:11" ht="14.45">
      <c r="A300" s="21"/>
      <c r="B300" s="70"/>
      <c r="C300" s="21"/>
      <c r="D300" s="21"/>
      <c r="E300" s="21"/>
      <c r="F300" s="22"/>
      <c r="G300" s="21"/>
      <c r="H300" s="21"/>
      <c r="I300" s="22"/>
      <c r="J300" s="117"/>
      <c r="K300" s="117"/>
    </row>
    <row r="301" spans="1:11" ht="14.45">
      <c r="A301" s="21"/>
      <c r="B301" s="70"/>
      <c r="C301" s="21"/>
      <c r="D301" s="21"/>
      <c r="E301" s="21"/>
      <c r="F301" s="22"/>
      <c r="G301" s="21"/>
      <c r="H301" s="21"/>
      <c r="I301" s="22"/>
      <c r="J301" s="117"/>
      <c r="K301" s="117"/>
    </row>
    <row r="302" spans="1:11" ht="14.45">
      <c r="A302" s="21"/>
      <c r="B302" s="70"/>
      <c r="C302" s="21"/>
      <c r="D302" s="21"/>
      <c r="E302" s="21"/>
      <c r="F302" s="22"/>
      <c r="G302" s="21"/>
      <c r="H302" s="21"/>
      <c r="I302" s="22"/>
      <c r="J302" s="117"/>
      <c r="K302" s="117"/>
    </row>
    <row r="303" spans="1:11" ht="14.45">
      <c r="A303" s="21"/>
      <c r="B303" s="70"/>
      <c r="C303" s="21"/>
      <c r="D303" s="21"/>
      <c r="E303" s="21"/>
      <c r="F303" s="22"/>
      <c r="G303" s="21"/>
      <c r="H303" s="21"/>
      <c r="I303" s="22"/>
      <c r="J303" s="117"/>
      <c r="K303" s="117"/>
    </row>
    <row r="304" spans="1:11" ht="14.45">
      <c r="A304" s="21"/>
      <c r="B304" s="70"/>
      <c r="C304" s="21"/>
      <c r="D304" s="21"/>
      <c r="E304" s="21"/>
      <c r="F304" s="22"/>
      <c r="G304" s="21"/>
      <c r="H304" s="21"/>
      <c r="I304" s="22"/>
      <c r="J304" s="117"/>
      <c r="K304" s="117"/>
    </row>
    <row r="305" spans="1:11" ht="14.45">
      <c r="A305" s="21"/>
      <c r="B305" s="70"/>
      <c r="C305" s="21"/>
      <c r="D305" s="21"/>
      <c r="E305" s="21"/>
      <c r="F305" s="22"/>
      <c r="G305" s="21"/>
      <c r="H305" s="21"/>
      <c r="I305" s="22"/>
      <c r="J305" s="117"/>
      <c r="K305" s="117"/>
    </row>
    <row r="306" spans="1:11" ht="14.45">
      <c r="A306" s="21"/>
      <c r="B306" s="70"/>
      <c r="C306" s="21"/>
      <c r="D306" s="21"/>
      <c r="E306" s="21"/>
      <c r="F306" s="22"/>
      <c r="G306" s="21"/>
      <c r="H306" s="21"/>
      <c r="I306" s="22"/>
      <c r="J306" s="117"/>
      <c r="K306" s="117"/>
    </row>
    <row r="307" spans="1:11" ht="14.45">
      <c r="A307" s="21"/>
      <c r="B307" s="70"/>
      <c r="C307" s="21"/>
      <c r="D307" s="21"/>
      <c r="E307" s="21"/>
      <c r="F307" s="22"/>
      <c r="G307" s="21"/>
      <c r="H307" s="21"/>
      <c r="I307" s="22"/>
      <c r="J307" s="117"/>
      <c r="K307" s="117"/>
    </row>
    <row r="308" spans="1:11" ht="14.45">
      <c r="A308" s="21"/>
      <c r="B308" s="70"/>
      <c r="C308" s="21"/>
      <c r="D308" s="21"/>
      <c r="E308" s="21"/>
      <c r="F308" s="22"/>
      <c r="G308" s="21"/>
      <c r="H308" s="21"/>
      <c r="I308" s="22"/>
      <c r="J308" s="117"/>
      <c r="K308" s="117"/>
    </row>
    <row r="309" spans="1:11" ht="14.45">
      <c r="A309" s="21"/>
      <c r="B309" s="70"/>
      <c r="C309" s="21"/>
      <c r="D309" s="21"/>
      <c r="E309" s="21"/>
      <c r="F309" s="22"/>
      <c r="G309" s="21"/>
      <c r="H309" s="21"/>
      <c r="I309" s="22"/>
      <c r="J309" s="117"/>
      <c r="K309" s="117"/>
    </row>
    <row r="310" spans="1:11" ht="14.45">
      <c r="A310" s="21"/>
      <c r="B310" s="70"/>
      <c r="C310" s="21"/>
      <c r="D310" s="21"/>
      <c r="E310" s="21"/>
      <c r="F310" s="22"/>
      <c r="G310" s="21"/>
      <c r="H310" s="21"/>
      <c r="I310" s="22"/>
      <c r="J310" s="117"/>
      <c r="K310" s="117"/>
    </row>
    <row r="311" spans="1:11" ht="14.45">
      <c r="A311" s="21"/>
      <c r="B311" s="70"/>
      <c r="C311" s="21"/>
      <c r="D311" s="21"/>
      <c r="E311" s="21"/>
      <c r="F311" s="22"/>
      <c r="G311" s="21"/>
      <c r="H311" s="21"/>
      <c r="I311" s="22"/>
      <c r="J311" s="117"/>
      <c r="K311" s="117"/>
    </row>
    <row r="312" spans="1:11" ht="14.45">
      <c r="A312" s="21"/>
      <c r="B312" s="70"/>
      <c r="C312" s="21"/>
      <c r="D312" s="21"/>
      <c r="E312" s="21"/>
      <c r="F312" s="22"/>
      <c r="G312" s="21"/>
      <c r="H312" s="21"/>
      <c r="I312" s="22"/>
      <c r="J312" s="117"/>
      <c r="K312" s="117"/>
    </row>
    <row r="313" spans="1:11" ht="14.45">
      <c r="A313" s="21"/>
      <c r="B313" s="70"/>
      <c r="C313" s="21"/>
      <c r="D313" s="21"/>
      <c r="E313" s="21"/>
      <c r="F313" s="22"/>
      <c r="G313" s="21"/>
      <c r="H313" s="21"/>
      <c r="I313" s="22"/>
      <c r="J313" s="117"/>
      <c r="K313" s="117"/>
    </row>
    <row r="314" spans="1:11" ht="14.45">
      <c r="A314" s="21"/>
      <c r="B314" s="70"/>
      <c r="C314" s="21"/>
      <c r="D314" s="21"/>
      <c r="E314" s="21"/>
      <c r="F314" s="22"/>
      <c r="G314" s="21"/>
      <c r="H314" s="21"/>
      <c r="I314" s="22"/>
      <c r="J314" s="117"/>
      <c r="K314" s="117"/>
    </row>
    <row r="315" spans="1:11" ht="14.45">
      <c r="A315" s="21"/>
      <c r="B315" s="70"/>
      <c r="C315" s="21"/>
      <c r="D315" s="21"/>
      <c r="E315" s="21"/>
      <c r="F315" s="22"/>
      <c r="G315" s="21"/>
      <c r="H315" s="21"/>
      <c r="I315" s="22"/>
      <c r="J315" s="117"/>
      <c r="K315" s="117"/>
    </row>
    <row r="316" spans="1:11" ht="14.45">
      <c r="A316" s="21"/>
      <c r="B316" s="70"/>
      <c r="C316" s="21"/>
      <c r="D316" s="21"/>
      <c r="E316" s="21"/>
      <c r="F316" s="22"/>
      <c r="G316" s="21"/>
      <c r="H316" s="21"/>
      <c r="I316" s="22"/>
      <c r="J316" s="117"/>
      <c r="K316" s="117"/>
    </row>
    <row r="317" spans="1:11" ht="14.45">
      <c r="A317" s="21"/>
      <c r="B317" s="70"/>
      <c r="C317" s="21"/>
      <c r="D317" s="21"/>
      <c r="E317" s="21"/>
      <c r="F317" s="22"/>
      <c r="G317" s="21"/>
      <c r="H317" s="21"/>
      <c r="I317" s="22"/>
      <c r="J317" s="117"/>
      <c r="K317" s="117"/>
    </row>
    <row r="318" spans="1:11" ht="14.45">
      <c r="A318" s="21"/>
      <c r="B318" s="70"/>
      <c r="C318" s="21"/>
      <c r="D318" s="21"/>
      <c r="E318" s="21"/>
      <c r="F318" s="22"/>
      <c r="G318" s="21"/>
      <c r="H318" s="21"/>
      <c r="I318" s="22"/>
      <c r="J318" s="117"/>
      <c r="K318" s="117"/>
    </row>
    <row r="319" spans="1:11" ht="14.45">
      <c r="A319" s="21"/>
      <c r="B319" s="70"/>
      <c r="C319" s="21"/>
      <c r="D319" s="21"/>
      <c r="E319" s="21"/>
      <c r="F319" s="22"/>
      <c r="G319" s="21"/>
      <c r="H319" s="21"/>
      <c r="I319" s="22"/>
      <c r="J319" s="117"/>
      <c r="K319" s="117"/>
    </row>
    <row r="320" spans="1:11" ht="14.45">
      <c r="A320" s="21"/>
      <c r="B320" s="70"/>
      <c r="C320" s="21"/>
      <c r="D320" s="21"/>
      <c r="E320" s="21"/>
      <c r="F320" s="22"/>
      <c r="G320" s="21"/>
      <c r="H320" s="21"/>
      <c r="I320" s="22"/>
      <c r="J320" s="117"/>
      <c r="K320" s="117"/>
    </row>
    <row r="321" spans="1:11" ht="14.45">
      <c r="A321" s="21"/>
      <c r="B321" s="70"/>
      <c r="C321" s="21"/>
      <c r="D321" s="21"/>
      <c r="E321" s="21"/>
      <c r="F321" s="22"/>
      <c r="G321" s="21"/>
      <c r="H321" s="21"/>
      <c r="I321" s="22"/>
      <c r="J321" s="117"/>
      <c r="K321" s="117"/>
    </row>
    <row r="322" spans="1:11" ht="14.45">
      <c r="A322" s="21"/>
      <c r="B322" s="70"/>
      <c r="C322" s="21"/>
      <c r="D322" s="21"/>
      <c r="E322" s="21"/>
      <c r="F322" s="22"/>
      <c r="G322" s="21"/>
      <c r="H322" s="21"/>
      <c r="I322" s="22"/>
      <c r="J322" s="117"/>
      <c r="K322" s="117"/>
    </row>
    <row r="323" spans="1:11" ht="14.45">
      <c r="A323" s="21"/>
      <c r="B323" s="70"/>
      <c r="C323" s="21"/>
      <c r="D323" s="21"/>
      <c r="E323" s="21"/>
      <c r="F323" s="22"/>
      <c r="G323" s="21"/>
      <c r="H323" s="21"/>
      <c r="I323" s="22"/>
      <c r="J323" s="117"/>
      <c r="K323" s="117"/>
    </row>
    <row r="324" spans="1:11" ht="14.45">
      <c r="A324" s="21"/>
      <c r="B324" s="70"/>
      <c r="C324" s="21"/>
      <c r="D324" s="21"/>
      <c r="E324" s="21"/>
      <c r="F324" s="22"/>
      <c r="G324" s="21"/>
      <c r="H324" s="21"/>
      <c r="I324" s="22"/>
      <c r="J324" s="117"/>
      <c r="K324" s="117"/>
    </row>
    <row r="325" spans="1:11" ht="14.45">
      <c r="A325" s="21"/>
      <c r="B325" s="70"/>
      <c r="C325" s="21"/>
      <c r="D325" s="21"/>
      <c r="E325" s="21"/>
      <c r="F325" s="22"/>
      <c r="G325" s="21"/>
      <c r="H325" s="21"/>
      <c r="I325" s="22"/>
      <c r="J325" s="117"/>
      <c r="K325" s="117"/>
    </row>
    <row r="326" spans="1:11" ht="14.45">
      <c r="A326" s="21"/>
      <c r="B326" s="70"/>
      <c r="C326" s="21"/>
      <c r="D326" s="21"/>
      <c r="E326" s="21"/>
      <c r="F326" s="22"/>
      <c r="G326" s="21"/>
      <c r="H326" s="21"/>
      <c r="I326" s="22"/>
      <c r="J326" s="117"/>
      <c r="K326" s="117"/>
    </row>
    <row r="327" spans="1:11" ht="14.45">
      <c r="A327" s="21"/>
      <c r="B327" s="70"/>
      <c r="C327" s="21"/>
      <c r="D327" s="21"/>
      <c r="E327" s="21"/>
      <c r="F327" s="22"/>
      <c r="G327" s="21"/>
      <c r="H327" s="21"/>
      <c r="I327" s="22"/>
      <c r="J327" s="117"/>
      <c r="K327" s="117"/>
    </row>
    <row r="328" spans="1:11" ht="14.45">
      <c r="A328" s="21"/>
      <c r="B328" s="70"/>
      <c r="C328" s="21"/>
      <c r="D328" s="21"/>
      <c r="E328" s="21"/>
      <c r="F328" s="22"/>
      <c r="G328" s="21"/>
      <c r="H328" s="21"/>
      <c r="I328" s="22"/>
      <c r="J328" s="117"/>
      <c r="K328" s="117"/>
    </row>
    <row r="329" spans="1:11" ht="14.45">
      <c r="A329" s="21"/>
      <c r="B329" s="70"/>
      <c r="C329" s="21"/>
      <c r="D329" s="21"/>
      <c r="E329" s="21"/>
      <c r="F329" s="22"/>
      <c r="G329" s="21"/>
      <c r="H329" s="21"/>
      <c r="I329" s="22"/>
      <c r="J329" s="117"/>
      <c r="K329" s="117"/>
    </row>
    <row r="330" spans="1:11" ht="14.45">
      <c r="A330" s="21"/>
      <c r="B330" s="70"/>
      <c r="C330" s="21"/>
      <c r="D330" s="21"/>
      <c r="E330" s="21"/>
      <c r="F330" s="22"/>
      <c r="G330" s="21"/>
      <c r="H330" s="21"/>
      <c r="I330" s="22"/>
      <c r="J330" s="117"/>
      <c r="K330" s="117"/>
    </row>
    <row r="331" spans="1:11" ht="14.45">
      <c r="A331" s="21"/>
      <c r="B331" s="70"/>
      <c r="C331" s="21"/>
      <c r="D331" s="21"/>
      <c r="E331" s="21"/>
      <c r="F331" s="22"/>
      <c r="G331" s="21"/>
      <c r="H331" s="21"/>
      <c r="I331" s="22"/>
      <c r="J331" s="117"/>
      <c r="K331" s="117"/>
    </row>
    <row r="332" spans="1:11" ht="14.45">
      <c r="A332" s="21"/>
      <c r="B332" s="70"/>
      <c r="C332" s="21"/>
      <c r="D332" s="21"/>
      <c r="E332" s="21"/>
      <c r="F332" s="22"/>
      <c r="G332" s="21"/>
      <c r="H332" s="21"/>
      <c r="I332" s="22"/>
      <c r="J332" s="117"/>
      <c r="K332" s="117"/>
    </row>
    <row r="333" spans="1:11" ht="14.45">
      <c r="A333" s="21"/>
      <c r="B333" s="70"/>
      <c r="C333" s="21"/>
      <c r="D333" s="21"/>
      <c r="E333" s="21"/>
      <c r="F333" s="22"/>
      <c r="G333" s="21"/>
      <c r="H333" s="21"/>
      <c r="I333" s="22"/>
      <c r="J333" s="117"/>
      <c r="K333" s="117"/>
    </row>
    <row r="334" spans="1:11" ht="14.45">
      <c r="A334" s="21"/>
      <c r="B334" s="70"/>
      <c r="C334" s="21"/>
      <c r="D334" s="21"/>
      <c r="E334" s="21"/>
      <c r="F334" s="22"/>
      <c r="G334" s="21"/>
      <c r="H334" s="21"/>
      <c r="I334" s="22"/>
      <c r="J334" s="117"/>
      <c r="K334" s="117"/>
    </row>
    <row r="335" spans="1:11" ht="14.45">
      <c r="A335" s="21"/>
      <c r="B335" s="70"/>
      <c r="C335" s="21"/>
      <c r="D335" s="21"/>
      <c r="E335" s="21"/>
      <c r="F335" s="22"/>
      <c r="G335" s="21"/>
      <c r="H335" s="21"/>
      <c r="I335" s="22"/>
      <c r="J335" s="117"/>
      <c r="K335" s="117"/>
    </row>
    <row r="336" spans="1:11" ht="14.45">
      <c r="A336" s="21"/>
      <c r="B336" s="70"/>
      <c r="C336" s="21"/>
      <c r="D336" s="21"/>
      <c r="E336" s="21"/>
      <c r="F336" s="22"/>
      <c r="G336" s="21"/>
      <c r="H336" s="21"/>
      <c r="I336" s="22"/>
      <c r="J336" s="117"/>
      <c r="K336" s="117"/>
    </row>
    <row r="337" spans="1:11" ht="14.45">
      <c r="A337" s="21"/>
      <c r="B337" s="70"/>
      <c r="C337" s="21"/>
      <c r="D337" s="21"/>
      <c r="E337" s="21"/>
      <c r="F337" s="22"/>
      <c r="G337" s="21"/>
      <c r="H337" s="21"/>
      <c r="I337" s="22"/>
      <c r="J337" s="117"/>
      <c r="K337" s="117"/>
    </row>
    <row r="338" spans="1:11" ht="14.45">
      <c r="A338" s="21"/>
      <c r="B338" s="70"/>
      <c r="C338" s="21"/>
      <c r="D338" s="21"/>
      <c r="E338" s="21"/>
      <c r="F338" s="22"/>
      <c r="G338" s="21"/>
      <c r="H338" s="21"/>
      <c r="I338" s="22"/>
      <c r="J338" s="117"/>
      <c r="K338" s="117"/>
    </row>
    <row r="339" spans="1:11" ht="14.45">
      <c r="A339" s="21"/>
      <c r="B339" s="70"/>
      <c r="C339" s="21"/>
      <c r="D339" s="21"/>
      <c r="E339" s="21"/>
      <c r="F339" s="22"/>
      <c r="G339" s="21"/>
      <c r="H339" s="21"/>
      <c r="I339" s="22"/>
      <c r="J339" s="117"/>
      <c r="K339" s="117"/>
    </row>
    <row r="340" spans="1:11" ht="14.45">
      <c r="A340" s="21"/>
      <c r="B340" s="70"/>
      <c r="C340" s="21"/>
      <c r="D340" s="21"/>
      <c r="E340" s="21"/>
      <c r="F340" s="22"/>
      <c r="G340" s="21"/>
      <c r="H340" s="21"/>
      <c r="I340" s="22"/>
      <c r="J340" s="117"/>
      <c r="K340" s="117"/>
    </row>
    <row r="341" spans="1:11" ht="14.45">
      <c r="A341" s="21"/>
      <c r="B341" s="70"/>
      <c r="C341" s="21"/>
      <c r="D341" s="21"/>
      <c r="E341" s="21"/>
      <c r="F341" s="22"/>
      <c r="G341" s="21"/>
      <c r="H341" s="21"/>
      <c r="I341" s="22"/>
      <c r="J341" s="117"/>
      <c r="K341" s="117"/>
    </row>
    <row r="342" spans="1:11" ht="14.45">
      <c r="C342" s="21"/>
      <c r="D342" s="21"/>
      <c r="E342" s="21"/>
      <c r="F342" s="22"/>
      <c r="G342" s="21"/>
      <c r="H342" s="21"/>
      <c r="I342" s="22"/>
      <c r="J342" s="117"/>
      <c r="K342" s="117"/>
    </row>
  </sheetData>
  <mergeCells count="4">
    <mergeCell ref="G1:I1"/>
    <mergeCell ref="A1:C1"/>
    <mergeCell ref="D1:F1"/>
    <mergeCell ref="A2:B2"/>
  </mergeCells>
  <conditionalFormatting sqref="F2 I2">
    <cfRule type="cellIs" dxfId="28" priority="5" stopIfTrue="1" operator="lessThanOrEqual">
      <formula>-0.1</formula>
    </cfRule>
    <cfRule type="expression" dxfId="27" priority="6">
      <formula>AND(ISNUMBER(F2), F2&gt;=0.1)</formula>
    </cfRule>
  </conditionalFormatting>
  <conditionalFormatting sqref="F4:F100">
    <cfRule type="cellIs" dxfId="26" priority="3" stopIfTrue="1" operator="lessThanOrEqual">
      <formula>-0.1</formula>
    </cfRule>
    <cfRule type="expression" dxfId="25" priority="4">
      <formula>AND(ISNUMBER(F4), F4&gt;=0.1)</formula>
    </cfRule>
  </conditionalFormatting>
  <conditionalFormatting sqref="I4:I100">
    <cfRule type="cellIs" dxfId="24" priority="1" stopIfTrue="1" operator="lessThanOrEqual">
      <formula>-0.1</formula>
    </cfRule>
    <cfRule type="expression" dxfId="23" priority="2">
      <formula>AND(ISNUMBER(I4), I4&gt;=0.1)</formula>
    </cfRule>
  </conditionalFormatting>
  <hyperlinks>
    <hyperlink ref="K58" r:id="rId1" display="https://us3.assetplanner.com/service_request?ID=098183" xr:uid="{0901F233-2A7B-42F7-A775-E1D06A2D7468}"/>
    <hyperlink ref="K55" r:id="rId2" display="https://us3.assetplanner.com/service_request?ID=102897" xr:uid="{D230B6E1-61E4-4CF5-A0F8-A5D175A87DB1}"/>
    <hyperlink ref="K50" r:id="rId3" display="https://us3.assetplanner.com/service_request?ID=094234" xr:uid="{6FF8222D-2D39-4A01-BCAA-1DE730C3B643}"/>
    <hyperlink ref="K6" r:id="rId4" display="https://us3.assetplanner.com/service_request?ID=098590" xr:uid="{850E99F5-56DA-47AA-990C-1B6F8043F954}"/>
    <hyperlink ref="K8" r:id="rId5" display="https://us3.assetplanner.com/service_request?ID=105534" xr:uid="{04C4B57C-988F-4D2F-AA52-412EC0187FE2}"/>
    <hyperlink ref="L8" r:id="rId6" display="https://us3.assetplanner.com/service_request?ID=105560" xr:uid="{CC81F030-5113-452B-A7CC-4763C5F46937}"/>
    <hyperlink ref="M8" r:id="rId7" display="https://us3.assetplanner.com/service_request?ID=105651" xr:uid="{5417192F-4FF4-4282-A212-7FDA8BC5DB7A}"/>
    <hyperlink ref="N8" r:id="rId8" display="https://us3.assetplanner.com/service_request?ID=106870" xr:uid="{637A0AD0-874E-4A3E-8D08-FA696FC10FEE}"/>
    <hyperlink ref="K10" r:id="rId9" display="https://us3.assetplanner.com/service_request?ID=102467" xr:uid="{F567B243-2515-4EEA-B998-F183F164FD22}"/>
    <hyperlink ref="L10" r:id="rId10" display="https://us3.assetplanner.com/service_request?ID=102277" xr:uid="{E217E511-BE9B-41B4-8F02-C41CDACB5996}"/>
    <hyperlink ref="K11" r:id="rId11" display="https://us3.assetplanner.com/service_request?ID=107561" xr:uid="{7AEA39B1-634A-49B8-836A-54F58C4237D1}"/>
    <hyperlink ref="K12" r:id="rId12" display="https://us3.assetplanner.com/service_request?ID=107924" xr:uid="{326D7B53-08BB-4D6A-B81A-2F070C8823AE}"/>
    <hyperlink ref="L12" r:id="rId13" display="https://us3.assetplanner.com/service_request?ID=107229" xr:uid="{5073D541-A529-4ED7-A7E7-237A4733010B}"/>
    <hyperlink ref="K13" r:id="rId14" display="https://us3.assetplanner.com/service_request?ID=103142" xr:uid="{E042608D-63AB-4E25-83D7-4778C8B548BE}"/>
    <hyperlink ref="K14" r:id="rId15" display="https://us3.assetplanner.com/service_request?ID=107455" xr:uid="{F77E8817-489C-467D-BBBA-88495ABF7571}"/>
    <hyperlink ref="K17" r:id="rId16" display="https://us3.assetplanner.com/service_request?ID=103499" xr:uid="{AEB77464-B606-429D-ADB5-C3DF8C354603}"/>
    <hyperlink ref="K19" r:id="rId17" display="https://us3.assetplanner.com/service_request?ID=107460" xr:uid="{933E44A6-6503-42F5-84B8-4201FAD3FC4B}"/>
    <hyperlink ref="K20" r:id="rId18" display="https://us3.assetplanner.com/service_request?ID=106427" xr:uid="{EE256B13-2AE1-4A6A-9B9B-FCA29C79C01B}"/>
    <hyperlink ref="K21" r:id="rId19" display="https://us3.assetplanner.com/service_request?ID=084948" xr:uid="{B035E1F5-0490-4B06-857D-41D1C48B2174}"/>
    <hyperlink ref="K23" r:id="rId20" display="https://us3.assetplanner.com/service_request?ID=102013" xr:uid="{90282F69-2D22-4FF8-8D66-3A89673D0365}"/>
    <hyperlink ref="L23" r:id="rId21" display="https://us3.assetplanner.com/service_request?ID=095623" xr:uid="{25A20EBF-F4C2-40B8-A636-30F700FC979D}"/>
    <hyperlink ref="K27" r:id="rId22" display="https://us3.assetplanner.com/service_request?ID=107638" xr:uid="{B3F99B27-1A17-4922-8D07-56982952E883}"/>
    <hyperlink ref="K29" r:id="rId23" display="https://us3.assetplanner.com/service_request?ID=108134" xr:uid="{B0CC0052-DC6F-4603-9198-790082412CCD}"/>
    <hyperlink ref="K31" r:id="rId24" display="https://us3.assetplanner.com/service_request?ID=107861" xr:uid="{A21102FF-D289-4E6F-B328-F74295F55341}"/>
    <hyperlink ref="K34" r:id="rId25" display="https://us3.assetplanner.com/service_request?ID=108136" xr:uid="{927A865F-FBAC-4860-B0C4-2F7FCD18DCCB}"/>
    <hyperlink ref="K35" r:id="rId26" display="https://us3.assetplanner.com/service_request?ID=107266" xr:uid="{82A78F08-C76C-4C8D-A00B-028D4851DEEA}"/>
    <hyperlink ref="K37" r:id="rId27" display="https://us3.assetplanner.com/service_request?ID=094440" xr:uid="{D986E15E-D602-4850-8004-BCBFE9DAD0EB}"/>
    <hyperlink ref="L37" r:id="rId28" display="https://us3.assetplanner.com/service_request?ID=106741" xr:uid="{AB8AF93C-E156-46B5-8964-74B9ECD84A6C}"/>
    <hyperlink ref="K38" r:id="rId29" display="https://us3.assetplanner.com/service_request?ID=095163" xr:uid="{B108F3E5-A7C4-4146-BE09-070586DFF8F3}"/>
    <hyperlink ref="L38" r:id="rId30" display="https://us3.assetplanner.com/service_request?ID=107533" xr:uid="{866F78F0-C523-4C4C-B573-7EB0884E10D0}"/>
    <hyperlink ref="K40" r:id="rId31" display="https://us3.assetplanner.com/service_request?ID=105065" xr:uid="{16A3A874-1790-4ED3-A4B6-AEFF99CB9B93}"/>
    <hyperlink ref="L40" r:id="rId32" display="https://us3.assetplanner.com/service_request?ID=105063" xr:uid="{FD7CB2B0-8F70-4E55-9E30-AE4CF7FFBE70}"/>
    <hyperlink ref="K41" r:id="rId33" display="https://us3.assetplanner.com/service_request?ID=104640" xr:uid="{4816B8C9-04AB-4EE3-B022-5A88E3949DDD}"/>
    <hyperlink ref="L41" r:id="rId34" display="https://us3.assetplanner.com/service_request?ID=106181" xr:uid="{1BA1A61C-02CC-4C69-97D9-5CD5A60CE9CD}"/>
    <hyperlink ref="M41" r:id="rId35" display="https://us3.assetplanner.com/service_request?ID=092753" xr:uid="{FCBCB47C-4C38-45AC-AB46-82A4CC6CBA7D}"/>
    <hyperlink ref="K43" r:id="rId36" display="https://us3.assetplanner.com/service_request?ID=104027" xr:uid="{7995ECC6-540D-464F-8CEE-21A718422CC9}"/>
    <hyperlink ref="L43" r:id="rId37" display="https://us3.assetplanner.com/service_request?ID=102346" xr:uid="{26F27764-7AED-49AA-8867-304904830884}"/>
    <hyperlink ref="M43" r:id="rId38" display="https://us3.assetplanner.com/service_request?ID=103159" xr:uid="{CB524A79-AECE-48C9-9EE1-BF4875DAA8B3}"/>
    <hyperlink ref="N43" r:id="rId39" display="https://us3.assetplanner.com/service_request?ID=105161" xr:uid="{6734C874-CA60-4D9C-A1A6-38EB02C36A2C}"/>
    <hyperlink ref="O43" r:id="rId40" display="https://us3.assetplanner.com/service_request?ID=105162" xr:uid="{7D294D9C-3D3C-42BD-AB6A-66FB08CB0A3E}"/>
    <hyperlink ref="P43" r:id="rId41" display="https://us3.assetplanner.com/service_request?ID=090375" xr:uid="{D4311713-ADCC-4C69-A59B-4D6C7DF2E527}"/>
    <hyperlink ref="Q43" r:id="rId42" display="https://us3.assetplanner.com/service_request?ID=105124" xr:uid="{1EFF3330-6FD9-440E-B5C7-96DF4D33D226}"/>
    <hyperlink ref="R43" r:id="rId43" display="https://us3.assetplanner.com/service_request?ID=089461" xr:uid="{70E9B9C1-A83E-4756-BF00-F297A32C7970}"/>
    <hyperlink ref="S43" r:id="rId44" display="https://us3.assetplanner.com/service_request?ID=105124" xr:uid="{09AEECC0-E9A3-42A0-B667-A5BE3DFB97D3}"/>
    <hyperlink ref="T43" r:id="rId45" display="https://us3.assetplanner.com/service_request?ID=101136" xr:uid="{9F461D98-B994-4370-9CB1-F9CB15861098}"/>
    <hyperlink ref="K44" r:id="rId46" display="https://us3.assetplanner.com/service_request?ID=104333" xr:uid="{4B458DBC-67CF-4C16-90BA-DDA1DB75FDA2}"/>
    <hyperlink ref="L44" r:id="rId47" display="https://us3.assetplanner.com/service_request?ID=092276" xr:uid="{160A7239-9703-4E95-8CA3-3DAB9C0EDAB4}"/>
    <hyperlink ref="M44" r:id="rId48" display="https://us3.assetplanner.com/service_request?ID=107910" xr:uid="{CF9A516B-0872-4FE7-A662-A803E49921B5}"/>
    <hyperlink ref="K45" r:id="rId49" display="https://us3.assetplanner.com/service_request?ID=101137" xr:uid="{5CBE4A78-96C5-4A37-AFB8-09151427F358}"/>
    <hyperlink ref="L45" r:id="rId50" display="https://us3.assetplanner.com/service_request?ID=104917" xr:uid="{F088DDA5-878A-48FB-BBA6-95C4A72915E3}"/>
    <hyperlink ref="M45" r:id="rId51" display="https://us3.assetplanner.com/service_request?ID=107974" xr:uid="{DF102C3E-C74D-4D6E-AE07-BDBF4EC35009}"/>
    <hyperlink ref="K47" r:id="rId52" display="https://us3.assetplanner.com/service_request?ID=105133" xr:uid="{C2564028-62C4-458A-952C-10E7DA8B7460}"/>
    <hyperlink ref="L47" r:id="rId53" display="https://us3.assetplanner.com/service_request?ID=089612" xr:uid="{0D253264-9DD7-40AE-AB3F-52E884FB8351}"/>
    <hyperlink ref="M47" r:id="rId54" display="https://us3.assetplanner.com/service_request?ID=095385" xr:uid="{D6219F5B-7A97-446C-9B45-C1589EC8E764}"/>
    <hyperlink ref="N47" r:id="rId55" display="https://us3.assetplanner.com/service_request?ID=102060" xr:uid="{FB7F7737-86F1-4C47-BD48-E3D45B8E03B5}"/>
    <hyperlink ref="O47" r:id="rId56" display="https://us3.assetplanner.com/service_request?ID=108327" xr:uid="{2B1F6169-E587-4812-9602-D7C9AF278AF3}"/>
    <hyperlink ref="K48" r:id="rId57" display="https://us3.assetplanner.com/service_request?ID=108500" xr:uid="{AC62EC3A-CA4B-42DD-97BB-947CF6B30A0E}"/>
    <hyperlink ref="L48" r:id="rId58" display="https://us3.assetplanner.com/service_request?ID=108289" xr:uid="{20574E04-9788-459E-B3AE-019A2A7EDEB6}"/>
    <hyperlink ref="M48" r:id="rId59" display="https://us3.assetplanner.com/service_request?ID=106577" xr:uid="{71898E8E-B30D-4FA1-BC56-26EBA552ED8E}"/>
    <hyperlink ref="K49" r:id="rId60" display="https://us3.assetplanner.com/service_request?ID=098397" xr:uid="{ADE7F4DB-1B0E-4809-AA49-C156D49884B9}"/>
    <hyperlink ref="L49" r:id="rId61" display="https://us3.assetplanner.com/service_request?ID=107891" xr:uid="{FBF5493D-E9AD-47FC-B20B-41E5D80E2E7D}"/>
    <hyperlink ref="L50" r:id="rId62" display="https://us3.assetplanner.com/service_request?ID=104249" xr:uid="{7E160F7A-A937-4580-B36B-2523BEB4AAD7}"/>
    <hyperlink ref="M50" r:id="rId63" display="https://us3.assetplanner.com/service_request?ID=105086" xr:uid="{32D2CF5D-6741-4808-981B-032E147C9FB6}"/>
    <hyperlink ref="K51" r:id="rId64" display="https://us3.assetplanner.com/service_request?ID=105759" xr:uid="{A5565794-F008-488F-8221-B06450F39D68}"/>
    <hyperlink ref="L51" r:id="rId65" display="https://us3.assetplanner.com/service_request?ID=108487" xr:uid="{BE9C1C70-E574-4D19-8C33-784E8F80F29C}"/>
    <hyperlink ref="K53" r:id="rId66" display="https://us3.assetplanner.com/service_request?ID=105836" xr:uid="{55D9A2E3-C4F1-4CB2-97C1-085F16AE7FAA}"/>
    <hyperlink ref="L53" r:id="rId67" display="https://us3.assetplanner.com/service_request?ID=106614" xr:uid="{61AB5385-52C4-41BF-9CEA-0421A757561C}"/>
    <hyperlink ref="M53" r:id="rId68" display="https://us3.assetplanner.com/service_request?ID=108040" xr:uid="{11AD2DBD-4E1E-4FF3-AFAF-2A09527882BB}"/>
    <hyperlink ref="K54" r:id="rId69" display="https://us3.assetplanner.com/service_request?ID=107941" xr:uid="{19F5A9FD-D760-466E-834E-B069F483FB7E}"/>
    <hyperlink ref="K57" r:id="rId70" display="https://us3.assetplanner.com/service_request?ID=107807" xr:uid="{93F6E102-0CA9-4E27-BD02-DEF069480A0F}"/>
    <hyperlink ref="L58" r:id="rId71" display="https://us3.assetplanner.com/service_request?ID=095449" xr:uid="{9B14FE4F-9DA1-4CCD-A351-9206236F1C09}"/>
    <hyperlink ref="M58" r:id="rId72" display="https://us3.assetplanner.com/service_request?ID=093474" xr:uid="{34BD19EB-CC0A-48D9-82CC-CD7F690696E7}"/>
    <hyperlink ref="N58" r:id="rId73" display="https://us3.assetplanner.com/service_request?ID=090380" xr:uid="{55D341DA-D1FA-4786-B42C-CF75D66C1F2D}"/>
    <hyperlink ref="O58" r:id="rId74" display="https://us3.assetplanner.com/service_request?ID=089474" xr:uid="{B1F32EF5-D9CD-4457-8473-8952746930E3}"/>
    <hyperlink ref="P58" r:id="rId75" display="https://us3.assetplanner.com/service_request?ID=105125" xr:uid="{485DA770-6F61-4141-BF72-03B132C6F465}"/>
    <hyperlink ref="Q58" r:id="rId76" display="https://us3.assetplanner.com/service_request?ID=101740" xr:uid="{C1414108-7688-44A3-B79E-DD80812F7E88}"/>
    <hyperlink ref="R58" r:id="rId77" display="https://us3.assetplanner.com/service_request?ID=103833" xr:uid="{3A8FA4F5-59EF-4DA3-A938-53FE65CC74C5}"/>
    <hyperlink ref="S58" r:id="rId78" display="https://us3.assetplanner.com/service_request?ID=104174" xr:uid="{7D5A446D-F616-4D2A-B345-A8B5A7349414}"/>
    <hyperlink ref="K60" r:id="rId79" display="https://us3.assetplanner.com/service_request?ID=096348" xr:uid="{D1AA725F-4940-47B7-B8D0-F1481A6CC1D0}"/>
    <hyperlink ref="L60" r:id="rId80" display="https://us3.assetplanner.com/service_request?ID=105126" xr:uid="{9F616549-69B8-453A-976B-3A99B15B0C75}"/>
    <hyperlink ref="K61" r:id="rId81" display="https://us3.assetplanner.com/service_request?ID=108137" xr:uid="{6A704136-9E4B-48D0-AC9D-74B4BDAD8BCA}"/>
    <hyperlink ref="L61" r:id="rId82" display="https://us3.assetplanner.com/service_request?ID=106078" xr:uid="{296D6E47-546A-4E2A-BCE5-B4DC95D2203B}"/>
    <hyperlink ref="K62" r:id="rId83" display="https://us3.assetplanner.com/service_request?ID=105096" xr:uid="{AF1CB84C-0596-4DC1-B6C2-87CBF2FFDE00}"/>
    <hyperlink ref="K65" r:id="rId84" display="https://us3.assetplanner.com/service_request?ID=106653" xr:uid="{2D228B16-BABE-4B3E-BFFF-48E488538E29}"/>
    <hyperlink ref="K66" r:id="rId85" display="https://us3.assetplanner.com/service_request?ID=107716" xr:uid="{AAC9313B-F161-4CA5-8EDA-608F5BEDD597}"/>
    <hyperlink ref="K67" r:id="rId86" display="https://us3.assetplanner.com/service_request?ID=107726" xr:uid="{8246969F-940D-4F3F-9A69-EC347CD86551}"/>
    <hyperlink ref="K68" r:id="rId87" display="https://us3.assetplanner.com/service_request?ID=108116" xr:uid="{D4B5E183-CFF1-4992-A976-1A62737C23EF}"/>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U342"/>
  <sheetViews>
    <sheetView zoomScale="70" zoomScaleNormal="70" workbookViewId="0">
      <pane xSplit="2" ySplit="3" topLeftCell="C4" activePane="bottomRight" state="frozen"/>
      <selection pane="bottomRight" activeCell="C51" sqref="C51"/>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8.140625" customWidth="1"/>
  </cols>
  <sheetData>
    <row r="1" spans="1:16" ht="19.5" customHeight="1">
      <c r="A1" s="132" t="str" cm="1">
        <f t="array" ref="A1">portfolio</f>
        <v>Silicon Ranch</v>
      </c>
      <c r="B1" s="132"/>
      <c r="C1" s="132"/>
      <c r="D1" s="133" t="s">
        <v>768</v>
      </c>
      <c r="E1" s="133"/>
      <c r="F1" s="133"/>
      <c r="G1" s="131" t="s">
        <v>769</v>
      </c>
      <c r="H1" s="131"/>
      <c r="I1" s="131"/>
      <c r="J1" s="4"/>
      <c r="K1" s="4"/>
    </row>
    <row r="2" spans="1:16" ht="19.5" customHeight="1">
      <c r="A2" s="134" t="s">
        <v>2</v>
      </c>
      <c r="B2" s="134"/>
      <c r="C2" s="5">
        <f>SUM(C4:C100)</f>
        <v>3421567.7</v>
      </c>
      <c r="D2" s="5">
        <f>SUM(D4:D100)</f>
        <v>1925167</v>
      </c>
      <c r="E2" s="5">
        <f>C2-D2</f>
        <v>1496400.7000000002</v>
      </c>
      <c r="F2" s="6">
        <f>IFERROR(E2/D2, 0)</f>
        <v>0.77728358111270357</v>
      </c>
      <c r="G2" s="5">
        <f>SUM(G4:G100)</f>
        <v>3444845.5769999996</v>
      </c>
      <c r="H2" s="7">
        <f>C2-G2</f>
        <v>-23277.876999999397</v>
      </c>
      <c r="I2" s="6">
        <f>IFERROR(H2/G2, 0)</f>
        <v>-6.7573063812838077E-3</v>
      </c>
      <c r="J2" s="2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8" t="s">
        <v>3</v>
      </c>
      <c r="B3" s="8" t="s">
        <v>4</v>
      </c>
      <c r="C3" s="23" t="s">
        <v>5</v>
      </c>
      <c r="D3" s="35" t="s">
        <v>6</v>
      </c>
      <c r="E3" s="35" t="s">
        <v>7</v>
      </c>
      <c r="F3" s="36" t="s">
        <v>8</v>
      </c>
      <c r="G3" s="37" t="s">
        <v>9</v>
      </c>
      <c r="H3" s="38" t="s">
        <v>7</v>
      </c>
      <c r="I3" s="39" t="s">
        <v>8</v>
      </c>
      <c r="J3" s="25" t="s">
        <v>20</v>
      </c>
      <c r="K3" s="25" t="s">
        <v>21</v>
      </c>
      <c r="L3" s="25" t="s">
        <v>770</v>
      </c>
    </row>
    <row r="4" spans="1:16" ht="15.6">
      <c r="A4" s="32" t="str" cm="1">
        <f t="array" ref="A4:A70">Sites[Site]</f>
        <v>Iron Mountain - Windsor</v>
      </c>
      <c r="B4" s="29" t="str" cm="1">
        <f t="array" ref="B4:B70">Sites[State]</f>
        <v>CT</v>
      </c>
      <c r="C4" s="24">
        <v>22631</v>
      </c>
      <c r="D4" s="13">
        <v>22530</v>
      </c>
      <c r="E4" s="13">
        <f>IF(AND(ISNUMBER(C4),ISNUMBER(D4)), C4-D4, "")</f>
        <v>101</v>
      </c>
      <c r="F4" s="14">
        <f>IFERROR(E4/D4, "")</f>
        <v>4.4829116733244561E-3</v>
      </c>
      <c r="G4" s="15">
        <v>20203.13</v>
      </c>
      <c r="H4" s="15">
        <f>IF(AND(ISNUMBER(C4),ISNUMBER(G4)), C4-G4, "")</f>
        <v>2427.869999999999</v>
      </c>
      <c r="I4" s="16">
        <f>IFERROR(H4/G4, "")</f>
        <v>0.12017296329826116</v>
      </c>
      <c r="J4" s="56" t="s">
        <v>771</v>
      </c>
      <c r="K4" s="56"/>
      <c r="L4" s="56"/>
      <c r="M4" s="97"/>
      <c r="N4" s="97"/>
      <c r="O4" s="97"/>
      <c r="P4" s="97"/>
    </row>
    <row r="5" spans="1:16" ht="15.6">
      <c r="A5" s="30" t="str">
        <v>Kohls - Auburn</v>
      </c>
      <c r="B5" s="31" t="str">
        <v>NY</v>
      </c>
      <c r="C5" s="11">
        <v>26126</v>
      </c>
      <c r="D5" s="18">
        <v>24880</v>
      </c>
      <c r="E5" s="18">
        <f t="shared" ref="E5:E68" si="0">IF(AND(ISNUMBER(C5),ISNUMBER(D5)), C5-D5, "")</f>
        <v>1246</v>
      </c>
      <c r="F5" s="19">
        <f>IFERROR(E5/D5, "")</f>
        <v>5.0080385852090036E-2</v>
      </c>
      <c r="G5" s="20">
        <v>22648.1</v>
      </c>
      <c r="H5" s="20">
        <f t="shared" ref="H5:H68" si="1">IF(AND(ISNUMBER(C5),ISNUMBER(G5)), C5-G5, "")</f>
        <v>3477.9000000000015</v>
      </c>
      <c r="I5" s="19">
        <f t="shared" ref="I5:I68" si="2">IFERROR(H5/G5, "")</f>
        <v>0.1535625505009251</v>
      </c>
      <c r="J5" s="58" t="s">
        <v>771</v>
      </c>
      <c r="K5" s="54"/>
      <c r="L5" s="54"/>
      <c r="M5" s="97"/>
      <c r="N5" s="97"/>
      <c r="O5" s="97"/>
      <c r="P5" s="97"/>
    </row>
    <row r="6" spans="1:16" ht="26.45">
      <c r="A6" s="28" t="str">
        <v>Kohls - Bensalem</v>
      </c>
      <c r="B6" s="29" t="str">
        <v>PA</v>
      </c>
      <c r="C6" s="24">
        <v>0</v>
      </c>
      <c r="D6" s="13">
        <v>0</v>
      </c>
      <c r="E6" s="13">
        <f t="shared" si="0"/>
        <v>0</v>
      </c>
      <c r="F6" s="14" t="str">
        <f t="shared" ref="F6:F69" si="3">IFERROR(E6/D6, "")</f>
        <v/>
      </c>
      <c r="G6" s="15">
        <v>25018.51</v>
      </c>
      <c r="H6" s="15">
        <f t="shared" si="1"/>
        <v>-25018.51</v>
      </c>
      <c r="I6" s="16">
        <f t="shared" si="2"/>
        <v>-1</v>
      </c>
      <c r="J6" s="56" t="s">
        <v>761</v>
      </c>
      <c r="K6" s="91" t="s">
        <v>772</v>
      </c>
      <c r="L6" s="56" t="s">
        <v>773</v>
      </c>
      <c r="M6" s="98" t="s">
        <v>774</v>
      </c>
      <c r="N6" s="97"/>
      <c r="O6" s="97"/>
      <c r="P6" s="97"/>
    </row>
    <row r="7" spans="1:16" ht="28.9">
      <c r="A7" s="30" t="str">
        <v>Kohls - Brick</v>
      </c>
      <c r="B7" s="31" t="str">
        <v>NJ</v>
      </c>
      <c r="C7" s="11">
        <v>32107</v>
      </c>
      <c r="D7" s="18">
        <v>32060</v>
      </c>
      <c r="E7" s="18">
        <f t="shared" si="0"/>
        <v>47</v>
      </c>
      <c r="F7" s="19">
        <f t="shared" si="3"/>
        <v>1.4660012476606363E-3</v>
      </c>
      <c r="G7" s="20">
        <v>29177.19</v>
      </c>
      <c r="H7" s="20">
        <f t="shared" si="1"/>
        <v>2929.8100000000013</v>
      </c>
      <c r="I7" s="19">
        <f t="shared" si="2"/>
        <v>0.10041439905624913</v>
      </c>
      <c r="J7" s="54" t="s">
        <v>775</v>
      </c>
      <c r="K7" s="90" t="s">
        <v>776</v>
      </c>
      <c r="L7" s="54" t="s">
        <v>777</v>
      </c>
      <c r="M7" s="97"/>
      <c r="N7" s="97"/>
      <c r="O7" s="97"/>
      <c r="P7" s="97"/>
    </row>
    <row r="8" spans="1:16" ht="86.45">
      <c r="A8" s="28" t="str">
        <v>Kohls - Buffalo</v>
      </c>
      <c r="B8" s="29" t="str">
        <v>NY</v>
      </c>
      <c r="C8" s="24">
        <v>29003</v>
      </c>
      <c r="D8" s="13">
        <v>0</v>
      </c>
      <c r="E8" s="13">
        <f t="shared" si="0"/>
        <v>29003</v>
      </c>
      <c r="F8" s="14" t="str">
        <f t="shared" si="3"/>
        <v/>
      </c>
      <c r="G8" s="15">
        <v>25954.92</v>
      </c>
      <c r="H8" s="15">
        <f t="shared" si="1"/>
        <v>3048.0800000000017</v>
      </c>
      <c r="I8" s="16">
        <f t="shared" si="2"/>
        <v>0.1174374646502475</v>
      </c>
      <c r="J8" s="56" t="s">
        <v>778</v>
      </c>
      <c r="K8" s="91" t="s">
        <v>779</v>
      </c>
      <c r="L8" s="56" t="s">
        <v>780</v>
      </c>
      <c r="M8" s="98" t="s">
        <v>781</v>
      </c>
      <c r="N8" s="98" t="s">
        <v>616</v>
      </c>
      <c r="O8" s="97"/>
      <c r="P8" s="97"/>
    </row>
    <row r="9" spans="1:16" ht="15.6">
      <c r="A9" s="30" t="str">
        <v>Kohls - Canton</v>
      </c>
      <c r="B9" s="31" t="str">
        <v>CT</v>
      </c>
      <c r="C9" s="11">
        <v>12031</v>
      </c>
      <c r="D9" s="18">
        <v>11851</v>
      </c>
      <c r="E9" s="18">
        <f t="shared" si="0"/>
        <v>180</v>
      </c>
      <c r="F9" s="19">
        <f t="shared" si="3"/>
        <v>1.5188591680027001E-2</v>
      </c>
      <c r="G9" s="20">
        <v>9736.66</v>
      </c>
      <c r="H9" s="20">
        <f t="shared" si="1"/>
        <v>2294.34</v>
      </c>
      <c r="I9" s="19">
        <f t="shared" si="2"/>
        <v>0.2356393260111784</v>
      </c>
      <c r="J9" s="58" t="s">
        <v>771</v>
      </c>
      <c r="K9" s="57"/>
      <c r="L9" s="54"/>
      <c r="M9" s="97"/>
      <c r="N9" s="97"/>
      <c r="O9" s="97"/>
      <c r="P9" s="97"/>
    </row>
    <row r="10" spans="1:16" ht="43.15">
      <c r="A10" s="28" t="str">
        <v>Kohls - East Amherst</v>
      </c>
      <c r="B10" s="29" t="str">
        <v>NY</v>
      </c>
      <c r="C10" s="24">
        <v>2495</v>
      </c>
      <c r="D10" s="13">
        <v>2429</v>
      </c>
      <c r="E10" s="13">
        <f t="shared" si="0"/>
        <v>66</v>
      </c>
      <c r="F10" s="14">
        <f t="shared" si="3"/>
        <v>2.7171675586661177E-2</v>
      </c>
      <c r="G10" s="15">
        <v>22307.9</v>
      </c>
      <c r="H10" s="15">
        <f t="shared" si="1"/>
        <v>-19812.900000000001</v>
      </c>
      <c r="I10" s="16">
        <f t="shared" si="2"/>
        <v>-0.88815621371801023</v>
      </c>
      <c r="J10" s="56" t="s">
        <v>691</v>
      </c>
      <c r="K10" s="91" t="s">
        <v>782</v>
      </c>
      <c r="L10" s="56" t="s">
        <v>783</v>
      </c>
      <c r="M10" s="97"/>
      <c r="N10" s="97"/>
      <c r="O10" s="97"/>
      <c r="P10" s="97"/>
    </row>
    <row r="11" spans="1:16" ht="40.9" customHeight="1">
      <c r="A11" s="30" t="str">
        <v>Kohls - East Brunswick</v>
      </c>
      <c r="B11" s="31" t="str">
        <v>NJ</v>
      </c>
      <c r="C11" s="11">
        <v>39069.699999999997</v>
      </c>
      <c r="D11" s="18">
        <v>0</v>
      </c>
      <c r="E11" s="18">
        <f t="shared" si="0"/>
        <v>39069.699999999997</v>
      </c>
      <c r="F11" s="19" t="str">
        <f t="shared" si="3"/>
        <v/>
      </c>
      <c r="G11" s="20">
        <v>37219.22</v>
      </c>
      <c r="H11" s="20">
        <f t="shared" si="1"/>
        <v>1850.4799999999959</v>
      </c>
      <c r="I11" s="19">
        <f t="shared" si="2"/>
        <v>4.9718398182444334E-2</v>
      </c>
      <c r="J11" s="54" t="s">
        <v>784</v>
      </c>
      <c r="K11" s="90" t="s">
        <v>785</v>
      </c>
      <c r="L11" s="54" t="s">
        <v>783</v>
      </c>
      <c r="M11" s="97"/>
      <c r="N11" s="97"/>
      <c r="O11" s="97"/>
      <c r="P11" s="97"/>
    </row>
    <row r="12" spans="1:16" ht="61.5" customHeight="1">
      <c r="A12" s="28" t="str">
        <v>Kohls - Edgewood</v>
      </c>
      <c r="B12" s="29" t="str">
        <v>MD</v>
      </c>
      <c r="C12" s="24">
        <v>154253</v>
      </c>
      <c r="D12" s="13">
        <v>153121</v>
      </c>
      <c r="E12" s="13">
        <f t="shared" si="0"/>
        <v>1132</v>
      </c>
      <c r="F12" s="14">
        <f t="shared" si="3"/>
        <v>7.392846180471653E-3</v>
      </c>
      <c r="G12" s="15">
        <v>221149.55</v>
      </c>
      <c r="H12" s="15">
        <f t="shared" si="1"/>
        <v>-66896.549999999988</v>
      </c>
      <c r="I12" s="16">
        <f t="shared" si="2"/>
        <v>-0.3024946241129588</v>
      </c>
      <c r="J12" s="56" t="s">
        <v>786</v>
      </c>
      <c r="K12" s="91" t="s">
        <v>787</v>
      </c>
      <c r="L12" s="56" t="s">
        <v>783</v>
      </c>
      <c r="M12" s="98" t="s">
        <v>788</v>
      </c>
      <c r="N12" s="97"/>
      <c r="O12" s="97"/>
      <c r="P12" s="97"/>
    </row>
    <row r="13" spans="1:16" ht="15.6">
      <c r="A13" s="30" t="str">
        <v>Kohls - Granite Run</v>
      </c>
      <c r="B13" s="31" t="str">
        <v>PA</v>
      </c>
      <c r="C13" s="11">
        <v>26837</v>
      </c>
      <c r="D13" s="18">
        <v>26627</v>
      </c>
      <c r="E13" s="18">
        <f t="shared" si="0"/>
        <v>210</v>
      </c>
      <c r="F13" s="19">
        <f t="shared" si="3"/>
        <v>7.8867315131257738E-3</v>
      </c>
      <c r="G13" s="20">
        <v>25092.83</v>
      </c>
      <c r="H13" s="20">
        <f t="shared" si="1"/>
        <v>1744.1699999999983</v>
      </c>
      <c r="I13" s="19">
        <f t="shared" si="2"/>
        <v>6.9508700294067999E-2</v>
      </c>
      <c r="J13" s="58"/>
      <c r="K13" s="57"/>
      <c r="L13" s="54"/>
      <c r="M13" s="97"/>
      <c r="N13" s="97"/>
      <c r="O13" s="97"/>
      <c r="P13" s="97"/>
    </row>
    <row r="14" spans="1:16" ht="55.5" customHeight="1">
      <c r="A14" s="28" t="str">
        <v>Kohls - Greece</v>
      </c>
      <c r="B14" s="29" t="str">
        <v>NY</v>
      </c>
      <c r="C14" s="24">
        <v>22988</v>
      </c>
      <c r="D14" s="13">
        <v>22617</v>
      </c>
      <c r="E14" s="13">
        <f t="shared" si="0"/>
        <v>371</v>
      </c>
      <c r="F14" s="14">
        <f t="shared" si="3"/>
        <v>1.640359021974621E-2</v>
      </c>
      <c r="G14" s="15">
        <v>24844.89</v>
      </c>
      <c r="H14" s="15">
        <f t="shared" si="1"/>
        <v>-1856.8899999999994</v>
      </c>
      <c r="I14" s="16">
        <f t="shared" si="2"/>
        <v>-7.473931259103983E-2</v>
      </c>
      <c r="J14" s="56" t="s">
        <v>789</v>
      </c>
      <c r="K14" s="91" t="s">
        <v>790</v>
      </c>
      <c r="L14" s="56" t="s">
        <v>791</v>
      </c>
      <c r="M14" s="98" t="s">
        <v>792</v>
      </c>
      <c r="N14" s="97"/>
      <c r="O14" s="97"/>
      <c r="P14" s="97"/>
    </row>
    <row r="15" spans="1:16" ht="15.6">
      <c r="A15" s="30" t="str">
        <v>Kohls - Hanover</v>
      </c>
      <c r="B15" s="31" t="str">
        <v>PA</v>
      </c>
      <c r="C15" s="11">
        <v>32460</v>
      </c>
      <c r="D15" s="18">
        <v>32293</v>
      </c>
      <c r="E15" s="18">
        <f t="shared" si="0"/>
        <v>167</v>
      </c>
      <c r="F15" s="19">
        <f t="shared" si="3"/>
        <v>5.1713993744774405E-3</v>
      </c>
      <c r="G15" s="20">
        <v>27217.29</v>
      </c>
      <c r="H15" s="20">
        <f t="shared" si="1"/>
        <v>5242.7099999999991</v>
      </c>
      <c r="I15" s="19">
        <f t="shared" si="2"/>
        <v>0.19262424730750191</v>
      </c>
      <c r="J15" s="54" t="s">
        <v>771</v>
      </c>
      <c r="K15" s="54"/>
      <c r="L15" s="54"/>
      <c r="M15" s="97"/>
      <c r="N15" s="97"/>
      <c r="O15" s="97"/>
      <c r="P15" s="97"/>
    </row>
    <row r="16" spans="1:16" ht="15.6">
      <c r="A16" s="28" t="str">
        <v>Kohls - Horsehead</v>
      </c>
      <c r="B16" s="29" t="str">
        <v>NY</v>
      </c>
      <c r="C16" s="24">
        <v>21871</v>
      </c>
      <c r="D16" s="13">
        <v>21687</v>
      </c>
      <c r="E16" s="13">
        <f t="shared" si="0"/>
        <v>184</v>
      </c>
      <c r="F16" s="14">
        <f t="shared" si="3"/>
        <v>8.4843454604140722E-3</v>
      </c>
      <c r="G16" s="15">
        <v>20589.18</v>
      </c>
      <c r="H16" s="15">
        <f t="shared" si="1"/>
        <v>1281.8199999999997</v>
      </c>
      <c r="I16" s="16">
        <f t="shared" si="2"/>
        <v>6.2256971865805227E-2</v>
      </c>
      <c r="J16" s="56"/>
      <c r="K16" s="56"/>
      <c r="L16" s="56"/>
      <c r="M16" s="97"/>
      <c r="N16" s="97"/>
      <c r="O16" s="97"/>
      <c r="P16" s="97"/>
    </row>
    <row r="17" spans="1:16" ht="100.9">
      <c r="A17" s="30" t="str">
        <v>Kohls - Hudson</v>
      </c>
      <c r="B17" s="31" t="str">
        <v>NY</v>
      </c>
      <c r="C17" s="11">
        <v>0</v>
      </c>
      <c r="D17" s="18">
        <v>0</v>
      </c>
      <c r="E17" s="18">
        <f t="shared" si="0"/>
        <v>0</v>
      </c>
      <c r="F17" s="19" t="str">
        <f t="shared" si="3"/>
        <v/>
      </c>
      <c r="G17" s="20">
        <v>23372.39</v>
      </c>
      <c r="H17" s="20">
        <f t="shared" si="1"/>
        <v>-23372.39</v>
      </c>
      <c r="I17" s="19">
        <f t="shared" si="2"/>
        <v>-1</v>
      </c>
      <c r="J17" s="54" t="s">
        <v>701</v>
      </c>
      <c r="K17" s="90" t="s">
        <v>536</v>
      </c>
      <c r="L17" s="54" t="s">
        <v>783</v>
      </c>
      <c r="M17" s="97"/>
      <c r="N17" s="97"/>
      <c r="O17" s="97"/>
      <c r="P17" s="97"/>
    </row>
    <row r="18" spans="1:16" ht="12.75" customHeight="1">
      <c r="A18" s="32" t="str">
        <v>Kohls - Ithaca</v>
      </c>
      <c r="B18" s="29" t="str">
        <v>NY</v>
      </c>
      <c r="C18" s="24">
        <v>21976</v>
      </c>
      <c r="D18" s="13">
        <v>21847</v>
      </c>
      <c r="E18" s="13">
        <f t="shared" si="0"/>
        <v>129</v>
      </c>
      <c r="F18" s="14">
        <f t="shared" si="3"/>
        <v>5.9047008742619126E-3</v>
      </c>
      <c r="G18" s="15">
        <v>24991.95</v>
      </c>
      <c r="H18" s="15">
        <f t="shared" si="1"/>
        <v>-3015.9500000000007</v>
      </c>
      <c r="I18" s="16">
        <f t="shared" si="2"/>
        <v>-0.12067685794825936</v>
      </c>
      <c r="J18" s="56" t="s">
        <v>771</v>
      </c>
      <c r="K18" s="56"/>
      <c r="L18" s="56"/>
      <c r="M18" s="97"/>
      <c r="N18" s="97"/>
      <c r="O18" s="97"/>
      <c r="P18" s="97"/>
    </row>
    <row r="19" spans="1:16" ht="15.6">
      <c r="A19" s="30" t="str">
        <v>Kohls - Kingston</v>
      </c>
      <c r="B19" s="31" t="str">
        <v>NY</v>
      </c>
      <c r="C19" s="11">
        <v>33204</v>
      </c>
      <c r="D19" s="18">
        <v>32796</v>
      </c>
      <c r="E19" s="18">
        <f t="shared" si="0"/>
        <v>408</v>
      </c>
      <c r="F19" s="19">
        <f t="shared" si="3"/>
        <v>1.2440541529454811E-2</v>
      </c>
      <c r="G19" s="20">
        <v>36839.919999999998</v>
      </c>
      <c r="H19" s="20">
        <f t="shared" si="1"/>
        <v>-3635.9199999999983</v>
      </c>
      <c r="I19" s="19">
        <f t="shared" si="2"/>
        <v>-9.869511117287981E-2</v>
      </c>
      <c r="J19" s="54" t="s">
        <v>702</v>
      </c>
      <c r="K19" s="90" t="s">
        <v>793</v>
      </c>
      <c r="L19" s="54" t="s">
        <v>783</v>
      </c>
      <c r="M19" s="97"/>
      <c r="N19" s="97"/>
      <c r="O19" s="97"/>
      <c r="P19" s="97"/>
    </row>
    <row r="20" spans="1:16" ht="15.6">
      <c r="A20" s="28" t="str">
        <v>Kohls - Mechanicsburg</v>
      </c>
      <c r="B20" s="29" t="str">
        <v>PA</v>
      </c>
      <c r="C20" s="24">
        <v>24862</v>
      </c>
      <c r="D20" s="13">
        <v>24719</v>
      </c>
      <c r="E20" s="13">
        <f t="shared" si="0"/>
        <v>143</v>
      </c>
      <c r="F20" s="14">
        <f t="shared" si="3"/>
        <v>5.7850236660059061E-3</v>
      </c>
      <c r="G20" s="15">
        <v>31826.01</v>
      </c>
      <c r="H20" s="15">
        <f t="shared" si="1"/>
        <v>-6964.0099999999984</v>
      </c>
      <c r="I20" s="16">
        <f t="shared" si="2"/>
        <v>-0.21881505095989096</v>
      </c>
      <c r="J20" s="56" t="s">
        <v>794</v>
      </c>
      <c r="K20" s="91" t="s">
        <v>704</v>
      </c>
      <c r="L20" s="56" t="s">
        <v>777</v>
      </c>
      <c r="M20" s="97"/>
      <c r="N20" s="97"/>
      <c r="O20" s="97"/>
      <c r="P20" s="97"/>
    </row>
    <row r="21" spans="1:16" ht="72">
      <c r="A21" s="30" t="str">
        <v>Kohls - Middletown</v>
      </c>
      <c r="B21" s="31" t="str">
        <v>NJ</v>
      </c>
      <c r="C21" s="11">
        <v>16733</v>
      </c>
      <c r="D21" s="18">
        <v>16340</v>
      </c>
      <c r="E21" s="18">
        <f t="shared" si="0"/>
        <v>393</v>
      </c>
      <c r="F21" s="19">
        <f t="shared" si="3"/>
        <v>2.405140758873929E-2</v>
      </c>
      <c r="G21" s="20">
        <v>46563.07</v>
      </c>
      <c r="H21" s="20">
        <f t="shared" si="1"/>
        <v>-29830.07</v>
      </c>
      <c r="I21" s="19">
        <f t="shared" si="2"/>
        <v>-0.64063795621723396</v>
      </c>
      <c r="J21" s="54" t="s">
        <v>795</v>
      </c>
      <c r="K21" s="90" t="s">
        <v>796</v>
      </c>
      <c r="L21" s="54" t="s">
        <v>783</v>
      </c>
      <c r="M21" s="97"/>
      <c r="N21" s="97"/>
      <c r="O21" s="97"/>
      <c r="P21" s="97"/>
    </row>
    <row r="22" spans="1:16" ht="15.6">
      <c r="A22" s="28" t="str">
        <v>Kohls - North Amherst</v>
      </c>
      <c r="B22" s="29" t="str">
        <v>NY</v>
      </c>
      <c r="C22" s="24">
        <v>23566</v>
      </c>
      <c r="D22" s="13">
        <v>23388</v>
      </c>
      <c r="E22" s="13">
        <f t="shared" si="0"/>
        <v>178</v>
      </c>
      <c r="F22" s="14">
        <f t="shared" si="3"/>
        <v>7.6107405507097655E-3</v>
      </c>
      <c r="G22" s="15">
        <v>21692.17</v>
      </c>
      <c r="H22" s="15">
        <f t="shared" si="1"/>
        <v>1873.8300000000017</v>
      </c>
      <c r="I22" s="16">
        <f t="shared" si="2"/>
        <v>8.6382782358795915E-2</v>
      </c>
      <c r="J22" s="56"/>
      <c r="K22" s="56"/>
      <c r="L22" s="56"/>
      <c r="M22" s="97"/>
      <c r="N22" s="97"/>
      <c r="O22" s="97"/>
      <c r="P22" s="97"/>
    </row>
    <row r="23" spans="1:16" ht="144">
      <c r="A23" s="30" t="str">
        <v>Kohls - Staten Island</v>
      </c>
      <c r="B23" s="31" t="str">
        <v>NY</v>
      </c>
      <c r="C23" s="11">
        <v>22856</v>
      </c>
      <c r="D23" s="18">
        <v>0</v>
      </c>
      <c r="E23" s="18">
        <f t="shared" si="0"/>
        <v>22856</v>
      </c>
      <c r="F23" s="19" t="str">
        <f t="shared" si="3"/>
        <v/>
      </c>
      <c r="G23" s="20">
        <v>28944.34</v>
      </c>
      <c r="H23" s="20">
        <f t="shared" si="1"/>
        <v>-6088.34</v>
      </c>
      <c r="I23" s="19">
        <f t="shared" si="2"/>
        <v>-0.21034647879343596</v>
      </c>
      <c r="J23" s="54" t="s">
        <v>797</v>
      </c>
      <c r="K23" s="90" t="s">
        <v>798</v>
      </c>
      <c r="L23" s="54" t="s">
        <v>799</v>
      </c>
      <c r="M23" s="98" t="s">
        <v>800</v>
      </c>
      <c r="N23" s="98" t="s">
        <v>801</v>
      </c>
      <c r="O23" s="97"/>
      <c r="P23" s="97"/>
    </row>
    <row r="24" spans="1:16" ht="15.6">
      <c r="A24" s="28" t="str">
        <v>Kohls - Warminster</v>
      </c>
      <c r="B24" s="29" t="str">
        <v>PA</v>
      </c>
      <c r="C24" s="24">
        <v>34005</v>
      </c>
      <c r="D24" s="13">
        <v>33749</v>
      </c>
      <c r="E24" s="13">
        <f t="shared" si="0"/>
        <v>256</v>
      </c>
      <c r="F24" s="14">
        <f t="shared" si="3"/>
        <v>7.5854099380722392E-3</v>
      </c>
      <c r="G24" s="15">
        <v>30775.56</v>
      </c>
      <c r="H24" s="15">
        <f t="shared" si="1"/>
        <v>3229.4399999999987</v>
      </c>
      <c r="I24" s="16">
        <f t="shared" si="2"/>
        <v>0.10493521482631019</v>
      </c>
      <c r="J24" s="56"/>
      <c r="K24" s="56"/>
      <c r="L24" s="56"/>
      <c r="M24" s="97"/>
      <c r="N24" s="97"/>
      <c r="O24" s="97"/>
      <c r="P24" s="97"/>
    </row>
    <row r="25" spans="1:16" ht="28.9">
      <c r="A25" s="30" t="str">
        <v xml:space="preserve">Kohls - Waterbury </v>
      </c>
      <c r="B25" s="31" t="str">
        <v>CT</v>
      </c>
      <c r="C25" s="11">
        <v>16161</v>
      </c>
      <c r="D25" s="18">
        <v>15921</v>
      </c>
      <c r="E25" s="18">
        <f t="shared" si="0"/>
        <v>240</v>
      </c>
      <c r="F25" s="19">
        <f t="shared" si="3"/>
        <v>1.5074429998115696E-2</v>
      </c>
      <c r="G25" s="20">
        <v>26662.07</v>
      </c>
      <c r="H25" s="20">
        <f t="shared" si="1"/>
        <v>-10501.07</v>
      </c>
      <c r="I25" s="19">
        <f t="shared" si="2"/>
        <v>-0.3938580162755555</v>
      </c>
      <c r="J25" s="58" t="s">
        <v>802</v>
      </c>
      <c r="K25" s="90" t="s">
        <v>803</v>
      </c>
      <c r="L25" s="54" t="s">
        <v>804</v>
      </c>
      <c r="M25" s="97"/>
      <c r="N25" s="97"/>
      <c r="O25" s="97"/>
      <c r="P25" s="97"/>
    </row>
    <row r="26" spans="1:16" ht="15.6">
      <c r="A26" s="28" t="str">
        <v>Mojave Water Agency - Headquarters</v>
      </c>
      <c r="B26" s="29" t="str">
        <v>CA</v>
      </c>
      <c r="C26" s="24">
        <v>36395</v>
      </c>
      <c r="D26" s="13">
        <v>36343</v>
      </c>
      <c r="E26" s="13">
        <f t="shared" si="0"/>
        <v>52</v>
      </c>
      <c r="F26" s="14">
        <f t="shared" si="3"/>
        <v>1.4308119858019426E-3</v>
      </c>
      <c r="G26" s="15">
        <v>31669</v>
      </c>
      <c r="H26" s="15">
        <f t="shared" si="1"/>
        <v>4726</v>
      </c>
      <c r="I26" s="16">
        <f t="shared" si="2"/>
        <v>0.14923110928668415</v>
      </c>
      <c r="J26" s="56"/>
      <c r="K26" s="56"/>
      <c r="L26" s="56"/>
      <c r="M26" s="97"/>
      <c r="N26" s="97"/>
      <c r="O26" s="97"/>
      <c r="P26" s="97"/>
    </row>
    <row r="27" spans="1:16" ht="28.9">
      <c r="A27" s="30" t="str">
        <v>CSU - Bakersfield</v>
      </c>
      <c r="B27" s="31" t="str">
        <v>CA</v>
      </c>
      <c r="C27" s="11">
        <v>78391</v>
      </c>
      <c r="D27" s="18">
        <v>78046</v>
      </c>
      <c r="E27" s="18">
        <f t="shared" si="0"/>
        <v>345</v>
      </c>
      <c r="F27" s="19">
        <f t="shared" si="3"/>
        <v>4.4204699792430103E-3</v>
      </c>
      <c r="G27" s="20">
        <v>111515.24</v>
      </c>
      <c r="H27" s="20">
        <f t="shared" si="1"/>
        <v>-33124.240000000005</v>
      </c>
      <c r="I27" s="19">
        <f t="shared" si="2"/>
        <v>-0.29703778604610459</v>
      </c>
      <c r="J27" s="53" t="s">
        <v>805</v>
      </c>
      <c r="K27" s="90" t="s">
        <v>710</v>
      </c>
      <c r="L27" s="54" t="s">
        <v>806</v>
      </c>
      <c r="M27" s="97"/>
      <c r="N27" s="97"/>
      <c r="O27" s="97"/>
      <c r="P27" s="97"/>
    </row>
    <row r="28" spans="1:16" ht="72">
      <c r="A28" s="28" t="str">
        <v>Greenfield USD - Fairfield ES</v>
      </c>
      <c r="B28" s="29" t="str">
        <v>CA</v>
      </c>
      <c r="C28" s="24">
        <v>12218</v>
      </c>
      <c r="D28" s="13">
        <v>12146</v>
      </c>
      <c r="E28" s="13">
        <f t="shared" si="0"/>
        <v>72</v>
      </c>
      <c r="F28" s="14">
        <f t="shared" si="3"/>
        <v>5.9278774905318623E-3</v>
      </c>
      <c r="G28" s="15">
        <v>12068.57</v>
      </c>
      <c r="H28" s="15">
        <f t="shared" si="1"/>
        <v>149.43000000000029</v>
      </c>
      <c r="I28" s="16">
        <f t="shared" si="2"/>
        <v>1.2381748624733527E-2</v>
      </c>
      <c r="J28" s="56" t="s">
        <v>430</v>
      </c>
      <c r="K28" s="56"/>
      <c r="L28" s="56"/>
      <c r="M28" s="97"/>
      <c r="N28" s="97"/>
      <c r="O28" s="97"/>
      <c r="P28" s="97"/>
    </row>
    <row r="29" spans="1:16" ht="72">
      <c r="A29" s="30" t="str">
        <v>Greenfield USD - Granite Point ES</v>
      </c>
      <c r="B29" s="31" t="str">
        <v>CA</v>
      </c>
      <c r="C29" s="11">
        <v>26912</v>
      </c>
      <c r="D29" s="18">
        <v>26855</v>
      </c>
      <c r="E29" s="18">
        <f t="shared" si="0"/>
        <v>57</v>
      </c>
      <c r="F29" s="19">
        <f t="shared" si="3"/>
        <v>2.1225097747160676E-3</v>
      </c>
      <c r="G29" s="20">
        <v>31631.96</v>
      </c>
      <c r="H29" s="20">
        <f t="shared" si="1"/>
        <v>-4719.9599999999991</v>
      </c>
      <c r="I29" s="19">
        <f t="shared" si="2"/>
        <v>-0.14921490796017697</v>
      </c>
      <c r="J29" s="58" t="s">
        <v>807</v>
      </c>
      <c r="K29" s="90" t="s">
        <v>808</v>
      </c>
      <c r="L29" s="54" t="s">
        <v>791</v>
      </c>
      <c r="M29" s="98" t="s">
        <v>809</v>
      </c>
      <c r="N29" s="97"/>
      <c r="O29" s="97"/>
      <c r="P29" s="97"/>
    </row>
    <row r="30" spans="1:16" ht="72">
      <c r="A30" s="28" t="str">
        <v>Greenfield USD - Greenfield MS</v>
      </c>
      <c r="B30" s="29" t="str">
        <v>CA</v>
      </c>
      <c r="C30" s="24">
        <v>19538</v>
      </c>
      <c r="D30" s="13">
        <v>19499</v>
      </c>
      <c r="E30" s="13">
        <f t="shared" si="0"/>
        <v>39</v>
      </c>
      <c r="F30" s="14">
        <f t="shared" si="3"/>
        <v>2.0001025693625312E-3</v>
      </c>
      <c r="G30" s="15">
        <v>21738.127</v>
      </c>
      <c r="H30" s="15">
        <f t="shared" si="1"/>
        <v>-2200.1270000000004</v>
      </c>
      <c r="I30" s="16">
        <f t="shared" si="2"/>
        <v>-0.10121051367489023</v>
      </c>
      <c r="J30" s="56" t="s">
        <v>810</v>
      </c>
      <c r="K30" s="56"/>
      <c r="L30" s="56"/>
      <c r="M30" s="97"/>
      <c r="N30" s="97"/>
      <c r="O30" s="97"/>
      <c r="P30" s="97"/>
    </row>
    <row r="31" spans="1:16" ht="15.6">
      <c r="A31" s="30" t="str">
        <v>Greenfield USD - Horizon ES</v>
      </c>
      <c r="B31" s="31" t="str">
        <v>CA</v>
      </c>
      <c r="C31" s="11">
        <v>33025</v>
      </c>
      <c r="D31" s="18">
        <v>32929</v>
      </c>
      <c r="E31" s="18">
        <f t="shared" si="0"/>
        <v>96</v>
      </c>
      <c r="F31" s="19">
        <f t="shared" si="3"/>
        <v>2.9153633575268001E-3</v>
      </c>
      <c r="G31" s="20">
        <v>32372.81</v>
      </c>
      <c r="H31" s="20">
        <f t="shared" si="1"/>
        <v>652.18999999999869</v>
      </c>
      <c r="I31" s="19">
        <f t="shared" si="2"/>
        <v>2.0146227652156196E-2</v>
      </c>
      <c r="J31" s="54"/>
      <c r="K31" s="54"/>
      <c r="L31" s="54"/>
      <c r="M31" s="97"/>
      <c r="N31" s="97"/>
      <c r="O31" s="97"/>
      <c r="P31" s="97"/>
    </row>
    <row r="32" spans="1:16" ht="43.15">
      <c r="A32" s="28" t="str">
        <v>Greenfield USD - McKee MS</v>
      </c>
      <c r="B32" s="29" t="str">
        <v>CA</v>
      </c>
      <c r="C32" s="24">
        <v>11602</v>
      </c>
      <c r="D32" s="13">
        <v>11578</v>
      </c>
      <c r="E32" s="13">
        <f t="shared" si="0"/>
        <v>24</v>
      </c>
      <c r="F32" s="14">
        <f t="shared" si="3"/>
        <v>2.0728968733805492E-3</v>
      </c>
      <c r="G32" s="15">
        <v>19817.080000000002</v>
      </c>
      <c r="H32" s="15">
        <f t="shared" si="1"/>
        <v>-8215.0800000000017</v>
      </c>
      <c r="I32" s="16">
        <f t="shared" si="2"/>
        <v>-0.41454543252588177</v>
      </c>
      <c r="J32" s="56" t="s">
        <v>811</v>
      </c>
      <c r="K32" s="91" t="s">
        <v>812</v>
      </c>
      <c r="L32" s="56" t="s">
        <v>783</v>
      </c>
      <c r="M32" s="97"/>
      <c r="N32" s="97"/>
      <c r="O32" s="97"/>
      <c r="P32" s="97"/>
    </row>
    <row r="33" spans="1:21" ht="15.6">
      <c r="A33" s="30" t="str">
        <v>Greenfield USD - Plantation ES</v>
      </c>
      <c r="B33" s="31" t="str">
        <v>CA</v>
      </c>
      <c r="C33" s="11">
        <v>13677</v>
      </c>
      <c r="D33" s="18">
        <v>13636</v>
      </c>
      <c r="E33" s="18">
        <f t="shared" si="0"/>
        <v>41</v>
      </c>
      <c r="F33" s="19">
        <f t="shared" si="3"/>
        <v>3.0067468465825756E-3</v>
      </c>
      <c r="G33" s="20">
        <v>14090.72</v>
      </c>
      <c r="H33" s="20">
        <f t="shared" si="1"/>
        <v>-413.71999999999935</v>
      </c>
      <c r="I33" s="19">
        <f t="shared" si="2"/>
        <v>-2.9361168201482917E-2</v>
      </c>
      <c r="J33" s="58"/>
      <c r="K33" s="57"/>
      <c r="L33" s="54"/>
      <c r="M33" s="97"/>
      <c r="N33" s="97"/>
      <c r="O33" s="97"/>
      <c r="P33" s="97"/>
    </row>
    <row r="34" spans="1:21" ht="15.6">
      <c r="A34" s="28" t="str">
        <v>Greenfield USD - Planz ES</v>
      </c>
      <c r="B34" s="29" t="str">
        <v>CA</v>
      </c>
      <c r="C34" s="24">
        <v>14932</v>
      </c>
      <c r="D34" s="13">
        <v>13816</v>
      </c>
      <c r="E34" s="13">
        <f t="shared" si="0"/>
        <v>1116</v>
      </c>
      <c r="F34" s="14">
        <f t="shared" si="3"/>
        <v>8.0775911986103066E-2</v>
      </c>
      <c r="G34" s="15">
        <v>16756.28</v>
      </c>
      <c r="H34" s="15">
        <f t="shared" si="1"/>
        <v>-1824.2799999999988</v>
      </c>
      <c r="I34" s="16">
        <f t="shared" si="2"/>
        <v>-0.10887142014814738</v>
      </c>
      <c r="J34" s="56" t="s">
        <v>813</v>
      </c>
      <c r="K34" s="56"/>
      <c r="L34" s="56"/>
      <c r="M34" s="97"/>
      <c r="N34" s="97"/>
      <c r="O34" s="97"/>
      <c r="P34" s="97"/>
    </row>
    <row r="35" spans="1:21" ht="43.15">
      <c r="A35" s="30" t="str">
        <v>Greenfield USD - Raffaello Palla ES</v>
      </c>
      <c r="B35" s="31" t="str">
        <v>CA</v>
      </c>
      <c r="C35" s="11">
        <v>15465</v>
      </c>
      <c r="D35" s="18">
        <v>15215</v>
      </c>
      <c r="E35" s="18">
        <f t="shared" si="0"/>
        <v>250</v>
      </c>
      <c r="F35" s="19">
        <f t="shared" si="3"/>
        <v>1.6431153466973381E-2</v>
      </c>
      <c r="G35" s="20">
        <v>35810.46</v>
      </c>
      <c r="H35" s="20">
        <f t="shared" si="1"/>
        <v>-20345.46</v>
      </c>
      <c r="I35" s="19">
        <f t="shared" si="2"/>
        <v>-0.56814293924177461</v>
      </c>
      <c r="J35" s="58" t="s">
        <v>814</v>
      </c>
      <c r="K35" s="90" t="s">
        <v>815</v>
      </c>
      <c r="L35" s="54" t="s">
        <v>777</v>
      </c>
      <c r="M35" s="97"/>
      <c r="N35" s="97"/>
      <c r="O35" s="97"/>
      <c r="P35" s="97"/>
    </row>
    <row r="36" spans="1:21" ht="15.6">
      <c r="A36" s="28" t="str">
        <v>Greenfield USD - Valle Verde ES</v>
      </c>
      <c r="B36" s="29" t="str">
        <v>CA</v>
      </c>
      <c r="C36" s="24">
        <v>35603</v>
      </c>
      <c r="D36" s="13">
        <v>35221</v>
      </c>
      <c r="E36" s="13">
        <f t="shared" si="0"/>
        <v>382</v>
      </c>
      <c r="F36" s="14">
        <f t="shared" si="3"/>
        <v>1.0845802220266319E-2</v>
      </c>
      <c r="G36" s="15">
        <v>33383.879999999997</v>
      </c>
      <c r="H36" s="15">
        <f t="shared" si="1"/>
        <v>2219.1200000000026</v>
      </c>
      <c r="I36" s="16">
        <f t="shared" si="2"/>
        <v>6.6472800645101845E-2</v>
      </c>
      <c r="J36" s="56"/>
      <c r="K36" s="56"/>
      <c r="L36" s="56"/>
      <c r="M36" s="97"/>
      <c r="N36" s="97"/>
      <c r="O36" s="97"/>
      <c r="P36" s="97"/>
    </row>
    <row r="37" spans="1:21" ht="28.9">
      <c r="A37" s="30" t="str">
        <v>Greenfield USD - W.A. Kendrick ES</v>
      </c>
      <c r="B37" s="31" t="str">
        <v>CA</v>
      </c>
      <c r="C37" s="11">
        <v>12140</v>
      </c>
      <c r="D37" s="18">
        <v>0</v>
      </c>
      <c r="E37" s="18">
        <f t="shared" si="0"/>
        <v>12140</v>
      </c>
      <c r="F37" s="19" t="str">
        <f t="shared" si="3"/>
        <v/>
      </c>
      <c r="G37" s="20">
        <v>12849.85</v>
      </c>
      <c r="H37" s="20">
        <f t="shared" si="1"/>
        <v>-709.85000000000036</v>
      </c>
      <c r="I37" s="19">
        <f t="shared" si="2"/>
        <v>-5.5241889983151583E-2</v>
      </c>
      <c r="J37" s="122" t="s">
        <v>719</v>
      </c>
      <c r="K37" s="90" t="s">
        <v>644</v>
      </c>
      <c r="L37" s="54" t="s">
        <v>783</v>
      </c>
      <c r="M37" s="98" t="s">
        <v>645</v>
      </c>
      <c r="N37" s="97"/>
      <c r="O37" s="97"/>
      <c r="P37" s="97"/>
    </row>
    <row r="38" spans="1:21" ht="15.6">
      <c r="A38" s="28" t="str">
        <v>Muroc Joint USD - Boron HS</v>
      </c>
      <c r="B38" s="29" t="str">
        <v>CA</v>
      </c>
      <c r="C38" s="24">
        <v>0</v>
      </c>
      <c r="D38" s="13">
        <v>0</v>
      </c>
      <c r="E38" s="13">
        <f t="shared" si="0"/>
        <v>0</v>
      </c>
      <c r="F38" s="14" t="str">
        <f t="shared" si="3"/>
        <v/>
      </c>
      <c r="G38" s="15">
        <v>31490.66</v>
      </c>
      <c r="H38" s="15">
        <f t="shared" si="1"/>
        <v>-31490.66</v>
      </c>
      <c r="I38" s="16">
        <f t="shared" si="2"/>
        <v>-1</v>
      </c>
      <c r="J38" s="56" t="s">
        <v>746</v>
      </c>
      <c r="K38" s="91" t="s">
        <v>816</v>
      </c>
      <c r="L38" s="56" t="s">
        <v>817</v>
      </c>
      <c r="M38" s="97"/>
      <c r="N38" s="97"/>
      <c r="O38" s="97"/>
      <c r="P38" s="97"/>
    </row>
    <row r="39" spans="1:21" ht="15.6">
      <c r="A39" s="30" t="str">
        <v>Muroc Joint USD - W. Boron ES</v>
      </c>
      <c r="B39" s="31" t="str">
        <v>CA</v>
      </c>
      <c r="C39" s="11">
        <v>9668</v>
      </c>
      <c r="D39" s="18">
        <v>9651</v>
      </c>
      <c r="E39" s="18">
        <f t="shared" si="0"/>
        <v>17</v>
      </c>
      <c r="F39" s="19">
        <f t="shared" si="3"/>
        <v>1.7614754947673816E-3</v>
      </c>
      <c r="G39" s="20">
        <v>11652.77</v>
      </c>
      <c r="H39" s="20">
        <f t="shared" si="1"/>
        <v>-1984.7700000000004</v>
      </c>
      <c r="I39" s="19">
        <f t="shared" si="2"/>
        <v>-0.17032602548578582</v>
      </c>
      <c r="J39" s="58" t="s">
        <v>771</v>
      </c>
      <c r="K39" s="57"/>
      <c r="L39" s="54"/>
      <c r="M39" s="97"/>
      <c r="N39" s="97"/>
      <c r="O39" s="97"/>
      <c r="P39" s="97"/>
    </row>
    <row r="40" spans="1:21" ht="43.15">
      <c r="A40" s="28" t="str">
        <v>Colusa - WTP</v>
      </c>
      <c r="B40" s="29" t="str">
        <v>CA</v>
      </c>
      <c r="C40" s="24">
        <v>19</v>
      </c>
      <c r="D40" s="13">
        <v>0</v>
      </c>
      <c r="E40" s="13">
        <f t="shared" si="0"/>
        <v>19</v>
      </c>
      <c r="F40" s="14" t="str">
        <f t="shared" si="3"/>
        <v/>
      </c>
      <c r="G40" s="15">
        <v>35899.99</v>
      </c>
      <c r="H40" s="15">
        <f t="shared" si="1"/>
        <v>-35880.99</v>
      </c>
      <c r="I40" s="16">
        <f t="shared" si="2"/>
        <v>-0.99947075194171364</v>
      </c>
      <c r="J40" s="56" t="s">
        <v>560</v>
      </c>
      <c r="K40" s="91" t="s">
        <v>561</v>
      </c>
      <c r="L40" s="56" t="s">
        <v>791</v>
      </c>
      <c r="M40" s="98" t="s">
        <v>562</v>
      </c>
      <c r="N40" s="97"/>
      <c r="O40" s="97"/>
      <c r="P40" s="97"/>
    </row>
    <row r="41" spans="1:21" ht="100.9">
      <c r="A41" s="30" t="str">
        <v>CDCR-North Kern State Prision</v>
      </c>
      <c r="B41" s="31" t="str">
        <v>CA</v>
      </c>
      <c r="C41" s="11">
        <v>128147</v>
      </c>
      <c r="D41" s="18">
        <v>126883</v>
      </c>
      <c r="E41" s="18">
        <f t="shared" si="0"/>
        <v>1264</v>
      </c>
      <c r="F41" s="19">
        <f t="shared" si="3"/>
        <v>9.9619334347390912E-3</v>
      </c>
      <c r="G41" s="20">
        <v>155163.35</v>
      </c>
      <c r="H41" s="20">
        <f t="shared" si="1"/>
        <v>-27016.350000000006</v>
      </c>
      <c r="I41" s="19">
        <f t="shared" si="2"/>
        <v>-0.17411553694864157</v>
      </c>
      <c r="J41" s="58" t="s">
        <v>818</v>
      </c>
      <c r="K41" s="90" t="s">
        <v>819</v>
      </c>
      <c r="L41" s="54" t="s">
        <v>820</v>
      </c>
      <c r="M41" s="98" t="s">
        <v>193</v>
      </c>
      <c r="N41" s="98" t="s">
        <v>821</v>
      </c>
      <c r="O41" s="97"/>
      <c r="P41" s="97"/>
    </row>
    <row r="42" spans="1:21" ht="15.6">
      <c r="A42" s="28" t="str">
        <v>Muroc Joint USD - District Office</v>
      </c>
      <c r="B42" s="29" t="str">
        <v>CA</v>
      </c>
      <c r="C42" s="24">
        <v>6087</v>
      </c>
      <c r="D42" s="13">
        <v>6082</v>
      </c>
      <c r="E42" s="13">
        <f t="shared" si="0"/>
        <v>5</v>
      </c>
      <c r="F42" s="14">
        <f t="shared" si="3"/>
        <v>8.2209799408089446E-4</v>
      </c>
      <c r="G42" s="15">
        <v>8196</v>
      </c>
      <c r="H42" s="15">
        <f t="shared" si="1"/>
        <v>-2109</v>
      </c>
      <c r="I42" s="16">
        <f t="shared" si="2"/>
        <v>-0.25732064421669104</v>
      </c>
      <c r="J42" s="56" t="s">
        <v>822</v>
      </c>
      <c r="K42" s="91" t="s">
        <v>823</v>
      </c>
      <c r="L42" s="56" t="s">
        <v>824</v>
      </c>
      <c r="M42" s="97"/>
      <c r="N42" s="97"/>
      <c r="O42" s="97"/>
      <c r="P42" s="97"/>
    </row>
    <row r="43" spans="1:21" ht="144">
      <c r="A43" s="30" t="str">
        <v>Whole Foods - Manhattan Beach</v>
      </c>
      <c r="B43" s="31" t="str">
        <v>CA</v>
      </c>
      <c r="C43" s="11">
        <v>18460</v>
      </c>
      <c r="D43" s="18">
        <v>18428</v>
      </c>
      <c r="E43" s="18">
        <f t="shared" si="0"/>
        <v>32</v>
      </c>
      <c r="F43" s="19">
        <f t="shared" si="3"/>
        <v>1.7364879531148252E-3</v>
      </c>
      <c r="G43" s="20">
        <v>17159.240000000002</v>
      </c>
      <c r="H43" s="20">
        <f t="shared" si="1"/>
        <v>1300.7599999999984</v>
      </c>
      <c r="I43" s="19">
        <f t="shared" si="2"/>
        <v>7.580522214270552E-2</v>
      </c>
      <c r="J43" s="54" t="s">
        <v>651</v>
      </c>
      <c r="K43" s="90" t="s">
        <v>652</v>
      </c>
      <c r="L43" s="124" t="s">
        <v>825</v>
      </c>
      <c r="M43" s="90" t="s">
        <v>653</v>
      </c>
      <c r="N43" s="98" t="s">
        <v>477</v>
      </c>
      <c r="O43" s="98" t="s">
        <v>476</v>
      </c>
      <c r="P43" s="98" t="s">
        <v>567</v>
      </c>
      <c r="Q43" s="98" t="s">
        <v>568</v>
      </c>
      <c r="S43" s="89" t="s">
        <v>287</v>
      </c>
      <c r="T43" s="89" t="s">
        <v>653</v>
      </c>
      <c r="U43" s="89" t="s">
        <v>475</v>
      </c>
    </row>
    <row r="44" spans="1:21" ht="86.45">
      <c r="A44" s="28" t="str">
        <v>Pioneer USD - Frontier ES</v>
      </c>
      <c r="B44" s="29" t="str">
        <v>CA</v>
      </c>
      <c r="C44" s="24">
        <v>77</v>
      </c>
      <c r="D44" s="13">
        <v>0</v>
      </c>
      <c r="E44" s="13">
        <f t="shared" si="0"/>
        <v>77</v>
      </c>
      <c r="F44" s="14" t="str">
        <f t="shared" si="3"/>
        <v/>
      </c>
      <c r="G44" s="15">
        <v>29853.64</v>
      </c>
      <c r="H44" s="15">
        <f t="shared" si="1"/>
        <v>-29776.639999999999</v>
      </c>
      <c r="I44" s="16">
        <f t="shared" si="2"/>
        <v>-0.99742075003249187</v>
      </c>
      <c r="J44" s="56" t="s">
        <v>725</v>
      </c>
      <c r="K44" s="91" t="s">
        <v>826</v>
      </c>
      <c r="L44" s="56" t="s">
        <v>827</v>
      </c>
      <c r="M44" s="98" t="s">
        <v>828</v>
      </c>
      <c r="N44" s="97"/>
      <c r="O44" s="97"/>
      <c r="P44" s="97"/>
    </row>
    <row r="45" spans="1:21" ht="57.6">
      <c r="A45" s="30" t="str">
        <v>Pioneer USD - Pioneer ES</v>
      </c>
      <c r="B45" s="31" t="str">
        <v>CA</v>
      </c>
      <c r="C45" s="11">
        <v>10304</v>
      </c>
      <c r="D45" s="18">
        <v>0</v>
      </c>
      <c r="E45" s="18">
        <f t="shared" si="0"/>
        <v>10304</v>
      </c>
      <c r="F45" s="19" t="str">
        <f t="shared" si="3"/>
        <v/>
      </c>
      <c r="G45" s="20">
        <v>30267.64</v>
      </c>
      <c r="H45" s="20">
        <f t="shared" si="1"/>
        <v>-19963.64</v>
      </c>
      <c r="I45" s="19">
        <f t="shared" si="2"/>
        <v>-0.65957041910105974</v>
      </c>
      <c r="J45" s="54" t="s">
        <v>829</v>
      </c>
      <c r="K45" s="90" t="s">
        <v>830</v>
      </c>
      <c r="L45" s="54" t="s">
        <v>783</v>
      </c>
      <c r="M45" s="98" t="s">
        <v>831</v>
      </c>
      <c r="N45" s="97"/>
      <c r="O45" s="97"/>
      <c r="P45" s="97"/>
    </row>
    <row r="46" spans="1:21" ht="57.6">
      <c r="A46" s="28" t="str">
        <v>Pioneer USD - Pioneer MS</v>
      </c>
      <c r="B46" s="29" t="str">
        <v>CA</v>
      </c>
      <c r="C46" s="24">
        <v>36183</v>
      </c>
      <c r="D46" s="13">
        <v>0</v>
      </c>
      <c r="E46" s="13">
        <f t="shared" si="0"/>
        <v>36183</v>
      </c>
      <c r="F46" s="14" t="str">
        <f t="shared" si="3"/>
        <v/>
      </c>
      <c r="G46" s="15">
        <v>40790.35</v>
      </c>
      <c r="H46" s="15">
        <f t="shared" si="1"/>
        <v>-4607.3499999999985</v>
      </c>
      <c r="I46" s="16">
        <f t="shared" si="2"/>
        <v>-0.11295196045143027</v>
      </c>
      <c r="J46" s="56" t="s">
        <v>832</v>
      </c>
      <c r="K46" s="56"/>
      <c r="L46" s="56"/>
      <c r="M46" s="97"/>
      <c r="N46" s="97"/>
      <c r="O46" s="97"/>
      <c r="P46" s="97"/>
    </row>
    <row r="47" spans="1:21" ht="129.6">
      <c r="A47" s="30" t="str">
        <v>Kingsburg Joint UHSD - Kingsburg HS</v>
      </c>
      <c r="B47" s="31" t="str">
        <v>CA</v>
      </c>
      <c r="C47" s="11">
        <v>67503</v>
      </c>
      <c r="D47" s="18">
        <v>0</v>
      </c>
      <c r="E47" s="18">
        <f t="shared" si="0"/>
        <v>67503</v>
      </c>
      <c r="F47" s="19" t="str">
        <f t="shared" si="3"/>
        <v/>
      </c>
      <c r="G47" s="20">
        <v>74370.13</v>
      </c>
      <c r="H47" s="20">
        <f t="shared" si="1"/>
        <v>-6867.1300000000047</v>
      </c>
      <c r="I47" s="19">
        <f t="shared" si="2"/>
        <v>-9.2337205810988962E-2</v>
      </c>
      <c r="J47" s="58" t="s">
        <v>833</v>
      </c>
      <c r="K47" s="90" t="s">
        <v>834</v>
      </c>
      <c r="L47" s="54" t="s">
        <v>835</v>
      </c>
      <c r="M47" s="98" t="s">
        <v>836</v>
      </c>
      <c r="N47" s="98" t="s">
        <v>735</v>
      </c>
      <c r="O47" s="97"/>
      <c r="P47" s="97"/>
    </row>
    <row r="48" spans="1:21" ht="26.45">
      <c r="A48" s="28" t="str">
        <v>CADRB</v>
      </c>
      <c r="B48" s="29" t="str">
        <v>CA</v>
      </c>
      <c r="C48" s="24">
        <v>0</v>
      </c>
      <c r="D48" s="13"/>
      <c r="E48" s="13" t="str">
        <f t="shared" si="0"/>
        <v/>
      </c>
      <c r="F48" s="14" t="str">
        <f t="shared" si="3"/>
        <v/>
      </c>
      <c r="G48" s="15">
        <v>609656</v>
      </c>
      <c r="H48" s="15">
        <f t="shared" si="1"/>
        <v>-609656</v>
      </c>
      <c r="I48" s="16">
        <f t="shared" si="2"/>
        <v>-1</v>
      </c>
      <c r="J48" s="56" t="s">
        <v>736</v>
      </c>
      <c r="K48" s="91" t="s">
        <v>737</v>
      </c>
      <c r="L48" s="56" t="s">
        <v>783</v>
      </c>
      <c r="M48" s="98" t="s">
        <v>738</v>
      </c>
      <c r="N48" s="98" t="s">
        <v>739</v>
      </c>
      <c r="O48" s="97"/>
      <c r="P48" s="97"/>
    </row>
    <row r="49" spans="1:16" ht="72">
      <c r="A49" s="30" t="str">
        <v>CDCR-CA State Prison LA County</v>
      </c>
      <c r="B49" s="31" t="str">
        <v>CA</v>
      </c>
      <c r="C49" s="11">
        <v>196095</v>
      </c>
      <c r="D49" s="18">
        <v>195732</v>
      </c>
      <c r="E49" s="18">
        <f t="shared" si="0"/>
        <v>363</v>
      </c>
      <c r="F49" s="19">
        <f t="shared" si="3"/>
        <v>1.8545766660535835E-3</v>
      </c>
      <c r="G49" s="20">
        <v>359023.79</v>
      </c>
      <c r="H49" s="20">
        <f t="shared" si="1"/>
        <v>-162928.78999999998</v>
      </c>
      <c r="I49" s="19">
        <f t="shared" si="2"/>
        <v>-0.45381056781780393</v>
      </c>
      <c r="J49" s="58" t="s">
        <v>740</v>
      </c>
      <c r="K49" s="90" t="s">
        <v>837</v>
      </c>
      <c r="L49" s="54" t="s">
        <v>783</v>
      </c>
      <c r="M49" s="97"/>
      <c r="N49" s="97"/>
      <c r="O49" s="97"/>
      <c r="P49" s="97"/>
    </row>
    <row r="50" spans="1:16" ht="61.15" customHeight="1">
      <c r="A50" s="28" t="str">
        <v>Central USD Akers ES</v>
      </c>
      <c r="B50" s="29" t="str">
        <v>CA</v>
      </c>
      <c r="C50" s="24">
        <v>0</v>
      </c>
      <c r="D50" s="13">
        <v>0</v>
      </c>
      <c r="E50" s="13">
        <f t="shared" si="0"/>
        <v>0</v>
      </c>
      <c r="F50" s="14" t="str">
        <f t="shared" si="3"/>
        <v/>
      </c>
      <c r="G50" s="15">
        <v>27801.62</v>
      </c>
      <c r="H50" s="15">
        <f t="shared" si="1"/>
        <v>-27801.62</v>
      </c>
      <c r="I50" s="16">
        <f t="shared" si="2"/>
        <v>-1</v>
      </c>
      <c r="J50" s="56" t="s">
        <v>838</v>
      </c>
      <c r="K50" s="91" t="s">
        <v>839</v>
      </c>
      <c r="L50" s="56" t="s">
        <v>791</v>
      </c>
      <c r="M50" s="98" t="s">
        <v>840</v>
      </c>
      <c r="N50" s="97"/>
      <c r="O50" s="97"/>
      <c r="P50" s="97"/>
    </row>
    <row r="51" spans="1:16" ht="43.15">
      <c r="A51" s="30" t="str">
        <v>CUSD - District Office</v>
      </c>
      <c r="B51" s="31" t="str">
        <v>CA</v>
      </c>
      <c r="C51" s="11">
        <v>2821</v>
      </c>
      <c r="D51" s="18">
        <v>2800</v>
      </c>
      <c r="E51" s="18">
        <f t="shared" si="0"/>
        <v>21</v>
      </c>
      <c r="F51" s="19">
        <f t="shared" si="3"/>
        <v>7.4999999999999997E-3</v>
      </c>
      <c r="G51" s="20">
        <v>21032.85</v>
      </c>
      <c r="H51" s="20">
        <f t="shared" si="1"/>
        <v>-18211.849999999999</v>
      </c>
      <c r="I51" s="19">
        <f t="shared" si="2"/>
        <v>-0.86587647418205327</v>
      </c>
      <c r="J51" s="58" t="s">
        <v>743</v>
      </c>
      <c r="K51" s="90" t="s">
        <v>841</v>
      </c>
      <c r="L51" s="54" t="s">
        <v>791</v>
      </c>
      <c r="M51" s="98" t="s">
        <v>745</v>
      </c>
      <c r="N51" s="97"/>
      <c r="O51" s="97"/>
      <c r="P51" s="97"/>
    </row>
    <row r="52" spans="1:16" ht="28.9">
      <c r="A52" s="28" t="str">
        <v>Parlier - WTP</v>
      </c>
      <c r="B52" s="29" t="str">
        <v>CA</v>
      </c>
      <c r="C52" s="24">
        <v>25797</v>
      </c>
      <c r="D52" s="13">
        <v>25730</v>
      </c>
      <c r="E52" s="13">
        <f t="shared" si="0"/>
        <v>67</v>
      </c>
      <c r="F52" s="14">
        <f t="shared" si="3"/>
        <v>2.6039642440730663E-3</v>
      </c>
      <c r="G52" s="15">
        <v>63124.53</v>
      </c>
      <c r="H52" s="15">
        <f t="shared" si="1"/>
        <v>-37327.53</v>
      </c>
      <c r="I52" s="16">
        <f t="shared" si="2"/>
        <v>-0.59133161070664608</v>
      </c>
      <c r="J52" s="56" t="s">
        <v>842</v>
      </c>
      <c r="K52" s="91" t="s">
        <v>843</v>
      </c>
      <c r="L52" s="56" t="s">
        <v>783</v>
      </c>
      <c r="M52" s="97"/>
      <c r="N52" s="97"/>
      <c r="O52" s="97"/>
      <c r="P52" s="97"/>
    </row>
    <row r="53" spans="1:16" ht="15.6">
      <c r="A53" s="30" t="str">
        <v>Snowline SD - Quail Valley MS</v>
      </c>
      <c r="B53" s="31" t="str">
        <v>CA</v>
      </c>
      <c r="C53" s="11">
        <v>0</v>
      </c>
      <c r="D53" s="18">
        <v>0</v>
      </c>
      <c r="E53" s="18">
        <f t="shared" si="0"/>
        <v>0</v>
      </c>
      <c r="F53" s="19" t="str">
        <f t="shared" si="3"/>
        <v/>
      </c>
      <c r="G53" s="20">
        <v>32791.26</v>
      </c>
      <c r="H53" s="20">
        <f t="shared" si="1"/>
        <v>-32791.26</v>
      </c>
      <c r="I53" s="19">
        <f t="shared" si="2"/>
        <v>-1</v>
      </c>
      <c r="J53" s="54" t="s">
        <v>746</v>
      </c>
      <c r="K53" s="90" t="s">
        <v>844</v>
      </c>
      <c r="L53" s="54" t="s">
        <v>783</v>
      </c>
      <c r="M53" s="97"/>
      <c r="N53" s="97"/>
      <c r="O53" s="97"/>
      <c r="P53" s="97"/>
    </row>
    <row r="54" spans="1:16" ht="28.9">
      <c r="A54" s="28" t="str">
        <v>Snowline SD - Serrano HS - Middle Lot</v>
      </c>
      <c r="B54" s="29" t="str">
        <v>CA</v>
      </c>
      <c r="C54" s="24">
        <v>44048</v>
      </c>
      <c r="D54" s="13">
        <v>43975</v>
      </c>
      <c r="E54" s="13">
        <f t="shared" si="0"/>
        <v>73</v>
      </c>
      <c r="F54" s="14">
        <f t="shared" si="3"/>
        <v>1.6600341102899375E-3</v>
      </c>
      <c r="G54" s="15">
        <v>37883.050000000003</v>
      </c>
      <c r="H54" s="15">
        <f t="shared" si="1"/>
        <v>6164.9499999999971</v>
      </c>
      <c r="I54" s="16">
        <f t="shared" si="2"/>
        <v>0.16273636890377086</v>
      </c>
      <c r="J54" s="56" t="s">
        <v>750</v>
      </c>
      <c r="K54" s="91" t="s">
        <v>845</v>
      </c>
      <c r="L54" s="56" t="s">
        <v>783</v>
      </c>
      <c r="M54" s="97"/>
      <c r="N54" s="97"/>
      <c r="O54" s="97"/>
      <c r="P54" s="97"/>
    </row>
    <row r="55" spans="1:16" ht="57.6">
      <c r="A55" s="30" t="str">
        <v>Snowline SD - Pinon Hills ES</v>
      </c>
      <c r="B55" s="31" t="str">
        <v>CA</v>
      </c>
      <c r="C55" s="11">
        <v>21526</v>
      </c>
      <c r="D55" s="18">
        <v>21503</v>
      </c>
      <c r="E55" s="18">
        <f t="shared" si="0"/>
        <v>23</v>
      </c>
      <c r="F55" s="19">
        <f t="shared" si="3"/>
        <v>1.0696181928103055E-3</v>
      </c>
      <c r="G55" s="20">
        <v>20769.98</v>
      </c>
      <c r="H55" s="20">
        <f t="shared" si="1"/>
        <v>756.02000000000044</v>
      </c>
      <c r="I55" s="19">
        <f t="shared" si="2"/>
        <v>3.6399649879296968E-2</v>
      </c>
      <c r="J55" s="58" t="s">
        <v>846</v>
      </c>
      <c r="K55" s="90" t="s">
        <v>847</v>
      </c>
      <c r="L55" s="54" t="s">
        <v>783</v>
      </c>
      <c r="M55" s="97"/>
      <c r="N55" s="97"/>
      <c r="O55" s="97"/>
      <c r="P55" s="97"/>
    </row>
    <row r="56" spans="1:16" ht="28.9">
      <c r="A56" s="28" t="str">
        <v>Ramona - Santa Maria WTP</v>
      </c>
      <c r="B56" s="29" t="str">
        <v>CA</v>
      </c>
      <c r="C56" s="24">
        <v>64354</v>
      </c>
      <c r="D56" s="13">
        <v>56705</v>
      </c>
      <c r="E56" s="13">
        <f t="shared" si="0"/>
        <v>7649</v>
      </c>
      <c r="F56" s="14">
        <f t="shared" si="3"/>
        <v>0.13489110307733004</v>
      </c>
      <c r="G56" s="15">
        <v>58560.47</v>
      </c>
      <c r="H56" s="15">
        <f t="shared" si="1"/>
        <v>5793.5299999999988</v>
      </c>
      <c r="I56" s="16">
        <f t="shared" si="2"/>
        <v>9.8932436846903699E-2</v>
      </c>
      <c r="J56" s="56" t="s">
        <v>848</v>
      </c>
      <c r="K56" s="91" t="s">
        <v>849</v>
      </c>
      <c r="L56" s="56" t="s">
        <v>804</v>
      </c>
      <c r="M56" s="97"/>
      <c r="N56" s="97"/>
      <c r="O56" s="97"/>
      <c r="P56" s="97"/>
    </row>
    <row r="57" spans="1:16" ht="43.15">
      <c r="A57" s="30" t="str">
        <v>Kohls - Redding</v>
      </c>
      <c r="B57" s="31" t="str">
        <v>CA</v>
      </c>
      <c r="C57" s="11">
        <v>22904</v>
      </c>
      <c r="D57" s="18">
        <v>0</v>
      </c>
      <c r="E57" s="18">
        <f t="shared" si="0"/>
        <v>22904</v>
      </c>
      <c r="F57" s="19" t="str">
        <f t="shared" si="3"/>
        <v/>
      </c>
      <c r="G57" s="20">
        <v>25486.18</v>
      </c>
      <c r="H57" s="20">
        <f t="shared" si="1"/>
        <v>-2582.1800000000003</v>
      </c>
      <c r="I57" s="19">
        <f t="shared" si="2"/>
        <v>-0.1013168705549439</v>
      </c>
      <c r="J57" s="58" t="s">
        <v>850</v>
      </c>
      <c r="K57" s="90" t="s">
        <v>851</v>
      </c>
      <c r="L57" s="54" t="s">
        <v>777</v>
      </c>
      <c r="M57" s="97"/>
      <c r="N57" s="97"/>
      <c r="O57" s="97"/>
      <c r="P57" s="97"/>
    </row>
    <row r="58" spans="1:16" ht="100.9">
      <c r="A58" s="28" t="str">
        <v>Kohls - Salinas</v>
      </c>
      <c r="B58" s="29" t="str">
        <v>CA</v>
      </c>
      <c r="C58" s="24">
        <v>32620</v>
      </c>
      <c r="D58" s="13">
        <v>32242</v>
      </c>
      <c r="E58" s="13">
        <f t="shared" si="0"/>
        <v>378</v>
      </c>
      <c r="F58" s="14">
        <f t="shared" si="3"/>
        <v>1.1723838471558836E-2</v>
      </c>
      <c r="G58" s="15">
        <v>36362.99</v>
      </c>
      <c r="H58" s="15">
        <f t="shared" si="1"/>
        <v>-3742.989999999998</v>
      </c>
      <c r="I58" s="16">
        <f t="shared" si="2"/>
        <v>-0.10293405465282141</v>
      </c>
      <c r="J58" s="56" t="s">
        <v>670</v>
      </c>
      <c r="K58" s="91" t="s">
        <v>852</v>
      </c>
      <c r="L58" s="56" t="s">
        <v>853</v>
      </c>
      <c r="M58" s="98" t="s">
        <v>221</v>
      </c>
      <c r="N58" s="98" t="s">
        <v>673</v>
      </c>
      <c r="O58" s="98" t="s">
        <v>854</v>
      </c>
      <c r="P58" s="97"/>
    </row>
    <row r="59" spans="1:16" ht="15.6" hidden="1">
      <c r="A59" s="30" t="str">
        <v>Kohls - San Bernardino - Central</v>
      </c>
      <c r="B59" s="31" t="str">
        <v>CA</v>
      </c>
      <c r="C59" s="11">
        <v>73946</v>
      </c>
      <c r="D59" s="18">
        <v>73496</v>
      </c>
      <c r="E59" s="18">
        <f t="shared" si="0"/>
        <v>450</v>
      </c>
      <c r="F59" s="19">
        <f t="shared" si="3"/>
        <v>6.1227821922281486E-3</v>
      </c>
      <c r="G59" s="20">
        <v>134997.59</v>
      </c>
      <c r="H59" s="20">
        <f t="shared" si="1"/>
        <v>-61051.59</v>
      </c>
      <c r="I59" s="19">
        <f t="shared" si="2"/>
        <v>-0.45224207335849476</v>
      </c>
      <c r="J59" s="58"/>
      <c r="K59" s="57"/>
      <c r="L59" s="54"/>
      <c r="M59" s="97"/>
      <c r="N59" s="97"/>
      <c r="O59" s="97"/>
      <c r="P59" s="97"/>
    </row>
    <row r="60" spans="1:16" ht="28.9">
      <c r="A60" s="28" t="str">
        <v>Kohls - Sonora</v>
      </c>
      <c r="B60" s="29" t="str">
        <v>CA</v>
      </c>
      <c r="C60" s="24">
        <v>23338</v>
      </c>
      <c r="D60" s="13">
        <v>23176</v>
      </c>
      <c r="E60" s="13">
        <f t="shared" si="0"/>
        <v>162</v>
      </c>
      <c r="F60" s="14">
        <f t="shared" si="3"/>
        <v>6.9899896444597862E-3</v>
      </c>
      <c r="G60" s="15">
        <v>27175.88</v>
      </c>
      <c r="H60" s="15">
        <f t="shared" si="1"/>
        <v>-3837.880000000001</v>
      </c>
      <c r="I60" s="16">
        <f t="shared" si="2"/>
        <v>-0.14122376165923609</v>
      </c>
      <c r="J60" s="56" t="s">
        <v>754</v>
      </c>
      <c r="K60" s="91" t="s">
        <v>855</v>
      </c>
      <c r="L60" s="56" t="s">
        <v>791</v>
      </c>
      <c r="M60" s="98" t="s">
        <v>590</v>
      </c>
      <c r="N60" s="97"/>
      <c r="O60" s="97"/>
      <c r="P60" s="97"/>
    </row>
    <row r="61" spans="1:16" ht="15.6">
      <c r="A61" s="30" t="str">
        <v>CUSD - Stratford ES</v>
      </c>
      <c r="B61" s="31" t="str">
        <v>CA</v>
      </c>
      <c r="C61" s="11">
        <v>21484</v>
      </c>
      <c r="D61" s="18">
        <v>21437</v>
      </c>
      <c r="E61" s="18">
        <f t="shared" si="0"/>
        <v>47</v>
      </c>
      <c r="F61" s="19">
        <f t="shared" si="3"/>
        <v>2.1924709614218408E-3</v>
      </c>
      <c r="G61" s="20">
        <v>18559.36</v>
      </c>
      <c r="H61" s="20">
        <f t="shared" si="1"/>
        <v>2924.6399999999994</v>
      </c>
      <c r="I61" s="19">
        <f t="shared" si="2"/>
        <v>0.15758302010414149</v>
      </c>
      <c r="J61" s="58" t="s">
        <v>756</v>
      </c>
      <c r="K61" s="90" t="s">
        <v>856</v>
      </c>
      <c r="L61" s="54" t="s">
        <v>783</v>
      </c>
      <c r="M61" s="97"/>
      <c r="N61" s="97"/>
      <c r="O61" s="97"/>
      <c r="P61" s="97"/>
    </row>
    <row r="62" spans="1:16" ht="57.6">
      <c r="A62" s="28" t="str">
        <v>Taft - City Hall</v>
      </c>
      <c r="B62" s="29" t="str">
        <v>CA</v>
      </c>
      <c r="C62" s="24">
        <v>8596</v>
      </c>
      <c r="D62" s="13">
        <v>504</v>
      </c>
      <c r="E62" s="13">
        <f t="shared" si="0"/>
        <v>8092</v>
      </c>
      <c r="F62" s="14">
        <f t="shared" si="3"/>
        <v>16.055555555555557</v>
      </c>
      <c r="G62" s="15">
        <v>7590.23</v>
      </c>
      <c r="H62" s="15">
        <f t="shared" si="1"/>
        <v>1005.7700000000004</v>
      </c>
      <c r="I62" s="16">
        <f t="shared" si="2"/>
        <v>0.13250850105991524</v>
      </c>
      <c r="J62" s="56" t="s">
        <v>857</v>
      </c>
      <c r="K62" s="91" t="s">
        <v>858</v>
      </c>
      <c r="L62" s="56" t="s">
        <v>804</v>
      </c>
      <c r="M62" s="97"/>
      <c r="N62" s="97"/>
      <c r="O62" s="97"/>
      <c r="P62" s="97"/>
    </row>
    <row r="63" spans="1:16" ht="29.25" customHeight="1">
      <c r="A63" s="30" t="str">
        <v>Taft - Federal Prison</v>
      </c>
      <c r="B63" s="31" t="str">
        <v>CA</v>
      </c>
      <c r="C63" s="11">
        <v>6655</v>
      </c>
      <c r="D63" s="18">
        <v>6644</v>
      </c>
      <c r="E63" s="18">
        <f t="shared" si="0"/>
        <v>11</v>
      </c>
      <c r="F63" s="19">
        <f t="shared" si="3"/>
        <v>1.6556291390728477E-3</v>
      </c>
      <c r="G63" s="20">
        <v>13028.25</v>
      </c>
      <c r="H63" s="20">
        <f t="shared" si="1"/>
        <v>-6373.25</v>
      </c>
      <c r="I63" s="19">
        <f t="shared" si="2"/>
        <v>-0.48918695910809201</v>
      </c>
      <c r="J63" s="54" t="s">
        <v>859</v>
      </c>
      <c r="K63" s="90" t="s">
        <v>860</v>
      </c>
      <c r="L63" s="54" t="s">
        <v>783</v>
      </c>
      <c r="M63" s="97"/>
      <c r="N63" s="97"/>
      <c r="O63" s="97"/>
      <c r="P63" s="97"/>
    </row>
    <row r="64" spans="1:16" ht="15.6">
      <c r="A64" s="28" t="str">
        <v>Taft - Police Department</v>
      </c>
      <c r="B64" s="29" t="str">
        <v>CA</v>
      </c>
      <c r="C64" s="24">
        <v>8308</v>
      </c>
      <c r="D64" s="13">
        <v>8197</v>
      </c>
      <c r="E64" s="13">
        <f t="shared" si="0"/>
        <v>111</v>
      </c>
      <c r="F64" s="14">
        <f t="shared" si="3"/>
        <v>1.3541539587654019E-2</v>
      </c>
      <c r="G64" s="15">
        <v>8693.7099999999991</v>
      </c>
      <c r="H64" s="15">
        <f t="shared" si="1"/>
        <v>-385.70999999999913</v>
      </c>
      <c r="I64" s="16">
        <f t="shared" si="2"/>
        <v>-4.4366559271013087E-2</v>
      </c>
      <c r="J64" s="56"/>
      <c r="K64" s="56"/>
      <c r="L64" s="56"/>
      <c r="M64" s="97"/>
      <c r="N64" s="97"/>
      <c r="O64" s="97"/>
      <c r="P64" s="97"/>
    </row>
    <row r="65" spans="1:16" ht="43.15">
      <c r="A65" s="30" t="str">
        <v>Taft - WTP</v>
      </c>
      <c r="B65" s="31" t="str">
        <v>CA</v>
      </c>
      <c r="C65" s="11">
        <v>47223</v>
      </c>
      <c r="D65" s="18">
        <v>47040</v>
      </c>
      <c r="E65" s="18">
        <f t="shared" si="0"/>
        <v>183</v>
      </c>
      <c r="F65" s="19">
        <f t="shared" si="3"/>
        <v>3.8903061224489794E-3</v>
      </c>
      <c r="G65" s="20">
        <v>57834.45</v>
      </c>
      <c r="H65" s="20">
        <f t="shared" si="1"/>
        <v>-10611.449999999997</v>
      </c>
      <c r="I65" s="19">
        <f t="shared" si="2"/>
        <v>-0.18347974261015706</v>
      </c>
      <c r="J65" s="122" t="s">
        <v>861</v>
      </c>
      <c r="K65" s="90" t="s">
        <v>862</v>
      </c>
      <c r="L65" s="54" t="s">
        <v>863</v>
      </c>
      <c r="M65" s="97"/>
      <c r="N65" s="97"/>
      <c r="O65" s="97"/>
      <c r="P65" s="97"/>
    </row>
    <row r="66" spans="1:16" ht="57.6">
      <c r="A66" s="28" t="str">
        <v>CDCR - CA Correctional Institution</v>
      </c>
      <c r="B66" s="29" t="str">
        <v>CA</v>
      </c>
      <c r="C66" s="24">
        <v>167168</v>
      </c>
      <c r="D66" s="13">
        <v>166195</v>
      </c>
      <c r="E66" s="13">
        <f t="shared" si="0"/>
        <v>973</v>
      </c>
      <c r="F66" s="14">
        <f t="shared" si="3"/>
        <v>5.8545684286530879E-3</v>
      </c>
      <c r="G66" s="15"/>
      <c r="H66" s="15" t="str">
        <f t="shared" si="1"/>
        <v/>
      </c>
      <c r="I66" s="16" t="str">
        <f t="shared" si="2"/>
        <v/>
      </c>
      <c r="J66" s="56" t="s">
        <v>864</v>
      </c>
      <c r="K66" s="91" t="s">
        <v>865</v>
      </c>
      <c r="L66" s="56" t="s">
        <v>866</v>
      </c>
      <c r="M66" s="98" t="s">
        <v>867</v>
      </c>
      <c r="N66" s="98" t="s">
        <v>868</v>
      </c>
      <c r="O66" s="97"/>
      <c r="P66" s="97"/>
    </row>
    <row r="67" spans="1:16" ht="36.4" customHeight="1">
      <c r="A67" s="30" t="str">
        <v>CDCR - CA Correctional Institution II</v>
      </c>
      <c r="B67" s="31" t="str">
        <v>CA</v>
      </c>
      <c r="C67" s="11">
        <v>225664</v>
      </c>
      <c r="D67" s="18">
        <v>224608</v>
      </c>
      <c r="E67" s="18">
        <f t="shared" si="0"/>
        <v>1056</v>
      </c>
      <c r="F67" s="19">
        <f t="shared" si="3"/>
        <v>4.7015244336800115E-3</v>
      </c>
      <c r="G67" s="20">
        <v>269313.8</v>
      </c>
      <c r="H67" s="20">
        <f t="shared" si="1"/>
        <v>-43649.799999999988</v>
      </c>
      <c r="I67" s="19">
        <f t="shared" si="2"/>
        <v>-0.16207784376441159</v>
      </c>
      <c r="J67" s="54" t="s">
        <v>869</v>
      </c>
      <c r="K67" s="90" t="s">
        <v>870</v>
      </c>
      <c r="L67" s="54" t="s">
        <v>871</v>
      </c>
      <c r="M67" s="98" t="s">
        <v>872</v>
      </c>
      <c r="N67" s="97"/>
      <c r="O67" s="97"/>
      <c r="P67" s="97"/>
    </row>
    <row r="68" spans="1:16" ht="28.9">
      <c r="A68" s="28" t="str">
        <v>Snowline SD - Vista Verde ES</v>
      </c>
      <c r="B68" s="29" t="str">
        <v>CA</v>
      </c>
      <c r="C68" s="24">
        <v>0</v>
      </c>
      <c r="D68" s="13">
        <v>0</v>
      </c>
      <c r="E68" s="13">
        <f t="shared" si="0"/>
        <v>0</v>
      </c>
      <c r="F68" s="14" t="str">
        <f t="shared" si="3"/>
        <v/>
      </c>
      <c r="G68" s="15">
        <v>23784.99</v>
      </c>
      <c r="H68" s="15">
        <f t="shared" si="1"/>
        <v>-23784.99</v>
      </c>
      <c r="I68" s="16">
        <f t="shared" si="2"/>
        <v>-1</v>
      </c>
      <c r="J68" s="56" t="s">
        <v>873</v>
      </c>
      <c r="K68" s="91" t="s">
        <v>874</v>
      </c>
      <c r="L68" s="56" t="s">
        <v>783</v>
      </c>
      <c r="M68" s="97"/>
      <c r="N68" s="97"/>
      <c r="O68" s="97"/>
      <c r="P68" s="97"/>
    </row>
    <row r="69" spans="1:16" ht="36.4" customHeight="1">
      <c r="A69" s="30" t="str">
        <v>North Stonington</v>
      </c>
      <c r="B69" s="31" t="str">
        <v>CT</v>
      </c>
      <c r="C69" s="11">
        <v>1227440</v>
      </c>
      <c r="D69" s="18" t="s">
        <v>24</v>
      </c>
      <c r="E69" s="18"/>
      <c r="F69" s="19" t="str">
        <f t="shared" si="3"/>
        <v/>
      </c>
      <c r="G69" s="123" t="s">
        <v>24</v>
      </c>
      <c r="H69" s="20"/>
      <c r="I69" s="19"/>
      <c r="J69" s="54"/>
      <c r="K69" s="57"/>
      <c r="L69" s="54"/>
      <c r="M69" s="97"/>
      <c r="N69" s="97"/>
      <c r="O69" s="97"/>
      <c r="P69" s="97"/>
    </row>
    <row r="70" spans="1:16" ht="15.6">
      <c r="A70" s="28" t="str">
        <v>CT: Torrington - 2-298 Rossi Road</v>
      </c>
      <c r="B70" s="29" t="str">
        <v>CT</v>
      </c>
      <c r="C70" s="24"/>
      <c r="D70" s="13"/>
      <c r="E70" s="13"/>
      <c r="F70" s="14" t="str">
        <f t="shared" ref="F70" si="4">IFERROR(E70/D70, "")</f>
        <v/>
      </c>
      <c r="G70" s="15"/>
      <c r="H70" s="15"/>
      <c r="I70" s="16"/>
      <c r="J70" s="56" t="s">
        <v>875</v>
      </c>
      <c r="K70" s="56"/>
      <c r="L70" s="56"/>
      <c r="M70" s="97"/>
      <c r="N70" s="97"/>
      <c r="O70" s="97"/>
      <c r="P70" s="97"/>
    </row>
    <row r="71" spans="1:16" ht="14.45">
      <c r="A71" s="21"/>
      <c r="B71" s="33"/>
      <c r="C71" s="21"/>
      <c r="D71" s="21"/>
      <c r="E71" s="21"/>
      <c r="F71" s="22"/>
      <c r="G71" s="21"/>
      <c r="H71" s="21"/>
      <c r="I71" s="22"/>
      <c r="J71" s="21"/>
      <c r="K71" s="21"/>
      <c r="L71" s="42"/>
    </row>
    <row r="72" spans="1:16" ht="14.45">
      <c r="A72" s="21"/>
      <c r="B72" s="33"/>
      <c r="C72" s="21"/>
      <c r="D72" s="21"/>
      <c r="E72" s="21"/>
      <c r="F72" s="22"/>
      <c r="G72" s="21"/>
      <c r="H72" s="21"/>
      <c r="I72" s="22"/>
      <c r="J72" s="21"/>
      <c r="K72" s="21"/>
    </row>
    <row r="73" spans="1:16" ht="14.45">
      <c r="A73" s="21"/>
      <c r="B73" s="33"/>
      <c r="C73" s="21"/>
      <c r="D73" s="21"/>
      <c r="E73" s="21"/>
      <c r="F73" s="22"/>
      <c r="G73" s="21"/>
      <c r="H73" s="21"/>
      <c r="I73" s="22"/>
      <c r="J73" s="21"/>
      <c r="K73" s="21"/>
    </row>
    <row r="74" spans="1:16" ht="14.45">
      <c r="A74" s="21"/>
      <c r="B74" s="33"/>
      <c r="C74" s="21"/>
      <c r="D74" s="21"/>
      <c r="E74" s="21"/>
      <c r="F74" s="22"/>
      <c r="G74" s="21"/>
      <c r="H74" s="21"/>
      <c r="I74" s="22"/>
      <c r="J74" s="21"/>
      <c r="K74" s="21"/>
    </row>
    <row r="75" spans="1:16" ht="14.45">
      <c r="A75" s="21"/>
      <c r="B75" s="33"/>
      <c r="C75" s="21"/>
      <c r="D75" s="21"/>
      <c r="E75" s="21"/>
      <c r="F75" s="22"/>
      <c r="G75" s="21"/>
      <c r="H75" s="21"/>
      <c r="I75" s="22"/>
      <c r="J75" s="21"/>
      <c r="K75" s="21"/>
    </row>
    <row r="76" spans="1:16" ht="14.45">
      <c r="A76" s="21"/>
      <c r="B76" s="33"/>
      <c r="C76" s="21"/>
      <c r="D76" s="21"/>
      <c r="E76" s="21"/>
      <c r="F76" s="22"/>
      <c r="G76" s="21"/>
      <c r="H76" s="21"/>
      <c r="I76" s="22"/>
      <c r="J76" s="21"/>
      <c r="K76" s="21"/>
    </row>
    <row r="77" spans="1:16" ht="14.45">
      <c r="A77" s="21"/>
      <c r="B77" s="33"/>
      <c r="C77" s="21"/>
      <c r="D77" s="21"/>
      <c r="E77" s="21"/>
      <c r="F77" s="22"/>
      <c r="G77" s="21"/>
      <c r="H77" s="21"/>
      <c r="I77" s="22"/>
      <c r="J77" s="21"/>
      <c r="K77" s="21"/>
    </row>
    <row r="78" spans="1:16" ht="14.45">
      <c r="A78" s="21"/>
      <c r="B78" s="33"/>
      <c r="C78" s="21"/>
      <c r="D78" s="21"/>
      <c r="E78" s="21"/>
      <c r="F78" s="22"/>
      <c r="G78" s="21"/>
      <c r="H78" s="21"/>
      <c r="I78" s="22"/>
      <c r="J78" s="21"/>
      <c r="K78" s="21"/>
    </row>
    <row r="79" spans="1:16" ht="14.45">
      <c r="A79" s="21"/>
      <c r="B79" s="33"/>
      <c r="C79" s="21"/>
      <c r="D79" s="21"/>
      <c r="E79" s="21"/>
      <c r="F79" s="22"/>
      <c r="G79" s="21"/>
      <c r="H79" s="21"/>
      <c r="I79" s="22"/>
      <c r="J79" s="21"/>
      <c r="K79" s="21"/>
    </row>
    <row r="80" spans="1:16"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22" priority="3" stopIfTrue="1" operator="lessThanOrEqual">
      <formula>-0.1</formula>
    </cfRule>
    <cfRule type="expression" dxfId="21" priority="4">
      <formula>AND(ISNUMBER(F2), F2&gt;=0.1)</formula>
    </cfRule>
  </conditionalFormatting>
  <conditionalFormatting sqref="F4:F100 I4:I100">
    <cfRule type="cellIs" dxfId="20" priority="1" stopIfTrue="1" operator="lessThanOrEqual">
      <formula>-0.1</formula>
    </cfRule>
    <cfRule type="expression" dxfId="19" priority="2">
      <formula>AND(ISNUMBER(F4), F4&gt;=0.1)</formula>
    </cfRule>
  </conditionalFormatting>
  <hyperlinks>
    <hyperlink ref="K37" r:id="rId1" display="https://us3.assetplanner.com/service_request?ID=094440" xr:uid="{521C53BF-A2BB-4EA1-8601-AFBCC7DF5416}"/>
    <hyperlink ref="K6" r:id="rId2" display="https://us3.assetplanner.com/service_request?ID=107527" xr:uid="{7A2ED2CE-37A3-4B0E-9C7A-62D99611C490}"/>
    <hyperlink ref="K7" r:id="rId3" display="https://us3.assetplanner.com/service_request?ID=109562" xr:uid="{B68D0A9C-E763-4251-8667-41901884A31C}"/>
    <hyperlink ref="K8" r:id="rId4" display="https://us3.assetplanner.com/service_request?ID=106870" xr:uid="{0473D619-BBDB-4CEB-9898-2126F562D2A3}"/>
    <hyperlink ref="N8" r:id="rId5" display="https://us3.assetplanner.com/service_request?ID=106870" xr:uid="{5D304555-E34E-4375-B98F-EA61210085FA}"/>
    <hyperlink ref="K10" r:id="rId6" display="https://us3.assetplanner.com/service_request?ID=102467" xr:uid="{4C6B6C7B-A84A-4A44-943A-C9B8EFD978C9}"/>
    <hyperlink ref="K11" r:id="rId7" display="https://us3.assetplanner.com/service_request?ID=108676" xr:uid="{C7BFD1A8-FEC5-4D6E-AAAC-AA108DA3D7C5}"/>
    <hyperlink ref="K12" r:id="rId8" display="https://us3.assetplanner.com/service_request?ID=107924" xr:uid="{8130A1B2-4E03-4F45-9A44-B13D98E53938}"/>
    <hyperlink ref="K14" r:id="rId9" display="https://us3.assetplanner.com/service_request?ID=107455" xr:uid="{94CBA746-0575-4B3C-B320-39E421394DE7}"/>
    <hyperlink ref="K17" r:id="rId10" display="https://us3.assetplanner.com/service_request?ID=103499" xr:uid="{A3FEE3F3-8671-4A87-A3D7-B0C922837525}"/>
    <hyperlink ref="K19" r:id="rId11" display="https://us3.assetplanner.com/service_request?ID=107460" xr:uid="{5EE7E69E-D28D-437D-A6DF-E205B236DA04}"/>
    <hyperlink ref="K20" r:id="rId12" display="https://us3.assetplanner.com/service_request?ID=106427" xr:uid="{9D20E64C-94D3-4161-9A61-45FD361C40C1}"/>
    <hyperlink ref="K21" r:id="rId13" display="https://us3.assetplanner.com/service_request?ID=109232" xr:uid="{BA0233EA-AF01-486F-AB3D-B670A8084564}"/>
    <hyperlink ref="K23" r:id="rId14" display="https://us3.assetplanner.com/service_request?ID=095623" xr:uid="{5E34AE05-1AF9-432B-9BCB-87D7BF109178}"/>
    <hyperlink ref="N23" r:id="rId15" display="https://us3.assetplanner.com/service_request?ID=109136" xr:uid="{9A5B2485-9498-48C0-A0DC-D131EF0AAFE7}"/>
    <hyperlink ref="K25" r:id="rId16" display="https://us3.assetplanner.com/service_request?ID=107459" xr:uid="{8CE427A5-27A6-4310-A0F9-E9F18D505BB7}"/>
    <hyperlink ref="K27" r:id="rId17" display="https://us3.assetplanner.com/service_request?ID=107638" xr:uid="{8A4C6E17-8B3F-4F54-8BA5-D923454FFDD1}"/>
    <hyperlink ref="K29" r:id="rId18" display="https://us3.assetplanner.com/service_request?ID=108134" xr:uid="{E058C776-6EA6-45F6-A205-1E817B942A41}"/>
    <hyperlink ref="K32" r:id="rId19" display="https://us3.assetplanner.com/service_request?ID=109483" xr:uid="{B3687D70-82D0-4621-A7A1-FF04616E539F}"/>
    <hyperlink ref="K35" r:id="rId20" display="https://us3.assetplanner.com/service_request?ID=107266" xr:uid="{75958566-1C84-4588-98EF-55A9815FF4D9}"/>
    <hyperlink ref="K38" r:id="rId21" display="https://us3.assetplanner.com/service_request?ID=107533" xr:uid="{2266F811-9EF2-49B4-BD2E-3C563BF00473}"/>
    <hyperlink ref="K40" r:id="rId22" display="https://us3.assetplanner.com/service_request?ID=105065" xr:uid="{6541B005-8CF9-4F00-8514-B697A1500EAA}"/>
    <hyperlink ref="K41" r:id="rId23" display="https://us3.assetplanner.com/service_request?ID=106181" xr:uid="{B55C20A4-E972-418F-9BA4-0022B4FB36FC}"/>
    <hyperlink ref="N41" r:id="rId24" display="https://us3.assetplanner.com/service_request?ID=108912" xr:uid="{1E67132E-E6D3-4B9C-B5A7-6C517B4A874D}"/>
    <hyperlink ref="K42" r:id="rId25" display="https://us3.assetplanner.com/service_request?ID=107787" xr:uid="{A0AD2AE8-8950-4A05-8E54-35F2C2E5C536}"/>
    <hyperlink ref="K43" r:id="rId26" display="https://us3.assetplanner.com/service_request?ID=104027" xr:uid="{9790DAF6-8FB9-485B-8F1A-18EB0D66F8DC}"/>
    <hyperlink ref="O43" r:id="rId27" display="https://us3.assetplanner.com/service_request?ID=103159" xr:uid="{1FF31B2F-E497-4366-8235-8F68C7C69586}"/>
    <hyperlink ref="P43" r:id="rId28" display="https://us3.assetplanner.com/service_request?ID=105161" xr:uid="{23F56F39-6B59-4A61-8116-E97A70C14FCF}"/>
    <hyperlink ref="Q43" r:id="rId29" display="https://us3.assetplanner.com/service_request?ID=105162" xr:uid="{79517D92-5857-4BD6-8553-C58A7DBE6534}"/>
    <hyperlink ref="M43" r:id="rId30" display="https://us3.assetplanner.com/service_request?ID=105124" xr:uid="{6431E9AD-7400-433D-B7BE-889119AAF837}"/>
    <hyperlink ref="S43" r:id="rId31" display="https://us3.assetplanner.com/service_request?ID=089461" xr:uid="{AD1F1BF8-CF71-4838-8516-4F7B00285FDA}"/>
    <hyperlink ref="T43" r:id="rId32" display="https://us3.assetplanner.com/service_request?ID=105124" xr:uid="{2D33C5DE-54E6-4092-B5C2-7DB43B9475AD}"/>
    <hyperlink ref="U43" r:id="rId33" display="https://us3.assetplanner.com/service_request?ID=101136" xr:uid="{B32739BE-BF32-4270-A5F3-477985BC719D}"/>
    <hyperlink ref="K44" r:id="rId34" display="https://us3.assetplanner.com/service_request?ID=092276" xr:uid="{B868DE7A-BC08-44EC-BA6D-07684CD5EFDE}"/>
    <hyperlink ref="K45" r:id="rId35" display="https://us3.assetplanner.com/service_request?ID=110028" xr:uid="{67527696-2D33-47AB-A199-644FF079D001}"/>
    <hyperlink ref="K47" r:id="rId36" display="https://us3.assetplanner.com/service_request?ID=105133" xr:uid="{62849AFA-E2FB-428D-B6A3-50DAE693DB40}"/>
    <hyperlink ref="N47" r:id="rId37" display="https://us3.assetplanner.com/service_request?ID=108327" xr:uid="{00E97CAC-0558-49D5-B81F-38C55DA585A2}"/>
    <hyperlink ref="K48" r:id="rId38" display="https://us3.assetplanner.com/service_request?ID=108500" xr:uid="{C912799F-9FBB-4868-B891-CC077A3CFC71}"/>
    <hyperlink ref="N48" r:id="rId39" display="https://us3.assetplanner.com/service_request?ID=106577" xr:uid="{E5E2D235-3AEF-490D-A029-B567C7005EBA}"/>
    <hyperlink ref="K49" r:id="rId40" display="https://us3.assetplanner.com/service_request?ID=107891" xr:uid="{2DAE1A3B-A537-4A39-8B28-C882907B0B43}"/>
    <hyperlink ref="K50" r:id="rId41" display="https://us3.assetplanner.com/service_request?ID=104249" xr:uid="{3F93CA03-07E2-4645-8F25-04AB73BE00B5}"/>
    <hyperlink ref="K51" r:id="rId42" display="https://us3.assetplanner.com/service_request?ID=109811" xr:uid="{91C9D845-8B67-45E8-A977-E5E90F38965C}"/>
    <hyperlink ref="K52" r:id="rId43" display="https://us3.assetplanner.com/service_request?ID=108694" xr:uid="{9A8E2691-CCAF-48B0-9F60-FFDB541EBB1E}"/>
    <hyperlink ref="K53" r:id="rId44" display="https://us3.assetplanner.com/service_request?ID=109509" xr:uid="{E9A64059-305F-4A7C-AC6D-0E7B034CC6AD}"/>
    <hyperlink ref="K54" r:id="rId45" display="https://us3.assetplanner.com/service_request?ID=107941" xr:uid="{7AE7BE25-27E3-4C34-89A0-229BD8F41714}"/>
    <hyperlink ref="K55" r:id="rId46" display="https://us3.assetplanner.com/service_request?ID=102897" xr:uid="{DBCD35E6-E33D-4414-925F-2B238560225D}"/>
    <hyperlink ref="K56" r:id="rId47" display="https://us3.assetplanner.com/service_request?ID=110590" xr:uid="{E17A194D-F2C3-4DE6-BF9E-B4A4ECDBA66F}"/>
    <hyperlink ref="K57" r:id="rId48" display="https://us3.assetplanner.com/service_request?ID=107807" xr:uid="{7127C31B-0892-4217-8D66-D963B1EE5149}"/>
    <hyperlink ref="K58" r:id="rId49" display="https://us3.assetplanner.com/service_request?ID=109852" xr:uid="{A186AC96-8D34-4BF3-A92F-A30BEBE65B7E}"/>
    <hyperlink ref="N58" r:id="rId50" display="https://us3.assetplanner.com/service_request?ID=103833" xr:uid="{7F3B587B-E79C-4B44-A8B2-C79A63007BD1}"/>
    <hyperlink ref="O58" r:id="rId51" display="https://us3.assetplanner.com/service_request?ID=108212" xr:uid="{3A0E6D6E-2B34-4084-9074-953793258718}"/>
    <hyperlink ref="K60" r:id="rId52" display="https://us3.assetplanner.com/service_request?ID=096348" xr:uid="{16CAFF1E-6165-40BD-B6BB-73B13BBE658A}"/>
    <hyperlink ref="K61" r:id="rId53" display="https://us3.assetplanner.com/service_request?ID=108137" xr:uid="{563391E3-E2EC-4906-93CF-321B22BA6E45}"/>
    <hyperlink ref="K62" r:id="rId54" display="https://us3.assetplanner.com/service_request?ID=110601" xr:uid="{A5EC3371-5976-4F64-ACE7-650826E03432}"/>
    <hyperlink ref="K63" r:id="rId55" display="https://us3.assetplanner.com/service_request?ID=109477" xr:uid="{99E1488F-AF67-4F3A-A846-950C0428BA95}"/>
    <hyperlink ref="K65" r:id="rId56" display="https://us3.assetplanner.com/service_request?ID=109499" xr:uid="{E3461C9A-BDDE-4390-9F03-12FBCE07FD99}"/>
    <hyperlink ref="K66" r:id="rId57" display="https://us3.assetplanner.com/service_request?ID=109406" xr:uid="{9F46B633-313E-4E3D-8AE3-F29B6CE60BBB}"/>
    <hyperlink ref="N66" r:id="rId58" display="https://us3.assetplanner.com/service_request?ID=109789" xr:uid="{6841E2BD-F6FF-4524-BB6B-2D4CBB43CE23}"/>
    <hyperlink ref="K67" r:id="rId59" display="https://us3.assetplanner.com/service_request?ID=109098" xr:uid="{018865F2-E8FE-4609-9BD0-CD4D25728395}"/>
    <hyperlink ref="K68" r:id="rId60" display="https://us3.assetplanner.com/service_request?ID=109808" xr:uid="{AF4B2D49-0811-4B4F-93AB-B03B7866AF47}"/>
    <hyperlink ref="M67" r:id="rId61" display="https://us3.assetplanner.com/service_request?ID=109517" xr:uid="{CD604CA8-11DC-44E8-8FB9-1EE4BB7102FE}"/>
    <hyperlink ref="M66" r:id="rId62" display="https://us3.assetplanner.com/service_request?ID=109516" xr:uid="{9652F8F6-EEC7-420E-9463-23600D8B566D}"/>
    <hyperlink ref="M60" r:id="rId63" display="https://us3.assetplanner.com/service_request?ID=105126" xr:uid="{AB98C009-B694-41CC-A141-8B7851FBDA0E}"/>
    <hyperlink ref="M58" r:id="rId64" display="https://us3.assetplanner.com/service_request?ID=095449" xr:uid="{4397E676-5F1B-41D4-ACA9-80A8A8205708}"/>
    <hyperlink ref="M51" r:id="rId65" display="https://us3.assetplanner.com/service_request?ID=108487" xr:uid="{FB78E38A-817E-4101-91C8-BD28C359AB42}"/>
    <hyperlink ref="M50" r:id="rId66" display="https://us3.assetplanner.com/service_request?ID=108213" xr:uid="{CC655BB1-BCFE-4BDB-AA6B-1159B8F7A8ED}"/>
    <hyperlink ref="M48" r:id="rId67" display="https://us3.assetplanner.com/service_request?ID=108289" xr:uid="{26E4188D-8818-4F33-8651-60D01C9A8C1E}"/>
    <hyperlink ref="M47" r:id="rId68" display="https://us3.assetplanner.com/service_request?ID=105907" xr:uid="{EF923F46-E31C-40D1-8C6F-AEC8931D1F13}"/>
    <hyperlink ref="M45" r:id="rId69" display="https://us3.assetplanner.com/service_request?ID=108839" xr:uid="{53B33471-464C-430B-BAB1-8D4AFD15BFD6}"/>
    <hyperlink ref="M44" r:id="rId70" display="https://us3.assetplanner.com/service_request?ID=108962" xr:uid="{C9D4249F-B941-4683-A3AD-E1E671527A99}"/>
    <hyperlink ref="N43" r:id="rId71" display="https://us3.assetplanner.com/service_request?ID=102346" xr:uid="{6AA5A82F-AB85-4567-826A-463529789502}"/>
    <hyperlink ref="M41" r:id="rId72" display="https://us3.assetplanner.com/service_request?ID=092753" xr:uid="{2540D5A2-4A11-4B5C-A142-61817B8BAC96}"/>
    <hyperlink ref="M40" r:id="rId73" display="https://us3.assetplanner.com/service_request?ID=105063" xr:uid="{B30E0757-AF45-4F6A-91EA-34BC8E79A6C8}"/>
    <hyperlink ref="M37" r:id="rId74" display="https://us3.assetplanner.com/service_request?ID=106741" xr:uid="{CFD73553-1125-428F-B308-1914581EC19F}"/>
    <hyperlink ref="M29" r:id="rId75" display="https://us3.assetplanner.com/service_request?ID=109478" xr:uid="{2F11AB85-D731-4A89-874A-DEEFF49C949F}"/>
    <hyperlink ref="M23" r:id="rId76" display="https://us3.assetplanner.com/service_request?ID=108240" xr:uid="{BADE187D-44A3-4CEA-879D-10D2729145A0}"/>
    <hyperlink ref="M14" r:id="rId77" display="https://us3.assetplanner.com/service_request?ID=109327" xr:uid="{CBB66619-6423-4369-8F00-570D4066FF1A}"/>
    <hyperlink ref="M12" r:id="rId78" display="https://us3.assetplanner.com/service_request?ID=102796" xr:uid="{EFD927EF-9B9B-4447-A5D1-EAA7C0D8D729}"/>
    <hyperlink ref="M8" r:id="rId79" display="https://us3.assetplanner.com/service_request?ID=109643" xr:uid="{1B4A4E7A-E33C-4861-990C-80E259E140AA}"/>
    <hyperlink ref="M6" r:id="rId80" display="https://us3.assetplanner.com/service_request?ID=110262" xr:uid="{D810FCE7-977C-4DC1-846A-6EB8BA8FE1C5}"/>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U342"/>
  <sheetViews>
    <sheetView zoomScale="70" zoomScaleNormal="70" workbookViewId="0">
      <pane xSplit="2" ySplit="3" topLeftCell="C37" activePane="bottomRight" state="frozen"/>
      <selection pane="bottomRight" activeCell="B44" sqref="B44"/>
      <selection pane="bottomLeft" activeCell="J66" sqref="J66"/>
      <selection pane="topRight" activeCell="J66" sqref="J66"/>
    </sheetView>
  </sheetViews>
  <sheetFormatPr defaultRowHeight="14.25" customHeight="1"/>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2.85546875" customWidth="1"/>
  </cols>
  <sheetData>
    <row r="1" spans="1:13" ht="19.5" customHeight="1">
      <c r="A1" s="132" t="str" cm="1">
        <f t="array" ref="A1">portfolio</f>
        <v>Silicon Ranch</v>
      </c>
      <c r="B1" s="132"/>
      <c r="C1" s="132"/>
      <c r="D1" s="133" t="s">
        <v>876</v>
      </c>
      <c r="E1" s="133"/>
      <c r="F1" s="133"/>
      <c r="G1" s="131" t="s">
        <v>877</v>
      </c>
      <c r="H1" s="131"/>
      <c r="I1" s="131"/>
      <c r="J1" s="4"/>
      <c r="K1" s="4"/>
      <c r="L1" s="4"/>
    </row>
    <row r="2" spans="1:13" ht="19.5" customHeight="1">
      <c r="A2" s="134" t="s">
        <v>2</v>
      </c>
      <c r="B2" s="134"/>
      <c r="C2" s="5">
        <f>SUM(C4:C100)</f>
        <v>1848076.91</v>
      </c>
      <c r="D2" s="5">
        <f>SUM(D4:D100)</f>
        <v>1054022</v>
      </c>
      <c r="E2" s="5">
        <f>C2-D2</f>
        <v>794054.90999999992</v>
      </c>
      <c r="F2" s="6">
        <f>IFERROR(E2/D2, 0)</f>
        <v>0.7533570551658314</v>
      </c>
      <c r="G2" s="5">
        <f>SUM(G4:G100)</f>
        <v>1997095.3300000003</v>
      </c>
      <c r="H2" s="7">
        <f>C2-G2</f>
        <v>-149018.42000000039</v>
      </c>
      <c r="I2" s="6">
        <f>IFERROR(H2/G2, 0)</f>
        <v>-7.4617579722646668E-2</v>
      </c>
      <c r="J2" s="2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c r="L2" s="4"/>
    </row>
    <row r="3" spans="1:13" ht="14.25" customHeight="1">
      <c r="A3" s="8" t="s">
        <v>3</v>
      </c>
      <c r="B3" s="8" t="s">
        <v>4</v>
      </c>
      <c r="C3" s="23" t="s">
        <v>5</v>
      </c>
      <c r="D3" s="35" t="s">
        <v>6</v>
      </c>
      <c r="E3" s="35" t="s">
        <v>7</v>
      </c>
      <c r="F3" s="36" t="s">
        <v>8</v>
      </c>
      <c r="G3" s="37" t="s">
        <v>9</v>
      </c>
      <c r="H3" s="38" t="s">
        <v>7</v>
      </c>
      <c r="I3" s="39" t="s">
        <v>8</v>
      </c>
      <c r="J3" s="25" t="s">
        <v>20</v>
      </c>
      <c r="K3" s="25" t="s">
        <v>21</v>
      </c>
      <c r="L3" s="25" t="s">
        <v>770</v>
      </c>
    </row>
    <row r="4" spans="1:13" ht="15.6">
      <c r="A4" s="32" t="str" cm="1">
        <f t="array" ref="A4:A70">Sites[Site]</f>
        <v>Iron Mountain - Windsor</v>
      </c>
      <c r="B4" s="29" t="str" cm="1">
        <f t="array" ref="B4:B70">Sites[State]</f>
        <v>CT</v>
      </c>
      <c r="C4" s="24">
        <v>14574</v>
      </c>
      <c r="D4" s="13">
        <v>14481</v>
      </c>
      <c r="E4" s="13">
        <f>IF(AND(ISNUMBER(C4),ISNUMBER(D4)), C4-D4, "")</f>
        <v>93</v>
      </c>
      <c r="F4" s="14">
        <f>IFERROR(E4/D4, "")</f>
        <v>6.4222084110213381E-3</v>
      </c>
      <c r="G4" s="15">
        <v>13125.6</v>
      </c>
      <c r="H4" s="15">
        <f>IF(AND(ISNUMBER(C4),ISNUMBER(G4)), C4-G4, "")</f>
        <v>1448.3999999999996</v>
      </c>
      <c r="I4" s="16">
        <f>IFERROR(H4/G4, "")</f>
        <v>0.11034924117754615</v>
      </c>
      <c r="J4" s="76" t="s">
        <v>878</v>
      </c>
      <c r="K4" s="76"/>
      <c r="L4" s="101"/>
    </row>
    <row r="5" spans="1:13" ht="15.6">
      <c r="A5" s="30" t="str">
        <v>Kohls - Auburn</v>
      </c>
      <c r="B5" s="31" t="str">
        <v>NY</v>
      </c>
      <c r="C5" s="11">
        <v>10406</v>
      </c>
      <c r="D5" s="18">
        <v>10235</v>
      </c>
      <c r="E5" s="18">
        <f t="shared" ref="E5:E69" si="0">IF(AND(ISNUMBER(C5),ISNUMBER(D5)), C5-D5, "")</f>
        <v>171</v>
      </c>
      <c r="F5" s="19">
        <f>IFERROR(E5/D5, "")</f>
        <v>1.6707376648754275E-2</v>
      </c>
      <c r="G5" s="18">
        <v>12463.81</v>
      </c>
      <c r="H5" s="20">
        <f t="shared" ref="H5:H69" si="1">IF(AND(ISNUMBER(C5),ISNUMBER(G5)), C5-G5, "")</f>
        <v>-2057.8099999999995</v>
      </c>
      <c r="I5" s="19">
        <f t="shared" ref="I5:I66" si="2">IFERROR(H5/G5, "")</f>
        <v>-0.16510280564289728</v>
      </c>
      <c r="J5" s="130" t="s">
        <v>878</v>
      </c>
      <c r="K5" s="130"/>
      <c r="L5" s="130"/>
    </row>
    <row r="6" spans="1:13" ht="43.15">
      <c r="A6" s="28" t="str">
        <v>Kohls - Bensalem</v>
      </c>
      <c r="B6" s="29" t="str">
        <v>PA</v>
      </c>
      <c r="C6" s="24">
        <v>5504</v>
      </c>
      <c r="D6" s="13">
        <v>0</v>
      </c>
      <c r="E6" s="13">
        <f t="shared" si="0"/>
        <v>5504</v>
      </c>
      <c r="F6" s="14" t="str">
        <f t="shared" ref="F6:F17" si="3">IFERROR(E6/D6, "")</f>
        <v/>
      </c>
      <c r="G6" s="15">
        <v>16298.65</v>
      </c>
      <c r="H6" s="15">
        <f t="shared" si="1"/>
        <v>-10794.65</v>
      </c>
      <c r="I6" s="16">
        <f t="shared" si="2"/>
        <v>-0.66230331960008959</v>
      </c>
      <c r="J6" s="76" t="s">
        <v>879</v>
      </c>
      <c r="K6" s="91" t="s">
        <v>880</v>
      </c>
      <c r="L6" s="101" t="s">
        <v>881</v>
      </c>
      <c r="M6" s="89" t="s">
        <v>882</v>
      </c>
    </row>
    <row r="7" spans="1:13" ht="15.6">
      <c r="A7" s="30" t="str">
        <v>Kohls - Brick</v>
      </c>
      <c r="B7" s="31" t="str">
        <v>NJ</v>
      </c>
      <c r="C7" s="11">
        <v>19578</v>
      </c>
      <c r="D7" s="18">
        <v>19553</v>
      </c>
      <c r="E7" s="18">
        <f t="shared" si="0"/>
        <v>25</v>
      </c>
      <c r="F7" s="19">
        <f t="shared" si="3"/>
        <v>1.2785761775686594E-3</v>
      </c>
      <c r="G7" s="20">
        <v>20493.61</v>
      </c>
      <c r="H7" s="20">
        <f t="shared" si="1"/>
        <v>-915.61000000000058</v>
      </c>
      <c r="I7" s="19">
        <f t="shared" si="2"/>
        <v>-4.4677828845186403E-2</v>
      </c>
      <c r="J7" s="130"/>
      <c r="K7" s="73"/>
      <c r="L7" s="73"/>
    </row>
    <row r="8" spans="1:13" ht="15.6">
      <c r="A8" s="28" t="str">
        <v>Kohls - Buffalo</v>
      </c>
      <c r="B8" s="29" t="str">
        <v>NY</v>
      </c>
      <c r="C8" s="24">
        <v>12368</v>
      </c>
      <c r="D8" s="13">
        <v>0</v>
      </c>
      <c r="E8" s="13">
        <f t="shared" si="0"/>
        <v>12368</v>
      </c>
      <c r="F8" s="14" t="str">
        <f t="shared" si="3"/>
        <v/>
      </c>
      <c r="G8" s="15">
        <v>14541.79</v>
      </c>
      <c r="H8" s="15">
        <f t="shared" si="1"/>
        <v>-2173.7900000000009</v>
      </c>
      <c r="I8" s="16">
        <f t="shared" si="2"/>
        <v>-0.14948572355947931</v>
      </c>
      <c r="J8" s="76" t="s">
        <v>883</v>
      </c>
      <c r="K8" s="76"/>
      <c r="L8" s="101"/>
    </row>
    <row r="9" spans="1:13" ht="15.6">
      <c r="A9" s="30" t="str">
        <v>Kohls - Canton</v>
      </c>
      <c r="B9" s="31" t="str">
        <v>CT</v>
      </c>
      <c r="C9" s="11">
        <v>7377</v>
      </c>
      <c r="D9" s="18">
        <v>7257</v>
      </c>
      <c r="E9" s="18">
        <f t="shared" si="0"/>
        <v>120</v>
      </c>
      <c r="F9" s="19">
        <f t="shared" si="3"/>
        <v>1.6535758577924761E-2</v>
      </c>
      <c r="G9" s="20">
        <v>6014.89</v>
      </c>
      <c r="H9" s="20">
        <f t="shared" si="1"/>
        <v>1362.1099999999997</v>
      </c>
      <c r="I9" s="19">
        <f t="shared" si="2"/>
        <v>0.22645634417254507</v>
      </c>
      <c r="J9" s="130" t="s">
        <v>878</v>
      </c>
      <c r="K9" s="73"/>
      <c r="L9" s="73"/>
    </row>
    <row r="10" spans="1:13" ht="15.6">
      <c r="A10" s="28" t="str">
        <v>Kohls - East Amherst</v>
      </c>
      <c r="B10" s="29" t="str">
        <v>NY</v>
      </c>
      <c r="C10" s="24">
        <v>10590</v>
      </c>
      <c r="D10" s="13">
        <v>10317</v>
      </c>
      <c r="E10" s="13">
        <f t="shared" si="0"/>
        <v>273</v>
      </c>
      <c r="F10" s="14">
        <f t="shared" si="3"/>
        <v>2.6461180575748765E-2</v>
      </c>
      <c r="G10" s="15">
        <v>14162.28</v>
      </c>
      <c r="H10" s="15">
        <f t="shared" si="1"/>
        <v>-3572.2800000000007</v>
      </c>
      <c r="I10" s="16">
        <f t="shared" si="2"/>
        <v>-0.252239046255264</v>
      </c>
      <c r="J10" s="76" t="s">
        <v>884</v>
      </c>
      <c r="K10" s="76"/>
      <c r="L10" s="101"/>
    </row>
    <row r="11" spans="1:13" ht="28.9">
      <c r="A11" s="30" t="str">
        <v>Kohls - East Brunswick</v>
      </c>
      <c r="B11" s="31" t="str">
        <v>NJ</v>
      </c>
      <c r="C11" s="11">
        <v>24676.6</v>
      </c>
      <c r="D11" s="18">
        <v>0</v>
      </c>
      <c r="E11" s="18">
        <f t="shared" si="0"/>
        <v>24676.6</v>
      </c>
      <c r="F11" s="19" t="str">
        <f t="shared" si="3"/>
        <v/>
      </c>
      <c r="G11" s="20">
        <v>26357.96</v>
      </c>
      <c r="H11" s="20">
        <f t="shared" si="1"/>
        <v>-1681.3600000000006</v>
      </c>
      <c r="I11" s="19">
        <f t="shared" si="2"/>
        <v>-6.3789458668273291E-2</v>
      </c>
      <c r="J11" s="130" t="s">
        <v>885</v>
      </c>
      <c r="K11" s="90" t="s">
        <v>886</v>
      </c>
      <c r="L11" s="130" t="s">
        <v>887</v>
      </c>
    </row>
    <row r="12" spans="1:13" ht="106.5" customHeight="1">
      <c r="A12" s="28" t="str">
        <v>Kohls - Edgewood</v>
      </c>
      <c r="B12" s="29" t="str">
        <v>MD</v>
      </c>
      <c r="C12" s="24">
        <v>93038</v>
      </c>
      <c r="D12" s="13">
        <v>91548</v>
      </c>
      <c r="E12" s="13">
        <f t="shared" si="0"/>
        <v>1490</v>
      </c>
      <c r="F12" s="14">
        <f t="shared" si="3"/>
        <v>1.6275614977935074E-2</v>
      </c>
      <c r="G12" s="15">
        <v>146491.22</v>
      </c>
      <c r="H12" s="15">
        <f t="shared" si="1"/>
        <v>-53453.22</v>
      </c>
      <c r="I12" s="16">
        <f t="shared" si="2"/>
        <v>-0.36489026441311639</v>
      </c>
      <c r="J12" s="76" t="s">
        <v>888</v>
      </c>
      <c r="K12" s="91" t="s">
        <v>889</v>
      </c>
      <c r="L12" s="101" t="s">
        <v>890</v>
      </c>
      <c r="M12" s="89" t="s">
        <v>891</v>
      </c>
    </row>
    <row r="13" spans="1:13" ht="15.6">
      <c r="A13" s="30" t="str">
        <v>Kohls - Granite Run</v>
      </c>
      <c r="B13" s="31" t="str">
        <v>PA</v>
      </c>
      <c r="C13" s="11">
        <v>16556</v>
      </c>
      <c r="D13" s="18">
        <v>16300</v>
      </c>
      <c r="E13" s="18">
        <f t="shared" si="0"/>
        <v>256</v>
      </c>
      <c r="F13" s="19">
        <f t="shared" si="3"/>
        <v>1.5705521472392639E-2</v>
      </c>
      <c r="G13" s="20">
        <v>16470.849999999999</v>
      </c>
      <c r="H13" s="20">
        <f t="shared" si="1"/>
        <v>85.150000000001455</v>
      </c>
      <c r="I13" s="19">
        <f t="shared" si="2"/>
        <v>5.1697392666438871E-3</v>
      </c>
      <c r="J13" s="130"/>
      <c r="K13" s="73"/>
      <c r="L13" s="73"/>
    </row>
    <row r="14" spans="1:13" ht="39" customHeight="1">
      <c r="A14" s="28" t="str">
        <v>Kohls - Greece</v>
      </c>
      <c r="B14" s="29" t="str">
        <v>NY</v>
      </c>
      <c r="C14" s="24">
        <v>10368</v>
      </c>
      <c r="D14" s="13">
        <v>10062</v>
      </c>
      <c r="E14" s="13">
        <f t="shared" si="0"/>
        <v>306</v>
      </c>
      <c r="F14" s="14">
        <f t="shared" si="3"/>
        <v>3.041144901610018E-2</v>
      </c>
      <c r="G14" s="15">
        <v>14816.86</v>
      </c>
      <c r="H14" s="15">
        <f t="shared" si="1"/>
        <v>-4448.8600000000006</v>
      </c>
      <c r="I14" s="16">
        <f t="shared" si="2"/>
        <v>-0.30025659957642853</v>
      </c>
      <c r="J14" s="76" t="s">
        <v>892</v>
      </c>
      <c r="K14" s="91" t="s">
        <v>893</v>
      </c>
      <c r="L14" s="101" t="s">
        <v>817</v>
      </c>
    </row>
    <row r="15" spans="1:13" ht="19.149999999999999" customHeight="1">
      <c r="A15" s="30" t="str">
        <v>Kohls - Hanover</v>
      </c>
      <c r="B15" s="31" t="str">
        <v>PA</v>
      </c>
      <c r="C15" s="11">
        <v>20535</v>
      </c>
      <c r="D15" s="18">
        <v>20281</v>
      </c>
      <c r="E15" s="18">
        <f t="shared" si="0"/>
        <v>254</v>
      </c>
      <c r="F15" s="19">
        <f t="shared" si="3"/>
        <v>1.2524037276268428E-2</v>
      </c>
      <c r="G15" s="20">
        <v>17173.259999999998</v>
      </c>
      <c r="H15" s="20">
        <f t="shared" si="1"/>
        <v>3361.7400000000016</v>
      </c>
      <c r="I15" s="19">
        <f t="shared" si="2"/>
        <v>0.19575432969628376</v>
      </c>
      <c r="J15" s="130" t="s">
        <v>894</v>
      </c>
      <c r="K15" s="130"/>
      <c r="L15" s="130"/>
    </row>
    <row r="16" spans="1:13" ht="15.6">
      <c r="A16" s="28" t="str">
        <v>Kohls - Horsehead</v>
      </c>
      <c r="B16" s="29" t="str">
        <v>NY</v>
      </c>
      <c r="C16" s="24">
        <v>11306</v>
      </c>
      <c r="D16" s="13">
        <v>11082</v>
      </c>
      <c r="E16" s="13">
        <f t="shared" si="0"/>
        <v>224</v>
      </c>
      <c r="F16" s="14">
        <f t="shared" si="3"/>
        <v>2.0212957949828549E-2</v>
      </c>
      <c r="G16" s="15">
        <v>12500.57</v>
      </c>
      <c r="H16" s="15">
        <f t="shared" si="1"/>
        <v>-1194.5699999999997</v>
      </c>
      <c r="I16" s="16">
        <f t="shared" si="2"/>
        <v>-9.5561242407346203E-2</v>
      </c>
      <c r="J16" s="76"/>
      <c r="K16" s="76"/>
      <c r="L16" s="101"/>
    </row>
    <row r="17" spans="1:14" ht="31.15">
      <c r="A17" s="30" t="str">
        <v>Kohls - Hudson</v>
      </c>
      <c r="B17" s="31" t="str">
        <v>NY</v>
      </c>
      <c r="C17" s="11">
        <v>0</v>
      </c>
      <c r="D17" s="18">
        <v>0</v>
      </c>
      <c r="E17" s="18">
        <f t="shared" si="0"/>
        <v>0</v>
      </c>
      <c r="F17" s="19" t="str">
        <f t="shared" si="3"/>
        <v/>
      </c>
      <c r="G17" s="20">
        <v>15374.87</v>
      </c>
      <c r="H17" s="20">
        <f t="shared" si="1"/>
        <v>-15374.87</v>
      </c>
      <c r="I17" s="19">
        <f t="shared" si="2"/>
        <v>-1</v>
      </c>
      <c r="J17" s="130" t="s">
        <v>885</v>
      </c>
      <c r="K17" s="90" t="s">
        <v>623</v>
      </c>
      <c r="L17" s="73" t="s">
        <v>895</v>
      </c>
    </row>
    <row r="18" spans="1:14" ht="12.75" customHeight="1">
      <c r="A18" s="32" t="str">
        <v>Kohls - Ithaca</v>
      </c>
      <c r="B18" s="29" t="str">
        <v>NY</v>
      </c>
      <c r="C18" s="24">
        <v>10095</v>
      </c>
      <c r="D18" s="13">
        <v>9886</v>
      </c>
      <c r="E18" s="13">
        <f t="shared" si="0"/>
        <v>209</v>
      </c>
      <c r="F18" s="14">
        <f>IFERROR(E18/D18, "")</f>
        <v>2.1141007485332795E-2</v>
      </c>
      <c r="G18" s="15">
        <v>14283.74</v>
      </c>
      <c r="H18" s="15">
        <f t="shared" si="1"/>
        <v>-4188.74</v>
      </c>
      <c r="I18" s="16">
        <f t="shared" si="2"/>
        <v>-0.29325232747165658</v>
      </c>
      <c r="J18" s="76" t="s">
        <v>810</v>
      </c>
      <c r="K18" s="76"/>
      <c r="L18" s="101"/>
    </row>
    <row r="19" spans="1:14" ht="72">
      <c r="A19" s="30" t="str">
        <v>Kohls - Kingston</v>
      </c>
      <c r="B19" s="31" t="str">
        <v>NY</v>
      </c>
      <c r="C19" s="11">
        <v>18368</v>
      </c>
      <c r="D19" s="18">
        <v>18011</v>
      </c>
      <c r="E19" s="18">
        <f t="shared" si="0"/>
        <v>357</v>
      </c>
      <c r="F19" s="19">
        <f>IFERROR(E19/D19, "")</f>
        <v>1.9821220365332296E-2</v>
      </c>
      <c r="G19" s="20">
        <v>24045.22</v>
      </c>
      <c r="H19" s="20">
        <f t="shared" si="1"/>
        <v>-5677.2200000000012</v>
      </c>
      <c r="I19" s="19">
        <f t="shared" si="2"/>
        <v>-0.23610597033422862</v>
      </c>
      <c r="J19" s="130" t="s">
        <v>810</v>
      </c>
      <c r="K19" s="130"/>
      <c r="L19" s="130"/>
    </row>
    <row r="20" spans="1:14" ht="15.6">
      <c r="A20" s="28" t="str">
        <v>Kohls - Mechanicsburg</v>
      </c>
      <c r="B20" s="29" t="str">
        <v>PA</v>
      </c>
      <c r="C20" s="24">
        <v>21285</v>
      </c>
      <c r="D20" s="13">
        <v>20977</v>
      </c>
      <c r="E20" s="13">
        <f t="shared" si="0"/>
        <v>308</v>
      </c>
      <c r="F20" s="14">
        <f>IFERROR(E20/D20, "")</f>
        <v>1.4682747771368642E-2</v>
      </c>
      <c r="G20" s="15">
        <v>19917.650000000001</v>
      </c>
      <c r="H20" s="15">
        <f t="shared" si="1"/>
        <v>1367.3499999999985</v>
      </c>
      <c r="I20" s="16">
        <f t="shared" si="2"/>
        <v>6.8650167062881337E-2</v>
      </c>
      <c r="J20" s="76"/>
      <c r="K20" s="76"/>
      <c r="L20" s="101"/>
    </row>
    <row r="21" spans="1:14" ht="15.6">
      <c r="A21" s="30" t="str">
        <v>Kohls - Middletown</v>
      </c>
      <c r="B21" s="31" t="str">
        <v>NJ</v>
      </c>
      <c r="C21" s="11">
        <v>12671</v>
      </c>
      <c r="D21" s="18">
        <v>12257</v>
      </c>
      <c r="E21" s="18">
        <f t="shared" si="0"/>
        <v>414</v>
      </c>
      <c r="F21" s="19">
        <f>IFERROR(E21/D21, "")</f>
        <v>3.3776617443093744E-2</v>
      </c>
      <c r="G21" s="20">
        <v>28927.89</v>
      </c>
      <c r="H21" s="20">
        <f t="shared" si="1"/>
        <v>-16256.89</v>
      </c>
      <c r="I21" s="19">
        <f t="shared" si="2"/>
        <v>-0.56197980564776762</v>
      </c>
      <c r="J21" s="130" t="s">
        <v>896</v>
      </c>
      <c r="K21" s="90" t="s">
        <v>897</v>
      </c>
      <c r="L21" s="73" t="s">
        <v>817</v>
      </c>
    </row>
    <row r="22" spans="1:14" ht="34.5" customHeight="1">
      <c r="A22" s="28" t="str">
        <v>Kohls - North Amherst</v>
      </c>
      <c r="B22" s="29" t="str">
        <v>NY</v>
      </c>
      <c r="C22" s="24">
        <v>9209</v>
      </c>
      <c r="D22" s="13">
        <v>9024</v>
      </c>
      <c r="E22" s="13">
        <f t="shared" si="0"/>
        <v>185</v>
      </c>
      <c r="F22" s="14">
        <f>IFERROR(E22/D22, "")</f>
        <v>2.0500886524822695E-2</v>
      </c>
      <c r="G22" s="15">
        <v>12776.32</v>
      </c>
      <c r="H22" s="15">
        <f t="shared" si="1"/>
        <v>-3567.3199999999997</v>
      </c>
      <c r="I22" s="16">
        <f t="shared" si="2"/>
        <v>-0.27921341982667935</v>
      </c>
      <c r="J22" s="76" t="s">
        <v>898</v>
      </c>
      <c r="K22" s="91" t="s">
        <v>899</v>
      </c>
      <c r="L22" s="101" t="s">
        <v>804</v>
      </c>
    </row>
    <row r="23" spans="1:14" ht="43.15">
      <c r="A23" s="30" t="str">
        <v>Kohls - Staten Island</v>
      </c>
      <c r="B23" s="31" t="str">
        <v>NY</v>
      </c>
      <c r="C23" s="11">
        <v>13758</v>
      </c>
      <c r="D23" s="18">
        <v>0</v>
      </c>
      <c r="E23" s="18">
        <f t="shared" si="0"/>
        <v>13758</v>
      </c>
      <c r="F23" s="19" t="str">
        <f t="shared" ref="F23:F68" si="4">IFERROR(E23/D23, "")</f>
        <v/>
      </c>
      <c r="G23" s="20">
        <v>17583.53</v>
      </c>
      <c r="H23" s="20">
        <f t="shared" si="1"/>
        <v>-3825.5299999999988</v>
      </c>
      <c r="I23" s="19">
        <f t="shared" si="2"/>
        <v>-0.21756325379488642</v>
      </c>
      <c r="J23" s="130" t="s">
        <v>900</v>
      </c>
      <c r="K23" s="90" t="s">
        <v>901</v>
      </c>
      <c r="L23" s="130" t="s">
        <v>902</v>
      </c>
      <c r="M23" s="89" t="s">
        <v>39</v>
      </c>
      <c r="N23" s="89" t="s">
        <v>800</v>
      </c>
    </row>
    <row r="24" spans="1:14" ht="15.6">
      <c r="A24" s="28" t="str">
        <v>Kohls - Warminster</v>
      </c>
      <c r="B24" s="29" t="str">
        <v>PA</v>
      </c>
      <c r="C24" s="24">
        <v>21070</v>
      </c>
      <c r="D24" s="13">
        <v>20725</v>
      </c>
      <c r="E24" s="13">
        <f t="shared" si="0"/>
        <v>345</v>
      </c>
      <c r="F24" s="14">
        <f t="shared" si="4"/>
        <v>1.6646562123039808E-2</v>
      </c>
      <c r="G24" s="15">
        <v>20127.02</v>
      </c>
      <c r="H24" s="15">
        <f t="shared" si="1"/>
        <v>942.97999999999956</v>
      </c>
      <c r="I24" s="16">
        <f t="shared" si="2"/>
        <v>4.6851446463510221E-2</v>
      </c>
      <c r="J24" s="76"/>
      <c r="K24" s="76"/>
      <c r="L24" s="101"/>
    </row>
    <row r="25" spans="1:14" ht="28.9">
      <c r="A25" s="30" t="str">
        <v xml:space="preserve">Kohls - Waterbury </v>
      </c>
      <c r="B25" s="31" t="str">
        <v>CT</v>
      </c>
      <c r="C25" s="11">
        <v>0</v>
      </c>
      <c r="D25" s="18">
        <v>0</v>
      </c>
      <c r="E25" s="18">
        <f t="shared" si="0"/>
        <v>0</v>
      </c>
      <c r="F25" s="19" t="str">
        <f t="shared" si="4"/>
        <v/>
      </c>
      <c r="G25" s="20">
        <v>16406.73</v>
      </c>
      <c r="H25" s="20">
        <f t="shared" si="1"/>
        <v>-16406.73</v>
      </c>
      <c r="I25" s="19">
        <f t="shared" si="2"/>
        <v>-1</v>
      </c>
      <c r="J25" s="130" t="s">
        <v>903</v>
      </c>
      <c r="K25" s="90" t="s">
        <v>904</v>
      </c>
      <c r="L25" s="73" t="s">
        <v>824</v>
      </c>
    </row>
    <row r="26" spans="1:14" ht="15.6">
      <c r="A26" s="28" t="str">
        <v>Mojave Water Agency - Headquarters</v>
      </c>
      <c r="B26" s="29" t="str">
        <v>CA</v>
      </c>
      <c r="C26" s="24">
        <v>25369</v>
      </c>
      <c r="D26" s="13">
        <v>25258</v>
      </c>
      <c r="E26" s="13">
        <f t="shared" si="0"/>
        <v>111</v>
      </c>
      <c r="F26" s="14">
        <f t="shared" si="4"/>
        <v>4.3946472404782647E-3</v>
      </c>
      <c r="G26" s="15">
        <v>26686.98</v>
      </c>
      <c r="H26" s="15">
        <f t="shared" si="1"/>
        <v>-1317.9799999999996</v>
      </c>
      <c r="I26" s="16">
        <f t="shared" si="2"/>
        <v>-4.93866297347995E-2</v>
      </c>
      <c r="J26" s="76"/>
      <c r="K26" s="76"/>
      <c r="L26" s="101"/>
    </row>
    <row r="27" spans="1:14" ht="72">
      <c r="A27" s="30" t="str">
        <v>CSU - Bakersfield</v>
      </c>
      <c r="B27" s="31" t="str">
        <v>CA</v>
      </c>
      <c r="C27" s="11">
        <v>60466</v>
      </c>
      <c r="D27" s="18">
        <v>59548</v>
      </c>
      <c r="E27" s="18">
        <f t="shared" si="0"/>
        <v>918</v>
      </c>
      <c r="F27" s="19">
        <f t="shared" si="4"/>
        <v>1.5416134882783638E-2</v>
      </c>
      <c r="G27" s="20">
        <v>74080.009999999995</v>
      </c>
      <c r="H27" s="20">
        <f t="shared" si="1"/>
        <v>-13614.009999999995</v>
      </c>
      <c r="I27" s="19">
        <f t="shared" si="2"/>
        <v>-0.18377440823779581</v>
      </c>
      <c r="J27" s="130" t="s">
        <v>810</v>
      </c>
      <c r="K27" s="74"/>
      <c r="L27" s="74"/>
    </row>
    <row r="28" spans="1:14" ht="72">
      <c r="A28" s="28" t="str">
        <v>Greenfield USD - Fairfield ES</v>
      </c>
      <c r="B28" s="29" t="str">
        <v>CA</v>
      </c>
      <c r="C28" s="24">
        <v>6429</v>
      </c>
      <c r="D28" s="13">
        <v>6317</v>
      </c>
      <c r="E28" s="13">
        <f t="shared" si="0"/>
        <v>112</v>
      </c>
      <c r="F28" s="14">
        <f t="shared" si="4"/>
        <v>1.7729935095773312E-2</v>
      </c>
      <c r="G28" s="15">
        <v>8805.5499999999993</v>
      </c>
      <c r="H28" s="15">
        <f t="shared" si="1"/>
        <v>-2376.5499999999993</v>
      </c>
      <c r="I28" s="16">
        <f t="shared" si="2"/>
        <v>-0.26989228384371217</v>
      </c>
      <c r="J28" s="76" t="s">
        <v>810</v>
      </c>
      <c r="K28" s="76"/>
      <c r="L28" s="101"/>
    </row>
    <row r="29" spans="1:14" ht="15.6">
      <c r="A29" s="30" t="str">
        <v>Greenfield USD - Granite Point ES</v>
      </c>
      <c r="B29" s="31" t="str">
        <v>CA</v>
      </c>
      <c r="C29" s="11">
        <v>11194</v>
      </c>
      <c r="D29" s="18">
        <v>11068</v>
      </c>
      <c r="E29" s="18">
        <f t="shared" si="0"/>
        <v>126</v>
      </c>
      <c r="F29" s="19">
        <f t="shared" si="4"/>
        <v>1.1384170581857608E-2</v>
      </c>
      <c r="G29" s="20">
        <v>23001.97</v>
      </c>
      <c r="H29" s="20">
        <f t="shared" si="1"/>
        <v>-11807.970000000001</v>
      </c>
      <c r="I29" s="19">
        <f t="shared" si="2"/>
        <v>-0.51334603079649266</v>
      </c>
      <c r="J29" s="130" t="s">
        <v>905</v>
      </c>
      <c r="K29" s="90" t="s">
        <v>906</v>
      </c>
      <c r="L29" s="73" t="s">
        <v>824</v>
      </c>
    </row>
    <row r="30" spans="1:14" ht="72">
      <c r="A30" s="28" t="str">
        <v>Greenfield USD - Greenfield MS</v>
      </c>
      <c r="B30" s="29" t="str">
        <v>CA</v>
      </c>
      <c r="C30" s="24">
        <v>10625</v>
      </c>
      <c r="D30" s="13">
        <v>9939</v>
      </c>
      <c r="E30" s="13">
        <f t="shared" si="0"/>
        <v>686</v>
      </c>
      <c r="F30" s="14">
        <f t="shared" si="4"/>
        <v>6.9021028272462023E-2</v>
      </c>
      <c r="G30" s="15">
        <v>15883.08</v>
      </c>
      <c r="H30" s="15">
        <f t="shared" si="1"/>
        <v>-5258.08</v>
      </c>
      <c r="I30" s="16">
        <f t="shared" si="2"/>
        <v>-0.33104914160225851</v>
      </c>
      <c r="J30" s="76" t="s">
        <v>907</v>
      </c>
      <c r="K30" s="76"/>
      <c r="L30" s="101"/>
    </row>
    <row r="31" spans="1:14" ht="72">
      <c r="A31" s="30" t="str">
        <v>Greenfield USD - Horizon ES</v>
      </c>
      <c r="B31" s="31" t="str">
        <v>CA</v>
      </c>
      <c r="C31" s="11">
        <v>18127</v>
      </c>
      <c r="D31" s="18">
        <v>17863</v>
      </c>
      <c r="E31" s="18">
        <f t="shared" si="0"/>
        <v>264</v>
      </c>
      <c r="F31" s="19">
        <f t="shared" si="4"/>
        <v>1.4779152438000336E-2</v>
      </c>
      <c r="G31" s="20">
        <v>23337.47</v>
      </c>
      <c r="H31" s="20">
        <f t="shared" si="1"/>
        <v>-5210.4700000000012</v>
      </c>
      <c r="I31" s="19">
        <f t="shared" si="2"/>
        <v>-0.22326627522177858</v>
      </c>
      <c r="J31" s="130" t="s">
        <v>907</v>
      </c>
      <c r="K31" s="130"/>
      <c r="L31" s="130"/>
    </row>
    <row r="32" spans="1:14" ht="62.25" customHeight="1">
      <c r="A32" s="28" t="str">
        <v>Greenfield USD - McKee MS</v>
      </c>
      <c r="B32" s="29" t="str">
        <v>CA</v>
      </c>
      <c r="C32" s="24">
        <v>5445</v>
      </c>
      <c r="D32" s="13">
        <v>5125</v>
      </c>
      <c r="E32" s="13">
        <f t="shared" si="0"/>
        <v>320</v>
      </c>
      <c r="F32" s="14">
        <f t="shared" si="4"/>
        <v>6.2439024390243902E-2</v>
      </c>
      <c r="G32" s="15">
        <v>14302.13</v>
      </c>
      <c r="H32" s="15">
        <f t="shared" si="1"/>
        <v>-8857.1299999999992</v>
      </c>
      <c r="I32" s="16">
        <f t="shared" si="2"/>
        <v>-0.61928747676045459</v>
      </c>
      <c r="J32" s="76" t="s">
        <v>811</v>
      </c>
      <c r="K32" s="91" t="s">
        <v>908</v>
      </c>
      <c r="L32" s="101" t="s">
        <v>824</v>
      </c>
    </row>
    <row r="33" spans="1:21" ht="72">
      <c r="A33" s="30" t="str">
        <v>Greenfield USD - Plantation ES</v>
      </c>
      <c r="B33" s="31" t="str">
        <v>CA</v>
      </c>
      <c r="C33" s="11">
        <v>7193</v>
      </c>
      <c r="D33" s="18">
        <v>7109</v>
      </c>
      <c r="E33" s="18">
        <f t="shared" si="0"/>
        <v>84</v>
      </c>
      <c r="F33" s="19">
        <f t="shared" si="4"/>
        <v>1.1816007877338585E-2</v>
      </c>
      <c r="G33" s="20">
        <v>10184.290000000001</v>
      </c>
      <c r="H33" s="20">
        <f t="shared" si="1"/>
        <v>-2991.2900000000009</v>
      </c>
      <c r="I33" s="19">
        <f t="shared" si="2"/>
        <v>-0.2937161058846518</v>
      </c>
      <c r="J33" s="130" t="s">
        <v>907</v>
      </c>
      <c r="K33" s="130"/>
      <c r="L33" s="130"/>
    </row>
    <row r="34" spans="1:21" ht="13.9" customHeight="1">
      <c r="A34" s="28" t="str">
        <v>Greenfield USD - Planz ES</v>
      </c>
      <c r="B34" s="29" t="str">
        <v>CA</v>
      </c>
      <c r="C34" s="24">
        <v>7920</v>
      </c>
      <c r="D34" s="13">
        <v>7249</v>
      </c>
      <c r="E34" s="13">
        <f t="shared" si="0"/>
        <v>671</v>
      </c>
      <c r="F34" s="14">
        <f t="shared" si="4"/>
        <v>9.2564491654021239E-2</v>
      </c>
      <c r="G34" s="15">
        <v>10202.67</v>
      </c>
      <c r="H34" s="15">
        <f t="shared" si="1"/>
        <v>-2282.67</v>
      </c>
      <c r="I34" s="16">
        <f t="shared" si="2"/>
        <v>-0.22373261116942919</v>
      </c>
      <c r="J34" s="76" t="s">
        <v>909</v>
      </c>
      <c r="K34" s="76"/>
      <c r="L34" s="101"/>
    </row>
    <row r="35" spans="1:21" ht="28.9">
      <c r="A35" s="30" t="str">
        <v>Greenfield USD - Raffaello Palla ES</v>
      </c>
      <c r="B35" s="31" t="str">
        <v>CA</v>
      </c>
      <c r="C35" s="11">
        <v>13416</v>
      </c>
      <c r="D35" s="18">
        <v>12893</v>
      </c>
      <c r="E35" s="18">
        <f t="shared" si="0"/>
        <v>523</v>
      </c>
      <c r="F35" s="19">
        <f t="shared" si="4"/>
        <v>4.0564647483130378E-2</v>
      </c>
      <c r="G35" s="20">
        <v>26030.6</v>
      </c>
      <c r="H35" s="20">
        <f t="shared" si="1"/>
        <v>-12614.599999999999</v>
      </c>
      <c r="I35" s="19">
        <f t="shared" si="2"/>
        <v>-0.48460657841156174</v>
      </c>
      <c r="J35" s="130" t="s">
        <v>910</v>
      </c>
      <c r="K35" s="90" t="s">
        <v>911</v>
      </c>
      <c r="L35" s="73" t="s">
        <v>817</v>
      </c>
    </row>
    <row r="36" spans="1:21" ht="72">
      <c r="A36" s="28" t="str">
        <v>Greenfield USD - Valle Verde ES</v>
      </c>
      <c r="B36" s="29" t="str">
        <v>CA</v>
      </c>
      <c r="C36" s="24">
        <v>9663</v>
      </c>
      <c r="D36" s="13">
        <v>9598</v>
      </c>
      <c r="E36" s="13">
        <f t="shared" si="0"/>
        <v>65</v>
      </c>
      <c r="F36" s="14">
        <f t="shared" si="4"/>
        <v>6.7722442175453222E-3</v>
      </c>
      <c r="G36" s="15">
        <v>24376.12</v>
      </c>
      <c r="H36" s="15">
        <f t="shared" si="1"/>
        <v>-14713.119999999999</v>
      </c>
      <c r="I36" s="16">
        <f t="shared" si="2"/>
        <v>-0.60358744541789255</v>
      </c>
      <c r="J36" s="76" t="s">
        <v>907</v>
      </c>
      <c r="K36" s="76"/>
      <c r="L36" s="101"/>
    </row>
    <row r="37" spans="1:21" ht="43.15" customHeight="1">
      <c r="A37" s="30" t="str">
        <v>Greenfield USD - W.A. Kendrick ES</v>
      </c>
      <c r="B37" s="31" t="str">
        <v>CA</v>
      </c>
      <c r="C37" s="11">
        <v>6566</v>
      </c>
      <c r="D37" s="18">
        <v>0</v>
      </c>
      <c r="E37" s="18">
        <f t="shared" si="0"/>
        <v>6566</v>
      </c>
      <c r="F37" s="19" t="str">
        <f t="shared" si="4"/>
        <v/>
      </c>
      <c r="G37" s="20">
        <v>9384.6200000000008</v>
      </c>
      <c r="H37" s="20">
        <f t="shared" si="1"/>
        <v>-2818.6200000000008</v>
      </c>
      <c r="I37" s="19">
        <f t="shared" si="2"/>
        <v>-0.30034460638789856</v>
      </c>
      <c r="J37" s="130" t="s">
        <v>912</v>
      </c>
      <c r="K37" s="90" t="s">
        <v>913</v>
      </c>
      <c r="L37" s="73" t="s">
        <v>914</v>
      </c>
      <c r="M37" s="89" t="s">
        <v>645</v>
      </c>
    </row>
    <row r="38" spans="1:21" ht="31.5" customHeight="1">
      <c r="A38" s="28" t="str">
        <v>Muroc Joint USD - Boron HS</v>
      </c>
      <c r="B38" s="29" t="str">
        <v>CA</v>
      </c>
      <c r="C38" s="24">
        <v>0</v>
      </c>
      <c r="D38" s="13">
        <v>0</v>
      </c>
      <c r="E38" s="13">
        <f t="shared" si="0"/>
        <v>0</v>
      </c>
      <c r="F38" s="14" t="str">
        <f t="shared" si="4"/>
        <v/>
      </c>
      <c r="G38" s="15">
        <v>25949.32</v>
      </c>
      <c r="H38" s="15">
        <f t="shared" si="1"/>
        <v>-25949.32</v>
      </c>
      <c r="I38" s="16">
        <f t="shared" si="2"/>
        <v>-1</v>
      </c>
      <c r="J38" s="76" t="s">
        <v>915</v>
      </c>
      <c r="K38" s="91" t="s">
        <v>916</v>
      </c>
      <c r="L38" s="101" t="s">
        <v>824</v>
      </c>
    </row>
    <row r="39" spans="1:21" ht="72">
      <c r="A39" s="30" t="str">
        <v>Muroc Joint USD - W. Boron ES</v>
      </c>
      <c r="B39" s="31" t="str">
        <v>CA</v>
      </c>
      <c r="C39" s="11">
        <v>6434</v>
      </c>
      <c r="D39" s="18">
        <v>6407</v>
      </c>
      <c r="E39" s="18">
        <f t="shared" si="0"/>
        <v>27</v>
      </c>
      <c r="F39" s="19">
        <f t="shared" si="4"/>
        <v>4.2141407835180273E-3</v>
      </c>
      <c r="G39" s="20">
        <v>9602.64</v>
      </c>
      <c r="H39" s="20">
        <f t="shared" si="1"/>
        <v>-3168.6399999999994</v>
      </c>
      <c r="I39" s="19">
        <f t="shared" si="2"/>
        <v>-0.32997592328776248</v>
      </c>
      <c r="J39" s="130" t="s">
        <v>907</v>
      </c>
      <c r="K39" s="73"/>
      <c r="L39" s="73"/>
    </row>
    <row r="40" spans="1:21" ht="57.6">
      <c r="A40" s="28" t="str">
        <v>Colusa - WTP</v>
      </c>
      <c r="B40" s="29" t="str">
        <v>CA</v>
      </c>
      <c r="C40" s="24">
        <v>17</v>
      </c>
      <c r="D40" s="13">
        <v>0</v>
      </c>
      <c r="E40" s="13">
        <f t="shared" si="0"/>
        <v>17</v>
      </c>
      <c r="F40" s="14" t="str">
        <f t="shared" si="4"/>
        <v/>
      </c>
      <c r="G40" s="15">
        <v>23002.82</v>
      </c>
      <c r="H40" s="15">
        <f t="shared" si="1"/>
        <v>-22985.82</v>
      </c>
      <c r="I40" s="16">
        <f t="shared" si="2"/>
        <v>-0.99926096017792598</v>
      </c>
      <c r="J40" s="101" t="s">
        <v>917</v>
      </c>
      <c r="K40" s="91" t="s">
        <v>561</v>
      </c>
      <c r="L40" s="101" t="s">
        <v>791</v>
      </c>
      <c r="M40" s="89" t="s">
        <v>562</v>
      </c>
    </row>
    <row r="41" spans="1:21" ht="43.15">
      <c r="A41" s="30" t="str">
        <v>CDCR-North Kern State Prision</v>
      </c>
      <c r="B41" s="31" t="str">
        <v>CA</v>
      </c>
      <c r="C41" s="11">
        <v>109538</v>
      </c>
      <c r="D41" s="18">
        <v>109103</v>
      </c>
      <c r="E41" s="18">
        <f t="shared" si="0"/>
        <v>435</v>
      </c>
      <c r="F41" s="19">
        <f t="shared" si="4"/>
        <v>3.9870581010604655E-3</v>
      </c>
      <c r="G41" s="20">
        <v>105876</v>
      </c>
      <c r="H41" s="20">
        <f t="shared" si="1"/>
        <v>3662</v>
      </c>
      <c r="I41" s="19">
        <f t="shared" si="2"/>
        <v>3.4587630813404359E-2</v>
      </c>
      <c r="J41" s="130" t="s">
        <v>918</v>
      </c>
      <c r="K41" s="90" t="s">
        <v>283</v>
      </c>
      <c r="L41" s="75" t="s">
        <v>895</v>
      </c>
    </row>
    <row r="42" spans="1:21" ht="15.6">
      <c r="A42" s="28" t="str">
        <v>Muroc Joint USD - District Office</v>
      </c>
      <c r="B42" s="29" t="str">
        <v>CA</v>
      </c>
      <c r="C42" s="24">
        <v>4014</v>
      </c>
      <c r="D42" s="13">
        <v>4006</v>
      </c>
      <c r="E42" s="13">
        <f t="shared" si="0"/>
        <v>8</v>
      </c>
      <c r="F42" s="14">
        <f t="shared" si="4"/>
        <v>1.99700449326011E-3</v>
      </c>
      <c r="G42" s="15">
        <v>6763.99</v>
      </c>
      <c r="H42" s="15">
        <f t="shared" si="1"/>
        <v>-2749.99</v>
      </c>
      <c r="I42" s="16">
        <f t="shared" si="2"/>
        <v>-0.40656328587120916</v>
      </c>
      <c r="J42" s="76" t="s">
        <v>822</v>
      </c>
      <c r="K42" s="91" t="s">
        <v>823</v>
      </c>
      <c r="L42" s="101" t="s">
        <v>824</v>
      </c>
    </row>
    <row r="43" spans="1:21" ht="144">
      <c r="A43" s="30" t="str">
        <v>Whole Foods - Manhattan Beach</v>
      </c>
      <c r="B43" s="31" t="str">
        <v>CA</v>
      </c>
      <c r="C43" s="11">
        <v>11212</v>
      </c>
      <c r="D43" s="18">
        <v>11152</v>
      </c>
      <c r="E43" s="18">
        <f t="shared" si="0"/>
        <v>60</v>
      </c>
      <c r="F43" s="19">
        <f t="shared" si="4"/>
        <v>5.3802008608321381E-3</v>
      </c>
      <c r="G43" s="126">
        <v>14421.06</v>
      </c>
      <c r="H43" s="20">
        <f t="shared" si="1"/>
        <v>-3209.0599999999995</v>
      </c>
      <c r="I43" s="19">
        <f t="shared" si="2"/>
        <v>-0.22252594469477274</v>
      </c>
      <c r="J43" s="130" t="s">
        <v>651</v>
      </c>
      <c r="K43" s="90" t="s">
        <v>652</v>
      </c>
      <c r="L43" s="130" t="s">
        <v>825</v>
      </c>
      <c r="M43" s="89" t="s">
        <v>477</v>
      </c>
      <c r="N43" s="89" t="s">
        <v>476</v>
      </c>
      <c r="O43" s="89" t="s">
        <v>567</v>
      </c>
      <c r="P43" s="89" t="s">
        <v>568</v>
      </c>
      <c r="Q43" s="89" t="s">
        <v>64</v>
      </c>
      <c r="R43" s="89" t="s">
        <v>653</v>
      </c>
      <c r="S43" s="89" t="s">
        <v>287</v>
      </c>
      <c r="T43" s="89" t="s">
        <v>653</v>
      </c>
      <c r="U43" s="89" t="s">
        <v>475</v>
      </c>
    </row>
    <row r="44" spans="1:21" ht="100.9">
      <c r="A44" s="28" t="str">
        <v>Pioneer USD - Frontier ES</v>
      </c>
      <c r="B44" s="29" t="str">
        <v>CA</v>
      </c>
      <c r="C44" s="24">
        <v>1</v>
      </c>
      <c r="D44" s="13">
        <v>0</v>
      </c>
      <c r="E44" s="13">
        <f t="shared" si="0"/>
        <v>1</v>
      </c>
      <c r="F44" s="14" t="str">
        <f t="shared" si="4"/>
        <v/>
      </c>
      <c r="G44" s="15">
        <v>19249.03</v>
      </c>
      <c r="H44" s="15">
        <f t="shared" si="1"/>
        <v>-19248.03</v>
      </c>
      <c r="I44" s="16">
        <f t="shared" si="2"/>
        <v>-0.99994804933027792</v>
      </c>
      <c r="J44" s="76" t="s">
        <v>725</v>
      </c>
      <c r="K44" s="91" t="s">
        <v>826</v>
      </c>
      <c r="L44" s="101" t="s">
        <v>919</v>
      </c>
      <c r="M44" s="89" t="s">
        <v>828</v>
      </c>
    </row>
    <row r="45" spans="1:21" ht="51.75" customHeight="1">
      <c r="A45" s="30" t="str">
        <v>Pioneer USD - Pioneer ES</v>
      </c>
      <c r="B45" s="31" t="str">
        <v>CA</v>
      </c>
      <c r="C45" s="11">
        <v>8878</v>
      </c>
      <c r="D45" s="18">
        <v>0</v>
      </c>
      <c r="E45" s="18">
        <f t="shared" si="0"/>
        <v>8878</v>
      </c>
      <c r="F45" s="19" t="str">
        <f t="shared" si="4"/>
        <v/>
      </c>
      <c r="G45" s="20">
        <v>19573.93</v>
      </c>
      <c r="H45" s="20">
        <f t="shared" si="1"/>
        <v>-10695.93</v>
      </c>
      <c r="I45" s="19">
        <f t="shared" si="2"/>
        <v>-0.54643753196215583</v>
      </c>
      <c r="J45" s="130" t="s">
        <v>920</v>
      </c>
      <c r="K45" s="90" t="s">
        <v>921</v>
      </c>
      <c r="L45" s="130" t="s">
        <v>783</v>
      </c>
      <c r="M45" s="89" t="s">
        <v>831</v>
      </c>
    </row>
    <row r="46" spans="1:21" ht="57.6">
      <c r="A46" s="28" t="str">
        <v>Pioneer USD - Pioneer MS</v>
      </c>
      <c r="B46" s="29" t="str">
        <v>CA</v>
      </c>
      <c r="C46" s="24">
        <v>18627</v>
      </c>
      <c r="D46" s="13">
        <v>0</v>
      </c>
      <c r="E46" s="13">
        <f t="shared" si="0"/>
        <v>18627</v>
      </c>
      <c r="F46" s="14" t="str">
        <f t="shared" si="4"/>
        <v/>
      </c>
      <c r="G46" s="15">
        <v>26445.37</v>
      </c>
      <c r="H46" s="15">
        <f t="shared" si="1"/>
        <v>-7818.369999999999</v>
      </c>
      <c r="I46" s="16">
        <f t="shared" si="2"/>
        <v>-0.29564229957833826</v>
      </c>
      <c r="J46" s="76" t="s">
        <v>832</v>
      </c>
      <c r="K46" s="76"/>
      <c r="L46" s="101"/>
    </row>
    <row r="47" spans="1:21" ht="129.6">
      <c r="A47" s="30" t="str">
        <v>Kingsburg Joint UHSD - Kingsburg HS</v>
      </c>
      <c r="B47" s="31" t="str">
        <v>CA</v>
      </c>
      <c r="C47" s="11">
        <v>37728</v>
      </c>
      <c r="D47" s="18">
        <v>0</v>
      </c>
      <c r="E47" s="18">
        <f t="shared" si="0"/>
        <v>37728</v>
      </c>
      <c r="F47" s="19" t="str">
        <f t="shared" si="4"/>
        <v/>
      </c>
      <c r="G47" s="20">
        <v>36013.599999999999</v>
      </c>
      <c r="H47" s="20">
        <f t="shared" si="1"/>
        <v>1714.4000000000015</v>
      </c>
      <c r="I47" s="19">
        <f t="shared" si="2"/>
        <v>4.7604238398827152E-2</v>
      </c>
      <c r="J47" s="130" t="s">
        <v>833</v>
      </c>
      <c r="K47" s="90" t="s">
        <v>834</v>
      </c>
      <c r="L47" s="130" t="s">
        <v>922</v>
      </c>
      <c r="M47" s="89" t="s">
        <v>836</v>
      </c>
      <c r="N47" s="89" t="s">
        <v>735</v>
      </c>
    </row>
    <row r="48" spans="1:21" ht="102" customHeight="1">
      <c r="A48" s="28" t="str">
        <v>CADRB</v>
      </c>
      <c r="B48" s="29" t="str">
        <v>CA</v>
      </c>
      <c r="C48" s="24">
        <v>2729.7</v>
      </c>
      <c r="D48" s="13">
        <v>0</v>
      </c>
      <c r="E48" s="13">
        <f t="shared" si="0"/>
        <v>2729.7</v>
      </c>
      <c r="F48" s="14" t="str">
        <f t="shared" si="4"/>
        <v/>
      </c>
      <c r="G48" s="127" t="s">
        <v>24</v>
      </c>
      <c r="H48" s="15" t="str">
        <f t="shared" si="1"/>
        <v/>
      </c>
      <c r="I48" s="16" t="str">
        <f t="shared" si="2"/>
        <v/>
      </c>
      <c r="J48" s="76" t="s">
        <v>923</v>
      </c>
      <c r="K48" s="91" t="s">
        <v>924</v>
      </c>
      <c r="L48" s="101" t="s">
        <v>925</v>
      </c>
      <c r="T48" s="129"/>
    </row>
    <row r="49" spans="1:15" ht="115.15">
      <c r="A49" s="30" t="str">
        <v>CDCR-CA State Prison LA County</v>
      </c>
      <c r="B49" s="31" t="str">
        <v>CA</v>
      </c>
      <c r="C49" s="11">
        <v>10538</v>
      </c>
      <c r="D49" s="18">
        <v>109103</v>
      </c>
      <c r="E49" s="18">
        <f t="shared" si="0"/>
        <v>-98565</v>
      </c>
      <c r="F49" s="19">
        <f t="shared" si="4"/>
        <v>-0.9034123717954593</v>
      </c>
      <c r="G49" s="20">
        <v>284112.27</v>
      </c>
      <c r="H49" s="20">
        <f t="shared" si="1"/>
        <v>-273574.27</v>
      </c>
      <c r="I49" s="19">
        <f t="shared" si="2"/>
        <v>-0.96290902888495455</v>
      </c>
      <c r="J49" s="130" t="s">
        <v>926</v>
      </c>
      <c r="K49" s="90" t="s">
        <v>927</v>
      </c>
      <c r="L49" s="73" t="s">
        <v>928</v>
      </c>
      <c r="M49" s="89" t="s">
        <v>929</v>
      </c>
    </row>
    <row r="50" spans="1:15" ht="52.9">
      <c r="A50" s="28" t="str">
        <v>Central USD Akers ES</v>
      </c>
      <c r="B50" s="29" t="str">
        <v>CA</v>
      </c>
      <c r="C50" s="24">
        <v>0</v>
      </c>
      <c r="D50" s="13">
        <v>0</v>
      </c>
      <c r="E50" s="13">
        <f t="shared" si="0"/>
        <v>0</v>
      </c>
      <c r="F50" s="14" t="str">
        <f t="shared" si="4"/>
        <v/>
      </c>
      <c r="G50" s="15">
        <v>18449.8</v>
      </c>
      <c r="H50" s="15">
        <f t="shared" si="1"/>
        <v>-18449.8</v>
      </c>
      <c r="I50" s="16">
        <f t="shared" si="2"/>
        <v>-1</v>
      </c>
      <c r="J50" s="76" t="s">
        <v>930</v>
      </c>
      <c r="K50" s="91" t="s">
        <v>931</v>
      </c>
      <c r="L50" s="101" t="s">
        <v>791</v>
      </c>
      <c r="M50" s="89" t="s">
        <v>932</v>
      </c>
      <c r="N50" s="89" t="s">
        <v>840</v>
      </c>
      <c r="O50" s="89" t="s">
        <v>579</v>
      </c>
    </row>
    <row r="51" spans="1:15" ht="28.9">
      <c r="A51" s="30" t="str">
        <v>CUSD - District Office</v>
      </c>
      <c r="B51" s="31" t="str">
        <v>CA</v>
      </c>
      <c r="C51" s="11">
        <v>4775</v>
      </c>
      <c r="D51" s="18">
        <v>4468</v>
      </c>
      <c r="E51" s="18">
        <f t="shared" si="0"/>
        <v>307</v>
      </c>
      <c r="F51" s="19">
        <f t="shared" si="4"/>
        <v>6.8710832587287371E-2</v>
      </c>
      <c r="G51" s="20">
        <v>13265.55</v>
      </c>
      <c r="H51" s="20">
        <f t="shared" si="1"/>
        <v>-8490.5499999999993</v>
      </c>
      <c r="I51" s="19">
        <f t="shared" si="2"/>
        <v>-0.64004507917123676</v>
      </c>
      <c r="J51" s="130" t="s">
        <v>933</v>
      </c>
      <c r="K51" s="90" t="s">
        <v>934</v>
      </c>
      <c r="L51" s="130" t="s">
        <v>935</v>
      </c>
      <c r="M51" s="89" t="s">
        <v>936</v>
      </c>
    </row>
    <row r="52" spans="1:15" ht="15.6">
      <c r="A52" s="28" t="str">
        <v>Parlier - WTP</v>
      </c>
      <c r="B52" s="29" t="str">
        <v>CA</v>
      </c>
      <c r="C52" s="24">
        <v>16201</v>
      </c>
      <c r="D52" s="13">
        <v>16073</v>
      </c>
      <c r="E52" s="13">
        <f t="shared" si="0"/>
        <v>128</v>
      </c>
      <c r="F52" s="14">
        <f t="shared" si="4"/>
        <v>7.9636657749020089E-3</v>
      </c>
      <c r="G52" s="15">
        <v>37577.599999999999</v>
      </c>
      <c r="H52" s="15">
        <f t="shared" si="1"/>
        <v>-21376.6</v>
      </c>
      <c r="I52" s="16">
        <f t="shared" si="2"/>
        <v>-0.5688654943370518</v>
      </c>
      <c r="J52" s="76"/>
      <c r="K52" s="76"/>
      <c r="L52" s="101"/>
    </row>
    <row r="53" spans="1:15" ht="28.9">
      <c r="A53" s="30" t="str">
        <v>Snowline SD - Quail Valley MS</v>
      </c>
      <c r="B53" s="31" t="str">
        <v>CA</v>
      </c>
      <c r="C53" s="11">
        <v>0</v>
      </c>
      <c r="D53" s="18">
        <v>0</v>
      </c>
      <c r="E53" s="18">
        <f t="shared" si="0"/>
        <v>0</v>
      </c>
      <c r="F53" s="19" t="str">
        <f t="shared" si="4"/>
        <v/>
      </c>
      <c r="G53" s="20">
        <v>24706.73</v>
      </c>
      <c r="H53" s="20">
        <f t="shared" si="1"/>
        <v>-24706.73</v>
      </c>
      <c r="I53" s="19">
        <f t="shared" si="2"/>
        <v>-1</v>
      </c>
      <c r="J53" s="130" t="s">
        <v>746</v>
      </c>
      <c r="K53" s="98" t="s">
        <v>937</v>
      </c>
      <c r="L53" s="77" t="s">
        <v>938</v>
      </c>
    </row>
    <row r="54" spans="1:15" ht="28.9">
      <c r="A54" s="28" t="str">
        <v>Snowline SD - Serrano HS - Middle Lot</v>
      </c>
      <c r="B54" s="29" t="str">
        <v>CA</v>
      </c>
      <c r="C54" s="24">
        <v>28289</v>
      </c>
      <c r="D54" s="13">
        <v>28197</v>
      </c>
      <c r="E54" s="13">
        <f t="shared" si="0"/>
        <v>92</v>
      </c>
      <c r="F54" s="14">
        <f t="shared" si="4"/>
        <v>3.2627584494804413E-3</v>
      </c>
      <c r="G54" s="15">
        <v>27946.799999999999</v>
      </c>
      <c r="H54" s="15">
        <f t="shared" si="1"/>
        <v>342.20000000000073</v>
      </c>
      <c r="I54" s="16">
        <f t="shared" si="2"/>
        <v>1.2244693489057807E-2</v>
      </c>
      <c r="J54" s="76" t="s">
        <v>750</v>
      </c>
      <c r="K54" s="91" t="s">
        <v>751</v>
      </c>
      <c r="L54" s="101" t="s">
        <v>824</v>
      </c>
    </row>
    <row r="55" spans="1:15" ht="57.6">
      <c r="A55" s="30" t="str">
        <v>Snowline SD - Pinon Hills ES</v>
      </c>
      <c r="B55" s="31" t="str">
        <v>CA</v>
      </c>
      <c r="C55" s="11">
        <v>14725</v>
      </c>
      <c r="D55" s="18">
        <v>14687</v>
      </c>
      <c r="E55" s="18">
        <f t="shared" si="0"/>
        <v>38</v>
      </c>
      <c r="F55" s="19">
        <f t="shared" si="4"/>
        <v>2.5873221216041399E-3</v>
      </c>
      <c r="G55" s="20">
        <v>16372.47</v>
      </c>
      <c r="H55" s="20">
        <f t="shared" si="1"/>
        <v>-1647.4699999999993</v>
      </c>
      <c r="I55" s="19">
        <f t="shared" si="2"/>
        <v>-0.10062440181597519</v>
      </c>
      <c r="J55" s="130" t="s">
        <v>846</v>
      </c>
      <c r="K55" s="90" t="s">
        <v>847</v>
      </c>
      <c r="L55" s="130" t="s">
        <v>824</v>
      </c>
    </row>
    <row r="56" spans="1:15" ht="28.9">
      <c r="A56" s="28" t="str">
        <v>Ramona - Santa Maria WTP</v>
      </c>
      <c r="B56" s="29" t="str">
        <v>CA</v>
      </c>
      <c r="C56" s="24">
        <v>48592</v>
      </c>
      <c r="D56" s="13">
        <v>41830</v>
      </c>
      <c r="E56" s="13">
        <f t="shared" si="0"/>
        <v>6762</v>
      </c>
      <c r="F56" s="14">
        <f t="shared" si="4"/>
        <v>0.16165431508486733</v>
      </c>
      <c r="G56" s="15">
        <v>53613.5</v>
      </c>
      <c r="H56" s="15">
        <f t="shared" si="1"/>
        <v>-5021.5</v>
      </c>
      <c r="I56" s="16">
        <f t="shared" si="2"/>
        <v>-9.3661111473789249E-2</v>
      </c>
      <c r="J56" s="101" t="s">
        <v>848</v>
      </c>
      <c r="K56" s="91" t="s">
        <v>849</v>
      </c>
      <c r="L56" s="101" t="s">
        <v>824</v>
      </c>
    </row>
    <row r="57" spans="1:15" ht="15.6">
      <c r="A57" s="30" t="str">
        <v>Kohls - Redding</v>
      </c>
      <c r="B57" s="31" t="str">
        <v>CA</v>
      </c>
      <c r="C57" s="11">
        <v>16143</v>
      </c>
      <c r="D57" s="18">
        <v>0</v>
      </c>
      <c r="E57" s="18">
        <f t="shared" si="0"/>
        <v>16143</v>
      </c>
      <c r="F57" s="19" t="str">
        <f t="shared" si="4"/>
        <v/>
      </c>
      <c r="G57" s="20">
        <v>15900.77</v>
      </c>
      <c r="H57" s="20">
        <f t="shared" si="1"/>
        <v>242.22999999999956</v>
      </c>
      <c r="I57" s="19">
        <f t="shared" si="2"/>
        <v>1.5233853454895552E-2</v>
      </c>
      <c r="J57" s="130"/>
      <c r="K57" s="130"/>
      <c r="L57" s="130"/>
    </row>
    <row r="58" spans="1:15" ht="100.9">
      <c r="A58" s="28" t="str">
        <v>Kohls - Salinas</v>
      </c>
      <c r="B58" s="29" t="str">
        <v>CA</v>
      </c>
      <c r="C58" s="24">
        <v>26339</v>
      </c>
      <c r="D58" s="13">
        <v>24583</v>
      </c>
      <c r="E58" s="13">
        <f t="shared" si="0"/>
        <v>1756</v>
      </c>
      <c r="F58" s="14">
        <f t="shared" si="4"/>
        <v>7.1431477036976776E-2</v>
      </c>
      <c r="G58" s="15">
        <v>28404.02</v>
      </c>
      <c r="H58" s="15">
        <f t="shared" si="1"/>
        <v>-2065.0200000000004</v>
      </c>
      <c r="I58" s="16">
        <f t="shared" si="2"/>
        <v>-7.2701680959244522E-2</v>
      </c>
      <c r="J58" s="76" t="s">
        <v>670</v>
      </c>
      <c r="K58" s="91" t="s">
        <v>852</v>
      </c>
      <c r="L58" s="101" t="s">
        <v>853</v>
      </c>
      <c r="M58" s="89" t="s">
        <v>221</v>
      </c>
      <c r="N58" s="89" t="s">
        <v>673</v>
      </c>
      <c r="O58" s="89" t="s">
        <v>854</v>
      </c>
    </row>
    <row r="59" spans="1:15" ht="15.6" hidden="1">
      <c r="A59" s="30" t="str">
        <v>Kohls - San Bernardino - Central</v>
      </c>
      <c r="B59" s="31" t="str">
        <v>CA</v>
      </c>
      <c r="C59" s="11"/>
      <c r="D59" s="18"/>
      <c r="E59" s="18" t="str">
        <f t="shared" si="0"/>
        <v/>
      </c>
      <c r="F59" s="19" t="str">
        <f t="shared" si="4"/>
        <v/>
      </c>
      <c r="G59" s="20"/>
      <c r="H59" s="20" t="str">
        <f t="shared" si="1"/>
        <v/>
      </c>
      <c r="I59" s="19" t="str">
        <f t="shared" si="2"/>
        <v/>
      </c>
      <c r="J59" s="130"/>
      <c r="K59" s="73"/>
      <c r="L59" s="73"/>
    </row>
    <row r="60" spans="1:15" ht="39.6">
      <c r="A60" s="28" t="str">
        <v>Kohls - Sonora</v>
      </c>
      <c r="B60" s="29" t="str">
        <v>CA</v>
      </c>
      <c r="C60" s="24">
        <v>14551</v>
      </c>
      <c r="D60" s="13">
        <v>14360</v>
      </c>
      <c r="E60" s="13">
        <f t="shared" si="0"/>
        <v>191</v>
      </c>
      <c r="F60" s="14">
        <f t="shared" si="4"/>
        <v>1.33008356545961E-2</v>
      </c>
      <c r="G60" s="15">
        <v>17600.990000000002</v>
      </c>
      <c r="H60" s="15">
        <f t="shared" si="1"/>
        <v>-3049.9900000000016</v>
      </c>
      <c r="I60" s="16">
        <f t="shared" si="2"/>
        <v>-0.1732851390745635</v>
      </c>
      <c r="J60" s="76" t="s">
        <v>754</v>
      </c>
      <c r="K60" s="91" t="s">
        <v>939</v>
      </c>
      <c r="L60" s="101" t="s">
        <v>791</v>
      </c>
      <c r="M60" s="89" t="s">
        <v>940</v>
      </c>
      <c r="N60" s="89" t="s">
        <v>590</v>
      </c>
    </row>
    <row r="61" spans="1:15" ht="15.6">
      <c r="A61" s="30" t="str">
        <v>CUSD - Stratford ES</v>
      </c>
      <c r="B61" s="31" t="str">
        <v>CA</v>
      </c>
      <c r="C61" s="11">
        <v>10886</v>
      </c>
      <c r="D61" s="18">
        <v>10777</v>
      </c>
      <c r="E61" s="18">
        <f t="shared" si="0"/>
        <v>109</v>
      </c>
      <c r="F61" s="19">
        <f t="shared" si="4"/>
        <v>1.0114131947666326E-2</v>
      </c>
      <c r="G61" s="20">
        <v>12654.94</v>
      </c>
      <c r="H61" s="20">
        <f t="shared" si="1"/>
        <v>-1768.9400000000005</v>
      </c>
      <c r="I61" s="19">
        <f t="shared" si="2"/>
        <v>-0.13978256712398482</v>
      </c>
      <c r="J61" s="130" t="s">
        <v>941</v>
      </c>
      <c r="K61" s="90" t="s">
        <v>942</v>
      </c>
      <c r="L61" s="73" t="s">
        <v>824</v>
      </c>
    </row>
    <row r="62" spans="1:15" ht="57.6">
      <c r="A62" s="28" t="str">
        <v>Taft - City Hall</v>
      </c>
      <c r="B62" s="29" t="str">
        <v>CA</v>
      </c>
      <c r="C62" s="24">
        <v>570</v>
      </c>
      <c r="D62" s="13">
        <v>217</v>
      </c>
      <c r="E62" s="13">
        <f t="shared" si="0"/>
        <v>353</v>
      </c>
      <c r="F62" s="14">
        <f t="shared" si="4"/>
        <v>1.6267281105990783</v>
      </c>
      <c r="G62" s="15">
        <v>5401.51</v>
      </c>
      <c r="H62" s="15">
        <f t="shared" si="1"/>
        <v>-4831.51</v>
      </c>
      <c r="I62" s="16">
        <f t="shared" si="2"/>
        <v>-0.89447395265398011</v>
      </c>
      <c r="J62" s="76" t="s">
        <v>857</v>
      </c>
      <c r="K62" s="91" t="s">
        <v>858</v>
      </c>
      <c r="L62" s="101" t="s">
        <v>943</v>
      </c>
    </row>
    <row r="63" spans="1:15" ht="28.9">
      <c r="A63" s="30" t="str">
        <v>Taft - Federal Prison</v>
      </c>
      <c r="B63" s="31" t="str">
        <v>CA</v>
      </c>
      <c r="C63" s="11">
        <v>3510</v>
      </c>
      <c r="D63" s="18">
        <v>3448</v>
      </c>
      <c r="E63" s="18">
        <f t="shared" si="0"/>
        <v>62</v>
      </c>
      <c r="F63" s="19">
        <f t="shared" si="4"/>
        <v>1.7981438515081206E-2</v>
      </c>
      <c r="G63" s="20">
        <v>9698.6200000000008</v>
      </c>
      <c r="H63" s="20">
        <f t="shared" si="1"/>
        <v>-6188.6200000000008</v>
      </c>
      <c r="I63" s="19">
        <f t="shared" si="2"/>
        <v>-0.6380928420744395</v>
      </c>
      <c r="J63" s="130" t="s">
        <v>944</v>
      </c>
      <c r="K63" s="90" t="s">
        <v>945</v>
      </c>
      <c r="L63" s="73" t="s">
        <v>817</v>
      </c>
      <c r="M63" s="89" t="s">
        <v>946</v>
      </c>
    </row>
    <row r="64" spans="1:15" ht="28.9">
      <c r="A64" s="28" t="str">
        <v>Taft - Police Department</v>
      </c>
      <c r="B64" s="29" t="str">
        <v>CA</v>
      </c>
      <c r="C64" s="24">
        <v>4525</v>
      </c>
      <c r="D64" s="13">
        <v>4263</v>
      </c>
      <c r="E64" s="13">
        <f t="shared" si="0"/>
        <v>262</v>
      </c>
      <c r="F64" s="14">
        <f t="shared" si="4"/>
        <v>6.145906638517476E-2</v>
      </c>
      <c r="G64" s="15">
        <v>6202.88</v>
      </c>
      <c r="H64" s="15">
        <f t="shared" si="1"/>
        <v>-1677.88</v>
      </c>
      <c r="I64" s="16">
        <f t="shared" si="2"/>
        <v>-0.27050015476681799</v>
      </c>
      <c r="J64" s="76" t="s">
        <v>947</v>
      </c>
      <c r="K64" s="91" t="s">
        <v>948</v>
      </c>
      <c r="L64" s="101" t="s">
        <v>817</v>
      </c>
    </row>
    <row r="65" spans="1:16" ht="117" customHeight="1">
      <c r="A65" s="30" t="str">
        <v>Taft - WTP</v>
      </c>
      <c r="B65" s="31" t="str">
        <v>CA</v>
      </c>
      <c r="C65" s="11">
        <v>26005</v>
      </c>
      <c r="D65" s="18">
        <v>25701</v>
      </c>
      <c r="E65" s="18">
        <f t="shared" si="0"/>
        <v>304</v>
      </c>
      <c r="F65" s="19">
        <f t="shared" si="4"/>
        <v>1.1828333527878293E-2</v>
      </c>
      <c r="G65" s="20">
        <v>43005.599999999999</v>
      </c>
      <c r="H65" s="20">
        <f t="shared" si="1"/>
        <v>-17000.599999999999</v>
      </c>
      <c r="I65" s="19">
        <f t="shared" si="2"/>
        <v>-0.39531130829473371</v>
      </c>
      <c r="J65" s="130" t="s">
        <v>949</v>
      </c>
      <c r="K65" s="90" t="s">
        <v>950</v>
      </c>
      <c r="L65" s="75" t="s">
        <v>951</v>
      </c>
      <c r="M65" s="89" t="s">
        <v>952</v>
      </c>
      <c r="N65" s="89" t="s">
        <v>952</v>
      </c>
    </row>
    <row r="66" spans="1:16" ht="57.6">
      <c r="A66" s="28" t="str">
        <v>CDCR - CA Correctional Institution</v>
      </c>
      <c r="B66" s="29" t="str">
        <v>CA</v>
      </c>
      <c r="C66" s="24">
        <v>36632</v>
      </c>
      <c r="D66" s="13">
        <v>36358</v>
      </c>
      <c r="E66" s="13">
        <f t="shared" si="0"/>
        <v>274</v>
      </c>
      <c r="F66" s="14">
        <f t="shared" si="4"/>
        <v>7.536168106056439E-3</v>
      </c>
      <c r="G66" s="15">
        <v>122579</v>
      </c>
      <c r="H66" s="15">
        <f t="shared" si="1"/>
        <v>-85947</v>
      </c>
      <c r="I66" s="16">
        <f t="shared" si="2"/>
        <v>-0.7011559891988024</v>
      </c>
      <c r="J66" s="76" t="s">
        <v>953</v>
      </c>
      <c r="K66" s="91" t="s">
        <v>954</v>
      </c>
      <c r="L66" s="101" t="s">
        <v>955</v>
      </c>
      <c r="M66" s="89" t="s">
        <v>956</v>
      </c>
      <c r="N66" s="89" t="s">
        <v>957</v>
      </c>
    </row>
    <row r="67" spans="1:16" ht="15.6">
      <c r="A67" s="30" t="str">
        <v>CDCR - CA Correctional Institution II</v>
      </c>
      <c r="B67" s="31" t="str">
        <v>CA</v>
      </c>
      <c r="C67" s="11">
        <v>116279</v>
      </c>
      <c r="D67" s="18">
        <v>115326</v>
      </c>
      <c r="E67" s="18">
        <f t="shared" si="0"/>
        <v>953</v>
      </c>
      <c r="F67" s="19">
        <f t="shared" si="4"/>
        <v>8.2635312071865849E-3</v>
      </c>
      <c r="G67" s="20">
        <v>188151.9</v>
      </c>
      <c r="H67" s="20">
        <f t="shared" si="1"/>
        <v>-71872.899999999994</v>
      </c>
      <c r="I67" s="19">
        <f>IFERROR(H67/G67, "")</f>
        <v>-0.38199401653663873</v>
      </c>
      <c r="J67" s="130" t="s">
        <v>958</v>
      </c>
      <c r="K67" s="90" t="s">
        <v>959</v>
      </c>
      <c r="L67" s="75" t="s">
        <v>817</v>
      </c>
    </row>
    <row r="68" spans="1:16" ht="28.9">
      <c r="A68" s="28" t="str">
        <v>Snowline SD - Vista Verde ES</v>
      </c>
      <c r="B68" s="29" t="str">
        <v>CA</v>
      </c>
      <c r="C68" s="24">
        <v>0</v>
      </c>
      <c r="D68" s="13">
        <v>0</v>
      </c>
      <c r="E68" s="13">
        <f t="shared" si="0"/>
        <v>0</v>
      </c>
      <c r="F68" s="14" t="str">
        <f t="shared" si="4"/>
        <v/>
      </c>
      <c r="G68" s="15">
        <v>17922.810000000001</v>
      </c>
      <c r="H68" s="15">
        <f t="shared" si="1"/>
        <v>-17922.810000000001</v>
      </c>
      <c r="I68" s="16">
        <f>IFERROR(H68/G68, "")</f>
        <v>-1</v>
      </c>
      <c r="J68" s="76" t="s">
        <v>873</v>
      </c>
      <c r="K68" s="91" t="s">
        <v>960</v>
      </c>
      <c r="L68" s="101" t="s">
        <v>824</v>
      </c>
    </row>
    <row r="69" spans="1:16" ht="15.6">
      <c r="A69" s="30" t="str">
        <v>North Stonington</v>
      </c>
      <c r="B69" s="31" t="str">
        <v>CT</v>
      </c>
      <c r="C69" s="65">
        <v>723410</v>
      </c>
      <c r="D69" s="18" t="s">
        <v>24</v>
      </c>
      <c r="E69" s="18" t="str">
        <f t="shared" si="0"/>
        <v/>
      </c>
      <c r="F69" s="19" t="str">
        <f>IFERROR(E69/D69, "")</f>
        <v/>
      </c>
      <c r="G69" s="113" t="s">
        <v>24</v>
      </c>
      <c r="H69" s="20" t="str">
        <f t="shared" si="1"/>
        <v/>
      </c>
      <c r="I69" s="19" t="str">
        <f>IFERROR(H69/G69, "")</f>
        <v/>
      </c>
      <c r="J69" s="130"/>
      <c r="K69" s="75"/>
      <c r="L69" s="75"/>
    </row>
    <row r="70" spans="1:16" ht="86.45">
      <c r="A70" s="28" t="str">
        <v>CT: Torrington - 2-298 Rossi Road</v>
      </c>
      <c r="B70" s="29" t="str">
        <v>CT</v>
      </c>
      <c r="C70" s="63">
        <v>1182.6099999999999</v>
      </c>
      <c r="D70" s="13" t="s">
        <v>24</v>
      </c>
      <c r="E70" s="13" t="str">
        <f t="shared" ref="E70" si="5">IF(AND(ISNUMBER(C70),ISNUMBER(D70)), C70-D70, "")</f>
        <v/>
      </c>
      <c r="F70" s="14" t="str">
        <f>IFERROR(E70/D70, "")</f>
        <v/>
      </c>
      <c r="G70" s="125" t="s">
        <v>24</v>
      </c>
      <c r="H70" s="15" t="str">
        <f t="shared" ref="H70" si="6">IF(AND(ISNUMBER(C70),ISNUMBER(G70)), C70-G70, "")</f>
        <v/>
      </c>
      <c r="I70" s="16" t="str">
        <f>IFERROR(H70/G70, "")</f>
        <v/>
      </c>
      <c r="J70" s="101" t="s">
        <v>961</v>
      </c>
      <c r="K70" s="128" t="s">
        <v>962</v>
      </c>
      <c r="L70" s="101" t="s">
        <v>963</v>
      </c>
      <c r="M70" s="89" t="s">
        <v>964</v>
      </c>
      <c r="N70" s="89" t="s">
        <v>965</v>
      </c>
      <c r="O70" s="89" t="s">
        <v>966</v>
      </c>
      <c r="P70" s="89" t="s">
        <v>967</v>
      </c>
    </row>
    <row r="71" spans="1:16" ht="14.45">
      <c r="A71" s="21"/>
      <c r="B71" s="33"/>
      <c r="C71" s="21"/>
      <c r="D71" s="21"/>
      <c r="E71" s="21"/>
      <c r="F71" s="22"/>
      <c r="G71" s="21"/>
      <c r="H71" s="21"/>
      <c r="I71" s="22"/>
      <c r="J71" s="21"/>
      <c r="K71" s="21"/>
      <c r="L71" s="21"/>
    </row>
    <row r="72" spans="1:16" ht="14.45">
      <c r="A72" s="21"/>
      <c r="B72" s="33"/>
      <c r="C72" s="21"/>
      <c r="D72" s="21"/>
      <c r="E72" s="21"/>
      <c r="F72" s="22"/>
      <c r="G72" s="21"/>
      <c r="H72" s="21"/>
      <c r="I72" s="22"/>
      <c r="J72" s="21"/>
      <c r="K72" s="21"/>
      <c r="L72" s="21"/>
    </row>
    <row r="73" spans="1:16" ht="14.45">
      <c r="A73" s="21"/>
      <c r="B73" s="33"/>
      <c r="C73" s="21"/>
      <c r="D73" s="21"/>
      <c r="E73" s="21"/>
      <c r="F73" s="22"/>
      <c r="G73" s="21"/>
      <c r="H73" s="21"/>
      <c r="I73" s="22"/>
      <c r="J73" s="21"/>
      <c r="K73" s="21"/>
      <c r="L73" s="21"/>
    </row>
    <row r="74" spans="1:16" ht="14.45">
      <c r="A74" s="21"/>
      <c r="B74" s="33"/>
      <c r="C74" s="21"/>
      <c r="D74" s="21"/>
      <c r="E74" s="21"/>
      <c r="F74" s="22"/>
      <c r="G74" s="21"/>
      <c r="H74" s="21"/>
      <c r="I74" s="22"/>
      <c r="J74" s="21"/>
      <c r="K74" s="21"/>
      <c r="L74" s="21"/>
    </row>
    <row r="75" spans="1:16" ht="14.45">
      <c r="A75" s="21"/>
      <c r="B75" s="33"/>
      <c r="C75" s="21"/>
      <c r="D75" s="21"/>
      <c r="E75" s="21"/>
      <c r="F75" s="22"/>
      <c r="G75" s="21"/>
      <c r="H75" s="21"/>
      <c r="I75" s="22"/>
      <c r="J75" s="21"/>
      <c r="K75" s="21"/>
      <c r="L75" s="21"/>
    </row>
    <row r="76" spans="1:16" ht="14.45">
      <c r="A76" s="21"/>
      <c r="B76" s="33"/>
      <c r="C76" s="21"/>
      <c r="D76" s="21"/>
      <c r="E76" s="21"/>
      <c r="F76" s="22"/>
      <c r="G76" s="21"/>
      <c r="H76" s="21"/>
      <c r="I76" s="22"/>
      <c r="J76" s="21"/>
      <c r="K76" s="21"/>
      <c r="L76" s="21"/>
    </row>
    <row r="77" spans="1:16" ht="14.45">
      <c r="A77" s="21"/>
      <c r="B77" s="33"/>
      <c r="C77" s="21"/>
      <c r="D77" s="21"/>
      <c r="E77" s="21"/>
      <c r="F77" s="22"/>
      <c r="G77" s="21"/>
      <c r="H77" s="21"/>
      <c r="I77" s="22"/>
      <c r="J77" s="21"/>
      <c r="K77" s="21"/>
      <c r="L77" s="21"/>
    </row>
    <row r="78" spans="1:16" ht="14.45">
      <c r="A78" s="21"/>
      <c r="B78" s="33"/>
      <c r="C78" s="21"/>
      <c r="D78" s="21"/>
      <c r="E78" s="21"/>
      <c r="F78" s="22"/>
      <c r="G78" s="21"/>
      <c r="H78" s="21"/>
      <c r="I78" s="22"/>
      <c r="J78" s="21"/>
      <c r="K78" s="21"/>
      <c r="L78" s="21"/>
    </row>
    <row r="79" spans="1:16" ht="14.45">
      <c r="A79" s="21"/>
      <c r="B79" s="33"/>
      <c r="C79" s="21"/>
      <c r="D79" s="21"/>
      <c r="E79" s="21"/>
      <c r="F79" s="22"/>
      <c r="G79" s="21"/>
      <c r="H79" s="21"/>
      <c r="I79" s="22"/>
      <c r="J79" s="21"/>
      <c r="K79" s="21"/>
      <c r="L79" s="21"/>
    </row>
    <row r="80" spans="1:16" ht="14.45">
      <c r="A80" s="21"/>
      <c r="B80" s="33"/>
      <c r="C80" s="21"/>
      <c r="D80" s="21"/>
      <c r="E80" s="21"/>
      <c r="F80" s="22"/>
      <c r="G80" s="21"/>
      <c r="H80" s="21"/>
      <c r="I80" s="22"/>
      <c r="J80" s="21"/>
      <c r="K80" s="21"/>
      <c r="L80" s="21"/>
    </row>
    <row r="81" spans="1:12" ht="14.45">
      <c r="A81" s="21"/>
      <c r="B81" s="33"/>
      <c r="C81" s="21"/>
      <c r="D81" s="21"/>
      <c r="E81" s="21"/>
      <c r="F81" s="22"/>
      <c r="G81" s="21"/>
      <c r="H81" s="21"/>
      <c r="I81" s="22"/>
      <c r="J81" s="21"/>
      <c r="K81" s="21"/>
      <c r="L81" s="21"/>
    </row>
    <row r="82" spans="1:12" ht="14.45">
      <c r="A82" s="21"/>
      <c r="B82" s="33"/>
      <c r="C82" s="21"/>
      <c r="D82" s="21"/>
      <c r="E82" s="21"/>
      <c r="F82" s="22"/>
      <c r="G82" s="21"/>
      <c r="H82" s="21"/>
      <c r="I82" s="22"/>
      <c r="J82" s="21"/>
      <c r="K82" s="21"/>
      <c r="L82" s="21"/>
    </row>
    <row r="83" spans="1:12" ht="14.45">
      <c r="A83" s="21"/>
      <c r="B83" s="33"/>
      <c r="C83" s="21"/>
      <c r="D83" s="21"/>
      <c r="E83" s="21"/>
      <c r="F83" s="22"/>
      <c r="G83" s="21"/>
      <c r="H83" s="21"/>
      <c r="I83" s="22"/>
      <c r="J83" s="21"/>
      <c r="K83" s="21"/>
      <c r="L83" s="21"/>
    </row>
    <row r="84" spans="1:12" ht="14.45">
      <c r="A84" s="21"/>
      <c r="B84" s="33"/>
      <c r="C84" s="21"/>
      <c r="D84" s="21"/>
      <c r="E84" s="21"/>
      <c r="F84" s="22"/>
      <c r="G84" s="21"/>
      <c r="H84" s="21"/>
      <c r="I84" s="22"/>
      <c r="J84" s="21"/>
      <c r="K84" s="21"/>
      <c r="L84" s="21"/>
    </row>
    <row r="85" spans="1:12" ht="14.45">
      <c r="A85" s="21"/>
      <c r="B85" s="33"/>
      <c r="C85" s="21"/>
      <c r="D85" s="21"/>
      <c r="E85" s="21"/>
      <c r="F85" s="22"/>
      <c r="G85" s="21"/>
      <c r="H85" s="21"/>
      <c r="I85" s="22"/>
      <c r="J85" s="21"/>
      <c r="K85" s="21"/>
      <c r="L85" s="21"/>
    </row>
    <row r="86" spans="1:12" ht="14.45">
      <c r="A86" s="21"/>
      <c r="B86" s="33"/>
      <c r="C86" s="21"/>
      <c r="D86" s="21"/>
      <c r="E86" s="21"/>
      <c r="F86" s="22"/>
      <c r="G86" s="21"/>
      <c r="H86" s="21"/>
      <c r="I86" s="22"/>
      <c r="J86" s="21"/>
      <c r="K86" s="21"/>
      <c r="L86" s="21"/>
    </row>
    <row r="87" spans="1:12" ht="14.45">
      <c r="A87" s="21"/>
      <c r="B87" s="33"/>
      <c r="C87" s="21"/>
      <c r="D87" s="21"/>
      <c r="E87" s="21"/>
      <c r="F87" s="22"/>
      <c r="G87" s="21"/>
      <c r="H87" s="21"/>
      <c r="I87" s="22"/>
      <c r="J87" s="21"/>
      <c r="K87" s="21"/>
      <c r="L87" s="21"/>
    </row>
    <row r="88" spans="1:12" ht="14.45">
      <c r="A88" s="21"/>
      <c r="B88" s="33"/>
      <c r="C88" s="21"/>
      <c r="D88" s="21"/>
      <c r="E88" s="21"/>
      <c r="F88" s="22"/>
      <c r="G88" s="21"/>
      <c r="H88" s="21"/>
      <c r="I88" s="22"/>
      <c r="J88" s="21"/>
      <c r="K88" s="21"/>
      <c r="L88" s="21"/>
    </row>
    <row r="89" spans="1:12" ht="14.45">
      <c r="A89" s="21"/>
      <c r="B89" s="33"/>
      <c r="C89" s="21"/>
      <c r="D89" s="21"/>
      <c r="E89" s="21"/>
      <c r="F89" s="22"/>
      <c r="G89" s="21"/>
      <c r="H89" s="21"/>
      <c r="I89" s="22"/>
      <c r="J89" s="21"/>
      <c r="K89" s="21"/>
      <c r="L89" s="21"/>
    </row>
    <row r="90" spans="1:12" ht="14.45">
      <c r="A90" s="21"/>
      <c r="B90" s="33"/>
      <c r="C90" s="21"/>
      <c r="D90" s="21"/>
      <c r="E90" s="21"/>
      <c r="F90" s="22"/>
      <c r="G90" s="21"/>
      <c r="H90" s="21"/>
      <c r="I90" s="22"/>
      <c r="J90" s="21"/>
      <c r="K90" s="21"/>
      <c r="L90" s="21"/>
    </row>
    <row r="91" spans="1:12" ht="14.45">
      <c r="A91" s="21"/>
      <c r="B91" s="33"/>
      <c r="C91" s="21"/>
      <c r="D91" s="21"/>
      <c r="E91" s="21"/>
      <c r="F91" s="22"/>
      <c r="G91" s="21"/>
      <c r="H91" s="21"/>
      <c r="I91" s="22"/>
      <c r="J91" s="21"/>
      <c r="K91" s="21"/>
      <c r="L91" s="21"/>
    </row>
    <row r="92" spans="1:12" ht="14.45">
      <c r="A92" s="21"/>
      <c r="B92" s="33"/>
      <c r="C92" s="21"/>
      <c r="D92" s="21"/>
      <c r="E92" s="21"/>
      <c r="F92" s="22"/>
      <c r="G92" s="21"/>
      <c r="H92" s="21"/>
      <c r="I92" s="22"/>
      <c r="J92" s="21"/>
      <c r="K92" s="21"/>
      <c r="L92" s="21"/>
    </row>
    <row r="93" spans="1:12" ht="14.45">
      <c r="A93" s="21"/>
      <c r="B93" s="33"/>
      <c r="C93" s="21"/>
      <c r="D93" s="21"/>
      <c r="E93" s="21"/>
      <c r="F93" s="22"/>
      <c r="G93" s="21"/>
      <c r="H93" s="21"/>
      <c r="I93" s="22"/>
      <c r="J93" s="21"/>
      <c r="K93" s="21"/>
      <c r="L93" s="21"/>
    </row>
    <row r="94" spans="1:12" ht="14.45">
      <c r="A94" s="21"/>
      <c r="B94" s="33"/>
      <c r="C94" s="21"/>
      <c r="D94" s="21"/>
      <c r="E94" s="21"/>
      <c r="F94" s="22"/>
      <c r="G94" s="21"/>
      <c r="H94" s="21"/>
      <c r="I94" s="22"/>
      <c r="J94" s="21"/>
      <c r="K94" s="21"/>
      <c r="L94" s="21"/>
    </row>
    <row r="95" spans="1:12" ht="14.45">
      <c r="A95" s="21"/>
      <c r="B95" s="33"/>
      <c r="C95" s="21"/>
      <c r="D95" s="21"/>
      <c r="E95" s="21"/>
      <c r="F95" s="22"/>
      <c r="G95" s="21"/>
      <c r="H95" s="21"/>
      <c r="I95" s="22"/>
      <c r="J95" s="21"/>
      <c r="K95" s="21"/>
      <c r="L95" s="21"/>
    </row>
    <row r="96" spans="1:12" ht="14.45">
      <c r="A96" s="21"/>
      <c r="B96" s="33"/>
      <c r="C96" s="21"/>
      <c r="D96" s="21"/>
      <c r="E96" s="21"/>
      <c r="F96" s="22"/>
      <c r="G96" s="21"/>
      <c r="H96" s="21"/>
      <c r="I96" s="22"/>
      <c r="J96" s="21"/>
      <c r="K96" s="21"/>
      <c r="L96" s="21"/>
    </row>
    <row r="97" spans="1:12" ht="14.45">
      <c r="A97" s="21"/>
      <c r="B97" s="33"/>
      <c r="C97" s="21"/>
      <c r="D97" s="21"/>
      <c r="E97" s="21"/>
      <c r="F97" s="22"/>
      <c r="G97" s="21"/>
      <c r="H97" s="21"/>
      <c r="I97" s="22"/>
      <c r="J97" s="21"/>
      <c r="K97" s="21"/>
      <c r="L97" s="21"/>
    </row>
    <row r="98" spans="1:12" ht="14.45">
      <c r="A98" s="21"/>
      <c r="B98" s="33"/>
      <c r="C98" s="21"/>
      <c r="D98" s="21"/>
      <c r="E98" s="21"/>
      <c r="F98" s="22"/>
      <c r="G98" s="21"/>
      <c r="H98" s="21"/>
      <c r="I98" s="22"/>
      <c r="J98" s="21"/>
      <c r="K98" s="21"/>
      <c r="L98" s="21"/>
    </row>
    <row r="99" spans="1:12" ht="14.45">
      <c r="A99" s="21"/>
      <c r="B99" s="33"/>
      <c r="C99" s="21"/>
      <c r="D99" s="21"/>
      <c r="E99" s="21"/>
      <c r="F99" s="22"/>
      <c r="G99" s="21"/>
      <c r="H99" s="21"/>
      <c r="I99" s="22"/>
      <c r="J99" s="21"/>
      <c r="K99" s="21"/>
      <c r="L99" s="21"/>
    </row>
    <row r="100" spans="1:12" ht="14.45">
      <c r="A100" s="21"/>
      <c r="B100" s="33"/>
      <c r="C100" s="21"/>
      <c r="D100" s="21"/>
      <c r="E100" s="21"/>
      <c r="F100" s="22"/>
      <c r="G100" s="21"/>
      <c r="H100" s="21"/>
      <c r="I100" s="22"/>
      <c r="J100" s="21"/>
      <c r="K100" s="21"/>
      <c r="L100" s="21"/>
    </row>
    <row r="101" spans="1:12" ht="14.45">
      <c r="A101" s="21"/>
      <c r="B101" s="33"/>
      <c r="C101" s="21"/>
      <c r="D101" s="21"/>
      <c r="E101" s="21"/>
      <c r="F101" s="22"/>
      <c r="G101" s="21"/>
      <c r="H101" s="21"/>
      <c r="I101" s="22"/>
      <c r="J101" s="21"/>
      <c r="K101" s="21"/>
      <c r="L101" s="21"/>
    </row>
    <row r="102" spans="1:12" ht="14.45">
      <c r="A102" s="21"/>
      <c r="B102" s="33"/>
      <c r="C102" s="21"/>
      <c r="D102" s="21"/>
      <c r="E102" s="21"/>
      <c r="F102" s="22"/>
      <c r="G102" s="21"/>
      <c r="H102" s="21"/>
      <c r="I102" s="22"/>
      <c r="J102" s="21"/>
      <c r="K102" s="21"/>
      <c r="L102" s="21"/>
    </row>
    <row r="103" spans="1:12" ht="14.45">
      <c r="A103" s="21"/>
      <c r="B103" s="33"/>
      <c r="C103" s="21"/>
      <c r="D103" s="21"/>
      <c r="E103" s="21"/>
      <c r="F103" s="22"/>
      <c r="G103" s="21"/>
      <c r="H103" s="21"/>
      <c r="I103" s="22"/>
      <c r="J103" s="21"/>
      <c r="K103" s="21"/>
      <c r="L103" s="21"/>
    </row>
    <row r="104" spans="1:12" ht="14.45">
      <c r="A104" s="21"/>
      <c r="B104" s="33"/>
      <c r="C104" s="21"/>
      <c r="D104" s="21"/>
      <c r="E104" s="21"/>
      <c r="F104" s="22"/>
      <c r="G104" s="21"/>
      <c r="H104" s="21"/>
      <c r="I104" s="22"/>
      <c r="J104" s="21"/>
      <c r="K104" s="21"/>
      <c r="L104" s="21"/>
    </row>
    <row r="105" spans="1:12" ht="14.45">
      <c r="A105" s="21"/>
      <c r="B105" s="33"/>
      <c r="C105" s="21"/>
      <c r="D105" s="21"/>
      <c r="E105" s="21"/>
      <c r="F105" s="22"/>
      <c r="G105" s="21"/>
      <c r="H105" s="21"/>
      <c r="I105" s="22"/>
      <c r="J105" s="21"/>
      <c r="K105" s="21"/>
      <c r="L105" s="21"/>
    </row>
    <row r="106" spans="1:12" ht="14.45">
      <c r="A106" s="21"/>
      <c r="B106" s="33"/>
      <c r="C106" s="21"/>
      <c r="D106" s="21"/>
      <c r="E106" s="21"/>
      <c r="F106" s="22"/>
      <c r="G106" s="21"/>
      <c r="H106" s="21"/>
      <c r="I106" s="22"/>
      <c r="J106" s="21"/>
      <c r="K106" s="21"/>
      <c r="L106" s="21"/>
    </row>
    <row r="107" spans="1:12" ht="14.45">
      <c r="A107" s="21"/>
      <c r="B107" s="33"/>
      <c r="C107" s="21"/>
      <c r="D107" s="21"/>
      <c r="E107" s="21"/>
      <c r="F107" s="22"/>
      <c r="G107" s="21"/>
      <c r="H107" s="21"/>
      <c r="I107" s="22"/>
      <c r="J107" s="21"/>
      <c r="K107" s="21"/>
      <c r="L107" s="21"/>
    </row>
    <row r="108" spans="1:12" ht="14.45">
      <c r="A108" s="21"/>
      <c r="B108" s="33"/>
      <c r="C108" s="21"/>
      <c r="D108" s="21"/>
      <c r="E108" s="21"/>
      <c r="F108" s="22"/>
      <c r="G108" s="21"/>
      <c r="H108" s="21"/>
      <c r="I108" s="22"/>
      <c r="J108" s="21"/>
      <c r="K108" s="21"/>
      <c r="L108" s="21"/>
    </row>
    <row r="109" spans="1:12" ht="14.45">
      <c r="A109" s="21"/>
      <c r="B109" s="33"/>
      <c r="C109" s="21"/>
      <c r="D109" s="21"/>
      <c r="E109" s="21"/>
      <c r="F109" s="22"/>
      <c r="G109" s="21"/>
      <c r="H109" s="21"/>
      <c r="I109" s="22"/>
      <c r="J109" s="21"/>
      <c r="K109" s="21"/>
      <c r="L109" s="21"/>
    </row>
    <row r="110" spans="1:12" ht="14.45">
      <c r="A110" s="21"/>
      <c r="B110" s="33"/>
      <c r="C110" s="21"/>
      <c r="D110" s="21"/>
      <c r="E110" s="21"/>
      <c r="F110" s="22"/>
      <c r="G110" s="21"/>
      <c r="H110" s="21"/>
      <c r="I110" s="22"/>
      <c r="J110" s="21"/>
      <c r="K110" s="21"/>
      <c r="L110" s="21"/>
    </row>
    <row r="111" spans="1:12" ht="14.45">
      <c r="A111" s="21"/>
      <c r="B111" s="33"/>
      <c r="C111" s="21"/>
      <c r="D111" s="21"/>
      <c r="E111" s="21"/>
      <c r="F111" s="22"/>
      <c r="G111" s="21"/>
      <c r="H111" s="21"/>
      <c r="I111" s="22"/>
      <c r="J111" s="21"/>
      <c r="K111" s="21"/>
      <c r="L111" s="21"/>
    </row>
    <row r="112" spans="1:12" ht="14.45">
      <c r="A112" s="21"/>
      <c r="B112" s="33"/>
      <c r="C112" s="21"/>
      <c r="D112" s="21"/>
      <c r="E112" s="21"/>
      <c r="F112" s="22"/>
      <c r="G112" s="21"/>
      <c r="H112" s="21"/>
      <c r="I112" s="22"/>
      <c r="J112" s="21"/>
      <c r="K112" s="21"/>
      <c r="L112" s="21"/>
    </row>
    <row r="113" spans="1:12" ht="14.45">
      <c r="A113" s="21"/>
      <c r="B113" s="33"/>
      <c r="C113" s="21"/>
      <c r="D113" s="21"/>
      <c r="E113" s="21"/>
      <c r="F113" s="22"/>
      <c r="G113" s="21"/>
      <c r="H113" s="21"/>
      <c r="I113" s="22"/>
      <c r="J113" s="21"/>
      <c r="K113" s="21"/>
      <c r="L113" s="21"/>
    </row>
    <row r="114" spans="1:12" ht="14.45">
      <c r="A114" s="21"/>
      <c r="B114" s="33"/>
      <c r="C114" s="21"/>
      <c r="D114" s="21"/>
      <c r="E114" s="21"/>
      <c r="F114" s="22"/>
      <c r="G114" s="21"/>
      <c r="H114" s="21"/>
      <c r="I114" s="22"/>
      <c r="J114" s="21"/>
      <c r="K114" s="21"/>
      <c r="L114" s="21"/>
    </row>
    <row r="115" spans="1:12" ht="14.45">
      <c r="A115" s="21"/>
      <c r="B115" s="33"/>
      <c r="C115" s="21"/>
      <c r="D115" s="21"/>
      <c r="E115" s="21"/>
      <c r="F115" s="22"/>
      <c r="G115" s="21"/>
      <c r="H115" s="21"/>
      <c r="I115" s="22"/>
      <c r="J115" s="21"/>
      <c r="K115" s="21"/>
      <c r="L115" s="21"/>
    </row>
    <row r="116" spans="1:12" ht="14.45">
      <c r="A116" s="21"/>
      <c r="B116" s="33"/>
      <c r="C116" s="21"/>
      <c r="D116" s="21"/>
      <c r="E116" s="21"/>
      <c r="F116" s="22"/>
      <c r="G116" s="21"/>
      <c r="H116" s="21"/>
      <c r="I116" s="22"/>
      <c r="J116" s="21"/>
      <c r="K116" s="21"/>
      <c r="L116" s="21"/>
    </row>
    <row r="117" spans="1:12" ht="14.45">
      <c r="A117" s="21"/>
      <c r="B117" s="33"/>
      <c r="C117" s="21"/>
      <c r="D117" s="21"/>
      <c r="E117" s="21"/>
      <c r="F117" s="22"/>
      <c r="G117" s="21"/>
      <c r="H117" s="21"/>
      <c r="I117" s="22"/>
      <c r="J117" s="21"/>
      <c r="K117" s="21"/>
      <c r="L117" s="21"/>
    </row>
    <row r="118" spans="1:12" ht="14.45">
      <c r="A118" s="21"/>
      <c r="B118" s="33"/>
      <c r="C118" s="21"/>
      <c r="D118" s="21"/>
      <c r="E118" s="21"/>
      <c r="F118" s="22"/>
      <c r="G118" s="21"/>
      <c r="H118" s="21"/>
      <c r="I118" s="22"/>
      <c r="J118" s="21"/>
      <c r="K118" s="21"/>
      <c r="L118" s="21"/>
    </row>
    <row r="119" spans="1:12" ht="14.45">
      <c r="A119" s="21"/>
      <c r="B119" s="33"/>
      <c r="C119" s="21"/>
      <c r="D119" s="21"/>
      <c r="E119" s="21"/>
      <c r="F119" s="22"/>
      <c r="G119" s="21"/>
      <c r="H119" s="21"/>
      <c r="I119" s="22"/>
      <c r="J119" s="21"/>
      <c r="K119" s="21"/>
      <c r="L119" s="21"/>
    </row>
    <row r="120" spans="1:12" ht="14.45">
      <c r="A120" s="21"/>
      <c r="B120" s="33"/>
      <c r="C120" s="21"/>
      <c r="D120" s="21"/>
      <c r="E120" s="21"/>
      <c r="F120" s="22"/>
      <c r="G120" s="21"/>
      <c r="H120" s="21"/>
      <c r="I120" s="22"/>
      <c r="J120" s="21"/>
      <c r="K120" s="21"/>
      <c r="L120" s="21"/>
    </row>
    <row r="121" spans="1:12" ht="14.45">
      <c r="A121" s="21"/>
      <c r="B121" s="33"/>
      <c r="C121" s="21"/>
      <c r="D121" s="21"/>
      <c r="E121" s="21"/>
      <c r="F121" s="22"/>
      <c r="G121" s="21"/>
      <c r="H121" s="21"/>
      <c r="I121" s="22"/>
      <c r="J121" s="21"/>
      <c r="K121" s="21"/>
      <c r="L121" s="21"/>
    </row>
    <row r="122" spans="1:12" ht="14.45">
      <c r="A122" s="21"/>
      <c r="B122" s="33"/>
      <c r="C122" s="21"/>
      <c r="D122" s="21"/>
      <c r="E122" s="21"/>
      <c r="F122" s="22"/>
      <c r="G122" s="21"/>
      <c r="H122" s="21"/>
      <c r="I122" s="22"/>
      <c r="J122" s="21"/>
      <c r="K122" s="21"/>
      <c r="L122" s="21"/>
    </row>
    <row r="123" spans="1:12" ht="14.45">
      <c r="A123" s="21"/>
      <c r="B123" s="33"/>
      <c r="C123" s="21"/>
      <c r="D123" s="21"/>
      <c r="E123" s="21"/>
      <c r="F123" s="22"/>
      <c r="G123" s="21"/>
      <c r="H123" s="21"/>
      <c r="I123" s="22"/>
      <c r="J123" s="21"/>
      <c r="K123" s="21"/>
      <c r="L123" s="21"/>
    </row>
    <row r="124" spans="1:12" ht="14.45">
      <c r="A124" s="21"/>
      <c r="B124" s="33"/>
      <c r="C124" s="21"/>
      <c r="D124" s="21"/>
      <c r="E124" s="21"/>
      <c r="F124" s="22"/>
      <c r="G124" s="21"/>
      <c r="H124" s="21"/>
      <c r="I124" s="22"/>
      <c r="J124" s="21"/>
      <c r="K124" s="21"/>
      <c r="L124" s="21"/>
    </row>
    <row r="125" spans="1:12" ht="14.45">
      <c r="A125" s="21"/>
      <c r="B125" s="33"/>
      <c r="C125" s="21"/>
      <c r="D125" s="21"/>
      <c r="E125" s="21"/>
      <c r="F125" s="22"/>
      <c r="G125" s="21"/>
      <c r="H125" s="21"/>
      <c r="I125" s="22"/>
      <c r="J125" s="21"/>
      <c r="K125" s="21"/>
      <c r="L125" s="21"/>
    </row>
    <row r="126" spans="1:12" ht="14.45">
      <c r="A126" s="21"/>
      <c r="B126" s="33"/>
      <c r="C126" s="21"/>
      <c r="D126" s="21"/>
      <c r="E126" s="21"/>
      <c r="F126" s="22"/>
      <c r="G126" s="21"/>
      <c r="H126" s="21"/>
      <c r="I126" s="22"/>
      <c r="J126" s="21"/>
      <c r="K126" s="21"/>
      <c r="L126" s="21"/>
    </row>
    <row r="127" spans="1:12" ht="14.45">
      <c r="A127" s="21"/>
      <c r="B127" s="33"/>
      <c r="C127" s="21"/>
      <c r="D127" s="21"/>
      <c r="E127" s="21"/>
      <c r="F127" s="22"/>
      <c r="G127" s="21"/>
      <c r="H127" s="21"/>
      <c r="I127" s="22"/>
      <c r="J127" s="21"/>
      <c r="K127" s="21"/>
      <c r="L127" s="21"/>
    </row>
    <row r="128" spans="1:12" ht="14.45">
      <c r="A128" s="21"/>
      <c r="B128" s="33"/>
      <c r="C128" s="21"/>
      <c r="D128" s="21"/>
      <c r="E128" s="21"/>
      <c r="F128" s="22"/>
      <c r="G128" s="21"/>
      <c r="H128" s="21"/>
      <c r="I128" s="22"/>
      <c r="J128" s="21"/>
      <c r="K128" s="21"/>
      <c r="L128" s="21"/>
    </row>
    <row r="129" spans="1:12" ht="14.45">
      <c r="A129" s="21"/>
      <c r="B129" s="33"/>
      <c r="C129" s="21"/>
      <c r="D129" s="21"/>
      <c r="E129" s="21"/>
      <c r="F129" s="22"/>
      <c r="G129" s="21"/>
      <c r="H129" s="21"/>
      <c r="I129" s="22"/>
      <c r="J129" s="21"/>
      <c r="K129" s="21"/>
      <c r="L129" s="21"/>
    </row>
    <row r="130" spans="1:12" ht="14.45">
      <c r="A130" s="21"/>
      <c r="B130" s="33"/>
      <c r="C130" s="21"/>
      <c r="D130" s="21"/>
      <c r="E130" s="21"/>
      <c r="F130" s="22"/>
      <c r="G130" s="21"/>
      <c r="H130" s="21"/>
      <c r="I130" s="22"/>
      <c r="J130" s="21"/>
      <c r="K130" s="21"/>
      <c r="L130" s="21"/>
    </row>
    <row r="131" spans="1:12" ht="14.45">
      <c r="A131" s="21"/>
      <c r="B131" s="33"/>
      <c r="C131" s="21"/>
      <c r="D131" s="21"/>
      <c r="E131" s="21"/>
      <c r="F131" s="22"/>
      <c r="G131" s="21"/>
      <c r="H131" s="21"/>
      <c r="I131" s="22"/>
      <c r="J131" s="21"/>
      <c r="K131" s="21"/>
      <c r="L131" s="21"/>
    </row>
    <row r="132" spans="1:12" ht="14.45">
      <c r="A132" s="21"/>
      <c r="B132" s="33"/>
      <c r="C132" s="21"/>
      <c r="D132" s="21"/>
      <c r="E132" s="21"/>
      <c r="F132" s="22"/>
      <c r="G132" s="21"/>
      <c r="H132" s="21"/>
      <c r="I132" s="22"/>
      <c r="J132" s="21"/>
      <c r="K132" s="21"/>
      <c r="L132" s="21"/>
    </row>
    <row r="133" spans="1:12" ht="14.45">
      <c r="A133" s="21"/>
      <c r="B133" s="33"/>
      <c r="C133" s="21"/>
      <c r="D133" s="21"/>
      <c r="E133" s="21"/>
      <c r="F133" s="22"/>
      <c r="G133" s="21"/>
      <c r="H133" s="21"/>
      <c r="I133" s="22"/>
      <c r="J133" s="21"/>
      <c r="K133" s="21"/>
      <c r="L133" s="21"/>
    </row>
    <row r="134" spans="1:12" ht="14.45">
      <c r="A134" s="21"/>
      <c r="B134" s="33"/>
      <c r="C134" s="21"/>
      <c r="D134" s="21"/>
      <c r="E134" s="21"/>
      <c r="F134" s="22"/>
      <c r="G134" s="21"/>
      <c r="H134" s="21"/>
      <c r="I134" s="22"/>
      <c r="J134" s="21"/>
      <c r="K134" s="21"/>
      <c r="L134" s="21"/>
    </row>
    <row r="135" spans="1:12" ht="14.45">
      <c r="A135" s="21"/>
      <c r="B135" s="33"/>
      <c r="C135" s="21"/>
      <c r="D135" s="21"/>
      <c r="E135" s="21"/>
      <c r="F135" s="22"/>
      <c r="G135" s="21"/>
      <c r="H135" s="21"/>
      <c r="I135" s="22"/>
      <c r="J135" s="21"/>
      <c r="K135" s="21"/>
      <c r="L135" s="21"/>
    </row>
    <row r="136" spans="1:12" ht="14.45">
      <c r="A136" s="21"/>
      <c r="B136" s="33"/>
      <c r="C136" s="21"/>
      <c r="D136" s="21"/>
      <c r="E136" s="21"/>
      <c r="F136" s="22"/>
      <c r="G136" s="21"/>
      <c r="H136" s="21"/>
      <c r="I136" s="22"/>
      <c r="J136" s="21"/>
      <c r="K136" s="21"/>
      <c r="L136" s="21"/>
    </row>
    <row r="137" spans="1:12" ht="14.45">
      <c r="A137" s="21"/>
      <c r="B137" s="33"/>
      <c r="C137" s="21"/>
      <c r="D137" s="21"/>
      <c r="E137" s="21"/>
      <c r="F137" s="22"/>
      <c r="G137" s="21"/>
      <c r="H137" s="21"/>
      <c r="I137" s="22"/>
      <c r="J137" s="21"/>
      <c r="K137" s="21"/>
      <c r="L137" s="21"/>
    </row>
    <row r="138" spans="1:12" ht="14.45">
      <c r="A138" s="21"/>
      <c r="B138" s="33"/>
      <c r="C138" s="21"/>
      <c r="D138" s="21"/>
      <c r="E138" s="21"/>
      <c r="F138" s="22"/>
      <c r="G138" s="21"/>
      <c r="H138" s="21"/>
      <c r="I138" s="22"/>
      <c r="J138" s="21"/>
      <c r="K138" s="21"/>
      <c r="L138" s="21"/>
    </row>
    <row r="139" spans="1:12" ht="14.45">
      <c r="A139" s="21"/>
      <c r="B139" s="33"/>
      <c r="C139" s="21"/>
      <c r="D139" s="21"/>
      <c r="E139" s="21"/>
      <c r="F139" s="22"/>
      <c r="G139" s="21"/>
      <c r="H139" s="21"/>
      <c r="I139" s="22"/>
      <c r="J139" s="21"/>
      <c r="K139" s="21"/>
      <c r="L139" s="21"/>
    </row>
    <row r="140" spans="1:12" ht="14.45">
      <c r="A140" s="21"/>
      <c r="B140" s="33"/>
      <c r="C140" s="21"/>
      <c r="D140" s="21"/>
      <c r="E140" s="21"/>
      <c r="F140" s="22"/>
      <c r="G140" s="21"/>
      <c r="H140" s="21"/>
      <c r="I140" s="22"/>
      <c r="J140" s="21"/>
      <c r="K140" s="21"/>
      <c r="L140" s="21"/>
    </row>
    <row r="141" spans="1:12" ht="14.45">
      <c r="A141" s="21"/>
      <c r="B141" s="33"/>
      <c r="C141" s="21"/>
      <c r="D141" s="21"/>
      <c r="E141" s="21"/>
      <c r="F141" s="22"/>
      <c r="G141" s="21"/>
      <c r="H141" s="21"/>
      <c r="I141" s="22"/>
      <c r="J141" s="21"/>
      <c r="K141" s="21"/>
      <c r="L141" s="21"/>
    </row>
    <row r="142" spans="1:12" ht="14.45">
      <c r="A142" s="21"/>
      <c r="B142" s="33"/>
      <c r="C142" s="21"/>
      <c r="D142" s="21"/>
      <c r="E142" s="21"/>
      <c r="F142" s="22"/>
      <c r="G142" s="21"/>
      <c r="H142" s="21"/>
      <c r="I142" s="22"/>
      <c r="J142" s="21"/>
      <c r="K142" s="21"/>
      <c r="L142" s="21"/>
    </row>
    <row r="143" spans="1:12" ht="14.45">
      <c r="A143" s="21"/>
      <c r="B143" s="33"/>
      <c r="C143" s="21"/>
      <c r="D143" s="21"/>
      <c r="E143" s="21"/>
      <c r="F143" s="22"/>
      <c r="G143" s="21"/>
      <c r="H143" s="21"/>
      <c r="I143" s="22"/>
      <c r="J143" s="21"/>
      <c r="K143" s="21"/>
      <c r="L143" s="21"/>
    </row>
    <row r="144" spans="1:12" ht="14.45">
      <c r="A144" s="21"/>
      <c r="B144" s="33"/>
      <c r="C144" s="21"/>
      <c r="D144" s="21"/>
      <c r="E144" s="21"/>
      <c r="F144" s="22"/>
      <c r="G144" s="21"/>
      <c r="H144" s="21"/>
      <c r="I144" s="22"/>
      <c r="J144" s="21"/>
      <c r="K144" s="21"/>
      <c r="L144" s="21"/>
    </row>
    <row r="145" spans="1:12" ht="14.45">
      <c r="A145" s="21"/>
      <c r="B145" s="33"/>
      <c r="C145" s="21"/>
      <c r="D145" s="21"/>
      <c r="E145" s="21"/>
      <c r="F145" s="22"/>
      <c r="G145" s="21"/>
      <c r="H145" s="21"/>
      <c r="I145" s="22"/>
      <c r="J145" s="21"/>
      <c r="K145" s="21"/>
      <c r="L145" s="21"/>
    </row>
    <row r="146" spans="1:12" ht="14.45">
      <c r="A146" s="21"/>
      <c r="B146" s="33"/>
      <c r="C146" s="21"/>
      <c r="D146" s="21"/>
      <c r="E146" s="21"/>
      <c r="F146" s="22"/>
      <c r="G146" s="21"/>
      <c r="H146" s="21"/>
      <c r="I146" s="22"/>
      <c r="J146" s="21"/>
      <c r="K146" s="21"/>
      <c r="L146" s="21"/>
    </row>
    <row r="147" spans="1:12" ht="14.45">
      <c r="A147" s="21"/>
      <c r="B147" s="33"/>
      <c r="C147" s="21"/>
      <c r="D147" s="21"/>
      <c r="E147" s="21"/>
      <c r="F147" s="22"/>
      <c r="G147" s="21"/>
      <c r="H147" s="21"/>
      <c r="I147" s="22"/>
      <c r="J147" s="21"/>
      <c r="K147" s="21"/>
      <c r="L147" s="21"/>
    </row>
    <row r="148" spans="1:12" ht="14.45">
      <c r="A148" s="21"/>
      <c r="B148" s="33"/>
      <c r="C148" s="21"/>
      <c r="D148" s="21"/>
      <c r="E148" s="21"/>
      <c r="F148" s="22"/>
      <c r="G148" s="21"/>
      <c r="H148" s="21"/>
      <c r="I148" s="22"/>
      <c r="J148" s="21"/>
      <c r="K148" s="21"/>
      <c r="L148" s="21"/>
    </row>
    <row r="149" spans="1:12" ht="14.45">
      <c r="A149" s="21"/>
      <c r="B149" s="33"/>
      <c r="C149" s="21"/>
      <c r="D149" s="21"/>
      <c r="E149" s="21"/>
      <c r="F149" s="22"/>
      <c r="G149" s="21"/>
      <c r="H149" s="21"/>
      <c r="I149" s="22"/>
      <c r="J149" s="21"/>
      <c r="K149" s="21"/>
      <c r="L149" s="21"/>
    </row>
    <row r="150" spans="1:12" ht="14.45">
      <c r="A150" s="21"/>
      <c r="B150" s="33"/>
      <c r="C150" s="21"/>
      <c r="D150" s="21"/>
      <c r="E150" s="21"/>
      <c r="F150" s="22"/>
      <c r="G150" s="21"/>
      <c r="H150" s="21"/>
      <c r="I150" s="22"/>
      <c r="J150" s="21"/>
      <c r="K150" s="21"/>
      <c r="L150" s="21"/>
    </row>
    <row r="151" spans="1:12" ht="14.45">
      <c r="A151" s="21"/>
      <c r="B151" s="33"/>
      <c r="C151" s="21"/>
      <c r="D151" s="21"/>
      <c r="E151" s="21"/>
      <c r="F151" s="22"/>
      <c r="G151" s="21"/>
      <c r="H151" s="21"/>
      <c r="I151" s="22"/>
      <c r="J151" s="21"/>
      <c r="K151" s="21"/>
      <c r="L151" s="21"/>
    </row>
    <row r="152" spans="1:12" ht="14.45">
      <c r="A152" s="21"/>
      <c r="B152" s="33"/>
      <c r="C152" s="21"/>
      <c r="D152" s="21"/>
      <c r="E152" s="21"/>
      <c r="F152" s="22"/>
      <c r="G152" s="21"/>
      <c r="H152" s="21"/>
      <c r="I152" s="22"/>
      <c r="J152" s="21"/>
      <c r="K152" s="21"/>
      <c r="L152" s="21"/>
    </row>
    <row r="153" spans="1:12" ht="14.45">
      <c r="A153" s="21"/>
      <c r="B153" s="33"/>
      <c r="C153" s="21"/>
      <c r="D153" s="21"/>
      <c r="E153" s="21"/>
      <c r="F153" s="22"/>
      <c r="G153" s="21"/>
      <c r="H153" s="21"/>
      <c r="I153" s="22"/>
      <c r="J153" s="21"/>
      <c r="K153" s="21"/>
      <c r="L153" s="21"/>
    </row>
    <row r="154" spans="1:12" ht="14.45">
      <c r="A154" s="21"/>
      <c r="B154" s="33"/>
      <c r="C154" s="21"/>
      <c r="D154" s="21"/>
      <c r="E154" s="21"/>
      <c r="F154" s="22"/>
      <c r="G154" s="21"/>
      <c r="H154" s="21"/>
      <c r="I154" s="22"/>
      <c r="J154" s="21"/>
      <c r="K154" s="21"/>
      <c r="L154" s="21"/>
    </row>
    <row r="155" spans="1:12" ht="14.45">
      <c r="A155" s="21"/>
      <c r="B155" s="33"/>
      <c r="C155" s="21"/>
      <c r="D155" s="21"/>
      <c r="E155" s="21"/>
      <c r="F155" s="22"/>
      <c r="G155" s="21"/>
      <c r="H155" s="21"/>
      <c r="I155" s="22"/>
      <c r="J155" s="21"/>
      <c r="K155" s="21"/>
      <c r="L155" s="21"/>
    </row>
    <row r="156" spans="1:12" ht="14.45">
      <c r="A156" s="21"/>
      <c r="B156" s="33"/>
      <c r="C156" s="21"/>
      <c r="D156" s="21"/>
      <c r="E156" s="21"/>
      <c r="F156" s="22"/>
      <c r="G156" s="21"/>
      <c r="H156" s="21"/>
      <c r="I156" s="22"/>
      <c r="J156" s="21"/>
      <c r="K156" s="21"/>
      <c r="L156" s="21"/>
    </row>
    <row r="157" spans="1:12" ht="14.45">
      <c r="A157" s="21"/>
      <c r="B157" s="33"/>
      <c r="C157" s="21"/>
      <c r="D157" s="21"/>
      <c r="E157" s="21"/>
      <c r="F157" s="22"/>
      <c r="G157" s="21"/>
      <c r="H157" s="21"/>
      <c r="I157" s="22"/>
      <c r="J157" s="21"/>
      <c r="K157" s="21"/>
      <c r="L157" s="21"/>
    </row>
    <row r="158" spans="1:12" ht="14.45">
      <c r="A158" s="21"/>
      <c r="B158" s="33"/>
      <c r="C158" s="21"/>
      <c r="D158" s="21"/>
      <c r="E158" s="21"/>
      <c r="F158" s="22"/>
      <c r="G158" s="21"/>
      <c r="H158" s="21"/>
      <c r="I158" s="22"/>
      <c r="J158" s="21"/>
      <c r="K158" s="21"/>
      <c r="L158" s="21"/>
    </row>
    <row r="159" spans="1:12" ht="14.45">
      <c r="A159" s="21"/>
      <c r="B159" s="33"/>
      <c r="C159" s="21"/>
      <c r="D159" s="21"/>
      <c r="E159" s="21"/>
      <c r="F159" s="22"/>
      <c r="G159" s="21"/>
      <c r="H159" s="21"/>
      <c r="I159" s="22"/>
      <c r="J159" s="21"/>
      <c r="K159" s="21"/>
      <c r="L159" s="21"/>
    </row>
    <row r="160" spans="1:12" ht="14.45">
      <c r="A160" s="21"/>
      <c r="B160" s="33"/>
      <c r="C160" s="21"/>
      <c r="D160" s="21"/>
      <c r="E160" s="21"/>
      <c r="F160" s="22"/>
      <c r="G160" s="21"/>
      <c r="H160" s="21"/>
      <c r="I160" s="22"/>
      <c r="J160" s="21"/>
      <c r="K160" s="21"/>
      <c r="L160" s="21"/>
    </row>
    <row r="161" spans="1:12" ht="14.45">
      <c r="A161" s="21"/>
      <c r="B161" s="33"/>
      <c r="C161" s="21"/>
      <c r="D161" s="21"/>
      <c r="E161" s="21"/>
      <c r="F161" s="22"/>
      <c r="G161" s="21"/>
      <c r="H161" s="21"/>
      <c r="I161" s="22"/>
      <c r="J161" s="21"/>
      <c r="K161" s="21"/>
      <c r="L161" s="21"/>
    </row>
    <row r="162" spans="1:12" ht="14.45">
      <c r="A162" s="21"/>
      <c r="B162" s="33"/>
      <c r="C162" s="21"/>
      <c r="D162" s="21"/>
      <c r="E162" s="21"/>
      <c r="F162" s="22"/>
      <c r="G162" s="21"/>
      <c r="H162" s="21"/>
      <c r="I162" s="22"/>
      <c r="J162" s="21"/>
      <c r="K162" s="21"/>
      <c r="L162" s="21"/>
    </row>
    <row r="163" spans="1:12" ht="14.45">
      <c r="A163" s="21"/>
      <c r="B163" s="33"/>
      <c r="C163" s="21"/>
      <c r="D163" s="21"/>
      <c r="E163" s="21"/>
      <c r="F163" s="22"/>
      <c r="G163" s="21"/>
      <c r="H163" s="21"/>
      <c r="I163" s="22"/>
      <c r="J163" s="21"/>
      <c r="K163" s="21"/>
      <c r="L163" s="21"/>
    </row>
    <row r="164" spans="1:12" ht="14.45">
      <c r="A164" s="21"/>
      <c r="B164" s="33"/>
      <c r="C164" s="21"/>
      <c r="D164" s="21"/>
      <c r="E164" s="21"/>
      <c r="F164" s="22"/>
      <c r="G164" s="21"/>
      <c r="H164" s="21"/>
      <c r="I164" s="22"/>
      <c r="J164" s="21"/>
      <c r="K164" s="21"/>
      <c r="L164" s="21"/>
    </row>
    <row r="165" spans="1:12" ht="14.45">
      <c r="A165" s="21"/>
      <c r="B165" s="33"/>
      <c r="C165" s="21"/>
      <c r="D165" s="21"/>
      <c r="E165" s="21"/>
      <c r="F165" s="22"/>
      <c r="G165" s="21"/>
      <c r="H165" s="21"/>
      <c r="I165" s="22"/>
      <c r="J165" s="21"/>
      <c r="K165" s="21"/>
      <c r="L165" s="21"/>
    </row>
    <row r="166" spans="1:12" ht="14.45">
      <c r="A166" s="21"/>
      <c r="B166" s="33"/>
      <c r="C166" s="21"/>
      <c r="D166" s="21"/>
      <c r="E166" s="21"/>
      <c r="F166" s="22"/>
      <c r="G166" s="21"/>
      <c r="H166" s="21"/>
      <c r="I166" s="22"/>
      <c r="J166" s="21"/>
      <c r="K166" s="21"/>
      <c r="L166" s="21"/>
    </row>
    <row r="167" spans="1:12" ht="14.45">
      <c r="A167" s="21"/>
      <c r="B167" s="33"/>
      <c r="C167" s="21"/>
      <c r="D167" s="21"/>
      <c r="E167" s="21"/>
      <c r="F167" s="22"/>
      <c r="G167" s="21"/>
      <c r="H167" s="21"/>
      <c r="I167" s="22"/>
      <c r="J167" s="21"/>
      <c r="K167" s="21"/>
      <c r="L167" s="21"/>
    </row>
    <row r="168" spans="1:12" ht="14.45">
      <c r="A168" s="21"/>
      <c r="B168" s="33"/>
      <c r="C168" s="21"/>
      <c r="D168" s="21"/>
      <c r="E168" s="21"/>
      <c r="F168" s="22"/>
      <c r="G168" s="21"/>
      <c r="H168" s="21"/>
      <c r="I168" s="22"/>
      <c r="J168" s="21"/>
      <c r="K168" s="21"/>
      <c r="L168" s="21"/>
    </row>
    <row r="169" spans="1:12" ht="14.45">
      <c r="A169" s="21"/>
      <c r="B169" s="33"/>
      <c r="C169" s="21"/>
      <c r="D169" s="21"/>
      <c r="E169" s="21"/>
      <c r="F169" s="22"/>
      <c r="G169" s="21"/>
      <c r="H169" s="21"/>
      <c r="I169" s="22"/>
      <c r="J169" s="21"/>
      <c r="K169" s="21"/>
      <c r="L169" s="21"/>
    </row>
    <row r="170" spans="1:12" ht="14.45">
      <c r="A170" s="21"/>
      <c r="B170" s="33"/>
      <c r="C170" s="21"/>
      <c r="D170" s="21"/>
      <c r="E170" s="21"/>
      <c r="F170" s="22"/>
      <c r="G170" s="21"/>
      <c r="H170" s="21"/>
      <c r="I170" s="22"/>
      <c r="J170" s="21"/>
      <c r="K170" s="21"/>
      <c r="L170" s="21"/>
    </row>
    <row r="171" spans="1:12" ht="14.45">
      <c r="A171" s="21"/>
      <c r="B171" s="33"/>
      <c r="C171" s="21"/>
      <c r="D171" s="21"/>
      <c r="E171" s="21"/>
      <c r="F171" s="22"/>
      <c r="G171" s="21"/>
      <c r="H171" s="21"/>
      <c r="I171" s="22"/>
      <c r="J171" s="21"/>
      <c r="K171" s="21"/>
      <c r="L171" s="21"/>
    </row>
    <row r="172" spans="1:12" ht="14.45">
      <c r="A172" s="21"/>
      <c r="B172" s="33"/>
      <c r="C172" s="21"/>
      <c r="D172" s="21"/>
      <c r="E172" s="21"/>
      <c r="F172" s="22"/>
      <c r="G172" s="21"/>
      <c r="H172" s="21"/>
      <c r="I172" s="22"/>
      <c r="J172" s="21"/>
      <c r="K172" s="21"/>
      <c r="L172" s="21"/>
    </row>
    <row r="173" spans="1:12" ht="14.45">
      <c r="A173" s="21"/>
      <c r="B173" s="33"/>
      <c r="C173" s="21"/>
      <c r="D173" s="21"/>
      <c r="E173" s="21"/>
      <c r="F173" s="22"/>
      <c r="G173" s="21"/>
      <c r="H173" s="21"/>
      <c r="I173" s="22"/>
      <c r="J173" s="21"/>
      <c r="K173" s="21"/>
      <c r="L173" s="21"/>
    </row>
    <row r="174" spans="1:12" ht="14.45">
      <c r="A174" s="21"/>
      <c r="B174" s="33"/>
      <c r="C174" s="21"/>
      <c r="D174" s="21"/>
      <c r="E174" s="21"/>
      <c r="F174" s="22"/>
      <c r="G174" s="21"/>
      <c r="H174" s="21"/>
      <c r="I174" s="22"/>
      <c r="J174" s="21"/>
      <c r="K174" s="21"/>
      <c r="L174" s="21"/>
    </row>
    <row r="175" spans="1:12" ht="14.45">
      <c r="A175" s="21"/>
      <c r="B175" s="33"/>
      <c r="C175" s="21"/>
      <c r="D175" s="21"/>
      <c r="E175" s="21"/>
      <c r="F175" s="22"/>
      <c r="G175" s="21"/>
      <c r="H175" s="21"/>
      <c r="I175" s="22"/>
      <c r="J175" s="21"/>
      <c r="K175" s="21"/>
      <c r="L175" s="21"/>
    </row>
    <row r="176" spans="1:12" ht="14.45">
      <c r="A176" s="21"/>
      <c r="B176" s="33"/>
      <c r="C176" s="21"/>
      <c r="D176" s="21"/>
      <c r="E176" s="21"/>
      <c r="F176" s="22"/>
      <c r="G176" s="21"/>
      <c r="H176" s="21"/>
      <c r="I176" s="22"/>
      <c r="J176" s="21"/>
      <c r="K176" s="21"/>
      <c r="L176" s="21"/>
    </row>
    <row r="177" spans="1:12" ht="14.45">
      <c r="A177" s="21"/>
      <c r="B177" s="33"/>
      <c r="C177" s="21"/>
      <c r="D177" s="21"/>
      <c r="E177" s="21"/>
      <c r="F177" s="22"/>
      <c r="G177" s="21"/>
      <c r="H177" s="21"/>
      <c r="I177" s="22"/>
      <c r="J177" s="21"/>
      <c r="K177" s="21"/>
      <c r="L177" s="21"/>
    </row>
    <row r="178" spans="1:12" ht="14.45">
      <c r="A178" s="21"/>
      <c r="B178" s="33"/>
      <c r="C178" s="21"/>
      <c r="D178" s="21"/>
      <c r="E178" s="21"/>
      <c r="F178" s="22"/>
      <c r="G178" s="21"/>
      <c r="H178" s="21"/>
      <c r="I178" s="22"/>
      <c r="J178" s="21"/>
      <c r="K178" s="21"/>
      <c r="L178" s="21"/>
    </row>
    <row r="179" spans="1:12" ht="14.45">
      <c r="A179" s="21"/>
      <c r="B179" s="33"/>
      <c r="C179" s="21"/>
      <c r="D179" s="21"/>
      <c r="E179" s="21"/>
      <c r="F179" s="22"/>
      <c r="G179" s="21"/>
      <c r="H179" s="21"/>
      <c r="I179" s="22"/>
      <c r="J179" s="21"/>
      <c r="K179" s="21"/>
      <c r="L179" s="21"/>
    </row>
    <row r="180" spans="1:12" ht="14.45">
      <c r="A180" s="21"/>
      <c r="B180" s="33"/>
      <c r="C180" s="21"/>
      <c r="D180" s="21"/>
      <c r="E180" s="21"/>
      <c r="F180" s="22"/>
      <c r="G180" s="21"/>
      <c r="H180" s="21"/>
      <c r="I180" s="22"/>
      <c r="J180" s="21"/>
      <c r="K180" s="21"/>
      <c r="L180" s="21"/>
    </row>
    <row r="181" spans="1:12" ht="14.45">
      <c r="A181" s="21"/>
      <c r="B181" s="33"/>
      <c r="C181" s="21"/>
      <c r="D181" s="21"/>
      <c r="E181" s="21"/>
      <c r="F181" s="22"/>
      <c r="G181" s="21"/>
      <c r="H181" s="21"/>
      <c r="I181" s="22"/>
      <c r="J181" s="21"/>
      <c r="K181" s="21"/>
      <c r="L181" s="21"/>
    </row>
    <row r="182" spans="1:12" ht="14.45">
      <c r="A182" s="21"/>
      <c r="B182" s="33"/>
      <c r="C182" s="21"/>
      <c r="D182" s="21"/>
      <c r="E182" s="21"/>
      <c r="F182" s="22"/>
      <c r="G182" s="21"/>
      <c r="H182" s="21"/>
      <c r="I182" s="22"/>
      <c r="J182" s="21"/>
      <c r="K182" s="21"/>
      <c r="L182" s="21"/>
    </row>
    <row r="183" spans="1:12" ht="14.45">
      <c r="A183" s="21"/>
      <c r="B183" s="33"/>
      <c r="C183" s="21"/>
      <c r="D183" s="21"/>
      <c r="E183" s="21"/>
      <c r="F183" s="22"/>
      <c r="G183" s="21"/>
      <c r="H183" s="21"/>
      <c r="I183" s="22"/>
      <c r="J183" s="21"/>
      <c r="K183" s="21"/>
      <c r="L183" s="21"/>
    </row>
    <row r="184" spans="1:12" ht="14.45">
      <c r="A184" s="21"/>
      <c r="B184" s="33"/>
      <c r="C184" s="21"/>
      <c r="D184" s="21"/>
      <c r="E184" s="21"/>
      <c r="F184" s="22"/>
      <c r="G184" s="21"/>
      <c r="H184" s="21"/>
      <c r="I184" s="22"/>
      <c r="J184" s="21"/>
      <c r="K184" s="21"/>
      <c r="L184" s="21"/>
    </row>
    <row r="185" spans="1:12" ht="14.45">
      <c r="A185" s="21"/>
      <c r="B185" s="33"/>
      <c r="C185" s="21"/>
      <c r="D185" s="21"/>
      <c r="E185" s="21"/>
      <c r="F185" s="22"/>
      <c r="G185" s="21"/>
      <c r="H185" s="21"/>
      <c r="I185" s="22"/>
      <c r="J185" s="21"/>
      <c r="K185" s="21"/>
      <c r="L185" s="21"/>
    </row>
    <row r="186" spans="1:12" ht="14.45">
      <c r="A186" s="21"/>
      <c r="B186" s="33"/>
      <c r="C186" s="21"/>
      <c r="D186" s="21"/>
      <c r="E186" s="21"/>
      <c r="F186" s="22"/>
      <c r="G186" s="21"/>
      <c r="H186" s="21"/>
      <c r="I186" s="22"/>
      <c r="J186" s="21"/>
      <c r="K186" s="21"/>
      <c r="L186" s="21"/>
    </row>
    <row r="187" spans="1:12" ht="14.45">
      <c r="A187" s="21"/>
      <c r="B187" s="33"/>
      <c r="C187" s="21"/>
      <c r="D187" s="21"/>
      <c r="E187" s="21"/>
      <c r="F187" s="22"/>
      <c r="G187" s="21"/>
      <c r="H187" s="21"/>
      <c r="I187" s="22"/>
      <c r="J187" s="21"/>
      <c r="K187" s="21"/>
      <c r="L187" s="21"/>
    </row>
    <row r="188" spans="1:12" ht="14.45">
      <c r="A188" s="21"/>
      <c r="B188" s="33"/>
      <c r="C188" s="21"/>
      <c r="D188" s="21"/>
      <c r="E188" s="21"/>
      <c r="F188" s="22"/>
      <c r="G188" s="21"/>
      <c r="H188" s="21"/>
      <c r="I188" s="22"/>
      <c r="J188" s="21"/>
      <c r="K188" s="21"/>
      <c r="L188" s="21"/>
    </row>
    <row r="189" spans="1:12" ht="14.45">
      <c r="A189" s="21"/>
      <c r="B189" s="33"/>
      <c r="C189" s="21"/>
      <c r="D189" s="21"/>
      <c r="E189" s="21"/>
      <c r="F189" s="22"/>
      <c r="G189" s="21"/>
      <c r="H189" s="21"/>
      <c r="I189" s="22"/>
      <c r="J189" s="21"/>
      <c r="K189" s="21"/>
      <c r="L189" s="21"/>
    </row>
    <row r="190" spans="1:12" ht="14.45">
      <c r="A190" s="21"/>
      <c r="B190" s="33"/>
      <c r="C190" s="21"/>
      <c r="D190" s="21"/>
      <c r="E190" s="21"/>
      <c r="F190" s="22"/>
      <c r="G190" s="21"/>
      <c r="H190" s="21"/>
      <c r="I190" s="22"/>
      <c r="J190" s="21"/>
      <c r="K190" s="21"/>
      <c r="L190" s="21"/>
    </row>
    <row r="191" spans="1:12" ht="14.45">
      <c r="A191" s="21"/>
      <c r="B191" s="33"/>
      <c r="C191" s="21"/>
      <c r="D191" s="21"/>
      <c r="E191" s="21"/>
      <c r="F191" s="22"/>
      <c r="G191" s="21"/>
      <c r="H191" s="21"/>
      <c r="I191" s="22"/>
      <c r="J191" s="21"/>
      <c r="K191" s="21"/>
      <c r="L191" s="21"/>
    </row>
    <row r="192" spans="1:12" ht="14.45">
      <c r="A192" s="21"/>
      <c r="B192" s="33"/>
      <c r="C192" s="21"/>
      <c r="D192" s="21"/>
      <c r="E192" s="21"/>
      <c r="F192" s="22"/>
      <c r="G192" s="21"/>
      <c r="H192" s="21"/>
      <c r="I192" s="22"/>
      <c r="J192" s="21"/>
      <c r="K192" s="21"/>
      <c r="L192" s="21"/>
    </row>
    <row r="193" spans="1:12" ht="14.45">
      <c r="A193" s="21"/>
      <c r="B193" s="33"/>
      <c r="C193" s="21"/>
      <c r="D193" s="21"/>
      <c r="E193" s="21"/>
      <c r="F193" s="22"/>
      <c r="G193" s="21"/>
      <c r="H193" s="21"/>
      <c r="I193" s="22"/>
      <c r="J193" s="21"/>
      <c r="K193" s="21"/>
      <c r="L193" s="21"/>
    </row>
    <row r="194" spans="1:12" ht="14.45">
      <c r="A194" s="21"/>
      <c r="B194" s="33"/>
      <c r="C194" s="21"/>
      <c r="D194" s="21"/>
      <c r="E194" s="21"/>
      <c r="F194" s="22"/>
      <c r="G194" s="21"/>
      <c r="H194" s="21"/>
      <c r="I194" s="22"/>
      <c r="J194" s="21"/>
      <c r="K194" s="21"/>
      <c r="L194" s="21"/>
    </row>
    <row r="195" spans="1:12" ht="14.45">
      <c r="A195" s="21"/>
      <c r="B195" s="33"/>
      <c r="C195" s="21"/>
      <c r="D195" s="21"/>
      <c r="E195" s="21"/>
      <c r="F195" s="22"/>
      <c r="G195" s="21"/>
      <c r="H195" s="21"/>
      <c r="I195" s="22"/>
      <c r="J195" s="21"/>
      <c r="K195" s="21"/>
      <c r="L195" s="21"/>
    </row>
    <row r="196" spans="1:12" ht="14.45">
      <c r="A196" s="21"/>
      <c r="B196" s="33"/>
      <c r="C196" s="21"/>
      <c r="D196" s="21"/>
      <c r="E196" s="21"/>
      <c r="F196" s="22"/>
      <c r="G196" s="21"/>
      <c r="H196" s="21"/>
      <c r="I196" s="22"/>
      <c r="J196" s="21"/>
      <c r="K196" s="21"/>
      <c r="L196" s="21"/>
    </row>
    <row r="197" spans="1:12" ht="14.45">
      <c r="A197" s="21"/>
      <c r="B197" s="33"/>
      <c r="C197" s="21"/>
      <c r="D197" s="21"/>
      <c r="E197" s="21"/>
      <c r="F197" s="22"/>
      <c r="G197" s="21"/>
      <c r="H197" s="21"/>
      <c r="I197" s="22"/>
      <c r="J197" s="21"/>
      <c r="K197" s="21"/>
      <c r="L197" s="21"/>
    </row>
    <row r="198" spans="1:12" ht="14.45">
      <c r="A198" s="21"/>
      <c r="B198" s="33"/>
      <c r="C198" s="21"/>
      <c r="D198" s="21"/>
      <c r="E198" s="21"/>
      <c r="F198" s="22"/>
      <c r="G198" s="21"/>
      <c r="H198" s="21"/>
      <c r="I198" s="22"/>
      <c r="J198" s="21"/>
      <c r="K198" s="21"/>
      <c r="L198" s="21"/>
    </row>
    <row r="199" spans="1:12" ht="14.45">
      <c r="A199" s="21"/>
      <c r="B199" s="33"/>
      <c r="C199" s="21"/>
      <c r="D199" s="21"/>
      <c r="E199" s="21"/>
      <c r="F199" s="22"/>
      <c r="G199" s="21"/>
      <c r="H199" s="21"/>
      <c r="I199" s="22"/>
      <c r="J199" s="21"/>
      <c r="K199" s="21"/>
      <c r="L199" s="21"/>
    </row>
    <row r="200" spans="1:12" ht="14.45">
      <c r="A200" s="21"/>
      <c r="B200" s="33"/>
      <c r="C200" s="21"/>
      <c r="D200" s="21"/>
      <c r="E200" s="21"/>
      <c r="F200" s="22"/>
      <c r="G200" s="21"/>
      <c r="H200" s="21"/>
      <c r="I200" s="22"/>
      <c r="J200" s="21"/>
      <c r="K200" s="21"/>
      <c r="L200" s="21"/>
    </row>
    <row r="201" spans="1:12" ht="14.45">
      <c r="A201" s="21"/>
      <c r="B201" s="33"/>
      <c r="C201" s="21"/>
      <c r="D201" s="21"/>
      <c r="E201" s="21"/>
      <c r="F201" s="22"/>
      <c r="G201" s="21"/>
      <c r="H201" s="21"/>
      <c r="I201" s="22"/>
      <c r="J201" s="21"/>
      <c r="K201" s="21"/>
      <c r="L201" s="21"/>
    </row>
    <row r="202" spans="1:12" ht="14.45">
      <c r="A202" s="21"/>
      <c r="B202" s="33"/>
      <c r="C202" s="21"/>
      <c r="D202" s="21"/>
      <c r="E202" s="21"/>
      <c r="F202" s="22"/>
      <c r="G202" s="21"/>
      <c r="H202" s="21"/>
      <c r="I202" s="22"/>
      <c r="J202" s="21"/>
      <c r="K202" s="21"/>
      <c r="L202" s="21"/>
    </row>
    <row r="203" spans="1:12" ht="14.45">
      <c r="A203" s="21"/>
      <c r="B203" s="33"/>
      <c r="C203" s="21"/>
      <c r="D203" s="21"/>
      <c r="E203" s="21"/>
      <c r="F203" s="22"/>
      <c r="G203" s="21"/>
      <c r="H203" s="21"/>
      <c r="I203" s="22"/>
      <c r="J203" s="21"/>
      <c r="K203" s="21"/>
      <c r="L203" s="21"/>
    </row>
    <row r="204" spans="1:12" ht="14.45">
      <c r="A204" s="21"/>
      <c r="B204" s="33"/>
      <c r="C204" s="21"/>
      <c r="D204" s="21"/>
      <c r="E204" s="21"/>
      <c r="F204" s="22"/>
      <c r="G204" s="21"/>
      <c r="H204" s="21"/>
      <c r="I204" s="22"/>
      <c r="J204" s="21"/>
      <c r="K204" s="21"/>
      <c r="L204" s="21"/>
    </row>
    <row r="205" spans="1:12" ht="14.45">
      <c r="A205" s="21"/>
      <c r="B205" s="33"/>
      <c r="C205" s="21"/>
      <c r="D205" s="21"/>
      <c r="E205" s="21"/>
      <c r="F205" s="22"/>
      <c r="G205" s="21"/>
      <c r="H205" s="21"/>
      <c r="I205" s="22"/>
      <c r="J205" s="21"/>
      <c r="K205" s="21"/>
      <c r="L205" s="21"/>
    </row>
    <row r="206" spans="1:12" ht="14.45">
      <c r="A206" s="21"/>
      <c r="B206" s="33"/>
      <c r="C206" s="21"/>
      <c r="D206" s="21"/>
      <c r="E206" s="21"/>
      <c r="F206" s="22"/>
      <c r="G206" s="21"/>
      <c r="H206" s="21"/>
      <c r="I206" s="22"/>
      <c r="J206" s="21"/>
      <c r="K206" s="21"/>
      <c r="L206" s="21"/>
    </row>
    <row r="207" spans="1:12" ht="14.45">
      <c r="A207" s="21"/>
      <c r="B207" s="33"/>
      <c r="C207" s="21"/>
      <c r="D207" s="21"/>
      <c r="E207" s="21"/>
      <c r="F207" s="22"/>
      <c r="G207" s="21"/>
      <c r="H207" s="21"/>
      <c r="I207" s="22"/>
      <c r="J207" s="21"/>
      <c r="K207" s="21"/>
      <c r="L207" s="21"/>
    </row>
    <row r="208" spans="1:12" ht="14.45">
      <c r="A208" s="21"/>
      <c r="B208" s="33"/>
      <c r="C208" s="21"/>
      <c r="D208" s="21"/>
      <c r="E208" s="21"/>
      <c r="F208" s="22"/>
      <c r="G208" s="21"/>
      <c r="H208" s="21"/>
      <c r="I208" s="22"/>
      <c r="J208" s="21"/>
      <c r="K208" s="21"/>
      <c r="L208" s="21"/>
    </row>
    <row r="209" spans="1:12" ht="14.45">
      <c r="A209" s="21"/>
      <c r="B209" s="33"/>
      <c r="C209" s="21"/>
      <c r="D209" s="21"/>
      <c r="E209" s="21"/>
      <c r="F209" s="22"/>
      <c r="G209" s="21"/>
      <c r="H209" s="21"/>
      <c r="I209" s="22"/>
      <c r="J209" s="21"/>
      <c r="K209" s="21"/>
      <c r="L209" s="21"/>
    </row>
    <row r="210" spans="1:12" ht="14.45">
      <c r="A210" s="21"/>
      <c r="B210" s="33"/>
      <c r="C210" s="21"/>
      <c r="D210" s="21"/>
      <c r="E210" s="21"/>
      <c r="F210" s="22"/>
      <c r="G210" s="21"/>
      <c r="H210" s="21"/>
      <c r="I210" s="22"/>
      <c r="J210" s="21"/>
      <c r="K210" s="21"/>
      <c r="L210" s="21"/>
    </row>
    <row r="211" spans="1:12" ht="14.45">
      <c r="A211" s="21"/>
      <c r="B211" s="33"/>
      <c r="C211" s="21"/>
      <c r="D211" s="21"/>
      <c r="E211" s="21"/>
      <c r="F211" s="22"/>
      <c r="G211" s="21"/>
      <c r="H211" s="21"/>
      <c r="I211" s="22"/>
      <c r="J211" s="21"/>
      <c r="K211" s="21"/>
      <c r="L211" s="21"/>
    </row>
    <row r="212" spans="1:12" ht="14.45">
      <c r="A212" s="21"/>
      <c r="B212" s="33"/>
      <c r="C212" s="21"/>
      <c r="D212" s="21"/>
      <c r="E212" s="21"/>
      <c r="F212" s="22"/>
      <c r="G212" s="21"/>
      <c r="H212" s="21"/>
      <c r="I212" s="22"/>
      <c r="J212" s="21"/>
      <c r="K212" s="21"/>
      <c r="L212" s="21"/>
    </row>
    <row r="213" spans="1:12" ht="14.45">
      <c r="A213" s="21"/>
      <c r="B213" s="33"/>
      <c r="C213" s="21"/>
      <c r="D213" s="21"/>
      <c r="E213" s="21"/>
      <c r="F213" s="22"/>
      <c r="G213" s="21"/>
      <c r="H213" s="21"/>
      <c r="I213" s="22"/>
      <c r="J213" s="21"/>
      <c r="K213" s="21"/>
      <c r="L213" s="21"/>
    </row>
    <row r="214" spans="1:12" ht="14.45">
      <c r="A214" s="21"/>
      <c r="B214" s="33"/>
      <c r="C214" s="21"/>
      <c r="D214" s="21"/>
      <c r="E214" s="21"/>
      <c r="F214" s="22"/>
      <c r="G214" s="21"/>
      <c r="H214" s="21"/>
      <c r="I214" s="22"/>
      <c r="J214" s="21"/>
      <c r="K214" s="21"/>
      <c r="L214" s="21"/>
    </row>
    <row r="215" spans="1:12" ht="14.45">
      <c r="A215" s="21"/>
      <c r="B215" s="33"/>
      <c r="C215" s="21"/>
      <c r="D215" s="21"/>
      <c r="E215" s="21"/>
      <c r="F215" s="22"/>
      <c r="G215" s="21"/>
      <c r="H215" s="21"/>
      <c r="I215" s="22"/>
      <c r="J215" s="21"/>
      <c r="K215" s="21"/>
      <c r="L215" s="21"/>
    </row>
    <row r="216" spans="1:12" ht="14.45">
      <c r="A216" s="21"/>
      <c r="B216" s="33"/>
      <c r="C216" s="21"/>
      <c r="D216" s="21"/>
      <c r="E216" s="21"/>
      <c r="F216" s="22"/>
      <c r="G216" s="21"/>
      <c r="H216" s="21"/>
      <c r="I216" s="22"/>
      <c r="J216" s="21"/>
      <c r="K216" s="21"/>
      <c r="L216" s="21"/>
    </row>
    <row r="217" spans="1:12" ht="14.45">
      <c r="A217" s="21"/>
      <c r="B217" s="33"/>
      <c r="C217" s="21"/>
      <c r="D217" s="21"/>
      <c r="E217" s="21"/>
      <c r="F217" s="22"/>
      <c r="G217" s="21"/>
      <c r="H217" s="21"/>
      <c r="I217" s="22"/>
      <c r="J217" s="21"/>
      <c r="K217" s="21"/>
      <c r="L217" s="21"/>
    </row>
    <row r="218" spans="1:12" ht="14.45">
      <c r="A218" s="21"/>
      <c r="B218" s="33"/>
      <c r="C218" s="21"/>
      <c r="D218" s="21"/>
      <c r="E218" s="21"/>
      <c r="F218" s="22"/>
      <c r="G218" s="21"/>
      <c r="H218" s="21"/>
      <c r="I218" s="22"/>
      <c r="J218" s="21"/>
      <c r="K218" s="21"/>
      <c r="L218" s="21"/>
    </row>
    <row r="219" spans="1:12" ht="14.45">
      <c r="A219" s="21"/>
      <c r="B219" s="33"/>
      <c r="C219" s="21"/>
      <c r="D219" s="21"/>
      <c r="E219" s="21"/>
      <c r="F219" s="22"/>
      <c r="G219" s="21"/>
      <c r="H219" s="21"/>
      <c r="I219" s="22"/>
      <c r="J219" s="21"/>
      <c r="K219" s="21"/>
      <c r="L219" s="21"/>
    </row>
    <row r="220" spans="1:12" ht="14.45">
      <c r="A220" s="21"/>
      <c r="B220" s="33"/>
      <c r="C220" s="21"/>
      <c r="D220" s="21"/>
      <c r="E220" s="21"/>
      <c r="F220" s="22"/>
      <c r="G220" s="21"/>
      <c r="H220" s="21"/>
      <c r="I220" s="22"/>
      <c r="J220" s="21"/>
      <c r="K220" s="21"/>
      <c r="L220" s="21"/>
    </row>
    <row r="221" spans="1:12" ht="14.45">
      <c r="A221" s="21"/>
      <c r="B221" s="33"/>
      <c r="C221" s="21"/>
      <c r="D221" s="21"/>
      <c r="E221" s="21"/>
      <c r="F221" s="22"/>
      <c r="G221" s="21"/>
      <c r="H221" s="21"/>
      <c r="I221" s="22"/>
      <c r="J221" s="21"/>
      <c r="K221" s="21"/>
      <c r="L221" s="21"/>
    </row>
    <row r="222" spans="1:12" ht="14.45">
      <c r="A222" s="21"/>
      <c r="B222" s="33"/>
      <c r="C222" s="21"/>
      <c r="D222" s="21"/>
      <c r="E222" s="21"/>
      <c r="F222" s="22"/>
      <c r="G222" s="21"/>
      <c r="H222" s="21"/>
      <c r="I222" s="22"/>
      <c r="J222" s="21"/>
      <c r="K222" s="21"/>
      <c r="L222" s="21"/>
    </row>
    <row r="223" spans="1:12" ht="14.45">
      <c r="A223" s="21"/>
      <c r="B223" s="33"/>
      <c r="C223" s="21"/>
      <c r="D223" s="21"/>
      <c r="E223" s="21"/>
      <c r="F223" s="22"/>
      <c r="G223" s="21"/>
      <c r="H223" s="21"/>
      <c r="I223" s="22"/>
      <c r="J223" s="21"/>
      <c r="K223" s="21"/>
      <c r="L223" s="21"/>
    </row>
    <row r="224" spans="1:12" ht="14.45">
      <c r="A224" s="21"/>
      <c r="B224" s="33"/>
      <c r="C224" s="21"/>
      <c r="D224" s="21"/>
      <c r="E224" s="21"/>
      <c r="F224" s="22"/>
      <c r="G224" s="21"/>
      <c r="H224" s="21"/>
      <c r="I224" s="22"/>
      <c r="J224" s="21"/>
      <c r="K224" s="21"/>
      <c r="L224" s="21"/>
    </row>
    <row r="225" spans="1:12" ht="14.45">
      <c r="A225" s="21"/>
      <c r="B225" s="33"/>
      <c r="C225" s="21"/>
      <c r="D225" s="21"/>
      <c r="E225" s="21"/>
      <c r="F225" s="22"/>
      <c r="G225" s="21"/>
      <c r="H225" s="21"/>
      <c r="I225" s="22"/>
      <c r="J225" s="21"/>
      <c r="K225" s="21"/>
      <c r="L225" s="21"/>
    </row>
    <row r="226" spans="1:12" ht="14.45">
      <c r="A226" s="21"/>
      <c r="B226" s="33"/>
      <c r="C226" s="21"/>
      <c r="D226" s="21"/>
      <c r="E226" s="21"/>
      <c r="F226" s="22"/>
      <c r="G226" s="21"/>
      <c r="H226" s="21"/>
      <c r="I226" s="22"/>
      <c r="J226" s="21"/>
      <c r="K226" s="21"/>
      <c r="L226" s="21"/>
    </row>
    <row r="227" spans="1:12" ht="14.45">
      <c r="A227" s="21"/>
      <c r="B227" s="33"/>
      <c r="C227" s="21"/>
      <c r="D227" s="21"/>
      <c r="E227" s="21"/>
      <c r="F227" s="22"/>
      <c r="G227" s="21"/>
      <c r="H227" s="21"/>
      <c r="I227" s="22"/>
      <c r="J227" s="21"/>
      <c r="K227" s="21"/>
      <c r="L227" s="21"/>
    </row>
    <row r="228" spans="1:12" ht="14.45">
      <c r="A228" s="21"/>
      <c r="B228" s="33"/>
      <c r="C228" s="21"/>
      <c r="D228" s="21"/>
      <c r="E228" s="21"/>
      <c r="F228" s="22"/>
      <c r="G228" s="21"/>
      <c r="H228" s="21"/>
      <c r="I228" s="22"/>
      <c r="J228" s="21"/>
      <c r="K228" s="21"/>
      <c r="L228" s="21"/>
    </row>
    <row r="229" spans="1:12" ht="14.45">
      <c r="A229" s="21"/>
      <c r="B229" s="33"/>
      <c r="C229" s="21"/>
      <c r="D229" s="21"/>
      <c r="E229" s="21"/>
      <c r="F229" s="22"/>
      <c r="G229" s="21"/>
      <c r="H229" s="21"/>
      <c r="I229" s="22"/>
      <c r="J229" s="21"/>
      <c r="K229" s="21"/>
      <c r="L229" s="21"/>
    </row>
    <row r="230" spans="1:12" ht="14.45">
      <c r="A230" s="21"/>
      <c r="B230" s="33"/>
      <c r="C230" s="21"/>
      <c r="D230" s="21"/>
      <c r="E230" s="21"/>
      <c r="F230" s="22"/>
      <c r="G230" s="21"/>
      <c r="H230" s="21"/>
      <c r="I230" s="22"/>
      <c r="J230" s="21"/>
      <c r="K230" s="21"/>
      <c r="L230" s="21"/>
    </row>
    <row r="231" spans="1:12" ht="14.45">
      <c r="A231" s="21"/>
      <c r="B231" s="33"/>
      <c r="C231" s="21"/>
      <c r="D231" s="21"/>
      <c r="E231" s="21"/>
      <c r="F231" s="22"/>
      <c r="G231" s="21"/>
      <c r="H231" s="21"/>
      <c r="I231" s="22"/>
      <c r="J231" s="21"/>
      <c r="K231" s="21"/>
      <c r="L231" s="21"/>
    </row>
    <row r="232" spans="1:12" ht="14.45">
      <c r="A232" s="21"/>
      <c r="B232" s="33"/>
      <c r="C232" s="21"/>
      <c r="D232" s="21"/>
      <c r="E232" s="21"/>
      <c r="F232" s="22"/>
      <c r="G232" s="21"/>
      <c r="H232" s="21"/>
      <c r="I232" s="22"/>
      <c r="J232" s="21"/>
      <c r="K232" s="21"/>
      <c r="L232" s="21"/>
    </row>
    <row r="233" spans="1:12" ht="14.45">
      <c r="A233" s="21"/>
      <c r="B233" s="33"/>
      <c r="C233" s="21"/>
      <c r="D233" s="21"/>
      <c r="E233" s="21"/>
      <c r="F233" s="22"/>
      <c r="G233" s="21"/>
      <c r="H233" s="21"/>
      <c r="I233" s="22"/>
      <c r="J233" s="21"/>
      <c r="K233" s="21"/>
      <c r="L233" s="21"/>
    </row>
    <row r="234" spans="1:12" ht="14.45">
      <c r="A234" s="21"/>
      <c r="B234" s="33"/>
      <c r="C234" s="21"/>
      <c r="D234" s="21"/>
      <c r="E234" s="21"/>
      <c r="F234" s="22"/>
      <c r="G234" s="21"/>
      <c r="H234" s="21"/>
      <c r="I234" s="22"/>
      <c r="J234" s="21"/>
      <c r="K234" s="21"/>
      <c r="L234" s="21"/>
    </row>
    <row r="235" spans="1:12" ht="14.45">
      <c r="A235" s="21"/>
      <c r="B235" s="33"/>
      <c r="C235" s="21"/>
      <c r="D235" s="21"/>
      <c r="E235" s="21"/>
      <c r="F235" s="22"/>
      <c r="G235" s="21"/>
      <c r="H235" s="21"/>
      <c r="I235" s="22"/>
      <c r="J235" s="21"/>
      <c r="K235" s="21"/>
      <c r="L235" s="21"/>
    </row>
    <row r="236" spans="1:12" ht="14.45">
      <c r="A236" s="21"/>
      <c r="B236" s="33"/>
      <c r="C236" s="21"/>
      <c r="D236" s="21"/>
      <c r="E236" s="21"/>
      <c r="F236" s="22"/>
      <c r="G236" s="21"/>
      <c r="H236" s="21"/>
      <c r="I236" s="22"/>
      <c r="J236" s="21"/>
      <c r="K236" s="21"/>
      <c r="L236" s="21"/>
    </row>
    <row r="237" spans="1:12" ht="14.45">
      <c r="A237" s="21"/>
      <c r="B237" s="33"/>
      <c r="C237" s="21"/>
      <c r="D237" s="21"/>
      <c r="E237" s="21"/>
      <c r="F237" s="22"/>
      <c r="G237" s="21"/>
      <c r="H237" s="21"/>
      <c r="I237" s="22"/>
      <c r="J237" s="21"/>
      <c r="K237" s="21"/>
      <c r="L237" s="21"/>
    </row>
    <row r="238" spans="1:12" ht="14.45">
      <c r="A238" s="21"/>
      <c r="B238" s="33"/>
      <c r="C238" s="21"/>
      <c r="D238" s="21"/>
      <c r="E238" s="21"/>
      <c r="F238" s="22"/>
      <c r="G238" s="21"/>
      <c r="H238" s="21"/>
      <c r="I238" s="22"/>
      <c r="J238" s="21"/>
      <c r="K238" s="21"/>
      <c r="L238" s="21"/>
    </row>
    <row r="239" spans="1:12" ht="14.45">
      <c r="A239" s="21"/>
      <c r="B239" s="33"/>
      <c r="C239" s="21"/>
      <c r="D239" s="21"/>
      <c r="E239" s="21"/>
      <c r="F239" s="22"/>
      <c r="G239" s="21"/>
      <c r="H239" s="21"/>
      <c r="I239" s="22"/>
      <c r="J239" s="21"/>
      <c r="K239" s="21"/>
      <c r="L239" s="21"/>
    </row>
    <row r="240" spans="1:12" ht="14.45">
      <c r="A240" s="21"/>
      <c r="B240" s="33"/>
      <c r="C240" s="21"/>
      <c r="D240" s="21"/>
      <c r="E240" s="21"/>
      <c r="F240" s="22"/>
      <c r="G240" s="21"/>
      <c r="H240" s="21"/>
      <c r="I240" s="22"/>
      <c r="J240" s="21"/>
      <c r="K240" s="21"/>
      <c r="L240" s="21"/>
    </row>
    <row r="241" spans="1:12" ht="14.45">
      <c r="A241" s="21"/>
      <c r="B241" s="33"/>
      <c r="C241" s="21"/>
      <c r="D241" s="21"/>
      <c r="E241" s="21"/>
      <c r="F241" s="22"/>
      <c r="G241" s="21"/>
      <c r="H241" s="21"/>
      <c r="I241" s="22"/>
      <c r="J241" s="21"/>
      <c r="K241" s="21"/>
      <c r="L241" s="21"/>
    </row>
    <row r="242" spans="1:12" ht="14.45">
      <c r="A242" s="21"/>
      <c r="B242" s="33"/>
      <c r="C242" s="21"/>
      <c r="D242" s="21"/>
      <c r="E242" s="21"/>
      <c r="F242" s="22"/>
      <c r="G242" s="21"/>
      <c r="H242" s="21"/>
      <c r="I242" s="22"/>
      <c r="J242" s="21"/>
      <c r="K242" s="21"/>
      <c r="L242" s="21"/>
    </row>
    <row r="243" spans="1:12" ht="14.45">
      <c r="A243" s="21"/>
      <c r="B243" s="33"/>
      <c r="C243" s="21"/>
      <c r="D243" s="21"/>
      <c r="E243" s="21"/>
      <c r="F243" s="22"/>
      <c r="G243" s="21"/>
      <c r="H243" s="21"/>
      <c r="I243" s="22"/>
      <c r="J243" s="21"/>
      <c r="K243" s="21"/>
      <c r="L243" s="21"/>
    </row>
    <row r="244" spans="1:12" ht="14.45">
      <c r="A244" s="21"/>
      <c r="B244" s="33"/>
      <c r="C244" s="21"/>
      <c r="D244" s="21"/>
      <c r="E244" s="21"/>
      <c r="F244" s="22"/>
      <c r="G244" s="21"/>
      <c r="H244" s="21"/>
      <c r="I244" s="22"/>
      <c r="J244" s="21"/>
      <c r="K244" s="21"/>
      <c r="L244" s="21"/>
    </row>
    <row r="245" spans="1:12" ht="14.45">
      <c r="A245" s="21"/>
      <c r="B245" s="33"/>
      <c r="C245" s="21"/>
      <c r="D245" s="21"/>
      <c r="E245" s="21"/>
      <c r="F245" s="22"/>
      <c r="G245" s="21"/>
      <c r="H245" s="21"/>
      <c r="I245" s="22"/>
      <c r="J245" s="21"/>
      <c r="K245" s="21"/>
      <c r="L245" s="21"/>
    </row>
    <row r="246" spans="1:12" ht="14.45">
      <c r="A246" s="21"/>
      <c r="B246" s="33"/>
      <c r="C246" s="21"/>
      <c r="D246" s="21"/>
      <c r="E246" s="21"/>
      <c r="F246" s="22"/>
      <c r="G246" s="21"/>
      <c r="H246" s="21"/>
      <c r="I246" s="22"/>
      <c r="J246" s="21"/>
      <c r="K246" s="21"/>
      <c r="L246" s="21"/>
    </row>
    <row r="247" spans="1:12" ht="14.45">
      <c r="A247" s="21"/>
      <c r="B247" s="33"/>
      <c r="C247" s="21"/>
      <c r="D247" s="21"/>
      <c r="E247" s="21"/>
      <c r="F247" s="22"/>
      <c r="G247" s="21"/>
      <c r="H247" s="21"/>
      <c r="I247" s="22"/>
      <c r="J247" s="21"/>
      <c r="K247" s="21"/>
      <c r="L247" s="21"/>
    </row>
    <row r="248" spans="1:12" ht="14.45">
      <c r="A248" s="21"/>
      <c r="B248" s="33"/>
      <c r="C248" s="21"/>
      <c r="D248" s="21"/>
      <c r="E248" s="21"/>
      <c r="F248" s="22"/>
      <c r="G248" s="21"/>
      <c r="H248" s="21"/>
      <c r="I248" s="22"/>
      <c r="J248" s="21"/>
      <c r="K248" s="21"/>
      <c r="L248" s="21"/>
    </row>
    <row r="249" spans="1:12" ht="14.45">
      <c r="A249" s="21"/>
      <c r="B249" s="33"/>
      <c r="C249" s="21"/>
      <c r="D249" s="21"/>
      <c r="E249" s="21"/>
      <c r="F249" s="22"/>
      <c r="G249" s="21"/>
      <c r="H249" s="21"/>
      <c r="I249" s="22"/>
      <c r="J249" s="21"/>
      <c r="K249" s="21"/>
      <c r="L249" s="21"/>
    </row>
    <row r="250" spans="1:12" ht="14.45">
      <c r="A250" s="21"/>
      <c r="B250" s="33"/>
      <c r="C250" s="21"/>
      <c r="D250" s="21"/>
      <c r="E250" s="21"/>
      <c r="F250" s="22"/>
      <c r="G250" s="21"/>
      <c r="H250" s="21"/>
      <c r="I250" s="22"/>
      <c r="J250" s="21"/>
      <c r="K250" s="21"/>
      <c r="L250" s="21"/>
    </row>
    <row r="251" spans="1:12" ht="14.45">
      <c r="A251" s="21"/>
      <c r="B251" s="33"/>
      <c r="C251" s="21"/>
      <c r="D251" s="21"/>
      <c r="E251" s="21"/>
      <c r="F251" s="22"/>
      <c r="G251" s="21"/>
      <c r="H251" s="21"/>
      <c r="I251" s="22"/>
      <c r="J251" s="21"/>
      <c r="K251" s="21"/>
      <c r="L251" s="21"/>
    </row>
    <row r="252" spans="1:12" ht="14.45">
      <c r="A252" s="21"/>
      <c r="B252" s="33"/>
      <c r="C252" s="21"/>
      <c r="D252" s="21"/>
      <c r="E252" s="21"/>
      <c r="F252" s="22"/>
      <c r="G252" s="21"/>
      <c r="H252" s="21"/>
      <c r="I252" s="22"/>
      <c r="J252" s="21"/>
      <c r="K252" s="21"/>
      <c r="L252" s="21"/>
    </row>
    <row r="253" spans="1:12" ht="14.45">
      <c r="A253" s="21"/>
      <c r="B253" s="33"/>
      <c r="C253" s="21"/>
      <c r="D253" s="21"/>
      <c r="E253" s="21"/>
      <c r="F253" s="22"/>
      <c r="G253" s="21"/>
      <c r="H253" s="21"/>
      <c r="I253" s="22"/>
      <c r="J253" s="21"/>
      <c r="K253" s="21"/>
      <c r="L253" s="21"/>
    </row>
    <row r="254" spans="1:12" ht="14.45">
      <c r="A254" s="21"/>
      <c r="B254" s="33"/>
      <c r="C254" s="21"/>
      <c r="D254" s="21"/>
      <c r="E254" s="21"/>
      <c r="F254" s="22"/>
      <c r="G254" s="21"/>
      <c r="H254" s="21"/>
      <c r="I254" s="22"/>
      <c r="J254" s="21"/>
      <c r="K254" s="21"/>
      <c r="L254" s="21"/>
    </row>
    <row r="255" spans="1:12" ht="14.45">
      <c r="A255" s="21"/>
      <c r="B255" s="33"/>
      <c r="C255" s="21"/>
      <c r="D255" s="21"/>
      <c r="E255" s="21"/>
      <c r="F255" s="22"/>
      <c r="G255" s="21"/>
      <c r="H255" s="21"/>
      <c r="I255" s="22"/>
      <c r="J255" s="21"/>
      <c r="K255" s="21"/>
      <c r="L255" s="21"/>
    </row>
    <row r="256" spans="1:12" ht="14.45">
      <c r="A256" s="21"/>
      <c r="B256" s="33"/>
      <c r="C256" s="21"/>
      <c r="D256" s="21"/>
      <c r="E256" s="21"/>
      <c r="F256" s="22"/>
      <c r="G256" s="21"/>
      <c r="H256" s="21"/>
      <c r="I256" s="22"/>
      <c r="J256" s="21"/>
      <c r="K256" s="21"/>
      <c r="L256" s="21"/>
    </row>
    <row r="257" spans="1:12" ht="14.45">
      <c r="A257" s="21"/>
      <c r="B257" s="33"/>
      <c r="C257" s="21"/>
      <c r="D257" s="21"/>
      <c r="E257" s="21"/>
      <c r="F257" s="22"/>
      <c r="G257" s="21"/>
      <c r="H257" s="21"/>
      <c r="I257" s="22"/>
      <c r="J257" s="21"/>
      <c r="K257" s="21"/>
      <c r="L257" s="21"/>
    </row>
    <row r="258" spans="1:12" ht="14.45">
      <c r="A258" s="21"/>
      <c r="B258" s="33"/>
      <c r="C258" s="21"/>
      <c r="D258" s="21"/>
      <c r="E258" s="21"/>
      <c r="F258" s="22"/>
      <c r="G258" s="21"/>
      <c r="H258" s="21"/>
      <c r="I258" s="22"/>
      <c r="J258" s="21"/>
      <c r="K258" s="21"/>
      <c r="L258" s="21"/>
    </row>
    <row r="259" spans="1:12" ht="14.45">
      <c r="A259" s="21"/>
      <c r="B259" s="33"/>
      <c r="C259" s="21"/>
      <c r="D259" s="21"/>
      <c r="E259" s="21"/>
      <c r="F259" s="22"/>
      <c r="G259" s="21"/>
      <c r="H259" s="21"/>
      <c r="I259" s="22"/>
      <c r="J259" s="21"/>
      <c r="K259" s="21"/>
      <c r="L259" s="21"/>
    </row>
    <row r="260" spans="1:12" ht="14.45">
      <c r="A260" s="21"/>
      <c r="B260" s="33"/>
      <c r="C260" s="21"/>
      <c r="D260" s="21"/>
      <c r="E260" s="21"/>
      <c r="F260" s="22"/>
      <c r="G260" s="21"/>
      <c r="H260" s="21"/>
      <c r="I260" s="22"/>
      <c r="J260" s="21"/>
      <c r="K260" s="21"/>
      <c r="L260" s="21"/>
    </row>
    <row r="261" spans="1:12" ht="14.45">
      <c r="A261" s="21"/>
      <c r="B261" s="33"/>
      <c r="C261" s="21"/>
      <c r="D261" s="21"/>
      <c r="E261" s="21"/>
      <c r="F261" s="22"/>
      <c r="G261" s="21"/>
      <c r="H261" s="21"/>
      <c r="I261" s="22"/>
      <c r="J261" s="21"/>
      <c r="K261" s="21"/>
      <c r="L261" s="21"/>
    </row>
    <row r="262" spans="1:12" ht="14.45">
      <c r="A262" s="21"/>
      <c r="B262" s="33"/>
      <c r="C262" s="21"/>
      <c r="D262" s="21"/>
      <c r="E262" s="21"/>
      <c r="F262" s="22"/>
      <c r="G262" s="21"/>
      <c r="H262" s="21"/>
      <c r="I262" s="22"/>
      <c r="J262" s="21"/>
      <c r="K262" s="21"/>
      <c r="L262" s="21"/>
    </row>
    <row r="263" spans="1:12" ht="14.45">
      <c r="A263" s="21"/>
      <c r="B263" s="33"/>
      <c r="C263" s="21"/>
      <c r="D263" s="21"/>
      <c r="E263" s="21"/>
      <c r="F263" s="22"/>
      <c r="G263" s="21"/>
      <c r="H263" s="21"/>
      <c r="I263" s="22"/>
      <c r="J263" s="21"/>
      <c r="K263" s="21"/>
      <c r="L263" s="21"/>
    </row>
    <row r="264" spans="1:12" ht="14.45">
      <c r="A264" s="21"/>
      <c r="B264" s="33"/>
      <c r="C264" s="21"/>
      <c r="D264" s="21"/>
      <c r="E264" s="21"/>
      <c r="F264" s="22"/>
      <c r="G264" s="21"/>
      <c r="H264" s="21"/>
      <c r="I264" s="22"/>
      <c r="J264" s="21"/>
      <c r="K264" s="21"/>
      <c r="L264" s="21"/>
    </row>
    <row r="265" spans="1:12" ht="14.45">
      <c r="A265" s="21"/>
      <c r="B265" s="33"/>
      <c r="C265" s="21"/>
      <c r="D265" s="21"/>
      <c r="E265" s="21"/>
      <c r="F265" s="22"/>
      <c r="G265" s="21"/>
      <c r="H265" s="21"/>
      <c r="I265" s="22"/>
      <c r="J265" s="21"/>
      <c r="K265" s="21"/>
      <c r="L265" s="21"/>
    </row>
    <row r="266" spans="1:12" ht="14.45">
      <c r="A266" s="21"/>
      <c r="B266" s="33"/>
      <c r="C266" s="21"/>
      <c r="D266" s="21"/>
      <c r="E266" s="21"/>
      <c r="F266" s="22"/>
      <c r="G266" s="21"/>
      <c r="H266" s="21"/>
      <c r="I266" s="22"/>
      <c r="J266" s="21"/>
      <c r="K266" s="21"/>
      <c r="L266" s="21"/>
    </row>
    <row r="267" spans="1:12" ht="14.45">
      <c r="A267" s="21"/>
      <c r="B267" s="33"/>
      <c r="C267" s="21"/>
      <c r="D267" s="21"/>
      <c r="E267" s="21"/>
      <c r="F267" s="22"/>
      <c r="G267" s="21"/>
      <c r="H267" s="21"/>
      <c r="I267" s="22"/>
      <c r="J267" s="21"/>
      <c r="K267" s="21"/>
      <c r="L267" s="21"/>
    </row>
    <row r="268" spans="1:12" ht="14.45">
      <c r="A268" s="21"/>
      <c r="B268" s="33"/>
      <c r="C268" s="21"/>
      <c r="D268" s="21"/>
      <c r="E268" s="21"/>
      <c r="F268" s="22"/>
      <c r="G268" s="21"/>
      <c r="H268" s="21"/>
      <c r="I268" s="22"/>
      <c r="J268" s="21"/>
      <c r="K268" s="21"/>
      <c r="L268" s="21"/>
    </row>
    <row r="269" spans="1:12" ht="14.45">
      <c r="A269" s="21"/>
      <c r="B269" s="33"/>
      <c r="C269" s="21"/>
      <c r="D269" s="21"/>
      <c r="E269" s="21"/>
      <c r="F269" s="22"/>
      <c r="G269" s="21"/>
      <c r="H269" s="21"/>
      <c r="I269" s="22"/>
      <c r="J269" s="21"/>
      <c r="K269" s="21"/>
      <c r="L269" s="21"/>
    </row>
    <row r="270" spans="1:12" ht="14.45">
      <c r="A270" s="21"/>
      <c r="B270" s="33"/>
      <c r="C270" s="21"/>
      <c r="D270" s="21"/>
      <c r="E270" s="21"/>
      <c r="F270" s="22"/>
      <c r="G270" s="21"/>
      <c r="H270" s="21"/>
      <c r="I270" s="22"/>
      <c r="J270" s="21"/>
      <c r="K270" s="21"/>
      <c r="L270" s="21"/>
    </row>
    <row r="271" spans="1:12" ht="14.45">
      <c r="A271" s="21"/>
      <c r="B271" s="33"/>
      <c r="C271" s="21"/>
      <c r="D271" s="21"/>
      <c r="E271" s="21"/>
      <c r="F271" s="22"/>
      <c r="G271" s="21"/>
      <c r="H271" s="21"/>
      <c r="I271" s="22"/>
      <c r="J271" s="21"/>
      <c r="K271" s="21"/>
      <c r="L271" s="21"/>
    </row>
    <row r="272" spans="1:12" ht="14.45">
      <c r="A272" s="21"/>
      <c r="B272" s="33"/>
      <c r="C272" s="21"/>
      <c r="D272" s="21"/>
      <c r="E272" s="21"/>
      <c r="F272" s="22"/>
      <c r="G272" s="21"/>
      <c r="H272" s="21"/>
      <c r="I272" s="22"/>
      <c r="J272" s="21"/>
      <c r="K272" s="21"/>
      <c r="L272" s="21"/>
    </row>
    <row r="273" spans="1:12" ht="14.45">
      <c r="A273" s="21"/>
      <c r="B273" s="33"/>
      <c r="C273" s="21"/>
      <c r="D273" s="21"/>
      <c r="E273" s="21"/>
      <c r="F273" s="22"/>
      <c r="G273" s="21"/>
      <c r="H273" s="21"/>
      <c r="I273" s="22"/>
      <c r="J273" s="21"/>
      <c r="K273" s="21"/>
      <c r="L273" s="21"/>
    </row>
    <row r="274" spans="1:12" ht="14.45">
      <c r="A274" s="21"/>
      <c r="B274" s="33"/>
      <c r="C274" s="21"/>
      <c r="D274" s="21"/>
      <c r="E274" s="21"/>
      <c r="F274" s="22"/>
      <c r="G274" s="21"/>
      <c r="H274" s="21"/>
      <c r="I274" s="22"/>
      <c r="J274" s="21"/>
      <c r="K274" s="21"/>
      <c r="L274" s="21"/>
    </row>
    <row r="275" spans="1:12" ht="14.45">
      <c r="A275" s="21"/>
      <c r="B275" s="33"/>
      <c r="C275" s="21"/>
      <c r="D275" s="21"/>
      <c r="E275" s="21"/>
      <c r="F275" s="22"/>
      <c r="G275" s="21"/>
      <c r="H275" s="21"/>
      <c r="I275" s="22"/>
      <c r="J275" s="21"/>
      <c r="K275" s="21"/>
      <c r="L275" s="21"/>
    </row>
    <row r="276" spans="1:12" ht="14.45">
      <c r="A276" s="21"/>
      <c r="B276" s="33"/>
      <c r="C276" s="21"/>
      <c r="D276" s="21"/>
      <c r="E276" s="21"/>
      <c r="F276" s="22"/>
      <c r="G276" s="21"/>
      <c r="H276" s="21"/>
      <c r="I276" s="22"/>
      <c r="J276" s="21"/>
      <c r="K276" s="21"/>
      <c r="L276" s="21"/>
    </row>
    <row r="277" spans="1:12" ht="14.45">
      <c r="A277" s="21"/>
      <c r="B277" s="33"/>
      <c r="C277" s="21"/>
      <c r="D277" s="21"/>
      <c r="E277" s="21"/>
      <c r="F277" s="22"/>
      <c r="G277" s="21"/>
      <c r="H277" s="21"/>
      <c r="I277" s="22"/>
      <c r="J277" s="21"/>
      <c r="K277" s="21"/>
      <c r="L277" s="21"/>
    </row>
    <row r="278" spans="1:12" ht="14.45">
      <c r="A278" s="21"/>
      <c r="B278" s="33"/>
      <c r="C278" s="21"/>
      <c r="D278" s="21"/>
      <c r="E278" s="21"/>
      <c r="F278" s="22"/>
      <c r="G278" s="21"/>
      <c r="H278" s="21"/>
      <c r="I278" s="22"/>
      <c r="J278" s="21"/>
      <c r="K278" s="21"/>
      <c r="L278" s="21"/>
    </row>
    <row r="279" spans="1:12" ht="14.45">
      <c r="A279" s="21"/>
      <c r="B279" s="33"/>
      <c r="C279" s="21"/>
      <c r="D279" s="21"/>
      <c r="E279" s="21"/>
      <c r="F279" s="22"/>
      <c r="G279" s="21"/>
      <c r="H279" s="21"/>
      <c r="I279" s="22"/>
      <c r="J279" s="21"/>
      <c r="K279" s="21"/>
      <c r="L279" s="21"/>
    </row>
    <row r="280" spans="1:12" ht="14.45">
      <c r="A280" s="21"/>
      <c r="B280" s="33"/>
      <c r="C280" s="21"/>
      <c r="D280" s="21"/>
      <c r="E280" s="21"/>
      <c r="F280" s="22"/>
      <c r="G280" s="21"/>
      <c r="H280" s="21"/>
      <c r="I280" s="22"/>
      <c r="J280" s="21"/>
      <c r="K280" s="21"/>
      <c r="L280" s="21"/>
    </row>
    <row r="281" spans="1:12" ht="14.45">
      <c r="A281" s="21"/>
      <c r="B281" s="33"/>
      <c r="C281" s="21"/>
      <c r="D281" s="21"/>
      <c r="E281" s="21"/>
      <c r="F281" s="22"/>
      <c r="G281" s="21"/>
      <c r="H281" s="21"/>
      <c r="I281" s="22"/>
      <c r="J281" s="21"/>
      <c r="K281" s="21"/>
      <c r="L281" s="21"/>
    </row>
    <row r="282" spans="1:12" ht="14.45">
      <c r="A282" s="21"/>
      <c r="B282" s="33"/>
      <c r="C282" s="21"/>
      <c r="D282" s="21"/>
      <c r="E282" s="21"/>
      <c r="F282" s="22"/>
      <c r="G282" s="21"/>
      <c r="H282" s="21"/>
      <c r="I282" s="22"/>
      <c r="J282" s="21"/>
      <c r="K282" s="21"/>
      <c r="L282" s="21"/>
    </row>
    <row r="283" spans="1:12" ht="14.45">
      <c r="A283" s="21"/>
      <c r="B283" s="33"/>
      <c r="C283" s="21"/>
      <c r="D283" s="21"/>
      <c r="E283" s="21"/>
      <c r="F283" s="22"/>
      <c r="G283" s="21"/>
      <c r="H283" s="21"/>
      <c r="I283" s="22"/>
      <c r="J283" s="21"/>
      <c r="K283" s="21"/>
      <c r="L283" s="21"/>
    </row>
    <row r="284" spans="1:12" ht="14.45">
      <c r="A284" s="21"/>
      <c r="B284" s="33"/>
      <c r="C284" s="21"/>
      <c r="D284" s="21"/>
      <c r="E284" s="21"/>
      <c r="F284" s="22"/>
      <c r="G284" s="21"/>
      <c r="H284" s="21"/>
      <c r="I284" s="22"/>
      <c r="J284" s="21"/>
      <c r="K284" s="21"/>
      <c r="L284" s="21"/>
    </row>
    <row r="285" spans="1:12" ht="14.45">
      <c r="A285" s="21"/>
      <c r="B285" s="33"/>
      <c r="C285" s="21"/>
      <c r="D285" s="21"/>
      <c r="E285" s="21"/>
      <c r="F285" s="22"/>
      <c r="G285" s="21"/>
      <c r="H285" s="21"/>
      <c r="I285" s="22"/>
      <c r="J285" s="21"/>
      <c r="K285" s="21"/>
      <c r="L285" s="21"/>
    </row>
    <row r="286" spans="1:12" ht="14.45">
      <c r="A286" s="21"/>
      <c r="B286" s="33"/>
      <c r="C286" s="21"/>
      <c r="D286" s="21"/>
      <c r="E286" s="21"/>
      <c r="F286" s="22"/>
      <c r="G286" s="21"/>
      <c r="H286" s="21"/>
      <c r="I286" s="22"/>
      <c r="J286" s="21"/>
      <c r="K286" s="21"/>
      <c r="L286" s="21"/>
    </row>
    <row r="287" spans="1:12" ht="14.45">
      <c r="A287" s="21"/>
      <c r="B287" s="33"/>
      <c r="C287" s="21"/>
      <c r="D287" s="21"/>
      <c r="E287" s="21"/>
      <c r="F287" s="22"/>
      <c r="G287" s="21"/>
      <c r="H287" s="21"/>
      <c r="I287" s="22"/>
      <c r="J287" s="21"/>
      <c r="K287" s="21"/>
      <c r="L287" s="21"/>
    </row>
    <row r="288" spans="1:12" ht="14.45">
      <c r="A288" s="21"/>
      <c r="B288" s="33"/>
      <c r="C288" s="21"/>
      <c r="D288" s="21"/>
      <c r="E288" s="21"/>
      <c r="F288" s="22"/>
      <c r="G288" s="21"/>
      <c r="H288" s="21"/>
      <c r="I288" s="22"/>
      <c r="J288" s="21"/>
      <c r="K288" s="21"/>
      <c r="L288" s="21"/>
    </row>
    <row r="289" spans="1:12" ht="14.45">
      <c r="A289" s="21"/>
      <c r="B289" s="33"/>
      <c r="C289" s="21"/>
      <c r="D289" s="21"/>
      <c r="E289" s="21"/>
      <c r="F289" s="22"/>
      <c r="G289" s="21"/>
      <c r="H289" s="21"/>
      <c r="I289" s="22"/>
      <c r="J289" s="21"/>
      <c r="K289" s="21"/>
      <c r="L289" s="21"/>
    </row>
    <row r="290" spans="1:12" ht="14.45">
      <c r="A290" s="21"/>
      <c r="B290" s="33"/>
      <c r="C290" s="21"/>
      <c r="D290" s="21"/>
      <c r="E290" s="21"/>
      <c r="F290" s="22"/>
      <c r="G290" s="21"/>
      <c r="H290" s="21"/>
      <c r="I290" s="22"/>
      <c r="J290" s="21"/>
      <c r="K290" s="21"/>
      <c r="L290" s="21"/>
    </row>
    <row r="291" spans="1:12" ht="14.45">
      <c r="A291" s="21"/>
      <c r="B291" s="33"/>
      <c r="C291" s="21"/>
      <c r="D291" s="21"/>
      <c r="E291" s="21"/>
      <c r="F291" s="22"/>
      <c r="G291" s="21"/>
      <c r="H291" s="21"/>
      <c r="I291" s="22"/>
      <c r="J291" s="21"/>
      <c r="K291" s="21"/>
      <c r="L291" s="21"/>
    </row>
    <row r="292" spans="1:12" ht="14.45">
      <c r="A292" s="21"/>
      <c r="B292" s="33"/>
      <c r="C292" s="21"/>
      <c r="D292" s="21"/>
      <c r="E292" s="21"/>
      <c r="F292" s="22"/>
      <c r="G292" s="21"/>
      <c r="H292" s="21"/>
      <c r="I292" s="22"/>
      <c r="J292" s="21"/>
      <c r="K292" s="21"/>
      <c r="L292" s="21"/>
    </row>
    <row r="293" spans="1:12" ht="14.45">
      <c r="A293" s="21"/>
      <c r="B293" s="33"/>
      <c r="C293" s="21"/>
      <c r="D293" s="21"/>
      <c r="E293" s="21"/>
      <c r="F293" s="22"/>
      <c r="G293" s="21"/>
      <c r="H293" s="21"/>
      <c r="I293" s="22"/>
      <c r="J293" s="21"/>
      <c r="K293" s="21"/>
      <c r="L293" s="21"/>
    </row>
    <row r="294" spans="1:12" ht="14.45">
      <c r="A294" s="21"/>
      <c r="B294" s="33"/>
      <c r="C294" s="21"/>
      <c r="D294" s="21"/>
      <c r="E294" s="21"/>
      <c r="F294" s="22"/>
      <c r="G294" s="21"/>
      <c r="H294" s="21"/>
      <c r="I294" s="22"/>
      <c r="J294" s="21"/>
      <c r="K294" s="21"/>
      <c r="L294" s="21"/>
    </row>
    <row r="295" spans="1:12" ht="14.45">
      <c r="A295" s="21"/>
      <c r="B295" s="33"/>
      <c r="C295" s="21"/>
      <c r="D295" s="21"/>
      <c r="E295" s="21"/>
      <c r="F295" s="22"/>
      <c r="G295" s="21"/>
      <c r="H295" s="21"/>
      <c r="I295" s="22"/>
      <c r="J295" s="21"/>
      <c r="K295" s="21"/>
      <c r="L295" s="21"/>
    </row>
    <row r="296" spans="1:12" ht="14.45">
      <c r="A296" s="21"/>
      <c r="B296" s="33"/>
      <c r="C296" s="21"/>
      <c r="D296" s="21"/>
      <c r="E296" s="21"/>
      <c r="F296" s="22"/>
      <c r="G296" s="21"/>
      <c r="H296" s="21"/>
      <c r="I296" s="22"/>
      <c r="J296" s="21"/>
      <c r="K296" s="21"/>
      <c r="L296" s="21"/>
    </row>
    <row r="297" spans="1:12" ht="14.45">
      <c r="A297" s="21"/>
      <c r="B297" s="33"/>
      <c r="C297" s="21"/>
      <c r="D297" s="21"/>
      <c r="E297" s="21"/>
      <c r="F297" s="22"/>
      <c r="G297" s="21"/>
      <c r="H297" s="21"/>
      <c r="I297" s="22"/>
      <c r="J297" s="21"/>
      <c r="K297" s="21"/>
      <c r="L297" s="21"/>
    </row>
    <row r="298" spans="1:12" ht="14.45">
      <c r="A298" s="21"/>
      <c r="B298" s="33"/>
      <c r="C298" s="21"/>
      <c r="D298" s="21"/>
      <c r="E298" s="21"/>
      <c r="F298" s="22"/>
      <c r="G298" s="21"/>
      <c r="H298" s="21"/>
      <c r="I298" s="22"/>
      <c r="J298" s="21"/>
      <c r="K298" s="21"/>
      <c r="L298" s="21"/>
    </row>
    <row r="299" spans="1:12" ht="14.45">
      <c r="A299" s="21"/>
      <c r="B299" s="33"/>
      <c r="C299" s="21"/>
      <c r="D299" s="21"/>
      <c r="E299" s="21"/>
      <c r="F299" s="22"/>
      <c r="G299" s="21"/>
      <c r="H299" s="21"/>
      <c r="I299" s="22"/>
      <c r="J299" s="21"/>
      <c r="K299" s="21"/>
      <c r="L299" s="21"/>
    </row>
    <row r="300" spans="1:12" ht="14.45">
      <c r="A300" s="21"/>
      <c r="B300" s="33"/>
      <c r="C300" s="21"/>
      <c r="D300" s="21"/>
      <c r="E300" s="21"/>
      <c r="F300" s="22"/>
      <c r="G300" s="21"/>
      <c r="H300" s="21"/>
      <c r="I300" s="22"/>
      <c r="J300" s="21"/>
      <c r="K300" s="21"/>
      <c r="L300" s="21"/>
    </row>
    <row r="301" spans="1:12" ht="14.45">
      <c r="A301" s="21"/>
      <c r="B301" s="33"/>
      <c r="C301" s="21"/>
      <c r="D301" s="21"/>
      <c r="E301" s="21"/>
      <c r="F301" s="22"/>
      <c r="G301" s="21"/>
      <c r="H301" s="21"/>
      <c r="I301" s="22"/>
      <c r="J301" s="21"/>
      <c r="K301" s="21"/>
      <c r="L301" s="21"/>
    </row>
    <row r="302" spans="1:12" ht="14.45">
      <c r="A302" s="21"/>
      <c r="B302" s="33"/>
      <c r="C302" s="21"/>
      <c r="D302" s="21"/>
      <c r="E302" s="21"/>
      <c r="F302" s="22"/>
      <c r="G302" s="21"/>
      <c r="H302" s="21"/>
      <c r="I302" s="22"/>
      <c r="J302" s="21"/>
      <c r="K302" s="21"/>
      <c r="L302" s="21"/>
    </row>
    <row r="303" spans="1:12" ht="14.45">
      <c r="A303" s="21"/>
      <c r="B303" s="33"/>
      <c r="C303" s="21"/>
      <c r="D303" s="21"/>
      <c r="E303" s="21"/>
      <c r="F303" s="22"/>
      <c r="G303" s="21"/>
      <c r="H303" s="21"/>
      <c r="I303" s="22"/>
      <c r="J303" s="21"/>
      <c r="K303" s="21"/>
      <c r="L303" s="21"/>
    </row>
    <row r="304" spans="1:12" ht="14.45">
      <c r="A304" s="21"/>
      <c r="B304" s="33"/>
      <c r="C304" s="21"/>
      <c r="D304" s="21"/>
      <c r="E304" s="21"/>
      <c r="F304" s="22"/>
      <c r="G304" s="21"/>
      <c r="H304" s="21"/>
      <c r="I304" s="22"/>
      <c r="J304" s="21"/>
      <c r="K304" s="21"/>
      <c r="L304" s="21"/>
    </row>
    <row r="305" spans="1:12" ht="14.45">
      <c r="A305" s="21"/>
      <c r="B305" s="33"/>
      <c r="C305" s="21"/>
      <c r="D305" s="21"/>
      <c r="E305" s="21"/>
      <c r="F305" s="22"/>
      <c r="G305" s="21"/>
      <c r="H305" s="21"/>
      <c r="I305" s="22"/>
      <c r="J305" s="21"/>
      <c r="K305" s="21"/>
      <c r="L305" s="21"/>
    </row>
    <row r="306" spans="1:12" ht="14.45">
      <c r="A306" s="21"/>
      <c r="B306" s="33"/>
      <c r="C306" s="21"/>
      <c r="D306" s="21"/>
      <c r="E306" s="21"/>
      <c r="F306" s="22"/>
      <c r="G306" s="21"/>
      <c r="H306" s="21"/>
      <c r="I306" s="22"/>
      <c r="J306" s="21"/>
      <c r="K306" s="21"/>
      <c r="L306" s="21"/>
    </row>
    <row r="307" spans="1:12" ht="14.45">
      <c r="A307" s="21"/>
      <c r="B307" s="33"/>
      <c r="C307" s="21"/>
      <c r="D307" s="21"/>
      <c r="E307" s="21"/>
      <c r="F307" s="22"/>
      <c r="G307" s="21"/>
      <c r="H307" s="21"/>
      <c r="I307" s="22"/>
      <c r="J307" s="21"/>
      <c r="K307" s="21"/>
      <c r="L307" s="21"/>
    </row>
    <row r="308" spans="1:12" ht="14.45">
      <c r="A308" s="21"/>
      <c r="B308" s="33"/>
      <c r="C308" s="21"/>
      <c r="D308" s="21"/>
      <c r="E308" s="21"/>
      <c r="F308" s="22"/>
      <c r="G308" s="21"/>
      <c r="H308" s="21"/>
      <c r="I308" s="22"/>
      <c r="J308" s="21"/>
      <c r="K308" s="21"/>
      <c r="L308" s="21"/>
    </row>
    <row r="309" spans="1:12" ht="14.45">
      <c r="A309" s="21"/>
      <c r="B309" s="33"/>
      <c r="C309" s="21"/>
      <c r="D309" s="21"/>
      <c r="E309" s="21"/>
      <c r="F309" s="22"/>
      <c r="G309" s="21"/>
      <c r="H309" s="21"/>
      <c r="I309" s="22"/>
      <c r="J309" s="21"/>
      <c r="K309" s="21"/>
      <c r="L309" s="21"/>
    </row>
    <row r="310" spans="1:12" ht="14.45">
      <c r="A310" s="21"/>
      <c r="B310" s="33"/>
      <c r="C310" s="21"/>
      <c r="D310" s="21"/>
      <c r="E310" s="21"/>
      <c r="F310" s="22"/>
      <c r="G310" s="21"/>
      <c r="H310" s="21"/>
      <c r="I310" s="22"/>
      <c r="J310" s="21"/>
      <c r="K310" s="21"/>
      <c r="L310" s="21"/>
    </row>
    <row r="311" spans="1:12" ht="14.45">
      <c r="A311" s="21"/>
      <c r="B311" s="33"/>
      <c r="C311" s="21"/>
      <c r="D311" s="21"/>
      <c r="E311" s="21"/>
      <c r="F311" s="22"/>
      <c r="G311" s="21"/>
      <c r="H311" s="21"/>
      <c r="I311" s="22"/>
      <c r="J311" s="21"/>
      <c r="K311" s="21"/>
      <c r="L311" s="21"/>
    </row>
    <row r="312" spans="1:12" ht="14.45">
      <c r="A312" s="21"/>
      <c r="B312" s="33"/>
      <c r="C312" s="21"/>
      <c r="D312" s="21"/>
      <c r="E312" s="21"/>
      <c r="F312" s="22"/>
      <c r="G312" s="21"/>
      <c r="H312" s="21"/>
      <c r="I312" s="22"/>
      <c r="J312" s="21"/>
      <c r="K312" s="21"/>
      <c r="L312" s="21"/>
    </row>
    <row r="313" spans="1:12" ht="14.45">
      <c r="A313" s="21"/>
      <c r="B313" s="33"/>
      <c r="C313" s="21"/>
      <c r="D313" s="21"/>
      <c r="E313" s="21"/>
      <c r="F313" s="22"/>
      <c r="G313" s="21"/>
      <c r="H313" s="21"/>
      <c r="I313" s="22"/>
      <c r="J313" s="21"/>
      <c r="K313" s="21"/>
      <c r="L313" s="21"/>
    </row>
    <row r="314" spans="1:12" ht="14.45">
      <c r="A314" s="21"/>
      <c r="B314" s="33"/>
      <c r="C314" s="21"/>
      <c r="D314" s="21"/>
      <c r="E314" s="21"/>
      <c r="F314" s="22"/>
      <c r="G314" s="21"/>
      <c r="H314" s="21"/>
      <c r="I314" s="22"/>
      <c r="J314" s="21"/>
      <c r="K314" s="21"/>
      <c r="L314" s="21"/>
    </row>
    <row r="315" spans="1:12" ht="14.45">
      <c r="A315" s="21"/>
      <c r="B315" s="33"/>
      <c r="C315" s="21"/>
      <c r="D315" s="21"/>
      <c r="E315" s="21"/>
      <c r="F315" s="22"/>
      <c r="G315" s="21"/>
      <c r="H315" s="21"/>
      <c r="I315" s="22"/>
      <c r="J315" s="21"/>
      <c r="K315" s="21"/>
      <c r="L315" s="21"/>
    </row>
    <row r="316" spans="1:12" ht="14.45">
      <c r="A316" s="21"/>
      <c r="B316" s="33"/>
      <c r="C316" s="21"/>
      <c r="D316" s="21"/>
      <c r="E316" s="21"/>
      <c r="F316" s="22"/>
      <c r="G316" s="21"/>
      <c r="H316" s="21"/>
      <c r="I316" s="22"/>
      <c r="J316" s="21"/>
      <c r="K316" s="21"/>
      <c r="L316" s="21"/>
    </row>
    <row r="317" spans="1:12" ht="14.45">
      <c r="A317" s="21"/>
      <c r="B317" s="33"/>
      <c r="C317" s="21"/>
      <c r="D317" s="21"/>
      <c r="E317" s="21"/>
      <c r="F317" s="22"/>
      <c r="G317" s="21"/>
      <c r="H317" s="21"/>
      <c r="I317" s="22"/>
      <c r="J317" s="21"/>
      <c r="K317" s="21"/>
      <c r="L317" s="21"/>
    </row>
    <row r="318" spans="1:12" ht="14.45">
      <c r="A318" s="21"/>
      <c r="B318" s="33"/>
      <c r="C318" s="21"/>
      <c r="D318" s="21"/>
      <c r="E318" s="21"/>
      <c r="F318" s="22"/>
      <c r="G318" s="21"/>
      <c r="H318" s="21"/>
      <c r="I318" s="22"/>
      <c r="J318" s="21"/>
      <c r="K318" s="21"/>
      <c r="L318" s="21"/>
    </row>
    <row r="319" spans="1:12" ht="14.45">
      <c r="A319" s="21"/>
      <c r="B319" s="33"/>
      <c r="C319" s="21"/>
      <c r="D319" s="21"/>
      <c r="E319" s="21"/>
      <c r="F319" s="22"/>
      <c r="G319" s="21"/>
      <c r="H319" s="21"/>
      <c r="I319" s="22"/>
      <c r="J319" s="21"/>
      <c r="K319" s="21"/>
      <c r="L319" s="21"/>
    </row>
    <row r="320" spans="1:12" ht="14.45">
      <c r="A320" s="21"/>
      <c r="B320" s="33"/>
      <c r="C320" s="21"/>
      <c r="D320" s="21"/>
      <c r="E320" s="21"/>
      <c r="F320" s="22"/>
      <c r="G320" s="21"/>
      <c r="H320" s="21"/>
      <c r="I320" s="22"/>
      <c r="J320" s="21"/>
      <c r="K320" s="21"/>
      <c r="L320" s="21"/>
    </row>
    <row r="321" spans="1:12" ht="14.45">
      <c r="A321" s="21"/>
      <c r="B321" s="33"/>
      <c r="C321" s="21"/>
      <c r="D321" s="21"/>
      <c r="E321" s="21"/>
      <c r="F321" s="22"/>
      <c r="G321" s="21"/>
      <c r="H321" s="21"/>
      <c r="I321" s="22"/>
      <c r="J321" s="21"/>
      <c r="K321" s="21"/>
      <c r="L321" s="21"/>
    </row>
    <row r="322" spans="1:12" ht="14.45">
      <c r="A322" s="21"/>
      <c r="B322" s="33"/>
      <c r="C322" s="21"/>
      <c r="D322" s="21"/>
      <c r="E322" s="21"/>
      <c r="F322" s="22"/>
      <c r="G322" s="21"/>
      <c r="H322" s="21"/>
      <c r="I322" s="22"/>
      <c r="J322" s="21"/>
      <c r="K322" s="21"/>
      <c r="L322" s="21"/>
    </row>
    <row r="323" spans="1:12" ht="14.45">
      <c r="A323" s="21"/>
      <c r="B323" s="33"/>
      <c r="C323" s="21"/>
      <c r="D323" s="21"/>
      <c r="E323" s="21"/>
      <c r="F323" s="22"/>
      <c r="G323" s="21"/>
      <c r="H323" s="21"/>
      <c r="I323" s="22"/>
      <c r="J323" s="21"/>
      <c r="K323" s="21"/>
      <c r="L323" s="21"/>
    </row>
    <row r="324" spans="1:12" ht="14.45">
      <c r="A324" s="21"/>
      <c r="B324" s="33"/>
      <c r="C324" s="21"/>
      <c r="D324" s="21"/>
      <c r="E324" s="21"/>
      <c r="F324" s="22"/>
      <c r="G324" s="21"/>
      <c r="H324" s="21"/>
      <c r="I324" s="22"/>
      <c r="J324" s="21"/>
      <c r="K324" s="21"/>
      <c r="L324" s="21"/>
    </row>
    <row r="325" spans="1:12" ht="14.45">
      <c r="A325" s="21"/>
      <c r="B325" s="33"/>
      <c r="C325" s="21"/>
      <c r="D325" s="21"/>
      <c r="E325" s="21"/>
      <c r="F325" s="22"/>
      <c r="G325" s="21"/>
      <c r="H325" s="21"/>
      <c r="I325" s="22"/>
      <c r="J325" s="21"/>
      <c r="K325" s="21"/>
      <c r="L325" s="21"/>
    </row>
    <row r="326" spans="1:12" ht="14.45">
      <c r="A326" s="21"/>
      <c r="B326" s="33"/>
      <c r="C326" s="21"/>
      <c r="D326" s="21"/>
      <c r="E326" s="21"/>
      <c r="F326" s="22"/>
      <c r="G326" s="21"/>
      <c r="H326" s="21"/>
      <c r="I326" s="22"/>
      <c r="J326" s="21"/>
      <c r="K326" s="21"/>
      <c r="L326" s="21"/>
    </row>
    <row r="327" spans="1:12" ht="14.45">
      <c r="A327" s="21"/>
      <c r="B327" s="33"/>
      <c r="C327" s="21"/>
      <c r="D327" s="21"/>
      <c r="E327" s="21"/>
      <c r="F327" s="22"/>
      <c r="G327" s="21"/>
      <c r="H327" s="21"/>
      <c r="I327" s="22"/>
      <c r="J327" s="21"/>
      <c r="K327" s="21"/>
      <c r="L327" s="21"/>
    </row>
    <row r="328" spans="1:12" ht="14.45">
      <c r="A328" s="21"/>
      <c r="B328" s="33"/>
      <c r="C328" s="21"/>
      <c r="D328" s="21"/>
      <c r="E328" s="21"/>
      <c r="F328" s="22"/>
      <c r="G328" s="21"/>
      <c r="H328" s="21"/>
      <c r="I328" s="22"/>
      <c r="J328" s="21"/>
      <c r="K328" s="21"/>
      <c r="L328" s="21"/>
    </row>
    <row r="329" spans="1:12" ht="14.45">
      <c r="A329" s="21"/>
      <c r="B329" s="33"/>
      <c r="C329" s="21"/>
      <c r="D329" s="21"/>
      <c r="E329" s="21"/>
      <c r="F329" s="22"/>
      <c r="G329" s="21"/>
      <c r="H329" s="21"/>
      <c r="I329" s="22"/>
      <c r="J329" s="21"/>
      <c r="K329" s="21"/>
      <c r="L329" s="21"/>
    </row>
    <row r="330" spans="1:12" ht="14.45">
      <c r="A330" s="21"/>
      <c r="B330" s="33"/>
      <c r="C330" s="21"/>
      <c r="D330" s="21"/>
      <c r="E330" s="21"/>
      <c r="F330" s="22"/>
      <c r="G330" s="21"/>
      <c r="H330" s="21"/>
      <c r="I330" s="22"/>
      <c r="J330" s="21"/>
      <c r="K330" s="21"/>
      <c r="L330" s="21"/>
    </row>
    <row r="331" spans="1:12" ht="14.45">
      <c r="A331" s="21"/>
      <c r="B331" s="33"/>
      <c r="C331" s="21"/>
      <c r="D331" s="21"/>
      <c r="E331" s="21"/>
      <c r="F331" s="22"/>
      <c r="G331" s="21"/>
      <c r="H331" s="21"/>
      <c r="I331" s="22"/>
      <c r="J331" s="21"/>
      <c r="K331" s="21"/>
      <c r="L331" s="21"/>
    </row>
    <row r="332" spans="1:12" ht="14.45">
      <c r="A332" s="21"/>
      <c r="B332" s="33"/>
      <c r="C332" s="21"/>
      <c r="D332" s="21"/>
      <c r="E332" s="21"/>
      <c r="F332" s="22"/>
      <c r="G332" s="21"/>
      <c r="H332" s="21"/>
      <c r="I332" s="22"/>
      <c r="J332" s="21"/>
      <c r="K332" s="21"/>
      <c r="L332" s="21"/>
    </row>
    <row r="333" spans="1:12" ht="14.45">
      <c r="A333" s="21"/>
      <c r="B333" s="33"/>
      <c r="C333" s="21"/>
      <c r="D333" s="21"/>
      <c r="E333" s="21"/>
      <c r="F333" s="22"/>
      <c r="G333" s="21"/>
      <c r="H333" s="21"/>
      <c r="I333" s="22"/>
      <c r="J333" s="21"/>
      <c r="K333" s="21"/>
      <c r="L333" s="21"/>
    </row>
    <row r="334" spans="1:12" ht="14.45">
      <c r="A334" s="21"/>
      <c r="B334" s="33"/>
      <c r="C334" s="21"/>
      <c r="D334" s="21"/>
      <c r="E334" s="21"/>
      <c r="F334" s="22"/>
      <c r="G334" s="21"/>
      <c r="H334" s="21"/>
      <c r="I334" s="22"/>
      <c r="J334" s="21"/>
      <c r="K334" s="21"/>
      <c r="L334" s="21"/>
    </row>
    <row r="335" spans="1:12" ht="14.45">
      <c r="A335" s="21"/>
      <c r="B335" s="33"/>
      <c r="C335" s="21"/>
      <c r="D335" s="21"/>
      <c r="E335" s="21"/>
      <c r="F335" s="22"/>
      <c r="G335" s="21"/>
      <c r="H335" s="21"/>
      <c r="I335" s="22"/>
      <c r="J335" s="21"/>
      <c r="K335" s="21"/>
      <c r="L335" s="21"/>
    </row>
    <row r="336" spans="1:12" ht="14.45">
      <c r="A336" s="21"/>
      <c r="B336" s="33"/>
      <c r="C336" s="21"/>
      <c r="D336" s="21"/>
      <c r="E336" s="21"/>
      <c r="F336" s="22"/>
      <c r="G336" s="21"/>
      <c r="H336" s="21"/>
      <c r="I336" s="22"/>
      <c r="J336" s="21"/>
      <c r="K336" s="21"/>
      <c r="L336" s="21"/>
    </row>
    <row r="337" spans="1:12" ht="14.45">
      <c r="A337" s="21"/>
      <c r="B337" s="33"/>
      <c r="C337" s="21"/>
      <c r="D337" s="21"/>
      <c r="E337" s="21"/>
      <c r="F337" s="22"/>
      <c r="G337" s="21"/>
      <c r="H337" s="21"/>
      <c r="I337" s="22"/>
      <c r="J337" s="21"/>
      <c r="K337" s="21"/>
      <c r="L337" s="21"/>
    </row>
    <row r="338" spans="1:12" ht="14.45">
      <c r="A338" s="21"/>
      <c r="B338" s="33"/>
      <c r="C338" s="21"/>
      <c r="D338" s="21"/>
      <c r="E338" s="21"/>
      <c r="F338" s="22"/>
      <c r="G338" s="21"/>
      <c r="H338" s="21"/>
      <c r="I338" s="22"/>
      <c r="J338" s="21"/>
      <c r="K338" s="21"/>
      <c r="L338" s="21"/>
    </row>
    <row r="339" spans="1:12" ht="14.45">
      <c r="A339" s="21"/>
      <c r="B339" s="33"/>
      <c r="C339" s="21"/>
      <c r="D339" s="21"/>
      <c r="E339" s="21"/>
      <c r="F339" s="22"/>
      <c r="G339" s="21"/>
      <c r="H339" s="21"/>
      <c r="I339" s="22"/>
      <c r="J339" s="21"/>
      <c r="K339" s="21"/>
      <c r="L339" s="21"/>
    </row>
    <row r="340" spans="1:12" ht="14.45">
      <c r="A340" s="21"/>
      <c r="B340" s="33"/>
      <c r="C340" s="21"/>
      <c r="D340" s="21"/>
      <c r="E340" s="21"/>
      <c r="F340" s="22"/>
      <c r="G340" s="21"/>
      <c r="H340" s="21"/>
      <c r="I340" s="22"/>
      <c r="J340" s="21"/>
      <c r="K340" s="21"/>
      <c r="L340" s="21"/>
    </row>
    <row r="341" spans="1:12" ht="14.45">
      <c r="A341" s="21"/>
      <c r="B341" s="33"/>
      <c r="C341" s="21"/>
      <c r="D341" s="21"/>
      <c r="E341" s="21"/>
      <c r="F341" s="22"/>
      <c r="G341" s="21"/>
      <c r="H341" s="21"/>
      <c r="I341" s="22"/>
      <c r="J341" s="21"/>
      <c r="K341" s="21"/>
      <c r="L341" s="21"/>
    </row>
    <row r="342" spans="1:12" ht="14.45">
      <c r="C342" s="21"/>
      <c r="D342" s="21"/>
      <c r="E342" s="21"/>
      <c r="F342" s="22"/>
      <c r="G342" s="21"/>
      <c r="H342" s="21"/>
      <c r="I342" s="22"/>
      <c r="J342" s="21"/>
      <c r="K342" s="21"/>
      <c r="L342" s="21"/>
    </row>
  </sheetData>
  <mergeCells count="4">
    <mergeCell ref="G1:I1"/>
    <mergeCell ref="A1:C1"/>
    <mergeCell ref="D1:F1"/>
    <mergeCell ref="A2:B2"/>
  </mergeCells>
  <conditionalFormatting sqref="F2 I2">
    <cfRule type="cellIs" dxfId="18" priority="3" stopIfTrue="1" operator="lessThanOrEqual">
      <formula>-0.1</formula>
    </cfRule>
    <cfRule type="expression" dxfId="17" priority="4">
      <formula>AND(ISNUMBER(F2), F2&gt;=0.1)</formula>
    </cfRule>
  </conditionalFormatting>
  <conditionalFormatting sqref="F4:F100 I4:I100">
    <cfRule type="cellIs" dxfId="16" priority="1" stopIfTrue="1" operator="lessThanOrEqual">
      <formula>-0.1</formula>
    </cfRule>
    <cfRule type="expression" dxfId="15" priority="2">
      <formula>AND(ISNUMBER(F4), F4&gt;=0.1)</formula>
    </cfRule>
  </conditionalFormatting>
  <hyperlinks>
    <hyperlink ref="K6" r:id="rId1" display="https://us3.assetplanner.com/service_request?ID=110262" xr:uid="{1F309CAC-4645-40C4-8540-09CB158579F9}"/>
    <hyperlink ref="M6" r:id="rId2" display="https://us3.assetplanner.com/service_request?ID=111409" xr:uid="{5281F385-F5EF-4F05-BC25-E8847288E9AB}"/>
    <hyperlink ref="K11" r:id="rId3" display="https://us3.assetplanner.com/service_request?ID=108676" xr:uid="{056D9CB7-67B6-4759-9CA7-2F0959523A28}"/>
    <hyperlink ref="K12" r:id="rId4" display="https://us3.assetplanner.com/service_request?ID=110944" xr:uid="{742510F5-803F-4AAA-BC1F-95281A4289EC}"/>
    <hyperlink ref="M12" r:id="rId5" display="https://us3.assetplanner.com/service_request?ID=107924" xr:uid="{5E647823-01E4-402E-BC86-B5F558138A2A}"/>
    <hyperlink ref="K14" r:id="rId6" display="https://us3.assetplanner.com/service_request?ID=109327" xr:uid="{014EAFDA-265B-4807-BC16-E4D97C1C2DFF}"/>
    <hyperlink ref="K17" r:id="rId7" display="https://us3.assetplanner.com/service_request?ID=103499" xr:uid="{0FED94D6-3989-4CB1-8587-F94EFCCD8958}"/>
    <hyperlink ref="K21" r:id="rId8" display="https://us3.assetplanner.com/service_request?ID=109232" xr:uid="{7EECB9C4-DDF4-4D97-AE21-45CAA0F41B44}"/>
    <hyperlink ref="K22" r:id="rId9" display="https://us3.assetplanner.com/service_request?ID=111831" xr:uid="{7D6F0EE6-A334-4C16-8F85-5403985EB1FD}"/>
    <hyperlink ref="K23" r:id="rId10" display="https://us3.assetplanner.com/service_request?ID=105403" xr:uid="{F3A40F0A-3811-49CB-AA96-D25238562502}"/>
    <hyperlink ref="M23" r:id="rId11" display="https://us3.assetplanner.com/service_request?ID=095623" xr:uid="{F7C63421-ED06-41BB-8F2D-F9D6B66E9924}"/>
    <hyperlink ref="N23" r:id="rId12" display="https://us3.assetplanner.com/service_request?ID=108240" xr:uid="{DF391F47-6B6B-467E-8624-4473DEE007A1}"/>
    <hyperlink ref="K25" r:id="rId13" display="https://us3.assetplanner.com/service_request?ID=107459" xr:uid="{902C968B-4260-4F10-BA56-02FD0E38209F}"/>
    <hyperlink ref="K29" r:id="rId14" display="https://us3.assetplanner.com/service_request?ID=109478" xr:uid="{EA2391EC-8283-4F6B-8539-0F4A38ABFC4E}"/>
    <hyperlink ref="K32" r:id="rId15" display="https://us3.assetplanner.com/service_request?ID=109483" xr:uid="{955CC91A-1F47-453D-9A19-9BFA0F3F2C90}"/>
    <hyperlink ref="K35" r:id="rId16" display="https://us3.assetplanner.com/service_request?ID=107266" xr:uid="{D789C06C-52C4-4FBB-A7C6-9766F46F9CD8}"/>
    <hyperlink ref="K37" r:id="rId17" display="https://us3.assetplanner.com/service_request?ID=111800" xr:uid="{6036D3E0-511B-4654-AD97-9D9496BF0ADD}"/>
    <hyperlink ref="M37" r:id="rId18" display="https://us3.assetplanner.com/service_request?ID=106741" xr:uid="{393C4FEF-2C39-4823-B8E5-71D510C58FC5}"/>
    <hyperlink ref="K38" r:id="rId19" display="https://us3.assetplanner.com/service_request?ID=111715" xr:uid="{27C9592F-697B-48D6-8488-3AE411152062}"/>
    <hyperlink ref="K40" r:id="rId20" display="https://us3.assetplanner.com/service_request?ID=105065" xr:uid="{536C0F5D-8843-471B-8190-2CA2C3F4C0BE}"/>
    <hyperlink ref="M40" r:id="rId21" display="https://us3.assetplanner.com/service_request?ID=105063" xr:uid="{4CAB9DB3-7A34-46D2-BAEB-97527772BCB1}"/>
    <hyperlink ref="K41" r:id="rId22" display="https://us3.assetplanner.com/service_request?ID=092753" xr:uid="{3B07A9E1-5976-4918-BA2E-0596D66CF22C}"/>
    <hyperlink ref="K42" r:id="rId23" display="https://us3.assetplanner.com/service_request?ID=107787" xr:uid="{1483CAD1-5E6E-49F4-B177-0986F8F48EF9}"/>
    <hyperlink ref="K43" r:id="rId24" display="https://us3.assetplanner.com/service_request?ID=104027" xr:uid="{3D743ADE-DB92-4A5A-B231-813999DD756B}"/>
    <hyperlink ref="M43" r:id="rId25" display="https://us3.assetplanner.com/service_request?ID=102346" xr:uid="{A895B7A5-7E31-4B6B-A028-D0132C98F857}"/>
    <hyperlink ref="N43" r:id="rId26" display="https://us3.assetplanner.com/service_request?ID=103159" xr:uid="{8F2CC183-0C46-4E83-80B1-10D07ADD40EB}"/>
    <hyperlink ref="O43" r:id="rId27" display="https://us3.assetplanner.com/service_request?ID=105161" xr:uid="{3C8F684E-B30C-47DD-8D9A-ED6E86D75642}"/>
    <hyperlink ref="P43" r:id="rId28" display="https://us3.assetplanner.com/service_request?ID=105162" xr:uid="{BA8C19DF-2135-41B7-A969-4BC1F63E2690}"/>
    <hyperlink ref="Q43" r:id="rId29" display="https://us3.assetplanner.com/service_request?ID=090375" xr:uid="{F6171C00-5FA2-412C-A519-7706607A3811}"/>
    <hyperlink ref="R43" r:id="rId30" display="https://us3.assetplanner.com/service_request?ID=105124" xr:uid="{2982A409-E99B-4C5C-8CBE-93036B8C3409}"/>
    <hyperlink ref="S43" r:id="rId31" display="https://us3.assetplanner.com/service_request?ID=089461" xr:uid="{56661B50-8BDA-4A02-9EEC-668FE01ED90D}"/>
    <hyperlink ref="T43" r:id="rId32" display="https://us3.assetplanner.com/service_request?ID=105124" xr:uid="{B91E9DDF-9475-4B7A-B41C-32F994D83C6C}"/>
    <hyperlink ref="U43" r:id="rId33" display="https://us3.assetplanner.com/service_request?ID=101136" xr:uid="{D0D978E2-35B8-476A-98C2-3EDE8AA640CC}"/>
    <hyperlink ref="K44" r:id="rId34" display="https://us3.assetplanner.com/service_request?ID=092276" xr:uid="{F91973B5-4847-4BBD-A168-B2B556A43D14}"/>
    <hyperlink ref="M44" r:id="rId35" display="https://us3.assetplanner.com/service_request?ID=108962" xr:uid="{54D68D57-2517-4918-80EE-75FF15BA83CF}"/>
    <hyperlink ref="K45" r:id="rId36" display="https://us3.assetplanner.com/service_request?ID=110028" xr:uid="{92C13399-9056-4E71-834D-4418BCBAA8B9}"/>
    <hyperlink ref="M45" r:id="rId37" display="https://us3.assetplanner.com/service_request?ID=108839" xr:uid="{18AB8B10-C858-498E-92A5-3ADDBC89DDF3}"/>
    <hyperlink ref="K47" r:id="rId38" display="https://us3.assetplanner.com/service_request?ID=105133" xr:uid="{C6969C3E-D657-4420-9B01-83640E8416A2}"/>
    <hyperlink ref="M47" r:id="rId39" display="https://us3.assetplanner.com/service_request?ID=105907" xr:uid="{C82E1E6F-A21F-4826-866F-E419984AC84B}"/>
    <hyperlink ref="N47" r:id="rId40" display="https://us3.assetplanner.com/service_request?ID=108327" xr:uid="{90214360-FD6C-424B-A296-A84BCF5542C5}"/>
    <hyperlink ref="K48" r:id="rId41" display="1. SR112280" xr:uid="{D1BFE50A-E9DE-4A7A-943B-36D306061956}"/>
    <hyperlink ref="K49" r:id="rId42" display="https://us3.assetplanner.com/service_request?ID=107891" xr:uid="{A3473B48-90D2-4C0C-A0A6-77668E9A232A}"/>
    <hyperlink ref="M49" r:id="rId43" display="https://us3.assetplanner.com/service_request?ID=111065" xr:uid="{1BA22EC4-9050-436E-B4E3-A55778086128}"/>
    <hyperlink ref="K50" r:id="rId44" display="https://us3.assetplanner.com/service_request?ID=104249" xr:uid="{E4023563-6B0F-4D51-B0EB-5A8293C4E9F4}"/>
    <hyperlink ref="M50" r:id="rId45" display="https://us3.assetplanner.com/service_request?ID=110688" xr:uid="{F0DBC24E-3863-4E7D-BF78-AE3F10C668FE}"/>
    <hyperlink ref="N50" r:id="rId46" display="https://us3.assetplanner.com/service_request?ID=108213" xr:uid="{AEE65A9F-9ED0-4AD2-BAD2-FE4841057516}"/>
    <hyperlink ref="O50" r:id="rId47" display="https://us3.assetplanner.com/service_request?ID=104249" xr:uid="{12C0A66D-72AC-42EF-B611-0FEE28FBC9E1}"/>
    <hyperlink ref="K51" r:id="rId48" display="https://us3.assetplanner.com/service_request?ID=105759" xr:uid="{BC3CF9C5-A099-444B-B43E-1444206B333C}"/>
    <hyperlink ref="M51" r:id="rId49" display="https://us3.assetplanner.com/service_request?ID=109811" xr:uid="{9DFCA772-B669-43A5-AE19-0D92BA2FAAAC}"/>
    <hyperlink ref="K53" r:id="rId50" display="https://us3.assetplanner.com/service_request?ID=109509" xr:uid="{A720CFCC-83F1-4BE8-BBC3-8AF4512984E1}"/>
    <hyperlink ref="K54" r:id="rId51" display="https://us3.assetplanner.com/service_request?ID=107941" xr:uid="{852C3EC6-432E-4351-B6E6-67F35621675C}"/>
    <hyperlink ref="K55" r:id="rId52" display="https://us3.assetplanner.com/service_request?ID=102897" xr:uid="{7E7E1F2F-0F98-4355-916F-9DCAEAD4E01D}"/>
    <hyperlink ref="K56" r:id="rId53" display="https://us3.assetplanner.com/service_request?ID=110590" xr:uid="{888D4B4F-C9B2-48C9-9F4F-D4B6216973A1}"/>
    <hyperlink ref="K58" r:id="rId54" display="https://us3.assetplanner.com/service_request?ID=109852" xr:uid="{601EA237-914D-452A-BEFB-660A1E9CA9EE}"/>
    <hyperlink ref="M58" r:id="rId55" display="https://us3.assetplanner.com/service_request?ID=095449" xr:uid="{8894302F-260C-4876-B162-1EA8A73125B6}"/>
    <hyperlink ref="N58" r:id="rId56" display="https://us3.assetplanner.com/service_request?ID=103833" xr:uid="{86A2776F-0A26-4AD0-B04C-758641D7DF30}"/>
    <hyperlink ref="O58" r:id="rId57" display="https://us3.assetplanner.com/service_request?ID=108212" xr:uid="{D8DB2927-F6E3-4760-9D1B-A9298CAD5236}"/>
    <hyperlink ref="K60" r:id="rId58" display="https://us3.assetplanner.com/service_request?ID=096348" xr:uid="{D929CC58-4C2A-4855-8FD8-C8697FC9E8D1}"/>
    <hyperlink ref="M60" r:id="rId59" display="https://us3.assetplanner.com/service_request?ID=111374" xr:uid="{C69ACFE0-C7FE-4944-A111-3591AC242DEA}"/>
    <hyperlink ref="N60" r:id="rId60" display="https://us3.assetplanner.com/service_request?ID=105126" xr:uid="{6B47471F-2F23-42A0-83AF-645C49BC1B37}"/>
    <hyperlink ref="K61" r:id="rId61" display="https://us3.assetplanner.com/service_request?ID=108137" xr:uid="{7B9AE017-E8F2-4CE6-B3D0-0A0DE29B95C8}"/>
    <hyperlink ref="K62" r:id="rId62" display="https://us3.assetplanner.com/service_request?ID=110601" xr:uid="{E6A3174E-FEDD-4BD1-8F13-B0269F63FBF4}"/>
    <hyperlink ref="K63" r:id="rId63" display="https://us3.assetplanner.com/service_request?ID=109477" xr:uid="{2ABF041C-7278-48CE-8001-8BBC23FB7A69}"/>
    <hyperlink ref="M63" r:id="rId64" display="https://us3.assetplanner.com/service_request?ID=110251" xr:uid="{B44ECEF0-1CAA-44AC-A35B-0EBE323FE658}"/>
    <hyperlink ref="K64" r:id="rId65" display="https://us3.assetplanner.com/service_request?ID=110142" xr:uid="{28BC084E-3CD0-4E05-83AD-BCA3CEBF5828}"/>
    <hyperlink ref="K65" r:id="rId66" display="https://us3.assetplanner.com/service_request?ID=099641" xr:uid="{1A049076-ED85-4940-A98B-25576C60D13C}"/>
    <hyperlink ref="M65" r:id="rId67" display="https://us3.assetplanner.com/service_request?ID=108625" xr:uid="{82088ABE-DF44-4DDA-82C3-7DADAA416B4D}"/>
    <hyperlink ref="N65" r:id="rId68" display="https://us3.assetplanner.com/service_request?ID=108625" xr:uid="{5BF20155-0C40-442B-8983-F0732E8B2164}"/>
    <hyperlink ref="K66" r:id="rId69" display="https://us3.assetplanner.com/service_request?ID=110496" xr:uid="{61CFF5FA-31B7-4215-B567-E3392B55CD97}"/>
    <hyperlink ref="M66" r:id="rId70" display="https://us3.assetplanner.com/service_request?ID=110496" xr:uid="{FD685A64-50DA-4E91-8D6B-DBD666115188}"/>
    <hyperlink ref="N66" r:id="rId71" display="https://us3.assetplanner.com/service_request?ID=111066" xr:uid="{3AB0547B-545E-47FE-A421-44A63B4C40E8}"/>
    <hyperlink ref="K67" r:id="rId72" display="https://us3.assetplanner.com/service_request?ID=110496" xr:uid="{70DBABD6-39E8-4848-BA45-E9AA6F3301E6}"/>
    <hyperlink ref="K68" r:id="rId73" display="https://us3.assetplanner.com/service_request?ID=109808" xr:uid="{89F5F23E-D167-4832-A508-F431D9362AEB}"/>
    <hyperlink ref="K70" r:id="rId74" display="https://us3.assetplanner.com/service_request?ID=110538" xr:uid="{765DC1A1-4B79-43C2-B796-F63A227B26EF}"/>
    <hyperlink ref="M70" r:id="rId75" display="https://us3.assetplanner.com/service_request?ID=110538" xr:uid="{51EDF97F-1204-43A1-9C84-89D7E4942F52}"/>
    <hyperlink ref="N70" r:id="rId76" display="https://us3.assetplanner.com/service_request?ID=111367" xr:uid="{78C2BC82-BD6B-4F72-8385-2A4F76FABC76}"/>
    <hyperlink ref="O70" r:id="rId77" display="https://us3.assetplanner.com/service_request?ID=108602" xr:uid="{832F2CF2-B3E1-4B58-B77A-4427016DA862}"/>
    <hyperlink ref="P70" r:id="rId78" display="https://us3.assetplanner.com/service_request?ID=111336" xr:uid="{89DA73D8-454E-4C42-A16B-F07363D30BFC}"/>
  </hyperlinks>
  <pageMargins left="0.4" right="0.7" top="0.25" bottom="0.25" header="0.3" footer="0.3"/>
  <pageSetup fitToHeight="99" orientation="landscape" r:id="rId79"/>
  <legacyDrawing r:id="rId8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T342"/>
  <sheetViews>
    <sheetView tabSelected="1" zoomScale="58" zoomScaleNormal="58" workbookViewId="0">
      <pane xSplit="2" ySplit="3" topLeftCell="C61" activePane="bottomRight" state="frozen"/>
      <selection pane="bottomRight" activeCell="D41" sqref="D41"/>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7.42578125" style="1" customWidth="1"/>
    <col min="10" max="10" width="71.5703125" customWidth="1"/>
    <col min="11" max="12" width="21.28515625" customWidth="1"/>
  </cols>
  <sheetData>
    <row r="1" spans="1:12" ht="19.5" customHeight="1">
      <c r="A1" s="132" t="str" cm="1">
        <f t="array" ref="A1">portfolio</f>
        <v>Silicon Ranch</v>
      </c>
      <c r="B1" s="132"/>
      <c r="C1" s="132"/>
      <c r="D1" s="133" t="s">
        <v>968</v>
      </c>
      <c r="E1" s="133"/>
      <c r="F1" s="133"/>
      <c r="G1" s="131" t="s">
        <v>969</v>
      </c>
      <c r="H1" s="131"/>
      <c r="I1" s="131"/>
      <c r="J1" s="4"/>
      <c r="K1" s="4"/>
      <c r="L1" s="4"/>
    </row>
    <row r="2" spans="1:12" ht="19.5" customHeight="1">
      <c r="A2" s="134" t="s">
        <v>2</v>
      </c>
      <c r="B2" s="134"/>
      <c r="C2" s="5">
        <f>SUM(C4:C100)</f>
        <v>1633198.8099999998</v>
      </c>
      <c r="D2" s="5">
        <f>SUM(D4:D100)</f>
        <v>972457</v>
      </c>
      <c r="E2" s="5">
        <f>C2-D2</f>
        <v>660741.80999999982</v>
      </c>
      <c r="F2" s="6">
        <f>IFERROR(E2/D2, 0)</f>
        <v>0.6794560684945451</v>
      </c>
      <c r="G2" s="5">
        <f>SUM(G4:G100)</f>
        <v>2111273.8610000005</v>
      </c>
      <c r="H2" s="7">
        <f>C2-G2</f>
        <v>-478075.05100000068</v>
      </c>
      <c r="I2" s="6">
        <f>IFERROR(H2/G2, 0)</f>
        <v>-0.22643914644666771</v>
      </c>
      <c r="J2" s="26" t="str">
        <f ca="1">IF(AND(TODAY()&gt;DATE(2024, 12, 1), COUNTA(Sites[Site])&lt;&gt;(COUNT(C:C)-1)), "Some sites are missing actual data; if new sites were added, make sure they are aligned correctly (including prior months!)", "")</f>
        <v/>
      </c>
      <c r="K2" s="4"/>
      <c r="L2" s="4"/>
    </row>
    <row r="3" spans="1:12" ht="14.25" customHeight="1">
      <c r="A3" s="8" t="s">
        <v>3</v>
      </c>
      <c r="B3" s="8" t="s">
        <v>4</v>
      </c>
      <c r="C3" s="23" t="s">
        <v>5</v>
      </c>
      <c r="D3" s="35" t="s">
        <v>6</v>
      </c>
      <c r="E3" s="35" t="s">
        <v>7</v>
      </c>
      <c r="F3" s="36" t="s">
        <v>8</v>
      </c>
      <c r="G3" s="37" t="s">
        <v>9</v>
      </c>
      <c r="H3" s="38" t="s">
        <v>7</v>
      </c>
      <c r="I3" s="39" t="s">
        <v>8</v>
      </c>
      <c r="J3" s="25" t="s">
        <v>20</v>
      </c>
      <c r="K3" s="25" t="s">
        <v>21</v>
      </c>
      <c r="L3" s="25" t="s">
        <v>770</v>
      </c>
    </row>
    <row r="4" spans="1:12" ht="15.6">
      <c r="A4" s="32" t="str" cm="1">
        <f t="array" ref="A4:A70">Sites[Site]</f>
        <v>Iron Mountain - Windsor</v>
      </c>
      <c r="B4" s="29" t="str" cm="1">
        <f t="array" ref="B4:B70">Sites[State]</f>
        <v>CT</v>
      </c>
      <c r="C4" s="24">
        <v>8684</v>
      </c>
      <c r="D4" s="13">
        <v>8601</v>
      </c>
      <c r="E4" s="13">
        <f>IF(AND(ISNUMBER(C4),ISNUMBER(D4)), C4-D4, "")</f>
        <v>83</v>
      </c>
      <c r="F4" s="14">
        <f>IFERROR(E4/D4, "")</f>
        <v>9.650040692942681E-3</v>
      </c>
      <c r="G4" s="15">
        <v>11057.49</v>
      </c>
      <c r="H4" s="15">
        <f>IF(AND(ISNUMBER(C4),ISNUMBER(G4)), C4-G4, "")</f>
        <v>-2373.4899999999998</v>
      </c>
      <c r="I4" s="16">
        <f>IFERROR(H4/G4, "")</f>
        <v>-0.21464997933527408</v>
      </c>
      <c r="J4" s="41" t="s">
        <v>970</v>
      </c>
      <c r="K4" s="41"/>
      <c r="L4" s="41"/>
    </row>
    <row r="5" spans="1:12" ht="15.6">
      <c r="A5" s="30" t="str">
        <v>Kohls - Auburn</v>
      </c>
      <c r="B5" s="31" t="str">
        <v>NY</v>
      </c>
      <c r="C5" s="11">
        <v>775</v>
      </c>
      <c r="D5" s="18">
        <v>771</v>
      </c>
      <c r="E5" s="18">
        <f t="shared" ref="E5:E68" si="0">IF(AND(ISNUMBER(C5),ISNUMBER(D5)), C5-D5, "")</f>
        <v>4</v>
      </c>
      <c r="F5" s="19">
        <f>IFERROR(E5/D5, "")</f>
        <v>5.1880674448767832E-3</v>
      </c>
      <c r="G5" s="20">
        <v>6838.55</v>
      </c>
      <c r="H5" s="20">
        <f t="shared" ref="H5:H68" si="1">IF(AND(ISNUMBER(C5),ISNUMBER(G5)), C5-G5, "")</f>
        <v>-6063.55</v>
      </c>
      <c r="I5" s="19">
        <f t="shared" ref="I5:I68" si="2">IFERROR(H5/G5, "")</f>
        <v>-0.88667188219724946</v>
      </c>
      <c r="J5" s="42" t="s">
        <v>971</v>
      </c>
      <c r="K5" s="42"/>
      <c r="L5" s="42"/>
    </row>
    <row r="6" spans="1:12" ht="28.9">
      <c r="A6" s="28" t="str">
        <v>Kohls - Bensalem</v>
      </c>
      <c r="B6" s="29" t="str">
        <v>PA</v>
      </c>
      <c r="C6" s="24">
        <v>13794</v>
      </c>
      <c r="D6" s="13">
        <v>0</v>
      </c>
      <c r="E6" s="13">
        <f t="shared" si="0"/>
        <v>13794</v>
      </c>
      <c r="F6" s="14" t="str">
        <f t="shared" ref="F6:F17" si="3">IFERROR(E6/D6, "")</f>
        <v/>
      </c>
      <c r="G6" s="15">
        <v>12625.27</v>
      </c>
      <c r="H6" s="15">
        <f t="shared" si="1"/>
        <v>1168.7299999999996</v>
      </c>
      <c r="I6" s="16">
        <f t="shared" si="2"/>
        <v>9.257069353764312E-2</v>
      </c>
      <c r="J6" s="41" t="s">
        <v>972</v>
      </c>
      <c r="K6" s="88" t="s">
        <v>973</v>
      </c>
      <c r="L6" s="41" t="s">
        <v>974</v>
      </c>
    </row>
    <row r="7" spans="1:12" ht="15.6">
      <c r="A7" s="30" t="str">
        <v>Kohls - Brick</v>
      </c>
      <c r="B7" s="31" t="str">
        <v>NJ</v>
      </c>
      <c r="C7" s="11">
        <v>12539</v>
      </c>
      <c r="D7" s="18">
        <v>12529</v>
      </c>
      <c r="E7" s="18">
        <f t="shared" si="0"/>
        <v>10</v>
      </c>
      <c r="F7" s="19">
        <f t="shared" si="3"/>
        <v>7.9814829595338814E-4</v>
      </c>
      <c r="G7" s="20">
        <v>16481.63</v>
      </c>
      <c r="H7" s="20">
        <f t="shared" si="1"/>
        <v>-3942.630000000001</v>
      </c>
      <c r="I7" s="19">
        <f t="shared" si="2"/>
        <v>-0.23921359719882079</v>
      </c>
      <c r="J7" s="54" t="s">
        <v>975</v>
      </c>
      <c r="K7" s="54"/>
      <c r="L7" s="54"/>
    </row>
    <row r="8" spans="1:12" ht="28.9">
      <c r="A8" s="28" t="str">
        <v>Kohls - Buffalo</v>
      </c>
      <c r="B8" s="29" t="str">
        <v>NY</v>
      </c>
      <c r="C8" s="24">
        <v>4489</v>
      </c>
      <c r="D8" s="13">
        <v>0</v>
      </c>
      <c r="E8" s="13">
        <f t="shared" si="0"/>
        <v>4489</v>
      </c>
      <c r="F8" s="14" t="str">
        <f t="shared" si="3"/>
        <v/>
      </c>
      <c r="G8" s="15">
        <v>7803.67</v>
      </c>
      <c r="H8" s="15">
        <f t="shared" si="1"/>
        <v>-3314.67</v>
      </c>
      <c r="I8" s="16">
        <f t="shared" si="2"/>
        <v>-0.42475783829915925</v>
      </c>
      <c r="J8" s="56" t="s">
        <v>976</v>
      </c>
      <c r="K8" s="56"/>
      <c r="L8" s="56"/>
    </row>
    <row r="9" spans="1:12" ht="15.6">
      <c r="A9" s="30" t="str">
        <v>Kohls - Canton</v>
      </c>
      <c r="B9" s="31" t="str">
        <v>CT</v>
      </c>
      <c r="C9" s="11">
        <v>3987</v>
      </c>
      <c r="D9" s="18">
        <v>3919</v>
      </c>
      <c r="E9" s="18">
        <f t="shared" si="0"/>
        <v>68</v>
      </c>
      <c r="F9" s="19">
        <f t="shared" si="3"/>
        <v>1.735136514416943E-2</v>
      </c>
      <c r="G9" s="20">
        <v>4608.3500000000004</v>
      </c>
      <c r="H9" s="20">
        <f t="shared" si="1"/>
        <v>-621.35000000000036</v>
      </c>
      <c r="I9" s="19">
        <f t="shared" si="2"/>
        <v>-0.13483133876550182</v>
      </c>
      <c r="J9" s="42" t="s">
        <v>977</v>
      </c>
      <c r="K9" s="43"/>
      <c r="L9" s="43"/>
    </row>
    <row r="10" spans="1:12" ht="15.6">
      <c r="A10" s="28" t="str">
        <v>Kohls - East Amherst</v>
      </c>
      <c r="B10" s="29" t="str">
        <v>NY</v>
      </c>
      <c r="C10" s="24">
        <v>3146</v>
      </c>
      <c r="D10" s="13">
        <v>2998</v>
      </c>
      <c r="E10" s="13">
        <f t="shared" si="0"/>
        <v>148</v>
      </c>
      <c r="F10" s="14">
        <f t="shared" si="3"/>
        <v>4.9366244162775186E-2</v>
      </c>
      <c r="G10" s="15">
        <v>8272.44</v>
      </c>
      <c r="H10" s="15">
        <f t="shared" si="1"/>
        <v>-5126.4400000000005</v>
      </c>
      <c r="I10" s="16">
        <f t="shared" si="2"/>
        <v>-0.6197010797298016</v>
      </c>
      <c r="J10" s="41" t="s">
        <v>978</v>
      </c>
      <c r="K10" s="41"/>
      <c r="L10" s="41"/>
    </row>
    <row r="11" spans="1:12" ht="28.9">
      <c r="A11" s="30" t="str">
        <v>Kohls - East Brunswick</v>
      </c>
      <c r="B11" s="31" t="str">
        <v>NJ</v>
      </c>
      <c r="C11" s="11">
        <v>17583.900000000001</v>
      </c>
      <c r="D11" s="18">
        <v>0</v>
      </c>
      <c r="E11" s="18">
        <f t="shared" si="0"/>
        <v>17583.900000000001</v>
      </c>
      <c r="F11" s="19" t="str">
        <f t="shared" si="3"/>
        <v/>
      </c>
      <c r="G11" s="20">
        <v>21586.959999999999</v>
      </c>
      <c r="H11" s="20">
        <f t="shared" si="1"/>
        <v>-4003.0599999999977</v>
      </c>
      <c r="I11" s="19">
        <f t="shared" si="2"/>
        <v>-0.18543880194339535</v>
      </c>
      <c r="J11" s="53" t="s">
        <v>885</v>
      </c>
      <c r="K11" s="87" t="s">
        <v>785</v>
      </c>
      <c r="L11" s="60" t="s">
        <v>974</v>
      </c>
    </row>
    <row r="12" spans="1:12" ht="72">
      <c r="A12" s="28" t="str">
        <v>Kohls - Edgewood</v>
      </c>
      <c r="B12" s="29" t="str">
        <v>MD</v>
      </c>
      <c r="C12" s="24">
        <v>66915</v>
      </c>
      <c r="D12" s="13">
        <v>65564</v>
      </c>
      <c r="E12" s="13">
        <f t="shared" si="0"/>
        <v>1351</v>
      </c>
      <c r="F12" s="14">
        <f t="shared" si="3"/>
        <v>2.0605820267219816E-2</v>
      </c>
      <c r="G12" s="15">
        <v>111946.8</v>
      </c>
      <c r="H12" s="15">
        <f t="shared" si="1"/>
        <v>-45031.8</v>
      </c>
      <c r="I12" s="16">
        <f t="shared" si="2"/>
        <v>-0.40226071669757424</v>
      </c>
      <c r="J12" s="41" t="s">
        <v>979</v>
      </c>
      <c r="K12" s="88" t="s">
        <v>980</v>
      </c>
      <c r="L12" s="41" t="s">
        <v>981</v>
      </c>
    </row>
    <row r="13" spans="1:12" ht="15.6">
      <c r="A13" s="30" t="str">
        <v>Kohls - Granite Run</v>
      </c>
      <c r="B13" s="31" t="str">
        <v>PA</v>
      </c>
      <c r="C13" s="11">
        <v>11961</v>
      </c>
      <c r="D13" s="18">
        <v>11700</v>
      </c>
      <c r="E13" s="18">
        <f t="shared" si="0"/>
        <v>261</v>
      </c>
      <c r="F13" s="19">
        <f t="shared" si="3"/>
        <v>2.2307692307692306E-2</v>
      </c>
      <c r="G13" s="20">
        <v>12628.89</v>
      </c>
      <c r="H13" s="20">
        <f t="shared" si="1"/>
        <v>-667.88999999999942</v>
      </c>
      <c r="I13" s="19">
        <f t="shared" si="2"/>
        <v>-5.2885883082361113E-2</v>
      </c>
      <c r="J13" s="42"/>
      <c r="K13" s="43"/>
      <c r="L13" s="43"/>
    </row>
    <row r="14" spans="1:12" ht="15.6">
      <c r="A14" s="28" t="str">
        <v>Kohls - Greece</v>
      </c>
      <c r="B14" s="29" t="str">
        <v>NY</v>
      </c>
      <c r="C14" s="24">
        <v>3998</v>
      </c>
      <c r="D14" s="13">
        <v>3834</v>
      </c>
      <c r="E14" s="13">
        <f t="shared" si="0"/>
        <v>164</v>
      </c>
      <c r="F14" s="14">
        <f t="shared" si="3"/>
        <v>4.2775169535732918E-2</v>
      </c>
      <c r="G14" s="15">
        <v>9853.39</v>
      </c>
      <c r="H14" s="15">
        <f t="shared" si="1"/>
        <v>-5855.3899999999994</v>
      </c>
      <c r="I14" s="16">
        <f t="shared" si="2"/>
        <v>-0.59425131858172664</v>
      </c>
      <c r="J14" s="41" t="s">
        <v>982</v>
      </c>
      <c r="K14" s="41"/>
      <c r="L14" s="41"/>
    </row>
    <row r="15" spans="1:12" ht="15.6">
      <c r="A15" s="30" t="str">
        <v>Kohls - Hanover</v>
      </c>
      <c r="B15" s="31" t="str">
        <v>PA</v>
      </c>
      <c r="C15" s="11">
        <v>14113</v>
      </c>
      <c r="D15" s="18">
        <v>13819</v>
      </c>
      <c r="E15" s="18">
        <f t="shared" si="0"/>
        <v>294</v>
      </c>
      <c r="F15" s="19">
        <f t="shared" si="3"/>
        <v>2.1275056082205659E-2</v>
      </c>
      <c r="G15" s="20">
        <v>14366.34</v>
      </c>
      <c r="H15" s="20">
        <f t="shared" si="1"/>
        <v>-253.34000000000015</v>
      </c>
      <c r="I15" s="19">
        <f t="shared" si="2"/>
        <v>-1.763427567494575E-2</v>
      </c>
      <c r="J15" s="54"/>
      <c r="K15" s="79"/>
      <c r="L15" s="79"/>
    </row>
    <row r="16" spans="1:12" ht="15.6">
      <c r="A16" s="28" t="str">
        <v>Kohls - Horsehead</v>
      </c>
      <c r="B16" s="29" t="str">
        <v>NY</v>
      </c>
      <c r="C16" s="24">
        <v>3999</v>
      </c>
      <c r="D16" s="13">
        <v>3904</v>
      </c>
      <c r="E16" s="13">
        <f t="shared" si="0"/>
        <v>95</v>
      </c>
      <c r="F16" s="14">
        <f t="shared" si="3"/>
        <v>2.4334016393442622E-2</v>
      </c>
      <c r="G16" s="15">
        <v>9835.01</v>
      </c>
      <c r="H16" s="15">
        <f t="shared" si="1"/>
        <v>-5836.01</v>
      </c>
      <c r="I16" s="16">
        <f t="shared" si="2"/>
        <v>-0.59339136411655913</v>
      </c>
      <c r="J16" s="41" t="s">
        <v>982</v>
      </c>
      <c r="K16" s="41"/>
      <c r="L16" s="41"/>
    </row>
    <row r="17" spans="1:13" ht="43.15">
      <c r="A17" s="30" t="str">
        <v>Kohls - Hudson</v>
      </c>
      <c r="B17" s="31" t="str">
        <v>NY</v>
      </c>
      <c r="C17" s="11">
        <v>3772</v>
      </c>
      <c r="D17" s="18">
        <v>0</v>
      </c>
      <c r="E17" s="18">
        <f t="shared" si="0"/>
        <v>3772</v>
      </c>
      <c r="F17" s="19" t="str">
        <f t="shared" si="3"/>
        <v/>
      </c>
      <c r="G17" s="20">
        <v>11498.69</v>
      </c>
      <c r="H17" s="20">
        <f t="shared" si="1"/>
        <v>-7726.6900000000005</v>
      </c>
      <c r="I17" s="19">
        <f t="shared" si="2"/>
        <v>-0.67196263226506669</v>
      </c>
      <c r="J17" s="53" t="s">
        <v>983</v>
      </c>
      <c r="K17" s="87" t="s">
        <v>536</v>
      </c>
      <c r="L17" s="60" t="s">
        <v>984</v>
      </c>
    </row>
    <row r="18" spans="1:13" ht="36" customHeight="1">
      <c r="A18" s="32" t="str">
        <v>Kohls - Ithaca</v>
      </c>
      <c r="B18" s="29" t="str">
        <v>NY</v>
      </c>
      <c r="C18" s="24">
        <v>2519</v>
      </c>
      <c r="D18" s="13">
        <v>2457</v>
      </c>
      <c r="E18" s="13">
        <f t="shared" si="0"/>
        <v>62</v>
      </c>
      <c r="F18" s="14"/>
      <c r="G18" s="15">
        <v>9862.58</v>
      </c>
      <c r="H18" s="15">
        <f t="shared" si="1"/>
        <v>-7343.58</v>
      </c>
      <c r="I18" s="16">
        <f t="shared" si="2"/>
        <v>-0.7445901579505565</v>
      </c>
      <c r="J18" s="41" t="s">
        <v>982</v>
      </c>
      <c r="K18" s="41"/>
      <c r="L18" s="41"/>
    </row>
    <row r="19" spans="1:13" ht="28.9">
      <c r="A19" s="30" t="str">
        <v>Kohls - Kingston</v>
      </c>
      <c r="B19" s="31" t="str">
        <v>NY</v>
      </c>
      <c r="C19" s="11">
        <v>4876</v>
      </c>
      <c r="D19" s="18">
        <v>4807</v>
      </c>
      <c r="E19" s="18">
        <f t="shared" si="0"/>
        <v>69</v>
      </c>
      <c r="F19" s="19"/>
      <c r="G19" s="20">
        <v>19357.5</v>
      </c>
      <c r="H19" s="20">
        <f t="shared" si="1"/>
        <v>-14481.5</v>
      </c>
      <c r="I19" s="19">
        <f t="shared" si="2"/>
        <v>-0.74810796848766625</v>
      </c>
      <c r="J19" s="54" t="s">
        <v>985</v>
      </c>
      <c r="K19" s="92" t="s">
        <v>986</v>
      </c>
      <c r="L19" s="42"/>
    </row>
    <row r="20" spans="1:13" ht="15.6">
      <c r="A20" s="28" t="str">
        <v>Kohls - Mechanicsburg</v>
      </c>
      <c r="B20" s="29" t="str">
        <v>PA</v>
      </c>
      <c r="C20" s="24">
        <v>14893</v>
      </c>
      <c r="D20" s="13">
        <v>14490</v>
      </c>
      <c r="E20" s="13">
        <f t="shared" si="0"/>
        <v>403</v>
      </c>
      <c r="F20" s="14"/>
      <c r="G20" s="15">
        <v>16479.919999999998</v>
      </c>
      <c r="H20" s="15">
        <f t="shared" si="1"/>
        <v>-1586.9199999999983</v>
      </c>
      <c r="I20" s="16">
        <f t="shared" si="2"/>
        <v>-9.6294156767751202E-2</v>
      </c>
      <c r="J20" s="41"/>
      <c r="K20" s="41"/>
      <c r="L20" s="41"/>
    </row>
    <row r="21" spans="1:13" ht="15.6">
      <c r="A21" s="30" t="str">
        <v>Kohls - Middletown</v>
      </c>
      <c r="B21" s="31" t="str">
        <v>NJ</v>
      </c>
      <c r="C21" s="11">
        <v>22548</v>
      </c>
      <c r="D21" s="18">
        <v>2188</v>
      </c>
      <c r="E21" s="18">
        <f t="shared" si="0"/>
        <v>20360</v>
      </c>
      <c r="F21" s="19"/>
      <c r="G21" s="20">
        <v>24523.66</v>
      </c>
      <c r="H21" s="20">
        <f t="shared" si="1"/>
        <v>-1975.6599999999999</v>
      </c>
      <c r="I21" s="19">
        <f t="shared" si="2"/>
        <v>-8.0561384393683488E-2</v>
      </c>
      <c r="J21" s="54"/>
      <c r="K21" s="54"/>
      <c r="L21" s="54"/>
    </row>
    <row r="22" spans="1:13" ht="43.15">
      <c r="A22" s="28" t="str">
        <v>Kohls - North Amherst</v>
      </c>
      <c r="B22" s="29" t="str">
        <v>NY</v>
      </c>
      <c r="C22" s="24">
        <v>2889</v>
      </c>
      <c r="D22" s="13">
        <v>2780</v>
      </c>
      <c r="E22" s="13">
        <f t="shared" si="0"/>
        <v>109</v>
      </c>
      <c r="F22" s="14"/>
      <c r="G22" s="15">
        <v>6617.95</v>
      </c>
      <c r="H22" s="15">
        <f t="shared" si="1"/>
        <v>-3728.95</v>
      </c>
      <c r="I22" s="16">
        <f t="shared" si="2"/>
        <v>-0.56345998383185125</v>
      </c>
      <c r="J22" s="41" t="s">
        <v>987</v>
      </c>
      <c r="K22" s="91" t="s">
        <v>988</v>
      </c>
      <c r="L22" s="76" t="s">
        <v>974</v>
      </c>
    </row>
    <row r="23" spans="1:13" ht="43.15">
      <c r="A23" s="30" t="str">
        <v>Kohls - Staten Island</v>
      </c>
      <c r="B23" s="31" t="str">
        <v>NY</v>
      </c>
      <c r="C23" s="11">
        <v>9595</v>
      </c>
      <c r="D23" s="18">
        <v>0</v>
      </c>
      <c r="E23" s="18">
        <f t="shared" si="0"/>
        <v>9595</v>
      </c>
      <c r="F23" s="19"/>
      <c r="G23" s="20">
        <v>14402.81</v>
      </c>
      <c r="H23" s="20">
        <f t="shared" si="1"/>
        <v>-4807.8099999999995</v>
      </c>
      <c r="I23" s="19">
        <f t="shared" si="2"/>
        <v>-0.33381055502363771</v>
      </c>
      <c r="J23" s="42" t="s">
        <v>900</v>
      </c>
      <c r="K23" s="90" t="s">
        <v>901</v>
      </c>
      <c r="L23" s="130" t="s">
        <v>902</v>
      </c>
      <c r="M23" s="89" t="s">
        <v>800</v>
      </c>
    </row>
    <row r="24" spans="1:13" ht="15.6">
      <c r="A24" s="28" t="str">
        <v>Kohls - Warminster</v>
      </c>
      <c r="B24" s="29" t="str">
        <v>PA</v>
      </c>
      <c r="C24" s="24">
        <v>14883</v>
      </c>
      <c r="D24" s="13">
        <v>14556</v>
      </c>
      <c r="E24" s="13">
        <f t="shared" si="0"/>
        <v>327</v>
      </c>
      <c r="F24" s="14"/>
      <c r="G24" s="15">
        <v>15617.09</v>
      </c>
      <c r="H24" s="15">
        <f t="shared" si="1"/>
        <v>-734.09000000000015</v>
      </c>
      <c r="I24" s="16">
        <f t="shared" si="2"/>
        <v>-4.7005556092716387E-2</v>
      </c>
      <c r="J24" s="41"/>
      <c r="K24" s="41"/>
      <c r="L24" s="41"/>
    </row>
    <row r="25" spans="1:13" ht="28.9">
      <c r="A25" s="30" t="str">
        <v xml:space="preserve">Kohls - Waterbury </v>
      </c>
      <c r="B25" s="31" t="str">
        <v>CT</v>
      </c>
      <c r="C25" s="11">
        <v>0</v>
      </c>
      <c r="D25" s="18">
        <v>0</v>
      </c>
      <c r="E25" s="18">
        <f t="shared" si="0"/>
        <v>0</v>
      </c>
      <c r="F25" s="19"/>
      <c r="G25" s="20">
        <v>13922.51</v>
      </c>
      <c r="H25" s="20">
        <f t="shared" si="1"/>
        <v>-13922.51</v>
      </c>
      <c r="I25" s="19">
        <f t="shared" si="2"/>
        <v>-1</v>
      </c>
      <c r="J25" s="53" t="s">
        <v>989</v>
      </c>
      <c r="K25" s="87" t="s">
        <v>990</v>
      </c>
      <c r="L25" s="60" t="s">
        <v>991</v>
      </c>
    </row>
    <row r="26" spans="1:13" ht="15.6">
      <c r="A26" s="28" t="str">
        <v>Mojave Water Agency - Headquarters</v>
      </c>
      <c r="B26" s="29" t="str">
        <v>CA</v>
      </c>
      <c r="C26" s="24">
        <v>23585</v>
      </c>
      <c r="D26" s="13">
        <v>23437</v>
      </c>
      <c r="E26" s="13">
        <f t="shared" si="0"/>
        <v>148</v>
      </c>
      <c r="F26" s="14"/>
      <c r="G26" s="15">
        <v>25247.98</v>
      </c>
      <c r="H26" s="15">
        <f t="shared" si="1"/>
        <v>-1662.9799999999996</v>
      </c>
      <c r="I26" s="16">
        <f t="shared" si="2"/>
        <v>-6.5865863328472204E-2</v>
      </c>
      <c r="J26" s="41"/>
      <c r="K26" s="41"/>
      <c r="L26" s="41"/>
    </row>
    <row r="27" spans="1:13" ht="72">
      <c r="A27" s="30" t="str">
        <v>CSU - Bakersfield</v>
      </c>
      <c r="B27" s="31" t="str">
        <v>CA</v>
      </c>
      <c r="C27" s="11">
        <v>35905</v>
      </c>
      <c r="D27" s="18">
        <v>34735</v>
      </c>
      <c r="E27" s="18">
        <f t="shared" si="0"/>
        <v>1170</v>
      </c>
      <c r="F27" s="19"/>
      <c r="G27" s="20">
        <v>54842.400000000001</v>
      </c>
      <c r="H27" s="20">
        <f t="shared" si="1"/>
        <v>-18937.400000000001</v>
      </c>
      <c r="I27" s="19">
        <f t="shared" si="2"/>
        <v>-0.34530582177293484</v>
      </c>
      <c r="J27" s="42" t="s">
        <v>810</v>
      </c>
      <c r="K27" s="43"/>
      <c r="L27" s="43"/>
    </row>
    <row r="28" spans="1:13" ht="72">
      <c r="A28" s="28" t="str">
        <v>Greenfield USD - Fairfield ES</v>
      </c>
      <c r="B28" s="29" t="str">
        <v>CA</v>
      </c>
      <c r="C28" s="24">
        <v>3371</v>
      </c>
      <c r="D28" s="13">
        <v>3266</v>
      </c>
      <c r="E28" s="13">
        <f t="shared" si="0"/>
        <v>105</v>
      </c>
      <c r="F28" s="14"/>
      <c r="G28" s="15">
        <v>6728.25</v>
      </c>
      <c r="H28" s="15">
        <f t="shared" si="1"/>
        <v>-3357.25</v>
      </c>
      <c r="I28" s="16">
        <f t="shared" si="2"/>
        <v>-0.49897818897930368</v>
      </c>
      <c r="J28" s="41" t="s">
        <v>810</v>
      </c>
      <c r="K28" s="41"/>
      <c r="L28" s="41"/>
    </row>
    <row r="29" spans="1:13" ht="15.6">
      <c r="A29" s="30" t="str">
        <v>Greenfield USD - Granite Point ES</v>
      </c>
      <c r="B29" s="31" t="str">
        <v>CA</v>
      </c>
      <c r="C29" s="11">
        <v>6224</v>
      </c>
      <c r="D29" s="18">
        <v>6067</v>
      </c>
      <c r="E29" s="18">
        <f t="shared" si="0"/>
        <v>157</v>
      </c>
      <c r="F29" s="19"/>
      <c r="G29" s="20">
        <v>17587.2</v>
      </c>
      <c r="H29" s="20">
        <f t="shared" si="1"/>
        <v>-11363.2</v>
      </c>
      <c r="I29" s="19">
        <f t="shared" si="2"/>
        <v>-0.6461062590975255</v>
      </c>
      <c r="J29" s="42" t="s">
        <v>905</v>
      </c>
      <c r="K29" s="92" t="s">
        <v>992</v>
      </c>
      <c r="L29" s="43" t="s">
        <v>993</v>
      </c>
    </row>
    <row r="30" spans="1:13" ht="72">
      <c r="A30" s="28" t="str">
        <v>Greenfield USD - Greenfield MS</v>
      </c>
      <c r="B30" s="29" t="str">
        <v>CA</v>
      </c>
      <c r="C30" s="24">
        <v>4726</v>
      </c>
      <c r="D30" s="13">
        <v>4634</v>
      </c>
      <c r="E30" s="13">
        <f t="shared" si="0"/>
        <v>92</v>
      </c>
      <c r="F30" s="14"/>
      <c r="G30" s="15">
        <v>12151.290999999999</v>
      </c>
      <c r="H30" s="15">
        <f t="shared" si="1"/>
        <v>-7425.2909999999993</v>
      </c>
      <c r="I30" s="16">
        <f t="shared" si="2"/>
        <v>-0.61107013238346441</v>
      </c>
      <c r="J30" s="41" t="s">
        <v>907</v>
      </c>
      <c r="K30" s="41"/>
      <c r="L30" s="41"/>
    </row>
    <row r="31" spans="1:13" ht="72">
      <c r="A31" s="30" t="str">
        <v>Greenfield USD - Horizon ES</v>
      </c>
      <c r="B31" s="31" t="str">
        <v>CA</v>
      </c>
      <c r="C31" s="11">
        <v>10520</v>
      </c>
      <c r="D31" s="18">
        <v>10168</v>
      </c>
      <c r="E31" s="18">
        <f t="shared" si="0"/>
        <v>352</v>
      </c>
      <c r="F31" s="19"/>
      <c r="G31" s="20">
        <v>17813.32</v>
      </c>
      <c r="H31" s="20">
        <f t="shared" si="1"/>
        <v>-7293.32</v>
      </c>
      <c r="I31" s="19">
        <f t="shared" si="2"/>
        <v>-0.40943069568165841</v>
      </c>
      <c r="J31" s="42" t="s">
        <v>907</v>
      </c>
      <c r="K31" s="54"/>
      <c r="L31" s="54"/>
    </row>
    <row r="32" spans="1:13" ht="43.15">
      <c r="A32" s="28" t="str">
        <v>Greenfield USD - McKee MS</v>
      </c>
      <c r="B32" s="29" t="str">
        <v>CA</v>
      </c>
      <c r="C32" s="24">
        <v>2949</v>
      </c>
      <c r="D32" s="13">
        <v>2914</v>
      </c>
      <c r="E32" s="13">
        <f t="shared" si="0"/>
        <v>35</v>
      </c>
      <c r="F32" s="14"/>
      <c r="G32" s="15">
        <v>10901.23</v>
      </c>
      <c r="H32" s="15">
        <f t="shared" si="1"/>
        <v>-7952.23</v>
      </c>
      <c r="I32" s="16">
        <f t="shared" si="2"/>
        <v>-0.72948006784555508</v>
      </c>
      <c r="J32" s="41" t="s">
        <v>811</v>
      </c>
      <c r="K32" s="88" t="s">
        <v>994</v>
      </c>
      <c r="L32" s="41" t="s">
        <v>974</v>
      </c>
    </row>
    <row r="33" spans="1:20" ht="72">
      <c r="A33" s="30" t="str">
        <v>Greenfield USD - Plantation ES</v>
      </c>
      <c r="B33" s="31" t="str">
        <v>CA</v>
      </c>
      <c r="C33" s="11">
        <v>4264</v>
      </c>
      <c r="D33" s="18">
        <v>4181</v>
      </c>
      <c r="E33" s="18">
        <f t="shared" si="0"/>
        <v>83</v>
      </c>
      <c r="F33" s="19"/>
      <c r="G33" s="20">
        <v>7794.47</v>
      </c>
      <c r="H33" s="20">
        <f t="shared" si="1"/>
        <v>-3530.4700000000003</v>
      </c>
      <c r="I33" s="19">
        <f t="shared" si="2"/>
        <v>-0.45294548570974036</v>
      </c>
      <c r="J33" s="42" t="s">
        <v>907</v>
      </c>
      <c r="K33" s="43"/>
      <c r="L33" s="43"/>
    </row>
    <row r="34" spans="1:20" ht="28.9">
      <c r="A34" s="28" t="str">
        <v>Greenfield USD - Planz ES</v>
      </c>
      <c r="B34" s="29" t="str">
        <v>CA</v>
      </c>
      <c r="C34" s="24">
        <v>4348</v>
      </c>
      <c r="D34" s="13">
        <v>4252</v>
      </c>
      <c r="E34" s="13">
        <f t="shared" si="0"/>
        <v>96</v>
      </c>
      <c r="F34" s="14"/>
      <c r="G34" s="15">
        <v>9494.92</v>
      </c>
      <c r="H34" s="15">
        <f t="shared" si="1"/>
        <v>-5146.92</v>
      </c>
      <c r="I34" s="16">
        <f t="shared" si="2"/>
        <v>-0.5420709179224259</v>
      </c>
      <c r="J34" s="41" t="s">
        <v>909</v>
      </c>
      <c r="K34" s="41"/>
      <c r="L34" s="41"/>
    </row>
    <row r="35" spans="1:20" ht="15.6">
      <c r="A35" s="30" t="str">
        <v>Greenfield USD - Raffaello Palla ES</v>
      </c>
      <c r="B35" s="31" t="str">
        <v>CA</v>
      </c>
      <c r="C35" s="11">
        <v>7944</v>
      </c>
      <c r="D35" s="18">
        <v>7426</v>
      </c>
      <c r="E35" s="18">
        <f t="shared" si="0"/>
        <v>518</v>
      </c>
      <c r="F35" s="19"/>
      <c r="G35" s="20">
        <v>19826.28</v>
      </c>
      <c r="H35" s="20">
        <f t="shared" si="1"/>
        <v>-11882.279999999999</v>
      </c>
      <c r="I35" s="19">
        <f t="shared" si="2"/>
        <v>-0.59931969083458925</v>
      </c>
      <c r="J35" s="42" t="s">
        <v>995</v>
      </c>
      <c r="K35" s="43"/>
      <c r="L35" s="43"/>
    </row>
    <row r="36" spans="1:20" ht="86.45">
      <c r="A36" s="28" t="str">
        <v>Greenfield USD - Valle Verde ES</v>
      </c>
      <c r="B36" s="29" t="str">
        <v>CA</v>
      </c>
      <c r="C36" s="24">
        <v>5443</v>
      </c>
      <c r="D36" s="13">
        <v>5373</v>
      </c>
      <c r="E36" s="13">
        <f t="shared" si="0"/>
        <v>70</v>
      </c>
      <c r="F36" s="14"/>
      <c r="G36" s="15">
        <v>18631.37</v>
      </c>
      <c r="H36" s="15">
        <f t="shared" si="1"/>
        <v>-13188.369999999999</v>
      </c>
      <c r="I36" s="16">
        <f t="shared" si="2"/>
        <v>-0.70785830564258023</v>
      </c>
      <c r="J36" s="41" t="s">
        <v>996</v>
      </c>
      <c r="K36" s="41"/>
      <c r="L36" s="41"/>
    </row>
    <row r="37" spans="1:20" ht="28.9">
      <c r="A37" s="30" t="str">
        <v>Greenfield USD - W.A. Kendrick ES</v>
      </c>
      <c r="B37" s="31" t="str">
        <v>CA</v>
      </c>
      <c r="C37" s="11">
        <v>3801</v>
      </c>
      <c r="D37" s="18">
        <v>0</v>
      </c>
      <c r="E37" s="18">
        <f t="shared" si="0"/>
        <v>3801</v>
      </c>
      <c r="F37" s="19"/>
      <c r="G37" s="20">
        <v>7178.64</v>
      </c>
      <c r="H37" s="20">
        <f t="shared" si="1"/>
        <v>-3377.6400000000003</v>
      </c>
      <c r="I37" s="19">
        <f t="shared" si="2"/>
        <v>-0.47051252047741637</v>
      </c>
      <c r="J37" s="42" t="s">
        <v>468</v>
      </c>
      <c r="K37" s="87" t="s">
        <v>997</v>
      </c>
      <c r="L37" s="60" t="s">
        <v>974</v>
      </c>
    </row>
    <row r="38" spans="1:20" ht="15.6">
      <c r="A38" s="28" t="str">
        <v>Muroc Joint USD - Boron HS</v>
      </c>
      <c r="B38" s="29" t="str">
        <v>CA</v>
      </c>
      <c r="C38" s="24">
        <v>0</v>
      </c>
      <c r="D38" s="13">
        <v>0</v>
      </c>
      <c r="E38" s="13">
        <f t="shared" si="0"/>
        <v>0</v>
      </c>
      <c r="F38" s="14"/>
      <c r="G38" s="15">
        <v>23828.49</v>
      </c>
      <c r="H38" s="15">
        <f t="shared" si="1"/>
        <v>-23828.49</v>
      </c>
      <c r="I38" s="16">
        <f t="shared" si="2"/>
        <v>-1</v>
      </c>
      <c r="J38" s="41" t="s">
        <v>915</v>
      </c>
      <c r="K38" s="88" t="s">
        <v>998</v>
      </c>
      <c r="L38" s="41" t="s">
        <v>974</v>
      </c>
    </row>
    <row r="39" spans="1:20" ht="72">
      <c r="A39" s="30" t="str">
        <v>Muroc Joint USD - W. Boron ES</v>
      </c>
      <c r="B39" s="31" t="str">
        <v>CA</v>
      </c>
      <c r="C39" s="11">
        <v>6529</v>
      </c>
      <c r="D39" s="18">
        <v>6491</v>
      </c>
      <c r="E39" s="18">
        <f t="shared" si="0"/>
        <v>38</v>
      </c>
      <c r="F39" s="19"/>
      <c r="G39" s="20">
        <v>8495.09</v>
      </c>
      <c r="H39" s="20">
        <f t="shared" si="1"/>
        <v>-1966.0900000000001</v>
      </c>
      <c r="I39" s="19">
        <f t="shared" si="2"/>
        <v>-0.23143839559086485</v>
      </c>
      <c r="J39" s="42" t="s">
        <v>907</v>
      </c>
      <c r="K39" s="43"/>
      <c r="L39" s="43"/>
    </row>
    <row r="40" spans="1:20" ht="57.6">
      <c r="A40" s="28" t="str">
        <v>Colusa - WTP</v>
      </c>
      <c r="B40" s="29" t="str">
        <v>CA</v>
      </c>
      <c r="C40" s="24">
        <v>4267</v>
      </c>
      <c r="D40" s="13">
        <v>0</v>
      </c>
      <c r="E40" s="13">
        <f t="shared" si="0"/>
        <v>4267</v>
      </c>
      <c r="F40" s="14"/>
      <c r="G40" s="15">
        <v>16975.68</v>
      </c>
      <c r="H40" s="15">
        <f t="shared" si="1"/>
        <v>-12708.68</v>
      </c>
      <c r="I40" s="16">
        <f t="shared" si="2"/>
        <v>-0.74864040792474884</v>
      </c>
      <c r="J40" s="41" t="s">
        <v>999</v>
      </c>
      <c r="K40" s="91" t="s">
        <v>1000</v>
      </c>
      <c r="L40" s="76" t="s">
        <v>1001</v>
      </c>
      <c r="M40" s="89" t="s">
        <v>1002</v>
      </c>
    </row>
    <row r="41" spans="1:20" ht="43.15">
      <c r="A41" s="30" t="str">
        <v>CDCR-North Kern State Prision</v>
      </c>
      <c r="B41" s="31" t="str">
        <v>CA</v>
      </c>
      <c r="C41" s="11">
        <v>26612</v>
      </c>
      <c r="D41" s="18">
        <v>25532</v>
      </c>
      <c r="E41" s="18">
        <f t="shared" si="0"/>
        <v>1080</v>
      </c>
      <c r="F41" s="19"/>
      <c r="G41" s="20">
        <v>76132.27</v>
      </c>
      <c r="H41" s="20">
        <f t="shared" si="1"/>
        <v>-49520.270000000004</v>
      </c>
      <c r="I41" s="19">
        <f t="shared" si="2"/>
        <v>-0.65045045944380753</v>
      </c>
      <c r="J41" s="54" t="s">
        <v>1003</v>
      </c>
      <c r="K41" s="90" t="s">
        <v>1004</v>
      </c>
      <c r="L41" s="54" t="s">
        <v>974</v>
      </c>
    </row>
    <row r="42" spans="1:20" ht="15.6">
      <c r="A42" s="28" t="str">
        <v>Muroc Joint USD - District Office</v>
      </c>
      <c r="B42" s="29" t="str">
        <v>CA</v>
      </c>
      <c r="C42" s="24">
        <v>6055</v>
      </c>
      <c r="D42" s="13">
        <v>6040</v>
      </c>
      <c r="E42" s="13">
        <f t="shared" si="0"/>
        <v>15</v>
      </c>
      <c r="F42" s="14"/>
      <c r="G42" s="15">
        <v>6022.61</v>
      </c>
      <c r="H42" s="15">
        <f t="shared" si="1"/>
        <v>32.390000000000327</v>
      </c>
      <c r="I42" s="16">
        <f t="shared" si="2"/>
        <v>5.3780669842477483E-3</v>
      </c>
      <c r="J42" s="41"/>
      <c r="K42" s="41"/>
      <c r="L42" s="41"/>
    </row>
    <row r="43" spans="1:20" ht="144">
      <c r="A43" s="30" t="str">
        <v>Whole Foods - Manhattan Beach</v>
      </c>
      <c r="B43" s="31" t="str">
        <v>CA</v>
      </c>
      <c r="C43" s="11">
        <v>10402</v>
      </c>
      <c r="D43" s="18">
        <v>10328</v>
      </c>
      <c r="E43" s="18">
        <f t="shared" si="0"/>
        <v>74</v>
      </c>
      <c r="F43" s="19"/>
      <c r="G43" s="20">
        <v>13417.07</v>
      </c>
      <c r="H43" s="20">
        <f t="shared" si="1"/>
        <v>-3015.0699999999997</v>
      </c>
      <c r="I43" s="19">
        <f t="shared" si="2"/>
        <v>-0.22471895875925219</v>
      </c>
      <c r="J43" s="54" t="s">
        <v>651</v>
      </c>
      <c r="K43" s="90" t="s">
        <v>652</v>
      </c>
      <c r="L43" s="54" t="s">
        <v>825</v>
      </c>
      <c r="M43" s="89" t="s">
        <v>476</v>
      </c>
      <c r="N43" s="89" t="s">
        <v>567</v>
      </c>
      <c r="O43" s="89" t="s">
        <v>568</v>
      </c>
      <c r="P43" s="89" t="s">
        <v>64</v>
      </c>
      <c r="Q43" s="89" t="s">
        <v>653</v>
      </c>
      <c r="R43" s="89" t="s">
        <v>287</v>
      </c>
      <c r="S43" s="89" t="s">
        <v>653</v>
      </c>
      <c r="T43" s="89" t="s">
        <v>475</v>
      </c>
    </row>
    <row r="44" spans="1:20" ht="100.9">
      <c r="A44" s="28" t="str">
        <v>Pioneer USD - Frontier ES</v>
      </c>
      <c r="B44" s="29" t="str">
        <v>CA</v>
      </c>
      <c r="C44" s="24">
        <v>732</v>
      </c>
      <c r="D44" s="13">
        <v>0</v>
      </c>
      <c r="E44" s="13">
        <f t="shared" si="0"/>
        <v>732</v>
      </c>
      <c r="F44" s="14"/>
      <c r="G44" s="15">
        <v>14409.78</v>
      </c>
      <c r="H44" s="15">
        <f t="shared" si="1"/>
        <v>-13677.78</v>
      </c>
      <c r="I44" s="16">
        <f t="shared" si="2"/>
        <v>-0.94920116754037887</v>
      </c>
      <c r="J44" s="76" t="s">
        <v>725</v>
      </c>
      <c r="K44" s="88" t="s">
        <v>1005</v>
      </c>
      <c r="L44" s="41" t="s">
        <v>1006</v>
      </c>
      <c r="M44" s="89" t="s">
        <v>1007</v>
      </c>
    </row>
    <row r="45" spans="1:20" ht="15.6">
      <c r="A45" s="30" t="str">
        <v>Pioneer USD - Pioneer ES</v>
      </c>
      <c r="B45" s="31" t="str">
        <v>CA</v>
      </c>
      <c r="C45" s="11">
        <v>5602</v>
      </c>
      <c r="D45" s="18">
        <v>0</v>
      </c>
      <c r="E45" s="18">
        <f t="shared" si="0"/>
        <v>5602</v>
      </c>
      <c r="F45" s="19"/>
      <c r="G45" s="20">
        <v>14811.17</v>
      </c>
      <c r="H45" s="20">
        <f t="shared" si="1"/>
        <v>-9209.17</v>
      </c>
      <c r="I45" s="19">
        <f t="shared" si="2"/>
        <v>-0.62177194644312372</v>
      </c>
      <c r="J45" s="130" t="s">
        <v>1008</v>
      </c>
      <c r="K45" s="90" t="s">
        <v>1009</v>
      </c>
      <c r="L45" s="130" t="s">
        <v>974</v>
      </c>
    </row>
    <row r="46" spans="1:20" ht="57.6">
      <c r="A46" s="28" t="str">
        <v>Pioneer USD - Pioneer MS</v>
      </c>
      <c r="B46" s="29" t="str">
        <v>CA</v>
      </c>
      <c r="C46" s="24">
        <v>8600</v>
      </c>
      <c r="D46" s="13">
        <v>0</v>
      </c>
      <c r="E46" s="13">
        <f t="shared" si="0"/>
        <v>8600</v>
      </c>
      <c r="F46" s="14"/>
      <c r="G46" s="15">
        <v>20001.43</v>
      </c>
      <c r="H46" s="15">
        <f t="shared" si="1"/>
        <v>-11401.43</v>
      </c>
      <c r="I46" s="16">
        <f t="shared" si="2"/>
        <v>-0.5700307428018897</v>
      </c>
      <c r="J46" s="76" t="s">
        <v>832</v>
      </c>
      <c r="K46" s="76"/>
      <c r="L46" s="76"/>
    </row>
    <row r="47" spans="1:20" ht="72">
      <c r="A47" s="30" t="str">
        <v>Kingsburg Joint UHSD - Kingsburg HS</v>
      </c>
      <c r="B47" s="31" t="str">
        <v>CA</v>
      </c>
      <c r="C47" s="11">
        <v>19989</v>
      </c>
      <c r="D47" s="18">
        <v>0</v>
      </c>
      <c r="E47" s="18">
        <f t="shared" si="0"/>
        <v>19989</v>
      </c>
      <c r="F47" s="19"/>
      <c r="G47" s="20">
        <v>43876.09</v>
      </c>
      <c r="H47" s="20">
        <f t="shared" si="1"/>
        <v>-23887.089999999997</v>
      </c>
      <c r="I47" s="19">
        <f t="shared" si="2"/>
        <v>-0.54442157448396156</v>
      </c>
      <c r="J47" s="130" t="s">
        <v>1010</v>
      </c>
      <c r="K47" s="90" t="s">
        <v>1011</v>
      </c>
      <c r="L47" s="130" t="s">
        <v>1012</v>
      </c>
    </row>
    <row r="48" spans="1:20" ht="111.75" customHeight="1">
      <c r="A48" s="28" t="str">
        <v>CADRB</v>
      </c>
      <c r="B48" s="29" t="str">
        <v>CA</v>
      </c>
      <c r="C48" s="24">
        <v>1403</v>
      </c>
      <c r="D48" s="13">
        <v>1122</v>
      </c>
      <c r="E48" s="13">
        <f t="shared" si="0"/>
        <v>281</v>
      </c>
      <c r="F48" s="14"/>
      <c r="G48" s="15">
        <v>400129</v>
      </c>
      <c r="H48" s="15">
        <f t="shared" si="1"/>
        <v>-398726</v>
      </c>
      <c r="I48" s="16">
        <f t="shared" si="2"/>
        <v>-0.99649363080406572</v>
      </c>
      <c r="J48" s="76" t="s">
        <v>1013</v>
      </c>
      <c r="K48" s="91" t="s">
        <v>924</v>
      </c>
      <c r="L48" s="76" t="s">
        <v>1014</v>
      </c>
    </row>
    <row r="49" spans="1:14" ht="65.25" customHeight="1">
      <c r="A49" s="30" t="str">
        <v>CDCR-CA State Prison LA County</v>
      </c>
      <c r="B49" s="31" t="str">
        <v>CA</v>
      </c>
      <c r="C49" s="11">
        <v>167046</v>
      </c>
      <c r="D49" s="18">
        <v>166319</v>
      </c>
      <c r="E49" s="18">
        <f t="shared" si="0"/>
        <v>727</v>
      </c>
      <c r="F49" s="19"/>
      <c r="G49" s="20">
        <v>240685.7</v>
      </c>
      <c r="H49" s="20">
        <f t="shared" si="1"/>
        <v>-73639.700000000012</v>
      </c>
      <c r="I49" s="19">
        <f t="shared" si="2"/>
        <v>-0.30595793601364768</v>
      </c>
      <c r="J49" s="42" t="s">
        <v>1015</v>
      </c>
      <c r="K49" s="92" t="s">
        <v>1016</v>
      </c>
      <c r="L49" s="43" t="s">
        <v>974</v>
      </c>
    </row>
    <row r="50" spans="1:14" ht="52.9">
      <c r="A50" s="28" t="str">
        <v>Central USD Akers ES</v>
      </c>
      <c r="B50" s="29" t="str">
        <v>CA</v>
      </c>
      <c r="C50" s="24">
        <v>0</v>
      </c>
      <c r="D50" s="13">
        <v>0</v>
      </c>
      <c r="E50" s="13">
        <f t="shared" si="0"/>
        <v>0</v>
      </c>
      <c r="F50" s="14"/>
      <c r="G50" s="15">
        <v>16347.8</v>
      </c>
      <c r="H50" s="15">
        <f t="shared" si="1"/>
        <v>-16347.8</v>
      </c>
      <c r="I50" s="16">
        <f t="shared" si="2"/>
        <v>-1</v>
      </c>
      <c r="J50" s="41" t="s">
        <v>930</v>
      </c>
      <c r="K50" s="88" t="s">
        <v>931</v>
      </c>
      <c r="L50" s="41" t="s">
        <v>1017</v>
      </c>
      <c r="M50" s="89" t="s">
        <v>840</v>
      </c>
      <c r="N50" s="89" t="s">
        <v>579</v>
      </c>
    </row>
    <row r="51" spans="1:14" ht="28.9">
      <c r="A51" s="30" t="str">
        <v>CUSD - District Office</v>
      </c>
      <c r="B51" s="31" t="str">
        <v>CA</v>
      </c>
      <c r="C51" s="11">
        <v>2764</v>
      </c>
      <c r="D51" s="18">
        <v>2667</v>
      </c>
      <c r="E51" s="18">
        <f t="shared" si="0"/>
        <v>97</v>
      </c>
      <c r="F51" s="19"/>
      <c r="G51" s="20">
        <v>11842.62</v>
      </c>
      <c r="H51" s="20">
        <f t="shared" si="1"/>
        <v>-9078.6200000000008</v>
      </c>
      <c r="I51" s="19">
        <f t="shared" si="2"/>
        <v>-0.76660570042777698</v>
      </c>
      <c r="J51" s="42" t="s">
        <v>933</v>
      </c>
      <c r="K51" s="90" t="s">
        <v>934</v>
      </c>
      <c r="L51" s="130" t="s">
        <v>1018</v>
      </c>
    </row>
    <row r="52" spans="1:14" ht="15.6">
      <c r="A52" s="28" t="str">
        <v>Parlier - WTP</v>
      </c>
      <c r="B52" s="29" t="str">
        <v>CA</v>
      </c>
      <c r="C52" s="24">
        <v>10026</v>
      </c>
      <c r="D52" s="13">
        <v>9851</v>
      </c>
      <c r="E52" s="13">
        <f t="shared" si="0"/>
        <v>175</v>
      </c>
      <c r="F52" s="14"/>
      <c r="G52" s="15">
        <v>26298.2</v>
      </c>
      <c r="H52" s="15">
        <f t="shared" si="1"/>
        <v>-16272.2</v>
      </c>
      <c r="I52" s="16">
        <f t="shared" si="2"/>
        <v>-0.61875717729730551</v>
      </c>
      <c r="J52" s="56" t="s">
        <v>1019</v>
      </c>
      <c r="K52" s="91" t="s">
        <v>1020</v>
      </c>
      <c r="L52" s="76" t="s">
        <v>824</v>
      </c>
    </row>
    <row r="53" spans="1:14" ht="28.9">
      <c r="A53" s="30" t="str">
        <v>Snowline SD - Quail Valley MS</v>
      </c>
      <c r="B53" s="31" t="str">
        <v>CA</v>
      </c>
      <c r="C53" s="11">
        <v>20888</v>
      </c>
      <c r="D53" s="18">
        <v>0</v>
      </c>
      <c r="E53" s="18">
        <f t="shared" si="0"/>
        <v>20888</v>
      </c>
      <c r="F53" s="19"/>
      <c r="G53" s="20">
        <v>22087.42</v>
      </c>
      <c r="H53" s="20">
        <f t="shared" si="1"/>
        <v>-1199.4199999999983</v>
      </c>
      <c r="I53" s="19">
        <f t="shared" si="2"/>
        <v>-5.4303309304572389E-2</v>
      </c>
      <c r="J53" s="130" t="s">
        <v>1021</v>
      </c>
      <c r="K53" s="93" t="s">
        <v>1022</v>
      </c>
      <c r="L53" s="77" t="s">
        <v>974</v>
      </c>
    </row>
    <row r="54" spans="1:14" ht="15.6">
      <c r="A54" s="28" t="str">
        <v>Snowline SD - Serrano HS - Middle Lot</v>
      </c>
      <c r="B54" s="29" t="str">
        <v>CA</v>
      </c>
      <c r="C54" s="24">
        <v>26747</v>
      </c>
      <c r="D54" s="13">
        <v>26641</v>
      </c>
      <c r="E54" s="13">
        <f t="shared" si="0"/>
        <v>106</v>
      </c>
      <c r="F54" s="14"/>
      <c r="G54" s="15">
        <v>24488.3</v>
      </c>
      <c r="H54" s="15">
        <f t="shared" si="1"/>
        <v>2258.7000000000007</v>
      </c>
      <c r="I54" s="16">
        <f t="shared" si="2"/>
        <v>9.2235884075252295E-2</v>
      </c>
      <c r="J54" s="41"/>
      <c r="K54" s="41"/>
      <c r="L54" s="41"/>
    </row>
    <row r="55" spans="1:14" ht="15.6">
      <c r="A55" s="30" t="str">
        <v>Snowline SD - Pinon Hills ES</v>
      </c>
      <c r="B55" s="31" t="str">
        <v>CA</v>
      </c>
      <c r="C55" s="11">
        <v>14030</v>
      </c>
      <c r="D55" s="18">
        <v>13990</v>
      </c>
      <c r="E55" s="18">
        <f t="shared" si="0"/>
        <v>40</v>
      </c>
      <c r="F55" s="19"/>
      <c r="G55" s="20">
        <v>14525.12</v>
      </c>
      <c r="H55" s="20">
        <f t="shared" si="1"/>
        <v>-495.1200000000008</v>
      </c>
      <c r="I55" s="19">
        <f t="shared" si="2"/>
        <v>-3.4087153841069869E-2</v>
      </c>
      <c r="J55" s="130"/>
      <c r="K55" s="130"/>
      <c r="L55" s="130"/>
    </row>
    <row r="56" spans="1:14" ht="28.9">
      <c r="A56" s="28" t="str">
        <v>Ramona - Santa Maria WTP</v>
      </c>
      <c r="B56" s="29" t="str">
        <v>CA</v>
      </c>
      <c r="C56" s="24">
        <v>46465</v>
      </c>
      <c r="D56" s="13">
        <v>43349</v>
      </c>
      <c r="E56" s="13">
        <f t="shared" si="0"/>
        <v>3116</v>
      </c>
      <c r="F56" s="14"/>
      <c r="G56" s="15">
        <v>53695.65</v>
      </c>
      <c r="H56" s="15">
        <f t="shared" si="1"/>
        <v>-7230.6500000000015</v>
      </c>
      <c r="I56" s="16">
        <f t="shared" si="2"/>
        <v>-0.13465988399432732</v>
      </c>
      <c r="J56" s="56" t="s">
        <v>848</v>
      </c>
      <c r="K56" s="91" t="s">
        <v>1023</v>
      </c>
      <c r="L56" s="56" t="s">
        <v>1024</v>
      </c>
    </row>
    <row r="57" spans="1:14" ht="15.6">
      <c r="A57" s="30" t="str">
        <v>Kohls - Redding</v>
      </c>
      <c r="B57" s="31" t="str">
        <v>CA</v>
      </c>
      <c r="C57" s="11">
        <v>9133</v>
      </c>
      <c r="D57" s="18">
        <v>0</v>
      </c>
      <c r="E57" s="18">
        <f t="shared" si="0"/>
        <v>9133</v>
      </c>
      <c r="F57" s="19"/>
      <c r="G57" s="20">
        <v>14169.67</v>
      </c>
      <c r="H57" s="20">
        <f t="shared" si="1"/>
        <v>-5036.67</v>
      </c>
      <c r="I57" s="19">
        <f t="shared" si="2"/>
        <v>-0.35545429074918472</v>
      </c>
      <c r="J57" s="54" t="s">
        <v>1025</v>
      </c>
      <c r="K57" s="90" t="s">
        <v>1026</v>
      </c>
      <c r="L57" s="54" t="s">
        <v>1027</v>
      </c>
    </row>
    <row r="58" spans="1:14" ht="15.6">
      <c r="A58" s="28" t="str">
        <v>Kohls - Salinas</v>
      </c>
      <c r="B58" s="29" t="str">
        <v>CA</v>
      </c>
      <c r="C58" s="24">
        <v>24410</v>
      </c>
      <c r="D58" s="13">
        <v>23969</v>
      </c>
      <c r="E58" s="13">
        <f t="shared" si="0"/>
        <v>441</v>
      </c>
      <c r="F58" s="14"/>
      <c r="G58" s="15">
        <v>24041.19</v>
      </c>
      <c r="H58" s="15">
        <f t="shared" si="1"/>
        <v>368.81000000000131</v>
      </c>
      <c r="I58" s="16">
        <f t="shared" si="2"/>
        <v>1.5340754762971439E-2</v>
      </c>
      <c r="J58" s="76"/>
      <c r="K58" s="76"/>
      <c r="L58" s="76"/>
    </row>
    <row r="59" spans="1:14" ht="15.6">
      <c r="A59" s="30" t="str">
        <v>Kohls - San Bernardino - Central</v>
      </c>
      <c r="B59" s="31" t="str">
        <v>CA</v>
      </c>
      <c r="C59" s="11">
        <v>88456</v>
      </c>
      <c r="D59" s="18">
        <v>87857</v>
      </c>
      <c r="E59" s="18">
        <f t="shared" si="0"/>
        <v>599</v>
      </c>
      <c r="F59" s="19"/>
      <c r="G59" s="20">
        <v>90811.6</v>
      </c>
      <c r="H59" s="20">
        <f t="shared" si="1"/>
        <v>-2355.6000000000058</v>
      </c>
      <c r="I59" s="19">
        <f t="shared" si="2"/>
        <v>-2.5939417431253338E-2</v>
      </c>
      <c r="J59" s="42"/>
      <c r="K59" s="43"/>
      <c r="L59" s="43"/>
    </row>
    <row r="60" spans="1:14" ht="28.9">
      <c r="A60" s="28" t="str">
        <v>Kohls - Sonora</v>
      </c>
      <c r="B60" s="29" t="str">
        <v>CA</v>
      </c>
      <c r="C60" s="24">
        <v>12390</v>
      </c>
      <c r="D60" s="13">
        <v>12226</v>
      </c>
      <c r="E60" s="13">
        <f t="shared" si="0"/>
        <v>164</v>
      </c>
      <c r="F60" s="14"/>
      <c r="G60" s="15">
        <v>13822.32</v>
      </c>
      <c r="H60" s="15">
        <f t="shared" si="1"/>
        <v>-1432.3199999999997</v>
      </c>
      <c r="I60" s="16">
        <f t="shared" si="2"/>
        <v>-0.10362370426961608</v>
      </c>
      <c r="J60" s="76" t="s">
        <v>754</v>
      </c>
      <c r="K60" s="91" t="s">
        <v>1028</v>
      </c>
      <c r="L60" s="76" t="s">
        <v>791</v>
      </c>
    </row>
    <row r="61" spans="1:14" ht="26.45">
      <c r="A61" s="30" t="str">
        <v>CUSD - Stratford ES</v>
      </c>
      <c r="B61" s="31" t="str">
        <v>CA</v>
      </c>
      <c r="C61" s="11">
        <v>6090</v>
      </c>
      <c r="D61" s="18">
        <v>5911</v>
      </c>
      <c r="E61" s="18">
        <f t="shared" si="0"/>
        <v>179</v>
      </c>
      <c r="F61" s="19"/>
      <c r="G61" s="78">
        <v>11323.27</v>
      </c>
      <c r="H61" s="20">
        <f t="shared" si="1"/>
        <v>-5233.2700000000004</v>
      </c>
      <c r="I61" s="19">
        <f t="shared" si="2"/>
        <v>-0.46216949697393067</v>
      </c>
      <c r="J61" s="54" t="s">
        <v>1029</v>
      </c>
      <c r="K61" s="92" t="s">
        <v>1030</v>
      </c>
      <c r="L61" s="43" t="s">
        <v>974</v>
      </c>
    </row>
    <row r="62" spans="1:14" ht="57.6">
      <c r="A62" s="28" t="str">
        <v>Taft - City Hall</v>
      </c>
      <c r="B62" s="29" t="str">
        <v>CA</v>
      </c>
      <c r="C62" s="24">
        <v>3050</v>
      </c>
      <c r="D62" s="13">
        <v>-2550</v>
      </c>
      <c r="E62" s="13">
        <f t="shared" si="0"/>
        <v>5600</v>
      </c>
      <c r="F62" s="14"/>
      <c r="G62" s="15">
        <v>4111.83</v>
      </c>
      <c r="H62" s="15">
        <f t="shared" si="1"/>
        <v>-1061.83</v>
      </c>
      <c r="I62" s="16">
        <f t="shared" si="2"/>
        <v>-0.25823781625213105</v>
      </c>
      <c r="J62" s="41" t="s">
        <v>857</v>
      </c>
      <c r="K62" s="88" t="s">
        <v>1031</v>
      </c>
      <c r="L62" s="41" t="s">
        <v>1024</v>
      </c>
    </row>
    <row r="63" spans="1:14" ht="57.6">
      <c r="A63" s="30" t="str">
        <v>Taft - Federal Prison</v>
      </c>
      <c r="B63" s="31" t="str">
        <v>CA</v>
      </c>
      <c r="C63" s="11">
        <v>5145</v>
      </c>
      <c r="D63" s="18">
        <v>5039</v>
      </c>
      <c r="E63" s="18">
        <f t="shared" si="0"/>
        <v>106</v>
      </c>
      <c r="F63" s="19"/>
      <c r="G63" s="20">
        <v>7398.55</v>
      </c>
      <c r="H63" s="20">
        <f t="shared" si="1"/>
        <v>-2253.5500000000002</v>
      </c>
      <c r="I63" s="19">
        <f t="shared" si="2"/>
        <v>-0.30459346763892925</v>
      </c>
      <c r="J63" s="54" t="s">
        <v>832</v>
      </c>
      <c r="K63" s="43"/>
      <c r="L63" s="43"/>
    </row>
    <row r="64" spans="1:14" ht="57.6">
      <c r="A64" s="28" t="str">
        <v>Taft - Police Department</v>
      </c>
      <c r="B64" s="29" t="str">
        <v>CA</v>
      </c>
      <c r="C64" s="24">
        <v>3224</v>
      </c>
      <c r="D64" s="13">
        <v>3160</v>
      </c>
      <c r="E64" s="13">
        <f t="shared" si="0"/>
        <v>64</v>
      </c>
      <c r="F64" s="14"/>
      <c r="G64" s="15">
        <v>4732.4799999999996</v>
      </c>
      <c r="H64" s="15">
        <f t="shared" si="1"/>
        <v>-1508.4799999999996</v>
      </c>
      <c r="I64" s="16">
        <f t="shared" si="2"/>
        <v>-0.3187504226114003</v>
      </c>
      <c r="J64" s="56" t="s">
        <v>832</v>
      </c>
      <c r="K64" s="41"/>
      <c r="L64" s="41"/>
    </row>
    <row r="65" spans="1:14" ht="15.6">
      <c r="A65" s="30" t="str">
        <v>Taft - WTP</v>
      </c>
      <c r="B65" s="31" t="str">
        <v>CA</v>
      </c>
      <c r="C65" s="11">
        <v>19567.689999999999</v>
      </c>
      <c r="D65" s="18">
        <v>13269</v>
      </c>
      <c r="E65" s="18">
        <f t="shared" si="0"/>
        <v>6298.6899999999987</v>
      </c>
      <c r="F65" s="19"/>
      <c r="G65" s="20">
        <v>32532.2</v>
      </c>
      <c r="H65" s="20">
        <f t="shared" si="1"/>
        <v>-12964.510000000002</v>
      </c>
      <c r="I65" s="19">
        <f t="shared" si="2"/>
        <v>-0.39851316541764781</v>
      </c>
      <c r="J65" s="54" t="s">
        <v>1032</v>
      </c>
      <c r="K65" s="54"/>
      <c r="L65" s="54"/>
    </row>
    <row r="66" spans="1:14" ht="43.15">
      <c r="A66" s="28" t="str">
        <v>CDCR - CA Correctional Institution</v>
      </c>
      <c r="B66" s="29" t="str">
        <v>CA</v>
      </c>
      <c r="C66" s="24">
        <v>7990</v>
      </c>
      <c r="D66" s="13">
        <v>78953</v>
      </c>
      <c r="E66" s="13">
        <f t="shared" si="0"/>
        <v>-70963</v>
      </c>
      <c r="F66" s="14"/>
      <c r="G66" s="15">
        <v>99669.6</v>
      </c>
      <c r="H66" s="15">
        <f t="shared" si="1"/>
        <v>-91679.6</v>
      </c>
      <c r="I66" s="16">
        <f t="shared" si="2"/>
        <v>-0.91983513528698824</v>
      </c>
      <c r="J66" s="56" t="s">
        <v>1033</v>
      </c>
      <c r="K66" s="91" t="s">
        <v>1034</v>
      </c>
      <c r="L66" s="56" t="s">
        <v>1035</v>
      </c>
    </row>
    <row r="67" spans="1:14" ht="15.6">
      <c r="A67" s="30" t="str">
        <v>CDCR - CA Correctional Institution II</v>
      </c>
      <c r="B67" s="31" t="str">
        <v>CA</v>
      </c>
      <c r="C67" s="11">
        <v>156249</v>
      </c>
      <c r="D67" s="18">
        <v>154963</v>
      </c>
      <c r="E67" s="18">
        <f t="shared" si="0"/>
        <v>1286</v>
      </c>
      <c r="F67" s="19"/>
      <c r="G67" s="20">
        <v>156257.1</v>
      </c>
      <c r="H67" s="20">
        <f t="shared" si="1"/>
        <v>-8.1000000000058208</v>
      </c>
      <c r="I67" s="19">
        <f t="shared" si="2"/>
        <v>-5.1837644497471286E-5</v>
      </c>
      <c r="J67" s="54"/>
      <c r="K67" s="54"/>
      <c r="L67" s="54"/>
    </row>
    <row r="68" spans="1:14" ht="30.75">
      <c r="A68" s="28" t="str">
        <v>Snowline SD - Vista Verde ES</v>
      </c>
      <c r="B68" s="29" t="str">
        <v>CA</v>
      </c>
      <c r="C68" s="24">
        <v>1991</v>
      </c>
      <c r="D68" s="13">
        <v>1960</v>
      </c>
      <c r="E68" s="13">
        <f t="shared" si="0"/>
        <v>31</v>
      </c>
      <c r="F68" s="14"/>
      <c r="G68" s="15">
        <v>15949.71</v>
      </c>
      <c r="H68" s="15">
        <f t="shared" si="1"/>
        <v>-13958.71</v>
      </c>
      <c r="I68" s="16">
        <f t="shared" si="2"/>
        <v>-0.8751701441593609</v>
      </c>
      <c r="J68" s="41" t="s">
        <v>1036</v>
      </c>
      <c r="K68" s="88" t="s">
        <v>1037</v>
      </c>
      <c r="L68" s="41" t="s">
        <v>1038</v>
      </c>
    </row>
    <row r="69" spans="1:14" ht="28.9">
      <c r="A69" s="30" t="str">
        <v>North Stonington</v>
      </c>
      <c r="B69" s="31" t="str">
        <v>CT</v>
      </c>
      <c r="C69" s="11">
        <v>561490</v>
      </c>
      <c r="D69" s="18" t="s">
        <v>24</v>
      </c>
      <c r="E69" s="18"/>
      <c r="F69" s="19"/>
      <c r="G69" s="123" t="s">
        <v>24</v>
      </c>
      <c r="H69" s="20"/>
      <c r="I69" s="19"/>
      <c r="J69" s="54" t="s">
        <v>1039</v>
      </c>
      <c r="K69" s="90" t="s">
        <v>1040</v>
      </c>
      <c r="L69" s="54" t="s">
        <v>993</v>
      </c>
    </row>
    <row r="70" spans="1:14" ht="99.75" customHeight="1">
      <c r="A70" s="28" t="str">
        <v>CT: Torrington - 2-298 Rossi Road</v>
      </c>
      <c r="B70" s="29" t="str">
        <v>CT</v>
      </c>
      <c r="C70" s="24">
        <v>817.22</v>
      </c>
      <c r="D70" s="13" t="s">
        <v>24</v>
      </c>
      <c r="E70" s="13"/>
      <c r="F70" s="14"/>
      <c r="G70" s="127" t="s">
        <v>24</v>
      </c>
      <c r="H70" s="15"/>
      <c r="I70" s="16"/>
      <c r="J70" s="41" t="s">
        <v>1041</v>
      </c>
      <c r="K70" s="88" t="s">
        <v>1042</v>
      </c>
      <c r="L70" s="41" t="s">
        <v>1043</v>
      </c>
      <c r="M70" s="89" t="s">
        <v>1044</v>
      </c>
      <c r="N70" s="89" t="s">
        <v>967</v>
      </c>
    </row>
    <row r="71" spans="1:14" ht="14.45">
      <c r="A71" s="21"/>
      <c r="B71" s="33"/>
      <c r="C71" s="21"/>
      <c r="D71" s="21"/>
      <c r="E71" s="21"/>
      <c r="F71" s="22"/>
      <c r="G71" s="21"/>
      <c r="H71" s="21"/>
      <c r="I71" s="22"/>
      <c r="J71" s="21"/>
      <c r="K71" s="21"/>
      <c r="L71" s="21"/>
    </row>
    <row r="72" spans="1:14" ht="14.45">
      <c r="A72" s="21"/>
      <c r="B72" s="33"/>
      <c r="C72" s="21"/>
      <c r="D72" s="21"/>
      <c r="E72" s="21"/>
      <c r="F72" s="22"/>
      <c r="G72" s="21"/>
      <c r="H72" s="21"/>
      <c r="I72" s="22"/>
      <c r="J72" s="21"/>
      <c r="K72" s="21"/>
      <c r="L72" s="21"/>
    </row>
    <row r="73" spans="1:14" ht="14.45">
      <c r="A73" s="21"/>
      <c r="B73" s="33"/>
      <c r="C73" s="21"/>
      <c r="D73" s="21"/>
      <c r="E73" s="21"/>
      <c r="F73" s="22"/>
      <c r="G73" s="21"/>
      <c r="H73" s="21"/>
      <c r="I73" s="22"/>
      <c r="J73" s="21"/>
      <c r="K73" s="21"/>
      <c r="L73" s="21"/>
    </row>
    <row r="74" spans="1:14" ht="14.45">
      <c r="A74" s="21"/>
      <c r="B74" s="33"/>
      <c r="C74" s="21"/>
      <c r="D74" s="21"/>
      <c r="E74" s="21"/>
      <c r="F74" s="22"/>
      <c r="G74" s="21"/>
      <c r="H74" s="21"/>
      <c r="I74" s="22"/>
      <c r="J74" s="21"/>
      <c r="K74" s="21"/>
      <c r="L74" s="21"/>
    </row>
    <row r="75" spans="1:14" ht="14.45">
      <c r="A75" s="21"/>
      <c r="B75" s="33"/>
      <c r="C75" s="21"/>
      <c r="D75" s="21"/>
      <c r="E75" s="21"/>
      <c r="F75" s="22"/>
      <c r="G75" s="21"/>
      <c r="H75" s="21"/>
      <c r="I75" s="22"/>
      <c r="J75" s="21"/>
      <c r="K75" s="21"/>
      <c r="L75" s="21"/>
    </row>
    <row r="76" spans="1:14" ht="14.45">
      <c r="A76" s="21"/>
      <c r="B76" s="33"/>
      <c r="C76" s="21"/>
      <c r="D76" s="21"/>
      <c r="E76" s="21"/>
      <c r="F76" s="22"/>
      <c r="G76" s="21"/>
      <c r="H76" s="21"/>
      <c r="I76" s="22"/>
      <c r="J76" s="21"/>
      <c r="K76" s="21"/>
      <c r="L76" s="21"/>
    </row>
    <row r="77" spans="1:14" ht="14.45">
      <c r="A77" s="21"/>
      <c r="B77" s="33"/>
      <c r="C77" s="21"/>
      <c r="D77" s="21"/>
      <c r="E77" s="21"/>
      <c r="F77" s="22"/>
      <c r="G77" s="21"/>
      <c r="H77" s="21"/>
      <c r="I77" s="22"/>
      <c r="J77" s="21"/>
      <c r="K77" s="21"/>
      <c r="L77" s="21"/>
    </row>
    <row r="78" spans="1:14" ht="14.45">
      <c r="A78" s="21"/>
      <c r="B78" s="33"/>
      <c r="C78" s="21"/>
      <c r="D78" s="21"/>
      <c r="E78" s="21"/>
      <c r="F78" s="22"/>
      <c r="G78" s="21"/>
      <c r="H78" s="21"/>
      <c r="I78" s="22"/>
      <c r="J78" s="21"/>
      <c r="K78" s="21"/>
      <c r="L78" s="21"/>
    </row>
    <row r="79" spans="1:14" ht="14.45">
      <c r="A79" s="21"/>
      <c r="B79" s="33"/>
      <c r="C79" s="21"/>
      <c r="D79" s="21"/>
      <c r="E79" s="21"/>
      <c r="F79" s="22"/>
      <c r="G79" s="21"/>
      <c r="H79" s="21"/>
      <c r="I79" s="22"/>
      <c r="J79" s="21"/>
      <c r="K79" s="21"/>
      <c r="L79" s="21"/>
    </row>
    <row r="80" spans="1:14" ht="14.45">
      <c r="A80" s="21"/>
      <c r="B80" s="33"/>
      <c r="C80" s="21"/>
      <c r="D80" s="21"/>
      <c r="E80" s="21"/>
      <c r="F80" s="22"/>
      <c r="G80" s="21"/>
      <c r="H80" s="21"/>
      <c r="I80" s="22"/>
      <c r="J80" s="21"/>
      <c r="K80" s="21"/>
      <c r="L80" s="21"/>
    </row>
    <row r="81" spans="1:12" ht="14.45">
      <c r="A81" s="21"/>
      <c r="B81" s="33"/>
      <c r="C81" s="21"/>
      <c r="D81" s="21"/>
      <c r="E81" s="21"/>
      <c r="F81" s="22"/>
      <c r="G81" s="21"/>
      <c r="H81" s="21"/>
      <c r="I81" s="22"/>
      <c r="J81" s="21"/>
      <c r="K81" s="21"/>
      <c r="L81" s="21"/>
    </row>
    <row r="82" spans="1:12" ht="14.45">
      <c r="A82" s="21"/>
      <c r="B82" s="33"/>
      <c r="C82" s="21"/>
      <c r="D82" s="21"/>
      <c r="E82" s="21"/>
      <c r="F82" s="22"/>
      <c r="G82" s="21"/>
      <c r="H82" s="21"/>
      <c r="I82" s="22"/>
      <c r="J82" s="21"/>
      <c r="K82" s="21"/>
      <c r="L82" s="21"/>
    </row>
    <row r="83" spans="1:12" ht="14.45">
      <c r="A83" s="21"/>
      <c r="B83" s="33"/>
      <c r="C83" s="21"/>
      <c r="D83" s="21"/>
      <c r="E83" s="21"/>
      <c r="F83" s="22"/>
      <c r="G83" s="21"/>
      <c r="H83" s="21"/>
      <c r="I83" s="22"/>
      <c r="J83" s="21"/>
      <c r="K83" s="21"/>
      <c r="L83" s="21"/>
    </row>
    <row r="84" spans="1:12" ht="14.45">
      <c r="A84" s="21"/>
      <c r="B84" s="33"/>
      <c r="C84" s="21"/>
      <c r="D84" s="21"/>
      <c r="E84" s="21"/>
      <c r="F84" s="22"/>
      <c r="G84" s="21"/>
      <c r="H84" s="21"/>
      <c r="I84" s="22"/>
      <c r="J84" s="21"/>
      <c r="K84" s="21"/>
      <c r="L84" s="21"/>
    </row>
    <row r="85" spans="1:12" ht="14.45">
      <c r="A85" s="21"/>
      <c r="B85" s="33"/>
      <c r="C85" s="21"/>
      <c r="D85" s="21"/>
      <c r="E85" s="21"/>
      <c r="F85" s="22"/>
      <c r="G85" s="21"/>
      <c r="H85" s="21"/>
      <c r="I85" s="22"/>
      <c r="J85" s="21"/>
      <c r="K85" s="21"/>
      <c r="L85" s="21"/>
    </row>
    <row r="86" spans="1:12" ht="14.45">
      <c r="A86" s="21"/>
      <c r="B86" s="33"/>
      <c r="C86" s="21"/>
      <c r="D86" s="21"/>
      <c r="E86" s="21"/>
      <c r="F86" s="22"/>
      <c r="G86" s="21"/>
      <c r="H86" s="21"/>
      <c r="I86" s="22"/>
      <c r="J86" s="21"/>
      <c r="K86" s="21"/>
      <c r="L86" s="21"/>
    </row>
    <row r="87" spans="1:12" ht="14.45">
      <c r="A87" s="21"/>
      <c r="B87" s="33"/>
      <c r="C87" s="21"/>
      <c r="D87" s="21"/>
      <c r="E87" s="21"/>
      <c r="F87" s="22"/>
      <c r="G87" s="21"/>
      <c r="H87" s="21"/>
      <c r="I87" s="22"/>
      <c r="J87" s="21"/>
      <c r="K87" s="21"/>
      <c r="L87" s="21"/>
    </row>
    <row r="88" spans="1:12" ht="14.45">
      <c r="A88" s="21"/>
      <c r="B88" s="33"/>
      <c r="C88" s="21"/>
      <c r="D88" s="21"/>
      <c r="E88" s="21"/>
      <c r="F88" s="22"/>
      <c r="G88" s="21"/>
      <c r="H88" s="21"/>
      <c r="I88" s="22"/>
      <c r="J88" s="21"/>
      <c r="K88" s="21"/>
      <c r="L88" s="21"/>
    </row>
    <row r="89" spans="1:12" ht="14.45">
      <c r="A89" s="21"/>
      <c r="B89" s="33"/>
      <c r="C89" s="21"/>
      <c r="D89" s="21"/>
      <c r="E89" s="21"/>
      <c r="F89" s="22"/>
      <c r="G89" s="21"/>
      <c r="H89" s="21"/>
      <c r="I89" s="22"/>
      <c r="J89" s="21"/>
      <c r="K89" s="21"/>
      <c r="L89" s="21"/>
    </row>
    <row r="90" spans="1:12" ht="14.45">
      <c r="A90" s="21"/>
      <c r="B90" s="33"/>
      <c r="C90" s="21"/>
      <c r="D90" s="21"/>
      <c r="E90" s="21"/>
      <c r="F90" s="22"/>
      <c r="G90" s="21"/>
      <c r="H90" s="21"/>
      <c r="I90" s="22"/>
      <c r="J90" s="21"/>
      <c r="K90" s="21"/>
      <c r="L90" s="21"/>
    </row>
    <row r="91" spans="1:12" ht="14.45">
      <c r="A91" s="21"/>
      <c r="B91" s="33"/>
      <c r="C91" s="21"/>
      <c r="D91" s="21"/>
      <c r="E91" s="21"/>
      <c r="F91" s="22"/>
      <c r="G91" s="21"/>
      <c r="H91" s="21"/>
      <c r="I91" s="22"/>
      <c r="J91" s="21"/>
      <c r="K91" s="21"/>
      <c r="L91" s="21"/>
    </row>
    <row r="92" spans="1:12" ht="14.45">
      <c r="A92" s="21"/>
      <c r="B92" s="33"/>
      <c r="C92" s="21"/>
      <c r="D92" s="21"/>
      <c r="E92" s="21"/>
      <c r="F92" s="22"/>
      <c r="G92" s="21"/>
      <c r="H92" s="21"/>
      <c r="I92" s="22"/>
      <c r="J92" s="21"/>
      <c r="K92" s="21"/>
      <c r="L92" s="21"/>
    </row>
    <row r="93" spans="1:12" ht="14.45">
      <c r="A93" s="21"/>
      <c r="B93" s="33"/>
      <c r="C93" s="21"/>
      <c r="D93" s="21"/>
      <c r="E93" s="21"/>
      <c r="F93" s="22"/>
      <c r="G93" s="21"/>
      <c r="H93" s="21"/>
      <c r="I93" s="22"/>
      <c r="J93" s="21"/>
      <c r="K93" s="21"/>
      <c r="L93" s="21"/>
    </row>
    <row r="94" spans="1:12" ht="14.45">
      <c r="A94" s="21"/>
      <c r="B94" s="33"/>
      <c r="C94" s="21"/>
      <c r="D94" s="21"/>
      <c r="E94" s="21"/>
      <c r="F94" s="22"/>
      <c r="G94" s="21"/>
      <c r="H94" s="21"/>
      <c r="I94" s="22"/>
      <c r="J94" s="21"/>
      <c r="K94" s="21"/>
      <c r="L94" s="21"/>
    </row>
    <row r="95" spans="1:12" ht="14.45">
      <c r="A95" s="21"/>
      <c r="B95" s="33"/>
      <c r="C95" s="21"/>
      <c r="D95" s="21"/>
      <c r="E95" s="21"/>
      <c r="F95" s="22"/>
      <c r="G95" s="21"/>
      <c r="H95" s="21"/>
      <c r="I95" s="22"/>
      <c r="J95" s="21"/>
      <c r="K95" s="21"/>
      <c r="L95" s="21"/>
    </row>
    <row r="96" spans="1:12" ht="14.45">
      <c r="A96" s="21"/>
      <c r="B96" s="33"/>
      <c r="C96" s="21"/>
      <c r="D96" s="21"/>
      <c r="E96" s="21"/>
      <c r="F96" s="22"/>
      <c r="G96" s="21"/>
      <c r="H96" s="21"/>
      <c r="I96" s="22"/>
      <c r="J96" s="21"/>
      <c r="K96" s="21"/>
      <c r="L96" s="21"/>
    </row>
    <row r="97" spans="1:12" ht="14.45">
      <c r="A97" s="21"/>
      <c r="B97" s="33"/>
      <c r="C97" s="21"/>
      <c r="D97" s="21"/>
      <c r="E97" s="21"/>
      <c r="F97" s="22"/>
      <c r="G97" s="21"/>
      <c r="H97" s="21"/>
      <c r="I97" s="22"/>
      <c r="J97" s="21"/>
      <c r="K97" s="21"/>
      <c r="L97" s="21"/>
    </row>
    <row r="98" spans="1:12" ht="14.45">
      <c r="A98" s="21"/>
      <c r="B98" s="33"/>
      <c r="C98" s="21"/>
      <c r="D98" s="21"/>
      <c r="E98" s="21"/>
      <c r="F98" s="22"/>
      <c r="G98" s="21"/>
      <c r="H98" s="21"/>
      <c r="I98" s="22"/>
      <c r="J98" s="21"/>
      <c r="K98" s="21"/>
      <c r="L98" s="21"/>
    </row>
    <row r="99" spans="1:12" ht="14.45">
      <c r="A99" s="21"/>
      <c r="B99" s="33"/>
      <c r="C99" s="21"/>
      <c r="D99" s="21"/>
      <c r="E99" s="21"/>
      <c r="F99" s="22"/>
      <c r="G99" s="21"/>
      <c r="H99" s="21"/>
      <c r="I99" s="22"/>
      <c r="J99" s="21"/>
      <c r="K99" s="21"/>
      <c r="L99" s="21"/>
    </row>
    <row r="100" spans="1:12" ht="14.45">
      <c r="A100" s="21"/>
      <c r="B100" s="33"/>
      <c r="C100" s="21"/>
      <c r="D100" s="21"/>
      <c r="E100" s="21"/>
      <c r="F100" s="22"/>
      <c r="G100" s="21"/>
      <c r="H100" s="21"/>
      <c r="I100" s="22"/>
      <c r="J100" s="21"/>
      <c r="K100" s="21"/>
      <c r="L100" s="21"/>
    </row>
    <row r="101" spans="1:12" ht="14.45">
      <c r="A101" s="21"/>
      <c r="B101" s="33"/>
      <c r="C101" s="21"/>
      <c r="D101" s="21"/>
      <c r="E101" s="21"/>
      <c r="F101" s="22"/>
      <c r="G101" s="21"/>
      <c r="H101" s="21"/>
      <c r="I101" s="22"/>
      <c r="J101" s="21"/>
      <c r="K101" s="21"/>
      <c r="L101" s="21"/>
    </row>
    <row r="102" spans="1:12" ht="14.45">
      <c r="A102" s="21"/>
      <c r="B102" s="33"/>
      <c r="C102" s="21"/>
      <c r="D102" s="21"/>
      <c r="E102" s="21"/>
      <c r="F102" s="22"/>
      <c r="G102" s="21"/>
      <c r="H102" s="21"/>
      <c r="I102" s="22"/>
      <c r="J102" s="21"/>
      <c r="K102" s="21"/>
      <c r="L102" s="21"/>
    </row>
    <row r="103" spans="1:12" ht="14.45">
      <c r="A103" s="21"/>
      <c r="B103" s="33"/>
      <c r="C103" s="21"/>
      <c r="D103" s="21"/>
      <c r="E103" s="21"/>
      <c r="F103" s="22"/>
      <c r="G103" s="21"/>
      <c r="H103" s="21"/>
      <c r="I103" s="22"/>
      <c r="J103" s="21"/>
      <c r="K103" s="21"/>
      <c r="L103" s="21"/>
    </row>
    <row r="104" spans="1:12" ht="14.45">
      <c r="A104" s="21"/>
      <c r="B104" s="33"/>
      <c r="C104" s="21"/>
      <c r="D104" s="21"/>
      <c r="E104" s="21"/>
      <c r="F104" s="22"/>
      <c r="G104" s="21"/>
      <c r="H104" s="21"/>
      <c r="I104" s="22"/>
      <c r="J104" s="21"/>
      <c r="K104" s="21"/>
      <c r="L104" s="21"/>
    </row>
    <row r="105" spans="1:12" ht="14.45">
      <c r="A105" s="21"/>
      <c r="B105" s="33"/>
      <c r="C105" s="21"/>
      <c r="D105" s="21"/>
      <c r="E105" s="21"/>
      <c r="F105" s="22"/>
      <c r="G105" s="21"/>
      <c r="H105" s="21"/>
      <c r="I105" s="22"/>
      <c r="J105" s="21"/>
      <c r="K105" s="21"/>
      <c r="L105" s="21"/>
    </row>
    <row r="106" spans="1:12" ht="14.45">
      <c r="A106" s="21"/>
      <c r="B106" s="33"/>
      <c r="C106" s="21"/>
      <c r="D106" s="21"/>
      <c r="E106" s="21"/>
      <c r="F106" s="22"/>
      <c r="G106" s="21"/>
      <c r="H106" s="21"/>
      <c r="I106" s="22"/>
      <c r="J106" s="21"/>
      <c r="K106" s="21"/>
      <c r="L106" s="21"/>
    </row>
    <row r="107" spans="1:12" ht="14.45">
      <c r="A107" s="21"/>
      <c r="B107" s="33"/>
      <c r="C107" s="21"/>
      <c r="D107" s="21"/>
      <c r="E107" s="21"/>
      <c r="F107" s="22"/>
      <c r="G107" s="21"/>
      <c r="H107" s="21"/>
      <c r="I107" s="22"/>
      <c r="J107" s="21"/>
      <c r="K107" s="21"/>
      <c r="L107" s="21"/>
    </row>
    <row r="108" spans="1:12" ht="14.45">
      <c r="A108" s="21"/>
      <c r="B108" s="33"/>
      <c r="C108" s="21"/>
      <c r="D108" s="21"/>
      <c r="E108" s="21"/>
      <c r="F108" s="22"/>
      <c r="G108" s="21"/>
      <c r="H108" s="21"/>
      <c r="I108" s="22"/>
      <c r="J108" s="21"/>
      <c r="K108" s="21"/>
      <c r="L108" s="21"/>
    </row>
    <row r="109" spans="1:12" ht="14.45">
      <c r="A109" s="21"/>
      <c r="B109" s="33"/>
      <c r="C109" s="21"/>
      <c r="D109" s="21"/>
      <c r="E109" s="21"/>
      <c r="F109" s="22"/>
      <c r="G109" s="21"/>
      <c r="H109" s="21"/>
      <c r="I109" s="22"/>
      <c r="J109" s="21"/>
      <c r="K109" s="21"/>
      <c r="L109" s="21"/>
    </row>
    <row r="110" spans="1:12" ht="14.45">
      <c r="A110" s="21"/>
      <c r="B110" s="33"/>
      <c r="C110" s="21"/>
      <c r="D110" s="21"/>
      <c r="E110" s="21"/>
      <c r="F110" s="22"/>
      <c r="G110" s="21"/>
      <c r="H110" s="21"/>
      <c r="I110" s="22"/>
      <c r="J110" s="21"/>
      <c r="K110" s="21"/>
      <c r="L110" s="21"/>
    </row>
    <row r="111" spans="1:12" ht="14.45">
      <c r="A111" s="21"/>
      <c r="B111" s="33"/>
      <c r="C111" s="21"/>
      <c r="D111" s="21"/>
      <c r="E111" s="21"/>
      <c r="F111" s="22"/>
      <c r="G111" s="21"/>
      <c r="H111" s="21"/>
      <c r="I111" s="22"/>
      <c r="J111" s="21"/>
      <c r="K111" s="21"/>
      <c r="L111" s="21"/>
    </row>
    <row r="112" spans="1:12" ht="14.45">
      <c r="A112" s="21"/>
      <c r="B112" s="33"/>
      <c r="C112" s="21"/>
      <c r="D112" s="21"/>
      <c r="E112" s="21"/>
      <c r="F112" s="22"/>
      <c r="G112" s="21"/>
      <c r="H112" s="21"/>
      <c r="I112" s="22"/>
      <c r="J112" s="21"/>
      <c r="K112" s="21"/>
      <c r="L112" s="21"/>
    </row>
    <row r="113" spans="1:12" ht="14.45">
      <c r="A113" s="21"/>
      <c r="B113" s="33"/>
      <c r="C113" s="21"/>
      <c r="D113" s="21"/>
      <c r="E113" s="21"/>
      <c r="F113" s="22"/>
      <c r="G113" s="21"/>
      <c r="H113" s="21"/>
      <c r="I113" s="22"/>
      <c r="J113" s="21"/>
      <c r="K113" s="21"/>
      <c r="L113" s="21"/>
    </row>
    <row r="114" spans="1:12" ht="14.45">
      <c r="A114" s="21"/>
      <c r="B114" s="33"/>
      <c r="C114" s="21"/>
      <c r="D114" s="21"/>
      <c r="E114" s="21"/>
      <c r="F114" s="22"/>
      <c r="G114" s="21"/>
      <c r="H114" s="21"/>
      <c r="I114" s="22"/>
      <c r="J114" s="21"/>
      <c r="K114" s="21"/>
      <c r="L114" s="21"/>
    </row>
    <row r="115" spans="1:12" ht="14.45">
      <c r="A115" s="21"/>
      <c r="B115" s="33"/>
      <c r="C115" s="21"/>
      <c r="D115" s="21"/>
      <c r="E115" s="21"/>
      <c r="F115" s="22"/>
      <c r="G115" s="21"/>
      <c r="H115" s="21"/>
      <c r="I115" s="22"/>
      <c r="J115" s="21"/>
      <c r="K115" s="21"/>
      <c r="L115" s="21"/>
    </row>
    <row r="116" spans="1:12" ht="14.45">
      <c r="A116" s="21"/>
      <c r="B116" s="33"/>
      <c r="C116" s="21"/>
      <c r="D116" s="21"/>
      <c r="E116" s="21"/>
      <c r="F116" s="22"/>
      <c r="G116" s="21"/>
      <c r="H116" s="21"/>
      <c r="I116" s="22"/>
      <c r="J116" s="21"/>
      <c r="K116" s="21"/>
      <c r="L116" s="21"/>
    </row>
    <row r="117" spans="1:12" ht="14.45">
      <c r="A117" s="21"/>
      <c r="B117" s="33"/>
      <c r="C117" s="21"/>
      <c r="D117" s="21"/>
      <c r="E117" s="21"/>
      <c r="F117" s="22"/>
      <c r="G117" s="21"/>
      <c r="H117" s="21"/>
      <c r="I117" s="22"/>
      <c r="J117" s="21"/>
      <c r="K117" s="21"/>
      <c r="L117" s="21"/>
    </row>
    <row r="118" spans="1:12" ht="14.45">
      <c r="A118" s="21"/>
      <c r="B118" s="33"/>
      <c r="C118" s="21"/>
      <c r="D118" s="21"/>
      <c r="E118" s="21"/>
      <c r="F118" s="22"/>
      <c r="G118" s="21"/>
      <c r="H118" s="21"/>
      <c r="I118" s="22"/>
      <c r="J118" s="21"/>
      <c r="K118" s="21"/>
      <c r="L118" s="21"/>
    </row>
    <row r="119" spans="1:12" ht="14.45">
      <c r="A119" s="21"/>
      <c r="B119" s="33"/>
      <c r="C119" s="21"/>
      <c r="D119" s="21"/>
      <c r="E119" s="21"/>
      <c r="F119" s="22"/>
      <c r="G119" s="21"/>
      <c r="H119" s="21"/>
      <c r="I119" s="22"/>
      <c r="J119" s="21"/>
      <c r="K119" s="21"/>
      <c r="L119" s="21"/>
    </row>
    <row r="120" spans="1:12" ht="14.45">
      <c r="A120" s="21"/>
      <c r="B120" s="33"/>
      <c r="C120" s="21"/>
      <c r="D120" s="21"/>
      <c r="E120" s="21"/>
      <c r="F120" s="22"/>
      <c r="G120" s="21"/>
      <c r="H120" s="21"/>
      <c r="I120" s="22"/>
      <c r="J120" s="21"/>
      <c r="K120" s="21"/>
      <c r="L120" s="21"/>
    </row>
    <row r="121" spans="1:12" ht="14.45">
      <c r="A121" s="21"/>
      <c r="B121" s="33"/>
      <c r="C121" s="21"/>
      <c r="D121" s="21"/>
      <c r="E121" s="21"/>
      <c r="F121" s="22"/>
      <c r="G121" s="21"/>
      <c r="H121" s="21"/>
      <c r="I121" s="22"/>
      <c r="J121" s="21"/>
      <c r="K121" s="21"/>
      <c r="L121" s="21"/>
    </row>
    <row r="122" spans="1:12" ht="14.45">
      <c r="A122" s="21"/>
      <c r="B122" s="33"/>
      <c r="C122" s="21"/>
      <c r="D122" s="21"/>
      <c r="E122" s="21"/>
      <c r="F122" s="22"/>
      <c r="G122" s="21"/>
      <c r="H122" s="21"/>
      <c r="I122" s="22"/>
      <c r="J122" s="21"/>
      <c r="K122" s="21"/>
      <c r="L122" s="21"/>
    </row>
    <row r="123" spans="1:12" ht="14.45">
      <c r="A123" s="21"/>
      <c r="B123" s="33"/>
      <c r="C123" s="21"/>
      <c r="D123" s="21"/>
      <c r="E123" s="21"/>
      <c r="F123" s="22"/>
      <c r="G123" s="21"/>
      <c r="H123" s="21"/>
      <c r="I123" s="22"/>
      <c r="J123" s="21"/>
      <c r="K123" s="21"/>
      <c r="L123" s="21"/>
    </row>
    <row r="124" spans="1:12" ht="14.45">
      <c r="A124" s="21"/>
      <c r="B124" s="33"/>
      <c r="C124" s="21"/>
      <c r="D124" s="21"/>
      <c r="E124" s="21"/>
      <c r="F124" s="22"/>
      <c r="G124" s="21"/>
      <c r="H124" s="21"/>
      <c r="I124" s="22"/>
      <c r="J124" s="21"/>
      <c r="K124" s="21"/>
      <c r="L124" s="21"/>
    </row>
    <row r="125" spans="1:12" ht="14.45">
      <c r="A125" s="21"/>
      <c r="B125" s="33"/>
      <c r="C125" s="21"/>
      <c r="D125" s="21"/>
      <c r="E125" s="21"/>
      <c r="F125" s="22"/>
      <c r="G125" s="21"/>
      <c r="H125" s="21"/>
      <c r="I125" s="22"/>
      <c r="J125" s="21"/>
      <c r="K125" s="21"/>
      <c r="L125" s="21"/>
    </row>
    <row r="126" spans="1:12" ht="14.45">
      <c r="A126" s="21"/>
      <c r="B126" s="33"/>
      <c r="C126" s="21"/>
      <c r="D126" s="21"/>
      <c r="E126" s="21"/>
      <c r="F126" s="22"/>
      <c r="G126" s="21"/>
      <c r="H126" s="21"/>
      <c r="I126" s="22"/>
      <c r="J126" s="21"/>
      <c r="K126" s="21"/>
      <c r="L126" s="21"/>
    </row>
    <row r="127" spans="1:12" ht="14.45">
      <c r="A127" s="21"/>
      <c r="B127" s="33"/>
      <c r="C127" s="21"/>
      <c r="D127" s="21"/>
      <c r="E127" s="21"/>
      <c r="F127" s="22"/>
      <c r="G127" s="21"/>
      <c r="H127" s="21"/>
      <c r="I127" s="22"/>
      <c r="J127" s="21"/>
      <c r="K127" s="21"/>
      <c r="L127" s="21"/>
    </row>
    <row r="128" spans="1:12" ht="14.45">
      <c r="A128" s="21"/>
      <c r="B128" s="33"/>
      <c r="C128" s="21"/>
      <c r="D128" s="21"/>
      <c r="E128" s="21"/>
      <c r="F128" s="22"/>
      <c r="G128" s="21"/>
      <c r="H128" s="21"/>
      <c r="I128" s="22"/>
      <c r="J128" s="21"/>
      <c r="K128" s="21"/>
      <c r="L128" s="21"/>
    </row>
    <row r="129" spans="1:12" ht="14.45">
      <c r="A129" s="21"/>
      <c r="B129" s="33"/>
      <c r="C129" s="21"/>
      <c r="D129" s="21"/>
      <c r="E129" s="21"/>
      <c r="F129" s="22"/>
      <c r="G129" s="21"/>
      <c r="H129" s="21"/>
      <c r="I129" s="22"/>
      <c r="J129" s="21"/>
      <c r="K129" s="21"/>
      <c r="L129" s="21"/>
    </row>
    <row r="130" spans="1:12" ht="14.45">
      <c r="A130" s="21"/>
      <c r="B130" s="33"/>
      <c r="C130" s="21"/>
      <c r="D130" s="21"/>
      <c r="E130" s="21"/>
      <c r="F130" s="22"/>
      <c r="G130" s="21"/>
      <c r="H130" s="21"/>
      <c r="I130" s="22"/>
      <c r="J130" s="21"/>
      <c r="K130" s="21"/>
      <c r="L130" s="21"/>
    </row>
    <row r="131" spans="1:12" ht="14.45">
      <c r="A131" s="21"/>
      <c r="B131" s="33"/>
      <c r="C131" s="21"/>
      <c r="D131" s="21"/>
      <c r="E131" s="21"/>
      <c r="F131" s="22"/>
      <c r="G131" s="21"/>
      <c r="H131" s="21"/>
      <c r="I131" s="22"/>
      <c r="J131" s="21"/>
      <c r="K131" s="21"/>
      <c r="L131" s="21"/>
    </row>
    <row r="132" spans="1:12" ht="14.45">
      <c r="A132" s="21"/>
      <c r="B132" s="33"/>
      <c r="C132" s="21"/>
      <c r="D132" s="21"/>
      <c r="E132" s="21"/>
      <c r="F132" s="22"/>
      <c r="G132" s="21"/>
      <c r="H132" s="21"/>
      <c r="I132" s="22"/>
      <c r="J132" s="21"/>
      <c r="K132" s="21"/>
      <c r="L132" s="21"/>
    </row>
    <row r="133" spans="1:12" ht="14.45">
      <c r="A133" s="21"/>
      <c r="B133" s="33"/>
      <c r="C133" s="21"/>
      <c r="D133" s="21"/>
      <c r="E133" s="21"/>
      <c r="F133" s="22"/>
      <c r="G133" s="21"/>
      <c r="H133" s="21"/>
      <c r="I133" s="22"/>
      <c r="J133" s="21"/>
      <c r="K133" s="21"/>
      <c r="L133" s="21"/>
    </row>
    <row r="134" spans="1:12" ht="14.45">
      <c r="A134" s="21"/>
      <c r="B134" s="33"/>
      <c r="C134" s="21"/>
      <c r="D134" s="21"/>
      <c r="E134" s="21"/>
      <c r="F134" s="22"/>
      <c r="G134" s="21"/>
      <c r="H134" s="21"/>
      <c r="I134" s="22"/>
      <c r="J134" s="21"/>
      <c r="K134" s="21"/>
      <c r="L134" s="21"/>
    </row>
    <row r="135" spans="1:12" ht="14.45">
      <c r="A135" s="21"/>
      <c r="B135" s="33"/>
      <c r="C135" s="21"/>
      <c r="D135" s="21"/>
      <c r="E135" s="21"/>
      <c r="F135" s="22"/>
      <c r="G135" s="21"/>
      <c r="H135" s="21"/>
      <c r="I135" s="22"/>
      <c r="J135" s="21"/>
      <c r="K135" s="21"/>
      <c r="L135" s="21"/>
    </row>
    <row r="136" spans="1:12" ht="14.45">
      <c r="A136" s="21"/>
      <c r="B136" s="33"/>
      <c r="C136" s="21"/>
      <c r="D136" s="21"/>
      <c r="E136" s="21"/>
      <c r="F136" s="22"/>
      <c r="G136" s="21"/>
      <c r="H136" s="21"/>
      <c r="I136" s="22"/>
      <c r="J136" s="21"/>
      <c r="K136" s="21"/>
      <c r="L136" s="21"/>
    </row>
    <row r="137" spans="1:12" ht="14.45">
      <c r="A137" s="21"/>
      <c r="B137" s="33"/>
      <c r="C137" s="21"/>
      <c r="D137" s="21"/>
      <c r="E137" s="21"/>
      <c r="F137" s="22"/>
      <c r="G137" s="21"/>
      <c r="H137" s="21"/>
      <c r="I137" s="22"/>
      <c r="J137" s="21"/>
      <c r="K137" s="21"/>
      <c r="L137" s="21"/>
    </row>
    <row r="138" spans="1:12" ht="14.45">
      <c r="A138" s="21"/>
      <c r="B138" s="33"/>
      <c r="C138" s="21"/>
      <c r="D138" s="21"/>
      <c r="E138" s="21"/>
      <c r="F138" s="22"/>
      <c r="G138" s="21"/>
      <c r="H138" s="21"/>
      <c r="I138" s="22"/>
      <c r="J138" s="21"/>
      <c r="K138" s="21"/>
      <c r="L138" s="21"/>
    </row>
    <row r="139" spans="1:12" ht="14.45">
      <c r="A139" s="21"/>
      <c r="B139" s="33"/>
      <c r="C139" s="21"/>
      <c r="D139" s="21"/>
      <c r="E139" s="21"/>
      <c r="F139" s="22"/>
      <c r="G139" s="21"/>
      <c r="H139" s="21"/>
      <c r="I139" s="22"/>
      <c r="J139" s="21"/>
      <c r="K139" s="21"/>
      <c r="L139" s="21"/>
    </row>
    <row r="140" spans="1:12" ht="14.45">
      <c r="A140" s="21"/>
      <c r="B140" s="33"/>
      <c r="C140" s="21"/>
      <c r="D140" s="21"/>
      <c r="E140" s="21"/>
      <c r="F140" s="22"/>
      <c r="G140" s="21"/>
      <c r="H140" s="21"/>
      <c r="I140" s="22"/>
      <c r="J140" s="21"/>
      <c r="K140" s="21"/>
      <c r="L140" s="21"/>
    </row>
    <row r="141" spans="1:12" ht="14.45">
      <c r="A141" s="21"/>
      <c r="B141" s="33"/>
      <c r="C141" s="21"/>
      <c r="D141" s="21"/>
      <c r="E141" s="21"/>
      <c r="F141" s="22"/>
      <c r="G141" s="21"/>
      <c r="H141" s="21"/>
      <c r="I141" s="22"/>
      <c r="J141" s="21"/>
      <c r="K141" s="21"/>
      <c r="L141" s="21"/>
    </row>
    <row r="142" spans="1:12" ht="14.45">
      <c r="A142" s="21"/>
      <c r="B142" s="33"/>
      <c r="C142" s="21"/>
      <c r="D142" s="21"/>
      <c r="E142" s="21"/>
      <c r="F142" s="22"/>
      <c r="G142" s="21"/>
      <c r="H142" s="21"/>
      <c r="I142" s="22"/>
      <c r="J142" s="21"/>
      <c r="K142" s="21"/>
      <c r="L142" s="21"/>
    </row>
    <row r="143" spans="1:12" ht="14.45">
      <c r="A143" s="21"/>
      <c r="B143" s="33"/>
      <c r="C143" s="21"/>
      <c r="D143" s="21"/>
      <c r="E143" s="21"/>
      <c r="F143" s="22"/>
      <c r="G143" s="21"/>
      <c r="H143" s="21"/>
      <c r="I143" s="22"/>
      <c r="J143" s="21"/>
      <c r="K143" s="21"/>
      <c r="L143" s="21"/>
    </row>
    <row r="144" spans="1:12" ht="14.45">
      <c r="A144" s="21"/>
      <c r="B144" s="33"/>
      <c r="C144" s="21"/>
      <c r="D144" s="21"/>
      <c r="E144" s="21"/>
      <c r="F144" s="22"/>
      <c r="G144" s="21"/>
      <c r="H144" s="21"/>
      <c r="I144" s="22"/>
      <c r="J144" s="21"/>
      <c r="K144" s="21"/>
      <c r="L144" s="21"/>
    </row>
    <row r="145" spans="1:12" ht="14.45">
      <c r="A145" s="21"/>
      <c r="B145" s="33"/>
      <c r="C145" s="21"/>
      <c r="D145" s="21"/>
      <c r="E145" s="21"/>
      <c r="F145" s="22"/>
      <c r="G145" s="21"/>
      <c r="H145" s="21"/>
      <c r="I145" s="22"/>
      <c r="J145" s="21"/>
      <c r="K145" s="21"/>
      <c r="L145" s="21"/>
    </row>
    <row r="146" spans="1:12" ht="14.45">
      <c r="A146" s="21"/>
      <c r="B146" s="33"/>
      <c r="C146" s="21"/>
      <c r="D146" s="21"/>
      <c r="E146" s="21"/>
      <c r="F146" s="22"/>
      <c r="G146" s="21"/>
      <c r="H146" s="21"/>
      <c r="I146" s="22"/>
      <c r="J146" s="21"/>
      <c r="K146" s="21"/>
      <c r="L146" s="21"/>
    </row>
    <row r="147" spans="1:12" ht="14.45">
      <c r="A147" s="21"/>
      <c r="B147" s="33"/>
      <c r="C147" s="21"/>
      <c r="D147" s="21"/>
      <c r="E147" s="21"/>
      <c r="F147" s="22"/>
      <c r="G147" s="21"/>
      <c r="H147" s="21"/>
      <c r="I147" s="22"/>
      <c r="J147" s="21"/>
      <c r="K147" s="21"/>
      <c r="L147" s="21"/>
    </row>
    <row r="148" spans="1:12" ht="14.45">
      <c r="A148" s="21"/>
      <c r="B148" s="33"/>
      <c r="C148" s="21"/>
      <c r="D148" s="21"/>
      <c r="E148" s="21"/>
      <c r="F148" s="22"/>
      <c r="G148" s="21"/>
      <c r="H148" s="21"/>
      <c r="I148" s="22"/>
      <c r="J148" s="21"/>
      <c r="K148" s="21"/>
      <c r="L148" s="21"/>
    </row>
    <row r="149" spans="1:12" ht="14.45">
      <c r="A149" s="21"/>
      <c r="B149" s="33"/>
      <c r="C149" s="21"/>
      <c r="D149" s="21"/>
      <c r="E149" s="21"/>
      <c r="F149" s="22"/>
      <c r="G149" s="21"/>
      <c r="H149" s="21"/>
      <c r="I149" s="22"/>
      <c r="J149" s="21"/>
      <c r="K149" s="21"/>
      <c r="L149" s="21"/>
    </row>
    <row r="150" spans="1:12" ht="14.45">
      <c r="A150" s="21"/>
      <c r="B150" s="33"/>
      <c r="C150" s="21"/>
      <c r="D150" s="21"/>
      <c r="E150" s="21"/>
      <c r="F150" s="22"/>
      <c r="G150" s="21"/>
      <c r="H150" s="21"/>
      <c r="I150" s="22"/>
      <c r="J150" s="21"/>
      <c r="K150" s="21"/>
      <c r="L150" s="21"/>
    </row>
    <row r="151" spans="1:12" ht="14.45">
      <c r="A151" s="21"/>
      <c r="B151" s="33"/>
      <c r="C151" s="21"/>
      <c r="D151" s="21"/>
      <c r="E151" s="21"/>
      <c r="F151" s="22"/>
      <c r="G151" s="21"/>
      <c r="H151" s="21"/>
      <c r="I151" s="22"/>
      <c r="J151" s="21"/>
      <c r="K151" s="21"/>
      <c r="L151" s="21"/>
    </row>
    <row r="152" spans="1:12" ht="14.45">
      <c r="A152" s="21"/>
      <c r="B152" s="33"/>
      <c r="C152" s="21"/>
      <c r="D152" s="21"/>
      <c r="E152" s="21"/>
      <c r="F152" s="22"/>
      <c r="G152" s="21"/>
      <c r="H152" s="21"/>
      <c r="I152" s="22"/>
      <c r="J152" s="21"/>
      <c r="K152" s="21"/>
      <c r="L152" s="21"/>
    </row>
    <row r="153" spans="1:12" ht="14.45">
      <c r="A153" s="21"/>
      <c r="B153" s="33"/>
      <c r="C153" s="21"/>
      <c r="D153" s="21"/>
      <c r="E153" s="21"/>
      <c r="F153" s="22"/>
      <c r="G153" s="21"/>
      <c r="H153" s="21"/>
      <c r="I153" s="22"/>
      <c r="J153" s="21"/>
      <c r="K153" s="21"/>
      <c r="L153" s="21"/>
    </row>
    <row r="154" spans="1:12" ht="14.45">
      <c r="A154" s="21"/>
      <c r="B154" s="33"/>
      <c r="C154" s="21"/>
      <c r="D154" s="21"/>
      <c r="E154" s="21"/>
      <c r="F154" s="22"/>
      <c r="G154" s="21"/>
      <c r="H154" s="21"/>
      <c r="I154" s="22"/>
      <c r="J154" s="21"/>
      <c r="K154" s="21"/>
      <c r="L154" s="21"/>
    </row>
    <row r="155" spans="1:12" ht="14.45">
      <c r="A155" s="21"/>
      <c r="B155" s="33"/>
      <c r="C155" s="21"/>
      <c r="D155" s="21"/>
      <c r="E155" s="21"/>
      <c r="F155" s="22"/>
      <c r="G155" s="21"/>
      <c r="H155" s="21"/>
      <c r="I155" s="22"/>
      <c r="J155" s="21"/>
      <c r="K155" s="21"/>
      <c r="L155" s="21"/>
    </row>
    <row r="156" spans="1:12" ht="14.45">
      <c r="A156" s="21"/>
      <c r="B156" s="33"/>
      <c r="C156" s="21"/>
      <c r="D156" s="21"/>
      <c r="E156" s="21"/>
      <c r="F156" s="22"/>
      <c r="G156" s="21"/>
      <c r="H156" s="21"/>
      <c r="I156" s="22"/>
      <c r="J156" s="21"/>
      <c r="K156" s="21"/>
      <c r="L156" s="21"/>
    </row>
    <row r="157" spans="1:12" ht="14.45">
      <c r="A157" s="21"/>
      <c r="B157" s="33"/>
      <c r="C157" s="21"/>
      <c r="D157" s="21"/>
      <c r="E157" s="21"/>
      <c r="F157" s="22"/>
      <c r="G157" s="21"/>
      <c r="H157" s="21"/>
      <c r="I157" s="22"/>
      <c r="J157" s="21"/>
      <c r="K157" s="21"/>
      <c r="L157" s="21"/>
    </row>
    <row r="158" spans="1:12" ht="14.45">
      <c r="A158" s="21"/>
      <c r="B158" s="33"/>
      <c r="C158" s="21"/>
      <c r="D158" s="21"/>
      <c r="E158" s="21"/>
      <c r="F158" s="22"/>
      <c r="G158" s="21"/>
      <c r="H158" s="21"/>
      <c r="I158" s="22"/>
      <c r="J158" s="21"/>
      <c r="K158" s="21"/>
      <c r="L158" s="21"/>
    </row>
    <row r="159" spans="1:12" ht="14.45">
      <c r="A159" s="21"/>
      <c r="B159" s="33"/>
      <c r="C159" s="21"/>
      <c r="D159" s="21"/>
      <c r="E159" s="21"/>
      <c r="F159" s="22"/>
      <c r="G159" s="21"/>
      <c r="H159" s="21"/>
      <c r="I159" s="22"/>
      <c r="J159" s="21"/>
      <c r="K159" s="21"/>
      <c r="L159" s="21"/>
    </row>
    <row r="160" spans="1:12" ht="14.45">
      <c r="A160" s="21"/>
      <c r="B160" s="33"/>
      <c r="C160" s="21"/>
      <c r="D160" s="21"/>
      <c r="E160" s="21"/>
      <c r="F160" s="22"/>
      <c r="G160" s="21"/>
      <c r="H160" s="21"/>
      <c r="I160" s="22"/>
      <c r="J160" s="21"/>
      <c r="K160" s="21"/>
      <c r="L160" s="21"/>
    </row>
    <row r="161" spans="1:12" ht="14.45">
      <c r="A161" s="21"/>
      <c r="B161" s="33"/>
      <c r="C161" s="21"/>
      <c r="D161" s="21"/>
      <c r="E161" s="21"/>
      <c r="F161" s="22"/>
      <c r="G161" s="21"/>
      <c r="H161" s="21"/>
      <c r="I161" s="22"/>
      <c r="J161" s="21"/>
      <c r="K161" s="21"/>
      <c r="L161" s="21"/>
    </row>
    <row r="162" spans="1:12" ht="14.45">
      <c r="A162" s="21"/>
      <c r="B162" s="33"/>
      <c r="C162" s="21"/>
      <c r="D162" s="21"/>
      <c r="E162" s="21"/>
      <c r="F162" s="22"/>
      <c r="G162" s="21"/>
      <c r="H162" s="21"/>
      <c r="I162" s="22"/>
      <c r="J162" s="21"/>
      <c r="K162" s="21"/>
      <c r="L162" s="21"/>
    </row>
    <row r="163" spans="1:12" ht="14.45">
      <c r="A163" s="21"/>
      <c r="B163" s="33"/>
      <c r="C163" s="21"/>
      <c r="D163" s="21"/>
      <c r="E163" s="21"/>
      <c r="F163" s="22"/>
      <c r="G163" s="21"/>
      <c r="H163" s="21"/>
      <c r="I163" s="22"/>
      <c r="J163" s="21"/>
      <c r="K163" s="21"/>
      <c r="L163" s="21"/>
    </row>
    <row r="164" spans="1:12" ht="14.45">
      <c r="A164" s="21"/>
      <c r="B164" s="33"/>
      <c r="C164" s="21"/>
      <c r="D164" s="21"/>
      <c r="E164" s="21"/>
      <c r="F164" s="22"/>
      <c r="G164" s="21"/>
      <c r="H164" s="21"/>
      <c r="I164" s="22"/>
      <c r="J164" s="21"/>
      <c r="K164" s="21"/>
      <c r="L164" s="21"/>
    </row>
    <row r="165" spans="1:12" ht="14.45">
      <c r="A165" s="21"/>
      <c r="B165" s="33"/>
      <c r="C165" s="21"/>
      <c r="D165" s="21"/>
      <c r="E165" s="21"/>
      <c r="F165" s="22"/>
      <c r="G165" s="21"/>
      <c r="H165" s="21"/>
      <c r="I165" s="22"/>
      <c r="J165" s="21"/>
      <c r="K165" s="21"/>
      <c r="L165" s="21"/>
    </row>
    <row r="166" spans="1:12" ht="14.45">
      <c r="A166" s="21"/>
      <c r="B166" s="33"/>
      <c r="C166" s="21"/>
      <c r="D166" s="21"/>
      <c r="E166" s="21"/>
      <c r="F166" s="22"/>
      <c r="G166" s="21"/>
      <c r="H166" s="21"/>
      <c r="I166" s="22"/>
      <c r="J166" s="21"/>
      <c r="K166" s="21"/>
      <c r="L166" s="21"/>
    </row>
    <row r="167" spans="1:12" ht="14.45">
      <c r="A167" s="21"/>
      <c r="B167" s="33"/>
      <c r="C167" s="21"/>
      <c r="D167" s="21"/>
      <c r="E167" s="21"/>
      <c r="F167" s="22"/>
      <c r="G167" s="21"/>
      <c r="H167" s="21"/>
      <c r="I167" s="22"/>
      <c r="J167" s="21"/>
      <c r="K167" s="21"/>
      <c r="L167" s="21"/>
    </row>
    <row r="168" spans="1:12" ht="14.45">
      <c r="A168" s="21"/>
      <c r="B168" s="33"/>
      <c r="C168" s="21"/>
      <c r="D168" s="21"/>
      <c r="E168" s="21"/>
      <c r="F168" s="22"/>
      <c r="G168" s="21"/>
      <c r="H168" s="21"/>
      <c r="I168" s="22"/>
      <c r="J168" s="21"/>
      <c r="K168" s="21"/>
      <c r="L168" s="21"/>
    </row>
    <row r="169" spans="1:12" ht="14.45">
      <c r="A169" s="21"/>
      <c r="B169" s="33"/>
      <c r="C169" s="21"/>
      <c r="D169" s="21"/>
      <c r="E169" s="21"/>
      <c r="F169" s="22"/>
      <c r="G169" s="21"/>
      <c r="H169" s="21"/>
      <c r="I169" s="22"/>
      <c r="J169" s="21"/>
      <c r="K169" s="21"/>
      <c r="L169" s="21"/>
    </row>
    <row r="170" spans="1:12" ht="14.45">
      <c r="A170" s="21"/>
      <c r="B170" s="33"/>
      <c r="C170" s="21"/>
      <c r="D170" s="21"/>
      <c r="E170" s="21"/>
      <c r="F170" s="22"/>
      <c r="G170" s="21"/>
      <c r="H170" s="21"/>
      <c r="I170" s="22"/>
      <c r="J170" s="21"/>
      <c r="K170" s="21"/>
      <c r="L170" s="21"/>
    </row>
    <row r="171" spans="1:12" ht="14.45">
      <c r="A171" s="21"/>
      <c r="B171" s="33"/>
      <c r="C171" s="21"/>
      <c r="D171" s="21"/>
      <c r="E171" s="21"/>
      <c r="F171" s="22"/>
      <c r="G171" s="21"/>
      <c r="H171" s="21"/>
      <c r="I171" s="22"/>
      <c r="J171" s="21"/>
      <c r="K171" s="21"/>
      <c r="L171" s="21"/>
    </row>
    <row r="172" spans="1:12" ht="14.45">
      <c r="A172" s="21"/>
      <c r="B172" s="33"/>
      <c r="C172" s="21"/>
      <c r="D172" s="21"/>
      <c r="E172" s="21"/>
      <c r="F172" s="22"/>
      <c r="G172" s="21"/>
      <c r="H172" s="21"/>
      <c r="I172" s="22"/>
      <c r="J172" s="21"/>
      <c r="K172" s="21"/>
      <c r="L172" s="21"/>
    </row>
    <row r="173" spans="1:12" ht="14.45">
      <c r="A173" s="21"/>
      <c r="B173" s="33"/>
      <c r="C173" s="21"/>
      <c r="D173" s="21"/>
      <c r="E173" s="21"/>
      <c r="F173" s="22"/>
      <c r="G173" s="21"/>
      <c r="H173" s="21"/>
      <c r="I173" s="22"/>
      <c r="J173" s="21"/>
      <c r="K173" s="21"/>
      <c r="L173" s="21"/>
    </row>
    <row r="174" spans="1:12" ht="14.45">
      <c r="A174" s="21"/>
      <c r="B174" s="33"/>
      <c r="C174" s="21"/>
      <c r="D174" s="21"/>
      <c r="E174" s="21"/>
      <c r="F174" s="22"/>
      <c r="G174" s="21"/>
      <c r="H174" s="21"/>
      <c r="I174" s="22"/>
      <c r="J174" s="21"/>
      <c r="K174" s="21"/>
      <c r="L174" s="21"/>
    </row>
    <row r="175" spans="1:12" ht="14.45">
      <c r="A175" s="21"/>
      <c r="B175" s="33"/>
      <c r="C175" s="21"/>
      <c r="D175" s="21"/>
      <c r="E175" s="21"/>
      <c r="F175" s="22"/>
      <c r="G175" s="21"/>
      <c r="H175" s="21"/>
      <c r="I175" s="22"/>
      <c r="J175" s="21"/>
      <c r="K175" s="21"/>
      <c r="L175" s="21"/>
    </row>
    <row r="176" spans="1:12" ht="14.45">
      <c r="A176" s="21"/>
      <c r="B176" s="33"/>
      <c r="C176" s="21"/>
      <c r="D176" s="21"/>
      <c r="E176" s="21"/>
      <c r="F176" s="22"/>
      <c r="G176" s="21"/>
      <c r="H176" s="21"/>
      <c r="I176" s="22"/>
      <c r="J176" s="21"/>
      <c r="K176" s="21"/>
      <c r="L176" s="21"/>
    </row>
    <row r="177" spans="1:12" ht="14.45">
      <c r="A177" s="21"/>
      <c r="B177" s="33"/>
      <c r="C177" s="21"/>
      <c r="D177" s="21"/>
      <c r="E177" s="21"/>
      <c r="F177" s="22"/>
      <c r="G177" s="21"/>
      <c r="H177" s="21"/>
      <c r="I177" s="22"/>
      <c r="J177" s="21"/>
      <c r="K177" s="21"/>
      <c r="L177" s="21"/>
    </row>
    <row r="178" spans="1:12" ht="14.45">
      <c r="A178" s="21"/>
      <c r="B178" s="33"/>
      <c r="C178" s="21"/>
      <c r="D178" s="21"/>
      <c r="E178" s="21"/>
      <c r="F178" s="22"/>
      <c r="G178" s="21"/>
      <c r="H178" s="21"/>
      <c r="I178" s="22"/>
      <c r="J178" s="21"/>
      <c r="K178" s="21"/>
      <c r="L178" s="21"/>
    </row>
    <row r="179" spans="1:12" ht="14.45">
      <c r="A179" s="21"/>
      <c r="B179" s="33"/>
      <c r="C179" s="21"/>
      <c r="D179" s="21"/>
      <c r="E179" s="21"/>
      <c r="F179" s="22"/>
      <c r="G179" s="21"/>
      <c r="H179" s="21"/>
      <c r="I179" s="22"/>
      <c r="J179" s="21"/>
      <c r="K179" s="21"/>
      <c r="L179" s="21"/>
    </row>
    <row r="180" spans="1:12" ht="14.45">
      <c r="A180" s="21"/>
      <c r="B180" s="33"/>
      <c r="C180" s="21"/>
      <c r="D180" s="21"/>
      <c r="E180" s="21"/>
      <c r="F180" s="22"/>
      <c r="G180" s="21"/>
      <c r="H180" s="21"/>
      <c r="I180" s="22"/>
      <c r="J180" s="21"/>
      <c r="K180" s="21"/>
      <c r="L180" s="21"/>
    </row>
    <row r="181" spans="1:12" ht="14.45">
      <c r="A181" s="21"/>
      <c r="B181" s="33"/>
      <c r="C181" s="21"/>
      <c r="D181" s="21"/>
      <c r="E181" s="21"/>
      <c r="F181" s="22"/>
      <c r="G181" s="21"/>
      <c r="H181" s="21"/>
      <c r="I181" s="22"/>
      <c r="J181" s="21"/>
      <c r="K181" s="21"/>
      <c r="L181" s="21"/>
    </row>
    <row r="182" spans="1:12" ht="14.45">
      <c r="A182" s="21"/>
      <c r="B182" s="33"/>
      <c r="C182" s="21"/>
      <c r="D182" s="21"/>
      <c r="E182" s="21"/>
      <c r="F182" s="22"/>
      <c r="G182" s="21"/>
      <c r="H182" s="21"/>
      <c r="I182" s="22"/>
      <c r="J182" s="21"/>
      <c r="K182" s="21"/>
      <c r="L182" s="21"/>
    </row>
    <row r="183" spans="1:12" ht="14.45">
      <c r="A183" s="21"/>
      <c r="B183" s="33"/>
      <c r="C183" s="21"/>
      <c r="D183" s="21"/>
      <c r="E183" s="21"/>
      <c r="F183" s="22"/>
      <c r="G183" s="21"/>
      <c r="H183" s="21"/>
      <c r="I183" s="22"/>
      <c r="J183" s="21"/>
      <c r="K183" s="21"/>
      <c r="L183" s="21"/>
    </row>
    <row r="184" spans="1:12" ht="14.45">
      <c r="A184" s="21"/>
      <c r="B184" s="33"/>
      <c r="C184" s="21"/>
      <c r="D184" s="21"/>
      <c r="E184" s="21"/>
      <c r="F184" s="22"/>
      <c r="G184" s="21"/>
      <c r="H184" s="21"/>
      <c r="I184" s="22"/>
      <c r="J184" s="21"/>
      <c r="K184" s="21"/>
      <c r="L184" s="21"/>
    </row>
    <row r="185" spans="1:12" ht="14.45">
      <c r="A185" s="21"/>
      <c r="B185" s="33"/>
      <c r="C185" s="21"/>
      <c r="D185" s="21"/>
      <c r="E185" s="21"/>
      <c r="F185" s="22"/>
      <c r="G185" s="21"/>
      <c r="H185" s="21"/>
      <c r="I185" s="22"/>
      <c r="J185" s="21"/>
      <c r="K185" s="21"/>
      <c r="L185" s="21"/>
    </row>
    <row r="186" spans="1:12" ht="14.45">
      <c r="A186" s="21"/>
      <c r="B186" s="33"/>
      <c r="C186" s="21"/>
      <c r="D186" s="21"/>
      <c r="E186" s="21"/>
      <c r="F186" s="22"/>
      <c r="G186" s="21"/>
      <c r="H186" s="21"/>
      <c r="I186" s="22"/>
      <c r="J186" s="21"/>
      <c r="K186" s="21"/>
      <c r="L186" s="21"/>
    </row>
    <row r="187" spans="1:12" ht="14.45">
      <c r="A187" s="21"/>
      <c r="B187" s="33"/>
      <c r="C187" s="21"/>
      <c r="D187" s="21"/>
      <c r="E187" s="21"/>
      <c r="F187" s="22"/>
      <c r="G187" s="21"/>
      <c r="H187" s="21"/>
      <c r="I187" s="22"/>
      <c r="J187" s="21"/>
      <c r="K187" s="21"/>
      <c r="L187" s="21"/>
    </row>
    <row r="188" spans="1:12" ht="14.45">
      <c r="A188" s="21"/>
      <c r="B188" s="33"/>
      <c r="C188" s="21"/>
      <c r="D188" s="21"/>
      <c r="E188" s="21"/>
      <c r="F188" s="22"/>
      <c r="G188" s="21"/>
      <c r="H188" s="21"/>
      <c r="I188" s="22"/>
      <c r="J188" s="21"/>
      <c r="K188" s="21"/>
      <c r="L188" s="21"/>
    </row>
    <row r="189" spans="1:12" ht="14.45">
      <c r="A189" s="21"/>
      <c r="B189" s="33"/>
      <c r="C189" s="21"/>
      <c r="D189" s="21"/>
      <c r="E189" s="21"/>
      <c r="F189" s="22"/>
      <c r="G189" s="21"/>
      <c r="H189" s="21"/>
      <c r="I189" s="22"/>
      <c r="J189" s="21"/>
      <c r="K189" s="21"/>
      <c r="L189" s="21"/>
    </row>
    <row r="190" spans="1:12" ht="14.45">
      <c r="A190" s="21"/>
      <c r="B190" s="33"/>
      <c r="C190" s="21"/>
      <c r="D190" s="21"/>
      <c r="E190" s="21"/>
      <c r="F190" s="22"/>
      <c r="G190" s="21"/>
      <c r="H190" s="21"/>
      <c r="I190" s="22"/>
      <c r="J190" s="21"/>
      <c r="K190" s="21"/>
      <c r="L190" s="21"/>
    </row>
    <row r="191" spans="1:12" ht="14.45">
      <c r="A191" s="21"/>
      <c r="B191" s="33"/>
      <c r="C191" s="21"/>
      <c r="D191" s="21"/>
      <c r="E191" s="21"/>
      <c r="F191" s="22"/>
      <c r="G191" s="21"/>
      <c r="H191" s="21"/>
      <c r="I191" s="22"/>
      <c r="J191" s="21"/>
      <c r="K191" s="21"/>
      <c r="L191" s="21"/>
    </row>
    <row r="192" spans="1:12" ht="14.45">
      <c r="A192" s="21"/>
      <c r="B192" s="33"/>
      <c r="C192" s="21"/>
      <c r="D192" s="21"/>
      <c r="E192" s="21"/>
      <c r="F192" s="22"/>
      <c r="G192" s="21"/>
      <c r="H192" s="21"/>
      <c r="I192" s="22"/>
      <c r="J192" s="21"/>
      <c r="K192" s="21"/>
      <c r="L192" s="21"/>
    </row>
    <row r="193" spans="1:12" ht="14.45">
      <c r="A193" s="21"/>
      <c r="B193" s="33"/>
      <c r="C193" s="21"/>
      <c r="D193" s="21"/>
      <c r="E193" s="21"/>
      <c r="F193" s="22"/>
      <c r="G193" s="21"/>
      <c r="H193" s="21"/>
      <c r="I193" s="22"/>
      <c r="J193" s="21"/>
      <c r="K193" s="21"/>
      <c r="L193" s="21"/>
    </row>
    <row r="194" spans="1:12" ht="14.45">
      <c r="A194" s="21"/>
      <c r="B194" s="33"/>
      <c r="C194" s="21"/>
      <c r="D194" s="21"/>
      <c r="E194" s="21"/>
      <c r="F194" s="22"/>
      <c r="G194" s="21"/>
      <c r="H194" s="21"/>
      <c r="I194" s="22"/>
      <c r="J194" s="21"/>
      <c r="K194" s="21"/>
      <c r="L194" s="21"/>
    </row>
    <row r="195" spans="1:12" ht="14.45">
      <c r="A195" s="21"/>
      <c r="B195" s="33"/>
      <c r="C195" s="21"/>
      <c r="D195" s="21"/>
      <c r="E195" s="21"/>
      <c r="F195" s="22"/>
      <c r="G195" s="21"/>
      <c r="H195" s="21"/>
      <c r="I195" s="22"/>
      <c r="J195" s="21"/>
      <c r="K195" s="21"/>
      <c r="L195" s="21"/>
    </row>
    <row r="196" spans="1:12" ht="14.45">
      <c r="A196" s="21"/>
      <c r="B196" s="33"/>
      <c r="C196" s="21"/>
      <c r="D196" s="21"/>
      <c r="E196" s="21"/>
      <c r="F196" s="22"/>
      <c r="G196" s="21"/>
      <c r="H196" s="21"/>
      <c r="I196" s="22"/>
      <c r="J196" s="21"/>
      <c r="K196" s="21"/>
      <c r="L196" s="21"/>
    </row>
    <row r="197" spans="1:12" ht="14.45">
      <c r="A197" s="21"/>
      <c r="B197" s="33"/>
      <c r="C197" s="21"/>
      <c r="D197" s="21"/>
      <c r="E197" s="21"/>
      <c r="F197" s="22"/>
      <c r="G197" s="21"/>
      <c r="H197" s="21"/>
      <c r="I197" s="22"/>
      <c r="J197" s="21"/>
      <c r="K197" s="21"/>
      <c r="L197" s="21"/>
    </row>
    <row r="198" spans="1:12" ht="14.45">
      <c r="A198" s="21"/>
      <c r="B198" s="33"/>
      <c r="C198" s="21"/>
      <c r="D198" s="21"/>
      <c r="E198" s="21"/>
      <c r="F198" s="22"/>
      <c r="G198" s="21"/>
      <c r="H198" s="21"/>
      <c r="I198" s="22"/>
      <c r="J198" s="21"/>
      <c r="K198" s="21"/>
      <c r="L198" s="21"/>
    </row>
    <row r="199" spans="1:12" ht="14.45">
      <c r="A199" s="21"/>
      <c r="B199" s="33"/>
      <c r="C199" s="21"/>
      <c r="D199" s="21"/>
      <c r="E199" s="21"/>
      <c r="F199" s="22"/>
      <c r="G199" s="21"/>
      <c r="H199" s="21"/>
      <c r="I199" s="22"/>
      <c r="J199" s="21"/>
      <c r="K199" s="21"/>
      <c r="L199" s="21"/>
    </row>
    <row r="200" spans="1:12" ht="14.45">
      <c r="A200" s="21"/>
      <c r="B200" s="33"/>
      <c r="C200" s="21"/>
      <c r="D200" s="21"/>
      <c r="E200" s="21"/>
      <c r="F200" s="22"/>
      <c r="G200" s="21"/>
      <c r="H200" s="21"/>
      <c r="I200" s="22"/>
      <c r="J200" s="21"/>
      <c r="K200" s="21"/>
      <c r="L200" s="21"/>
    </row>
    <row r="201" spans="1:12" ht="14.45">
      <c r="A201" s="21"/>
      <c r="B201" s="33"/>
      <c r="C201" s="21"/>
      <c r="D201" s="21"/>
      <c r="E201" s="21"/>
      <c r="F201" s="22"/>
      <c r="G201" s="21"/>
      <c r="H201" s="21"/>
      <c r="I201" s="22"/>
      <c r="J201" s="21"/>
      <c r="K201" s="21"/>
      <c r="L201" s="21"/>
    </row>
    <row r="202" spans="1:12" ht="14.45">
      <c r="A202" s="21"/>
      <c r="B202" s="33"/>
      <c r="C202" s="21"/>
      <c r="D202" s="21"/>
      <c r="E202" s="21"/>
      <c r="F202" s="22"/>
      <c r="G202" s="21"/>
      <c r="H202" s="21"/>
      <c r="I202" s="22"/>
      <c r="J202" s="21"/>
      <c r="K202" s="21"/>
      <c r="L202" s="21"/>
    </row>
    <row r="203" spans="1:12" ht="14.45">
      <c r="A203" s="21"/>
      <c r="B203" s="33"/>
      <c r="C203" s="21"/>
      <c r="D203" s="21"/>
      <c r="E203" s="21"/>
      <c r="F203" s="22"/>
      <c r="G203" s="21"/>
      <c r="H203" s="21"/>
      <c r="I203" s="22"/>
      <c r="J203" s="21"/>
      <c r="K203" s="21"/>
      <c r="L203" s="21"/>
    </row>
    <row r="204" spans="1:12" ht="14.45">
      <c r="A204" s="21"/>
      <c r="B204" s="33"/>
      <c r="C204" s="21"/>
      <c r="D204" s="21"/>
      <c r="E204" s="21"/>
      <c r="F204" s="22"/>
      <c r="G204" s="21"/>
      <c r="H204" s="21"/>
      <c r="I204" s="22"/>
      <c r="J204" s="21"/>
      <c r="K204" s="21"/>
      <c r="L204" s="21"/>
    </row>
    <row r="205" spans="1:12" ht="14.45">
      <c r="A205" s="21"/>
      <c r="B205" s="33"/>
      <c r="C205" s="21"/>
      <c r="D205" s="21"/>
      <c r="E205" s="21"/>
      <c r="F205" s="22"/>
      <c r="G205" s="21"/>
      <c r="H205" s="21"/>
      <c r="I205" s="22"/>
      <c r="J205" s="21"/>
      <c r="K205" s="21"/>
      <c r="L205" s="21"/>
    </row>
    <row r="206" spans="1:12" ht="14.45">
      <c r="A206" s="21"/>
      <c r="B206" s="33"/>
      <c r="C206" s="21"/>
      <c r="D206" s="21"/>
      <c r="E206" s="21"/>
      <c r="F206" s="22"/>
      <c r="G206" s="21"/>
      <c r="H206" s="21"/>
      <c r="I206" s="22"/>
      <c r="J206" s="21"/>
      <c r="K206" s="21"/>
      <c r="L206" s="21"/>
    </row>
    <row r="207" spans="1:12" ht="14.45">
      <c r="A207" s="21"/>
      <c r="B207" s="33"/>
      <c r="C207" s="21"/>
      <c r="D207" s="21"/>
      <c r="E207" s="21"/>
      <c r="F207" s="22"/>
      <c r="G207" s="21"/>
      <c r="H207" s="21"/>
      <c r="I207" s="22"/>
      <c r="J207" s="21"/>
      <c r="K207" s="21"/>
      <c r="L207" s="21"/>
    </row>
    <row r="208" spans="1:12" ht="14.45">
      <c r="A208" s="21"/>
      <c r="B208" s="33"/>
      <c r="C208" s="21"/>
      <c r="D208" s="21"/>
      <c r="E208" s="21"/>
      <c r="F208" s="22"/>
      <c r="G208" s="21"/>
      <c r="H208" s="21"/>
      <c r="I208" s="22"/>
      <c r="J208" s="21"/>
      <c r="K208" s="21"/>
      <c r="L208" s="21"/>
    </row>
    <row r="209" spans="1:12" ht="14.45">
      <c r="A209" s="21"/>
      <c r="B209" s="33"/>
      <c r="C209" s="21"/>
      <c r="D209" s="21"/>
      <c r="E209" s="21"/>
      <c r="F209" s="22"/>
      <c r="G209" s="21"/>
      <c r="H209" s="21"/>
      <c r="I209" s="22"/>
      <c r="J209" s="21"/>
      <c r="K209" s="21"/>
      <c r="L209" s="21"/>
    </row>
    <row r="210" spans="1:12" ht="14.45">
      <c r="A210" s="21"/>
      <c r="B210" s="33"/>
      <c r="C210" s="21"/>
      <c r="D210" s="21"/>
      <c r="E210" s="21"/>
      <c r="F210" s="22"/>
      <c r="G210" s="21"/>
      <c r="H210" s="21"/>
      <c r="I210" s="22"/>
      <c r="J210" s="21"/>
      <c r="K210" s="21"/>
      <c r="L210" s="21"/>
    </row>
    <row r="211" spans="1:12" ht="14.45">
      <c r="A211" s="21"/>
      <c r="B211" s="33"/>
      <c r="C211" s="21"/>
      <c r="D211" s="21"/>
      <c r="E211" s="21"/>
      <c r="F211" s="22"/>
      <c r="G211" s="21"/>
      <c r="H211" s="21"/>
      <c r="I211" s="22"/>
      <c r="J211" s="21"/>
      <c r="K211" s="21"/>
      <c r="L211" s="21"/>
    </row>
    <row r="212" spans="1:12" ht="14.45">
      <c r="A212" s="21"/>
      <c r="B212" s="33"/>
      <c r="C212" s="21"/>
      <c r="D212" s="21"/>
      <c r="E212" s="21"/>
      <c r="F212" s="22"/>
      <c r="G212" s="21"/>
      <c r="H212" s="21"/>
      <c r="I212" s="22"/>
      <c r="J212" s="21"/>
      <c r="K212" s="21"/>
      <c r="L212" s="21"/>
    </row>
    <row r="213" spans="1:12" ht="14.45">
      <c r="A213" s="21"/>
      <c r="B213" s="33"/>
      <c r="C213" s="21"/>
      <c r="D213" s="21"/>
      <c r="E213" s="21"/>
      <c r="F213" s="22"/>
      <c r="G213" s="21"/>
      <c r="H213" s="21"/>
      <c r="I213" s="22"/>
      <c r="J213" s="21"/>
      <c r="K213" s="21"/>
      <c r="L213" s="21"/>
    </row>
    <row r="214" spans="1:12" ht="14.45">
      <c r="A214" s="21"/>
      <c r="B214" s="33"/>
      <c r="C214" s="21"/>
      <c r="D214" s="21"/>
      <c r="E214" s="21"/>
      <c r="F214" s="22"/>
      <c r="G214" s="21"/>
      <c r="H214" s="21"/>
      <c r="I214" s="22"/>
      <c r="J214" s="21"/>
      <c r="K214" s="21"/>
      <c r="L214" s="21"/>
    </row>
    <row r="215" spans="1:12" ht="14.45">
      <c r="A215" s="21"/>
      <c r="B215" s="33"/>
      <c r="C215" s="21"/>
      <c r="D215" s="21"/>
      <c r="E215" s="21"/>
      <c r="F215" s="22"/>
      <c r="G215" s="21"/>
      <c r="H215" s="21"/>
      <c r="I215" s="22"/>
      <c r="J215" s="21"/>
      <c r="K215" s="21"/>
      <c r="L215" s="21"/>
    </row>
    <row r="216" spans="1:12" ht="14.45">
      <c r="A216" s="21"/>
      <c r="B216" s="33"/>
      <c r="C216" s="21"/>
      <c r="D216" s="21"/>
      <c r="E216" s="21"/>
      <c r="F216" s="22"/>
      <c r="G216" s="21"/>
      <c r="H216" s="21"/>
      <c r="I216" s="22"/>
      <c r="J216" s="21"/>
      <c r="K216" s="21"/>
      <c r="L216" s="21"/>
    </row>
    <row r="217" spans="1:12" ht="14.45">
      <c r="A217" s="21"/>
      <c r="B217" s="33"/>
      <c r="C217" s="21"/>
      <c r="D217" s="21"/>
      <c r="E217" s="21"/>
      <c r="F217" s="22"/>
      <c r="G217" s="21"/>
      <c r="H217" s="21"/>
      <c r="I217" s="22"/>
      <c r="J217" s="21"/>
      <c r="K217" s="21"/>
      <c r="L217" s="21"/>
    </row>
    <row r="218" spans="1:12" ht="14.45">
      <c r="A218" s="21"/>
      <c r="B218" s="33"/>
      <c r="C218" s="21"/>
      <c r="D218" s="21"/>
      <c r="E218" s="21"/>
      <c r="F218" s="22"/>
      <c r="G218" s="21"/>
      <c r="H218" s="21"/>
      <c r="I218" s="22"/>
      <c r="J218" s="21"/>
      <c r="K218" s="21"/>
      <c r="L218" s="21"/>
    </row>
    <row r="219" spans="1:12" ht="14.45">
      <c r="A219" s="21"/>
      <c r="B219" s="33"/>
      <c r="C219" s="21"/>
      <c r="D219" s="21"/>
      <c r="E219" s="21"/>
      <c r="F219" s="22"/>
      <c r="G219" s="21"/>
      <c r="H219" s="21"/>
      <c r="I219" s="22"/>
      <c r="J219" s="21"/>
      <c r="K219" s="21"/>
      <c r="L219" s="21"/>
    </row>
    <row r="220" spans="1:12" ht="14.45">
      <c r="A220" s="21"/>
      <c r="B220" s="33"/>
      <c r="C220" s="21"/>
      <c r="D220" s="21"/>
      <c r="E220" s="21"/>
      <c r="F220" s="22"/>
      <c r="G220" s="21"/>
      <c r="H220" s="21"/>
      <c r="I220" s="22"/>
      <c r="J220" s="21"/>
      <c r="K220" s="21"/>
      <c r="L220" s="21"/>
    </row>
    <row r="221" spans="1:12" ht="14.45">
      <c r="A221" s="21"/>
      <c r="B221" s="33"/>
      <c r="C221" s="21"/>
      <c r="D221" s="21"/>
      <c r="E221" s="21"/>
      <c r="F221" s="22"/>
      <c r="G221" s="21"/>
      <c r="H221" s="21"/>
      <c r="I221" s="22"/>
      <c r="J221" s="21"/>
      <c r="K221" s="21"/>
      <c r="L221" s="21"/>
    </row>
    <row r="222" spans="1:12" ht="14.45">
      <c r="A222" s="21"/>
      <c r="B222" s="33"/>
      <c r="C222" s="21"/>
      <c r="D222" s="21"/>
      <c r="E222" s="21"/>
      <c r="F222" s="22"/>
      <c r="G222" s="21"/>
      <c r="H222" s="21"/>
      <c r="I222" s="22"/>
      <c r="J222" s="21"/>
      <c r="K222" s="21"/>
      <c r="L222" s="21"/>
    </row>
    <row r="223" spans="1:12" ht="14.45">
      <c r="A223" s="21"/>
      <c r="B223" s="33"/>
      <c r="C223" s="21"/>
      <c r="D223" s="21"/>
      <c r="E223" s="21"/>
      <c r="F223" s="22"/>
      <c r="G223" s="21"/>
      <c r="H223" s="21"/>
      <c r="I223" s="22"/>
      <c r="J223" s="21"/>
      <c r="K223" s="21"/>
      <c r="L223" s="21"/>
    </row>
    <row r="224" spans="1:12" ht="14.45">
      <c r="A224" s="21"/>
      <c r="B224" s="33"/>
      <c r="C224" s="21"/>
      <c r="D224" s="21"/>
      <c r="E224" s="21"/>
      <c r="F224" s="22"/>
      <c r="G224" s="21"/>
      <c r="H224" s="21"/>
      <c r="I224" s="22"/>
      <c r="J224" s="21"/>
      <c r="K224" s="21"/>
      <c r="L224" s="21"/>
    </row>
    <row r="225" spans="1:12" ht="14.45">
      <c r="A225" s="21"/>
      <c r="B225" s="33"/>
      <c r="C225" s="21"/>
      <c r="D225" s="21"/>
      <c r="E225" s="21"/>
      <c r="F225" s="22"/>
      <c r="G225" s="21"/>
      <c r="H225" s="21"/>
      <c r="I225" s="22"/>
      <c r="J225" s="21"/>
      <c r="K225" s="21"/>
      <c r="L225" s="21"/>
    </row>
    <row r="226" spans="1:12" ht="14.45">
      <c r="A226" s="21"/>
      <c r="B226" s="33"/>
      <c r="C226" s="21"/>
      <c r="D226" s="21"/>
      <c r="E226" s="21"/>
      <c r="F226" s="22"/>
      <c r="G226" s="21"/>
      <c r="H226" s="21"/>
      <c r="I226" s="22"/>
      <c r="J226" s="21"/>
      <c r="K226" s="21"/>
      <c r="L226" s="21"/>
    </row>
    <row r="227" spans="1:12" ht="14.45">
      <c r="A227" s="21"/>
      <c r="B227" s="33"/>
      <c r="C227" s="21"/>
      <c r="D227" s="21"/>
      <c r="E227" s="21"/>
      <c r="F227" s="22"/>
      <c r="G227" s="21"/>
      <c r="H227" s="21"/>
      <c r="I227" s="22"/>
      <c r="J227" s="21"/>
      <c r="K227" s="21"/>
      <c r="L227" s="21"/>
    </row>
    <row r="228" spans="1:12" ht="14.45">
      <c r="A228" s="21"/>
      <c r="B228" s="33"/>
      <c r="C228" s="21"/>
      <c r="D228" s="21"/>
      <c r="E228" s="21"/>
      <c r="F228" s="22"/>
      <c r="G228" s="21"/>
      <c r="H228" s="21"/>
      <c r="I228" s="22"/>
      <c r="J228" s="21"/>
      <c r="K228" s="21"/>
      <c r="L228" s="21"/>
    </row>
    <row r="229" spans="1:12" ht="14.45">
      <c r="A229" s="21"/>
      <c r="B229" s="33"/>
      <c r="C229" s="21"/>
      <c r="D229" s="21"/>
      <c r="E229" s="21"/>
      <c r="F229" s="22"/>
      <c r="G229" s="21"/>
      <c r="H229" s="21"/>
      <c r="I229" s="22"/>
      <c r="J229" s="21"/>
      <c r="K229" s="21"/>
      <c r="L229" s="21"/>
    </row>
    <row r="230" spans="1:12" ht="14.45">
      <c r="A230" s="21"/>
      <c r="B230" s="33"/>
      <c r="C230" s="21"/>
      <c r="D230" s="21"/>
      <c r="E230" s="21"/>
      <c r="F230" s="22"/>
      <c r="G230" s="21"/>
      <c r="H230" s="21"/>
      <c r="I230" s="22"/>
      <c r="J230" s="21"/>
      <c r="K230" s="21"/>
      <c r="L230" s="21"/>
    </row>
    <row r="231" spans="1:12" ht="14.45">
      <c r="A231" s="21"/>
      <c r="B231" s="33"/>
      <c r="C231" s="21"/>
      <c r="D231" s="21"/>
      <c r="E231" s="21"/>
      <c r="F231" s="22"/>
      <c r="G231" s="21"/>
      <c r="H231" s="21"/>
      <c r="I231" s="22"/>
      <c r="J231" s="21"/>
      <c r="K231" s="21"/>
      <c r="L231" s="21"/>
    </row>
    <row r="232" spans="1:12" ht="14.45">
      <c r="A232" s="21"/>
      <c r="B232" s="33"/>
      <c r="C232" s="21"/>
      <c r="D232" s="21"/>
      <c r="E232" s="21"/>
      <c r="F232" s="22"/>
      <c r="G232" s="21"/>
      <c r="H232" s="21"/>
      <c r="I232" s="22"/>
      <c r="J232" s="21"/>
      <c r="K232" s="21"/>
      <c r="L232" s="21"/>
    </row>
    <row r="233" spans="1:12" ht="14.45">
      <c r="A233" s="21"/>
      <c r="B233" s="33"/>
      <c r="C233" s="21"/>
      <c r="D233" s="21"/>
      <c r="E233" s="21"/>
      <c r="F233" s="22"/>
      <c r="G233" s="21"/>
      <c r="H233" s="21"/>
      <c r="I233" s="22"/>
      <c r="J233" s="21"/>
      <c r="K233" s="21"/>
      <c r="L233" s="21"/>
    </row>
    <row r="234" spans="1:12" ht="14.45">
      <c r="A234" s="21"/>
      <c r="B234" s="33"/>
      <c r="C234" s="21"/>
      <c r="D234" s="21"/>
      <c r="E234" s="21"/>
      <c r="F234" s="22"/>
      <c r="G234" s="21"/>
      <c r="H234" s="21"/>
      <c r="I234" s="22"/>
      <c r="J234" s="21"/>
      <c r="K234" s="21"/>
      <c r="L234" s="21"/>
    </row>
    <row r="235" spans="1:12" ht="14.45">
      <c r="A235" s="21"/>
      <c r="B235" s="33"/>
      <c r="C235" s="21"/>
      <c r="D235" s="21"/>
      <c r="E235" s="21"/>
      <c r="F235" s="22"/>
      <c r="G235" s="21"/>
      <c r="H235" s="21"/>
      <c r="I235" s="22"/>
      <c r="J235" s="21"/>
      <c r="K235" s="21"/>
      <c r="L235" s="21"/>
    </row>
    <row r="236" spans="1:12" ht="14.45">
      <c r="A236" s="21"/>
      <c r="B236" s="33"/>
      <c r="C236" s="21"/>
      <c r="D236" s="21"/>
      <c r="E236" s="21"/>
      <c r="F236" s="22"/>
      <c r="G236" s="21"/>
      <c r="H236" s="21"/>
      <c r="I236" s="22"/>
      <c r="J236" s="21"/>
      <c r="K236" s="21"/>
      <c r="L236" s="21"/>
    </row>
    <row r="237" spans="1:12" ht="14.45">
      <c r="A237" s="21"/>
      <c r="B237" s="33"/>
      <c r="C237" s="21"/>
      <c r="D237" s="21"/>
      <c r="E237" s="21"/>
      <c r="F237" s="22"/>
      <c r="G237" s="21"/>
      <c r="H237" s="21"/>
      <c r="I237" s="22"/>
      <c r="J237" s="21"/>
      <c r="K237" s="21"/>
      <c r="L237" s="21"/>
    </row>
    <row r="238" spans="1:12" ht="14.45">
      <c r="A238" s="21"/>
      <c r="B238" s="33"/>
      <c r="C238" s="21"/>
      <c r="D238" s="21"/>
      <c r="E238" s="21"/>
      <c r="F238" s="22"/>
      <c r="G238" s="21"/>
      <c r="H238" s="21"/>
      <c r="I238" s="22"/>
      <c r="J238" s="21"/>
      <c r="K238" s="21"/>
      <c r="L238" s="21"/>
    </row>
    <row r="239" spans="1:12" ht="14.45">
      <c r="A239" s="21"/>
      <c r="B239" s="33"/>
      <c r="C239" s="21"/>
      <c r="D239" s="21"/>
      <c r="E239" s="21"/>
      <c r="F239" s="22"/>
      <c r="G239" s="21"/>
      <c r="H239" s="21"/>
      <c r="I239" s="22"/>
      <c r="J239" s="21"/>
      <c r="K239" s="21"/>
      <c r="L239" s="21"/>
    </row>
    <row r="240" spans="1:12" ht="14.45">
      <c r="A240" s="21"/>
      <c r="B240" s="33"/>
      <c r="C240" s="21"/>
      <c r="D240" s="21"/>
      <c r="E240" s="21"/>
      <c r="F240" s="22"/>
      <c r="G240" s="21"/>
      <c r="H240" s="21"/>
      <c r="I240" s="22"/>
      <c r="J240" s="21"/>
      <c r="K240" s="21"/>
      <c r="L240" s="21"/>
    </row>
    <row r="241" spans="1:12" ht="14.45">
      <c r="A241" s="21"/>
      <c r="B241" s="33"/>
      <c r="C241" s="21"/>
      <c r="D241" s="21"/>
      <c r="E241" s="21"/>
      <c r="F241" s="22"/>
      <c r="G241" s="21"/>
      <c r="H241" s="21"/>
      <c r="I241" s="22"/>
      <c r="J241" s="21"/>
      <c r="K241" s="21"/>
      <c r="L241" s="21"/>
    </row>
    <row r="242" spans="1:12" ht="14.45">
      <c r="A242" s="21"/>
      <c r="B242" s="33"/>
      <c r="C242" s="21"/>
      <c r="D242" s="21"/>
      <c r="E242" s="21"/>
      <c r="F242" s="22"/>
      <c r="G242" s="21"/>
      <c r="H242" s="21"/>
      <c r="I242" s="22"/>
      <c r="J242" s="21"/>
      <c r="K242" s="21"/>
      <c r="L242" s="21"/>
    </row>
    <row r="243" spans="1:12" ht="14.45">
      <c r="A243" s="21"/>
      <c r="B243" s="33"/>
      <c r="C243" s="21"/>
      <c r="D243" s="21"/>
      <c r="E243" s="21"/>
      <c r="F243" s="22"/>
      <c r="G243" s="21"/>
      <c r="H243" s="21"/>
      <c r="I243" s="22"/>
      <c r="J243" s="21"/>
      <c r="K243" s="21"/>
      <c r="L243" s="21"/>
    </row>
    <row r="244" spans="1:12" ht="14.45">
      <c r="A244" s="21"/>
      <c r="B244" s="33"/>
      <c r="C244" s="21"/>
      <c r="D244" s="21"/>
      <c r="E244" s="21"/>
      <c r="F244" s="22"/>
      <c r="G244" s="21"/>
      <c r="H244" s="21"/>
      <c r="I244" s="22"/>
      <c r="J244" s="21"/>
      <c r="K244" s="21"/>
      <c r="L244" s="21"/>
    </row>
    <row r="245" spans="1:12" ht="14.45">
      <c r="A245" s="21"/>
      <c r="B245" s="33"/>
      <c r="C245" s="21"/>
      <c r="D245" s="21"/>
      <c r="E245" s="21"/>
      <c r="F245" s="22"/>
      <c r="G245" s="21"/>
      <c r="H245" s="21"/>
      <c r="I245" s="22"/>
      <c r="J245" s="21"/>
      <c r="K245" s="21"/>
      <c r="L245" s="21"/>
    </row>
    <row r="246" spans="1:12" ht="14.45">
      <c r="A246" s="21"/>
      <c r="B246" s="33"/>
      <c r="C246" s="21"/>
      <c r="D246" s="21"/>
      <c r="E246" s="21"/>
      <c r="F246" s="22"/>
      <c r="G246" s="21"/>
      <c r="H246" s="21"/>
      <c r="I246" s="22"/>
      <c r="J246" s="21"/>
      <c r="K246" s="21"/>
      <c r="L246" s="21"/>
    </row>
    <row r="247" spans="1:12" ht="14.45">
      <c r="A247" s="21"/>
      <c r="B247" s="33"/>
      <c r="C247" s="21"/>
      <c r="D247" s="21"/>
      <c r="E247" s="21"/>
      <c r="F247" s="22"/>
      <c r="G247" s="21"/>
      <c r="H247" s="21"/>
      <c r="I247" s="22"/>
      <c r="J247" s="21"/>
      <c r="K247" s="21"/>
      <c r="L247" s="21"/>
    </row>
    <row r="248" spans="1:12" ht="14.45">
      <c r="A248" s="21"/>
      <c r="B248" s="33"/>
      <c r="C248" s="21"/>
      <c r="D248" s="21"/>
      <c r="E248" s="21"/>
      <c r="F248" s="22"/>
      <c r="G248" s="21"/>
      <c r="H248" s="21"/>
      <c r="I248" s="22"/>
      <c r="J248" s="21"/>
      <c r="K248" s="21"/>
      <c r="L248" s="21"/>
    </row>
    <row r="249" spans="1:12" ht="14.45">
      <c r="A249" s="21"/>
      <c r="B249" s="33"/>
      <c r="C249" s="21"/>
      <c r="D249" s="21"/>
      <c r="E249" s="21"/>
      <c r="F249" s="22"/>
      <c r="G249" s="21"/>
      <c r="H249" s="21"/>
      <c r="I249" s="22"/>
      <c r="J249" s="21"/>
      <c r="K249" s="21"/>
      <c r="L249" s="21"/>
    </row>
    <row r="250" spans="1:12" ht="14.45">
      <c r="A250" s="21"/>
      <c r="B250" s="33"/>
      <c r="C250" s="21"/>
      <c r="D250" s="21"/>
      <c r="E250" s="21"/>
      <c r="F250" s="22"/>
      <c r="G250" s="21"/>
      <c r="H250" s="21"/>
      <c r="I250" s="22"/>
      <c r="J250" s="21"/>
      <c r="K250" s="21"/>
      <c r="L250" s="21"/>
    </row>
    <row r="251" spans="1:12" ht="14.45">
      <c r="A251" s="21"/>
      <c r="B251" s="33"/>
      <c r="C251" s="21"/>
      <c r="D251" s="21"/>
      <c r="E251" s="21"/>
      <c r="F251" s="22"/>
      <c r="G251" s="21"/>
      <c r="H251" s="21"/>
      <c r="I251" s="22"/>
      <c r="J251" s="21"/>
      <c r="K251" s="21"/>
      <c r="L251" s="21"/>
    </row>
    <row r="252" spans="1:12" ht="14.45">
      <c r="A252" s="21"/>
      <c r="B252" s="33"/>
      <c r="C252" s="21"/>
      <c r="D252" s="21"/>
      <c r="E252" s="21"/>
      <c r="F252" s="22"/>
      <c r="G252" s="21"/>
      <c r="H252" s="21"/>
      <c r="I252" s="22"/>
      <c r="J252" s="21"/>
      <c r="K252" s="21"/>
      <c r="L252" s="21"/>
    </row>
    <row r="253" spans="1:12" ht="14.45">
      <c r="A253" s="21"/>
      <c r="B253" s="33"/>
      <c r="C253" s="21"/>
      <c r="D253" s="21"/>
      <c r="E253" s="21"/>
      <c r="F253" s="22"/>
      <c r="G253" s="21"/>
      <c r="H253" s="21"/>
      <c r="I253" s="22"/>
      <c r="J253" s="21"/>
      <c r="K253" s="21"/>
      <c r="L253" s="21"/>
    </row>
    <row r="254" spans="1:12" ht="14.45">
      <c r="A254" s="21"/>
      <c r="B254" s="33"/>
      <c r="C254" s="21"/>
      <c r="D254" s="21"/>
      <c r="E254" s="21"/>
      <c r="F254" s="22"/>
      <c r="G254" s="21"/>
      <c r="H254" s="21"/>
      <c r="I254" s="22"/>
      <c r="J254" s="21"/>
      <c r="K254" s="21"/>
      <c r="L254" s="21"/>
    </row>
    <row r="255" spans="1:12" ht="14.45">
      <c r="A255" s="21"/>
      <c r="B255" s="33"/>
      <c r="C255" s="21"/>
      <c r="D255" s="21"/>
      <c r="E255" s="21"/>
      <c r="F255" s="22"/>
      <c r="G255" s="21"/>
      <c r="H255" s="21"/>
      <c r="I255" s="22"/>
      <c r="J255" s="21"/>
      <c r="K255" s="21"/>
      <c r="L255" s="21"/>
    </row>
    <row r="256" spans="1:12" ht="14.45">
      <c r="A256" s="21"/>
      <c r="B256" s="33"/>
      <c r="C256" s="21"/>
      <c r="D256" s="21"/>
      <c r="E256" s="21"/>
      <c r="F256" s="22"/>
      <c r="G256" s="21"/>
      <c r="H256" s="21"/>
      <c r="I256" s="22"/>
      <c r="J256" s="21"/>
      <c r="K256" s="21"/>
      <c r="L256" s="21"/>
    </row>
    <row r="257" spans="1:12" ht="14.45">
      <c r="A257" s="21"/>
      <c r="B257" s="33"/>
      <c r="C257" s="21"/>
      <c r="D257" s="21"/>
      <c r="E257" s="21"/>
      <c r="F257" s="22"/>
      <c r="G257" s="21"/>
      <c r="H257" s="21"/>
      <c r="I257" s="22"/>
      <c r="J257" s="21"/>
      <c r="K257" s="21"/>
      <c r="L257" s="21"/>
    </row>
    <row r="258" spans="1:12" ht="14.45">
      <c r="A258" s="21"/>
      <c r="B258" s="33"/>
      <c r="C258" s="21"/>
      <c r="D258" s="21"/>
      <c r="E258" s="21"/>
      <c r="F258" s="22"/>
      <c r="G258" s="21"/>
      <c r="H258" s="21"/>
      <c r="I258" s="22"/>
      <c r="J258" s="21"/>
      <c r="K258" s="21"/>
      <c r="L258" s="21"/>
    </row>
    <row r="259" spans="1:12" ht="14.45">
      <c r="A259" s="21"/>
      <c r="B259" s="33"/>
      <c r="C259" s="21"/>
      <c r="D259" s="21"/>
      <c r="E259" s="21"/>
      <c r="F259" s="22"/>
      <c r="G259" s="21"/>
      <c r="H259" s="21"/>
      <c r="I259" s="22"/>
      <c r="J259" s="21"/>
      <c r="K259" s="21"/>
      <c r="L259" s="21"/>
    </row>
    <row r="260" spans="1:12" ht="14.45">
      <c r="A260" s="21"/>
      <c r="B260" s="33"/>
      <c r="C260" s="21"/>
      <c r="D260" s="21"/>
      <c r="E260" s="21"/>
      <c r="F260" s="22"/>
      <c r="G260" s="21"/>
      <c r="H260" s="21"/>
      <c r="I260" s="22"/>
      <c r="J260" s="21"/>
      <c r="K260" s="21"/>
      <c r="L260" s="21"/>
    </row>
    <row r="261" spans="1:12" ht="14.45">
      <c r="A261" s="21"/>
      <c r="B261" s="33"/>
      <c r="C261" s="21"/>
      <c r="D261" s="21"/>
      <c r="E261" s="21"/>
      <c r="F261" s="22"/>
      <c r="G261" s="21"/>
      <c r="H261" s="21"/>
      <c r="I261" s="22"/>
      <c r="J261" s="21"/>
      <c r="K261" s="21"/>
      <c r="L261" s="21"/>
    </row>
    <row r="262" spans="1:12" ht="14.45">
      <c r="A262" s="21"/>
      <c r="B262" s="33"/>
      <c r="C262" s="21"/>
      <c r="D262" s="21"/>
      <c r="E262" s="21"/>
      <c r="F262" s="22"/>
      <c r="G262" s="21"/>
      <c r="H262" s="21"/>
      <c r="I262" s="22"/>
      <c r="J262" s="21"/>
      <c r="K262" s="21"/>
      <c r="L262" s="21"/>
    </row>
    <row r="263" spans="1:12" ht="14.45">
      <c r="A263" s="21"/>
      <c r="B263" s="33"/>
      <c r="C263" s="21"/>
      <c r="D263" s="21"/>
      <c r="E263" s="21"/>
      <c r="F263" s="22"/>
      <c r="G263" s="21"/>
      <c r="H263" s="21"/>
      <c r="I263" s="22"/>
      <c r="J263" s="21"/>
      <c r="K263" s="21"/>
      <c r="L263" s="21"/>
    </row>
    <row r="264" spans="1:12" ht="14.45">
      <c r="A264" s="21"/>
      <c r="B264" s="33"/>
      <c r="C264" s="21"/>
      <c r="D264" s="21"/>
      <c r="E264" s="21"/>
      <c r="F264" s="22"/>
      <c r="G264" s="21"/>
      <c r="H264" s="21"/>
      <c r="I264" s="22"/>
      <c r="J264" s="21"/>
      <c r="K264" s="21"/>
      <c r="L264" s="21"/>
    </row>
    <row r="265" spans="1:12" ht="14.45">
      <c r="A265" s="21"/>
      <c r="B265" s="33"/>
      <c r="C265" s="21"/>
      <c r="D265" s="21"/>
      <c r="E265" s="21"/>
      <c r="F265" s="22"/>
      <c r="G265" s="21"/>
      <c r="H265" s="21"/>
      <c r="I265" s="22"/>
      <c r="J265" s="21"/>
      <c r="K265" s="21"/>
      <c r="L265" s="21"/>
    </row>
    <row r="266" spans="1:12" ht="14.45">
      <c r="A266" s="21"/>
      <c r="B266" s="33"/>
      <c r="C266" s="21"/>
      <c r="D266" s="21"/>
      <c r="E266" s="21"/>
      <c r="F266" s="22"/>
      <c r="G266" s="21"/>
      <c r="H266" s="21"/>
      <c r="I266" s="22"/>
      <c r="J266" s="21"/>
      <c r="K266" s="21"/>
      <c r="L266" s="21"/>
    </row>
    <row r="267" spans="1:12" ht="14.45">
      <c r="A267" s="21"/>
      <c r="B267" s="33"/>
      <c r="C267" s="21"/>
      <c r="D267" s="21"/>
      <c r="E267" s="21"/>
      <c r="F267" s="22"/>
      <c r="G267" s="21"/>
      <c r="H267" s="21"/>
      <c r="I267" s="22"/>
      <c r="J267" s="21"/>
      <c r="K267" s="21"/>
      <c r="L267" s="21"/>
    </row>
    <row r="268" spans="1:12" ht="14.45">
      <c r="A268" s="21"/>
      <c r="B268" s="33"/>
      <c r="C268" s="21"/>
      <c r="D268" s="21"/>
      <c r="E268" s="21"/>
      <c r="F268" s="22"/>
      <c r="G268" s="21"/>
      <c r="H268" s="21"/>
      <c r="I268" s="22"/>
      <c r="J268" s="21"/>
      <c r="K268" s="21"/>
      <c r="L268" s="21"/>
    </row>
    <row r="269" spans="1:12" ht="14.45">
      <c r="A269" s="21"/>
      <c r="B269" s="33"/>
      <c r="C269" s="21"/>
      <c r="D269" s="21"/>
      <c r="E269" s="21"/>
      <c r="F269" s="22"/>
      <c r="G269" s="21"/>
      <c r="H269" s="21"/>
      <c r="I269" s="22"/>
      <c r="J269" s="21"/>
      <c r="K269" s="21"/>
      <c r="L269" s="21"/>
    </row>
    <row r="270" spans="1:12" ht="14.45">
      <c r="A270" s="21"/>
      <c r="B270" s="33"/>
      <c r="C270" s="21"/>
      <c r="D270" s="21"/>
      <c r="E270" s="21"/>
      <c r="F270" s="22"/>
      <c r="G270" s="21"/>
      <c r="H270" s="21"/>
      <c r="I270" s="22"/>
      <c r="J270" s="21"/>
      <c r="K270" s="21"/>
      <c r="L270" s="21"/>
    </row>
    <row r="271" spans="1:12" ht="14.45">
      <c r="A271" s="21"/>
      <c r="B271" s="33"/>
      <c r="C271" s="21"/>
      <c r="D271" s="21"/>
      <c r="E271" s="21"/>
      <c r="F271" s="22"/>
      <c r="G271" s="21"/>
      <c r="H271" s="21"/>
      <c r="I271" s="22"/>
      <c r="J271" s="21"/>
      <c r="K271" s="21"/>
      <c r="L271" s="21"/>
    </row>
    <row r="272" spans="1:12" ht="14.45">
      <c r="A272" s="21"/>
      <c r="B272" s="33"/>
      <c r="C272" s="21"/>
      <c r="D272" s="21"/>
      <c r="E272" s="21"/>
      <c r="F272" s="22"/>
      <c r="G272" s="21"/>
      <c r="H272" s="21"/>
      <c r="I272" s="22"/>
      <c r="J272" s="21"/>
      <c r="K272" s="21"/>
      <c r="L272" s="21"/>
    </row>
    <row r="273" spans="1:12" ht="14.45">
      <c r="A273" s="21"/>
      <c r="B273" s="33"/>
      <c r="C273" s="21"/>
      <c r="D273" s="21"/>
      <c r="E273" s="21"/>
      <c r="F273" s="22"/>
      <c r="G273" s="21"/>
      <c r="H273" s="21"/>
      <c r="I273" s="22"/>
      <c r="J273" s="21"/>
      <c r="K273" s="21"/>
      <c r="L273" s="21"/>
    </row>
    <row r="274" spans="1:12" ht="14.45">
      <c r="A274" s="21"/>
      <c r="B274" s="33"/>
      <c r="C274" s="21"/>
      <c r="D274" s="21"/>
      <c r="E274" s="21"/>
      <c r="F274" s="22"/>
      <c r="G274" s="21"/>
      <c r="H274" s="21"/>
      <c r="I274" s="22"/>
      <c r="J274" s="21"/>
      <c r="K274" s="21"/>
      <c r="L274" s="21"/>
    </row>
    <row r="275" spans="1:12" ht="14.45">
      <c r="A275" s="21"/>
      <c r="B275" s="33"/>
      <c r="C275" s="21"/>
      <c r="D275" s="21"/>
      <c r="E275" s="21"/>
      <c r="F275" s="22"/>
      <c r="G275" s="21"/>
      <c r="H275" s="21"/>
      <c r="I275" s="22"/>
      <c r="J275" s="21"/>
      <c r="K275" s="21"/>
      <c r="L275" s="21"/>
    </row>
    <row r="276" spans="1:12" ht="14.45">
      <c r="A276" s="21"/>
      <c r="B276" s="33"/>
      <c r="C276" s="21"/>
      <c r="D276" s="21"/>
      <c r="E276" s="21"/>
      <c r="F276" s="22"/>
      <c r="G276" s="21"/>
      <c r="H276" s="21"/>
      <c r="I276" s="22"/>
      <c r="J276" s="21"/>
      <c r="K276" s="21"/>
      <c r="L276" s="21"/>
    </row>
    <row r="277" spans="1:12" ht="14.45">
      <c r="A277" s="21"/>
      <c r="B277" s="33"/>
      <c r="C277" s="21"/>
      <c r="D277" s="21"/>
      <c r="E277" s="21"/>
      <c r="F277" s="22"/>
      <c r="G277" s="21"/>
      <c r="H277" s="21"/>
      <c r="I277" s="22"/>
      <c r="J277" s="21"/>
      <c r="K277" s="21"/>
      <c r="L277" s="21"/>
    </row>
    <row r="278" spans="1:12" ht="14.45">
      <c r="A278" s="21"/>
      <c r="B278" s="33"/>
      <c r="C278" s="21"/>
      <c r="D278" s="21"/>
      <c r="E278" s="21"/>
      <c r="F278" s="22"/>
      <c r="G278" s="21"/>
      <c r="H278" s="21"/>
      <c r="I278" s="22"/>
      <c r="J278" s="21"/>
      <c r="K278" s="21"/>
      <c r="L278" s="21"/>
    </row>
    <row r="279" spans="1:12" ht="14.45">
      <c r="A279" s="21"/>
      <c r="B279" s="33"/>
      <c r="C279" s="21"/>
      <c r="D279" s="21"/>
      <c r="E279" s="21"/>
      <c r="F279" s="22"/>
      <c r="G279" s="21"/>
      <c r="H279" s="21"/>
      <c r="I279" s="22"/>
      <c r="J279" s="21"/>
      <c r="K279" s="21"/>
      <c r="L279" s="21"/>
    </row>
    <row r="280" spans="1:12" ht="14.45">
      <c r="A280" s="21"/>
      <c r="B280" s="33"/>
      <c r="C280" s="21"/>
      <c r="D280" s="21"/>
      <c r="E280" s="21"/>
      <c r="F280" s="22"/>
      <c r="G280" s="21"/>
      <c r="H280" s="21"/>
      <c r="I280" s="22"/>
      <c r="J280" s="21"/>
      <c r="K280" s="21"/>
      <c r="L280" s="21"/>
    </row>
    <row r="281" spans="1:12" ht="14.45">
      <c r="A281" s="21"/>
      <c r="B281" s="33"/>
      <c r="C281" s="21"/>
      <c r="D281" s="21"/>
      <c r="E281" s="21"/>
      <c r="F281" s="22"/>
      <c r="G281" s="21"/>
      <c r="H281" s="21"/>
      <c r="I281" s="22"/>
      <c r="J281" s="21"/>
      <c r="K281" s="21"/>
      <c r="L281" s="21"/>
    </row>
    <row r="282" spans="1:12" ht="14.45">
      <c r="A282" s="21"/>
      <c r="B282" s="33"/>
      <c r="C282" s="21"/>
      <c r="D282" s="21"/>
      <c r="E282" s="21"/>
      <c r="F282" s="22"/>
      <c r="G282" s="21"/>
      <c r="H282" s="21"/>
      <c r="I282" s="22"/>
      <c r="J282" s="21"/>
      <c r="K282" s="21"/>
      <c r="L282" s="21"/>
    </row>
    <row r="283" spans="1:12" ht="14.45">
      <c r="A283" s="21"/>
      <c r="B283" s="33"/>
      <c r="C283" s="21"/>
      <c r="D283" s="21"/>
      <c r="E283" s="21"/>
      <c r="F283" s="22"/>
      <c r="G283" s="21"/>
      <c r="H283" s="21"/>
      <c r="I283" s="22"/>
      <c r="J283" s="21"/>
      <c r="K283" s="21"/>
      <c r="L283" s="21"/>
    </row>
    <row r="284" spans="1:12" ht="14.45">
      <c r="A284" s="21"/>
      <c r="B284" s="33"/>
      <c r="C284" s="21"/>
      <c r="D284" s="21"/>
      <c r="E284" s="21"/>
      <c r="F284" s="22"/>
      <c r="G284" s="21"/>
      <c r="H284" s="21"/>
      <c r="I284" s="22"/>
      <c r="J284" s="21"/>
      <c r="K284" s="21"/>
      <c r="L284" s="21"/>
    </row>
    <row r="285" spans="1:12" ht="14.45">
      <c r="A285" s="21"/>
      <c r="B285" s="33"/>
      <c r="C285" s="21"/>
      <c r="D285" s="21"/>
      <c r="E285" s="21"/>
      <c r="F285" s="22"/>
      <c r="G285" s="21"/>
      <c r="H285" s="21"/>
      <c r="I285" s="22"/>
      <c r="J285" s="21"/>
      <c r="K285" s="21"/>
      <c r="L285" s="21"/>
    </row>
    <row r="286" spans="1:12" ht="14.45">
      <c r="A286" s="21"/>
      <c r="B286" s="33"/>
      <c r="C286" s="21"/>
      <c r="D286" s="21"/>
      <c r="E286" s="21"/>
      <c r="F286" s="22"/>
      <c r="G286" s="21"/>
      <c r="H286" s="21"/>
      <c r="I286" s="22"/>
      <c r="J286" s="21"/>
      <c r="K286" s="21"/>
      <c r="L286" s="21"/>
    </row>
    <row r="287" spans="1:12" ht="14.45">
      <c r="A287" s="21"/>
      <c r="B287" s="33"/>
      <c r="C287" s="21"/>
      <c r="D287" s="21"/>
      <c r="E287" s="21"/>
      <c r="F287" s="22"/>
      <c r="G287" s="21"/>
      <c r="H287" s="21"/>
      <c r="I287" s="22"/>
      <c r="J287" s="21"/>
      <c r="K287" s="21"/>
      <c r="L287" s="21"/>
    </row>
    <row r="288" spans="1:12" ht="14.45">
      <c r="A288" s="21"/>
      <c r="B288" s="33"/>
      <c r="C288" s="21"/>
      <c r="D288" s="21"/>
      <c r="E288" s="21"/>
      <c r="F288" s="22"/>
      <c r="G288" s="21"/>
      <c r="H288" s="21"/>
      <c r="I288" s="22"/>
      <c r="J288" s="21"/>
      <c r="K288" s="21"/>
      <c r="L288" s="21"/>
    </row>
    <row r="289" spans="1:12" ht="14.45">
      <c r="A289" s="21"/>
      <c r="B289" s="33"/>
      <c r="C289" s="21"/>
      <c r="D289" s="21"/>
      <c r="E289" s="21"/>
      <c r="F289" s="22"/>
      <c r="G289" s="21"/>
      <c r="H289" s="21"/>
      <c r="I289" s="22"/>
      <c r="J289" s="21"/>
      <c r="K289" s="21"/>
      <c r="L289" s="21"/>
    </row>
    <row r="290" spans="1:12" ht="14.45">
      <c r="A290" s="21"/>
      <c r="B290" s="33"/>
      <c r="C290" s="21"/>
      <c r="D290" s="21"/>
      <c r="E290" s="21"/>
      <c r="F290" s="22"/>
      <c r="G290" s="21"/>
      <c r="H290" s="21"/>
      <c r="I290" s="22"/>
      <c r="J290" s="21"/>
      <c r="K290" s="21"/>
      <c r="L290" s="21"/>
    </row>
    <row r="291" spans="1:12" ht="14.45">
      <c r="A291" s="21"/>
      <c r="B291" s="33"/>
      <c r="C291" s="21"/>
      <c r="D291" s="21"/>
      <c r="E291" s="21"/>
      <c r="F291" s="22"/>
      <c r="G291" s="21"/>
      <c r="H291" s="21"/>
      <c r="I291" s="22"/>
      <c r="J291" s="21"/>
      <c r="K291" s="21"/>
      <c r="L291" s="21"/>
    </row>
    <row r="292" spans="1:12" ht="14.45">
      <c r="A292" s="21"/>
      <c r="B292" s="33"/>
      <c r="C292" s="21"/>
      <c r="D292" s="21"/>
      <c r="E292" s="21"/>
      <c r="F292" s="22"/>
      <c r="G292" s="21"/>
      <c r="H292" s="21"/>
      <c r="I292" s="22"/>
      <c r="J292" s="21"/>
      <c r="K292" s="21"/>
      <c r="L292" s="21"/>
    </row>
    <row r="293" spans="1:12" ht="14.45">
      <c r="A293" s="21"/>
      <c r="B293" s="33"/>
      <c r="C293" s="21"/>
      <c r="D293" s="21"/>
      <c r="E293" s="21"/>
      <c r="F293" s="22"/>
      <c r="G293" s="21"/>
      <c r="H293" s="21"/>
      <c r="I293" s="22"/>
      <c r="J293" s="21"/>
      <c r="K293" s="21"/>
      <c r="L293" s="21"/>
    </row>
    <row r="294" spans="1:12" ht="14.45">
      <c r="A294" s="21"/>
      <c r="B294" s="33"/>
      <c r="C294" s="21"/>
      <c r="D294" s="21"/>
      <c r="E294" s="21"/>
      <c r="F294" s="22"/>
      <c r="G294" s="21"/>
      <c r="H294" s="21"/>
      <c r="I294" s="22"/>
      <c r="J294" s="21"/>
      <c r="K294" s="21"/>
      <c r="L294" s="21"/>
    </row>
    <row r="295" spans="1:12" ht="14.45">
      <c r="A295" s="21"/>
      <c r="B295" s="33"/>
      <c r="C295" s="21"/>
      <c r="D295" s="21"/>
      <c r="E295" s="21"/>
      <c r="F295" s="22"/>
      <c r="G295" s="21"/>
      <c r="H295" s="21"/>
      <c r="I295" s="22"/>
      <c r="J295" s="21"/>
      <c r="K295" s="21"/>
      <c r="L295" s="21"/>
    </row>
    <row r="296" spans="1:12" ht="14.45">
      <c r="A296" s="21"/>
      <c r="B296" s="33"/>
      <c r="C296" s="21"/>
      <c r="D296" s="21"/>
      <c r="E296" s="21"/>
      <c r="F296" s="22"/>
      <c r="G296" s="21"/>
      <c r="H296" s="21"/>
      <c r="I296" s="22"/>
      <c r="J296" s="21"/>
      <c r="K296" s="21"/>
      <c r="L296" s="21"/>
    </row>
    <row r="297" spans="1:12" ht="14.45">
      <c r="A297" s="21"/>
      <c r="B297" s="33"/>
      <c r="C297" s="21"/>
      <c r="D297" s="21"/>
      <c r="E297" s="21"/>
      <c r="F297" s="22"/>
      <c r="G297" s="21"/>
      <c r="H297" s="21"/>
      <c r="I297" s="22"/>
      <c r="J297" s="21"/>
      <c r="K297" s="21"/>
      <c r="L297" s="21"/>
    </row>
    <row r="298" spans="1:12" ht="14.45">
      <c r="A298" s="21"/>
      <c r="B298" s="33"/>
      <c r="C298" s="21"/>
      <c r="D298" s="21"/>
      <c r="E298" s="21"/>
      <c r="F298" s="22"/>
      <c r="G298" s="21"/>
      <c r="H298" s="21"/>
      <c r="I298" s="22"/>
      <c r="J298" s="21"/>
      <c r="K298" s="21"/>
      <c r="L298" s="21"/>
    </row>
    <row r="299" spans="1:12" ht="14.45">
      <c r="A299" s="21"/>
      <c r="B299" s="33"/>
      <c r="C299" s="21"/>
      <c r="D299" s="21"/>
      <c r="E299" s="21"/>
      <c r="F299" s="22"/>
      <c r="G299" s="21"/>
      <c r="H299" s="21"/>
      <c r="I299" s="22"/>
      <c r="J299" s="21"/>
      <c r="K299" s="21"/>
      <c r="L299" s="21"/>
    </row>
    <row r="300" spans="1:12" ht="14.45">
      <c r="A300" s="21"/>
      <c r="B300" s="33"/>
      <c r="C300" s="21"/>
      <c r="D300" s="21"/>
      <c r="E300" s="21"/>
      <c r="F300" s="22"/>
      <c r="G300" s="21"/>
      <c r="H300" s="21"/>
      <c r="I300" s="22"/>
      <c r="J300" s="21"/>
      <c r="K300" s="21"/>
      <c r="L300" s="21"/>
    </row>
    <row r="301" spans="1:12" ht="14.45">
      <c r="A301" s="21"/>
      <c r="B301" s="33"/>
      <c r="C301" s="21"/>
      <c r="D301" s="21"/>
      <c r="E301" s="21"/>
      <c r="F301" s="22"/>
      <c r="G301" s="21"/>
      <c r="H301" s="21"/>
      <c r="I301" s="22"/>
      <c r="J301" s="21"/>
      <c r="K301" s="21"/>
      <c r="L301" s="21"/>
    </row>
    <row r="302" spans="1:12" ht="14.45">
      <c r="A302" s="21"/>
      <c r="B302" s="33"/>
      <c r="C302" s="21"/>
      <c r="D302" s="21"/>
      <c r="E302" s="21"/>
      <c r="F302" s="22"/>
      <c r="G302" s="21"/>
      <c r="H302" s="21"/>
      <c r="I302" s="22"/>
      <c r="J302" s="21"/>
      <c r="K302" s="21"/>
      <c r="L302" s="21"/>
    </row>
    <row r="303" spans="1:12" ht="14.45">
      <c r="A303" s="21"/>
      <c r="B303" s="33"/>
      <c r="C303" s="21"/>
      <c r="D303" s="21"/>
      <c r="E303" s="21"/>
      <c r="F303" s="22"/>
      <c r="G303" s="21"/>
      <c r="H303" s="21"/>
      <c r="I303" s="22"/>
      <c r="J303" s="21"/>
      <c r="K303" s="21"/>
      <c r="L303" s="21"/>
    </row>
    <row r="304" spans="1:12" ht="14.45">
      <c r="A304" s="21"/>
      <c r="B304" s="33"/>
      <c r="C304" s="21"/>
      <c r="D304" s="21"/>
      <c r="E304" s="21"/>
      <c r="F304" s="22"/>
      <c r="G304" s="21"/>
      <c r="H304" s="21"/>
      <c r="I304" s="22"/>
      <c r="J304" s="21"/>
      <c r="K304" s="21"/>
      <c r="L304" s="21"/>
    </row>
    <row r="305" spans="1:12" ht="14.45">
      <c r="A305" s="21"/>
      <c r="B305" s="33"/>
      <c r="C305" s="21"/>
      <c r="D305" s="21"/>
      <c r="E305" s="21"/>
      <c r="F305" s="22"/>
      <c r="G305" s="21"/>
      <c r="H305" s="21"/>
      <c r="I305" s="22"/>
      <c r="J305" s="21"/>
      <c r="K305" s="21"/>
      <c r="L305" s="21"/>
    </row>
    <row r="306" spans="1:12" ht="14.45">
      <c r="A306" s="21"/>
      <c r="B306" s="33"/>
      <c r="C306" s="21"/>
      <c r="D306" s="21"/>
      <c r="E306" s="21"/>
      <c r="F306" s="22"/>
      <c r="G306" s="21"/>
      <c r="H306" s="21"/>
      <c r="I306" s="22"/>
      <c r="J306" s="21"/>
      <c r="K306" s="21"/>
      <c r="L306" s="21"/>
    </row>
    <row r="307" spans="1:12" ht="14.45">
      <c r="A307" s="21"/>
      <c r="B307" s="33"/>
      <c r="C307" s="21"/>
      <c r="D307" s="21"/>
      <c r="E307" s="21"/>
      <c r="F307" s="22"/>
      <c r="G307" s="21"/>
      <c r="H307" s="21"/>
      <c r="I307" s="22"/>
      <c r="J307" s="21"/>
      <c r="K307" s="21"/>
      <c r="L307" s="21"/>
    </row>
    <row r="308" spans="1:12" ht="14.45">
      <c r="A308" s="21"/>
      <c r="B308" s="33"/>
      <c r="C308" s="21"/>
      <c r="D308" s="21"/>
      <c r="E308" s="21"/>
      <c r="F308" s="22"/>
      <c r="G308" s="21"/>
      <c r="H308" s="21"/>
      <c r="I308" s="22"/>
      <c r="J308" s="21"/>
      <c r="K308" s="21"/>
      <c r="L308" s="21"/>
    </row>
    <row r="309" spans="1:12" ht="14.45">
      <c r="A309" s="21"/>
      <c r="B309" s="33"/>
      <c r="C309" s="21"/>
      <c r="D309" s="21"/>
      <c r="E309" s="21"/>
      <c r="F309" s="22"/>
      <c r="G309" s="21"/>
      <c r="H309" s="21"/>
      <c r="I309" s="22"/>
      <c r="J309" s="21"/>
      <c r="K309" s="21"/>
      <c r="L309" s="21"/>
    </row>
    <row r="310" spans="1:12" ht="14.45">
      <c r="A310" s="21"/>
      <c r="B310" s="33"/>
      <c r="C310" s="21"/>
      <c r="D310" s="21"/>
      <c r="E310" s="21"/>
      <c r="F310" s="22"/>
      <c r="G310" s="21"/>
      <c r="H310" s="21"/>
      <c r="I310" s="22"/>
      <c r="J310" s="21"/>
      <c r="K310" s="21"/>
      <c r="L310" s="21"/>
    </row>
    <row r="311" spans="1:12" ht="14.45">
      <c r="A311" s="21"/>
      <c r="B311" s="33"/>
      <c r="C311" s="21"/>
      <c r="D311" s="21"/>
      <c r="E311" s="21"/>
      <c r="F311" s="22"/>
      <c r="G311" s="21"/>
      <c r="H311" s="21"/>
      <c r="I311" s="22"/>
      <c r="J311" s="21"/>
      <c r="K311" s="21"/>
      <c r="L311" s="21"/>
    </row>
    <row r="312" spans="1:12" ht="14.45">
      <c r="A312" s="21"/>
      <c r="B312" s="33"/>
      <c r="C312" s="21"/>
      <c r="D312" s="21"/>
      <c r="E312" s="21"/>
      <c r="F312" s="22"/>
      <c r="G312" s="21"/>
      <c r="H312" s="21"/>
      <c r="I312" s="22"/>
      <c r="J312" s="21"/>
      <c r="K312" s="21"/>
      <c r="L312" s="21"/>
    </row>
    <row r="313" spans="1:12" ht="14.45">
      <c r="A313" s="21"/>
      <c r="B313" s="33"/>
      <c r="C313" s="21"/>
      <c r="D313" s="21"/>
      <c r="E313" s="21"/>
      <c r="F313" s="22"/>
      <c r="G313" s="21"/>
      <c r="H313" s="21"/>
      <c r="I313" s="22"/>
      <c r="J313" s="21"/>
      <c r="K313" s="21"/>
      <c r="L313" s="21"/>
    </row>
    <row r="314" spans="1:12" ht="14.45">
      <c r="A314" s="21"/>
      <c r="B314" s="33"/>
      <c r="C314" s="21"/>
      <c r="D314" s="21"/>
      <c r="E314" s="21"/>
      <c r="F314" s="22"/>
      <c r="G314" s="21"/>
      <c r="H314" s="21"/>
      <c r="I314" s="22"/>
      <c r="J314" s="21"/>
      <c r="K314" s="21"/>
      <c r="L314" s="21"/>
    </row>
    <row r="315" spans="1:12" ht="14.45">
      <c r="A315" s="21"/>
      <c r="B315" s="33"/>
      <c r="C315" s="21"/>
      <c r="D315" s="21"/>
      <c r="E315" s="21"/>
      <c r="F315" s="22"/>
      <c r="G315" s="21"/>
      <c r="H315" s="21"/>
      <c r="I315" s="22"/>
      <c r="J315" s="21"/>
      <c r="K315" s="21"/>
      <c r="L315" s="21"/>
    </row>
    <row r="316" spans="1:12" ht="14.45">
      <c r="A316" s="21"/>
      <c r="B316" s="33"/>
      <c r="C316" s="21"/>
      <c r="D316" s="21"/>
      <c r="E316" s="21"/>
      <c r="F316" s="22"/>
      <c r="G316" s="21"/>
      <c r="H316" s="21"/>
      <c r="I316" s="22"/>
      <c r="J316" s="21"/>
      <c r="K316" s="21"/>
      <c r="L316" s="21"/>
    </row>
    <row r="317" spans="1:12" ht="14.45">
      <c r="A317" s="21"/>
      <c r="B317" s="33"/>
      <c r="C317" s="21"/>
      <c r="D317" s="21"/>
      <c r="E317" s="21"/>
      <c r="F317" s="22"/>
      <c r="G317" s="21"/>
      <c r="H317" s="21"/>
      <c r="I317" s="22"/>
      <c r="J317" s="21"/>
      <c r="K317" s="21"/>
      <c r="L317" s="21"/>
    </row>
    <row r="318" spans="1:12" ht="14.45">
      <c r="A318" s="21"/>
      <c r="B318" s="33"/>
      <c r="C318" s="21"/>
      <c r="D318" s="21"/>
      <c r="E318" s="21"/>
      <c r="F318" s="22"/>
      <c r="G318" s="21"/>
      <c r="H318" s="21"/>
      <c r="I318" s="22"/>
      <c r="J318" s="21"/>
      <c r="K318" s="21"/>
      <c r="L318" s="21"/>
    </row>
    <row r="319" spans="1:12" ht="14.45">
      <c r="A319" s="21"/>
      <c r="B319" s="33"/>
      <c r="C319" s="21"/>
      <c r="D319" s="21"/>
      <c r="E319" s="21"/>
      <c r="F319" s="22"/>
      <c r="G319" s="21"/>
      <c r="H319" s="21"/>
      <c r="I319" s="22"/>
      <c r="J319" s="21"/>
      <c r="K319" s="21"/>
      <c r="L319" s="21"/>
    </row>
    <row r="320" spans="1:12" ht="14.45">
      <c r="A320" s="21"/>
      <c r="B320" s="33"/>
      <c r="C320" s="21"/>
      <c r="D320" s="21"/>
      <c r="E320" s="21"/>
      <c r="F320" s="22"/>
      <c r="G320" s="21"/>
      <c r="H320" s="21"/>
      <c r="I320" s="22"/>
      <c r="J320" s="21"/>
      <c r="K320" s="21"/>
      <c r="L320" s="21"/>
    </row>
    <row r="321" spans="1:12" ht="14.45">
      <c r="A321" s="21"/>
      <c r="B321" s="33"/>
      <c r="C321" s="21"/>
      <c r="D321" s="21"/>
      <c r="E321" s="21"/>
      <c r="F321" s="22"/>
      <c r="G321" s="21"/>
      <c r="H321" s="21"/>
      <c r="I321" s="22"/>
      <c r="J321" s="21"/>
      <c r="K321" s="21"/>
      <c r="L321" s="21"/>
    </row>
    <row r="322" spans="1:12" ht="14.45">
      <c r="A322" s="21"/>
      <c r="B322" s="33"/>
      <c r="C322" s="21"/>
      <c r="D322" s="21"/>
      <c r="E322" s="21"/>
      <c r="F322" s="22"/>
      <c r="G322" s="21"/>
      <c r="H322" s="21"/>
      <c r="I322" s="22"/>
      <c r="J322" s="21"/>
      <c r="K322" s="21"/>
      <c r="L322" s="21"/>
    </row>
    <row r="323" spans="1:12" ht="14.45">
      <c r="A323" s="21"/>
      <c r="B323" s="33"/>
      <c r="C323" s="21"/>
      <c r="D323" s="21"/>
      <c r="E323" s="21"/>
      <c r="F323" s="22"/>
      <c r="G323" s="21"/>
      <c r="H323" s="21"/>
      <c r="I323" s="22"/>
      <c r="J323" s="21"/>
      <c r="K323" s="21"/>
      <c r="L323" s="21"/>
    </row>
    <row r="324" spans="1:12" ht="14.45">
      <c r="A324" s="21"/>
      <c r="B324" s="33"/>
      <c r="C324" s="21"/>
      <c r="D324" s="21"/>
      <c r="E324" s="21"/>
      <c r="F324" s="22"/>
      <c r="G324" s="21"/>
      <c r="H324" s="21"/>
      <c r="I324" s="22"/>
      <c r="J324" s="21"/>
      <c r="K324" s="21"/>
      <c r="L324" s="21"/>
    </row>
    <row r="325" spans="1:12" ht="14.45">
      <c r="A325" s="21"/>
      <c r="B325" s="33"/>
      <c r="C325" s="21"/>
      <c r="D325" s="21"/>
      <c r="E325" s="21"/>
      <c r="F325" s="22"/>
      <c r="G325" s="21"/>
      <c r="H325" s="21"/>
      <c r="I325" s="22"/>
      <c r="J325" s="21"/>
      <c r="K325" s="21"/>
      <c r="L325" s="21"/>
    </row>
    <row r="326" spans="1:12" ht="14.45">
      <c r="A326" s="21"/>
      <c r="B326" s="33"/>
      <c r="C326" s="21"/>
      <c r="D326" s="21"/>
      <c r="E326" s="21"/>
      <c r="F326" s="22"/>
      <c r="G326" s="21"/>
      <c r="H326" s="21"/>
      <c r="I326" s="22"/>
      <c r="J326" s="21"/>
      <c r="K326" s="21"/>
      <c r="L326" s="21"/>
    </row>
    <row r="327" spans="1:12" ht="14.45">
      <c r="A327" s="21"/>
      <c r="B327" s="33"/>
      <c r="C327" s="21"/>
      <c r="D327" s="21"/>
      <c r="E327" s="21"/>
      <c r="F327" s="22"/>
      <c r="G327" s="21"/>
      <c r="H327" s="21"/>
      <c r="I327" s="22"/>
      <c r="J327" s="21"/>
      <c r="K327" s="21"/>
      <c r="L327" s="21"/>
    </row>
    <row r="328" spans="1:12" ht="14.45">
      <c r="A328" s="21"/>
      <c r="B328" s="33"/>
      <c r="C328" s="21"/>
      <c r="D328" s="21"/>
      <c r="E328" s="21"/>
      <c r="F328" s="22"/>
      <c r="G328" s="21"/>
      <c r="H328" s="21"/>
      <c r="I328" s="22"/>
      <c r="J328" s="21"/>
      <c r="K328" s="21"/>
      <c r="L328" s="21"/>
    </row>
    <row r="329" spans="1:12" ht="14.45">
      <c r="A329" s="21"/>
      <c r="B329" s="33"/>
      <c r="C329" s="21"/>
      <c r="D329" s="21"/>
      <c r="E329" s="21"/>
      <c r="F329" s="22"/>
      <c r="G329" s="21"/>
      <c r="H329" s="21"/>
      <c r="I329" s="22"/>
      <c r="J329" s="21"/>
      <c r="K329" s="21"/>
      <c r="L329" s="21"/>
    </row>
    <row r="330" spans="1:12" ht="14.45">
      <c r="A330" s="21"/>
      <c r="B330" s="33"/>
      <c r="C330" s="21"/>
      <c r="D330" s="21"/>
      <c r="E330" s="21"/>
      <c r="F330" s="22"/>
      <c r="G330" s="21"/>
      <c r="H330" s="21"/>
      <c r="I330" s="22"/>
      <c r="J330" s="21"/>
      <c r="K330" s="21"/>
      <c r="L330" s="21"/>
    </row>
    <row r="331" spans="1:12" ht="14.45">
      <c r="A331" s="21"/>
      <c r="B331" s="33"/>
      <c r="C331" s="21"/>
      <c r="D331" s="21"/>
      <c r="E331" s="21"/>
      <c r="F331" s="22"/>
      <c r="G331" s="21"/>
      <c r="H331" s="21"/>
      <c r="I331" s="22"/>
      <c r="J331" s="21"/>
      <c r="K331" s="21"/>
      <c r="L331" s="21"/>
    </row>
    <row r="332" spans="1:12" ht="14.45">
      <c r="A332" s="21"/>
      <c r="B332" s="33"/>
      <c r="C332" s="21"/>
      <c r="D332" s="21"/>
      <c r="E332" s="21"/>
      <c r="F332" s="22"/>
      <c r="G332" s="21"/>
      <c r="H332" s="21"/>
      <c r="I332" s="22"/>
      <c r="J332" s="21"/>
      <c r="K332" s="21"/>
      <c r="L332" s="21"/>
    </row>
    <row r="333" spans="1:12" ht="14.45">
      <c r="A333" s="21"/>
      <c r="B333" s="33"/>
      <c r="C333" s="21"/>
      <c r="D333" s="21"/>
      <c r="E333" s="21"/>
      <c r="F333" s="22"/>
      <c r="G333" s="21"/>
      <c r="H333" s="21"/>
      <c r="I333" s="22"/>
      <c r="J333" s="21"/>
      <c r="K333" s="21"/>
      <c r="L333" s="21"/>
    </row>
    <row r="334" spans="1:12" ht="14.45">
      <c r="A334" s="21"/>
      <c r="B334" s="33"/>
      <c r="C334" s="21"/>
      <c r="D334" s="21"/>
      <c r="E334" s="21"/>
      <c r="F334" s="22"/>
      <c r="G334" s="21"/>
      <c r="H334" s="21"/>
      <c r="I334" s="22"/>
      <c r="J334" s="21"/>
      <c r="K334" s="21"/>
      <c r="L334" s="21"/>
    </row>
    <row r="335" spans="1:12" ht="14.45">
      <c r="A335" s="21"/>
      <c r="B335" s="33"/>
      <c r="C335" s="21"/>
      <c r="D335" s="21"/>
      <c r="E335" s="21"/>
      <c r="F335" s="22"/>
      <c r="G335" s="21"/>
      <c r="H335" s="21"/>
      <c r="I335" s="22"/>
      <c r="J335" s="21"/>
      <c r="K335" s="21"/>
      <c r="L335" s="21"/>
    </row>
    <row r="336" spans="1:12" ht="14.45">
      <c r="A336" s="21"/>
      <c r="B336" s="33"/>
      <c r="C336" s="21"/>
      <c r="D336" s="21"/>
      <c r="E336" s="21"/>
      <c r="F336" s="22"/>
      <c r="G336" s="21"/>
      <c r="H336" s="21"/>
      <c r="I336" s="22"/>
      <c r="J336" s="21"/>
      <c r="K336" s="21"/>
      <c r="L336" s="21"/>
    </row>
    <row r="337" spans="1:12" ht="14.45">
      <c r="A337" s="21"/>
      <c r="B337" s="33"/>
      <c r="C337" s="21"/>
      <c r="D337" s="21"/>
      <c r="E337" s="21"/>
      <c r="F337" s="22"/>
      <c r="G337" s="21"/>
      <c r="H337" s="21"/>
      <c r="I337" s="22"/>
      <c r="J337" s="21"/>
      <c r="K337" s="21"/>
      <c r="L337" s="21"/>
    </row>
    <row r="338" spans="1:12" ht="14.45">
      <c r="A338" s="21"/>
      <c r="B338" s="33"/>
      <c r="C338" s="21"/>
      <c r="D338" s="21"/>
      <c r="E338" s="21"/>
      <c r="F338" s="22"/>
      <c r="G338" s="21"/>
      <c r="H338" s="21"/>
      <c r="I338" s="22"/>
      <c r="J338" s="21"/>
      <c r="K338" s="21"/>
      <c r="L338" s="21"/>
    </row>
    <row r="339" spans="1:12" ht="14.45">
      <c r="A339" s="21"/>
      <c r="B339" s="33"/>
      <c r="C339" s="21"/>
      <c r="D339" s="21"/>
      <c r="E339" s="21"/>
      <c r="F339" s="22"/>
      <c r="G339" s="21"/>
      <c r="H339" s="21"/>
      <c r="I339" s="22"/>
      <c r="J339" s="21"/>
      <c r="K339" s="21"/>
      <c r="L339" s="21"/>
    </row>
    <row r="340" spans="1:12" ht="14.45">
      <c r="A340" s="21"/>
      <c r="B340" s="33"/>
      <c r="C340" s="21"/>
      <c r="D340" s="21"/>
      <c r="E340" s="21"/>
      <c r="F340" s="22"/>
      <c r="G340" s="21"/>
      <c r="H340" s="21"/>
      <c r="I340" s="22"/>
      <c r="J340" s="21"/>
      <c r="K340" s="21"/>
      <c r="L340" s="21"/>
    </row>
    <row r="341" spans="1:12" ht="14.45">
      <c r="A341" s="21"/>
      <c r="B341" s="33"/>
      <c r="C341" s="21"/>
      <c r="D341" s="21"/>
      <c r="E341" s="21"/>
      <c r="F341" s="22"/>
      <c r="G341" s="21"/>
      <c r="H341" s="21"/>
      <c r="I341" s="22"/>
      <c r="J341" s="21"/>
      <c r="K341" s="21"/>
      <c r="L341" s="21"/>
    </row>
    <row r="342" spans="1:12" ht="14.45">
      <c r="C342" s="21"/>
      <c r="D342" s="21"/>
      <c r="E342" s="21"/>
      <c r="F342" s="22"/>
      <c r="G342" s="21"/>
      <c r="H342" s="21"/>
      <c r="I342" s="22"/>
      <c r="J342" s="21"/>
      <c r="K342" s="21"/>
      <c r="L342" s="21"/>
    </row>
  </sheetData>
  <mergeCells count="4">
    <mergeCell ref="G1:I1"/>
    <mergeCell ref="A1:C1"/>
    <mergeCell ref="D1:F1"/>
    <mergeCell ref="A2:B2"/>
  </mergeCells>
  <conditionalFormatting sqref="F2 I2">
    <cfRule type="cellIs" dxfId="14" priority="3" stopIfTrue="1" operator="lessThanOrEqual">
      <formula>-0.1</formula>
    </cfRule>
    <cfRule type="expression" dxfId="13" priority="4">
      <formula>AND(ISNUMBER(F2), F2&gt;=0.1)</formula>
    </cfRule>
  </conditionalFormatting>
  <conditionalFormatting sqref="F4:F100 I4:I100">
    <cfRule type="cellIs" dxfId="12" priority="1" stopIfTrue="1" operator="lessThanOrEqual">
      <formula>-0.1</formula>
    </cfRule>
    <cfRule type="expression" dxfId="11" priority="2">
      <formula>AND(ISNUMBER(F4), F4&gt;=0.1)</formula>
    </cfRule>
  </conditionalFormatting>
  <hyperlinks>
    <hyperlink ref="K6" r:id="rId1" display="https://us3.assetplanner.com/service_request?ID=111409" xr:uid="{2B7C418A-86A0-4E53-86CB-CB2C69AC826E}"/>
    <hyperlink ref="K11" r:id="rId2" display="https://us3.assetplanner.com/service_request?ID=108676" xr:uid="{4492ED6E-4C0A-4775-8039-2EC442B9A5CA}"/>
    <hyperlink ref="K12" r:id="rId3" display="https://us3.assetplanner.com/service_request?ID=110944" xr:uid="{3991C694-5A13-4B52-A0D0-98D1EFE542FA}"/>
    <hyperlink ref="K17" r:id="rId4" display="https://us3.assetplanner.com/service_request?ID=103499" xr:uid="{1CF1C990-AC40-4557-91FE-2A0404EC5470}"/>
    <hyperlink ref="K19" r:id="rId5" display="https://us3.assetplanner.com/service_request?ID=114087" xr:uid="{848C79B5-B96B-47DE-9A83-215AEC88147F}"/>
    <hyperlink ref="K22" r:id="rId6" display="https://us3.assetplanner.com/service_request?ID=111831" xr:uid="{8F44B78E-2596-4A5F-9C7D-56ED48734175}"/>
    <hyperlink ref="K23" r:id="rId7" display="https://us3.assetplanner.com/service_request?ID=105403" xr:uid="{96893B7D-921F-4402-A14C-252D2C79AB2C}"/>
    <hyperlink ref="M23" r:id="rId8" display="https://us3.assetplanner.com/service_request?ID=108240" xr:uid="{87A909F3-C317-4F7D-8A0E-4740D13C5E21}"/>
    <hyperlink ref="K25" r:id="rId9" display="https://us3.assetplanner.com/service_request?ID=107459" xr:uid="{88CEE44B-A049-4EDA-AEEB-4E41C88F109A}"/>
    <hyperlink ref="K29" r:id="rId10" display="https://us3.assetplanner.com/service_request?ID=109478" xr:uid="{42978C05-6016-47BD-9CEC-CD71AFB6D54D}"/>
    <hyperlink ref="K32" r:id="rId11" display="https://us3.assetplanner.com/service_request?ID=109483" xr:uid="{8D469F5D-7D7C-4E8A-BE02-3DA4B216357B}"/>
    <hyperlink ref="K37" r:id="rId12" display="https://us3.assetplanner.com/service_request?ID=106741" xr:uid="{4B9A542A-2D49-45B8-AF74-C04BC41373A3}"/>
    <hyperlink ref="K38" r:id="rId13" display="https://us3.assetplanner.com/service_request?ID=111715" xr:uid="{84BF47E4-3E7A-4481-AC72-FFF2D1CBC45A}"/>
    <hyperlink ref="K40" r:id="rId14" display="https://us3.assetplanner.com/service_request?ID=105065" xr:uid="{CC2C745E-27E1-42E6-9B51-F207AEF810A3}"/>
    <hyperlink ref="M40" r:id="rId15" display="https://us3.assetplanner.com/service_request?ID=113382" xr:uid="{05573FEA-543D-48C4-81D4-55D392C59DF8}"/>
    <hyperlink ref="K41" r:id="rId16" display="https://us3.assetplanner.com/service_request?ID=113697" xr:uid="{3D01DC4D-975F-42F9-A89C-64C24D624B7E}"/>
    <hyperlink ref="K43" r:id="rId17" display="https://us3.assetplanner.com/service_request?ID=104027" xr:uid="{70C5A6F1-2E97-450D-9922-A7FB163C7CDE}"/>
    <hyperlink ref="M43" r:id="rId18" display="https://us3.assetplanner.com/service_request?ID=103159" xr:uid="{CB2A6419-4CC2-41E8-AC5C-60F52B95CE3C}"/>
    <hyperlink ref="N43" r:id="rId19" display="https://us3.assetplanner.com/service_request?ID=105161" xr:uid="{CA9810CA-9A40-420C-B595-57157D4409AA}"/>
    <hyperlink ref="O43" r:id="rId20" display="https://us3.assetplanner.com/service_request?ID=105162" xr:uid="{A475F058-29AF-4F60-8235-AA37DBE9B5A6}"/>
    <hyperlink ref="P43" r:id="rId21" display="https://us3.assetplanner.com/service_request?ID=090375" xr:uid="{E3B5CDF3-F8DC-434A-A3B3-6F9C7C70FFEE}"/>
    <hyperlink ref="Q43" r:id="rId22" display="https://us3.assetplanner.com/service_request?ID=105124" xr:uid="{8A442FAA-F453-4F5A-A17A-B7E1A48B679C}"/>
    <hyperlink ref="R43" r:id="rId23" display="https://us3.assetplanner.com/service_request?ID=089461" xr:uid="{5541627B-14F5-4DC3-9989-9FE44844B899}"/>
    <hyperlink ref="S43" r:id="rId24" display="https://us3.assetplanner.com/service_request?ID=105124" xr:uid="{60957A94-19A0-4920-A80E-CD18462EDC9D}"/>
    <hyperlink ref="T43" r:id="rId25" display="https://us3.assetplanner.com/service_request?ID=101136" xr:uid="{D55642A6-A61D-4A2E-9527-409145983955}"/>
    <hyperlink ref="K44" r:id="rId26" display="https://us3.assetplanner.com/service_request?ID=092276" xr:uid="{8F99A648-AD61-427E-BF36-61C0473B8535}"/>
    <hyperlink ref="M44" r:id="rId27" display="https://us3.assetplanner.com/service_request?ID=113878" xr:uid="{3ED244BE-B245-44B4-830C-1E0ED8A8CA92}"/>
    <hyperlink ref="K45" r:id="rId28" display="https://us3.assetplanner.com/service_request?ID=108839" xr:uid="{AB257FEB-2EBC-4ACA-AA2B-0B4088C99672}"/>
    <hyperlink ref="K47" r:id="rId29" display="https://us3.assetplanner.com/service_request?ID=105133" xr:uid="{155CBD4F-5BCF-4042-9464-D78914B6A87F}"/>
    <hyperlink ref="K48" r:id="rId30" display="https://us3.assetplanner.com/service_request?ID=112280" xr:uid="{12396515-D50F-49F4-9D93-B0200CF7277C}"/>
    <hyperlink ref="K49" r:id="rId31" display="https://us3.assetplanner.com/service_request?ID=102551" xr:uid="{AE20317A-B0E2-42BE-AEF9-CE0359032516}"/>
    <hyperlink ref="K50" r:id="rId32" display="https://us3.assetplanner.com/service_request?ID=104249" xr:uid="{2067B8E7-158E-4031-8852-34C968E44AF1}"/>
    <hyperlink ref="M50" r:id="rId33" display="https://us3.assetplanner.com/service_request?ID=108213" xr:uid="{F7AFE056-4D7F-4779-AAE7-DDFA7218B936}"/>
    <hyperlink ref="N50" r:id="rId34" display="https://us3.assetplanner.com/service_request?ID=104249" xr:uid="{8F2AA31B-BAF6-4A90-8D2C-6ADE0108068C}"/>
    <hyperlink ref="K51" r:id="rId35" display="https://us3.assetplanner.com/service_request?ID=105759" xr:uid="{39EE5EA6-8C87-4CB5-BB1B-000FD9C30F05}"/>
    <hyperlink ref="K52" r:id="rId36" display="https://us3.assetplanner.com/service_request?ID=109932" xr:uid="{6C992A33-8F2D-450F-B03C-472FF926528B}"/>
    <hyperlink ref="K53" r:id="rId37" display="https://us3.assetplanner.com/service_request?ID=112430" xr:uid="{83239021-6912-446D-AE0E-0D0918D0B19C}"/>
    <hyperlink ref="K56" r:id="rId38" display="https://us3.assetplanner.com/service_request?ID=110590" xr:uid="{8CA7AC5A-4A7D-4F5B-97D1-5BEF1517B306}"/>
    <hyperlink ref="K57" r:id="rId39" display="https://us3.assetplanner.com/service_request?ID=107807" xr:uid="{E33ABD9A-D020-459F-BF4A-C2A5FE6E8D68}"/>
    <hyperlink ref="K60" r:id="rId40" display="https://us3.assetplanner.com/service_request?ID=111374" xr:uid="{FB2A3F3F-D088-4DA5-BD69-39582D33A9C9}"/>
    <hyperlink ref="K61" r:id="rId41" display="https://us3.assetplanner.com/service_request?ID=108137" xr:uid="{2E8C6C9E-99BB-4BC2-9DC1-EA5D7DF75947}"/>
    <hyperlink ref="K62" r:id="rId42" display="https://us3.assetplanner.com/service_request?ID=110601" xr:uid="{ACF4B175-5FCB-4C94-BB10-691A538AD488}"/>
    <hyperlink ref="K66" r:id="rId43" display="https://us3.assetplanner.com/service_request?ID=113696" xr:uid="{69B54650-1137-4862-96FF-3D296A43B30F}"/>
    <hyperlink ref="K68" r:id="rId44" display="https://us3.assetplanner.com/service_request?ID=109808" xr:uid="{A3A38857-8B26-4D53-8612-2B442091C13F}"/>
    <hyperlink ref="K69" r:id="rId45" display="https://us3.assetplanner.com/service_request?ID=112362" xr:uid="{1CA2A9BF-BB74-473B-ABC1-038E2F765D1D}"/>
    <hyperlink ref="K70" r:id="rId46" display="https://us3.assetplanner.com/service_request?ID=112022" xr:uid="{8294B528-F104-42D7-92CE-84E91BCA2251}"/>
    <hyperlink ref="M70" r:id="rId47" display="https://us3.assetplanner.com/service_request?ID=113885" xr:uid="{A90FE6B2-3874-43CA-ADA9-4DA58A17959F}"/>
    <hyperlink ref="N70" r:id="rId48" display="https://us3.assetplanner.com/service_request?ID=111336" xr:uid="{23FAB873-3CE5-450C-9E6F-028B9A357ECA}"/>
  </hyperlinks>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70"/>
  <sheetViews>
    <sheetView workbookViewId="0">
      <pane ySplit="3" topLeftCell="B33" activePane="bottomLeft" state="frozen"/>
      <selection pane="bottomLeft" activeCell="B33" sqref="B33"/>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1045</v>
      </c>
      <c r="B1" t="s">
        <v>1046</v>
      </c>
    </row>
    <row r="3" spans="1:12" ht="13.15">
      <c r="A3" t="s">
        <v>1047</v>
      </c>
      <c r="B3" t="s">
        <v>3</v>
      </c>
      <c r="C3" t="s">
        <v>4</v>
      </c>
      <c r="D3" t="s">
        <v>1048</v>
      </c>
      <c r="E3" s="2" t="s">
        <v>1049</v>
      </c>
    </row>
    <row r="4" spans="1:12" ht="14.45">
      <c r="A4" s="49" t="s">
        <v>1050</v>
      </c>
      <c r="B4" t="s">
        <v>1051</v>
      </c>
      <c r="C4" s="46" t="s">
        <v>1052</v>
      </c>
      <c r="D4" s="45" t="s">
        <v>1053</v>
      </c>
      <c r="E4" t="s">
        <v>1054</v>
      </c>
      <c r="G4" s="3"/>
    </row>
    <row r="5" spans="1:12" ht="14.45">
      <c r="A5" s="49" t="s">
        <v>1055</v>
      </c>
      <c r="B5" t="s">
        <v>1056</v>
      </c>
      <c r="C5" s="46" t="s">
        <v>1057</v>
      </c>
      <c r="D5" s="45" t="s">
        <v>1053</v>
      </c>
      <c r="E5" t="s">
        <v>1054</v>
      </c>
      <c r="G5" s="3"/>
    </row>
    <row r="6" spans="1:12" ht="14.45">
      <c r="A6" s="49" t="s">
        <v>1058</v>
      </c>
      <c r="B6" t="s">
        <v>1059</v>
      </c>
      <c r="C6" s="46" t="s">
        <v>1060</v>
      </c>
      <c r="D6" s="45" t="s">
        <v>1053</v>
      </c>
      <c r="E6" t="s">
        <v>1054</v>
      </c>
      <c r="G6" s="3"/>
    </row>
    <row r="7" spans="1:12" ht="12.75" customHeight="1">
      <c r="A7" s="49" t="s">
        <v>1061</v>
      </c>
      <c r="B7" t="s">
        <v>1062</v>
      </c>
      <c r="C7" s="46" t="s">
        <v>1063</v>
      </c>
      <c r="D7" s="45" t="s">
        <v>1053</v>
      </c>
      <c r="E7" t="s">
        <v>1054</v>
      </c>
    </row>
    <row r="8" spans="1:12" ht="12.75" customHeight="1">
      <c r="A8" s="49" t="s">
        <v>1064</v>
      </c>
      <c r="B8" t="s">
        <v>1065</v>
      </c>
      <c r="C8" s="46" t="s">
        <v>1057</v>
      </c>
      <c r="D8" s="45" t="s">
        <v>1053</v>
      </c>
      <c r="E8" t="s">
        <v>1054</v>
      </c>
    </row>
    <row r="9" spans="1:12" ht="12.75" customHeight="1">
      <c r="A9" s="49" t="s">
        <v>1066</v>
      </c>
      <c r="B9" t="s">
        <v>1067</v>
      </c>
      <c r="C9" s="46" t="s">
        <v>1052</v>
      </c>
      <c r="D9" s="45" t="s">
        <v>1053</v>
      </c>
      <c r="E9" t="s">
        <v>1054</v>
      </c>
    </row>
    <row r="10" spans="1:12" ht="12.75" customHeight="1">
      <c r="A10" s="49" t="s">
        <v>1068</v>
      </c>
      <c r="B10" t="s">
        <v>1069</v>
      </c>
      <c r="C10" s="46" t="s">
        <v>1057</v>
      </c>
      <c r="D10" s="45" t="s">
        <v>1053</v>
      </c>
      <c r="E10" t="s">
        <v>1054</v>
      </c>
      <c r="K10" s="44"/>
      <c r="L10" s="44"/>
    </row>
    <row r="11" spans="1:12" ht="12.75" customHeight="1">
      <c r="A11" s="49" t="s">
        <v>1070</v>
      </c>
      <c r="B11" t="s">
        <v>1071</v>
      </c>
      <c r="C11" s="46" t="s">
        <v>1063</v>
      </c>
      <c r="D11" s="45" t="s">
        <v>1053</v>
      </c>
      <c r="E11" t="s">
        <v>1054</v>
      </c>
      <c r="K11" s="44"/>
      <c r="L11" s="44"/>
    </row>
    <row r="12" spans="1:12" ht="12.75" customHeight="1">
      <c r="A12" s="49" t="s">
        <v>1072</v>
      </c>
      <c r="B12" t="s">
        <v>1073</v>
      </c>
      <c r="C12" s="46" t="s">
        <v>1074</v>
      </c>
      <c r="D12" s="45" t="s">
        <v>1053</v>
      </c>
      <c r="E12" t="s">
        <v>1054</v>
      </c>
      <c r="K12" s="44"/>
      <c r="L12" s="44"/>
    </row>
    <row r="13" spans="1:12" ht="12.75" customHeight="1">
      <c r="A13" s="49" t="s">
        <v>1075</v>
      </c>
      <c r="B13" t="s">
        <v>1076</v>
      </c>
      <c r="C13" s="46" t="s">
        <v>1060</v>
      </c>
      <c r="D13" s="45" t="s">
        <v>1053</v>
      </c>
      <c r="E13" t="s">
        <v>1054</v>
      </c>
      <c r="K13" s="44"/>
      <c r="L13" s="44"/>
    </row>
    <row r="14" spans="1:12" ht="12.75" customHeight="1">
      <c r="A14" s="49" t="s">
        <v>1077</v>
      </c>
      <c r="B14" t="s">
        <v>1078</v>
      </c>
      <c r="C14" s="46" t="s">
        <v>1057</v>
      </c>
      <c r="D14" s="45" t="s">
        <v>1053</v>
      </c>
      <c r="E14" t="s">
        <v>1054</v>
      </c>
      <c r="K14" s="44"/>
      <c r="L14" s="44"/>
    </row>
    <row r="15" spans="1:12" ht="12.75" customHeight="1">
      <c r="A15" s="49" t="s">
        <v>1079</v>
      </c>
      <c r="B15" t="s">
        <v>1080</v>
      </c>
      <c r="C15" s="46" t="s">
        <v>1060</v>
      </c>
      <c r="D15" s="45" t="s">
        <v>1053</v>
      </c>
      <c r="E15" t="s">
        <v>1054</v>
      </c>
      <c r="K15" s="44"/>
      <c r="L15" s="44"/>
    </row>
    <row r="16" spans="1:12" ht="12.75" customHeight="1">
      <c r="A16" s="49" t="s">
        <v>1081</v>
      </c>
      <c r="B16" t="s">
        <v>1082</v>
      </c>
      <c r="C16" s="46" t="s">
        <v>1057</v>
      </c>
      <c r="D16" s="45" t="s">
        <v>1053</v>
      </c>
      <c r="E16" t="s">
        <v>1054</v>
      </c>
      <c r="K16" s="44"/>
      <c r="L16" s="44"/>
    </row>
    <row r="17" spans="1:12" ht="12.75" customHeight="1">
      <c r="A17" s="49" t="s">
        <v>1083</v>
      </c>
      <c r="B17" t="s">
        <v>1084</v>
      </c>
      <c r="C17" s="46" t="s">
        <v>1057</v>
      </c>
      <c r="D17" s="45" t="s">
        <v>1053</v>
      </c>
      <c r="E17" t="s">
        <v>1054</v>
      </c>
      <c r="K17" s="44"/>
      <c r="L17" s="44"/>
    </row>
    <row r="18" spans="1:12" ht="12.75" customHeight="1">
      <c r="A18" s="49" t="s">
        <v>1085</v>
      </c>
      <c r="B18" t="s">
        <v>1086</v>
      </c>
      <c r="C18" s="46" t="s">
        <v>1057</v>
      </c>
      <c r="D18" s="45" t="s">
        <v>1053</v>
      </c>
      <c r="E18" t="s">
        <v>1054</v>
      </c>
      <c r="K18" s="44"/>
      <c r="L18" s="44"/>
    </row>
    <row r="19" spans="1:12" ht="12.75" customHeight="1">
      <c r="A19" s="49" t="s">
        <v>1087</v>
      </c>
      <c r="B19" t="s">
        <v>1088</v>
      </c>
      <c r="C19" s="46" t="s">
        <v>1057</v>
      </c>
      <c r="D19" s="45" t="s">
        <v>1053</v>
      </c>
      <c r="E19" t="s">
        <v>1054</v>
      </c>
      <c r="K19" s="44"/>
      <c r="L19" s="44"/>
    </row>
    <row r="20" spans="1:12" ht="12.75" customHeight="1">
      <c r="A20" s="49" t="s">
        <v>1089</v>
      </c>
      <c r="B20" t="s">
        <v>1090</v>
      </c>
      <c r="C20" s="46" t="s">
        <v>1060</v>
      </c>
      <c r="D20" s="45" t="s">
        <v>1053</v>
      </c>
      <c r="E20" t="s">
        <v>1054</v>
      </c>
      <c r="K20" s="44"/>
      <c r="L20" s="44"/>
    </row>
    <row r="21" spans="1:12" ht="12.75" customHeight="1">
      <c r="A21" s="49" t="s">
        <v>1091</v>
      </c>
      <c r="B21" t="s">
        <v>1092</v>
      </c>
      <c r="C21" s="46" t="s">
        <v>1063</v>
      </c>
      <c r="D21" s="45" t="s">
        <v>1053</v>
      </c>
      <c r="E21" t="s">
        <v>1054</v>
      </c>
      <c r="K21" s="44"/>
      <c r="L21" s="44"/>
    </row>
    <row r="22" spans="1:12" ht="12.75" customHeight="1">
      <c r="A22" s="49" t="s">
        <v>1093</v>
      </c>
      <c r="B22" t="s">
        <v>1094</v>
      </c>
      <c r="C22" s="46" t="s">
        <v>1057</v>
      </c>
      <c r="D22" s="45" t="s">
        <v>1053</v>
      </c>
      <c r="E22" t="s">
        <v>1054</v>
      </c>
      <c r="K22" s="44"/>
      <c r="L22" s="44"/>
    </row>
    <row r="23" spans="1:12" ht="12.75" customHeight="1">
      <c r="A23" s="49" t="s">
        <v>1095</v>
      </c>
      <c r="B23" t="s">
        <v>1096</v>
      </c>
      <c r="C23" s="46" t="s">
        <v>1057</v>
      </c>
      <c r="D23" s="45" t="s">
        <v>1053</v>
      </c>
      <c r="E23" t="s">
        <v>1054</v>
      </c>
      <c r="K23" s="44"/>
      <c r="L23" s="44"/>
    </row>
    <row r="24" spans="1:12" ht="12.75" customHeight="1">
      <c r="A24" s="49" t="s">
        <v>1097</v>
      </c>
      <c r="B24" t="s">
        <v>1098</v>
      </c>
      <c r="C24" s="46" t="s">
        <v>1060</v>
      </c>
      <c r="D24" s="45" t="s">
        <v>1053</v>
      </c>
      <c r="E24" t="s">
        <v>1054</v>
      </c>
      <c r="K24" s="44"/>
      <c r="L24" s="44"/>
    </row>
    <row r="25" spans="1:12" ht="12.75" customHeight="1">
      <c r="A25" s="49" t="s">
        <v>1099</v>
      </c>
      <c r="B25" t="s">
        <v>1100</v>
      </c>
      <c r="C25" s="46" t="s">
        <v>1052</v>
      </c>
      <c r="D25" s="45" t="s">
        <v>1053</v>
      </c>
      <c r="E25" t="s">
        <v>1054</v>
      </c>
      <c r="K25" s="44"/>
      <c r="L25" s="44"/>
    </row>
    <row r="26" spans="1:12" ht="12.75" customHeight="1">
      <c r="A26" t="s">
        <v>1101</v>
      </c>
      <c r="B26" t="s">
        <v>1102</v>
      </c>
      <c r="C26" s="46" t="s">
        <v>1103</v>
      </c>
      <c r="D26" t="s">
        <v>1053</v>
      </c>
      <c r="E26" t="s">
        <v>1054</v>
      </c>
      <c r="K26" s="44"/>
      <c r="L26" s="44"/>
    </row>
    <row r="27" spans="1:12" ht="12.75" customHeight="1">
      <c r="A27" t="s">
        <v>1104</v>
      </c>
      <c r="B27" t="s">
        <v>1105</v>
      </c>
      <c r="C27" s="46" t="s">
        <v>1103</v>
      </c>
      <c r="D27" t="s">
        <v>1053</v>
      </c>
      <c r="E27" t="s">
        <v>1054</v>
      </c>
      <c r="K27" s="44"/>
      <c r="L27" s="44"/>
    </row>
    <row r="28" spans="1:12" ht="12.75" customHeight="1">
      <c r="A28" t="s">
        <v>1106</v>
      </c>
      <c r="B28" t="s">
        <v>1107</v>
      </c>
      <c r="C28" s="46" t="s">
        <v>1103</v>
      </c>
      <c r="D28" t="s">
        <v>1053</v>
      </c>
      <c r="E28" t="s">
        <v>1054</v>
      </c>
      <c r="K28" s="44"/>
      <c r="L28" s="44"/>
    </row>
    <row r="29" spans="1:12" ht="12.75" customHeight="1">
      <c r="A29" t="s">
        <v>1108</v>
      </c>
      <c r="B29" t="s">
        <v>1109</v>
      </c>
      <c r="C29" s="46" t="s">
        <v>1103</v>
      </c>
      <c r="D29" t="s">
        <v>1053</v>
      </c>
      <c r="E29" t="s">
        <v>1054</v>
      </c>
      <c r="K29" s="44"/>
      <c r="L29" s="44"/>
    </row>
    <row r="30" spans="1:12" ht="12.75" customHeight="1">
      <c r="A30" t="s">
        <v>1110</v>
      </c>
      <c r="B30" t="s">
        <v>1111</v>
      </c>
      <c r="C30" s="46" t="s">
        <v>1103</v>
      </c>
      <c r="D30" t="s">
        <v>1053</v>
      </c>
      <c r="E30" t="s">
        <v>1054</v>
      </c>
      <c r="K30" s="44"/>
      <c r="L30" s="44"/>
    </row>
    <row r="31" spans="1:12" ht="12.75" customHeight="1">
      <c r="A31" t="s">
        <v>1112</v>
      </c>
      <c r="B31" t="s">
        <v>1113</v>
      </c>
      <c r="C31" s="46" t="s">
        <v>1103</v>
      </c>
      <c r="D31" t="s">
        <v>1053</v>
      </c>
      <c r="E31" t="s">
        <v>1054</v>
      </c>
      <c r="K31" s="44"/>
      <c r="L31" s="44"/>
    </row>
    <row r="32" spans="1:12" ht="12.75" customHeight="1">
      <c r="A32" t="s">
        <v>1114</v>
      </c>
      <c r="B32" t="s">
        <v>1115</v>
      </c>
      <c r="C32" s="46" t="s">
        <v>1103</v>
      </c>
      <c r="D32" t="s">
        <v>1053</v>
      </c>
      <c r="E32" t="s">
        <v>1054</v>
      </c>
    </row>
    <row r="33" spans="1:5" ht="12.75" customHeight="1">
      <c r="A33" t="s">
        <v>1116</v>
      </c>
      <c r="B33" t="s">
        <v>1117</v>
      </c>
      <c r="C33" s="46" t="s">
        <v>1103</v>
      </c>
      <c r="D33" t="s">
        <v>1053</v>
      </c>
      <c r="E33" t="s">
        <v>1054</v>
      </c>
    </row>
    <row r="34" spans="1:5" ht="12.75" customHeight="1">
      <c r="A34" t="s">
        <v>1118</v>
      </c>
      <c r="B34" t="s">
        <v>1119</v>
      </c>
      <c r="C34" s="46" t="s">
        <v>1103</v>
      </c>
      <c r="D34" t="s">
        <v>1053</v>
      </c>
      <c r="E34" t="s">
        <v>1054</v>
      </c>
    </row>
    <row r="35" spans="1:5" ht="12.75" customHeight="1">
      <c r="A35" t="s">
        <v>1120</v>
      </c>
      <c r="B35" t="s">
        <v>1121</v>
      </c>
      <c r="C35" s="46" t="s">
        <v>1103</v>
      </c>
      <c r="D35" t="s">
        <v>1053</v>
      </c>
      <c r="E35" t="s">
        <v>1054</v>
      </c>
    </row>
    <row r="36" spans="1:5" ht="12.75" customHeight="1">
      <c r="A36" t="s">
        <v>1122</v>
      </c>
      <c r="B36" t="s">
        <v>1123</v>
      </c>
      <c r="C36" s="46" t="s">
        <v>1103</v>
      </c>
      <c r="D36" t="s">
        <v>1053</v>
      </c>
      <c r="E36" t="s">
        <v>1054</v>
      </c>
    </row>
    <row r="37" spans="1:5" ht="12.75" customHeight="1">
      <c r="A37" t="s">
        <v>1124</v>
      </c>
      <c r="B37" t="s">
        <v>1125</v>
      </c>
      <c r="C37" s="46" t="s">
        <v>1103</v>
      </c>
      <c r="D37" t="s">
        <v>1053</v>
      </c>
      <c r="E37" t="s">
        <v>1054</v>
      </c>
    </row>
    <row r="38" spans="1:5" ht="12.75" customHeight="1">
      <c r="A38" t="s">
        <v>1126</v>
      </c>
      <c r="B38" t="s">
        <v>1127</v>
      </c>
      <c r="C38" s="46" t="s">
        <v>1103</v>
      </c>
      <c r="D38" t="s">
        <v>1053</v>
      </c>
      <c r="E38" t="s">
        <v>1054</v>
      </c>
    </row>
    <row r="39" spans="1:5" ht="12.75" customHeight="1">
      <c r="A39" t="s">
        <v>1128</v>
      </c>
      <c r="B39" t="s">
        <v>1129</v>
      </c>
      <c r="C39" s="46" t="s">
        <v>1103</v>
      </c>
      <c r="D39" t="s">
        <v>1053</v>
      </c>
      <c r="E39" t="s">
        <v>1054</v>
      </c>
    </row>
    <row r="40" spans="1:5" ht="12.75" customHeight="1">
      <c r="A40" t="s">
        <v>1130</v>
      </c>
      <c r="B40" t="s">
        <v>1131</v>
      </c>
      <c r="C40" s="46" t="s">
        <v>1103</v>
      </c>
      <c r="D40" t="s">
        <v>1053</v>
      </c>
      <c r="E40" t="s">
        <v>1054</v>
      </c>
    </row>
    <row r="41" spans="1:5" ht="12.75" customHeight="1">
      <c r="A41" t="s">
        <v>1132</v>
      </c>
      <c r="B41" t="s">
        <v>1133</v>
      </c>
      <c r="C41" s="46" t="s">
        <v>1103</v>
      </c>
      <c r="E41" t="s">
        <v>1054</v>
      </c>
    </row>
    <row r="42" spans="1:5" ht="12.75" customHeight="1">
      <c r="A42" t="s">
        <v>1134</v>
      </c>
      <c r="B42" t="s">
        <v>1135</v>
      </c>
      <c r="C42" s="46" t="s">
        <v>1103</v>
      </c>
      <c r="D42" t="s">
        <v>1053</v>
      </c>
      <c r="E42" t="s">
        <v>1054</v>
      </c>
    </row>
    <row r="43" spans="1:5" ht="12.75" customHeight="1">
      <c r="A43" t="s">
        <v>1136</v>
      </c>
      <c r="B43" t="s">
        <v>1137</v>
      </c>
      <c r="C43" s="46" t="s">
        <v>1103</v>
      </c>
      <c r="D43" t="s">
        <v>1053</v>
      </c>
      <c r="E43" t="s">
        <v>1054</v>
      </c>
    </row>
    <row r="44" spans="1:5" ht="12.75" customHeight="1">
      <c r="A44" t="s">
        <v>1138</v>
      </c>
      <c r="B44" t="s">
        <v>1139</v>
      </c>
      <c r="C44" s="46" t="s">
        <v>1103</v>
      </c>
      <c r="D44" t="s">
        <v>1053</v>
      </c>
      <c r="E44" t="s">
        <v>1054</v>
      </c>
    </row>
    <row r="45" spans="1:5" ht="12.75" customHeight="1">
      <c r="A45" t="s">
        <v>1140</v>
      </c>
      <c r="B45" t="s">
        <v>1141</v>
      </c>
      <c r="C45" s="46" t="s">
        <v>1103</v>
      </c>
      <c r="D45" t="s">
        <v>1053</v>
      </c>
      <c r="E45" t="s">
        <v>1054</v>
      </c>
    </row>
    <row r="46" spans="1:5" ht="12.75" customHeight="1">
      <c r="A46" t="s">
        <v>1142</v>
      </c>
      <c r="B46" t="s">
        <v>1143</v>
      </c>
      <c r="C46" s="46" t="s">
        <v>1103</v>
      </c>
      <c r="D46" t="s">
        <v>1053</v>
      </c>
      <c r="E46" t="s">
        <v>1054</v>
      </c>
    </row>
    <row r="47" spans="1:5" ht="12.75" customHeight="1">
      <c r="A47" t="s">
        <v>1144</v>
      </c>
      <c r="B47" t="s">
        <v>1145</v>
      </c>
      <c r="C47" s="46" t="s">
        <v>1103</v>
      </c>
      <c r="D47" t="s">
        <v>1053</v>
      </c>
      <c r="E47" t="s">
        <v>1054</v>
      </c>
    </row>
    <row r="48" spans="1:5" ht="12.75" customHeight="1">
      <c r="A48" t="s">
        <v>1146</v>
      </c>
      <c r="B48" t="s">
        <v>1146</v>
      </c>
      <c r="C48" s="46" t="s">
        <v>1103</v>
      </c>
      <c r="D48" t="s">
        <v>1053</v>
      </c>
      <c r="E48" t="s">
        <v>1054</v>
      </c>
    </row>
    <row r="49" spans="1:5" ht="12.75" customHeight="1">
      <c r="A49" t="s">
        <v>1147</v>
      </c>
      <c r="B49" t="s">
        <v>1148</v>
      </c>
      <c r="C49" s="46" t="s">
        <v>1103</v>
      </c>
      <c r="E49" t="s">
        <v>1054</v>
      </c>
    </row>
    <row r="50" spans="1:5" ht="12.75" customHeight="1">
      <c r="A50" t="s">
        <v>1149</v>
      </c>
      <c r="B50" t="s">
        <v>1150</v>
      </c>
      <c r="C50" s="46" t="s">
        <v>1103</v>
      </c>
      <c r="E50" t="s">
        <v>1054</v>
      </c>
    </row>
    <row r="51" spans="1:5" ht="12.75" customHeight="1">
      <c r="A51" t="s">
        <v>1151</v>
      </c>
      <c r="B51" t="s">
        <v>1152</v>
      </c>
      <c r="C51" s="46" t="s">
        <v>1103</v>
      </c>
      <c r="D51" t="s">
        <v>1053</v>
      </c>
      <c r="E51" t="s">
        <v>1054</v>
      </c>
    </row>
    <row r="52" spans="1:5" ht="12.75" customHeight="1">
      <c r="A52" t="s">
        <v>1153</v>
      </c>
      <c r="B52" t="s">
        <v>1154</v>
      </c>
      <c r="C52" s="46" t="s">
        <v>1103</v>
      </c>
      <c r="E52" t="s">
        <v>1054</v>
      </c>
    </row>
    <row r="53" spans="1:5" ht="12.75" customHeight="1">
      <c r="A53" t="s">
        <v>1155</v>
      </c>
      <c r="B53" t="s">
        <v>1156</v>
      </c>
      <c r="C53" s="46" t="s">
        <v>1103</v>
      </c>
      <c r="D53" t="s">
        <v>1053</v>
      </c>
      <c r="E53" t="s">
        <v>1054</v>
      </c>
    </row>
    <row r="54" spans="1:5" ht="12.75" customHeight="1">
      <c r="A54" t="s">
        <v>1157</v>
      </c>
      <c r="B54" t="s">
        <v>1158</v>
      </c>
      <c r="C54" s="46" t="s">
        <v>1103</v>
      </c>
      <c r="E54" t="s">
        <v>1054</v>
      </c>
    </row>
    <row r="55" spans="1:5" ht="12.75" customHeight="1">
      <c r="A55" t="s">
        <v>1159</v>
      </c>
      <c r="B55" t="s">
        <v>1160</v>
      </c>
      <c r="C55" s="46" t="s">
        <v>1103</v>
      </c>
      <c r="D55" t="s">
        <v>1053</v>
      </c>
      <c r="E55" t="s">
        <v>1054</v>
      </c>
    </row>
    <row r="56" spans="1:5" ht="12.75" customHeight="1">
      <c r="A56" t="s">
        <v>1161</v>
      </c>
      <c r="B56" t="s">
        <v>1162</v>
      </c>
      <c r="C56" s="46" t="s">
        <v>1103</v>
      </c>
      <c r="D56" t="s">
        <v>1053</v>
      </c>
      <c r="E56" t="s">
        <v>1054</v>
      </c>
    </row>
    <row r="57" spans="1:5" ht="12.75" customHeight="1">
      <c r="A57" t="s">
        <v>1163</v>
      </c>
      <c r="B57" t="s">
        <v>1164</v>
      </c>
      <c r="C57" s="46" t="s">
        <v>1103</v>
      </c>
      <c r="D57" t="s">
        <v>1053</v>
      </c>
      <c r="E57" t="s">
        <v>1054</v>
      </c>
    </row>
    <row r="58" spans="1:5" ht="12.75" customHeight="1">
      <c r="A58" t="s">
        <v>1165</v>
      </c>
      <c r="B58" t="s">
        <v>1166</v>
      </c>
      <c r="C58" s="46" t="s">
        <v>1103</v>
      </c>
      <c r="D58" t="s">
        <v>1053</v>
      </c>
      <c r="E58" t="s">
        <v>1054</v>
      </c>
    </row>
    <row r="59" spans="1:5" ht="12.75" customHeight="1">
      <c r="A59" t="s">
        <v>1167</v>
      </c>
      <c r="B59" t="s">
        <v>1168</v>
      </c>
      <c r="C59" s="46" t="s">
        <v>1103</v>
      </c>
      <c r="E59" t="s">
        <v>1054</v>
      </c>
    </row>
    <row r="60" spans="1:5" ht="12.75" customHeight="1">
      <c r="A60" t="s">
        <v>1169</v>
      </c>
      <c r="B60" t="s">
        <v>1170</v>
      </c>
      <c r="C60" s="46" t="s">
        <v>1103</v>
      </c>
      <c r="D60" t="s">
        <v>1053</v>
      </c>
      <c r="E60" t="s">
        <v>1054</v>
      </c>
    </row>
    <row r="61" spans="1:5" ht="12.75" customHeight="1">
      <c r="A61" t="s">
        <v>1171</v>
      </c>
      <c r="B61" t="s">
        <v>1172</v>
      </c>
      <c r="C61" s="46" t="s">
        <v>1103</v>
      </c>
      <c r="D61" t="s">
        <v>1053</v>
      </c>
      <c r="E61" t="s">
        <v>1054</v>
      </c>
    </row>
    <row r="62" spans="1:5" ht="12.75" customHeight="1">
      <c r="A62" t="s">
        <v>1173</v>
      </c>
      <c r="B62" t="s">
        <v>1174</v>
      </c>
      <c r="C62" s="46" t="s">
        <v>1103</v>
      </c>
      <c r="D62" t="s">
        <v>1053</v>
      </c>
      <c r="E62" t="s">
        <v>1054</v>
      </c>
    </row>
    <row r="63" spans="1:5" ht="12.75" customHeight="1">
      <c r="A63" t="s">
        <v>1175</v>
      </c>
      <c r="B63" t="s">
        <v>1176</v>
      </c>
      <c r="C63" s="46" t="s">
        <v>1103</v>
      </c>
      <c r="D63" t="s">
        <v>1053</v>
      </c>
      <c r="E63" t="s">
        <v>1054</v>
      </c>
    </row>
    <row r="64" spans="1:5" ht="12.75" customHeight="1">
      <c r="A64" t="s">
        <v>1177</v>
      </c>
      <c r="B64" t="s">
        <v>1178</v>
      </c>
      <c r="C64" s="46" t="s">
        <v>1103</v>
      </c>
      <c r="D64" t="s">
        <v>1053</v>
      </c>
      <c r="E64" t="s">
        <v>1054</v>
      </c>
    </row>
    <row r="65" spans="1:5" ht="12.75" customHeight="1">
      <c r="A65" t="s">
        <v>1130</v>
      </c>
      <c r="B65" t="s">
        <v>1179</v>
      </c>
      <c r="C65" s="46" t="s">
        <v>1103</v>
      </c>
      <c r="E65" t="s">
        <v>1054</v>
      </c>
    </row>
    <row r="66" spans="1:5" ht="12.75" customHeight="1">
      <c r="A66" t="s">
        <v>1180</v>
      </c>
      <c r="B66" t="s">
        <v>1181</v>
      </c>
      <c r="C66" s="46" t="s">
        <v>1103</v>
      </c>
      <c r="E66" t="s">
        <v>1054</v>
      </c>
    </row>
    <row r="67" spans="1:5" ht="12.75" customHeight="1">
      <c r="A67" t="s">
        <v>1182</v>
      </c>
      <c r="B67" t="s">
        <v>1183</v>
      </c>
      <c r="C67" s="46" t="s">
        <v>1103</v>
      </c>
      <c r="E67" t="s">
        <v>1054</v>
      </c>
    </row>
    <row r="68" spans="1:5" ht="12.75" customHeight="1">
      <c r="A68" t="s">
        <v>1184</v>
      </c>
      <c r="B68" t="s">
        <v>1185</v>
      </c>
      <c r="C68" s="46" t="s">
        <v>1103</v>
      </c>
      <c r="D68" t="s">
        <v>1053</v>
      </c>
      <c r="E68" t="s">
        <v>1054</v>
      </c>
    </row>
    <row r="69" spans="1:5" ht="12.75" customHeight="1">
      <c r="A69" s="94" t="s">
        <v>1186</v>
      </c>
      <c r="B69" s="95" t="s">
        <v>1187</v>
      </c>
      <c r="C69" s="46" t="s">
        <v>1052</v>
      </c>
      <c r="E69" t="s">
        <v>1054</v>
      </c>
    </row>
    <row r="70" spans="1:5" ht="12.75" customHeight="1">
      <c r="A70" s="94" t="s">
        <v>1188</v>
      </c>
      <c r="B70" s="95" t="s">
        <v>1189</v>
      </c>
      <c r="C70" s="46" t="s">
        <v>1052</v>
      </c>
      <c r="E70" t="s">
        <v>1054</v>
      </c>
    </row>
  </sheetData>
  <pageMargins left="0.7" right="0.7" top="0.75" bottom="0.75" header="0.3" footer="0.3"/>
  <pageSetup orientation="portrait" horizontalDpi="1200" verticalDpi="1200"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C99B4-66D1-4A02-A6CC-DE6186F0BEBB}">
  <dimension ref="A1:N6"/>
  <sheetViews>
    <sheetView workbookViewId="0">
      <selection activeCell="A6" sqref="A6:B6"/>
    </sheetView>
  </sheetViews>
  <sheetFormatPr defaultRowHeight="12.75"/>
  <cols>
    <col min="1" max="1" width="27.42578125" bestFit="1" customWidth="1"/>
    <col min="2" max="2" width="10" customWidth="1"/>
    <col min="3" max="4" width="16.42578125" customWidth="1"/>
    <col min="5" max="5" width="5.7109375" bestFit="1" customWidth="1"/>
    <col min="6" max="6" width="14.5703125" customWidth="1"/>
    <col min="7" max="7" width="11" bestFit="1" customWidth="1"/>
    <col min="8" max="8" width="8.42578125" bestFit="1" customWidth="1"/>
    <col min="9" max="9" width="12.140625" customWidth="1"/>
    <col min="10" max="10" width="138.28515625" bestFit="1" customWidth="1"/>
    <col min="11" max="11" width="20.5703125" bestFit="1" customWidth="1"/>
  </cols>
  <sheetData>
    <row r="1" spans="1:14" ht="15.75">
      <c r="A1" s="132" t="str" cm="1">
        <f t="array" ref="A1">portfolio</f>
        <v>Silicon Ranch</v>
      </c>
      <c r="B1" s="132"/>
      <c r="C1" s="132"/>
      <c r="D1" s="133" t="s">
        <v>968</v>
      </c>
      <c r="E1" s="133"/>
      <c r="F1" s="133"/>
      <c r="G1" s="131" t="s">
        <v>969</v>
      </c>
      <c r="H1" s="131"/>
      <c r="I1" s="131"/>
      <c r="J1" s="4"/>
      <c r="K1" s="4"/>
      <c r="L1" s="4"/>
    </row>
    <row r="2" spans="1:14" ht="15.75">
      <c r="A2" s="134" t="s">
        <v>2</v>
      </c>
      <c r="B2" s="134"/>
      <c r="C2" s="5">
        <f>SUM(C4:C100)</f>
        <v>0</v>
      </c>
      <c r="D2" s="5">
        <f>SUM(D4:D100)</f>
        <v>0</v>
      </c>
      <c r="E2" s="5">
        <f>C2-D2</f>
        <v>0</v>
      </c>
      <c r="F2" s="6">
        <f>IFERROR(E2/D2, 0)</f>
        <v>0</v>
      </c>
      <c r="G2" s="5">
        <f>SUM(G4:G100)</f>
        <v>54098.8</v>
      </c>
      <c r="H2" s="7">
        <f>C2-G2</f>
        <v>-54098.8</v>
      </c>
      <c r="I2" s="6">
        <f>IFERROR(H2/G2, 0)</f>
        <v>-1</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c r="L2" s="4"/>
    </row>
    <row r="3" spans="1:14" ht="15.75">
      <c r="A3" s="8" t="s">
        <v>3</v>
      </c>
      <c r="B3" s="8" t="s">
        <v>4</v>
      </c>
      <c r="C3" s="23" t="s">
        <v>5</v>
      </c>
      <c r="D3" s="35" t="s">
        <v>6</v>
      </c>
      <c r="E3" s="35" t="s">
        <v>7</v>
      </c>
      <c r="F3" s="36" t="s">
        <v>8</v>
      </c>
      <c r="G3" s="37" t="s">
        <v>9</v>
      </c>
      <c r="H3" s="38" t="s">
        <v>7</v>
      </c>
      <c r="I3" s="39" t="s">
        <v>8</v>
      </c>
      <c r="J3" s="25" t="s">
        <v>20</v>
      </c>
      <c r="K3" s="25" t="s">
        <v>21</v>
      </c>
      <c r="L3" s="25" t="s">
        <v>770</v>
      </c>
    </row>
    <row r="4" spans="1:14" ht="30.75">
      <c r="A4" s="28" t="s">
        <v>1127</v>
      </c>
      <c r="B4" s="29" t="s">
        <v>1103</v>
      </c>
      <c r="C4" s="24">
        <v>0</v>
      </c>
      <c r="D4" s="13">
        <v>0</v>
      </c>
      <c r="E4" s="13">
        <v>0</v>
      </c>
      <c r="F4" s="14"/>
      <c r="G4" s="15">
        <v>23828.49</v>
      </c>
      <c r="H4" s="15">
        <v>-23828.49</v>
      </c>
      <c r="I4" s="16">
        <v>-1</v>
      </c>
      <c r="J4" s="41" t="s">
        <v>915</v>
      </c>
      <c r="K4" s="88" t="s">
        <v>998</v>
      </c>
      <c r="L4" s="41" t="s">
        <v>974</v>
      </c>
    </row>
    <row r="5" spans="1:14" ht="48">
      <c r="A5" s="28" t="s">
        <v>1150</v>
      </c>
      <c r="B5" s="29" t="s">
        <v>1103</v>
      </c>
      <c r="C5" s="24">
        <v>0</v>
      </c>
      <c r="D5" s="13">
        <v>0</v>
      </c>
      <c r="E5" s="13">
        <f t="shared" ref="E5:E6" si="0">IF(AND(ISNUMBER(C5),ISNUMBER(D5)), C5-D5, "")</f>
        <v>0</v>
      </c>
      <c r="F5" s="14"/>
      <c r="G5" s="15">
        <v>16347.8</v>
      </c>
      <c r="H5" s="15">
        <f t="shared" ref="H5:H6" si="1">IF(AND(ISNUMBER(C5),ISNUMBER(G5)), C5-G5, "")</f>
        <v>-16347.8</v>
      </c>
      <c r="I5" s="16">
        <f t="shared" ref="I5:I6" si="2">IFERROR(H5/G5, "")</f>
        <v>-1</v>
      </c>
      <c r="J5" s="41" t="s">
        <v>930</v>
      </c>
      <c r="K5" s="88" t="s">
        <v>931</v>
      </c>
      <c r="L5" s="41" t="s">
        <v>1017</v>
      </c>
      <c r="M5" s="89" t="s">
        <v>840</v>
      </c>
      <c r="N5" s="89" t="s">
        <v>579</v>
      </c>
    </row>
    <row r="6" spans="1:14" ht="48.75">
      <c r="A6" s="30" t="s">
        <v>1100</v>
      </c>
      <c r="B6" s="31" t="s">
        <v>1052</v>
      </c>
      <c r="C6" s="11">
        <v>0</v>
      </c>
      <c r="D6" s="18">
        <v>0</v>
      </c>
      <c r="E6" s="18">
        <f t="shared" si="0"/>
        <v>0</v>
      </c>
      <c r="F6" s="19"/>
      <c r="G6" s="20">
        <v>13922.51</v>
      </c>
      <c r="H6" s="20">
        <f t="shared" si="1"/>
        <v>-13922.51</v>
      </c>
      <c r="I6" s="19">
        <f t="shared" si="2"/>
        <v>-1</v>
      </c>
      <c r="J6" s="53" t="s">
        <v>989</v>
      </c>
      <c r="K6" s="87" t="s">
        <v>990</v>
      </c>
      <c r="L6" s="60" t="s">
        <v>991</v>
      </c>
    </row>
  </sheetData>
  <mergeCells count="4">
    <mergeCell ref="A1:C1"/>
    <mergeCell ref="D1:F1"/>
    <mergeCell ref="G1:I1"/>
    <mergeCell ref="A2:B2"/>
  </mergeCells>
  <conditionalFormatting sqref="F2 I2">
    <cfRule type="cellIs" dxfId="7" priority="7" stopIfTrue="1" operator="lessThanOrEqual">
      <formula>-0.1</formula>
    </cfRule>
    <cfRule type="expression" dxfId="6" priority="8">
      <formula>AND(ISNUMBER(F2), F2&gt;=0.1)</formula>
    </cfRule>
  </conditionalFormatting>
  <conditionalFormatting sqref="F4 I4">
    <cfRule type="cellIs" dxfId="5" priority="5" stopIfTrue="1" operator="lessThanOrEqual">
      <formula>-0.1</formula>
    </cfRule>
    <cfRule type="expression" dxfId="4" priority="6">
      <formula>AND(ISNUMBER(F4), F4&gt;=0.1)</formula>
    </cfRule>
  </conditionalFormatting>
  <conditionalFormatting sqref="F5 I5">
    <cfRule type="cellIs" dxfId="3" priority="3" stopIfTrue="1" operator="lessThanOrEqual">
      <formula>-0.1</formula>
    </cfRule>
    <cfRule type="expression" dxfId="2" priority="4">
      <formula>AND(ISNUMBER(F5), F5&gt;=0.1)</formula>
    </cfRule>
  </conditionalFormatting>
  <conditionalFormatting sqref="F6 I6">
    <cfRule type="cellIs" dxfId="1" priority="1" stopIfTrue="1" operator="lessThanOrEqual">
      <formula>-0.1</formula>
    </cfRule>
    <cfRule type="expression" dxfId="0" priority="2">
      <formula>AND(ISNUMBER(F6), F6&gt;=0.1)</formula>
    </cfRule>
  </conditionalFormatting>
  <hyperlinks>
    <hyperlink ref="K4" r:id="rId1" display="https://us3.assetplanner.com/service_request?ID=111715" xr:uid="{1EF6999F-3B46-4B6E-894D-4E1436E40414}"/>
    <hyperlink ref="K5" r:id="rId2" display="https://us3.assetplanner.com/service_request?ID=104249" xr:uid="{9F531A7E-5870-4042-A708-3388F7C8E602}"/>
    <hyperlink ref="M5" r:id="rId3" display="https://us3.assetplanner.com/service_request?ID=108213" xr:uid="{135F3855-128B-4FB6-B9A5-B6BD196C0DD0}"/>
    <hyperlink ref="N5" r:id="rId4" display="https://us3.assetplanner.com/service_request?ID=104249" xr:uid="{B87DD2C9-8E90-4656-8E55-8CDD301BAA73}"/>
    <hyperlink ref="K6" r:id="rId5" display="https://us3.assetplanner.com/service_request?ID=107459" xr:uid="{335C0415-4707-4968-A010-B46136F9D48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1.xml>��
</file>

<file path=customXml/item12.xml>��
</file>

<file path=customXml/item13.xml>��
</file>

<file path=customXml/item14.xml>��
</file>

<file path=customXml/item15.xml><?xml version="1.0" encoding="utf-8"?>
<?mso-contentType ?>
<FormTemplates xmlns="http://schemas.microsoft.com/sharepoint/v3/contenttype/forms">
  <Display>DocumentLibraryForm</Display>
  <Edit>DocumentLibraryForm</Edit>
  <New>DocumentLibraryForm</New>
</FormTemplates>
</file>

<file path=customXml/item16.xml>��
</file>

<file path=customXml/item17.xml>��
</file>

<file path=customXml/item18.xml>��
</file>

<file path=customXml/item1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20.xml>��
</file>

<file path=customXml/itemProps1.xml><?xml version="1.0" encoding="utf-8"?>
<ds:datastoreItem xmlns:ds="http://schemas.openxmlformats.org/officeDocument/2006/customXml" ds:itemID="{CB52044A-5C0B-44A2-99D0-C1C315EC302D}"/>
</file>

<file path=customXml/itemProps2.xml><?xml version="1.0" encoding="utf-8"?>
<ds:datastoreItem xmlns:ds="http://schemas.openxmlformats.org/officeDocument/2006/customXml" ds:itemID="{E20E8303-6A67-485C-B6F4-303542CC295C}"/>
</file>

<file path=customXml/itemProps3.xml><?xml version="1.0" encoding="utf-8"?>
<ds:datastoreItem xmlns:ds="http://schemas.openxmlformats.org/officeDocument/2006/customXml" ds:itemID="{0389C43E-394D-44C0-87DC-4780FCFCFB40}"/>
</file>

<file path=customXml/itemProps4.xml><?xml version="1.0" encoding="utf-8"?>
<ds:datastoreItem xmlns:ds="http://schemas.openxmlformats.org/officeDocument/2006/customXml" ds:itemID="{BE26B669-A686-459C-A5E9-FEC3409C4C81}"/>
</file>

<file path=customXml/itemProps5.xml><?xml version="1.0" encoding="utf-8"?>
<ds:datastoreItem xmlns:ds="http://schemas.openxmlformats.org/officeDocument/2006/customXml" ds:itemID="{E3716282-BFD2-4ED2-BA47-BFA1123827F0}"/>
</file>

<file path=customXml/itemProps6.xml><?xml version="1.0" encoding="utf-8"?>
<ds:datastoreItem xmlns:ds="http://schemas.openxmlformats.org/officeDocument/2006/customXml" ds:itemID="{14966E4F-347B-477B-B74C-9DAC05405806}"/>
</file>

<file path=customXml/itemProps7.xml><?xml version="1.0" encoding="utf-8"?>
<ds:datastoreItem xmlns:ds="http://schemas.openxmlformats.org/officeDocument/2006/customXml" ds:itemID="{66B09F59-6532-46F8-924A-9A02417E070D}"/>
</file>

<file path=customXml/itemProps8.xml><?xml version="1.0" encoding="utf-8"?>
<ds:datastoreItem xmlns:ds="http://schemas.openxmlformats.org/officeDocument/2006/customXml" ds:itemID="{BF5C6359-7763-4C37-8EAF-2BC4698CB285}"/>
</file>

<file path=customXml/itemProps9.xml><?xml version="1.0" encoding="utf-8"?>
<ds:datastoreItem xmlns:ds="http://schemas.openxmlformats.org/officeDocument/2006/customXml" ds:itemID="{3AEAA9D8-2182-46BA-A58E-96C72DDA1C54}"/>
</file>

<file path=customXml/itemProps10.xml><?xml version="1.0" encoding="utf-8"?>
<ds:datastoreItem xmlns:ds="http://schemas.openxmlformats.org/officeDocument/2006/customXml" ds:itemID="{C1A353BF-F163-471F-9CAE-351EC0E2A0ED}"/>
</file>

<file path=customXml/itemProps11.xml><?xml version="1.0" encoding="utf-8"?>
<ds:datastoreItem xmlns:ds="http://schemas.openxmlformats.org/officeDocument/2006/customXml" ds:itemID="{1954BBA4-0359-438C-B0EC-A756015F7C02}"/>
</file>

<file path=customXml/itemProps12.xml><?xml version="1.0" encoding="utf-8"?>
<ds:datastoreItem xmlns:ds="http://schemas.openxmlformats.org/officeDocument/2006/customXml" ds:itemID="{F12EFA50-0068-4A8C-85A0-F1B26389EBC3}"/>
</file>

<file path=customXml/itemProps13.xml><?xml version="1.0" encoding="utf-8"?>
<ds:datastoreItem xmlns:ds="http://schemas.openxmlformats.org/officeDocument/2006/customXml" ds:itemID="{89CF5C07-45EB-4100-9AFB-2C6AF77FA787}"/>
</file>

<file path=customXml/itemProps14.xml><?xml version="1.0" encoding="utf-8"?>
<ds:datastoreItem xmlns:ds="http://schemas.openxmlformats.org/officeDocument/2006/customXml" ds:itemID="{078388C9-06F9-42F4-B857-EF76B5CAF1FD}"/>
</file>

<file path=customXml/itemProps15.xml><?xml version="1.0" encoding="utf-8"?>
<ds:datastoreItem xmlns:ds="http://schemas.openxmlformats.org/officeDocument/2006/customXml" ds:itemID="{7946C510-7D04-49D8-9B25-EEC04582A1CA}"/>
</file>

<file path=customXml/itemProps16.xml><?xml version="1.0" encoding="utf-8"?>
<ds:datastoreItem xmlns:ds="http://schemas.openxmlformats.org/officeDocument/2006/customXml" ds:itemID="{F6B2B1A1-1C4B-4AC9-9A7D-7A102DD1C942}"/>
</file>

<file path=customXml/itemProps17.xml><?xml version="1.0" encoding="utf-8"?>
<ds:datastoreItem xmlns:ds="http://schemas.openxmlformats.org/officeDocument/2006/customXml" ds:itemID="{D3A7101F-9A85-4235-8B03-415370C100B2}"/>
</file>

<file path=customXml/itemProps18.xml><?xml version="1.0" encoding="utf-8"?>
<ds:datastoreItem xmlns:ds="http://schemas.openxmlformats.org/officeDocument/2006/customXml" ds:itemID="{98A113BB-8B7A-453C-8BD4-8EFC67FC2D3F}"/>
</file>

<file path=customXml/itemProps19.xml><?xml version="1.0" encoding="utf-8"?>
<ds:datastoreItem xmlns:ds="http://schemas.openxmlformats.org/officeDocument/2006/customXml" ds:itemID="{8D732231-4216-4543-A665-18A2886B0EB7}"/>
</file>

<file path=customXml/itemProps20.xml><?xml version="1.0" encoding="utf-8"?>
<ds:datastoreItem xmlns:ds="http://schemas.openxmlformats.org/officeDocument/2006/customXml" ds:itemID="{2BC74AAC-D69B-4AF1-9649-B21EF3C1C4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2026-02-24T12:25:21Z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2024-09-09T14:54:19Z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aa69ef55-c4c8-4461-ae67-71b5fea80fc0</vt:lpwstr>
  </property>
  <property fmtid="{D5CDD505-2E9C-101B-9397-08002B2CF9AE}" pid="9" name="MSIP_Label_9d817c99-0b37-4a07-8277-96aa1f96b74b_ContentBits">
    <vt:lpwstr>0</vt:lpwstr>
  </property>
</Properties>
</file>