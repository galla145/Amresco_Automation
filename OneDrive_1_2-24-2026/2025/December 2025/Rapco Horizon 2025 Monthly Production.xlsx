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0B74D33-3770-4611-B838-0483BBA05451}" xr6:coauthVersionLast="47" xr6:coauthVersionMax="47" xr10:uidLastSave="{00000000-0000-0000-0000-000000000000}"/>
  <bookViews>
    <workbookView xWindow="-108" yWindow="-108" windowWidth="23256" windowHeight="12456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9" l="1"/>
  <c r="I4" i="19" s="1"/>
  <c r="A4" i="72" a="1"/>
  <c r="A4" i="72"/>
  <c r="G4" i="30"/>
  <c r="G2" i="30" s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G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<sst xmlns="http://schemas.openxmlformats.org/spreadsheetml/2006/main" count="283" uniqueCount="80">
  <si>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</si>
  <si>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</si>
  <si>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</si>
  <si>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</si>
  <si>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</si>
  <si>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</si>
  <si>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</si>
  <si>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</si>
  <si>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</si>
  <si>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</si>
  <si>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</si>
  <si>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</si>
  <si>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</si>
  <si>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</si>
  <si>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</si>
  <si>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</si>
  <si>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</si>
  <si>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</si>
  <si>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</si>
  <si>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</si>
  <si>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</si>
  <si>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</si>
  <si>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</si>
  <si>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 6 has been tripping on and off throughout the month due to a "DC injection fault" in SolarEdge portal.
2. Inverter 1 requires a new relay board and fan
3. Low generation due to weather/snow.</t>
  </si>
  <si>
    <t>1. SR098945
2. SR094603</t>
  </si>
  <si>
    <t>SR094603</t>
  </si>
  <si>
    <t>February Actual v. Expected</t>
  </si>
  <si>
    <t>February Actual v. Forecasted</t>
  </si>
  <si>
    <t>1. Inverter 1 requires a new relay board and fan.
2. Inverter 6 has been tripping on and off throughout the month due to a "DC injection fault" in SolarEdge portal.
3. Low generation due to weather/snow.</t>
  </si>
  <si>
    <t>1. SR094603
2. SR098945</t>
  </si>
  <si>
    <t>SR098945</t>
  </si>
  <si>
    <t>March Actual v. Expected</t>
  </si>
  <si>
    <t>March Actual v. Forecasted</t>
  </si>
  <si>
    <t>1. The inverter 3 tripped offline at 06:45 AM on 03/06, reporting a "VinP Max" error. After inspection, the technician observed that a large amount of rain and snowmelt was causing insulation faults in the inverter. After troubleshooting, the inverter was  back online at 12:00 PM on 03/06.
2. Inverter 6 has been tripping on and off throughout the month due to a "DC injection fault" in SolarEdge portal and Also Energy portal.
3.  Inverter 1 requires a new relay board and fan.</t>
  </si>
  <si>
    <t>1. SR098206
2. SR098945
3. SR094603</t>
  </si>
  <si>
    <t>April Actual v. Expected</t>
  </si>
  <si>
    <t>April Actual v. Forecasted</t>
  </si>
  <si>
    <t>1. Inverter 6 has been tripping on and off throughout the month due to a "DC injection fault" in SolarEdge portal and Also Energy portal.</t>
  </si>
  <si>
    <t>1. SR098945</t>
  </si>
  <si>
    <t>May Actual v. Expected</t>
  </si>
  <si>
    <t>May Actual v. Forecasted</t>
  </si>
  <si>
    <t>June Actual v. Expected</t>
  </si>
  <si>
    <t>June Actual v. Forecasted</t>
  </si>
  <si>
    <t>1. Inverter 6 has been tripping on and off throughout the month due to a "DC injection fault" in SolarEdge portal and Also Energy portal.
2. Inverter 7 has multiple tripping's since 06/11.on 06/16 technician was updated the firmware, set country code and paired optimizers . then inverter is running as expected.</t>
  </si>
  <si>
    <t>1. SR098945, SR103041
2. SR102915</t>
  </si>
  <si>
    <t>SR103041</t>
  </si>
  <si>
    <t>SR102915</t>
  </si>
  <si>
    <t>July Actual v. Expected</t>
  </si>
  <si>
    <t>July Actual v. Forecasted</t>
  </si>
  <si>
    <t>1.Inverter 6 had multiple trippings  from 07/01 to 07/09.
2.Inverter 7 was experiencing multiple trippings throughout the month.</t>
  </si>
  <si>
    <t>1.SR103041
2.SR105311</t>
  </si>
  <si>
    <t>SR105311</t>
  </si>
  <si>
    <t>August Actual v. Expected</t>
  </si>
  <si>
    <t>August Actual v. Forecasted</t>
  </si>
  <si>
    <t>1.Inverter 6 was tripping on and off multiple times and remained offline since 08/26.
2.Inverter 7 tripped offline multiple times throughout the month.</t>
  </si>
  <si>
    <t>1.SR106805,SR103041
2.SR106583</t>
  </si>
  <si>
    <t>September Actual v. Expected</t>
  </si>
  <si>
    <t>September Actual v. Forecasted</t>
  </si>
  <si>
    <t>1. Inverter 6 was offline from 14:00 on 08/25 and came back online at 10:15 on 09/16.
2. Inverter 7 experienced trip events on 09/02 and 09/03.</t>
  </si>
  <si>
    <t>1. SR106805
2. SR106583</t>
  </si>
  <si>
    <t>October Actual v. Expected</t>
  </si>
  <si>
    <t>October Actual v. Forecasted</t>
  </si>
  <si>
    <t>Status</t>
  </si>
  <si>
    <t>November Actual v. Expected</t>
  </si>
  <si>
    <t>November Actual v. Forecasted</t>
  </si>
  <si>
    <t>1. Inverter 12 was offline at 07:00 on 11/26 and back online at 08:45 on 11/27.</t>
  </si>
  <si>
    <t>1. SR111794</t>
  </si>
  <si>
    <t>1. Closed</t>
  </si>
  <si>
    <t>December Actual v. Expected</t>
  </si>
  <si>
    <t>December Actual v. Forecasted</t>
  </si>
  <si>
    <t>1. Site was barely produced from 12/02 to 12/10, 12/14 to 12/17, 12/27 to 12/29 due to snow.</t>
  </si>
  <si>
    <t>Portfolio:</t>
  </si>
  <si>
    <t>MA: Leominster - 1776 Lock Dr - Rapco Horizon</t>
  </si>
  <si>
    <t>Site DAS Name</t>
  </si>
  <si>
    <t>Update</t>
  </si>
  <si>
    <t>DAS</t>
  </si>
  <si>
    <t>Rapco Horizon - 1776 Lock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</si>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</sst>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49" fontId="30" fillId="38" borderId="0" xfId="2" applyNumberFormat="1" applyFont="1" applyFill="1" applyBorder="1" applyAlignment="1">
      <alignment horizontal="left" vertical="top" wrapText="1"/>
    </xf>
    <xf numFmtId="9" fontId="30" fillId="38" borderId="12" xfId="2" applyFont="1" applyFill="1" applyBorder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4" fillId="40" borderId="0" xfId="0" applyFont="1" applyFill="1" applyAlignment="1">
      <alignment horizontal="left" vertical="center"/>
    </xf>
    <xf numFmtId="0" fontId="35" fillId="46" borderId="0" xfId="0" applyFont="1" applyFill="1" applyAlignment="1">
      <alignment horizontal="right" vertical="center"/>
    </xf>
    <xf numFmtId="9" fontId="36" fillId="38" borderId="12" xfId="45" applyNumberFormat="1" applyFill="1" applyBorder="1" applyAlignment="1">
      <alignment horizontal="left" vertical="top" wrapText="1"/>
    </xf>
    <xf numFmtId="0" fontId="36" fillId="0" borderId="0" xfId="45"/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4603" TargetMode="External"/><Relationship Id="rId1" Type="http://schemas.openxmlformats.org/officeDocument/2006/relationships/hyperlink" Target="https://us3.assetplanner.com/service_request?ID=09894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945" TargetMode="External"/><Relationship Id="rId1" Type="http://schemas.openxmlformats.org/officeDocument/2006/relationships/hyperlink" Target="https://us3.assetplanner.com/service_request?ID=09460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603" TargetMode="External"/><Relationship Id="rId2" Type="http://schemas.openxmlformats.org/officeDocument/2006/relationships/hyperlink" Target="https://us3.assetplanner.com/service_request?ID=098945" TargetMode="External"/><Relationship Id="rId1" Type="http://schemas.openxmlformats.org/officeDocument/2006/relationships/hyperlink" Target="https://us3.assetplanner.com/service_request?ID=09820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94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94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915" TargetMode="External"/><Relationship Id="rId2" Type="http://schemas.openxmlformats.org/officeDocument/2006/relationships/hyperlink" Target="https://us3.assetplanner.com/service_request?ID=103041" TargetMode="External"/><Relationship Id="rId1" Type="http://schemas.openxmlformats.org/officeDocument/2006/relationships/hyperlink" Target="https://us3.assetplanner.com/service_request?ID=098945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311" TargetMode="External"/><Relationship Id="rId1" Type="http://schemas.openxmlformats.org/officeDocument/2006/relationships/hyperlink" Target="https://us3.assetplanner.com/service_request?ID=103041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111794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5">
        <f>SUM(C4:C79)</f>
        <v>440886.42987185298</v>
      </c>
      <c r="D2" s="5">
        <f>SUM(D4:D79)</f>
        <v>0</v>
      </c>
      <c r="E2" s="5">
        <f>C2-D2</f>
        <v>440886.42987185298</v>
      </c>
      <c r="F2" s="6">
        <f>IFERROR(E2/D2, 0)</f>
        <v>0</v>
      </c>
      <c r="G2" s="5">
        <f>SUM(G4:G79)</f>
        <v>502300.11099999998</v>
      </c>
      <c r="H2" s="7">
        <f>C2-G2</f>
        <v>-61413.681128147</v>
      </c>
      <c r="I2" s="6">
        <f>IFERROR(H2/G2, 0)</f>
        <v>-0.12226491649759361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SUM('1st Qtr'!C4, '2nd Qtr'!C4, '3rd Qtr'!C4, '4th Qtr'!C4)</f>
        <v>440886.42987185298</v>
      </c>
      <c r="D4" s="12">
        <f>SUM('1st Qtr'!D4, '2nd Qtr'!D4, '3rd Qtr'!D4, '4th Qtr'!D4)</f>
        <v>0</v>
      </c>
      <c r="E4" s="12">
        <f>IF(AND(ISNUMBER(C4),ISNUMBER(D4)), C4-D4, "")</f>
        <v>440886.42987185298</v>
      </c>
      <c r="F4" s="13" t="str">
        <f>IFERROR(E4/D4, "")</f>
        <v/>
      </c>
      <c r="G4" s="14">
        <f>SUM('1st Qtr'!G4, '2nd Qtr'!G4, '3rd Qtr'!G4, '4th Qtr'!G4)</f>
        <v>502300.11099999998</v>
      </c>
      <c r="H4" s="14">
        <f>SUM('1st Qtr'!H4, '2nd Qtr'!H4, '3rd Qtr'!H4, '4th Qtr'!H4)</f>
        <v>-61413.681128147</v>
      </c>
      <c r="I4" s="15">
        <f>IFERROR(H4/G4, "")</f>
        <v>-0.12226491649759361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5">
        <f>SUM(C4:C79)</f>
        <v>62685.559961852996</v>
      </c>
      <c r="D2" s="5">
        <f>SUM(D4:D79)</f>
        <v>0</v>
      </c>
      <c r="E2" s="5">
        <f>C2-D2</f>
        <v>62685.559961852996</v>
      </c>
      <c r="F2" s="6">
        <f>IFERROR(E2/D2, 0)</f>
        <v>0</v>
      </c>
      <c r="G2" s="5">
        <f>SUM(G4:G79)</f>
        <v>95137.670000000013</v>
      </c>
      <c r="H2" s="7">
        <f>C2-G2</f>
        <v>-32452.110038147017</v>
      </c>
      <c r="I2" s="6">
        <f>IFERROR(H2/G2, 0)</f>
        <v>-0.34110684062524355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SUM(Jan!C4, Feb!C4, Mar!C4)</f>
        <v>62685.559961852996</v>
      </c>
      <c r="D4" s="12">
        <f>SUM(Jan!D4, Feb!D4, Mar!D4)</f>
        <v>0</v>
      </c>
      <c r="E4" s="12">
        <f>IF(AND(ISNUMBER(C4),ISNUMBER(D4)), C4-D4, "")</f>
        <v>62685.559961852996</v>
      </c>
      <c r="F4" s="13" t="str">
        <f>IFERROR(E4/D4, "")</f>
        <v/>
      </c>
      <c r="G4" s="14">
        <f>SUM(Jan!G4, Feb!G4, Mar!G4)</f>
        <v>95137.670000000013</v>
      </c>
      <c r="H4" s="14">
        <f>SUM(Jan!H4, Feb!H4, Mar!H4)</f>
        <v>-32452.110038147006</v>
      </c>
      <c r="I4" s="15">
        <f>IFERROR(H4/G4, "")</f>
        <v>-0.34110684062524343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D4" sqref="D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5">
        <f>SUM(C4:C79)</f>
        <v>148747.44</v>
      </c>
      <c r="D2" s="5">
        <f>SUM(D4:D79)</f>
        <v>0</v>
      </c>
      <c r="E2" s="5">
        <f>C2-D2</f>
        <v>148747.44</v>
      </c>
      <c r="F2" s="6">
        <f>IFERROR(E2/D2, 0)</f>
        <v>0</v>
      </c>
      <c r="G2" s="5">
        <f>SUM(G4:G79)</f>
        <v>171441.359</v>
      </c>
      <c r="H2" s="7">
        <f>C2-G2</f>
        <v>-22693.918999999994</v>
      </c>
      <c r="I2" s="6">
        <f>IFERROR(H2/G2, 0)</f>
        <v>-0.1323713200383578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SUM(Apr!C4, May!C4, Jun!C4)</f>
        <v>148747.44</v>
      </c>
      <c r="D4" s="12">
        <f>SUM(Apr!D4, May!D4, Jun!D4)</f>
        <v>0</v>
      </c>
      <c r="E4" s="12">
        <f>IF(AND(ISNUMBER(C4),ISNUMBER(D4)), C4-D4, "")</f>
        <v>148747.44</v>
      </c>
      <c r="F4" s="13" t="str">
        <f>IFERROR(E4/D4, "")</f>
        <v/>
      </c>
      <c r="G4" s="14">
        <f>SUM(Apr!G4,May!G4,Jun!G4)</f>
        <v>171441.359</v>
      </c>
      <c r="H4" s="14">
        <f>SUM(Apr!H4, May!H4, Jun!H4)</f>
        <v>-22693.919000000002</v>
      </c>
      <c r="I4" s="15">
        <f>IFERROR(H4/G4, "")</f>
        <v>-0.13237132003835786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E17" sqref="E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5">
        <f>SUM(C4:C79)</f>
        <v>163536.44991</v>
      </c>
      <c r="D2" s="5">
        <f>SUM(D4:D79)</f>
        <v>0</v>
      </c>
      <c r="E2" s="5">
        <f>C2-D2</f>
        <v>163536.44991</v>
      </c>
      <c r="F2" s="6">
        <f>IFERROR(E2/D2, 0)</f>
        <v>0</v>
      </c>
      <c r="G2" s="5">
        <f>SUM(G4:G79)</f>
        <v>162886.783</v>
      </c>
      <c r="H2" s="7">
        <f>C2-G2</f>
        <v>649.66690999999992</v>
      </c>
      <c r="I2" s="6">
        <f>IFERROR(H2/G2, 0)</f>
        <v>3.9884568780513023E-3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SUM(Jul!C4, Aug!C4, Sep!C4)</f>
        <v>163536.44991</v>
      </c>
      <c r="D4" s="12">
        <f>SUM(Jul!D4, Aug!D4, Sep!D4)</f>
        <v>0</v>
      </c>
      <c r="E4" s="12">
        <f>IF(AND(ISNUMBER(C4),ISNUMBER(D4)), C4-D4, "")</f>
        <v>163536.44991</v>
      </c>
      <c r="F4" s="13" t="str">
        <f>IFERROR(E4/D4, "")</f>
        <v/>
      </c>
      <c r="G4" s="14">
        <f>SUM(Jul!G4,Aug!G4,Sep!G4)</f>
        <v>162886.783</v>
      </c>
      <c r="H4" s="14">
        <f>SUM(Jul!H4, Aug!H4, Sep!H4)</f>
        <v>649.66691000000719</v>
      </c>
      <c r="I4" s="15">
        <f>IFERROR(H4/G4, "")</f>
        <v>3.9884568780513465E-3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3.15"/>
  <cols>
    <col min="1" max="1" width="48.5703125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5">
        <f>SUM(C4:C79)</f>
        <v>65916.98</v>
      </c>
      <c r="D2" s="5">
        <f>SUM(D4:D79)</f>
        <v>0</v>
      </c>
      <c r="E2" s="5">
        <f>C2-D2</f>
        <v>65916.98</v>
      </c>
      <c r="F2" s="6">
        <f>IFERROR(E2/D2, 0)</f>
        <v>0</v>
      </c>
      <c r="G2" s="5">
        <f>SUM(G4:G79)</f>
        <v>72834.298999999999</v>
      </c>
      <c r="H2" s="7">
        <f>C2-G2</f>
        <v>-6917.3190000000031</v>
      </c>
      <c r="I2" s="6">
        <f>IFERROR(H2/G2, 0)</f>
        <v>-9.4973372366774667E-2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SUM(Oct!C4, Nov!C4, Dec!C4)</f>
        <v>65916.98</v>
      </c>
      <c r="D4" s="12">
        <f>SUM(Oct!D4, Nov!D4, Dec!D4)</f>
        <v>0</v>
      </c>
      <c r="E4" s="12">
        <f>IF(AND(ISNUMBER(C4),ISNUMBER(D4)), C4-D4, "")</f>
        <v>65916.98</v>
      </c>
      <c r="F4" s="13" t="str">
        <f>IFERROR(E4/D4, "")</f>
        <v/>
      </c>
      <c r="G4" s="14">
        <f>SUM(Oct!G4,Nov!G4,Dec!G4)</f>
        <v>72834.298999999999</v>
      </c>
      <c r="H4" s="14">
        <f>SUM(Oct!H4, Nov!H4, Dec!H4)</f>
        <v>-6917.3189999999959</v>
      </c>
      <c r="I4" s="15">
        <f>IFERROR(H4/G4, "")</f>
        <v>-9.4973372366774556E-2</v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0"/>
  <sheetViews>
    <sheetView workbookViewId="0">
      <pane xSplit="2" ySplit="3" topLeftCell="C4" activePane="bottomRight" state="frozen"/>
      <selection pane="bottomRight" activeCell="H21" sqref="H21"/>
      <selection pane="bottomLeft" activeCell="J4" sqref="J4:K4"/>
      <selection pane="topRight" activeCell="J4" sqref="J4: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SUM(C4:C78)</f>
        <v>14501.81999</v>
      </c>
      <c r="D2" s="5">
        <f>SUM(D4:D78)</f>
        <v>0</v>
      </c>
      <c r="E2" s="5">
        <f>C2-D2</f>
        <v>14501.81999</v>
      </c>
      <c r="F2" s="6">
        <f>IFERROR(E2/D2, 0)</f>
        <v>0</v>
      </c>
      <c r="G2" s="5">
        <f>SUM(G4:G78)</f>
        <v>21275.77</v>
      </c>
      <c r="H2" s="7">
        <f>C2-G2</f>
        <v>-6773.9500100000005</v>
      </c>
      <c r="I2" s="6">
        <f>IFERROR(H2/G2, 0)</f>
        <v>-0.31838800710855591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57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49">
        <v>14501.81999</v>
      </c>
      <c r="D4" s="56" t="s">
        <v>22</v>
      </c>
      <c r="E4" s="12" t="str">
        <f>IF(AND(ISNUMBER(C4),ISNUMBER(D4)), C4-D4, "")</f>
        <v/>
      </c>
      <c r="F4" s="40" t="str">
        <f>IFERROR(E4/D4, "")</f>
        <v/>
      </c>
      <c r="G4" s="51">
        <v>21275.77</v>
      </c>
      <c r="H4" s="14">
        <f>IF(AND(ISNUMBER(C4),ISNUMBER(G4)), C4-G4, "")</f>
        <v>-6773.9500100000005</v>
      </c>
      <c r="I4" s="15">
        <f>IFERROR(H4/G4, "")</f>
        <v>-0.31838800710855591</v>
      </c>
      <c r="J4" s="53" t="s">
        <v>23</v>
      </c>
      <c r="K4" s="57" t="s">
        <v>24</v>
      </c>
      <c r="L4" s="58" t="s">
        <v>25</v>
      </c>
    </row>
    <row r="5" spans="1:12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54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hyperlinks>
    <hyperlink ref="K4" r:id="rId1" display="https://us3.assetplanner.com/service_request?ID=098945" xr:uid="{F3CFE38E-6739-4AD4-86B5-3B5442742B91}"/>
    <hyperlink ref="L4" r:id="rId2" display="https://us3.assetplanner.com/service_request?ID=094603" xr:uid="{41F04F61-9A5E-437E-8F53-C8313A27C5D6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1"/>
  <sheetViews>
    <sheetView zoomScale="90" zoomScaleNormal="90" workbookViewId="0">
      <pane xSplit="2" ySplit="3" topLeftCell="C4" activePane="bottomRight" state="frozen"/>
      <selection pane="bottomRight" activeCell="K1" sqref="K1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26</v>
      </c>
      <c r="E1" s="66"/>
      <c r="F1" s="66"/>
      <c r="G1" s="64" t="s">
        <v>27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5822.469983</v>
      </c>
      <c r="D2" s="5">
        <f>SUM(D4:D79)</f>
        <v>0</v>
      </c>
      <c r="E2" s="5">
        <f>C2-D2</f>
        <v>5822.469983</v>
      </c>
      <c r="F2" s="6">
        <f>IFERROR(E2/D2, 0)</f>
        <v>0</v>
      </c>
      <c r="G2" s="5">
        <f>SUM(G4:G79)</f>
        <v>30103.22</v>
      </c>
      <c r="H2" s="7">
        <f>C2-G2</f>
        <v>-24280.750017000002</v>
      </c>
      <c r="I2" s="6">
        <f>IFERROR(H2/G2, 0)</f>
        <v>-0.80658315014141346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57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5822.469983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30103.22</v>
      </c>
      <c r="H4" s="14">
        <f>IF(AND(ISNUMBER(C4),ISNUMBER(G4)), C4-G4, "")</f>
        <v>-24280.750017000002</v>
      </c>
      <c r="I4" s="15">
        <f>IFERROR(H4/G4, "")</f>
        <v>-0.80658315014141346</v>
      </c>
      <c r="J4" s="36" t="s">
        <v>28</v>
      </c>
      <c r="K4" s="59" t="s">
        <v>29</v>
      </c>
      <c r="L4" s="58" t="s">
        <v>30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4603" xr:uid="{3288FD7B-AD19-4AE4-BD05-046290414B08}"/>
    <hyperlink ref="L4" r:id="rId2" display="https://us3.assetplanner.com/service_request?ID=098945" xr:uid="{BCD21A9A-90AA-43CD-A72B-CAC69977790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zoomScaleNormal="60" workbookViewId="0">
      <pane xSplit="2" ySplit="3" topLeftCell="C4" activePane="bottomRight" state="frozen"/>
      <selection pane="bottomRight" activeCell="J4" sqref="J4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60"/>
  </cols>
  <sheetData>
    <row r="1" spans="1:13" ht="19.5" customHeight="1">
      <c r="A1" s="65" t="str" cm="1">
        <f t="array" ref="A1">portfolio</f>
        <v>MA: Leominster - 1776 Lock Dr - Rapco Horizon</v>
      </c>
      <c r="B1" s="65"/>
      <c r="C1" s="65"/>
      <c r="D1" s="66" t="s">
        <v>31</v>
      </c>
      <c r="E1" s="66"/>
      <c r="F1" s="66"/>
      <c r="G1" s="64" t="s">
        <v>32</v>
      </c>
      <c r="H1" s="64"/>
      <c r="I1" s="64"/>
      <c r="J1" s="4"/>
      <c r="K1" s="4"/>
    </row>
    <row r="2" spans="1:13" ht="19.5" customHeight="1">
      <c r="A2" s="67" t="s">
        <v>2</v>
      </c>
      <c r="B2" s="67"/>
      <c r="C2" s="5">
        <f>SUM(C4:C79)</f>
        <v>42361.269988852997</v>
      </c>
      <c r="D2" s="5">
        <f>SUM(D4:D79)</f>
        <v>0</v>
      </c>
      <c r="E2" s="5">
        <f>C2-D2</f>
        <v>42361.269988852997</v>
      </c>
      <c r="F2" s="6">
        <f>IFERROR(E2/D2, 0)</f>
        <v>0</v>
      </c>
      <c r="G2" s="5">
        <f>SUM(G4:G79)</f>
        <v>43758.68</v>
      </c>
      <c r="H2" s="7">
        <f>C2-G2</f>
        <v>-1397.4100111470034</v>
      </c>
      <c r="I2" s="6">
        <f>IFERROR(H2/G2, 0)</f>
        <v>-3.1934464457040374E-2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26.75" customHeight="1">
      <c r="A4" s="55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42361.269988852997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43758.68</v>
      </c>
      <c r="H4" s="14">
        <f>IF(AND(ISNUMBER(C4),ISNUMBER(G4)), C4-G4, "")</f>
        <v>-1397.4100111470034</v>
      </c>
      <c r="I4" s="15">
        <f>IFERROR(H4/G4, "")</f>
        <v>-3.1934464457040374E-2</v>
      </c>
      <c r="J4" s="36" t="s">
        <v>33</v>
      </c>
      <c r="K4" s="59" t="s">
        <v>34</v>
      </c>
      <c r="L4" s="61" t="s">
        <v>30</v>
      </c>
      <c r="M4" s="61" t="s">
        <v>25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206" xr:uid="{EBD78EA1-30DF-45C8-BD1F-5F36095D139D}"/>
    <hyperlink ref="L4" r:id="rId2" display="https://us3.assetplanner.com/service_request?ID=098945" xr:uid="{81D8C996-0D53-4A82-81C8-3E2201B8208F}"/>
    <hyperlink ref="M4" r:id="rId3" display="https://us3.assetplanner.com/service_request?ID=094603" xr:uid="{AAC54588-20D2-41D1-A553-A40BC36562F4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sqref="K4"/>
      <selection pane="bottomLeft" activeCell="D20" sqref="D20"/>
      <selection pane="topRight" activeCell="D20" sqref="D20"/>
    </sheetView>
  </sheetViews>
  <sheetFormatPr defaultRowHeight="13.9"/>
  <cols>
    <col min="1" max="1" width="40.7109375" customWidth="1"/>
    <col min="2" max="2" width="9.85546875" style="30" customWidth="1"/>
    <col min="3" max="3" width="14.28515625" customWidth="1"/>
    <col min="4" max="5" width="13.28515625" customWidth="1"/>
    <col min="6" max="6" width="13.28515625" style="1" customWidth="1"/>
    <col min="7" max="8" width="13.28515625" customWidth="1"/>
    <col min="9" max="9" width="16.140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35</v>
      </c>
      <c r="E1" s="66"/>
      <c r="F1" s="66"/>
      <c r="G1" s="64" t="s">
        <v>36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48045.84</v>
      </c>
      <c r="D2" s="5">
        <f>SUM(D4:D79)</f>
        <v>0</v>
      </c>
      <c r="E2" s="5">
        <f>C2-D2</f>
        <v>48045.84</v>
      </c>
      <c r="F2" s="6">
        <f>IFERROR(E2/D2, 0)</f>
        <v>0</v>
      </c>
      <c r="G2" s="5">
        <f>SUM(G4:G79)</f>
        <v>50356.404000000002</v>
      </c>
      <c r="H2" s="7">
        <f>C2-G2</f>
        <v>-2310.5640000000058</v>
      </c>
      <c r="I2" s="6">
        <f>IFERROR(H2/G2, 0)</f>
        <v>-4.588421365433492E-2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48045.84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50356.404000000002</v>
      </c>
      <c r="H4" s="14">
        <f>IF(AND(ISNUMBER(C4),ISNUMBER(G4)), C4-G4, "")</f>
        <v>-2310.5640000000058</v>
      </c>
      <c r="I4" s="15">
        <f>IFERROR(H4/G4, "")</f>
        <v>-4.588421365433492E-2</v>
      </c>
      <c r="J4" s="36" t="s">
        <v>37</v>
      </c>
      <c r="K4" s="59" t="s">
        <v>38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29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8945" xr:uid="{5E064400-279F-4ECB-9F61-A6A4AB63C2F1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K4" sqref="K4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39</v>
      </c>
      <c r="E1" s="66"/>
      <c r="F1" s="66"/>
      <c r="G1" s="64" t="s">
        <v>40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44905.75</v>
      </c>
      <c r="D2" s="5">
        <f>SUM(D4:D79)</f>
        <v>0</v>
      </c>
      <c r="E2" s="5">
        <f>C2-D2</f>
        <v>44905.75</v>
      </c>
      <c r="F2" s="6">
        <f>IFERROR(E2/D2, 0)</f>
        <v>0</v>
      </c>
      <c r="G2" s="5">
        <f>SUM(G4:G79)</f>
        <v>59923.824999999997</v>
      </c>
      <c r="H2" s="7">
        <f>C2-G2</f>
        <v>-15018.074999999997</v>
      </c>
      <c r="I2" s="6">
        <f>IFERROR(H2/G2, 0)</f>
        <v>-0.25061943225419936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44905.75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59923.824999999997</v>
      </c>
      <c r="H4" s="14">
        <f>IF(AND(ISNUMBER(C4),ISNUMBER(G4)), C4-G4, "")</f>
        <v>-15018.074999999997</v>
      </c>
      <c r="I4" s="15">
        <f>IFERROR(H4/G4, "")</f>
        <v>-0.25061943225419936</v>
      </c>
      <c r="J4" s="36" t="s">
        <v>37</v>
      </c>
      <c r="K4" s="59" t="s">
        <v>38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8945" xr:uid="{15F079C8-4069-4CCF-AC18-AECE3E18F468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1"/>
  <sheetViews>
    <sheetView zoomScale="80" zoomScaleNormal="80" workbookViewId="0">
      <pane xSplit="2" ySplit="3" topLeftCell="C4" activePane="bottomRight" state="frozen"/>
      <selection pane="bottomRight" activeCell="J26" sqref="J26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62"/>
  </cols>
  <sheetData>
    <row r="1" spans="1:13" ht="19.5" customHeight="1">
      <c r="A1" s="65" t="str" cm="1">
        <f t="array" ref="A1">portfolio</f>
        <v>MA: Leominster - 1776 Lock Dr - Rapco Horizon</v>
      </c>
      <c r="B1" s="65"/>
      <c r="C1" s="65"/>
      <c r="D1" s="66" t="s">
        <v>41</v>
      </c>
      <c r="E1" s="66"/>
      <c r="F1" s="66"/>
      <c r="G1" s="64" t="s">
        <v>42</v>
      </c>
      <c r="H1" s="64"/>
      <c r="I1" s="64"/>
      <c r="J1" s="4"/>
      <c r="K1" s="4"/>
    </row>
    <row r="2" spans="1:13" ht="19.5" customHeight="1">
      <c r="A2" s="67" t="s">
        <v>2</v>
      </c>
      <c r="B2" s="67"/>
      <c r="C2" s="5">
        <f>SUM(C4:C79)</f>
        <v>55795.85</v>
      </c>
      <c r="D2" s="5">
        <f>SUM(D4:D79)</f>
        <v>0</v>
      </c>
      <c r="E2" s="5">
        <f>C2-D2</f>
        <v>55795.85</v>
      </c>
      <c r="F2" s="6">
        <f>IFERROR(E2/D2, 0)</f>
        <v>0</v>
      </c>
      <c r="G2" s="5">
        <f>SUM(G4:G79)</f>
        <v>61161.13</v>
      </c>
      <c r="H2" s="7">
        <f>C2-G2</f>
        <v>-5365.2799999999988</v>
      </c>
      <c r="I2" s="6">
        <f>IFERROR(H2/G2, 0)</f>
        <v>-8.7723689866423316E-2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72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55795.85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61161.13</v>
      </c>
      <c r="H4" s="14">
        <f>IF(AND(ISNUMBER(C4),ISNUMBER(G4)), C4-G4, "")</f>
        <v>-5365.2799999999988</v>
      </c>
      <c r="I4" s="15">
        <f>IFERROR(H4/G4, "")</f>
        <v>-8.7723689866423316E-2</v>
      </c>
      <c r="J4" s="36" t="s">
        <v>43</v>
      </c>
      <c r="K4" s="59" t="s">
        <v>44</v>
      </c>
      <c r="L4" s="63" t="s">
        <v>45</v>
      </c>
      <c r="M4" s="63" t="s">
        <v>46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8945" xr:uid="{9F0E93C6-38EF-494F-8956-2F50B3D002C3}"/>
    <hyperlink ref="L4" r:id="rId2" display="https://us3.assetplanner.com/service_request?ID=103041" xr:uid="{FFE7FB1A-AAED-4B2A-8F77-9751E66D3F06}"/>
    <hyperlink ref="M4" r:id="rId3" display="https://us3.assetplanner.com/service_request?ID=102915" xr:uid="{6DC580C4-6A57-4F5B-A6EA-C0E71F088D62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workbookViewId="0">
      <pane xSplit="2" ySplit="3" topLeftCell="C4" activePane="bottomRight" state="frozen"/>
      <selection pane="bottomRight" activeCell="F34" sqref="F34"/>
      <selection pane="bottomLeft" activeCell="F34" sqref="F34"/>
      <selection pane="topRight" activeCell="F34" sqref="F3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0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47</v>
      </c>
      <c r="E1" s="66"/>
      <c r="F1" s="66"/>
      <c r="G1" s="64" t="s">
        <v>48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59243.580170000001</v>
      </c>
      <c r="D2" s="5">
        <f>SUM(D4:D79)</f>
        <v>0</v>
      </c>
      <c r="E2" s="5">
        <f>C2-D2</f>
        <v>59243.580170000001</v>
      </c>
      <c r="F2" s="6">
        <f>IFERROR(E2/D2, 0)</f>
        <v>0</v>
      </c>
      <c r="G2" s="5">
        <f>SUM(G4:G79)</f>
        <v>64381.63</v>
      </c>
      <c r="H2" s="7">
        <f>C2-G2</f>
        <v>-5138.0498299999963</v>
      </c>
      <c r="I2" s="6">
        <f>IFERROR(H2/G2, 0)</f>
        <v>-7.9806147032934649E-2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9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59243.580170000001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64381.63</v>
      </c>
      <c r="H4" s="14">
        <f>IF(AND(ISNUMBER(C4),ISNUMBER(G4)), C4-G4, "")</f>
        <v>-5138.0498299999963</v>
      </c>
      <c r="I4" s="15">
        <f>IFERROR(H4/G4, "")</f>
        <v>-7.9806147032934649E-2</v>
      </c>
      <c r="J4" s="36" t="s">
        <v>49</v>
      </c>
      <c r="K4" s="59" t="s">
        <v>50</v>
      </c>
      <c r="L4" s="61" t="s">
        <v>51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041" xr:uid="{04B270F9-032F-42FD-A705-0C4FF1B7E1E6}"/>
    <hyperlink ref="L4" r:id="rId2" display="https://us3.assetplanner.com/service_request?ID=105311" xr:uid="{56540192-C5AA-491F-BBAD-493F243D6FCF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1"/>
  <sheetViews>
    <sheetView workbookViewId="0">
      <pane xSplit="2" ySplit="3" topLeftCell="C4" activePane="bottomRight" state="frozen"/>
      <selection pane="bottomRight" activeCell="F34" sqref="F34"/>
      <selection pane="bottomLeft" activeCell="F34" sqref="F34"/>
      <selection pane="topRight" activeCell="F34" sqref="F3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0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52</v>
      </c>
      <c r="E1" s="66"/>
      <c r="F1" s="66"/>
      <c r="G1" s="64" t="s">
        <v>53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58840.799740000002</v>
      </c>
      <c r="D2" s="5">
        <f>SUM(D4:D79)</f>
        <v>0</v>
      </c>
      <c r="E2" s="5">
        <f>C2-D2</f>
        <v>58840.799740000002</v>
      </c>
      <c r="F2" s="6">
        <f>IFERROR(E2/D2, 0)</f>
        <v>0</v>
      </c>
      <c r="G2" s="5">
        <f>SUM(G4:G79)</f>
        <v>55661.27</v>
      </c>
      <c r="H2" s="7">
        <f>C2-G2</f>
        <v>3179.5297400000054</v>
      </c>
      <c r="I2" s="6">
        <f>IFERROR(H2/G2, 0)</f>
        <v>5.7122838555426519E-2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9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58840.799740000002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55661.27</v>
      </c>
      <c r="H4" s="14">
        <f>IF(AND(ISNUMBER(C4),ISNUMBER(G4)), C4-G4, "")</f>
        <v>3179.5297400000054</v>
      </c>
      <c r="I4" s="15">
        <f>IFERROR(H4/G4, "")</f>
        <v>5.7122838555426519E-2</v>
      </c>
      <c r="J4" s="36" t="s">
        <v>54</v>
      </c>
      <c r="K4" s="59" t="s">
        <v>55</v>
      </c>
      <c r="L4" s="61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1"/>
  <sheetViews>
    <sheetView workbookViewId="0">
      <pane xSplit="2" ySplit="3" topLeftCell="C4" activePane="bottomRight" state="frozen"/>
      <selection pane="bottomRight" activeCell="E18" sqref="E18:E19"/>
      <selection pane="bottomLeft" activeCell="G21" sqref="G21"/>
      <selection pane="topRight" activeCell="G21" sqref="G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0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56</v>
      </c>
      <c r="E1" s="66"/>
      <c r="F1" s="66"/>
      <c r="G1" s="64" t="s">
        <v>57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45452.07</v>
      </c>
      <c r="D2" s="5">
        <f>SUM(D4:D79)</f>
        <v>0</v>
      </c>
      <c r="E2" s="5">
        <f>C2-D2</f>
        <v>45452.07</v>
      </c>
      <c r="F2" s="6">
        <f>IFERROR(E2/D2, 0)</f>
        <v>0</v>
      </c>
      <c r="G2" s="5">
        <f>SUM(G4:G79)</f>
        <v>42843.883000000002</v>
      </c>
      <c r="H2" s="7">
        <f>C2-G2</f>
        <v>2608.1869999999981</v>
      </c>
      <c r="I2" s="6">
        <f>IFERROR(H2/G2, 0)</f>
        <v>6.0876531662641266E-2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43.1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45452.07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42843.883000000002</v>
      </c>
      <c r="H4" s="14">
        <f>IF(AND(ISNUMBER(C4),ISNUMBER(G4)), C4-G4, "")</f>
        <v>2608.1869999999981</v>
      </c>
      <c r="I4" s="15">
        <f>IFERROR(H4/G4, "")</f>
        <v>6.0876531662641266E-2</v>
      </c>
      <c r="J4" s="36" t="s">
        <v>58</v>
      </c>
      <c r="K4" s="59" t="s">
        <v>59</v>
      </c>
      <c r="L4" s="61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21"/>
  <sheetViews>
    <sheetView workbookViewId="0">
      <pane xSplit="2" ySplit="3" topLeftCell="G4" activePane="bottomRight" state="frozen"/>
      <selection pane="bottomRight" activeCell="L4" sqref="L4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" customWidth="1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60</v>
      </c>
      <c r="E1" s="66"/>
      <c r="F1" s="66"/>
      <c r="G1" s="64" t="s">
        <v>61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36423.620000000003</v>
      </c>
      <c r="D2" s="5">
        <f>SUM(D4:D79)</f>
        <v>0</v>
      </c>
      <c r="E2" s="5">
        <f>C2-D2</f>
        <v>36423.620000000003</v>
      </c>
      <c r="F2" s="6">
        <f>IFERROR(E2/D2, 0)</f>
        <v>0</v>
      </c>
      <c r="G2" s="5">
        <f>SUM(G4:G79)</f>
        <v>33007.040999999997</v>
      </c>
      <c r="H2" s="7">
        <f>C2-G2</f>
        <v>3416.5790000000052</v>
      </c>
      <c r="I2" s="6">
        <f>IFERROR(H2/G2, 0)</f>
        <v>0.1035106115692105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62</v>
      </c>
    </row>
    <row r="4" spans="1:12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36423.620000000003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33007.040999999997</v>
      </c>
      <c r="H4" s="14">
        <f>IF(AND(ISNUMBER(C4),ISNUMBER(G4)), C4-G4, "")</f>
        <v>3416.5790000000052</v>
      </c>
      <c r="I4" s="15">
        <f>IFERROR(H4/G4, "")</f>
        <v>0.1035106115692105</v>
      </c>
      <c r="J4" s="36"/>
      <c r="K4" s="36"/>
      <c r="L4" s="36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21"/>
  <sheetViews>
    <sheetView tabSelected="1" workbookViewId="0">
      <pane xSplit="2" ySplit="3" topLeftCell="F4" activePane="bottomRight" state="frozen"/>
      <selection pane="bottomRight" activeCell="K12" sqref="K12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6.85546875" customWidth="1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63</v>
      </c>
      <c r="E1" s="66"/>
      <c r="F1" s="66"/>
      <c r="G1" s="64" t="s">
        <v>64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22430.16</v>
      </c>
      <c r="D2" s="5">
        <f>SUM(D4:D79)</f>
        <v>0</v>
      </c>
      <c r="E2" s="5">
        <f>C2-D2</f>
        <v>22430.16</v>
      </c>
      <c r="F2" s="6">
        <f>IFERROR(E2/D2, 0)</f>
        <v>0</v>
      </c>
      <c r="G2" s="5">
        <f>SUM(G4:G79)</f>
        <v>21661.758000000002</v>
      </c>
      <c r="H2" s="7">
        <f>C2-G2</f>
        <v>768.40199999999822</v>
      </c>
      <c r="I2" s="6">
        <f>IFERROR(H2/G2, 0)</f>
        <v>3.5472744178934978E-2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62</v>
      </c>
    </row>
    <row r="4" spans="1:12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22430.16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21661.758000000002</v>
      </c>
      <c r="H4" s="14">
        <f>IF(AND(ISNUMBER(C4),ISNUMBER(G4)), C4-G4, "")</f>
        <v>768.40199999999822</v>
      </c>
      <c r="I4" s="15">
        <f>IFERROR(H4/G4, "")</f>
        <v>3.5472744178934978E-2</v>
      </c>
      <c r="J4" s="36" t="s">
        <v>65</v>
      </c>
      <c r="K4" s="59" t="s">
        <v>66</v>
      </c>
      <c r="L4" s="36" t="s">
        <v>67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11794" xr:uid="{DDA1FCDF-45E1-4DBD-B86F-A1425F275CD4}"/>
  </hyperlinks>
  <pageMargins left="0.4" right="0.7" top="0.25" bottom="0.25" header="0.3" footer="0.3"/>
  <pageSetup fitToHeight="9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F4" activePane="bottomRight" state="frozen"/>
      <selection pane="bottomRight" activeCell="J12" sqref="J12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68</v>
      </c>
      <c r="E1" s="66"/>
      <c r="F1" s="66"/>
      <c r="G1" s="64" t="s">
        <v>69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7063.2</v>
      </c>
      <c r="D2" s="5">
        <f>SUM(D4:D79)</f>
        <v>0</v>
      </c>
      <c r="E2" s="5">
        <f>C2-D2</f>
        <v>7063.2</v>
      </c>
      <c r="F2" s="6">
        <f>IFERROR(E2/D2, 0)</f>
        <v>0</v>
      </c>
      <c r="G2" s="5">
        <f>SUM(G4:G79)</f>
        <v>18165.5</v>
      </c>
      <c r="H2" s="7">
        <f>C2-G2</f>
        <v>-11102.3</v>
      </c>
      <c r="I2" s="6">
        <f>IFERROR(H2/G2, 0)</f>
        <v>-0.61117502958905612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7063.2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18165.5</v>
      </c>
      <c r="H4" s="14">
        <f>IF(AND(ISNUMBER(C4),ISNUMBER(G4)), C4-G4, "")</f>
        <v>-11102.3</v>
      </c>
      <c r="I4" s="15">
        <f>IFERROR(H4/G4, "")</f>
        <v>-0.61117502958905612</v>
      </c>
      <c r="J4" s="52" t="s">
        <v>70</v>
      </c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71</v>
      </c>
      <c r="B1" t="s">
        <v>72</v>
      </c>
    </row>
    <row r="3" spans="1:12" ht="13.15">
      <c r="A3" t="s">
        <v>73</v>
      </c>
      <c r="B3" t="s">
        <v>3</v>
      </c>
      <c r="C3" t="s">
        <v>4</v>
      </c>
      <c r="D3" t="s">
        <v>74</v>
      </c>
      <c r="E3" s="2" t="s">
        <v>75</v>
      </c>
    </row>
    <row r="4" spans="1:12" ht="14.45">
      <c r="A4" s="45" t="s">
        <v>76</v>
      </c>
      <c r="B4" t="s">
        <v>72</v>
      </c>
      <c r="C4" s="43" t="s">
        <v>77</v>
      </c>
      <c r="D4" s="42" t="s">
        <v>78</v>
      </c>
      <c r="E4" t="s">
        <v>79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EFFBECC6-DF38-46BB-A00D-B7E9AC9F6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Dheeraj Cheripelly [AGS]</cp:lastModifiedBy>
  <cp:revision/>
  <dcterms:created xsi:type="dcterms:W3CDTF">2021-01-01T16:39:53Z</dcterms:created>
  <dcterms:modified xsi:type="dcterms:W3CDTF">2026-01-16T06:19:45Z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2025-10-29T23:02:29Z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3bde90d0-b747-4f36-8b16-e35529effe72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