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7" documentId="13_ncr:1_{D7FB05A7-B0A6-492B-BD23-281EDB1871C6}" xr6:coauthVersionLast="47" xr6:coauthVersionMax="47" xr10:uidLastSave="{AD2C14F1-6EE7-488B-B921-F829249A55A3}"/>
  <bookViews>
    <workbookView xWindow="-108" yWindow="-108" windowWidth="23256" windowHeight="13896" tabRatio="872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Aug!$B$3:$L$3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33" l="1"/>
  <c r="I85" i="33" s="1"/>
  <c r="H86" i="33"/>
  <c r="I86" i="33" s="1"/>
  <c r="H87" i="33"/>
  <c r="I87" i="33" s="1"/>
  <c r="H88" i="33"/>
  <c r="I88" i="33" s="1"/>
  <c r="H89" i="33"/>
  <c r="I89" i="33" s="1"/>
  <c r="H90" i="33"/>
  <c r="I90" i="33" s="1"/>
  <c r="E85" i="33"/>
  <c r="F85" i="33" s="1"/>
  <c r="E86" i="33"/>
  <c r="F86" i="33" s="1"/>
  <c r="E87" i="33"/>
  <c r="F87" i="33" s="1"/>
  <c r="E88" i="33"/>
  <c r="F88" i="33" s="1"/>
  <c r="E89" i="33"/>
  <c r="F89" i="33" s="1"/>
  <c r="E90" i="33"/>
  <c r="F90" i="33" s="1"/>
  <c r="H85" i="32"/>
  <c r="I85" i="32" s="1"/>
  <c r="H86" i="32"/>
  <c r="I86" i="32" s="1"/>
  <c r="H87" i="32"/>
  <c r="I87" i="32" s="1"/>
  <c r="H88" i="32"/>
  <c r="I88" i="32" s="1"/>
  <c r="H89" i="32"/>
  <c r="I89" i="32" s="1"/>
  <c r="H90" i="32"/>
  <c r="I90" i="32" s="1"/>
  <c r="E85" i="32"/>
  <c r="F85" i="32" s="1"/>
  <c r="E86" i="32"/>
  <c r="F86" i="32" s="1"/>
  <c r="E87" i="32"/>
  <c r="F87" i="32" s="1"/>
  <c r="E88" i="32"/>
  <c r="F88" i="32" s="1"/>
  <c r="E89" i="32"/>
  <c r="F89" i="32" s="1"/>
  <c r="E90" i="32"/>
  <c r="F90" i="32" s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I21" i="4" s="1"/>
  <c r="H22" i="4"/>
  <c r="H23" i="4"/>
  <c r="H24" i="4"/>
  <c r="H25" i="4"/>
  <c r="H26" i="4"/>
  <c r="H27" i="4"/>
  <c r="H28" i="4"/>
  <c r="H29" i="4"/>
  <c r="I29" i="4" s="1"/>
  <c r="H30" i="4"/>
  <c r="I30" i="4" s="1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I44" i="4" s="1"/>
  <c r="H45" i="4"/>
  <c r="I45" i="4" s="1"/>
  <c r="H46" i="4"/>
  <c r="I46" i="4" s="1"/>
  <c r="H47" i="4"/>
  <c r="H48" i="4"/>
  <c r="H49" i="4"/>
  <c r="H50" i="4"/>
  <c r="I50" i="4" s="1"/>
  <c r="H51" i="4"/>
  <c r="I51" i="4" s="1"/>
  <c r="H52" i="4"/>
  <c r="I52" i="4" s="1"/>
  <c r="H53" i="4"/>
  <c r="I53" i="4" s="1"/>
  <c r="H54" i="4"/>
  <c r="H55" i="4"/>
  <c r="H56" i="4"/>
  <c r="H57" i="4"/>
  <c r="H58" i="4"/>
  <c r="H59" i="4"/>
  <c r="H60" i="4"/>
  <c r="H61" i="4"/>
  <c r="H62" i="4"/>
  <c r="I62" i="4" s="1"/>
  <c r="H63" i="4"/>
  <c r="I63" i="4" s="1"/>
  <c r="H64" i="4"/>
  <c r="I64" i="4" s="1"/>
  <c r="H65" i="4"/>
  <c r="I65" i="4" s="1"/>
  <c r="H66" i="4"/>
  <c r="I66" i="4" s="1"/>
  <c r="H67" i="4"/>
  <c r="I67" i="4" s="1"/>
  <c r="H68" i="4"/>
  <c r="I68" i="4" s="1"/>
  <c r="H69" i="4"/>
  <c r="I69" i="4" s="1"/>
  <c r="H70" i="4"/>
  <c r="H71" i="4"/>
  <c r="H72" i="4"/>
  <c r="H73" i="4"/>
  <c r="H74" i="4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H84" i="4"/>
  <c r="I84" i="4" s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F48" i="4" s="1"/>
  <c r="E49" i="4"/>
  <c r="F49" i="4" s="1"/>
  <c r="E50" i="4"/>
  <c r="F50" i="4" s="1"/>
  <c r="E51" i="4"/>
  <c r="F51" i="4" s="1"/>
  <c r="E52" i="4"/>
  <c r="E53" i="4"/>
  <c r="F53" i="4" s="1"/>
  <c r="E54" i="4"/>
  <c r="E55" i="4"/>
  <c r="E56" i="4"/>
  <c r="E57" i="4"/>
  <c r="E58" i="4"/>
  <c r="E59" i="4"/>
  <c r="E60" i="4"/>
  <c r="E61" i="4"/>
  <c r="E62" i="4"/>
  <c r="E63" i="4"/>
  <c r="E64" i="4"/>
  <c r="F64" i="4" s="1"/>
  <c r="E65" i="4"/>
  <c r="F65" i="4" s="1"/>
  <c r="E66" i="4"/>
  <c r="E67" i="4"/>
  <c r="E68" i="4"/>
  <c r="E69" i="4"/>
  <c r="E70" i="4"/>
  <c r="E71" i="4"/>
  <c r="E72" i="4"/>
  <c r="E73" i="4"/>
  <c r="E74" i="4"/>
  <c r="E75" i="4"/>
  <c r="E76" i="4"/>
  <c r="E77" i="4"/>
  <c r="F77" i="4" s="1"/>
  <c r="E78" i="4"/>
  <c r="E79" i="4"/>
  <c r="E80" i="4"/>
  <c r="E81" i="4"/>
  <c r="E82" i="4"/>
  <c r="E83" i="4"/>
  <c r="E84" i="4"/>
  <c r="F84" i="4" s="1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4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A5" i="27"/>
  <c r="A6" i="27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I15" i="27"/>
  <c r="I42" i="27"/>
  <c r="J42" i="27" s="1"/>
  <c r="I43" i="27"/>
  <c r="J43" i="27" s="1"/>
  <c r="I44" i="27"/>
  <c r="J44" i="27" s="1"/>
  <c r="I45" i="27"/>
  <c r="J45" i="27" s="1"/>
  <c r="I46" i="27"/>
  <c r="J46" i="27"/>
  <c r="I47" i="27"/>
  <c r="J47" i="27"/>
  <c r="I48" i="27"/>
  <c r="J48" i="27"/>
  <c r="I49" i="27"/>
  <c r="J49" i="27"/>
  <c r="I50" i="27"/>
  <c r="J50" i="27"/>
  <c r="I51" i="27"/>
  <c r="J51" i="27"/>
  <c r="I52" i="27"/>
  <c r="J52" i="27" s="1"/>
  <c r="I53" i="27"/>
  <c r="J53" i="27" s="1"/>
  <c r="I54" i="27"/>
  <c r="J54" i="27" s="1"/>
  <c r="I55" i="27"/>
  <c r="J55" i="27"/>
  <c r="I56" i="27"/>
  <c r="J56" i="27"/>
  <c r="I57" i="27"/>
  <c r="J57" i="27"/>
  <c r="I58" i="27"/>
  <c r="J58" i="27"/>
  <c r="I59" i="27"/>
  <c r="J59" i="27"/>
  <c r="I60" i="27"/>
  <c r="J60" i="27" s="1"/>
  <c r="I61" i="27"/>
  <c r="J61" i="27"/>
  <c r="I62" i="27"/>
  <c r="J62" i="27" s="1"/>
  <c r="I63" i="27"/>
  <c r="J63" i="27"/>
  <c r="I64" i="27"/>
  <c r="J64" i="27"/>
  <c r="I65" i="27"/>
  <c r="J65" i="27"/>
  <c r="I66" i="27"/>
  <c r="J66" i="27"/>
  <c r="I67" i="27"/>
  <c r="J67" i="27"/>
  <c r="I68" i="27"/>
  <c r="J68" i="27" s="1"/>
  <c r="I69" i="27"/>
  <c r="J69" i="27" s="1"/>
  <c r="I70" i="27"/>
  <c r="J70" i="27"/>
  <c r="I71" i="27"/>
  <c r="J71" i="27" s="1"/>
  <c r="I72" i="27"/>
  <c r="J72" i="27"/>
  <c r="I73" i="27"/>
  <c r="J73" i="27"/>
  <c r="I74" i="27"/>
  <c r="J74" i="27"/>
  <c r="I75" i="27"/>
  <c r="J75" i="27"/>
  <c r="I76" i="27"/>
  <c r="J76" i="27" s="1"/>
  <c r="I77" i="27"/>
  <c r="J77" i="27" s="1"/>
  <c r="I78" i="27"/>
  <c r="J78" i="27" s="1"/>
  <c r="I79" i="27"/>
  <c r="J79" i="27"/>
  <c r="I80" i="27"/>
  <c r="J80" i="27"/>
  <c r="I81" i="27"/>
  <c r="J81" i="27" s="1"/>
  <c r="I82" i="27"/>
  <c r="J82" i="27"/>
  <c r="I83" i="27"/>
  <c r="J83" i="27"/>
  <c r="I84" i="27"/>
  <c r="J84" i="27" s="1"/>
  <c r="F48" i="27"/>
  <c r="G48" i="27"/>
  <c r="F49" i="27"/>
  <c r="G49" i="27"/>
  <c r="F50" i="27"/>
  <c r="G50" i="27" s="1"/>
  <c r="F51" i="27"/>
  <c r="G51" i="27"/>
  <c r="F52" i="27"/>
  <c r="G52" i="27"/>
  <c r="F53" i="27"/>
  <c r="G53" i="27" s="1"/>
  <c r="F54" i="27"/>
  <c r="G54" i="27"/>
  <c r="F55" i="27"/>
  <c r="G55" i="27"/>
  <c r="F56" i="27"/>
  <c r="G56" i="27"/>
  <c r="F57" i="27"/>
  <c r="G57" i="27"/>
  <c r="F58" i="27"/>
  <c r="G58" i="27" s="1"/>
  <c r="F59" i="27"/>
  <c r="G59" i="27"/>
  <c r="F60" i="27"/>
  <c r="G60" i="27"/>
  <c r="F61" i="27"/>
  <c r="G61" i="27" s="1"/>
  <c r="F62" i="27"/>
  <c r="G62" i="27"/>
  <c r="F63" i="27"/>
  <c r="G63" i="27"/>
  <c r="F64" i="27"/>
  <c r="G64" i="27"/>
  <c r="F65" i="27"/>
  <c r="G65" i="27"/>
  <c r="F66" i="27"/>
  <c r="G66" i="27" s="1"/>
  <c r="F67" i="27"/>
  <c r="G67" i="27"/>
  <c r="F68" i="27"/>
  <c r="G68" i="27"/>
  <c r="F69" i="27"/>
  <c r="G69" i="27"/>
  <c r="F70" i="27"/>
  <c r="G70" i="27" s="1"/>
  <c r="F71" i="27"/>
  <c r="G71" i="27"/>
  <c r="F72" i="27"/>
  <c r="G72" i="27" s="1"/>
  <c r="F73" i="27"/>
  <c r="G73" i="27" s="1"/>
  <c r="F74" i="27"/>
  <c r="G74" i="27"/>
  <c r="F75" i="27"/>
  <c r="G75" i="27"/>
  <c r="F76" i="27"/>
  <c r="G76" i="27"/>
  <c r="F77" i="27"/>
  <c r="G77" i="27"/>
  <c r="F78" i="27"/>
  <c r="G78" i="27"/>
  <c r="F79" i="27"/>
  <c r="G79" i="27" s="1"/>
  <c r="F80" i="27"/>
  <c r="G80" i="27" s="1"/>
  <c r="F81" i="27"/>
  <c r="G81" i="27"/>
  <c r="F82" i="27"/>
  <c r="G82" i="27"/>
  <c r="F83" i="27"/>
  <c r="G83" i="27"/>
  <c r="F84" i="27"/>
  <c r="G84" i="27"/>
  <c r="F25" i="26"/>
  <c r="H84" i="26"/>
  <c r="I84" i="26" s="1"/>
  <c r="I66" i="26"/>
  <c r="I73" i="26"/>
  <c r="I74" i="26"/>
  <c r="I75" i="26"/>
  <c r="I76" i="26"/>
  <c r="H66" i="26"/>
  <c r="H67" i="26"/>
  <c r="I67" i="26" s="1"/>
  <c r="H68" i="26"/>
  <c r="I68" i="26" s="1"/>
  <c r="H69" i="26"/>
  <c r="I69" i="26" s="1"/>
  <c r="H70" i="26"/>
  <c r="I70" i="26" s="1"/>
  <c r="H71" i="26"/>
  <c r="I71" i="26" s="1"/>
  <c r="H72" i="26"/>
  <c r="I72" i="26" s="1"/>
  <c r="H73" i="26"/>
  <c r="H74" i="26"/>
  <c r="H75" i="26"/>
  <c r="H76" i="26"/>
  <c r="H77" i="26"/>
  <c r="I77" i="26" s="1"/>
  <c r="H78" i="26"/>
  <c r="I78" i="26" s="1"/>
  <c r="H79" i="26"/>
  <c r="I79" i="26" s="1"/>
  <c r="H80" i="26"/>
  <c r="I80" i="26" s="1"/>
  <c r="H81" i="26"/>
  <c r="I81" i="26" s="1"/>
  <c r="H82" i="26"/>
  <c r="I82" i="26" s="1"/>
  <c r="H83" i="26"/>
  <c r="I83" i="26" s="1"/>
  <c r="F67" i="26"/>
  <c r="F68" i="26"/>
  <c r="F75" i="26"/>
  <c r="F76" i="26"/>
  <c r="F77" i="26"/>
  <c r="F82" i="26"/>
  <c r="E66" i="26"/>
  <c r="F66" i="26" s="1"/>
  <c r="E67" i="26"/>
  <c r="E68" i="26"/>
  <c r="E69" i="26"/>
  <c r="F69" i="26" s="1"/>
  <c r="E70" i="26"/>
  <c r="F70" i="26" s="1"/>
  <c r="E71" i="26"/>
  <c r="F71" i="26" s="1"/>
  <c r="E72" i="26"/>
  <c r="F72" i="26" s="1"/>
  <c r="E73" i="26"/>
  <c r="F73" i="26" s="1"/>
  <c r="E74" i="26"/>
  <c r="F74" i="26" s="1"/>
  <c r="E75" i="26"/>
  <c r="E76" i="26"/>
  <c r="E77" i="26"/>
  <c r="E78" i="26"/>
  <c r="F78" i="26" s="1"/>
  <c r="E79" i="26"/>
  <c r="F79" i="26" s="1"/>
  <c r="E80" i="26"/>
  <c r="F80" i="26" s="1"/>
  <c r="E81" i="26"/>
  <c r="F81" i="26" s="1"/>
  <c r="E82" i="26"/>
  <c r="E83" i="26"/>
  <c r="F83" i="26" s="1"/>
  <c r="E84" i="26"/>
  <c r="F84" i="26" s="1"/>
  <c r="F28" i="19"/>
  <c r="F52" i="19"/>
  <c r="F59" i="19"/>
  <c r="F68" i="19"/>
  <c r="F73" i="19"/>
  <c r="F74" i="19"/>
  <c r="F75" i="19"/>
  <c r="F76" i="19"/>
  <c r="F77" i="19"/>
  <c r="F78" i="19"/>
  <c r="F79" i="19"/>
  <c r="F80" i="19"/>
  <c r="E6" i="19"/>
  <c r="F6" i="19" s="1"/>
  <c r="E7" i="19"/>
  <c r="F7" i="19" s="1"/>
  <c r="E8" i="19"/>
  <c r="F8" i="19" s="1"/>
  <c r="E9" i="19"/>
  <c r="F9" i="19" s="1"/>
  <c r="E10" i="19"/>
  <c r="F10" i="19" s="1"/>
  <c r="E11" i="19"/>
  <c r="F11" i="19" s="1"/>
  <c r="E12" i="19"/>
  <c r="F12" i="19" s="1"/>
  <c r="E13" i="19"/>
  <c r="F13" i="19" s="1"/>
  <c r="E14" i="19"/>
  <c r="F14" i="19" s="1"/>
  <c r="E15" i="19"/>
  <c r="F15" i="19" s="1"/>
  <c r="E16" i="19"/>
  <c r="F16" i="19" s="1"/>
  <c r="E17" i="19"/>
  <c r="F17" i="19" s="1"/>
  <c r="E18" i="19"/>
  <c r="F18" i="19" s="1"/>
  <c r="E19" i="19"/>
  <c r="F19" i="19" s="1"/>
  <c r="E21" i="19"/>
  <c r="F21" i="19" s="1"/>
  <c r="E22" i="19"/>
  <c r="F22" i="19" s="1"/>
  <c r="E23" i="19"/>
  <c r="F23" i="19" s="1"/>
  <c r="E24" i="19"/>
  <c r="F24" i="19" s="1"/>
  <c r="E25" i="19"/>
  <c r="F25" i="19" s="1"/>
  <c r="E26" i="19"/>
  <c r="F26" i="19" s="1"/>
  <c r="E27" i="19"/>
  <c r="F27" i="19" s="1"/>
  <c r="E28" i="19"/>
  <c r="E29" i="19"/>
  <c r="F29" i="19" s="1"/>
  <c r="E30" i="19"/>
  <c r="F30" i="19" s="1"/>
  <c r="E31" i="19"/>
  <c r="F31" i="19" s="1"/>
  <c r="E32" i="19"/>
  <c r="F32" i="19" s="1"/>
  <c r="E33" i="19"/>
  <c r="F33" i="19" s="1"/>
  <c r="E34" i="19"/>
  <c r="F34" i="19" s="1"/>
  <c r="E35" i="19"/>
  <c r="F35" i="19" s="1"/>
  <c r="E36" i="19"/>
  <c r="F36" i="19" s="1"/>
  <c r="E37" i="19"/>
  <c r="F37" i="19" s="1"/>
  <c r="E38" i="19"/>
  <c r="F38" i="19" s="1"/>
  <c r="E39" i="19"/>
  <c r="F39" i="19" s="1"/>
  <c r="E40" i="19"/>
  <c r="F40" i="19" s="1"/>
  <c r="E41" i="19"/>
  <c r="F41" i="19" s="1"/>
  <c r="E42" i="19"/>
  <c r="F42" i="19" s="1"/>
  <c r="E43" i="19"/>
  <c r="F43" i="19" s="1"/>
  <c r="E44" i="19"/>
  <c r="F44" i="19" s="1"/>
  <c r="E45" i="19"/>
  <c r="F45" i="19" s="1"/>
  <c r="E46" i="19"/>
  <c r="F46" i="19" s="1"/>
  <c r="E47" i="19"/>
  <c r="F47" i="19" s="1"/>
  <c r="E48" i="19"/>
  <c r="F48" i="19" s="1"/>
  <c r="E49" i="19"/>
  <c r="F49" i="19" s="1"/>
  <c r="E50" i="19"/>
  <c r="F50" i="19" s="1"/>
  <c r="E51" i="19"/>
  <c r="F51" i="19" s="1"/>
  <c r="E52" i="19"/>
  <c r="E53" i="19"/>
  <c r="F53" i="19" s="1"/>
  <c r="E54" i="19"/>
  <c r="F54" i="19" s="1"/>
  <c r="E55" i="19"/>
  <c r="F55" i="19" s="1"/>
  <c r="E56" i="19"/>
  <c r="F56" i="19" s="1"/>
  <c r="E57" i="19"/>
  <c r="F57" i="19" s="1"/>
  <c r="E58" i="19"/>
  <c r="F58" i="19" s="1"/>
  <c r="E59" i="19"/>
  <c r="E60" i="19"/>
  <c r="F60" i="19" s="1"/>
  <c r="E61" i="19"/>
  <c r="F61" i="19" s="1"/>
  <c r="E62" i="19"/>
  <c r="F62" i="19" s="1"/>
  <c r="E63" i="19"/>
  <c r="F63" i="19" s="1"/>
  <c r="E64" i="19"/>
  <c r="F64" i="19" s="1"/>
  <c r="E65" i="19"/>
  <c r="F65" i="19" s="1"/>
  <c r="E66" i="19"/>
  <c r="F66" i="19" s="1"/>
  <c r="E67" i="19"/>
  <c r="F67" i="19" s="1"/>
  <c r="E68" i="19"/>
  <c r="E69" i="19"/>
  <c r="F69" i="19" s="1"/>
  <c r="E70" i="19"/>
  <c r="F70" i="19" s="1"/>
  <c r="E71" i="19"/>
  <c r="F71" i="19" s="1"/>
  <c r="E72" i="19"/>
  <c r="F72" i="19" s="1"/>
  <c r="E73" i="19"/>
  <c r="E74" i="19"/>
  <c r="E75" i="19"/>
  <c r="E76" i="19"/>
  <c r="E77" i="19"/>
  <c r="E78" i="19"/>
  <c r="E79" i="19"/>
  <c r="E80" i="19"/>
  <c r="E81" i="19"/>
  <c r="F81" i="19" s="1"/>
  <c r="E82" i="19"/>
  <c r="F82" i="19" s="1"/>
  <c r="E83" i="19"/>
  <c r="F83" i="19" s="1"/>
  <c r="E84" i="19"/>
  <c r="F84" i="19" s="1"/>
  <c r="I7" i="19"/>
  <c r="I8" i="19"/>
  <c r="I9" i="19"/>
  <c r="I28" i="19"/>
  <c r="I33" i="19"/>
  <c r="I34" i="19"/>
  <c r="I36" i="19"/>
  <c r="I37" i="19"/>
  <c r="I47" i="19"/>
  <c r="I48" i="19"/>
  <c r="I50" i="19"/>
  <c r="I63" i="19"/>
  <c r="I64" i="19"/>
  <c r="I65" i="19"/>
  <c r="I71" i="19"/>
  <c r="I72" i="19"/>
  <c r="I73" i="19"/>
  <c r="I74" i="19"/>
  <c r="I75" i="19"/>
  <c r="I76" i="19"/>
  <c r="I77" i="19"/>
  <c r="I78" i="19"/>
  <c r="I79" i="19"/>
  <c r="I81" i="19"/>
  <c r="I82" i="19"/>
  <c r="I83" i="19"/>
  <c r="I84" i="19"/>
  <c r="H6" i="19"/>
  <c r="I6" i="19" s="1"/>
  <c r="H7" i="19"/>
  <c r="H8" i="19"/>
  <c r="H9" i="19"/>
  <c r="H10" i="19"/>
  <c r="I10" i="19" s="1"/>
  <c r="H11" i="19"/>
  <c r="I11" i="19" s="1"/>
  <c r="H12" i="19"/>
  <c r="I12" i="19" s="1"/>
  <c r="H13" i="19"/>
  <c r="I13" i="19" s="1"/>
  <c r="H14" i="19"/>
  <c r="I14" i="19" s="1"/>
  <c r="H15" i="19"/>
  <c r="I15" i="19" s="1"/>
  <c r="H16" i="19"/>
  <c r="I16" i="19" s="1"/>
  <c r="H17" i="19"/>
  <c r="I17" i="19" s="1"/>
  <c r="H18" i="19"/>
  <c r="I18" i="19" s="1"/>
  <c r="H19" i="19"/>
  <c r="I19" i="19" s="1"/>
  <c r="H21" i="19"/>
  <c r="I21" i="19" s="1"/>
  <c r="H22" i="19"/>
  <c r="I22" i="19" s="1"/>
  <c r="H23" i="19"/>
  <c r="I23" i="19" s="1"/>
  <c r="H24" i="19"/>
  <c r="I24" i="19" s="1"/>
  <c r="H25" i="19"/>
  <c r="I25" i="19" s="1"/>
  <c r="H26" i="19"/>
  <c r="I26" i="19" s="1"/>
  <c r="H27" i="19"/>
  <c r="I27" i="19" s="1"/>
  <c r="H28" i="19"/>
  <c r="H29" i="19"/>
  <c r="I29" i="19" s="1"/>
  <c r="H30" i="19"/>
  <c r="I30" i="19" s="1"/>
  <c r="H31" i="19"/>
  <c r="I31" i="19" s="1"/>
  <c r="H32" i="19"/>
  <c r="I32" i="19" s="1"/>
  <c r="H33" i="19"/>
  <c r="H34" i="19"/>
  <c r="H35" i="19"/>
  <c r="I35" i="19" s="1"/>
  <c r="H36" i="19"/>
  <c r="H37" i="19"/>
  <c r="H38" i="19"/>
  <c r="I38" i="19" s="1"/>
  <c r="H39" i="19"/>
  <c r="I39" i="19" s="1"/>
  <c r="H40" i="19"/>
  <c r="I40" i="19" s="1"/>
  <c r="H41" i="19"/>
  <c r="I41" i="19" s="1"/>
  <c r="H42" i="19"/>
  <c r="I42" i="19" s="1"/>
  <c r="H43" i="19"/>
  <c r="I43" i="19" s="1"/>
  <c r="H44" i="19"/>
  <c r="I44" i="19" s="1"/>
  <c r="H45" i="19"/>
  <c r="I45" i="19" s="1"/>
  <c r="H46" i="19"/>
  <c r="I46" i="19" s="1"/>
  <c r="H47" i="19"/>
  <c r="H48" i="19"/>
  <c r="H49" i="19"/>
  <c r="I49" i="19" s="1"/>
  <c r="H50" i="19"/>
  <c r="H51" i="19"/>
  <c r="I51" i="19" s="1"/>
  <c r="H52" i="19"/>
  <c r="I52" i="19" s="1"/>
  <c r="H53" i="19"/>
  <c r="I53" i="19" s="1"/>
  <c r="H54" i="19"/>
  <c r="I54" i="19" s="1"/>
  <c r="H55" i="19"/>
  <c r="I55" i="19" s="1"/>
  <c r="H56" i="19"/>
  <c r="I56" i="19" s="1"/>
  <c r="H57" i="19"/>
  <c r="I57" i="19" s="1"/>
  <c r="H58" i="19"/>
  <c r="I58" i="19" s="1"/>
  <c r="H59" i="19"/>
  <c r="I59" i="19" s="1"/>
  <c r="H60" i="19"/>
  <c r="I60" i="19" s="1"/>
  <c r="H61" i="19"/>
  <c r="I61" i="19" s="1"/>
  <c r="H62" i="19"/>
  <c r="I62" i="19" s="1"/>
  <c r="H63" i="19"/>
  <c r="H64" i="19"/>
  <c r="H65" i="19"/>
  <c r="H66" i="19"/>
  <c r="I66" i="19" s="1"/>
  <c r="H67" i="19"/>
  <c r="I67" i="19" s="1"/>
  <c r="H68" i="19"/>
  <c r="I68" i="19" s="1"/>
  <c r="H69" i="19"/>
  <c r="I69" i="19" s="1"/>
  <c r="H70" i="19"/>
  <c r="I70" i="19" s="1"/>
  <c r="H71" i="19"/>
  <c r="H72" i="19"/>
  <c r="H73" i="19"/>
  <c r="H74" i="19"/>
  <c r="H75" i="19"/>
  <c r="H76" i="19"/>
  <c r="H77" i="19"/>
  <c r="H78" i="19"/>
  <c r="H79" i="19"/>
  <c r="H80" i="19"/>
  <c r="I80" i="19" s="1"/>
  <c r="H81" i="19"/>
  <c r="H82" i="19"/>
  <c r="H83" i="19"/>
  <c r="H84" i="19"/>
  <c r="I66" i="20"/>
  <c r="I67" i="20"/>
  <c r="I68" i="20"/>
  <c r="I69" i="20"/>
  <c r="I70" i="20"/>
  <c r="H66" i="20"/>
  <c r="H67" i="20"/>
  <c r="H68" i="20"/>
  <c r="H69" i="20"/>
  <c r="H70" i="20"/>
  <c r="H71" i="20"/>
  <c r="I71" i="20" s="1"/>
  <c r="H72" i="20"/>
  <c r="I72" i="20" s="1"/>
  <c r="H73" i="20"/>
  <c r="I73" i="20" s="1"/>
  <c r="H74" i="20"/>
  <c r="I74" i="20" s="1"/>
  <c r="H75" i="20"/>
  <c r="I75" i="20" s="1"/>
  <c r="H76" i="20"/>
  <c r="I76" i="20" s="1"/>
  <c r="H77" i="20"/>
  <c r="I77" i="20" s="1"/>
  <c r="H78" i="20"/>
  <c r="I78" i="20" s="1"/>
  <c r="H79" i="20"/>
  <c r="I79" i="20" s="1"/>
  <c r="H80" i="20"/>
  <c r="I80" i="20" s="1"/>
  <c r="H81" i="20"/>
  <c r="I81" i="20" s="1"/>
  <c r="H82" i="20"/>
  <c r="I82" i="20" s="1"/>
  <c r="H83" i="20"/>
  <c r="I83" i="20" s="1"/>
  <c r="H84" i="20"/>
  <c r="I84" i="20" s="1"/>
  <c r="F69" i="20"/>
  <c r="F81" i="20"/>
  <c r="F82" i="20"/>
  <c r="F83" i="20"/>
  <c r="E65" i="20"/>
  <c r="E66" i="20"/>
  <c r="F66" i="20" s="1"/>
  <c r="E67" i="20"/>
  <c r="F67" i="20" s="1"/>
  <c r="E68" i="20"/>
  <c r="F68" i="20" s="1"/>
  <c r="E69" i="20"/>
  <c r="E70" i="20"/>
  <c r="F70" i="20" s="1"/>
  <c r="E71" i="20"/>
  <c r="F71" i="20" s="1"/>
  <c r="E72" i="20"/>
  <c r="F72" i="20" s="1"/>
  <c r="E73" i="20"/>
  <c r="F73" i="20" s="1"/>
  <c r="E74" i="20"/>
  <c r="F74" i="20" s="1"/>
  <c r="E75" i="20"/>
  <c r="F75" i="20" s="1"/>
  <c r="E76" i="20"/>
  <c r="F76" i="20" s="1"/>
  <c r="E77" i="20"/>
  <c r="F77" i="20" s="1"/>
  <c r="E78" i="20"/>
  <c r="F78" i="20" s="1"/>
  <c r="E79" i="20"/>
  <c r="F79" i="20" s="1"/>
  <c r="E80" i="20"/>
  <c r="F80" i="20" s="1"/>
  <c r="E81" i="20"/>
  <c r="E82" i="20"/>
  <c r="E83" i="20"/>
  <c r="E84" i="20"/>
  <c r="F84" i="20" s="1"/>
  <c r="H84" i="21"/>
  <c r="I84" i="21" s="1"/>
  <c r="E84" i="21"/>
  <c r="F84" i="21" s="1"/>
  <c r="E60" i="21"/>
  <c r="F60" i="21" s="1"/>
  <c r="I70" i="4"/>
  <c r="I71" i="4"/>
  <c r="I72" i="4"/>
  <c r="I73" i="4"/>
  <c r="I74" i="4"/>
  <c r="F66" i="4"/>
  <c r="F67" i="4"/>
  <c r="F68" i="4"/>
  <c r="F69" i="4"/>
  <c r="F70" i="4"/>
  <c r="F71" i="4"/>
  <c r="F72" i="4"/>
  <c r="F73" i="4"/>
  <c r="F74" i="4"/>
  <c r="F75" i="4"/>
  <c r="F76" i="4"/>
  <c r="F78" i="4"/>
  <c r="F79" i="4"/>
  <c r="F80" i="4"/>
  <c r="F81" i="4"/>
  <c r="F82" i="4"/>
  <c r="F83" i="4"/>
  <c r="H70" i="28"/>
  <c r="I70" i="28" s="1"/>
  <c r="H71" i="28"/>
  <c r="I71" i="28" s="1"/>
  <c r="H72" i="28"/>
  <c r="I72" i="28" s="1"/>
  <c r="H73" i="28"/>
  <c r="I73" i="28" s="1"/>
  <c r="H74" i="28"/>
  <c r="I74" i="28" s="1"/>
  <c r="H75" i="28"/>
  <c r="I75" i="28" s="1"/>
  <c r="H76" i="28"/>
  <c r="I76" i="28" s="1"/>
  <c r="H77" i="28"/>
  <c r="I77" i="28" s="1"/>
  <c r="H78" i="28"/>
  <c r="I78" i="28" s="1"/>
  <c r="H79" i="28"/>
  <c r="I79" i="28" s="1"/>
  <c r="H80" i="28"/>
  <c r="I80" i="28" s="1"/>
  <c r="H81" i="28"/>
  <c r="I81" i="28" s="1"/>
  <c r="H82" i="28"/>
  <c r="I82" i="28" s="1"/>
  <c r="H83" i="28"/>
  <c r="I83" i="28" s="1"/>
  <c r="H84" i="28"/>
  <c r="I84" i="28" s="1"/>
  <c r="E70" i="28"/>
  <c r="F70" i="28" s="1"/>
  <c r="E71" i="28"/>
  <c r="F71" i="28" s="1"/>
  <c r="E72" i="28"/>
  <c r="F72" i="28" s="1"/>
  <c r="E73" i="28"/>
  <c r="F73" i="28" s="1"/>
  <c r="E74" i="28"/>
  <c r="F74" i="28" s="1"/>
  <c r="E75" i="28"/>
  <c r="F75" i="28" s="1"/>
  <c r="E76" i="28"/>
  <c r="F76" i="28" s="1"/>
  <c r="E77" i="28"/>
  <c r="F77" i="28" s="1"/>
  <c r="E78" i="28"/>
  <c r="F78" i="28" s="1"/>
  <c r="E79" i="28"/>
  <c r="F79" i="28" s="1"/>
  <c r="E80" i="28"/>
  <c r="F80" i="28" s="1"/>
  <c r="E81" i="28"/>
  <c r="F81" i="28" s="1"/>
  <c r="E82" i="28"/>
  <c r="F82" i="28" s="1"/>
  <c r="E83" i="28"/>
  <c r="F83" i="28" s="1"/>
  <c r="E84" i="28"/>
  <c r="F84" i="28" s="1"/>
  <c r="H70" i="31"/>
  <c r="I70" i="31" s="1"/>
  <c r="H71" i="31"/>
  <c r="I71" i="31" s="1"/>
  <c r="H72" i="31"/>
  <c r="I72" i="31" s="1"/>
  <c r="H73" i="31"/>
  <c r="I73" i="31" s="1"/>
  <c r="H74" i="31"/>
  <c r="I74" i="31" s="1"/>
  <c r="H75" i="31"/>
  <c r="I75" i="31" s="1"/>
  <c r="H76" i="31"/>
  <c r="I76" i="31" s="1"/>
  <c r="H77" i="31"/>
  <c r="I77" i="31" s="1"/>
  <c r="H78" i="31"/>
  <c r="I78" i="31" s="1"/>
  <c r="H79" i="31"/>
  <c r="I79" i="31" s="1"/>
  <c r="H80" i="31"/>
  <c r="I80" i="31" s="1"/>
  <c r="H81" i="31"/>
  <c r="I81" i="31" s="1"/>
  <c r="H82" i="31"/>
  <c r="I82" i="31" s="1"/>
  <c r="H83" i="31"/>
  <c r="I83" i="31" s="1"/>
  <c r="H84" i="31"/>
  <c r="I84" i="31" s="1"/>
  <c r="E70" i="31"/>
  <c r="F70" i="31" s="1"/>
  <c r="E71" i="31"/>
  <c r="F71" i="31" s="1"/>
  <c r="E72" i="31"/>
  <c r="F72" i="31" s="1"/>
  <c r="E73" i="31"/>
  <c r="F73" i="31" s="1"/>
  <c r="E74" i="31"/>
  <c r="F74" i="31" s="1"/>
  <c r="E75" i="31"/>
  <c r="F75" i="31" s="1"/>
  <c r="E76" i="31"/>
  <c r="F76" i="31" s="1"/>
  <c r="E77" i="31"/>
  <c r="F77" i="31" s="1"/>
  <c r="E78" i="31"/>
  <c r="F78" i="31" s="1"/>
  <c r="E79" i="31"/>
  <c r="F79" i="31" s="1"/>
  <c r="E80" i="31"/>
  <c r="F80" i="31" s="1"/>
  <c r="E81" i="31"/>
  <c r="F81" i="31" s="1"/>
  <c r="E82" i="31"/>
  <c r="F82" i="31" s="1"/>
  <c r="E83" i="31"/>
  <c r="F83" i="31" s="1"/>
  <c r="E84" i="31"/>
  <c r="F84" i="31" s="1"/>
  <c r="H70" i="32"/>
  <c r="I70" i="32" s="1"/>
  <c r="H71" i="32"/>
  <c r="I71" i="32" s="1"/>
  <c r="H72" i="32"/>
  <c r="I72" i="32" s="1"/>
  <c r="H73" i="32"/>
  <c r="I73" i="32" s="1"/>
  <c r="H74" i="32"/>
  <c r="I74" i="32" s="1"/>
  <c r="H75" i="32"/>
  <c r="I75" i="32" s="1"/>
  <c r="H76" i="32"/>
  <c r="I76" i="32" s="1"/>
  <c r="H77" i="32"/>
  <c r="I77" i="32" s="1"/>
  <c r="H78" i="32"/>
  <c r="I78" i="32" s="1"/>
  <c r="H79" i="32"/>
  <c r="I79" i="32" s="1"/>
  <c r="H80" i="32"/>
  <c r="I80" i="32" s="1"/>
  <c r="H81" i="32"/>
  <c r="I81" i="32" s="1"/>
  <c r="H82" i="32"/>
  <c r="I82" i="32" s="1"/>
  <c r="H83" i="32"/>
  <c r="I83" i="32" s="1"/>
  <c r="H84" i="32"/>
  <c r="I84" i="32" s="1"/>
  <c r="E70" i="32"/>
  <c r="F70" i="32" s="1"/>
  <c r="E71" i="32"/>
  <c r="F71" i="32" s="1"/>
  <c r="E72" i="32"/>
  <c r="F72" i="32" s="1"/>
  <c r="E73" i="32"/>
  <c r="F73" i="32" s="1"/>
  <c r="E74" i="32"/>
  <c r="F74" i="32" s="1"/>
  <c r="E75" i="32"/>
  <c r="F75" i="32" s="1"/>
  <c r="E76" i="32"/>
  <c r="F76" i="32" s="1"/>
  <c r="E77" i="32"/>
  <c r="F77" i="32" s="1"/>
  <c r="E78" i="32"/>
  <c r="F78" i="32" s="1"/>
  <c r="E79" i="32"/>
  <c r="F79" i="32" s="1"/>
  <c r="E80" i="32"/>
  <c r="F80" i="32" s="1"/>
  <c r="E81" i="32"/>
  <c r="F81" i="32" s="1"/>
  <c r="E82" i="32"/>
  <c r="F82" i="32" s="1"/>
  <c r="E83" i="32"/>
  <c r="F83" i="32" s="1"/>
  <c r="E84" i="32"/>
  <c r="F84" i="32" s="1"/>
  <c r="H70" i="33"/>
  <c r="I70" i="33" s="1"/>
  <c r="H71" i="33"/>
  <c r="I71" i="33" s="1"/>
  <c r="H72" i="33"/>
  <c r="I72" i="33" s="1"/>
  <c r="H73" i="33"/>
  <c r="I73" i="33" s="1"/>
  <c r="H74" i="33"/>
  <c r="I74" i="33" s="1"/>
  <c r="H75" i="33"/>
  <c r="I75" i="33" s="1"/>
  <c r="H76" i="33"/>
  <c r="I76" i="33" s="1"/>
  <c r="H77" i="33"/>
  <c r="I77" i="33" s="1"/>
  <c r="H78" i="33"/>
  <c r="I78" i="33" s="1"/>
  <c r="H79" i="33"/>
  <c r="I79" i="33" s="1"/>
  <c r="H80" i="33"/>
  <c r="I80" i="33" s="1"/>
  <c r="H81" i="33"/>
  <c r="I81" i="33" s="1"/>
  <c r="H82" i="33"/>
  <c r="I82" i="33" s="1"/>
  <c r="H83" i="33"/>
  <c r="I83" i="33" s="1"/>
  <c r="H84" i="33"/>
  <c r="I84" i="33" s="1"/>
  <c r="E70" i="33"/>
  <c r="F70" i="33" s="1"/>
  <c r="E71" i="33"/>
  <c r="F71" i="33" s="1"/>
  <c r="E72" i="33"/>
  <c r="F72" i="33" s="1"/>
  <c r="E73" i="33"/>
  <c r="F73" i="33" s="1"/>
  <c r="E74" i="33"/>
  <c r="F74" i="33" s="1"/>
  <c r="E75" i="33"/>
  <c r="F75" i="33" s="1"/>
  <c r="E76" i="33"/>
  <c r="F76" i="33" s="1"/>
  <c r="E77" i="33"/>
  <c r="F77" i="33" s="1"/>
  <c r="E78" i="33"/>
  <c r="F78" i="33" s="1"/>
  <c r="E79" i="33"/>
  <c r="F79" i="33" s="1"/>
  <c r="E80" i="33"/>
  <c r="F80" i="33" s="1"/>
  <c r="E81" i="33"/>
  <c r="F81" i="33" s="1"/>
  <c r="E82" i="33"/>
  <c r="F82" i="33" s="1"/>
  <c r="E83" i="33"/>
  <c r="F83" i="33" s="1"/>
  <c r="E84" i="33"/>
  <c r="F84" i="33" s="1"/>
  <c r="E70" i="21"/>
  <c r="F70" i="21" s="1"/>
  <c r="H70" i="21"/>
  <c r="I70" i="21" s="1"/>
  <c r="E71" i="21"/>
  <c r="F71" i="21" s="1"/>
  <c r="H71" i="21"/>
  <c r="I71" i="21" s="1"/>
  <c r="E72" i="21"/>
  <c r="F72" i="21" s="1"/>
  <c r="H72" i="21"/>
  <c r="I72" i="21" s="1"/>
  <c r="E73" i="21"/>
  <c r="F73" i="21" s="1"/>
  <c r="H73" i="21"/>
  <c r="I73" i="21" s="1"/>
  <c r="E74" i="21"/>
  <c r="F74" i="21" s="1"/>
  <c r="H74" i="21"/>
  <c r="I74" i="21" s="1"/>
  <c r="E75" i="21"/>
  <c r="F75" i="21" s="1"/>
  <c r="H75" i="21"/>
  <c r="I75" i="21" s="1"/>
  <c r="E76" i="21"/>
  <c r="F76" i="21" s="1"/>
  <c r="H76" i="21"/>
  <c r="I76" i="21" s="1"/>
  <c r="E77" i="21"/>
  <c r="F77" i="21" s="1"/>
  <c r="H77" i="21"/>
  <c r="I77" i="21" s="1"/>
  <c r="E78" i="21"/>
  <c r="F78" i="21" s="1"/>
  <c r="H78" i="21"/>
  <c r="I78" i="21" s="1"/>
  <c r="E79" i="21"/>
  <c r="F79" i="21"/>
  <c r="H79" i="21"/>
  <c r="I79" i="21" s="1"/>
  <c r="E80" i="21"/>
  <c r="F80" i="21" s="1"/>
  <c r="H80" i="21"/>
  <c r="I80" i="21" s="1"/>
  <c r="E81" i="21"/>
  <c r="F81" i="21" s="1"/>
  <c r="H81" i="21"/>
  <c r="I81" i="21" s="1"/>
  <c r="E82" i="21"/>
  <c r="F82" i="21" s="1"/>
  <c r="H82" i="21"/>
  <c r="I82" i="21" s="1"/>
  <c r="E83" i="21"/>
  <c r="F83" i="21" s="1"/>
  <c r="H83" i="21"/>
  <c r="I83" i="21" s="1"/>
  <c r="A4" i="32" a="1"/>
  <c r="A4" i="32" s="1"/>
  <c r="F25" i="27"/>
  <c r="G25" i="27" s="1"/>
  <c r="F24" i="27"/>
  <c r="G24" i="27" s="1"/>
  <c r="F23" i="27"/>
  <c r="G23" i="27" s="1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E5" i="3"/>
  <c r="F5" i="3" s="1"/>
  <c r="E4" i="3"/>
  <c r="F4" i="3" s="1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I5" i="32"/>
  <c r="E5" i="32"/>
  <c r="F5" i="32" s="1"/>
  <c r="H4" i="32"/>
  <c r="I4" i="32" s="1"/>
  <c r="E4" i="32"/>
  <c r="F4" i="32" s="1"/>
  <c r="B4" i="32" a="1"/>
  <c r="B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F47" i="27"/>
  <c r="G47" i="27" s="1"/>
  <c r="F46" i="27"/>
  <c r="G46" i="27" s="1"/>
  <c r="F45" i="27"/>
  <c r="G45" i="27" s="1"/>
  <c r="F44" i="27"/>
  <c r="G44" i="27" s="1"/>
  <c r="F43" i="27"/>
  <c r="G43" i="27" s="1"/>
  <c r="F42" i="27"/>
  <c r="G42" i="27" s="1"/>
  <c r="I41" i="27"/>
  <c r="J41" i="27" s="1"/>
  <c r="F41" i="27"/>
  <c r="G41" i="27" s="1"/>
  <c r="I40" i="27"/>
  <c r="J40" i="27" s="1"/>
  <c r="F40" i="27"/>
  <c r="G40" i="27" s="1"/>
  <c r="I39" i="27"/>
  <c r="J39" i="27" s="1"/>
  <c r="F39" i="27"/>
  <c r="G39" i="27" s="1"/>
  <c r="I38" i="27"/>
  <c r="J38" i="27" s="1"/>
  <c r="F38" i="27"/>
  <c r="G38" i="27" s="1"/>
  <c r="I37" i="27"/>
  <c r="J37" i="27" s="1"/>
  <c r="F37" i="27"/>
  <c r="G37" i="27" s="1"/>
  <c r="I36" i="27"/>
  <c r="J36" i="27" s="1"/>
  <c r="F36" i="27"/>
  <c r="G36" i="27" s="1"/>
  <c r="I35" i="27"/>
  <c r="J35" i="27" s="1"/>
  <c r="F35" i="27"/>
  <c r="G35" i="27" s="1"/>
  <c r="I34" i="27"/>
  <c r="J34" i="27" s="1"/>
  <c r="F34" i="27"/>
  <c r="G34" i="27" s="1"/>
  <c r="I33" i="27"/>
  <c r="J33" i="27" s="1"/>
  <c r="F33" i="27"/>
  <c r="G33" i="27" s="1"/>
  <c r="I32" i="27"/>
  <c r="J32" i="27" s="1"/>
  <c r="F32" i="27"/>
  <c r="G32" i="27" s="1"/>
  <c r="I31" i="27"/>
  <c r="J31" i="27" s="1"/>
  <c r="F31" i="27"/>
  <c r="G31" i="27" s="1"/>
  <c r="I30" i="27"/>
  <c r="J30" i="27" s="1"/>
  <c r="F30" i="27"/>
  <c r="G30" i="27" s="1"/>
  <c r="I29" i="27"/>
  <c r="J29" i="27" s="1"/>
  <c r="F29" i="27"/>
  <c r="G29" i="27" s="1"/>
  <c r="I28" i="27"/>
  <c r="J28" i="27" s="1"/>
  <c r="F28" i="27"/>
  <c r="G28" i="27" s="1"/>
  <c r="I27" i="27"/>
  <c r="J27" i="27" s="1"/>
  <c r="F27" i="27"/>
  <c r="G27" i="27" s="1"/>
  <c r="I26" i="27"/>
  <c r="J26" i="27" s="1"/>
  <c r="F26" i="27"/>
  <c r="G26" i="27" s="1"/>
  <c r="I25" i="27"/>
  <c r="J25" i="27" s="1"/>
  <c r="I24" i="27"/>
  <c r="J24" i="27" s="1"/>
  <c r="I23" i="27"/>
  <c r="J23" i="27" s="1"/>
  <c r="I22" i="27"/>
  <c r="J22" i="27" s="1"/>
  <c r="F22" i="27"/>
  <c r="G22" i="27" s="1"/>
  <c r="I21" i="27"/>
  <c r="J21" i="27" s="1"/>
  <c r="F21" i="27"/>
  <c r="G21" i="27" s="1"/>
  <c r="I20" i="27"/>
  <c r="J20" i="27" s="1"/>
  <c r="F20" i="27"/>
  <c r="G20" i="27" s="1"/>
  <c r="I19" i="27"/>
  <c r="J19" i="27" s="1"/>
  <c r="F19" i="27"/>
  <c r="G19" i="27" s="1"/>
  <c r="I18" i="27"/>
  <c r="J18" i="27" s="1"/>
  <c r="F18" i="27"/>
  <c r="G18" i="27" s="1"/>
  <c r="I17" i="27"/>
  <c r="J17" i="27" s="1"/>
  <c r="F17" i="27"/>
  <c r="G17" i="27" s="1"/>
  <c r="I16" i="27"/>
  <c r="J16" i="27" s="1"/>
  <c r="F16" i="27"/>
  <c r="G16" i="27" s="1"/>
  <c r="J15" i="27"/>
  <c r="F15" i="27"/>
  <c r="G15" i="27" s="1"/>
  <c r="I14" i="27"/>
  <c r="J14" i="27" s="1"/>
  <c r="F14" i="27"/>
  <c r="G14" i="27" s="1"/>
  <c r="I13" i="27"/>
  <c r="J13" i="27" s="1"/>
  <c r="F13" i="27"/>
  <c r="G13" i="27" s="1"/>
  <c r="I12" i="27"/>
  <c r="J12" i="27" s="1"/>
  <c r="F12" i="27"/>
  <c r="G12" i="27" s="1"/>
  <c r="I11" i="27"/>
  <c r="J11" i="27" s="1"/>
  <c r="F11" i="27"/>
  <c r="G11" i="27" s="1"/>
  <c r="I10" i="27"/>
  <c r="J10" i="27" s="1"/>
  <c r="F10" i="27"/>
  <c r="G10" i="27" s="1"/>
  <c r="I9" i="27"/>
  <c r="J9" i="27" s="1"/>
  <c r="F9" i="27"/>
  <c r="G9" i="27" s="1"/>
  <c r="I8" i="27"/>
  <c r="J8" i="27" s="1"/>
  <c r="F8" i="27"/>
  <c r="G8" i="27" s="1"/>
  <c r="I7" i="27"/>
  <c r="J7" i="27" s="1"/>
  <c r="F7" i="27"/>
  <c r="G7" i="27" s="1"/>
  <c r="I6" i="27"/>
  <c r="J6" i="27" s="1"/>
  <c r="F6" i="27"/>
  <c r="G6" i="27" s="1"/>
  <c r="I5" i="27"/>
  <c r="J5" i="27" s="1"/>
  <c r="F5" i="27"/>
  <c r="G5" i="27" s="1"/>
  <c r="I4" i="27"/>
  <c r="J4" i="27" s="1"/>
  <c r="F4" i="27"/>
  <c r="G4" i="27" s="1"/>
  <c r="C4" i="27" a="1"/>
  <c r="C4" i="27" s="1"/>
  <c r="B4" i="27" a="1"/>
  <c r="B4" i="27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F65" i="20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F63" i="4"/>
  <c r="F62" i="4"/>
  <c r="I61" i="4"/>
  <c r="F61" i="4"/>
  <c r="I60" i="4"/>
  <c r="F60" i="4"/>
  <c r="I59" i="4"/>
  <c r="F59" i="4"/>
  <c r="I58" i="4"/>
  <c r="F58" i="4"/>
  <c r="I57" i="4"/>
  <c r="F57" i="4"/>
  <c r="I56" i="4"/>
  <c r="F56" i="4"/>
  <c r="I55" i="4"/>
  <c r="F55" i="4"/>
  <c r="I54" i="4"/>
  <c r="F54" i="4"/>
  <c r="F52" i="4"/>
  <c r="I49" i="4"/>
  <c r="I48" i="4"/>
  <c r="I47" i="4"/>
  <c r="F47" i="4"/>
  <c r="F46" i="4"/>
  <c r="F45" i="4"/>
  <c r="F44" i="4"/>
  <c r="I43" i="4"/>
  <c r="F43" i="4"/>
  <c r="I42" i="4"/>
  <c r="F42" i="4"/>
  <c r="I41" i="4"/>
  <c r="F41" i="4"/>
  <c r="I40" i="4"/>
  <c r="F40" i="4"/>
  <c r="I39" i="4"/>
  <c r="F39" i="4"/>
  <c r="I38" i="4"/>
  <c r="F38" i="4"/>
  <c r="F30" i="4"/>
  <c r="F29" i="4"/>
  <c r="I28" i="4"/>
  <c r="F28" i="4"/>
  <c r="I27" i="4"/>
  <c r="F27" i="4"/>
  <c r="I26" i="4"/>
  <c r="F26" i="4"/>
  <c r="I25" i="4"/>
  <c r="F25" i="4"/>
  <c r="I24" i="4"/>
  <c r="F24" i="4"/>
  <c r="I23" i="4"/>
  <c r="F23" i="4"/>
  <c r="I22" i="4"/>
  <c r="F22" i="4"/>
  <c r="F21" i="4"/>
  <c r="I7" i="4"/>
  <c r="F7" i="4"/>
  <c r="I6" i="4"/>
  <c r="F6" i="4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I5" i="3"/>
  <c r="H4" i="3"/>
  <c r="B4" i="3" a="1"/>
  <c r="B4" i="3" s="1"/>
  <c r="A4" i="3" a="1"/>
  <c r="A4" i="3" s="1"/>
  <c r="A4" i="1" a="1"/>
  <c r="A4" i="1" s="1"/>
  <c r="F12" i="18" l="1"/>
  <c r="C11" i="18"/>
  <c r="C12" i="18"/>
  <c r="B11" i="18"/>
  <c r="B12" i="18"/>
  <c r="F12" i="29"/>
  <c r="C12" i="29"/>
  <c r="B12" i="29"/>
  <c r="F12" i="30"/>
  <c r="C12" i="30"/>
  <c r="B12" i="30"/>
  <c r="F11" i="30"/>
  <c r="B9" i="30"/>
  <c r="C6" i="30"/>
  <c r="C11" i="30"/>
  <c r="F5" i="30"/>
  <c r="F10" i="30"/>
  <c r="B8" i="30"/>
  <c r="C5" i="30"/>
  <c r="B10" i="30"/>
  <c r="C10" i="30"/>
  <c r="F7" i="30"/>
  <c r="B5" i="30"/>
  <c r="C7" i="30"/>
  <c r="F9" i="30"/>
  <c r="B7" i="30"/>
  <c r="C9" i="30"/>
  <c r="F6" i="30"/>
  <c r="F8" i="30"/>
  <c r="B6" i="30"/>
  <c r="B11" i="30"/>
  <c r="C8" i="30"/>
  <c r="F11" i="18"/>
  <c r="F11" i="29"/>
  <c r="F6" i="18"/>
  <c r="C9" i="18"/>
  <c r="F6" i="29"/>
  <c r="C9" i="29"/>
  <c r="B7" i="18"/>
  <c r="F9" i="18"/>
  <c r="B7" i="29"/>
  <c r="F9" i="29"/>
  <c r="C7" i="18"/>
  <c r="B10" i="18"/>
  <c r="C7" i="29"/>
  <c r="B10" i="29"/>
  <c r="B5" i="18"/>
  <c r="F7" i="18"/>
  <c r="C10" i="18"/>
  <c r="B5" i="29"/>
  <c r="F7" i="29"/>
  <c r="C10" i="29"/>
  <c r="C5" i="18"/>
  <c r="B8" i="18"/>
  <c r="F10" i="18"/>
  <c r="C5" i="29"/>
  <c r="B8" i="29"/>
  <c r="F10" i="29"/>
  <c r="F5" i="18"/>
  <c r="C8" i="18"/>
  <c r="F5" i="29"/>
  <c r="C8" i="29"/>
  <c r="B11" i="29"/>
  <c r="B6" i="18"/>
  <c r="F8" i="18"/>
  <c r="B6" i="29"/>
  <c r="F8" i="29"/>
  <c r="C11" i="29"/>
  <c r="C6" i="18"/>
  <c r="B9" i="18"/>
  <c r="C6" i="29"/>
  <c r="B9" i="29"/>
  <c r="A4" i="30"/>
  <c r="A4" i="29"/>
  <c r="A4" i="18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H2" i="27"/>
  <c r="E2" i="27"/>
  <c r="D2" i="27"/>
  <c r="B1" i="27" a="1"/>
  <c r="B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A1" i="3" a="1"/>
  <c r="A1" i="3" s="1"/>
  <c r="H6" i="72"/>
  <c r="I6" i="72" s="1"/>
  <c r="H7" i="72"/>
  <c r="I7" i="72" s="1"/>
  <c r="H5" i="72"/>
  <c r="I5" i="72" s="1"/>
  <c r="H4" i="72"/>
  <c r="I4" i="72" s="1"/>
  <c r="G2" i="72"/>
  <c r="D2" i="72"/>
  <c r="C2" i="72"/>
  <c r="J2" i="72" s="1"/>
  <c r="A1" i="72" a="1"/>
  <c r="A1" i="72" s="1"/>
  <c r="G12" i="30" l="1"/>
  <c r="H12" i="30" s="1"/>
  <c r="D12" i="29"/>
  <c r="E12" i="29" s="1"/>
  <c r="D12" i="30"/>
  <c r="E12" i="30" s="1"/>
  <c r="D12" i="18"/>
  <c r="E12" i="18" s="1"/>
  <c r="D11" i="18"/>
  <c r="E11" i="18" s="1"/>
  <c r="G12" i="18"/>
  <c r="H12" i="18" s="1"/>
  <c r="G12" i="29"/>
  <c r="H12" i="29" s="1"/>
  <c r="B4" i="1"/>
  <c r="F11" i="1"/>
  <c r="F11" i="34" s="1"/>
  <c r="F12" i="1"/>
  <c r="F12" i="34" s="1"/>
  <c r="C12" i="1"/>
  <c r="C12" i="34" s="1"/>
  <c r="B12" i="1"/>
  <c r="F4" i="30"/>
  <c r="F2" i="30" s="1"/>
  <c r="C4" i="30"/>
  <c r="C2" i="30" s="1"/>
  <c r="B4" i="30"/>
  <c r="G9" i="30"/>
  <c r="H9" i="30" s="1"/>
  <c r="D8" i="30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C8" i="1"/>
  <c r="C8" i="34" s="1"/>
  <c r="F9" i="1"/>
  <c r="F9" i="34" s="1"/>
  <c r="C11" i="1"/>
  <c r="C11" i="34" s="1"/>
  <c r="B11" i="1"/>
  <c r="F6" i="1"/>
  <c r="F6" i="34" s="1"/>
  <c r="F7" i="1"/>
  <c r="F7" i="34" s="1"/>
  <c r="B6" i="1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I2" i="27"/>
  <c r="J2" i="27" s="1"/>
  <c r="K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F2" i="27"/>
  <c r="G2" i="27" s="1"/>
  <c r="E2" i="26"/>
  <c r="F2" i="26" s="1"/>
  <c r="E2" i="19"/>
  <c r="F2" i="19" s="1"/>
  <c r="E2" i="21"/>
  <c r="F2" i="21" s="1"/>
  <c r="E2" i="4"/>
  <c r="F2" i="4" s="1"/>
  <c r="H2" i="72"/>
  <c r="D4" i="1" l="1"/>
  <c r="E4" i="1" s="1"/>
  <c r="G11" i="1"/>
  <c r="H11" i="1" s="1"/>
  <c r="B12" i="34"/>
  <c r="G12" i="1"/>
  <c r="H12" i="1" s="1"/>
  <c r="D12" i="1"/>
  <c r="E12" i="1" s="1"/>
  <c r="D5" i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12" i="34" l="1"/>
  <c r="H12" i="34" s="1"/>
  <c r="D12" i="34"/>
  <c r="E12" i="34" s="1"/>
  <c r="G2" i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  <c r="B2" i="30"/>
  <c r="G2" i="30" s="1"/>
  <c r="H2" i="30" s="1"/>
  <c r="D2" i="30" l="1"/>
  <c r="E2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tc={EE5B06D0-94D1-470F-9DE9-BE6BDE5C4E13}</author>
  </authors>
  <commentList>
    <comment ref="C84" authorId="0" shapeId="0" xr:uid="{EE5B06D0-94D1-470F-9DE9-BE6BDE5C4E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energy is taken from total inverters data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tc={1609F2C4-F5CB-40A3-9AF8-B04F56E06930}</author>
  </authors>
  <commentList>
    <comment ref="C84" authorId="0" shapeId="0" xr:uid="{1609F2C4-F5CB-40A3-9AF8-B04F56E06930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energy is taken from total inverters data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<sst xmlns="http://schemas.openxmlformats.org/spreadsheetml/2006/main" count="1971" uniqueCount="658">
  <si>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</si>
  <si>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</si>
  <si>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</si>
  <si>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</si>
  <si>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</si>
  <si>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</si>
  <si>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</si>
  <si>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</si>
  <si>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</si>
  <si>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62% of the sites (41 of the 66 sites from 2024; 81 sites as of September) outperformed vs September 2024 information.</t>
  </si>
  <si>
    <t>17% of the sites (14 of the 81 sites) appear to have inaccurate modeling information. I will be reviewing the PVsyst information, assuming it was made available to O&amp;M.</t>
  </si>
  <si>
    <t>Sites with positive performance (actual vs expected):</t>
  </si>
  <si>
    <t>N Black Canyon Hwy, Phoenix - North</t>
  </si>
  <si>
    <t>AZ: Tucson - RINCON</t>
  </si>
  <si>
    <t>CA: Ventura - BUENAVENTURA</t>
  </si>
  <si>
    <t>NJ: Barnegat - WF</t>
  </si>
  <si>
    <t>Sites with under-performance issues (actual vs. expected):</t>
  </si>
  <si>
    <t>FL:Hialeah Gardens</t>
  </si>
  <si>
    <t>SR098791 - re-power</t>
  </si>
  <si>
    <t>TX: San Antonio - Ops Ctr GM</t>
  </si>
  <si>
    <t>SR108958 - pending return visit</t>
  </si>
  <si>
    <t>NJ: Holmdel - WF</t>
  </si>
  <si>
    <t>SR100979 - pending return visit</t>
  </si>
  <si>
    <t>NJ: Mahwah</t>
  </si>
  <si>
    <t>SR100593 -pending return visit</t>
  </si>
  <si>
    <t>NJ: Middletown</t>
  </si>
  <si>
    <t>SR100592 -pending return visit</t>
  </si>
  <si>
    <t>CA: Sacramento - Arden Fair Mall</t>
  </si>
  <si>
    <t>Nothing mechanical</t>
  </si>
  <si>
    <t xml:space="preserve"> </t>
  </si>
  <si>
    <t>Most common issues seen:</t>
  </si>
  <si>
    <t>Communication issues on equipment (meters, weather stations, etc). - Followed up with AE Support. Will address next time onsite.</t>
  </si>
  <si>
    <t xml:space="preserve">String issues on several inverters of various capacities. </t>
  </si>
  <si>
    <t>Plan to remediate:</t>
  </si>
  <si>
    <t>Operations is reviewing all open SRs and prioritizing accordingly.</t>
  </si>
  <si>
    <t>81 sites</t>
  </si>
  <si>
    <t>66 Sites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</si>
  <si>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</si>
  <si>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</si>
  <si>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</si>
  <si>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</si>
  <si>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</si>
  <si>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</si>
  <si>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</si>
  <si>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</si>
  <si>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</si>
  <si>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</si>
  <si>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</si>
  <si>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</si>
  <si>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</si>
  <si>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</si>
  <si>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1. Production data taken from consumption meter.</t>
  </si>
  <si>
    <t>1.Inverter 4 underperforming by 7kW since 06/11, down 2 strings. Dispatch has been scheduled.
   Inverter 2 underperforming by 3kW since 05/10, down 1 string. Dispatch has been scheduled.
   Inverter 7 underperforming by 3kW since 09/09, down 1 string. Dispatch has been scheduled.
2.The inverter 3 has a history of wire box damage, so a complete inverter and wire box upgrade was required. The current wire box string fuse configuration was not acceptable. So, Inverter 3 has been undergoing an RMA process since 07/26/24.</t>
  </si>
  <si>
    <t>1.SR091496
2.SR088261</t>
  </si>
  <si>
    <t>SR088261</t>
  </si>
  <si>
    <t xml:space="preserve">1. The Ambient Temperature sensor was not communicating </t>
  </si>
  <si>
    <t>1.SR091735</t>
  </si>
  <si>
    <t/>
  </si>
  <si>
    <t>1.Site stopped communicating from 01/28, communication card was need to be replaced and dispatch was scheduled  for February.</t>
  </si>
  <si>
    <t>1.SR096085</t>
  </si>
  <si>
    <t>1.Weather station reporting erroneous values from 07/04/2024. Will investigate next time onsite.
2.The meter's Phase C current/power factor was experiencing intermittent glitches, which are affecting the reported energy production, but there was no impact on actual production. Will investigate next time onsite.</t>
  </si>
  <si>
    <t>1.SR088667
2.SR077700</t>
  </si>
  <si>
    <t>1. Low generation due to weather/snow.</t>
  </si>
  <si>
    <t>1.Inverter 1’s String 4 RSD was being RMA’d from 12/12/24. Dispatch has been scheduled for February.</t>
  </si>
  <si>
    <t>1.SR090252</t>
  </si>
  <si>
    <t>1. Meter Phase B current intermittently underreporting, but inverter production remains unaffected. Reported energy loss may be retroactively corrected once the meter/CT issue is resolved</t>
  </si>
  <si>
    <t>1.SR077660</t>
  </si>
  <si>
    <t>1. Underperformance due to morning hours shading</t>
  </si>
  <si>
    <t>1.The site went offline at 07:45 MST on 12/16/24. The technician arrived and found the SES-A breaker switch tripped . After re-energizing the system, the site was back online at 10:30 MST on 01/14/25.</t>
  </si>
  <si>
    <t>1.SR094853</t>
  </si>
  <si>
    <t>1. The Virtual weather station resumed communication on 01/14.</t>
  </si>
  <si>
    <t>February Actual v. Expected</t>
  </si>
  <si>
    <t>February Actual v. Forecasted</t>
  </si>
  <si>
    <t>Some sites are missing actual data; if new sites were added, make sure they are aligned correctly (including prior months!)</t>
  </si>
  <si>
    <t>1.Inverter 4 is underperforming by 7KW from 06/13/24 due to 2 non-operational strings. 
 Inverter 2 underperforming by 3kW since 05/10/24 due to a string down and after technician replaced blown fuse on 02/20/25 inverter is producing in line with peers.
 Inverter 7 underperforming by 3kW since 09/09/24 due to a string down and after technician replaced blown fuse on 02/20/25 inverter is producing in line with peers.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
3. SIte stopped communicating at 17:00 on 02/14 and regained communication at 8AM on 02/16 energy was not backfilled.</t>
  </si>
  <si>
    <t>1.SR091496
2.SR088261, SR097801
3.SR097144</t>
  </si>
  <si>
    <t>SR097801</t>
  </si>
  <si>
    <t>SR097144</t>
  </si>
  <si>
    <t>1. The Ambient Temperature sensor was not communicating .
2.The site lost communication at 7:30 AM on 02/02 and regained at 9:45 AM on 02/06.</t>
  </si>
  <si>
    <t>1.SR091735
2.SR096229</t>
  </si>
  <si>
    <t>1.On 02/18, the technician de-energized the inverter from 09:46 AM to 10:15 AM to replace the comms card. After replacing it, the inverter was re-energized.
2.The site went offline at 06:45 AM on 02/21. Upon arrival, the technician found that the breaker had tripped and reset it. The site was back online by 09:30 AM on 02/24.</t>
  </si>
  <si>
    <t>1.SR091107
2.SR097627</t>
  </si>
  <si>
    <t>1.Site stopped communicating from 01/28 and back online at 03:30PM on 02/07 .</t>
  </si>
  <si>
    <t>1.Inverter 1 was offline on 02/09 due to a loss of main fault and self-resolved at 2:30 PM on 02/10.</t>
  </si>
  <si>
    <t>1.SR096618</t>
  </si>
  <si>
    <t>1. Inverter 1's String 4 RSD was sent for RMA on 12/12/24. On 02/10/25, the technician installed a new RSD and inserted the fuse for String 5. The inverter came back online and is producing as expected</t>
  </si>
  <si>
    <t>1.Inverter 4 is underperforming by 5kW since 02/16, down 1 string. Dispatch has been scheduled for next PM on 10/10/25.</t>
  </si>
  <si>
    <t>1.SR097581</t>
  </si>
  <si>
    <t>1.Inverter 16 is  down 1 string. Dispatch has been scheduled for next PM on 05/26/25.</t>
  </si>
  <si>
    <t>1.SR097838</t>
  </si>
  <si>
    <t>1.The site went offline at 5:32 PM on 01/31/25. On 02/24, a technician arrived and found that the SES-A breaker switch had tripped. After re-energizing the system, the site was back online at 10:20 AM on 02/24.</t>
  </si>
  <si>
    <t>1.SR096213</t>
  </si>
  <si>
    <t>1. The site stopped communication at 06:00PM on 02/08 and back at 03:45AM on 02/09.
2.The Virtual weather station resumed communication on 01/31 and back on 02/24.</t>
  </si>
  <si>
    <t>1.SR096533</t>
  </si>
  <si>
    <t>1. Production meter is underreporting compared to the inverters, with B-phase current reading low compared to A &amp; C. The meter is reporting lower by approximately 7kW.</t>
  </si>
  <si>
    <t>1. SR099589</t>
  </si>
  <si>
    <t>March Actual v. Expected</t>
  </si>
  <si>
    <t>March Actual v. Forecasted</t>
  </si>
  <si>
    <t>1.Inverter 4 and 6 are underperforming by 7KW from 06/13/24 due to 2 non-operational strings. 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</t>
  </si>
  <si>
    <t>1.SR091496
2.SR097801</t>
  </si>
  <si>
    <t>1. Compared to last year’s delta values, we can still see a negative variance for this site, which suggests an issue with the forecasted value.</t>
  </si>
  <si>
    <t>1.Inverters 1 and 2 were offline from 06:30 PST to 14:50 PST on 03/06</t>
  </si>
  <si>
    <t>1.SR098213</t>
  </si>
  <si>
    <t>1.The site remained offline from 22:45 PDT on 03/16 until 14:45 PDT on 03/17.Issue got self resolved</t>
  </si>
  <si>
    <t>1.SR098649</t>
  </si>
  <si>
    <t>1. Compared to last year’s (November and December) delta values, we still see a negative variance for this site, which suggests an issue with the forecasted value. Additionally, we do not have inverter communications for this site.</t>
  </si>
  <si>
    <t>1.Inverter 1 was offline from 06:45 PDT to 16:45 PDT on 03/09 and self resolved and we don't have SR for this issue.</t>
  </si>
  <si>
    <t>1. Compared to last year’s (November and December) delta values, we still see a negative variance for this site, which suggests an issue with the forecasted value.</t>
  </si>
  <si>
    <t xml:space="preserve">1. Site underperforming by ~15 kW since 03/12. Will investigate next time onsite.
</t>
  </si>
  <si>
    <t>1.SR098782</t>
  </si>
  <si>
    <t>1. Compared to last year’s delta values, we still see a negative variance for this site, which suggests an issue with the forecasted value. Additionally, we do not have inverter communications for this site.</t>
  </si>
  <si>
    <t>1. Site production was low 03/05, 03/06, 03/15 to 03/17, 03/24, 03/29 to 03/31 due to rain.</t>
  </si>
  <si>
    <t xml:space="preserve">1. Weather station reporting erroneous values from 07/04/2024. Will investigate while next time onsite
2.The meter's Phase C current/power factor was experiencing intermittent glitches, which are affecting the reported energy production, but there was no impact on actual production. Will investigate next time onsite.
</t>
  </si>
  <si>
    <t>1. SR088667
2.SR077700</t>
  </si>
  <si>
    <t>1. Site underperforming by ~15 kW since 03/12. Will investigate next time onsite.</t>
  </si>
  <si>
    <t>1. Site production was low on 03/05, 03/15, 03/17, 03/24, 03/30 due to bad weather.</t>
  </si>
  <si>
    <t>1. Site production was low on 03/05, 03/13, 03/15 to 03/17, 03/20, 03/24 due to rain.</t>
  </si>
  <si>
    <t>1.Weather station is reporting 0 during production hours even on a good irradiance day</t>
  </si>
  <si>
    <t>1. Site production was low on 03/05, 03/13, 03/15 to 03/17, 03/24, 03/30 due to bad weather.</t>
  </si>
  <si>
    <t>1.Meter Phase B current was intermittently underreporting, but inverter production remained unaffected. On 03/06, a technician identified an issue with Phase B and swapped the CT for Phase B with the CT for Phase C. The issue was resolved after the technician's visit.</t>
  </si>
  <si>
    <t>1.Inverter 3 stopped communicating at 12:00 CDT on 03/31, and production cannot be confirmed at the meter level. It has not regained communication since then.</t>
  </si>
  <si>
    <t>1.SR099238</t>
  </si>
  <si>
    <t>1.Inverter 2 tripped offline at 14:25 MDT on 03/18 and back online at 14:55 MDT on the same day.It tripped offline at 13:00 MDT on 03/19 and back online at 14:45 MDT on 03/19.</t>
  </si>
  <si>
    <t>1.Site stopped communicating at 18:30 on 03/22,Unable to confirm production  and Site did not regain the communication for the rest of the month.
2.Production meter is underreporting compared to the inverters, with B-phase current reading low compared to A &amp; C. The meter is reporting lower by approximately 7kW</t>
  </si>
  <si>
    <t>1.SR098897
2.SR099589</t>
  </si>
  <si>
    <t>April Actual v. Expected</t>
  </si>
  <si>
    <t>April Actual v. Forecasted</t>
  </si>
  <si>
    <t>NA</t>
  </si>
  <si>
    <t>1.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
2. Site was stopped communicating on 04/08 at 07:30am.  The site was down for EPC testing on nearby project.
3. Inverter 4 and 6 are underperforming by 7KW from 06/13/24 due to 2 non-operational strings. 
Inverter 5 underperforming by 4kW since 02/08/2 due to a string down.</t>
  </si>
  <si>
    <t>1. SR097801
2. SR099548
3. SR091496</t>
  </si>
  <si>
    <t>SR099548</t>
  </si>
  <si>
    <t>SR091496</t>
  </si>
  <si>
    <t>1.Inverter 2 is down a string from 04/25</t>
  </si>
  <si>
    <t>1.SR100421</t>
  </si>
  <si>
    <t>1.Inverter 2 was offline for the entire month due to 'Fault State 401: Communication Fault.' The inverter needs to be replaced, but the client has not approved it.</t>
  </si>
  <si>
    <t>1. SR084532, SR088671, PM4252</t>
  </si>
  <si>
    <t>1. Site production was low on 04/03, 04/05, 04/07, 04/11 and 04/12 due to rain.</t>
  </si>
  <si>
    <t>1.Weather station reporting erroneous values from 07/04/2024</t>
  </si>
  <si>
    <t>1.SR088667</t>
  </si>
  <si>
    <t>1.Site underperforming by ~15 kW since 03/12. Will investigate next time onsite</t>
  </si>
  <si>
    <t>1. Weather station constantly reporting a fixed value of 1237.22 W/m2 01/09.</t>
  </si>
  <si>
    <t>1. SR100979</t>
  </si>
  <si>
    <t>1. Weather station is frequently reporting erroneous values since 04/14.</t>
  </si>
  <si>
    <t>1. SR100592</t>
  </si>
  <si>
    <t>1. The site went offline at 18:05 on 04/22 later self resolved and back online at 15:15 on 04/22.</t>
  </si>
  <si>
    <t>1. SR100186</t>
  </si>
  <si>
    <t>1. Site production was low on 04/07, 04/11 and 04/12 due to rain.</t>
  </si>
  <si>
    <t>1.The site tripped offline at 11:37 AM on 04/25 due to "Loss of Main - GridV.OutLim" but was back online by 12:00 PM. The outage was brief with minimal production loss</t>
  </si>
  <si>
    <t>1.SR100412</t>
  </si>
  <si>
    <t>1.The site lost communication at 20:00 EDT on 04/23. Production cannot be confirmed, and the issue remains unresolved for rest of the month.</t>
  </si>
  <si>
    <t>1.SR100432</t>
  </si>
  <si>
    <t>1.Weather station is frequently reporting erroneous values ( 0 w/m^2) during mid days from 03/10.</t>
  </si>
  <si>
    <t>1.SR100593</t>
  </si>
  <si>
    <t>1.Inverter-16 is down a string and PM event was scheduled for 05/26/24</t>
  </si>
  <si>
    <t>1.Inverters 1&amp;3 were tripped offline at 11:30AM on 04/20 repoting ""Grid Phase Voltage Out of Range - GridV.OutLim""and were back online at 17:45 on 04/20
2.Site stopped communicating at 18:30 on 03/22,unable to confirm voltages.SIte came back online at 10:00MDT on 04/09 but energy was not backfilled
3.Production meter is reporting lower by approximately 7KW with B-phase current reading low compared to A&amp;C.</t>
  </si>
  <si>
    <t>1.SR100039
2.SR098897
3.SR099589</t>
  </si>
  <si>
    <t>May Actual v. Expected</t>
  </si>
  <si>
    <t>May Actual v. Forecasted</t>
  </si>
  <si>
    <t>1.Site was offline throughout the month for EPC testing on nearby project and informed that site may remain offline until PTO of new project</t>
  </si>
  <si>
    <t>1.SR099548</t>
  </si>
  <si>
    <t>1. Inverters 1, 4, and 5 have some afternoon shading. Inverter 5 is underperforming by 3kW; likely soiling.</t>
  </si>
  <si>
    <t>1. SR101247</t>
  </si>
  <si>
    <t>1. SR100421</t>
  </si>
  <si>
    <t>1. On 05/19 technican was onsite for preventive maintenance. Tech found inverter 3 has a derating issue that will need more troubleshooting and additionally the POA needs more troubleshooting to report accurately.</t>
  </si>
  <si>
    <t xml:space="preserve">1. PM8080 </t>
  </si>
  <si>
    <t>1. The site was offline from 10:31 to 10:54 on 05/21 due to technician was onsite for preventive maintenance work.</t>
  </si>
  <si>
    <t>1. PM8141</t>
  </si>
  <si>
    <t>1.Inverter 2 has been offline since 05/20 and is currently in the process of being replaced.</t>
  </si>
  <si>
    <t>1.SR101743</t>
  </si>
  <si>
    <t>1. Site production was low on 05/05, 05/06, 05/21 to 05/23, 05/31 due to rain.</t>
  </si>
  <si>
    <t xml:space="preserve">1.An intermittent issue with Meter Phase C/Power Factor is slightly affecting the reported energy production. A case has been created with AlsoEnergy, and they have confirmed a site visit for further investigation
2.Weather station reporting erroneous values from 07/04/2024.This issue is to be investigated next time onsite </t>
  </si>
  <si>
    <t>1.SR077700
2.SR088667</t>
  </si>
  <si>
    <t>1. Site underperforming by ~15 kW. Production appears capped at 1.6 kW on high irradiance days, with brief spikes. Will be investigating during next site visit.</t>
  </si>
  <si>
    <t>1.Inverter 13 tripped offline at 17:00 on 05/03,possibly due to bad weather and back online on 05/04</t>
  </si>
  <si>
    <t>1.SR100975</t>
  </si>
  <si>
    <t>1. Site production was low on 05/04, 05/05, 05/09, 05/13, 05/22, 05/28 due to rain.</t>
  </si>
  <si>
    <t>1.The site was offline from 14:30 on 05/15 to 13:00 on 05/19 and again from 08:15 on 05/25 to 11:15 on 05/27. The issue occurred because the disconnect lock was opened by the fire department. The site was restored after a CBRE technician closed the disconnect</t>
  </si>
  <si>
    <t>1.SR101597,SR101928</t>
  </si>
  <si>
    <t>1.Inverter 1 tripped offline due to an insolation error at 13:15 on 05/02 and remained offline throughout the month.</t>
  </si>
  <si>
    <t>1.SR100951</t>
  </si>
  <si>
    <t>1.Weather station  constantly reporting a fixed value of 1237.22 W/m2 during production hours.Reached out to AlsoEnergy for remote assistance and waiting for their response</t>
  </si>
  <si>
    <t>1.SR100979</t>
  </si>
  <si>
    <t>1.Weather station is frequently reporting erroneous values ( 0 w/m^2). Has been happening intermittently since 4/14</t>
  </si>
  <si>
    <t>1.SR100592</t>
  </si>
  <si>
    <t>1. Site production was low on 05/04, 05/05, 05/13, 05/14, 05/22, 05/28, 05/30 due to rain.</t>
  </si>
  <si>
    <t>1.Inverter 1 tripped offline at 11:15 on 05/16 and back online at 12:45 on 05/16 likely due to bad weather</t>
  </si>
  <si>
    <t>1.SR101587</t>
  </si>
  <si>
    <t>1. Weather station is frequently reporting erroneous values ( 0 w/m^2) during mid days.We have reached out to AlsoEnergy for remote assistance and waiting for their response</t>
  </si>
  <si>
    <t>1.Inverter 4 has been derating to 40 kW due to a fan fault on intermittent days since 04/01.Reached out to CPS for RMA of fans</t>
  </si>
  <si>
    <t>1.SR099750</t>
  </si>
  <si>
    <t>1. The inverter was offline from 09:30 CDT on 04/20. The technician later replaced the inverter's powerhead on 05/29, and it came back online at 11:00 CDT on the same day.</t>
  </si>
  <si>
    <t>1. SR100040</t>
  </si>
  <si>
    <t>1. The meter had no communication starting from 05/01. Technician later found water intrusion in an unused enclosure, disconnected the unused wiring, and the meter resumed normal communication at 11:00 CDT on 05/20.
2. Inverter 104.1 underperforming from 05/20 since meter rewiring performed on SR101240 (unused wiring disconnected). Capacity appears to be down about 2/3, may be 2 MPPTs offline. Possibility of wiring disconnected on SR101240 causing underperformance.</t>
  </si>
  <si>
    <t>1.SR101240
2.SR101804</t>
  </si>
  <si>
    <t>1. Inverter 16 is derating at 32 kW on 05/22, 05/24, 05/28, 05/29 and reporting "External Fan Err - ExtFanerr".</t>
  </si>
  <si>
    <t>1. SR101864</t>
  </si>
  <si>
    <t>1. Inverter 2 is tripping on and offline frequently through out the month.</t>
  </si>
  <si>
    <t>1. SR101434</t>
  </si>
  <si>
    <t>1. Production meter is reporting lower by approximately 7KW with B-phase current reading low compared to A&amp;C.
2. Inverter 1 tripping on and off frequently on 05/17, 05/19, 05/20, 05/24, 05/25 due to "Grid Phase Voltage Out of Range - GridV.OutLim".</t>
  </si>
  <si>
    <t>1. SR99589
2.SR101626</t>
  </si>
  <si>
    <t>June Actual v. Expected</t>
  </si>
  <si>
    <t>June Actual v. Forecasted</t>
  </si>
  <si>
    <t>N/A</t>
  </si>
  <si>
    <t>1. Site was not communicated for whole month.</t>
  </si>
  <si>
    <t>1. SR099548</t>
  </si>
  <si>
    <t>1. Inverters 1, 4, and 5 have some afternoon shading issues.</t>
  </si>
  <si>
    <t>The plant is performing as expected. The forecasted (theoretical) values may appear higher because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</si>
  <si>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Inverter 1 is underperforming by 13kW and inverter 2 by 10kW. Pending quote for return visit.</t>
  </si>
  <si>
    <t>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</si>
  <si>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Tech found inverter 3 has a derating issue that will need more troubleshooting and additionally the POA needs more troubleshooting to report accurately.</t>
  </si>
  <si>
    <t>1. Inverter 2 was offline for the entire month and will be investigated in 2026</t>
  </si>
  <si>
    <t>1. SR101743</t>
  </si>
  <si>
    <t>1. The site was offline from 10:15 to 11:30 on 06/13 due to technician was onsite for preventive maintenance.</t>
  </si>
  <si>
    <t>1. PM9554</t>
  </si>
  <si>
    <t>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</si>
  <si>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Site production was low on 06/07, 06/10, 06/14, 06/15, 06/17 due to cloudy weather and rain.</t>
  </si>
  <si>
    <t>1. Weather station reporting erroneous values from 07/04/2024. Will investigate next time onsite 
2. An intermittent issue with Meter Phase C/Power Factor is slightly affecting the reported energy production. A case has been created with AlsoEnergy, and they have confirmed a site visit for further investigation</t>
  </si>
  <si>
    <t>1. SR088667
2. SR066760 SR077700</t>
  </si>
  <si>
    <t>1. Site was offline from 05/02 to 12:00 on 06/05 and 2 strings were isolated on inverter on 06/05.</t>
  </si>
  <si>
    <t>1. SR100951</t>
  </si>
  <si>
    <t>1. Weather station  constantly reporting a fixed value of 1237.22 W/m2 since 01/09. Will investigate next time onsite</t>
  </si>
  <si>
    <t>1. Inverter 1 tripped offline on 06/23, 06/24, and 06/25, but self-resolved on the following days.</t>
  </si>
  <si>
    <t>1. SR103327</t>
  </si>
  <si>
    <t>1. Inverter 1 tripped offline at 11am on 06/26 and displaying fault Grid Phase Voltage Out of Range - GridV.OutLim and back online at 8:00am on 06/27</t>
  </si>
  <si>
    <t>1. SR103607</t>
  </si>
  <si>
    <t>1. Site production was low on 06/08 to 06/10 and 06/15 due to rain.</t>
  </si>
  <si>
    <t>1. The weather station data indicates normal irradiance levels, and no major issues were observed on site. Based on the available information, the system performance appears consistent with typical operating conditions.</t>
  </si>
  <si>
    <t>The virtual weather station has experienced intermittent communication issues, in contrast to the actual weather station at Building 203, San Antonio Ops Center (S64346), which is reporting without any issues. A case (#595841) has been opened with AlsoEnergy to reconfigure the virtual weather station accordingly.</t>
  </si>
  <si>
    <t>1. Production meter is reporting lower by approximately 7KW with B-phase current reading low compared to A&amp;C.</t>
  </si>
  <si>
    <t>1.SR098897</t>
  </si>
  <si>
    <t>July Actual v. Expected</t>
  </si>
  <si>
    <t>July Actual v. Forecasted</t>
  </si>
  <si>
    <t>Performance vs Prior Year</t>
  </si>
  <si>
    <t>+ or -</t>
  </si>
  <si>
    <t>No weather station on the Legacy sites</t>
  </si>
  <si>
    <t>-</t>
  </si>
  <si>
    <t>1.SR101247</t>
  </si>
  <si>
    <t>+</t>
  </si>
  <si>
    <t>Forecasted model might be inaccurate.</t>
  </si>
  <si>
    <t>1.SR104629</t>
  </si>
  <si>
    <t>SR087054 stems from the 2024 PM</t>
  </si>
  <si>
    <t>Still waiting on a response from Wells Fargo dating back to 2023</t>
  </si>
  <si>
    <t>1. Meter B and C phase currents are half of A phase current for whole month</t>
  </si>
  <si>
    <t>1.SR105604</t>
  </si>
  <si>
    <t>Up 2% from 2024 weather adj. (expected)</t>
  </si>
  <si>
    <t>1. Site was offline from 07/09 through out the month.</t>
  </si>
  <si>
    <t>1.SR103075</t>
  </si>
  <si>
    <t>Up 9% from 2024 weather adj. (expected)</t>
  </si>
  <si>
    <t>1.Meter stopped communicating at 07/30 at 10:45pm till end of the month
2. Inverter 2 was offline for the entire month and will be investigated in 2026</t>
  </si>
  <si>
    <t>1.SR105436
2.SR101743</t>
  </si>
  <si>
    <t>1.Meter C phase current dropped 20 amps from  7/13/25.</t>
  </si>
  <si>
    <t>1.SR105517</t>
  </si>
  <si>
    <t>Up 4% from 2024 weather adj. (expected)</t>
  </si>
  <si>
    <t xml:space="preserve">1.BOM sensor fell off.  Will repair next time onsite </t>
  </si>
  <si>
    <t>1.SR087054</t>
  </si>
  <si>
    <t>Up 6% from 2024 weather adj. (expected)</t>
  </si>
  <si>
    <t>1. Weather station reporting erroneous values from 07/04/2024. Will investigate next time onsite
2. An intermittent issue with Meter Phase C/Power Factor is slightly affecting the reported energy production. A case has been created with AlsoEnergy, and they have confirmed a site visit for further investigation</t>
  </si>
  <si>
    <t>Up 3% from 2024 weather adj. (expected); forecasted model might be inaccurate.</t>
  </si>
  <si>
    <t>Weather station issue is negatively impacting the weather adj. (expected)</t>
  </si>
  <si>
    <t>1.Inverter 1 underperforming by 8kW (1 string) from 7/28/25.
2. Inverter 2 tripped offline at 08:45CDT on 07/20</t>
  </si>
  <si>
    <t>1.SR105483
2.SR105331</t>
  </si>
  <si>
    <t>Up 3% from 2024 weather adj. (expected)</t>
  </si>
  <si>
    <t>Up 26% from 2024 weather adj. (expected)</t>
  </si>
  <si>
    <t>1. Inverter 12 appears to be down at least one string, maybe two, when compared with peers</t>
  </si>
  <si>
    <t>1.SR099323</t>
  </si>
  <si>
    <t>Weather station issue is positively impacting the weather adj. (expected)</t>
  </si>
  <si>
    <t>NC</t>
  </si>
  <si>
    <t xml:space="preserve">Weather adj. (expected) impacted by Weather station issue. </t>
  </si>
  <si>
    <t>Weather station is frequently reporting erroneous values ( 0 w/m^2). Has been happening intermittently since 4/14</t>
  </si>
  <si>
    <t>Up 5% from 2024 weather adj. (expected)</t>
  </si>
  <si>
    <t>Up 3% from 2024 weather adj. (expected). Possible issue with the data used to calculate the expected; inquiry with AE Support.</t>
  </si>
  <si>
    <t>1. Site was offline frm 07/07 and back online on 07/09 at 16:00</t>
  </si>
  <si>
    <t>1.SR104082</t>
  </si>
  <si>
    <t>1.Production meter phase A volts are offline</t>
  </si>
  <si>
    <t>1.SR075812</t>
  </si>
  <si>
    <t>1.Inverter 4 is derating at 40 kW through out the month</t>
  </si>
  <si>
    <t>1.Inverter 4 tripped offline at 11:20 cdt on 07/29 and remained the same throughout the month.</t>
  </si>
  <si>
    <t>1.SR105312</t>
  </si>
  <si>
    <t xml:space="preserve">Sites live Jan 2025 </t>
  </si>
  <si>
    <t>Used inverter data (meter data requires a data correction)</t>
  </si>
  <si>
    <t xml:space="preserve">1. Production meter is reporting lower by approximately 7KW with B-phase current reading low compared to A&amp;C.
2.  Meter A and C phase are underreporting. Meter A and B power factor are less than 1. </t>
  </si>
  <si>
    <t>1. SR098897
2. SR104705</t>
  </si>
  <si>
    <t>August Actual v. Expected</t>
  </si>
  <si>
    <t>August Actual v. Forecasted</t>
  </si>
  <si>
    <t>1. Inverter 1 and 7 have morning to afternoon shading</t>
  </si>
  <si>
    <t>1.SR101247
2.SR106393</t>
  </si>
  <si>
    <t>2.Site stopped communicating at 23:15 on 08/16 and later back online at 08/18 at 09:00</t>
  </si>
  <si>
    <t>The plant is performing as expected. I compared the results with last year’s forecasted data for July and August. July aligns well, but from August there is a deviation of -15%, which may be due to inaccuracies in the forecasted values, as these are theoretical</t>
  </si>
  <si>
    <t>1. No communication to the inverters, As per technician visit on 08/08 inverter 3 is offline and inverter 1 is underperforming.</t>
  </si>
  <si>
    <t>1. Site is back online at 10:00 on 08/04</t>
  </si>
  <si>
    <t xml:space="preserve">-   </t>
  </si>
  <si>
    <t>1. Site stopped communicating at 7/30 at 10:45 to till date and production cannot be confirmed.</t>
  </si>
  <si>
    <t>1.SR105436</t>
  </si>
  <si>
    <t>1.SR105437</t>
  </si>
  <si>
    <t>1. Site underperforming by ~15 kW. Production appears capped at 1.6 kW on high irradiance days, with brief spikes. Will be investigating during next site visit.
2. Site de-energized 08/15/25; site needs to be re-engineered.</t>
  </si>
  <si>
    <t>1.SR098782, SR098791</t>
  </si>
  <si>
    <t>1.Inverter 1 underperforming by 8kW (2 string) from 7/28/25. Inverter 3 down 1 string from 8/7 (8kW)
2. Inverter 2 tripped offline at 08:45CDT on 07/20</t>
  </si>
  <si>
    <t>1. Weather station was not communicated on 08/03 from 11:45 to 13:45.</t>
  </si>
  <si>
    <t>The site is producing as expected. When compared with the same month in previous years, there is always a deviation of 10%, which may be related to minor seasonal shading effects.</t>
  </si>
  <si>
    <t>1.SR106961</t>
  </si>
  <si>
    <t>1. San Antonio 102 is a virtual weather station. On 08/23, San Antonio 203 lost communication, which caused San Antonio 102 to stop receiving data from 07:00 to 16:45</t>
  </si>
  <si>
    <t>1. SR106784</t>
  </si>
  <si>
    <t>1.Inverter 16 is derating at 33kW in the afternoon starting on 07/18.</t>
  </si>
  <si>
    <t>1.SR104656</t>
  </si>
  <si>
    <t>1.Meter A and C phase are underreporting. Meter A and B power factor are less than 1 and on 08/21 phase C currents are showing more amps additional troubleshoot required
Actual energy is taken from total inverters data</t>
  </si>
  <si>
    <t>1.SR104705</t>
  </si>
  <si>
    <t>Actual vs weather adjusted (August 2025)</t>
  </si>
  <si>
    <t>Negative</t>
  </si>
  <si>
    <t>No Change</t>
  </si>
  <si>
    <t>Positive</t>
  </si>
  <si>
    <t>Actual vs forecasted (August 2025)</t>
  </si>
  <si>
    <t>September Actual v. Expected</t>
  </si>
  <si>
    <t>September Actual v. Forecasted</t>
  </si>
  <si>
    <t>1. Inverter 1 and 7 have morning to afternoon shading.</t>
  </si>
  <si>
    <t>1. Site production was low on 09/19, 09/28 and 09/29 due to cloudy weather.</t>
  </si>
  <si>
    <t>1. 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</si>
  <si>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The plant is performing as expected. The forecasted (theoretical) values may appear higher because they are based on long-term average weather data (typically over 10–15 years). In contrast, the actual vs. expected generation reflects real-time weather conditions during the period, offering a more accurate representation of current performance.</t>
  </si>
  <si>
    <t xml:space="preserve">1. No communication to the inverters, As per technician visit on 08/08 inverter 3 is offline and inverter 1 is underperforming. </t>
  </si>
  <si>
    <t>1. Site regained its communication at 10:15 on 09/18.</t>
  </si>
  <si>
    <t>1. Site regained its communication at 15:30 on 09/10.</t>
  </si>
  <si>
    <t>1. SR105437</t>
  </si>
  <si>
    <t>1. 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</si>
  <si>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1.SR107668
2.SR077700</t>
  </si>
  <si>
    <t>1.Inverter 1 underperforming by 8kW (2 string) from 7/28/25. Inverter 3 down 1 string from 8/7 (8kW)
2. Inverter 2 tripped offline at 08:45CDT on 07/20 and remained offline throughout the month</t>
  </si>
  <si>
    <t>1. Site production was low on 09/25 to 09/29  due to cloudy weather and rain.</t>
  </si>
  <si>
    <t>1. Site stopped comms at 12:35 on 09/07 and restored at 14:30 on 09/07, energy backfilled.</t>
  </si>
  <si>
    <t>1. The weather station has been constantly reporting a fixed value of 1237.22 W/m² since 01/09. POA*, the POA sensor, and GHI have all been reporting 0 W/m² since 08/28. This will be investigated during the next site visit.</t>
  </si>
  <si>
    <t>1.Production meter phase A volts are offline.</t>
  </si>
  <si>
    <t>1. SR075812</t>
  </si>
  <si>
    <t>1. SR100593</t>
  </si>
  <si>
    <t>1. The site is producing as expected. When compared with the same month in previous years, there is always a deviation of 10%, which may be related to minor seasonal shading effects.</t>
  </si>
  <si>
    <t>1.Inverter 4 has been derating at 40 kW since 04/13 and was reporting 'External Fan Err - ExtFanerr'. After installing a new fan on 09/25, Inverter 4 is now producing as expected.</t>
  </si>
  <si>
    <t>1. SR106961</t>
  </si>
  <si>
    <t>1. Site was offline at 07:00 on 09/13 and back online at 00:30 on 09/14.
2. Inverter 4 was offline at 07:00 on 09/18 and  reporting Loss of Main - GridV.OutLim.</t>
  </si>
  <si>
    <t>1. SR107931
2. SR108243</t>
  </si>
  <si>
    <t>1. Site was offline at 04:30 on 09/13 and back online at 20:15 on 09/13.</t>
  </si>
  <si>
    <t>1. SR107930</t>
  </si>
  <si>
    <t>1. Site was offline at 06:30 on 09/13 and back online at 20:15 on 09/13.</t>
  </si>
  <si>
    <t>1. SR107932</t>
  </si>
  <si>
    <t>1. Inverter 4 is down a string since 02/16/25 this issue will be investigate during PM event.</t>
  </si>
  <si>
    <t>1. SR097581</t>
  </si>
  <si>
    <t>1. Inverter 4 underperformed by 6kW since 08/17 may be due to one string down and this issue is occur through out the month.</t>
  </si>
  <si>
    <t>1. SR106526</t>
  </si>
  <si>
    <t>1. Inverter 16 is derating at 33kW in the afternoon starting since 07/18 .
2. Inverter 11  tripped offline at 16:45 on 09/04 and reporting ""Insulation Resistance Low - IsolationErr"" and tripping on and off through out the month.</t>
  </si>
  <si>
    <t>1. SR104656, SR107171
2. SR107486</t>
  </si>
  <si>
    <t>1. Site production was low on 09/26 due to cloudy weather.</t>
  </si>
  <si>
    <t>1.As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</si>
  <si>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SR104705</t>
  </si>
  <si>
    <t>October Actual v. Expected</t>
  </si>
  <si>
    <t>October Actual v. Forecasted</t>
  </si>
  <si>
    <t>Status</t>
  </si>
  <si>
    <t xml:space="preserve">1. Closed
</t>
  </si>
  <si>
    <t>1. Inverter 1 has heavy shading from afternoon to evening.</t>
  </si>
  <si>
    <t>1. Inverter 2 has heavy shading in the morning.</t>
  </si>
  <si>
    <t>1.Closed</t>
  </si>
  <si>
    <t>1. 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performance.a</t>
  </si>
  <si>
    <t>1. Closed
2. Closed</t>
  </si>
  <si>
    <t>1. Meter phase A and B currents dropped to 18Amps on 10/01</t>
  </si>
  <si>
    <t>1. SR110707</t>
  </si>
  <si>
    <t>1. New</t>
  </si>
  <si>
    <t>1. Closed</t>
  </si>
  <si>
    <t>1.Closed
2.Closed</t>
  </si>
  <si>
    <t>SR077700</t>
  </si>
  <si>
    <t>1.Inverter 4 is being RMA'd</t>
  </si>
  <si>
    <t xml:space="preserve">1.SR105331 </t>
  </si>
  <si>
    <t>1. Inverter 1 underperforming by 8kW (2 string) from 7/28/25. Inverter 3 down 1 string from 8/7 (8kW)
2. Inverter 2 tripped offline at 08:45CDT on 07/20 and remained offline throughout the month</t>
  </si>
  <si>
    <t>SR105331</t>
  </si>
  <si>
    <t>1. Site was offline from 17:30 on 10/18 and again back online at 02:45 on 10/19 as Facility has performed PM on switchgear</t>
  </si>
  <si>
    <t>1.SR109637</t>
  </si>
  <si>
    <t>1.SR088678</t>
  </si>
  <si>
    <t>1. Inverter has been replaced on 10/09.</t>
  </si>
  <si>
    <t>1.SR091644</t>
  </si>
  <si>
    <t>1. Site stopped communicating from 10:15 from 10/20 till end of the month</t>
  </si>
  <si>
    <t>1.SR109804</t>
  </si>
  <si>
    <t>1. Weather station is frequently reporting erroneous values ( 0 w/m^2). Has been happening intermittently since 4/14</t>
  </si>
  <si>
    <t>1. The Laurelton Site has been closed down and sold as of 7/31/25</t>
  </si>
  <si>
    <t xml:space="preserve">1. SR108795 </t>
  </si>
  <si>
    <t>1. Site was offline at 10:21 on 10/15 and back online at 13:21 on 10/15.</t>
  </si>
  <si>
    <t>1. SR109508</t>
  </si>
  <si>
    <t xml:space="preserve">1. Inverter 4 was offline at 07:00 on 09/18 and reporting Loss of Main GridV.OutLim </t>
  </si>
  <si>
    <t>1. SR108243</t>
  </si>
  <si>
    <t xml:space="preserve">1. SR097581
</t>
  </si>
  <si>
    <t>1. Inverter 4 underperformed by 6kW since 08/17 may be due to one string down and this issue is occur through out the month and issue schedule with PM.</t>
  </si>
  <si>
    <t>SR107171</t>
  </si>
  <si>
    <t>SR107486</t>
  </si>
  <si>
    <t>1. Weather station has morning shading.</t>
  </si>
  <si>
    <t>1. Meter A and C phase are underreporting. Meter A and B power factor are less than 1 and on 08/21 phase C currents are showing more amps additional troubleshoot required
Actual energy is taken from total inverters data</t>
  </si>
  <si>
    <t>November Actual v. Expected</t>
  </si>
  <si>
    <t>November Actual v. Forecasted</t>
  </si>
  <si>
    <t>1. Production data taken from consumption meter.
2. Site was offline at 09:15 to 11:15 on 11/05.</t>
  </si>
  <si>
    <t>2. SR111329</t>
  </si>
  <si>
    <t>2. Closed</t>
  </si>
  <si>
    <t xml:space="preserve">1. Site was stopped communication to the DAS at 06:00 on 11/30 </t>
  </si>
  <si>
    <t>1. SR111981</t>
  </si>
  <si>
    <t>1. Pending</t>
  </si>
  <si>
    <t>1. No communication to the inverters, As per technician visit on 08/08 inverter 3 is offline and inverter 1 is underperforming. 
2.  Site stopped communicating to the DAS at 23:00 on 11/02 because the modem is not powering up. The modem is currently under RMA.</t>
  </si>
  <si>
    <t>1. SR105604
2. SR111494</t>
  </si>
  <si>
    <t>1. Closed
2. Pending</t>
  </si>
  <si>
    <t>SR111494</t>
  </si>
  <si>
    <t>1. Meter phase A and B currents dropped to 18 amps on 10/01, and the meter also showed a production drop of 5–6 kW, possibly due to thermal damage to the CTs.</t>
  </si>
  <si>
    <t>1. SR107668, SR088667 
2. SR077700</t>
  </si>
  <si>
    <t>SR088667</t>
  </si>
  <si>
    <t>1. SR098782</t>
  </si>
  <si>
    <t xml:space="preserve">1. SR105482, SR105331 </t>
  </si>
  <si>
    <t>1. SR105483
2. SR105331</t>
  </si>
  <si>
    <t>1. Pending
2. Pending</t>
  </si>
  <si>
    <t>1. All inverters have morning shading.</t>
  </si>
  <si>
    <t>1. The site stopped communicating to the DAS at 11:00 on 11/14, possibly due to being offline. This issue has occurred throughout the month.</t>
  </si>
  <si>
    <t>1.  SR111319</t>
  </si>
  <si>
    <t>1. pending</t>
  </si>
  <si>
    <t>Actual vs Forcasted delta is showing 29% due to Forcasted energy recording low possibly due to data glitch (similar event observe last 2 years).</t>
  </si>
  <si>
    <t>Actual vs Forcasted delta is showing 19% due to Forcasted energy recording low possibly due to data glitch (similar event observe last 2 years).</t>
  </si>
  <si>
    <t>Actual vs Forcasted delta is showing 59% due to Forcasted energy recording low possibly due to data glitch (similar event observe last 2 years).</t>
  </si>
  <si>
    <t>1. Site was offline due to a roof replacement project ongoing.</t>
  </si>
  <si>
    <t>1. SR109804</t>
  </si>
  <si>
    <t>1.Site stopped communicating at 05:30 on 11/8, possibly offline.</t>
  </si>
  <si>
    <t>1.SR111323</t>
  </si>
  <si>
    <t>1.Pending</t>
  </si>
  <si>
    <t>1. All inverters have heavy shading in the morning.</t>
  </si>
  <si>
    <t>1. Inverter 11  tripped offline at 16:45 on 09/04 and reporting ""Insulation Resistance Low - IsolationErr"" and tripping on and off through out the month.</t>
  </si>
  <si>
    <t>1.SR107486</t>
  </si>
  <si>
    <t>1. All inverters have heavy shading in the morning and afternoon</t>
  </si>
  <si>
    <t>1. Site stopped communicating on 11/15, possibly offline.</t>
  </si>
  <si>
    <t>1.SR111320</t>
  </si>
  <si>
    <t>1. Inverter 2 has tripped offline at 06:15 since 06/18/25.</t>
  </si>
  <si>
    <t>1.SR112285</t>
  </si>
  <si>
    <t>1. Inverter 5 has been underperforming by approximately 8 kW since the site started.</t>
  </si>
  <si>
    <t>1.SR112289</t>
  </si>
  <si>
    <t>1. The site stopped communicating with the DAS at 11:00 on 09/25/25 and is possibly offline.</t>
  </si>
  <si>
    <t>1.SR112290</t>
  </si>
  <si>
    <t>1.New</t>
  </si>
  <si>
    <t>1. Inverter 2 having morning and afetrnoon shading.</t>
  </si>
  <si>
    <t>1. inverter 2 has shading for whole day.</t>
  </si>
  <si>
    <t>December Actual v. Expected</t>
  </si>
  <si>
    <t>December Actual v. Forecasted</t>
  </si>
  <si>
    <t xml:space="preserve">Status </t>
  </si>
  <si>
    <t xml:space="preserve">1. Production data taken from consumption meter.
</t>
  </si>
  <si>
    <t xml:space="preserve">1. Pending
</t>
  </si>
  <si>
    <t>1. Inverters 1, 4, and 5 have some afternoon shading. Inverter 5 is underperforming by 3kW; likely soiling.
2. Inverter 3 was offline at 07:00 on 12/12 and back online at 12:15 on 12/31.</t>
  </si>
  <si>
    <t>1. SR101247
2. SR112675</t>
  </si>
  <si>
    <t>1. Closed
2. Work in progress</t>
  </si>
  <si>
    <t>1. SR104629</t>
  </si>
  <si>
    <t>1. SR107668, SR088667, SR107670
2. SR077700, SR113568</t>
  </si>
  <si>
    <t>SR107670</t>
  </si>
  <si>
    <t>SR113568</t>
  </si>
  <si>
    <t>1. Inverter 1 underperforming by 8kW (2 string) from 7/28/25. Inverter 3 down 1 string from 8/7 (8kW). all this inverters are producing as expected since 12/17.
2. Inverter 2 tripped offline at 08:45 CDT on 07/20. After the technician replaced the combiner box, the inverter came back online at 07:00 on 12/18.</t>
  </si>
  <si>
    <t>1. Closed 
2. Closed</t>
  </si>
  <si>
    <t>1. The production was low on 12/02,12/05,12/06,12/07,12/08,12/18,12/26 and 12/28 due to snow.</t>
  </si>
  <si>
    <t>1. The production was low on 12/02,12/14 to 12/18,12/23,12/26 and 12/29 due to snow.</t>
  </si>
  <si>
    <t>1. The production was low on 12/02,12/14 to 12/19,12/23,12/27 to 12/29 due to snow.</t>
  </si>
  <si>
    <t>1. The production was low on 12/02,12/14 to 12/18,12/21 to 12/23,12/27 to 12/29 due to snow.</t>
  </si>
  <si>
    <t>1. Site back online at 10:00 on 12/19</t>
  </si>
  <si>
    <t>1. Compared to last year’s delta values, we can still see a negative variance for this site, which suggests an issue with the forecasted value.
2.Site production was low on 12/14 to 12/17 due to snow</t>
  </si>
  <si>
    <t>1.Inverter 5 is underproducing by about 20kw.
2.Inverter 6 is offline from 13:30 on 12/11 and remained offline rest of the month</t>
  </si>
  <si>
    <t>1.SR113672
2.SR112821</t>
  </si>
  <si>
    <t>1.Closed
2.Pending</t>
  </si>
  <si>
    <t>1.Site is back online at 10:30 on 12/15
2.Inverter 4 is offline for whole month</t>
  </si>
  <si>
    <t>1.SR111323
2.SR112934</t>
  </si>
  <si>
    <t>1. Inverter 4 is down a string from 02/16/25.</t>
  </si>
  <si>
    <t>1.Inverter 4 underperformed by 6kW from 08/17</t>
  </si>
  <si>
    <t>1.SR106526</t>
  </si>
  <si>
    <t>1.Site is back online at 12:45 on 12/09</t>
  </si>
  <si>
    <t>Portfolio:</t>
  </si>
  <si>
    <t>Wells Fargo</t>
  </si>
  <si>
    <t>Site DAS Name</t>
  </si>
  <si>
    <t>Update</t>
  </si>
  <si>
    <t>DAS</t>
  </si>
  <si>
    <t>BE</t>
  </si>
  <si>
    <t>Admin/Retail</t>
  </si>
  <si>
    <t>July 2025 Facility Partner</t>
  </si>
  <si>
    <t>BE 191334 - Adams &amp; Broadway</t>
  </si>
  <si>
    <t>Adams &amp; Broadway</t>
  </si>
  <si>
    <t>CA</t>
  </si>
  <si>
    <t>AEF</t>
  </si>
  <si>
    <t>PowerTrack</t>
  </si>
  <si>
    <t>Retail</t>
  </si>
  <si>
    <t>CBRE</t>
  </si>
  <si>
    <t>BE 196270 - Otay Mesa (ATM)</t>
  </si>
  <si>
    <t>Otay Mesa</t>
  </si>
  <si>
    <t>BE 144682 - San Leandro Ops Center</t>
  </si>
  <si>
    <t>San Leandro</t>
  </si>
  <si>
    <t>Admin</t>
  </si>
  <si>
    <t>JLL</t>
  </si>
  <si>
    <t>BE 191705 - Van Nuys</t>
  </si>
  <si>
    <t>Van Nuys</t>
  </si>
  <si>
    <t>AF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</si>
  <si>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</si>
  <si>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</si>
  <si>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</si>
  <si>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</si>
  <si>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</si>
  <si>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</si>
  <si>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</si>
  <si>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</si>
  <si>
    <t>BE 101173 - Covina Main</t>
  </si>
  <si>
    <t>Covina Main</t>
  </si>
  <si>
    <t>BE 144507 - Old Ranch Town Center</t>
  </si>
  <si>
    <t>Old Ranch Town Center</t>
  </si>
  <si>
    <t>BE 191411 - Mountain Gate Plaza</t>
  </si>
  <si>
    <t>Mountain Gate Plaza</t>
  </si>
  <si>
    <t>BE 144410 - Arcadia Main</t>
  </si>
  <si>
    <t>Arcadia Main</t>
  </si>
  <si>
    <t>BE 199190 - Fairfield</t>
  </si>
  <si>
    <t>Fairfield</t>
  </si>
  <si>
    <t>BE 199487 - Los Gatos</t>
  </si>
  <si>
    <t>Los Gatos</t>
  </si>
  <si>
    <t>BE 199892 - San Marino</t>
  </si>
  <si>
    <t>San Marino</t>
  </si>
  <si>
    <t>BE 199924 - Buenaventura</t>
  </si>
  <si>
    <t>Buenaventura</t>
  </si>
  <si>
    <t>CA: San Jose - Westgate</t>
  </si>
  <si>
    <t>BE 199502 - Westgate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</si>
  <si>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</si>
  <si>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</si>
  <si>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</si>
  <si>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</si>
  <si>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</si>
  <si>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</si>
  <si>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</si>
  <si>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</si>
  <si>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</si>
  <si>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</si>
  <si>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</si>
  <si>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</si>
  <si>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</si>
  <si>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</si>
  <si>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</si>
  <si>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</si>
  <si>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</si>
  <si>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</si>
  <si>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</si>
  <si>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</si>
  <si>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</si>
  <si>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</si>
  <si>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</si>
  <si>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</si>
  <si>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</si>
  <si>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</si>
  <si>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</si>
  <si>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</si>
  <si>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</si>
  <si>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150496 - West Des Moines Campus - East</t>
  </si>
  <si>
    <t>W. Des Moines Campus EAST</t>
  </si>
  <si>
    <t>IA</t>
  </si>
  <si>
    <t>BE 150496 - West Des Moines Campus - SW</t>
  </si>
  <si>
    <t>W. Des Moines Campus SW</t>
  </si>
  <si>
    <t>BE 141278 - CIC</t>
  </si>
  <si>
    <t>WF - CIC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</si>
  <si>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</si>
  <si>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</si>
  <si>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</si>
  <si>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</si>
  <si>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</si>
  <si>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</si>
  <si>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</si>
  <si>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</si>
  <si>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</si>
  <si>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</si>
  <si>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</si>
  <si>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</si>
  <si>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</si>
  <si>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</si>
  <si>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</si>
  <si>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</si>
  <si>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</si>
  <si>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</si>
  <si>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</si>
  <si>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</si>
  <si>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</si>
  <si>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</si>
  <si>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</si>
  <si>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</si>
  <si>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</si>
  <si>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</si>
  <si>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</si>
  <si>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</si>
  <si>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</si>
  <si>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</si>
  <si>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</si>
  <si>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</si>
  <si>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</si>
  <si>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</si>
  <si>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</si>
  <si>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</si>
  <si>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</si>
  <si>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</si>
  <si>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</si>
  <si>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</si>
  <si>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</si>
  <si>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</si>
  <si>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</si>
  <si>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</si>
  <si>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</si>
  <si>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</si>
  <si>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</si>
  <si>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</si>
  <si>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</si>
  <si>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</si>
  <si>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</si>
  <si>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</si>
  <si>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</si>
  <si>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</si>
  <si>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</si>
  <si>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</si>
  <si>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</si>
  <si>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</si>
  <si>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</si>
  <si>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</si>
  <si>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</si>
  <si>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</si>
  <si>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</si>
  <si>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</si>
  <si>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</si>
  <si>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</si>
  <si>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</si>
  <si>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</si>
  <si>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</si>
  <si>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</si>
  <si>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</si>
  <si>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</si>
  <si>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</si>
  <si>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</si>
  <si>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</si>
  <si>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</si>
  <si>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</si>
  <si>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</si>
  <si>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</si>
  <si>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</si>
  <si>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</si>
  <si>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</si>
  <si>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</si>
  <si>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</si>
  <si>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101497 - N Black Canyon Hwy, Phoenix - North</t>
  </si>
  <si>
    <t>AZ</t>
  </si>
  <si>
    <t>BE 101497 - N Black Canyon Hwy, Phoenix - South</t>
  </si>
  <si>
    <t>N Black Canyon Hwy, Phoenix - South</t>
  </si>
  <si>
    <t>BE 102073 - Building 2222, Rose Garden Ln, Phoenix</t>
  </si>
  <si>
    <t xml:space="preserve"> Building 2222, Rose Garden Ln, Phoenix</t>
  </si>
  <si>
    <t>BE 102566 - Building 2202, Rose Garden Ln, Phoenix</t>
  </si>
  <si>
    <t xml:space="preserve"> Building 2202, Rose Garden Ln, Phoenix</t>
  </si>
  <si>
    <t>BE 192010 - 99TH Ave &amp; BELL</t>
  </si>
  <si>
    <t xml:space="preserve"> 99TH Ave &amp; BELL</t>
  </si>
  <si>
    <t>BE 192156 - Rincon</t>
  </si>
  <si>
    <t>Rincon</t>
  </si>
  <si>
    <t>BE 198359 - Tucson Main Parking Garage</t>
  </si>
  <si>
    <t>Tucson Main Parking Garage</t>
  </si>
  <si>
    <t>BE 101969 - A Building, Chandler Campus</t>
  </si>
  <si>
    <t>AZ: Chandler - Chandler Campus - Bldg A</t>
  </si>
  <si>
    <t>BE 102493 - Pinnacle Peak Operation Center</t>
  </si>
  <si>
    <t>AZ: Phoenix - Pinnacle Peak Ops</t>
  </si>
  <si>
    <t>BE 191231 - North Alhambra</t>
  </si>
  <si>
    <t>CA: Alhambra - North Alhambra</t>
  </si>
  <si>
    <t>BE 144444 - La Cañada</t>
  </si>
  <si>
    <t>CA: La Canada - La Canada</t>
  </si>
  <si>
    <t>BE 199475 - Laguna Beach</t>
  </si>
  <si>
    <t>CA: Laguna Beach - LAGUNA BEACH</t>
  </si>
  <si>
    <t>BE 191839 - Mariners</t>
  </si>
  <si>
    <t>CA: Newport Beach - MARINERS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</si>
</sst>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%"/>
  </numFmts>
  <fonts count="64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4"/>
      <color rgb="FFFFFFFF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u/>
      <sz val="14"/>
      <color theme="10"/>
      <name val="Arial"/>
      <family val="2"/>
    </font>
    <font>
      <sz val="16"/>
      <name val="Arial"/>
      <family val="2"/>
    </font>
    <font>
      <sz val="14"/>
      <color theme="10"/>
      <name val="Arial"/>
      <family val="2"/>
    </font>
    <font>
      <sz val="11"/>
      <name val="Aptos"/>
      <family val="2"/>
    </font>
    <font>
      <sz val="11"/>
      <color rgb="FF000000"/>
      <name val="Aptos Narrow"/>
      <family val="2"/>
    </font>
    <font>
      <sz val="11"/>
      <color rgb="FF9C0006"/>
      <name val="Arial"/>
      <family val="2"/>
    </font>
    <font>
      <b/>
      <sz val="11"/>
      <name val="Aptos"/>
      <family val="2"/>
    </font>
    <font>
      <b/>
      <sz val="10"/>
      <name val="Calibri"/>
      <family val="2"/>
    </font>
    <font>
      <sz val="11"/>
      <color rgb="FF9C5700"/>
      <name val="Calibri"/>
      <family val="2"/>
    </font>
    <font>
      <sz val="11"/>
      <color rgb="FF9C0006"/>
      <name val="Calibri"/>
      <family val="2"/>
    </font>
    <font>
      <sz val="11"/>
      <name val="Calibri"/>
      <scheme val="minor"/>
    </font>
    <font>
      <b/>
      <sz val="11"/>
      <name val="Calibri"/>
      <scheme val="minor"/>
    </font>
    <font>
      <b/>
      <sz val="11"/>
      <color rgb="FFFF0000"/>
      <name val="Calibri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CBAD"/>
        <bgColor rgb="FFD9E1F2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EB9C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8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5" applyNumberFormat="0" applyAlignment="0" applyProtection="0"/>
    <xf numFmtId="0" fontId="16" fillId="9" borderId="6" applyNumberFormat="0" applyAlignment="0" applyProtection="0"/>
    <xf numFmtId="0" fontId="17" fillId="9" borderId="5" applyNumberFormat="0" applyAlignment="0" applyProtection="0"/>
    <xf numFmtId="0" fontId="18" fillId="0" borderId="7" applyNumberFormat="0" applyFill="0" applyAlignment="0" applyProtection="0"/>
    <xf numFmtId="0" fontId="19" fillId="1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11" borderId="9" applyNumberFormat="0" applyFont="0" applyAlignment="0" applyProtection="0"/>
    <xf numFmtId="0" fontId="36" fillId="0" borderId="0"/>
    <xf numFmtId="43" fontId="4" fillId="0" borderId="0" applyFont="0" applyFill="0" applyBorder="0" applyAlignment="0" applyProtection="0"/>
    <xf numFmtId="0" fontId="43" fillId="0" borderId="0" applyNumberFormat="0" applyFill="0" applyBorder="0" applyAlignment="0" applyProtection="0"/>
  </cellStyleXfs>
  <cellXfs count="272">
    <xf numFmtId="0" fontId="0" fillId="0" borderId="0" xfId="0"/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7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4" fillId="39" borderId="1" xfId="0" applyFont="1" applyFill="1" applyBorder="1" applyAlignment="1">
      <alignment horizontal="center" vertical="center"/>
    </xf>
    <xf numFmtId="0" fontId="4" fillId="0" borderId="0" xfId="0" applyFont="1"/>
    <xf numFmtId="164" fontId="28" fillId="44" borderId="0" xfId="1" applyNumberFormat="1" applyFont="1" applyFill="1" applyBorder="1" applyAlignment="1">
      <alignment horizontal="center" vertical="center" indent="1"/>
    </xf>
    <xf numFmtId="0" fontId="35" fillId="46" borderId="15" xfId="0" applyFont="1" applyFill="1" applyBorder="1"/>
    <xf numFmtId="0" fontId="35" fillId="0" borderId="0" xfId="0" applyFont="1"/>
    <xf numFmtId="0" fontId="35" fillId="46" borderId="0" xfId="0" applyFont="1" applyFill="1"/>
    <xf numFmtId="0" fontId="35" fillId="0" borderId="16" xfId="0" applyFont="1" applyBorder="1"/>
    <xf numFmtId="0" fontId="35" fillId="0" borderId="16" xfId="0" applyFont="1" applyBorder="1" applyAlignment="1">
      <alignment wrapText="1"/>
    </xf>
    <xf numFmtId="49" fontId="28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8" fillId="0" borderId="0" xfId="1" applyNumberFormat="1" applyFont="1" applyFill="1" applyBorder="1" applyAlignment="1">
      <alignment horizontal="center" vertical="center"/>
    </xf>
    <xf numFmtId="164" fontId="28" fillId="47" borderId="0" xfId="1" applyNumberFormat="1" applyFont="1" applyFill="1" applyBorder="1" applyAlignment="1">
      <alignment horizontal="center" vertical="center"/>
    </xf>
    <xf numFmtId="49" fontId="37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 wrapText="1"/>
    </xf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30" fillId="38" borderId="0" xfId="2" applyNumberFormat="1" applyFont="1" applyFill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0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49" fontId="38" fillId="38" borderId="0" xfId="2" applyNumberFormat="1" applyFont="1" applyFill="1" applyBorder="1" applyAlignment="1">
      <alignment vertical="top" wrapText="1"/>
    </xf>
    <xf numFmtId="49" fontId="39" fillId="0" borderId="0" xfId="0" applyNumberFormat="1" applyFont="1" applyAlignment="1">
      <alignment vertical="top" wrapText="1"/>
    </xf>
    <xf numFmtId="49" fontId="38" fillId="38" borderId="0" xfId="2" applyNumberFormat="1" applyFont="1" applyFill="1" applyAlignment="1">
      <alignment vertical="top" wrapText="1"/>
    </xf>
    <xf numFmtId="49" fontId="40" fillId="0" borderId="0" xfId="0" applyNumberFormat="1" applyFont="1" applyAlignment="1">
      <alignment vertical="top" wrapText="1"/>
    </xf>
    <xf numFmtId="164" fontId="28" fillId="0" borderId="0" xfId="1" applyNumberFormat="1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0" fontId="42" fillId="0" borderId="0" xfId="0" applyFont="1"/>
    <xf numFmtId="49" fontId="43" fillId="38" borderId="0" xfId="47" applyNumberFormat="1" applyFill="1" applyBorder="1" applyAlignment="1">
      <alignment vertical="top" wrapText="1"/>
    </xf>
    <xf numFmtId="0" fontId="43" fillId="0" borderId="0" xfId="47"/>
    <xf numFmtId="49" fontId="43" fillId="0" borderId="0" xfId="47" applyNumberFormat="1" applyAlignment="1">
      <alignment vertical="top" wrapText="1"/>
    </xf>
    <xf numFmtId="49" fontId="43" fillId="0" borderId="0" xfId="47" applyNumberFormat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49" fontId="43" fillId="38" borderId="0" xfId="47" applyNumberFormat="1" applyFill="1" applyAlignment="1">
      <alignment horizontal="left" vertical="top" wrapText="1"/>
    </xf>
    <xf numFmtId="49" fontId="43" fillId="0" borderId="0" xfId="47" applyNumberFormat="1" applyAlignment="1">
      <alignment horizontal="left" vertical="center" wrapText="1"/>
    </xf>
    <xf numFmtId="49" fontId="43" fillId="0" borderId="0" xfId="47" applyNumberFormat="1" applyAlignment="1">
      <alignment vertical="center" wrapText="1"/>
    </xf>
    <xf numFmtId="0" fontId="43" fillId="0" borderId="0" xfId="47" applyAlignment="1">
      <alignment horizontal="left" vertical="top"/>
    </xf>
    <xf numFmtId="49" fontId="43" fillId="38" borderId="0" xfId="47" applyNumberFormat="1" applyFill="1" applyBorder="1" applyAlignment="1">
      <alignment horizontal="left" vertical="top" wrapText="1"/>
    </xf>
    <xf numFmtId="0" fontId="0" fillId="48" borderId="0" xfId="0" applyFill="1" applyAlignment="1">
      <alignment horizontal="left" vertical="top"/>
    </xf>
    <xf numFmtId="0" fontId="40" fillId="0" borderId="0" xfId="0" applyFont="1" applyAlignment="1">
      <alignment wrapText="1"/>
    </xf>
    <xf numFmtId="3" fontId="30" fillId="0" borderId="0" xfId="1" applyNumberFormat="1" applyFont="1" applyFill="1" applyBorder="1" applyAlignment="1">
      <alignment horizontal="right" vertical="center"/>
    </xf>
    <xf numFmtId="49" fontId="2" fillId="0" borderId="0" xfId="0" applyNumberFormat="1" applyFont="1" applyAlignment="1">
      <alignment vertical="top" wrapText="1"/>
    </xf>
    <xf numFmtId="0" fontId="44" fillId="2" borderId="1" xfId="0" applyFont="1" applyFill="1" applyBorder="1" applyAlignment="1">
      <alignment horizontal="center" vertical="center" wrapText="1"/>
    </xf>
    <xf numFmtId="0" fontId="45" fillId="0" borderId="0" xfId="0" applyFont="1" applyAlignment="1">
      <alignment vertical="center"/>
    </xf>
    <xf numFmtId="0" fontId="46" fillId="0" borderId="0" xfId="0" applyFont="1"/>
    <xf numFmtId="3" fontId="46" fillId="36" borderId="1" xfId="0" applyNumberFormat="1" applyFont="1" applyFill="1" applyBorder="1" applyAlignment="1">
      <alignment horizontal="center" vertical="center"/>
    </xf>
    <xf numFmtId="9" fontId="46" fillId="36" borderId="1" xfId="0" applyNumberFormat="1" applyFont="1" applyFill="1" applyBorder="1" applyAlignment="1">
      <alignment horizontal="center" vertical="center"/>
    </xf>
    <xf numFmtId="3" fontId="46" fillId="36" borderId="1" xfId="1" applyNumberFormat="1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0" fontId="44" fillId="43" borderId="1" xfId="0" applyFont="1" applyFill="1" applyBorder="1" applyAlignment="1">
      <alignment horizontal="center" vertical="center" wrapText="1"/>
    </xf>
    <xf numFmtId="0" fontId="45" fillId="41" borderId="1" xfId="0" applyFont="1" applyFill="1" applyBorder="1" applyAlignment="1">
      <alignment horizontal="center" vertical="center" wrapText="1"/>
    </xf>
    <xf numFmtId="9" fontId="45" fillId="41" borderId="1" xfId="2" applyFont="1" applyFill="1" applyBorder="1" applyAlignment="1">
      <alignment horizontal="center" vertical="center" wrapText="1"/>
    </xf>
    <xf numFmtId="0" fontId="45" fillId="42" borderId="1" xfId="0" applyFont="1" applyFill="1" applyBorder="1" applyAlignment="1">
      <alignment horizontal="center"/>
    </xf>
    <xf numFmtId="0" fontId="45" fillId="42" borderId="1" xfId="0" applyFont="1" applyFill="1" applyBorder="1" applyAlignment="1">
      <alignment horizontal="center" vertical="center" wrapText="1"/>
    </xf>
    <xf numFmtId="9" fontId="45" fillId="42" borderId="1" xfId="2" applyFont="1" applyFill="1" applyBorder="1" applyAlignment="1">
      <alignment horizontal="center" vertical="center" wrapText="1"/>
    </xf>
    <xf numFmtId="0" fontId="45" fillId="45" borderId="1" xfId="0" applyFont="1" applyFill="1" applyBorder="1" applyAlignment="1">
      <alignment horizontal="center" vertical="center"/>
    </xf>
    <xf numFmtId="0" fontId="48" fillId="40" borderId="0" xfId="0" applyFont="1" applyFill="1" applyAlignment="1">
      <alignment horizontal="center"/>
    </xf>
    <xf numFmtId="0" fontId="49" fillId="40" borderId="0" xfId="0" applyFont="1" applyFill="1" applyAlignment="1">
      <alignment horizontal="center" vertical="center"/>
    </xf>
    <xf numFmtId="164" fontId="49" fillId="44" borderId="0" xfId="1" applyNumberFormat="1" applyFont="1" applyFill="1" applyBorder="1" applyAlignment="1">
      <alignment horizontal="center" vertical="center"/>
    </xf>
    <xf numFmtId="3" fontId="50" fillId="3" borderId="0" xfId="0" applyNumberFormat="1" applyFont="1" applyFill="1" applyAlignment="1">
      <alignment horizontal="right" vertical="center"/>
    </xf>
    <xf numFmtId="9" fontId="50" fillId="3" borderId="0" xfId="2" applyFont="1" applyFill="1" applyBorder="1" applyAlignment="1">
      <alignment horizontal="center" vertical="center"/>
    </xf>
    <xf numFmtId="3" fontId="50" fillId="4" borderId="0" xfId="1" applyNumberFormat="1" applyFont="1" applyFill="1" applyBorder="1" applyAlignment="1">
      <alignment vertical="center"/>
    </xf>
    <xf numFmtId="9" fontId="50" fillId="37" borderId="0" xfId="2" applyFont="1" applyFill="1" applyBorder="1" applyAlignment="1">
      <alignment horizontal="center" vertical="center"/>
    </xf>
    <xf numFmtId="49" fontId="50" fillId="38" borderId="0" xfId="2" applyNumberFormat="1" applyFont="1" applyFill="1" applyBorder="1" applyAlignment="1">
      <alignment horizontal="left" vertical="top" wrapText="1"/>
    </xf>
    <xf numFmtId="0" fontId="49" fillId="0" borderId="0" xfId="0" applyFont="1" applyAlignment="1">
      <alignment horizontal="center" vertical="center"/>
    </xf>
    <xf numFmtId="164" fontId="49" fillId="0" borderId="0" xfId="1" applyNumberFormat="1" applyFont="1" applyBorder="1" applyAlignment="1">
      <alignment horizontal="center" vertical="center"/>
    </xf>
    <xf numFmtId="3" fontId="50" fillId="0" borderId="0" xfId="0" applyNumberFormat="1" applyFont="1" applyAlignment="1">
      <alignment horizontal="right" vertical="center"/>
    </xf>
    <xf numFmtId="9" fontId="50" fillId="0" borderId="0" xfId="2" applyFont="1" applyFill="1" applyBorder="1" applyAlignment="1">
      <alignment horizontal="center" vertical="center"/>
    </xf>
    <xf numFmtId="3" fontId="50" fillId="0" borderId="0" xfId="1" applyNumberFormat="1" applyFont="1" applyFill="1" applyBorder="1" applyAlignment="1">
      <alignment horizontal="right"/>
    </xf>
    <xf numFmtId="3" fontId="50" fillId="0" borderId="0" xfId="1" applyNumberFormat="1" applyFont="1" applyFill="1" applyBorder="1" applyAlignment="1">
      <alignment vertical="center"/>
    </xf>
    <xf numFmtId="49" fontId="49" fillId="0" borderId="0" xfId="0" applyNumberFormat="1" applyFont="1" applyAlignment="1">
      <alignment horizontal="left" vertical="center" wrapText="1"/>
    </xf>
    <xf numFmtId="49" fontId="49" fillId="0" borderId="0" xfId="0" applyNumberFormat="1" applyFont="1" applyAlignment="1">
      <alignment horizontal="left" vertical="top" wrapText="1"/>
    </xf>
    <xf numFmtId="49" fontId="51" fillId="38" borderId="0" xfId="47" applyNumberFormat="1" applyFont="1" applyFill="1" applyBorder="1" applyAlignment="1">
      <alignment horizontal="left" vertical="top" wrapText="1"/>
    </xf>
    <xf numFmtId="49" fontId="51" fillId="0" borderId="0" xfId="47" applyNumberFormat="1" applyFont="1" applyAlignment="1">
      <alignment horizontal="left" vertical="top" wrapText="1"/>
    </xf>
    <xf numFmtId="0" fontId="51" fillId="0" borderId="0" xfId="47" applyFont="1"/>
    <xf numFmtId="0" fontId="48" fillId="0" borderId="0" xfId="0" applyFont="1" applyAlignment="1">
      <alignment wrapText="1"/>
    </xf>
    <xf numFmtId="0" fontId="50" fillId="0" borderId="0" xfId="0" applyFont="1" applyAlignment="1">
      <alignment horizontal="center"/>
    </xf>
    <xf numFmtId="0" fontId="50" fillId="0" borderId="0" xfId="0" applyFont="1"/>
    <xf numFmtId="9" fontId="50" fillId="0" borderId="0" xfId="2" applyFont="1" applyAlignment="1">
      <alignment horizontal="center"/>
    </xf>
    <xf numFmtId="0" fontId="46" fillId="0" borderId="0" xfId="0" applyFont="1" applyAlignment="1">
      <alignment horizontal="center"/>
    </xf>
    <xf numFmtId="9" fontId="46" fillId="0" borderId="0" xfId="2" applyFont="1" applyAlignment="1">
      <alignment horizontal="center"/>
    </xf>
    <xf numFmtId="0" fontId="52" fillId="0" borderId="0" xfId="0" applyFont="1"/>
    <xf numFmtId="0" fontId="46" fillId="0" borderId="0" xfId="0" applyFont="1" applyAlignment="1">
      <alignment wrapText="1"/>
    </xf>
    <xf numFmtId="0" fontId="46" fillId="0" borderId="0" xfId="0" applyFont="1" applyAlignment="1">
      <alignment horizontal="center" vertical="center"/>
    </xf>
    <xf numFmtId="0" fontId="46" fillId="0" borderId="0" xfId="0" quotePrefix="1" applyFont="1" applyAlignment="1">
      <alignment horizontal="center" vertical="center"/>
    </xf>
    <xf numFmtId="165" fontId="46" fillId="0" borderId="0" xfId="0" applyNumberFormat="1" applyFont="1"/>
    <xf numFmtId="0" fontId="46" fillId="0" borderId="0" xfId="0" applyFont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left" vertical="top" wrapText="1"/>
    </xf>
    <xf numFmtId="0" fontId="29" fillId="49" borderId="17" xfId="0" applyFont="1" applyFill="1" applyBorder="1"/>
    <xf numFmtId="0" fontId="29" fillId="49" borderId="18" xfId="0" applyFont="1" applyFill="1" applyBorder="1"/>
    <xf numFmtId="0" fontId="35" fillId="46" borderId="17" xfId="0" applyFont="1" applyFill="1" applyBorder="1"/>
    <xf numFmtId="0" fontId="35" fillId="46" borderId="18" xfId="0" applyFont="1" applyFill="1" applyBorder="1"/>
    <xf numFmtId="0" fontId="35" fillId="0" borderId="17" xfId="0" applyFont="1" applyBorder="1"/>
    <xf numFmtId="0" fontId="35" fillId="0" borderId="18" xfId="0" applyFont="1" applyBorder="1"/>
    <xf numFmtId="0" fontId="55" fillId="0" borderId="0" xfId="0" applyFont="1"/>
    <xf numFmtId="0" fontId="24" fillId="0" borderId="0" xfId="0" applyFont="1"/>
    <xf numFmtId="10" fontId="55" fillId="0" borderId="0" xfId="0" applyNumberFormat="1" applyFont="1"/>
    <xf numFmtId="0" fontId="29" fillId="50" borderId="1" xfId="0" applyFont="1" applyFill="1" applyBorder="1" applyAlignment="1">
      <alignment wrapText="1"/>
    </xf>
    <xf numFmtId="0" fontId="24" fillId="51" borderId="14" xfId="0" applyFont="1" applyFill="1" applyBorder="1" applyAlignment="1">
      <alignment wrapText="1"/>
    </xf>
    <xf numFmtId="0" fontId="24" fillId="52" borderId="14" xfId="0" applyFont="1" applyFill="1" applyBorder="1"/>
    <xf numFmtId="0" fontId="24" fillId="52" borderId="14" xfId="0" applyFont="1" applyFill="1" applyBorder="1" applyAlignment="1">
      <alignment wrapText="1"/>
    </xf>
    <xf numFmtId="3" fontId="25" fillId="53" borderId="19" xfId="0" applyNumberFormat="1" applyFont="1" applyFill="1" applyBorder="1"/>
    <xf numFmtId="3" fontId="25" fillId="53" borderId="20" xfId="0" applyNumberFormat="1" applyFont="1" applyFill="1" applyBorder="1"/>
    <xf numFmtId="9" fontId="25" fillId="53" borderId="20" xfId="0" applyNumberFormat="1" applyFont="1" applyFill="1" applyBorder="1"/>
    <xf numFmtId="9" fontId="56" fillId="54" borderId="20" xfId="0" applyNumberFormat="1" applyFont="1" applyFill="1" applyBorder="1"/>
    <xf numFmtId="0" fontId="0" fillId="55" borderId="0" xfId="0" applyFill="1"/>
    <xf numFmtId="9" fontId="31" fillId="0" borderId="0" xfId="2" applyFont="1" applyFill="1" applyAlignment="1">
      <alignment horizontal="center"/>
    </xf>
    <xf numFmtId="0" fontId="0" fillId="56" borderId="0" xfId="0" applyFill="1"/>
    <xf numFmtId="0" fontId="57" fillId="0" borderId="0" xfId="0" applyFont="1" applyAlignment="1">
      <alignment vertical="center"/>
    </xf>
    <xf numFmtId="0" fontId="58" fillId="0" borderId="0" xfId="0" applyFont="1"/>
    <xf numFmtId="0" fontId="34" fillId="0" borderId="21" xfId="0" applyFont="1" applyBorder="1" applyAlignment="1">
      <alignment horizontal="center"/>
    </xf>
    <xf numFmtId="0" fontId="28" fillId="0" borderId="21" xfId="0" applyFont="1" applyBorder="1" applyAlignment="1">
      <alignment horizontal="center" vertical="center"/>
    </xf>
    <xf numFmtId="164" fontId="28" fillId="0" borderId="21" xfId="1" applyNumberFormat="1" applyFont="1" applyFill="1" applyBorder="1" applyAlignment="1">
      <alignment horizontal="center" vertical="center"/>
    </xf>
    <xf numFmtId="3" fontId="30" fillId="0" borderId="21" xfId="0" applyNumberFormat="1" applyFont="1" applyBorder="1" applyAlignment="1">
      <alignment horizontal="right" vertical="center"/>
    </xf>
    <xf numFmtId="9" fontId="30" fillId="0" borderId="21" xfId="2" applyFont="1" applyFill="1" applyBorder="1" applyAlignment="1">
      <alignment horizontal="center" vertical="center"/>
    </xf>
    <xf numFmtId="3" fontId="30" fillId="0" borderId="21" xfId="1" applyNumberFormat="1" applyFont="1" applyFill="1" applyBorder="1" applyAlignment="1">
      <alignment vertical="center"/>
    </xf>
    <xf numFmtId="49" fontId="30" fillId="0" borderId="21" xfId="2" applyNumberFormat="1" applyFont="1" applyFill="1" applyBorder="1" applyAlignment="1">
      <alignment vertical="top" wrapText="1"/>
    </xf>
    <xf numFmtId="0" fontId="0" fillId="0" borderId="21" xfId="0" applyBorder="1" applyAlignment="1">
      <alignment horizontal="left" vertical="top"/>
    </xf>
    <xf numFmtId="0" fontId="27" fillId="0" borderId="21" xfId="0" applyFont="1" applyBorder="1" applyAlignment="1">
      <alignment horizontal="center" vertical="center"/>
    </xf>
    <xf numFmtId="3" fontId="30" fillId="0" borderId="21" xfId="1" applyNumberFormat="1" applyFont="1" applyFill="1" applyBorder="1" applyAlignment="1">
      <alignment horizontal="right"/>
    </xf>
    <xf numFmtId="49" fontId="28" fillId="0" borderId="21" xfId="0" applyNumberFormat="1" applyFont="1" applyBorder="1" applyAlignment="1">
      <alignment horizontal="left" vertical="center" wrapText="1"/>
    </xf>
    <xf numFmtId="49" fontId="28" fillId="0" borderId="21" xfId="0" applyNumberFormat="1" applyFont="1" applyBorder="1" applyAlignment="1">
      <alignment vertical="top" wrapText="1"/>
    </xf>
    <xf numFmtId="49" fontId="30" fillId="0" borderId="21" xfId="2" applyNumberFormat="1" applyFont="1" applyFill="1" applyBorder="1" applyAlignment="1">
      <alignment horizontal="left" vertical="top" wrapText="1"/>
    </xf>
    <xf numFmtId="49" fontId="43" fillId="0" borderId="21" xfId="47" applyNumberFormat="1" applyFill="1" applyBorder="1" applyAlignment="1">
      <alignment vertical="top" wrapText="1"/>
    </xf>
    <xf numFmtId="0" fontId="27" fillId="55" borderId="21" xfId="0" applyFont="1" applyFill="1" applyBorder="1" applyAlignment="1">
      <alignment horizontal="center" vertical="center"/>
    </xf>
    <xf numFmtId="0" fontId="28" fillId="55" borderId="21" xfId="0" applyFont="1" applyFill="1" applyBorder="1" applyAlignment="1">
      <alignment horizontal="center" vertical="center"/>
    </xf>
    <xf numFmtId="164" fontId="28" fillId="55" borderId="21" xfId="1" applyNumberFormat="1" applyFont="1" applyFill="1" applyBorder="1" applyAlignment="1">
      <alignment horizontal="center" vertical="center"/>
    </xf>
    <xf numFmtId="3" fontId="30" fillId="55" borderId="21" xfId="0" applyNumberFormat="1" applyFont="1" applyFill="1" applyBorder="1" applyAlignment="1">
      <alignment horizontal="right" vertical="center"/>
    </xf>
    <xf numFmtId="9" fontId="30" fillId="55" borderId="21" xfId="2" applyFont="1" applyFill="1" applyBorder="1" applyAlignment="1">
      <alignment horizontal="center" vertical="center"/>
    </xf>
    <xf numFmtId="3" fontId="30" fillId="55" borderId="21" xfId="1" applyNumberFormat="1" applyFont="1" applyFill="1" applyBorder="1" applyAlignment="1">
      <alignment vertical="center"/>
    </xf>
    <xf numFmtId="49" fontId="30" fillId="55" borderId="21" xfId="2" applyNumberFormat="1" applyFont="1" applyFill="1" applyBorder="1" applyAlignment="1">
      <alignment vertical="top" wrapText="1"/>
    </xf>
    <xf numFmtId="49" fontId="43" fillId="55" borderId="21" xfId="47" applyNumberFormat="1" applyFill="1" applyBorder="1" applyAlignment="1">
      <alignment vertical="top" wrapText="1"/>
    </xf>
    <xf numFmtId="0" fontId="43" fillId="0" borderId="21" xfId="47" applyFill="1" applyBorder="1" applyAlignment="1">
      <alignment horizontal="left" vertical="top"/>
    </xf>
    <xf numFmtId="49" fontId="28" fillId="55" borderId="21" xfId="0" applyNumberFormat="1" applyFont="1" applyFill="1" applyBorder="1" applyAlignment="1">
      <alignment vertical="top" wrapText="1"/>
    </xf>
    <xf numFmtId="49" fontId="28" fillId="0" borderId="21" xfId="0" applyNumberFormat="1" applyFont="1" applyBorder="1" applyAlignment="1">
      <alignment horizontal="left" vertical="top" wrapText="1"/>
    </xf>
    <xf numFmtId="49" fontId="43" fillId="0" borderId="21" xfId="47" applyNumberFormat="1" applyFill="1" applyBorder="1" applyAlignment="1">
      <alignment horizontal="left" vertical="top" wrapText="1"/>
    </xf>
    <xf numFmtId="49" fontId="28" fillId="0" borderId="21" xfId="0" applyNumberFormat="1" applyFont="1" applyBorder="1" applyAlignment="1">
      <alignment vertical="center" wrapText="1"/>
    </xf>
    <xf numFmtId="49" fontId="27" fillId="0" borderId="21" xfId="0" applyNumberFormat="1" applyFont="1" applyBorder="1" applyAlignment="1">
      <alignment vertical="center" wrapText="1"/>
    </xf>
    <xf numFmtId="0" fontId="27" fillId="56" borderId="21" xfId="0" applyFont="1" applyFill="1" applyBorder="1" applyAlignment="1">
      <alignment horizontal="center" vertical="center"/>
    </xf>
    <xf numFmtId="0" fontId="28" fillId="56" borderId="21" xfId="0" applyFont="1" applyFill="1" applyBorder="1" applyAlignment="1">
      <alignment horizontal="center" vertical="center"/>
    </xf>
    <xf numFmtId="164" fontId="28" fillId="56" borderId="21" xfId="1" applyNumberFormat="1" applyFont="1" applyFill="1" applyBorder="1" applyAlignment="1">
      <alignment horizontal="center" vertical="center"/>
    </xf>
    <xf numFmtId="3" fontId="30" fillId="56" borderId="21" xfId="0" applyNumberFormat="1" applyFont="1" applyFill="1" applyBorder="1" applyAlignment="1">
      <alignment horizontal="right" vertical="center"/>
    </xf>
    <xf numFmtId="9" fontId="30" fillId="56" borderId="21" xfId="2" applyFont="1" applyFill="1" applyBorder="1" applyAlignment="1">
      <alignment horizontal="center" vertical="center"/>
    </xf>
    <xf numFmtId="3" fontId="30" fillId="56" borderId="21" xfId="1" applyNumberFormat="1" applyFont="1" applyFill="1" applyBorder="1" applyAlignment="1">
      <alignment vertical="center"/>
    </xf>
    <xf numFmtId="49" fontId="28" fillId="56" borderId="21" xfId="0" applyNumberFormat="1" applyFont="1" applyFill="1" applyBorder="1" applyAlignment="1">
      <alignment vertical="center" wrapText="1"/>
    </xf>
    <xf numFmtId="49" fontId="27" fillId="56" borderId="21" xfId="0" applyNumberFormat="1" applyFont="1" applyFill="1" applyBorder="1" applyAlignment="1">
      <alignment vertical="center" wrapText="1"/>
    </xf>
    <xf numFmtId="49" fontId="30" fillId="56" borderId="21" xfId="2" applyNumberFormat="1" applyFont="1" applyFill="1" applyBorder="1" applyAlignment="1">
      <alignment vertical="top" wrapText="1"/>
    </xf>
    <xf numFmtId="49" fontId="43" fillId="56" borderId="21" xfId="47" applyNumberFormat="1" applyFill="1" applyBorder="1" applyAlignment="1">
      <alignment vertical="top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7" fillId="45" borderId="11" xfId="0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horizontal="right"/>
    </xf>
    <xf numFmtId="0" fontId="7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/>
    </xf>
    <xf numFmtId="0" fontId="7" fillId="45" borderId="1" xfId="0" applyFont="1" applyFill="1" applyBorder="1" applyAlignment="1">
      <alignment horizontal="left" vertical="top"/>
    </xf>
    <xf numFmtId="0" fontId="54" fillId="0" borderId="0" xfId="0" applyFont="1"/>
    <xf numFmtId="0" fontId="54" fillId="0" borderId="0" xfId="0" applyFont="1" applyAlignment="1">
      <alignment horizontal="left" vertical="center"/>
    </xf>
    <xf numFmtId="0" fontId="57" fillId="0" borderId="0" xfId="0" applyFont="1"/>
    <xf numFmtId="9" fontId="57" fillId="0" borderId="0" xfId="2" applyFont="1" applyAlignment="1">
      <alignment horizontal="center"/>
    </xf>
    <xf numFmtId="9" fontId="54" fillId="0" borderId="0" xfId="2" applyFont="1" applyAlignment="1">
      <alignment horizontal="center"/>
    </xf>
    <xf numFmtId="3" fontId="32" fillId="0" borderId="0" xfId="0" applyNumberFormat="1" applyFont="1"/>
    <xf numFmtId="3" fontId="37" fillId="57" borderId="0" xfId="0" applyNumberFormat="1" applyFont="1" applyFill="1" applyAlignment="1">
      <alignment horizontal="center" vertical="center"/>
    </xf>
    <xf numFmtId="3" fontId="30" fillId="58" borderId="0" xfId="0" applyNumberFormat="1" applyFont="1" applyFill="1" applyAlignment="1">
      <alignment horizontal="right" vertical="center"/>
    </xf>
    <xf numFmtId="0" fontId="30" fillId="58" borderId="0" xfId="0" applyFont="1" applyFill="1" applyAlignment="1">
      <alignment horizontal="right" vertical="center"/>
    </xf>
    <xf numFmtId="9" fontId="60" fillId="54" borderId="0" xfId="0" applyNumberFormat="1" applyFont="1" applyFill="1" applyAlignment="1">
      <alignment horizontal="center" vertical="center"/>
    </xf>
    <xf numFmtId="3" fontId="30" fillId="59" borderId="0" xfId="0" applyNumberFormat="1" applyFont="1" applyFill="1" applyAlignment="1">
      <alignment vertical="center"/>
    </xf>
    <xf numFmtId="0" fontId="30" fillId="60" borderId="0" xfId="0" applyFont="1" applyFill="1" applyAlignment="1">
      <alignment vertical="top" wrapText="1"/>
    </xf>
    <xf numFmtId="3" fontId="3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vertical="center"/>
    </xf>
    <xf numFmtId="9" fontId="59" fillId="61" borderId="0" xfId="0" applyNumberFormat="1" applyFont="1" applyFill="1" applyAlignment="1">
      <alignment horizontal="center" vertical="center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top" wrapText="1"/>
    </xf>
    <xf numFmtId="9" fontId="30" fillId="0" borderId="0" xfId="0" applyNumberFormat="1" applyFont="1" applyAlignment="1">
      <alignment horizontal="center" vertical="center"/>
    </xf>
    <xf numFmtId="0" fontId="37" fillId="57" borderId="0" xfId="0" applyFont="1" applyFill="1" applyAlignment="1">
      <alignment horizontal="center" vertical="center"/>
    </xf>
    <xf numFmtId="0" fontId="30" fillId="59" borderId="0" xfId="0" applyFont="1" applyFill="1" applyAlignment="1">
      <alignment vertical="center"/>
    </xf>
    <xf numFmtId="9" fontId="30" fillId="59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9" fontId="30" fillId="58" borderId="0" xfId="0" applyNumberFormat="1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43" fillId="60" borderId="0" xfId="47" applyFill="1" applyAlignment="1">
      <alignment vertical="top" wrapText="1"/>
    </xf>
    <xf numFmtId="0" fontId="43" fillId="0" borderId="0" xfId="47" applyAlignment="1">
      <alignment vertical="top" wrapText="1"/>
    </xf>
    <xf numFmtId="0" fontId="43" fillId="0" borderId="0" xfId="47" applyAlignment="1">
      <alignment horizontal="left" vertical="top" wrapText="1"/>
    </xf>
    <xf numFmtId="49" fontId="61" fillId="38" borderId="0" xfId="2" applyNumberFormat="1" applyFont="1" applyFill="1" applyBorder="1" applyAlignment="1">
      <alignment vertical="top" wrapText="1"/>
    </xf>
    <xf numFmtId="49" fontId="61" fillId="38" borderId="0" xfId="2" applyNumberFormat="1" applyFont="1" applyFill="1" applyAlignment="1">
      <alignment vertical="top" wrapText="1"/>
    </xf>
    <xf numFmtId="0" fontId="62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62" fillId="45" borderId="1" xfId="0" applyFont="1" applyFill="1" applyBorder="1" applyAlignment="1">
      <alignment horizontal="center" vertical="center"/>
    </xf>
    <xf numFmtId="0" fontId="61" fillId="0" borderId="0" xfId="0" applyFont="1"/>
    <xf numFmtId="0" fontId="61" fillId="0" borderId="0" xfId="0" applyFont="1" applyAlignment="1">
      <alignment vertical="top"/>
    </xf>
    <xf numFmtId="0" fontId="61" fillId="0" borderId="0" xfId="0" applyFont="1" applyAlignment="1">
      <alignment horizontal="left" vertical="top"/>
    </xf>
    <xf numFmtId="0" fontId="61" fillId="0" borderId="0" xfId="0" applyFont="1" applyAlignment="1">
      <alignment horizontal="left" vertical="top" wrapText="1"/>
    </xf>
    <xf numFmtId="49" fontId="43" fillId="38" borderId="0" xfId="47" applyNumberFormat="1" applyFill="1" applyAlignment="1">
      <alignment vertical="top" wrapText="1"/>
    </xf>
    <xf numFmtId="0" fontId="0" fillId="0" borderId="0" xfId="0" applyAlignment="1">
      <alignment vertical="top"/>
    </xf>
    <xf numFmtId="164" fontId="28" fillId="0" borderId="0" xfId="1" applyNumberFormat="1" applyFont="1" applyBorder="1" applyAlignment="1">
      <alignment horizontal="right"/>
    </xf>
    <xf numFmtId="164" fontId="28" fillId="0" borderId="0" xfId="1" applyNumberFormat="1" applyFont="1" applyBorder="1" applyAlignment="1">
      <alignment horizontal="right" vertical="center"/>
    </xf>
    <xf numFmtId="49" fontId="27" fillId="0" borderId="0" xfId="0" applyNumberFormat="1" applyFont="1" applyAlignment="1">
      <alignment vertical="top" wrapText="1"/>
    </xf>
    <xf numFmtId="0" fontId="55" fillId="0" borderId="0" xfId="0" applyFont="1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 wrapText="1"/>
    </xf>
    <xf numFmtId="0" fontId="45" fillId="3" borderId="1" xfId="0" applyFont="1" applyFill="1" applyBorder="1" applyAlignment="1">
      <alignment horizontal="center" vertical="center"/>
    </xf>
    <xf numFmtId="0" fontId="45" fillId="39" borderId="1" xfId="0" applyFont="1" applyFill="1" applyBorder="1" applyAlignment="1">
      <alignment horizontal="center" vertical="center"/>
    </xf>
    <xf numFmtId="0" fontId="53" fillId="0" borderId="0" xfId="47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top" wrapText="1"/>
    </xf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167868</xdr:colOff>
      <xdr:row>19</xdr:row>
      <xdr:rowOff>76201</xdr:rowOff>
    </xdr:from>
    <xdr:to>
      <xdr:col>21</xdr:col>
      <xdr:colOff>324903</xdr:colOff>
      <xdr:row>30</xdr:row>
      <xdr:rowOff>107951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BC7352-9E79-8144-D56F-0FFF5C120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4918" y="3752851"/>
          <a:ext cx="6253035" cy="20764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5135F35E-81D7-42FB-912D-64B7957596A0}" userId="S::kusumapotlada@amgsol.com::a4794fd0-fb2a-418d-b379-bb3c7e6c0e3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90" totalsRowShown="0">
  <autoFilter ref="A3:E90" xr:uid="{C9C95D9E-67ED-41E0-9F41-9C3DA4ACF4CD}"/>
  <sortState xmlns:xlrd2="http://schemas.microsoft.com/office/spreadsheetml/2017/richdata2" ref="A4:E68">
    <sortCondition ref="C3:C68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4" dT="2025-12-04T05:58:23.97" personId="{5135F35E-81D7-42FB-912D-64B7957596A0}" id="{EE5B06D0-94D1-470F-9DE9-BE6BDE5C4E13}">
    <text>Actual energy is taken from total inverters data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84" dT="2026-01-07T03:55:47.82" personId="{5135F35E-81D7-42FB-912D-64B7957596A0}" id="{1609F2C4-F5CB-40A3-9AF8-B04F56E06930}">
    <text>Actual energy is taken from total inverters data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4853" TargetMode="External"/><Relationship Id="rId2" Type="http://schemas.openxmlformats.org/officeDocument/2006/relationships/hyperlink" Target="https://us3.assetplanner.com/service_request?ID=08826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5" Type="http://schemas.openxmlformats.org/officeDocument/2006/relationships/hyperlink" Target="https://us3.assetplanner.com/service_request?ID=090252" TargetMode="External"/><Relationship Id="rId4" Type="http://schemas.openxmlformats.org/officeDocument/2006/relationships/hyperlink" Target="https://us3.assetplanner.com/service_request?ID=077700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801" TargetMode="External"/><Relationship Id="rId2" Type="http://schemas.openxmlformats.org/officeDocument/2006/relationships/hyperlink" Target="https://us3.assetplanner.com/service_request?ID=088261" TargetMode="External"/><Relationship Id="rId1" Type="http://schemas.openxmlformats.org/officeDocument/2006/relationships/hyperlink" Target="https://us3.assetplanner.com/service_request?ID=091496" TargetMode="External"/><Relationship Id="rId5" Type="http://schemas.openxmlformats.org/officeDocument/2006/relationships/hyperlink" Target="https://us3.assetplanner.com/service_request?ID=088667" TargetMode="External"/><Relationship Id="rId4" Type="http://schemas.openxmlformats.org/officeDocument/2006/relationships/hyperlink" Target="https://us3.assetplanner.com/service_request?ID=09714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782" TargetMode="External"/><Relationship Id="rId2" Type="http://schemas.openxmlformats.org/officeDocument/2006/relationships/hyperlink" Target="https://us3.assetplanner.com/service_request?ID=097801" TargetMode="External"/><Relationship Id="rId1" Type="http://schemas.openxmlformats.org/officeDocument/2006/relationships/hyperlink" Target="https://us3.assetplanner.com/service_request?ID=091496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1496" TargetMode="External"/><Relationship Id="rId2" Type="http://schemas.openxmlformats.org/officeDocument/2006/relationships/hyperlink" Target="https://us3.assetplanner.com/service_request?ID=099548" TargetMode="External"/><Relationship Id="rId1" Type="http://schemas.openxmlformats.org/officeDocument/2006/relationships/hyperlink" Target="https://us3.assetplanner.com/service_request?ID=097801" TargetMode="External"/><Relationship Id="rId4" Type="http://schemas.openxmlformats.org/officeDocument/2006/relationships/hyperlink" Target="https://us3.assetplanner.com/service_request?ID=100421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us3.assetplanner.com/service_request?ID=099548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548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us3.assetplanner.com/service_request?ID=101743" TargetMode="External"/><Relationship Id="rId1" Type="http://schemas.openxmlformats.org/officeDocument/2006/relationships/hyperlink" Target="https://us3.assetplanner.com/service_request?ID=099548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548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548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77700" TargetMode="External"/><Relationship Id="rId13" Type="http://schemas.openxmlformats.org/officeDocument/2006/relationships/hyperlink" Target="https://us3.assetplanner.com/service_request?ID=109637" TargetMode="External"/><Relationship Id="rId18" Type="http://schemas.openxmlformats.org/officeDocument/2006/relationships/hyperlink" Target="https://us3.assetplanner.com/service_request?ID=108795" TargetMode="External"/><Relationship Id="rId26" Type="http://schemas.openxmlformats.org/officeDocument/2006/relationships/hyperlink" Target="https://us3.assetplanner.com/service_request?ID=107486" TargetMode="External"/><Relationship Id="rId3" Type="http://schemas.openxmlformats.org/officeDocument/2006/relationships/hyperlink" Target="https://us3.assetplanner.com/service_request?ID=104629" TargetMode="External"/><Relationship Id="rId21" Type="http://schemas.openxmlformats.org/officeDocument/2006/relationships/hyperlink" Target="https://us3.assetplanner.com/service_request?ID=108243" TargetMode="External"/><Relationship Id="rId7" Type="http://schemas.openxmlformats.org/officeDocument/2006/relationships/hyperlink" Target="https://us3.assetplanner.com/service_request?ID=107668" TargetMode="External"/><Relationship Id="rId12" Type="http://schemas.openxmlformats.org/officeDocument/2006/relationships/hyperlink" Target="https://us3.assetplanner.com/service_request?ID=105331" TargetMode="External"/><Relationship Id="rId17" Type="http://schemas.openxmlformats.org/officeDocument/2006/relationships/hyperlink" Target="https://us3.assetplanner.com/service_request?ID=100592" TargetMode="External"/><Relationship Id="rId25" Type="http://schemas.openxmlformats.org/officeDocument/2006/relationships/hyperlink" Target="https://us3.assetplanner.com/service_request?ID=107171" TargetMode="External"/><Relationship Id="rId2" Type="http://schemas.openxmlformats.org/officeDocument/2006/relationships/hyperlink" Target="https://us3.assetplanner.com/service_request?ID=101247" TargetMode="External"/><Relationship Id="rId16" Type="http://schemas.openxmlformats.org/officeDocument/2006/relationships/hyperlink" Target="https://us3.assetplanner.com/service_request?ID=109804" TargetMode="External"/><Relationship Id="rId20" Type="http://schemas.openxmlformats.org/officeDocument/2006/relationships/hyperlink" Target="https://us3.assetplanner.com/service_request?ID=109508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101743" TargetMode="External"/><Relationship Id="rId11" Type="http://schemas.openxmlformats.org/officeDocument/2006/relationships/hyperlink" Target="https://us3.assetplanner.com/service_request?ID=105483" TargetMode="External"/><Relationship Id="rId24" Type="http://schemas.openxmlformats.org/officeDocument/2006/relationships/hyperlink" Target="https://us3.assetplanner.com/service_request?ID=104656" TargetMode="External"/><Relationship Id="rId5" Type="http://schemas.openxmlformats.org/officeDocument/2006/relationships/hyperlink" Target="https://us3.assetplanner.com/service_request?ID=110707" TargetMode="External"/><Relationship Id="rId15" Type="http://schemas.openxmlformats.org/officeDocument/2006/relationships/hyperlink" Target="https://us3.assetplanner.com/service_request?ID=091644" TargetMode="External"/><Relationship Id="rId23" Type="http://schemas.openxmlformats.org/officeDocument/2006/relationships/hyperlink" Target="https://us3.assetplanner.com/service_request?ID=106526" TargetMode="External"/><Relationship Id="rId10" Type="http://schemas.openxmlformats.org/officeDocument/2006/relationships/hyperlink" Target="https://us3.assetplanner.com/service_request?ID=105331" TargetMode="External"/><Relationship Id="rId19" Type="http://schemas.openxmlformats.org/officeDocument/2006/relationships/hyperlink" Target="https://us3.assetplanner.com/service_request?ID=100593" TargetMode="External"/><Relationship Id="rId4" Type="http://schemas.openxmlformats.org/officeDocument/2006/relationships/hyperlink" Target="https://us3.assetplanner.com/service_request?ID=105604" TargetMode="External"/><Relationship Id="rId9" Type="http://schemas.openxmlformats.org/officeDocument/2006/relationships/hyperlink" Target="https://us3.assetplanner.com/service_request?ID=098782" TargetMode="External"/><Relationship Id="rId14" Type="http://schemas.openxmlformats.org/officeDocument/2006/relationships/hyperlink" Target="https://us3.assetplanner.com/service_request?ID=088678" TargetMode="External"/><Relationship Id="rId22" Type="http://schemas.openxmlformats.org/officeDocument/2006/relationships/hyperlink" Target="https://us3.assetplanner.com/service_request?ID=097581" TargetMode="External"/><Relationship Id="rId27" Type="http://schemas.openxmlformats.org/officeDocument/2006/relationships/hyperlink" Target="https://us3.assetplanner.com/service_request?ID=104705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us3.assetplanner.com/service_request?ID=098782" TargetMode="External"/><Relationship Id="rId18" Type="http://schemas.openxmlformats.org/officeDocument/2006/relationships/hyperlink" Target="https://us3.assetplanner.com/service_request?ID=111319" TargetMode="External"/><Relationship Id="rId26" Type="http://schemas.openxmlformats.org/officeDocument/2006/relationships/hyperlink" Target="https://us3.assetplanner.com/service_request?ID=111320" TargetMode="External"/><Relationship Id="rId3" Type="http://schemas.openxmlformats.org/officeDocument/2006/relationships/hyperlink" Target="https://us3.assetplanner.com/service_request?ID=101247" TargetMode="External"/><Relationship Id="rId21" Type="http://schemas.openxmlformats.org/officeDocument/2006/relationships/hyperlink" Target="https://us3.assetplanner.com/service_request?ID=100593" TargetMode="External"/><Relationship Id="rId34" Type="http://schemas.microsoft.com/office/2017/10/relationships/threadedComment" Target="../threadedComments/threadedComment1.xml"/><Relationship Id="rId7" Type="http://schemas.openxmlformats.org/officeDocument/2006/relationships/hyperlink" Target="https://us3.assetplanner.com/service_request?ID=111494" TargetMode="External"/><Relationship Id="rId12" Type="http://schemas.openxmlformats.org/officeDocument/2006/relationships/hyperlink" Target="https://us3.assetplanner.com/service_request?ID=077700" TargetMode="External"/><Relationship Id="rId17" Type="http://schemas.openxmlformats.org/officeDocument/2006/relationships/hyperlink" Target="https://us3.assetplanner.com/service_request?ID=105331" TargetMode="External"/><Relationship Id="rId25" Type="http://schemas.openxmlformats.org/officeDocument/2006/relationships/hyperlink" Target="https://us3.assetplanner.com/service_request?ID=107486" TargetMode="External"/><Relationship Id="rId33" Type="http://schemas.openxmlformats.org/officeDocument/2006/relationships/comments" Target="../comments1.xml"/><Relationship Id="rId2" Type="http://schemas.openxmlformats.org/officeDocument/2006/relationships/hyperlink" Target="https://us3.assetplanner.com/service_request?ID=099548" TargetMode="External"/><Relationship Id="rId16" Type="http://schemas.openxmlformats.org/officeDocument/2006/relationships/hyperlink" Target="https://us3.assetplanner.com/service_request?ID=105483" TargetMode="External"/><Relationship Id="rId20" Type="http://schemas.openxmlformats.org/officeDocument/2006/relationships/hyperlink" Target="https://us3.assetplanner.com/service_request?ID=108795" TargetMode="External"/><Relationship Id="rId29" Type="http://schemas.openxmlformats.org/officeDocument/2006/relationships/hyperlink" Target="https://us3.assetplanner.com/service_request?ID=112289" TargetMode="External"/><Relationship Id="rId1" Type="http://schemas.openxmlformats.org/officeDocument/2006/relationships/hyperlink" Target="https://us3.assetplanner.com/service_request?ID=111329" TargetMode="External"/><Relationship Id="rId6" Type="http://schemas.openxmlformats.org/officeDocument/2006/relationships/hyperlink" Target="https://us3.assetplanner.com/service_request?ID=105604" TargetMode="External"/><Relationship Id="rId11" Type="http://schemas.openxmlformats.org/officeDocument/2006/relationships/hyperlink" Target="https://us3.assetplanner.com/service_request?ID=088667" TargetMode="External"/><Relationship Id="rId24" Type="http://schemas.openxmlformats.org/officeDocument/2006/relationships/hyperlink" Target="https://us3.assetplanner.com/service_request?ID=106526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https://us3.assetplanner.com/service_request?ID=104629" TargetMode="External"/><Relationship Id="rId15" Type="http://schemas.openxmlformats.org/officeDocument/2006/relationships/hyperlink" Target="https://us3.assetplanner.com/service_request?ID=105331" TargetMode="External"/><Relationship Id="rId23" Type="http://schemas.openxmlformats.org/officeDocument/2006/relationships/hyperlink" Target="https://us3.assetplanner.com/service_request?ID=097581" TargetMode="External"/><Relationship Id="rId28" Type="http://schemas.openxmlformats.org/officeDocument/2006/relationships/hyperlink" Target="https://us3.assetplanner.com/service_request?ID=112285" TargetMode="External"/><Relationship Id="rId10" Type="http://schemas.openxmlformats.org/officeDocument/2006/relationships/hyperlink" Target="https://us3.assetplanner.com/service_request?ID=107668" TargetMode="External"/><Relationship Id="rId19" Type="http://schemas.openxmlformats.org/officeDocument/2006/relationships/hyperlink" Target="https://us3.assetplanner.com/service_request?ID=109804" TargetMode="External"/><Relationship Id="rId31" Type="http://schemas.openxmlformats.org/officeDocument/2006/relationships/printerSettings" Target="../printerSettings/printerSettings7.bin"/><Relationship Id="rId4" Type="http://schemas.openxmlformats.org/officeDocument/2006/relationships/hyperlink" Target="https://us3.assetplanner.com/service_request?ID=111981" TargetMode="External"/><Relationship Id="rId9" Type="http://schemas.openxmlformats.org/officeDocument/2006/relationships/hyperlink" Target="https://us3.assetplanner.com/service_request?ID=101743" TargetMode="External"/><Relationship Id="rId14" Type="http://schemas.openxmlformats.org/officeDocument/2006/relationships/hyperlink" Target="https://us3.assetplanner.com/service_request?ID=105482" TargetMode="External"/><Relationship Id="rId22" Type="http://schemas.openxmlformats.org/officeDocument/2006/relationships/hyperlink" Target="https://us3.assetplanner.com/service_request?ID=111323" TargetMode="External"/><Relationship Id="rId27" Type="http://schemas.openxmlformats.org/officeDocument/2006/relationships/hyperlink" Target="https://us3.assetplanner.com/service_request?ID=104705" TargetMode="External"/><Relationship Id="rId30" Type="http://schemas.openxmlformats.org/officeDocument/2006/relationships/hyperlink" Target="https://us3.assetplanner.com/service_request?ID=112290" TargetMode="External"/><Relationship Id="rId8" Type="http://schemas.openxmlformats.org/officeDocument/2006/relationships/hyperlink" Target="https://us3.assetplanner.com/service_request?ID=110707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7670" TargetMode="External"/><Relationship Id="rId13" Type="http://schemas.openxmlformats.org/officeDocument/2006/relationships/hyperlink" Target="https://us3.assetplanner.com/service_request?ID=105483" TargetMode="External"/><Relationship Id="rId18" Type="http://schemas.openxmlformats.org/officeDocument/2006/relationships/hyperlink" Target="https://us3.assetplanner.com/service_request?ID=113672" TargetMode="External"/><Relationship Id="rId26" Type="http://schemas.openxmlformats.org/officeDocument/2006/relationships/vmlDrawing" Target="../drawings/vmlDrawing2.vml"/><Relationship Id="rId3" Type="http://schemas.openxmlformats.org/officeDocument/2006/relationships/hyperlink" Target="https://us3.assetplanner.com/service_request?ID=104629" TargetMode="External"/><Relationship Id="rId21" Type="http://schemas.openxmlformats.org/officeDocument/2006/relationships/hyperlink" Target="https://us3.assetplanner.com/service_request?ID=106526" TargetMode="External"/><Relationship Id="rId7" Type="http://schemas.openxmlformats.org/officeDocument/2006/relationships/hyperlink" Target="https://us3.assetplanner.com/service_request?ID=107668" TargetMode="External"/><Relationship Id="rId12" Type="http://schemas.openxmlformats.org/officeDocument/2006/relationships/hyperlink" Target="https://us3.assetplanner.com/service_request?ID=105482" TargetMode="External"/><Relationship Id="rId17" Type="http://schemas.openxmlformats.org/officeDocument/2006/relationships/hyperlink" Target="https://us3.assetplanner.com/service_request?ID=100593" TargetMode="External"/><Relationship Id="rId25" Type="http://schemas.openxmlformats.org/officeDocument/2006/relationships/hyperlink" Target="https://us3.assetplanner.com/service_request?ID=112290" TargetMode="External"/><Relationship Id="rId2" Type="http://schemas.openxmlformats.org/officeDocument/2006/relationships/hyperlink" Target="https://us3.assetplanner.com/service_request?ID=101247" TargetMode="External"/><Relationship Id="rId16" Type="http://schemas.openxmlformats.org/officeDocument/2006/relationships/hyperlink" Target="https://us3.assetplanner.com/service_request?ID=108795" TargetMode="External"/><Relationship Id="rId20" Type="http://schemas.openxmlformats.org/officeDocument/2006/relationships/hyperlink" Target="https://us3.assetplanner.com/service_request?ID=097581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101743" TargetMode="External"/><Relationship Id="rId11" Type="http://schemas.openxmlformats.org/officeDocument/2006/relationships/hyperlink" Target="https://us3.assetplanner.com/service_request?ID=098782" TargetMode="External"/><Relationship Id="rId24" Type="http://schemas.openxmlformats.org/officeDocument/2006/relationships/hyperlink" Target="https://us3.assetplanner.com/service_request?ID=112285" TargetMode="External"/><Relationship Id="rId5" Type="http://schemas.openxmlformats.org/officeDocument/2006/relationships/hyperlink" Target="https://us3.assetplanner.com/service_request?ID=110707" TargetMode="External"/><Relationship Id="rId15" Type="http://schemas.openxmlformats.org/officeDocument/2006/relationships/hyperlink" Target="https://us3.assetplanner.com/service_request?ID=109804" TargetMode="External"/><Relationship Id="rId23" Type="http://schemas.openxmlformats.org/officeDocument/2006/relationships/hyperlink" Target="https://us3.assetplanner.com/service_request?ID=104705" TargetMode="External"/><Relationship Id="rId28" Type="http://schemas.microsoft.com/office/2017/10/relationships/threadedComment" Target="../threadedComments/threadedComment2.xml"/><Relationship Id="rId10" Type="http://schemas.openxmlformats.org/officeDocument/2006/relationships/hyperlink" Target="https://us3.assetplanner.com/service_request?ID=113568" TargetMode="External"/><Relationship Id="rId19" Type="http://schemas.openxmlformats.org/officeDocument/2006/relationships/hyperlink" Target="https://us3.assetplanner.com/service_request?ID=111323" TargetMode="External"/><Relationship Id="rId4" Type="http://schemas.openxmlformats.org/officeDocument/2006/relationships/hyperlink" Target="https://us3.assetplanner.com/service_request?ID=105604" TargetMode="External"/><Relationship Id="rId9" Type="http://schemas.openxmlformats.org/officeDocument/2006/relationships/hyperlink" Target="https://us3.assetplanner.com/service_request?ID=077700" TargetMode="External"/><Relationship Id="rId14" Type="http://schemas.openxmlformats.org/officeDocument/2006/relationships/hyperlink" Target="https://us3.assetplanner.com/service_request?ID=111319" TargetMode="External"/><Relationship Id="rId22" Type="http://schemas.openxmlformats.org/officeDocument/2006/relationships/hyperlink" Target="https://us3.assetplanner.com/service_request?ID=111320" TargetMode="External"/><Relationship Id="rId27" Type="http://schemas.openxmlformats.org/officeDocument/2006/relationships/comments" Target="../comments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J337"/>
  <sheetViews>
    <sheetView workbookViewId="0">
      <pane xSplit="1" ySplit="3" topLeftCell="B4" activePane="bottomRight" state="frozen"/>
      <selection pane="bottomRight" activeCell="H31" sqref="H31"/>
      <selection pane="bottomLeft"/>
      <selection pane="topRight"/>
    </sheetView>
  </sheetViews>
  <sheetFormatPr defaultRowHeight="13.15"/>
  <cols>
    <col min="1" max="1" width="42.140625" customWidth="1"/>
    <col min="2" max="2" width="11.85546875" customWidth="1"/>
    <col min="3" max="4" width="13.140625" customWidth="1"/>
    <col min="5" max="5" width="13.140625" style="1" customWidth="1"/>
    <col min="6" max="6" width="28.28515625" customWidth="1"/>
    <col min="7" max="7" width="13.140625" customWidth="1"/>
    <col min="8" max="8" width="13.140625" style="1" customWidth="1"/>
  </cols>
  <sheetData>
    <row r="1" spans="1:8" ht="19.5" customHeight="1">
      <c r="A1" s="254" t="str" cm="1">
        <f t="array" ref="A1">portfolio</f>
        <v>Wells Fargo</v>
      </c>
      <c r="B1" s="254"/>
      <c r="C1" s="255" t="s">
        <v>0</v>
      </c>
      <c r="D1" s="255"/>
      <c r="E1" s="255"/>
      <c r="F1" s="253" t="s">
        <v>1</v>
      </c>
      <c r="G1" s="253"/>
      <c r="H1" s="253"/>
    </row>
    <row r="2" spans="1:8" ht="19.5" customHeight="1">
      <c r="A2" s="41" t="s">
        <v>2</v>
      </c>
      <c r="B2" s="4">
        <f ca="1">SUM(B4:B95)</f>
        <v>20408522.009858221</v>
      </c>
      <c r="C2" s="4">
        <f ca="1">SUM(C4:C94)</f>
        <v>19928572.131300002</v>
      </c>
      <c r="D2" s="4">
        <f ca="1">B2-C2</f>
        <v>479949.87855821848</v>
      </c>
      <c r="E2" s="5">
        <f ca="1">IFERROR(D2/C2, 0)</f>
        <v>2.408350560170865E-2</v>
      </c>
      <c r="F2" s="4">
        <f ca="1">SUM(F4:F94)</f>
        <v>22073986.799699999</v>
      </c>
      <c r="G2" s="6">
        <f ca="1">B2-F2</f>
        <v>-1665464.7898417786</v>
      </c>
      <c r="H2" s="5">
        <f ca="1">IFERROR(G2/F2, 0)</f>
        <v>-7.5449206568539456E-2</v>
      </c>
    </row>
    <row r="3" spans="1:8" ht="14.25" customHeight="1">
      <c r="A3" s="7" t="s">
        <v>3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SUM('1st Qtr'!B4, '2nd Qtr'!B4, '3rd Qtr'!B4, '4th Qtr'!B4)</f>
        <v>1347746.3588439226</v>
      </c>
      <c r="C4" s="11">
        <f ca="1">SUM('1st Qtr'!C4, '2nd Qtr'!C4, '3rd Qtr'!C4, '4th Qtr'!C4)</f>
        <v>1213055.0316999999</v>
      </c>
      <c r="D4" s="11">
        <f ca="1">IF(AND(ISNUMBER($B4),ISNUMBER(C4)), $B4-C4, "")</f>
        <v>134691.32714392268</v>
      </c>
      <c r="E4" s="12">
        <f ca="1">IFERROR(D4/C4, "")</f>
        <v>0.11103480355311129</v>
      </c>
      <c r="F4" s="13">
        <f ca="1">SUM('1st Qtr'!F4, '2nd Qtr'!F4, '3rd Qtr'!F4, '4th Qtr'!F4)</f>
        <v>1503953.379</v>
      </c>
      <c r="G4" s="13">
        <f ca="1">IF(AND(ISNUMBER($B4),ISNUMBER(F4)), $B4-F4, "")</f>
        <v>-156207.02015607734</v>
      </c>
      <c r="H4" s="14">
        <f ca="1">IFERROR(G4/F4, "")</f>
        <v>-0.10386427022089049</v>
      </c>
    </row>
    <row r="5" spans="1:8" ht="15.6">
      <c r="A5" s="27" t="str">
        <v>CO</v>
      </c>
      <c r="B5" s="10">
        <f ca="1">SUM('1st Qtr'!B5, '2nd Qtr'!B5, '3rd Qtr'!B5, '4th Qtr'!B5)</f>
        <v>273513.50528316695</v>
      </c>
      <c r="C5" s="15">
        <f ca="1">SUM('1st Qtr'!C5, '2nd Qtr'!C5, '3rd Qtr'!C5, '4th Qtr'!C5)</f>
        <v>0</v>
      </c>
      <c r="D5" s="15">
        <f ca="1">IF(AND(ISNUMBER($B5),ISNUMBER(C5)), $B5-C5, "")</f>
        <v>273513.50528316695</v>
      </c>
      <c r="E5" s="16" t="str">
        <f ca="1">IFERROR(D5/C5, "")</f>
        <v/>
      </c>
      <c r="F5" s="17">
        <f ca="1">SUM('1st Qtr'!F5, '2nd Qtr'!F5, '3rd Qtr'!F5, '4th Qtr'!F5)</f>
        <v>282620.56</v>
      </c>
      <c r="G5" s="17">
        <f ca="1">IF(AND(ISNUMBER($B5),ISNUMBER(F5)), $B5-F5, "")</f>
        <v>-9107.0547168330522</v>
      </c>
      <c r="H5" s="16">
        <f ca="1">IFERROR(G5/F5, "")</f>
        <v>-3.2223610047453916E-2</v>
      </c>
    </row>
    <row r="6" spans="1:8" ht="15.6">
      <c r="A6" s="25" t="str">
        <v>CT</v>
      </c>
      <c r="B6" s="21">
        <f ca="1">SUM('1st Qtr'!B6, '2nd Qtr'!B6, '3rd Qtr'!B6, '4th Qtr'!B6)</f>
        <v>13070.868990636769</v>
      </c>
      <c r="C6" s="11">
        <f ca="1">SUM('1st Qtr'!C6, '2nd Qtr'!C6, '3rd Qtr'!C6, '4th Qtr'!C6)</f>
        <v>15321.2611</v>
      </c>
      <c r="D6" s="11">
        <f t="shared" ref="D6:D11" ca="1" si="0">IF(AND(ISNUMBER($B6),ISNUMBER(C6)), $B6-C6, "")</f>
        <v>-2250.3921093632307</v>
      </c>
      <c r="E6" s="12">
        <f t="shared" ref="E6:E11" ca="1" si="1">IFERROR(D6/C6, "")</f>
        <v>-0.14688034455357143</v>
      </c>
      <c r="F6" s="13">
        <f ca="1">SUM('1st Qtr'!F6, '2nd Qtr'!F6, '3rd Qtr'!F6, '4th Qtr'!F6)</f>
        <v>17557.8763</v>
      </c>
      <c r="G6" s="13">
        <f t="shared" ref="G6:G11" ca="1" si="2">IF(AND(ISNUMBER($B6),ISNUMBER(F6)), $B6-F6, "")</f>
        <v>-4487.0073093632309</v>
      </c>
      <c r="H6" s="14">
        <f t="shared" ref="H6:H11" ca="1" si="3">IFERROR(G6/F6, "")</f>
        <v>-0.25555524100390381</v>
      </c>
    </row>
    <row r="7" spans="1:8" ht="15.6">
      <c r="A7" s="27" t="str">
        <v>FL</v>
      </c>
      <c r="B7" s="10">
        <f ca="1">SUM('1st Qtr'!B7, '2nd Qtr'!B7, '3rd Qtr'!B7, '4th Qtr'!B7)</f>
        <v>13549.593255341053</v>
      </c>
      <c r="C7" s="15">
        <f ca="1">SUM('1st Qtr'!C7, '2nd Qtr'!C7, '3rd Qtr'!C7, '4th Qtr'!C7)</f>
        <v>51121.752999999997</v>
      </c>
      <c r="D7" s="15">
        <f t="shared" ca="1" si="0"/>
        <v>-37572.159744658944</v>
      </c>
      <c r="E7" s="16">
        <f t="shared" ca="1" si="1"/>
        <v>-0.7349544477604073</v>
      </c>
      <c r="F7" s="17">
        <f ca="1">SUM('1st Qtr'!F7, '2nd Qtr'!F7, '3rd Qtr'!F7, '4th Qtr'!F7)</f>
        <v>54389</v>
      </c>
      <c r="G7" s="17">
        <f t="shared" ca="1" si="2"/>
        <v>-40839.406744658947</v>
      </c>
      <c r="H7" s="16">
        <f t="shared" ca="1" si="3"/>
        <v>-0.75087622027724255</v>
      </c>
    </row>
    <row r="8" spans="1:8" ht="15.6">
      <c r="A8" s="25" t="str">
        <v>IA</v>
      </c>
      <c r="B8" s="21">
        <f ca="1">SUM('1st Qtr'!B8, '2nd Qtr'!B8, '3rd Qtr'!B8, '4th Qtr'!B8)</f>
        <v>2670907.7499999991</v>
      </c>
      <c r="C8" s="11">
        <f ca="1">SUM('1st Qtr'!C8, '2nd Qtr'!C8, '3rd Qtr'!C8, '4th Qtr'!C8)</f>
        <v>2841154.24</v>
      </c>
      <c r="D8" s="11">
        <f t="shared" ca="1" si="0"/>
        <v>-170246.49000000115</v>
      </c>
      <c r="E8" s="12">
        <f t="shared" ca="1" si="1"/>
        <v>-5.9921593697074726E-2</v>
      </c>
      <c r="F8" s="13">
        <f ca="1">SUM('1st Qtr'!F8, '2nd Qtr'!F8, '3rd Qtr'!F8, '4th Qtr'!F8)</f>
        <v>2845207.29</v>
      </c>
      <c r="G8" s="13">
        <f t="shared" ca="1" si="2"/>
        <v>-174299.54000000097</v>
      </c>
      <c r="H8" s="14">
        <f t="shared" ca="1" si="3"/>
        <v>-6.1260752639221927E-2</v>
      </c>
    </row>
    <row r="9" spans="1:8" ht="15.6">
      <c r="A9" s="27" t="str">
        <v>NC</v>
      </c>
      <c r="B9" s="10">
        <f ca="1">SUM('1st Qtr'!B9, '2nd Qtr'!B9, '3rd Qtr'!B9, '4th Qtr'!B9)</f>
        <v>3350509</v>
      </c>
      <c r="C9" s="15">
        <f ca="1">SUM('1st Qtr'!C9, '2nd Qtr'!C9, '3rd Qtr'!C9, '4th Qtr'!C9)</f>
        <v>3548569.7420000001</v>
      </c>
      <c r="D9" s="15">
        <f t="shared" ca="1" si="0"/>
        <v>-198060.74200000009</v>
      </c>
      <c r="E9" s="16">
        <f t="shared" ca="1" si="1"/>
        <v>-5.58142452875596E-2</v>
      </c>
      <c r="F9" s="17">
        <f ca="1">SUM('1st Qtr'!F9, '2nd Qtr'!F9, '3rd Qtr'!F9, '4th Qtr'!F9)</f>
        <v>3462465.1179999998</v>
      </c>
      <c r="G9" s="17">
        <f t="shared" ca="1" si="2"/>
        <v>-111956.11799999978</v>
      </c>
      <c r="H9" s="16">
        <f t="shared" ca="1" si="3"/>
        <v>-3.2334222637502914E-2</v>
      </c>
    </row>
    <row r="10" spans="1:8" ht="15.6">
      <c r="A10" s="25" t="str">
        <v>NJ</v>
      </c>
      <c r="B10" s="21">
        <f ca="1">SUM('1st Qtr'!B10, '2nd Qtr'!B10, '3rd Qtr'!B10, '4th Qtr'!B10)</f>
        <v>825222.52010433236</v>
      </c>
      <c r="C10" s="11">
        <f ca="1">SUM('1st Qtr'!C10, '2nd Qtr'!C10, '3rd Qtr'!C10, '4th Qtr'!C10)</f>
        <v>810116.02549999999</v>
      </c>
      <c r="D10" s="11">
        <f t="shared" ca="1" si="0"/>
        <v>15106.494604332373</v>
      </c>
      <c r="E10" s="12">
        <f t="shared" ca="1" si="1"/>
        <v>1.8647322270916332E-2</v>
      </c>
      <c r="F10" s="13">
        <f ca="1">SUM('1st Qtr'!F10, '2nd Qtr'!F10, '3rd Qtr'!F10, '4th Qtr'!F10)</f>
        <v>903927.40740000003</v>
      </c>
      <c r="G10" s="13">
        <f t="shared" ca="1" si="2"/>
        <v>-78704.887295667664</v>
      </c>
      <c r="H10" s="14">
        <f t="shared" ca="1" si="3"/>
        <v>-8.7069920273851922E-2</v>
      </c>
    </row>
    <row r="11" spans="1:8" ht="15.6">
      <c r="A11" s="27" t="str">
        <v>TX</v>
      </c>
      <c r="B11" s="10">
        <f ca="1">SUM('1st Qtr'!B11, '2nd Qtr'!B11, '3rd Qtr'!B11, '4th Qtr'!B11)</f>
        <v>6985299.3132812502</v>
      </c>
      <c r="C11" s="15">
        <f ca="1">SUM('1st Qtr'!C11, '2nd Qtr'!C11, '3rd Qtr'!C11, '4th Qtr'!C11)</f>
        <v>6945124.7949999999</v>
      </c>
      <c r="D11" s="15">
        <f t="shared" ca="1" si="0"/>
        <v>40174.518281250261</v>
      </c>
      <c r="E11" s="16">
        <f t="shared" ca="1" si="1"/>
        <v>5.7845639159965967E-3</v>
      </c>
      <c r="F11" s="17">
        <f ca="1">SUM('1st Qtr'!F11, '2nd Qtr'!F11, '3rd Qtr'!F11, '4th Qtr'!F11)</f>
        <v>8037151.8689999999</v>
      </c>
      <c r="G11" s="17">
        <f t="shared" ca="1" si="2"/>
        <v>-1051852.5557187498</v>
      </c>
      <c r="H11" s="16">
        <f t="shared" ca="1" si="3"/>
        <v>-0.13087379370991326</v>
      </c>
    </row>
    <row r="12" spans="1:8" ht="12.75" customHeight="1">
      <c r="A12" s="25" t="str">
        <v>AZ</v>
      </c>
      <c r="B12" s="57">
        <f ca="1">SUM('1st Qtr'!B12, '2nd Qtr'!B12, '3rd Qtr'!B12, '4th Qtr'!B12)</f>
        <v>4928703.100099571</v>
      </c>
      <c r="C12" s="11">
        <f ca="1">SUM('1st Qtr'!C12, '2nd Qtr'!C12, '3rd Qtr'!C12, '4th Qtr'!C12)</f>
        <v>4504109.2829999998</v>
      </c>
      <c r="D12" s="11">
        <f t="shared" ref="D12" ca="1" si="4">IF(AND(ISNUMBER($B12),ISNUMBER(C12)), $B12-C12, "")</f>
        <v>424593.81709957123</v>
      </c>
      <c r="E12" s="58">
        <f t="shared" ref="E12" ca="1" si="5">IFERROR(D12/C12, "")</f>
        <v>9.4268098401193087E-2</v>
      </c>
      <c r="F12" s="73">
        <f ca="1">SUM('1st Qtr'!F12, '2nd Qtr'!F12, '3rd Qtr'!F12, '4th Qtr'!F12)</f>
        <v>4904383.3</v>
      </c>
      <c r="G12" s="73">
        <f t="shared" ref="G12" ca="1" si="6">IF(AND(ISNUMBER($B12),ISNUMBER(F12)), $B12-F12, "")</f>
        <v>24319.800099571235</v>
      </c>
      <c r="H12" s="74">
        <f t="shared" ref="H12" ca="1" si="7">IFERROR(G12/F12, "")</f>
        <v>4.9587886206959473E-3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4.45">
      <c r="A16" s="18"/>
      <c r="B16" s="18"/>
      <c r="C16" s="136" t="s">
        <v>9</v>
      </c>
      <c r="D16" s="18"/>
      <c r="E16" s="18"/>
      <c r="F16" s="18"/>
      <c r="G16" s="18"/>
      <c r="H16" s="18"/>
    </row>
    <row r="17" spans="1:8" ht="14.45">
      <c r="A17" s="18"/>
      <c r="B17" s="18"/>
      <c r="C17" s="136"/>
      <c r="D17" s="18"/>
      <c r="E17" s="18"/>
      <c r="F17" s="18"/>
      <c r="G17" s="18"/>
      <c r="H17" s="18"/>
    </row>
    <row r="18" spans="1:8" ht="14.45">
      <c r="A18" s="18"/>
      <c r="B18" s="18"/>
      <c r="C18" s="136" t="s">
        <v>10</v>
      </c>
      <c r="D18" s="18"/>
      <c r="E18" s="18"/>
      <c r="F18" s="18"/>
      <c r="G18" s="18"/>
      <c r="H18" s="18"/>
    </row>
    <row r="19" spans="1:8" ht="14.45">
      <c r="A19" s="18"/>
      <c r="B19" s="18"/>
      <c r="C19" s="136"/>
      <c r="D19" s="18"/>
      <c r="E19" s="18"/>
      <c r="F19" s="18"/>
      <c r="G19" s="18"/>
      <c r="H19" s="18"/>
    </row>
    <row r="20" spans="1:8" ht="14.45">
      <c r="A20" s="18"/>
      <c r="B20" s="18"/>
      <c r="C20" s="159" t="s">
        <v>11</v>
      </c>
      <c r="D20" s="160"/>
      <c r="E20" s="160"/>
      <c r="F20" s="160"/>
      <c r="G20" s="18"/>
      <c r="H20" s="18"/>
    </row>
    <row r="21" spans="1:8" ht="14.45">
      <c r="A21" s="18"/>
      <c r="B21" s="18"/>
      <c r="C21" s="136" t="s">
        <v>12</v>
      </c>
      <c r="D21" s="18"/>
      <c r="E21" s="19"/>
      <c r="F21" s="18"/>
      <c r="G21" s="18"/>
      <c r="H21" s="19"/>
    </row>
    <row r="22" spans="1:8" ht="13.9">
      <c r="A22" s="18"/>
      <c r="B22" s="18"/>
      <c r="C22" t="s">
        <v>13</v>
      </c>
      <c r="D22" s="18"/>
      <c r="E22" s="19"/>
      <c r="F22" s="18"/>
      <c r="G22" s="18"/>
      <c r="H22" s="19"/>
    </row>
    <row r="23" spans="1:8" ht="14.45">
      <c r="A23" s="18"/>
      <c r="B23" s="18"/>
      <c r="C23" s="136" t="s">
        <v>14</v>
      </c>
      <c r="D23" s="18"/>
      <c r="E23" s="19"/>
      <c r="F23" s="18"/>
      <c r="G23" s="18"/>
      <c r="H23" s="19"/>
    </row>
    <row r="24" spans="1:8" ht="14.45">
      <c r="A24" s="18"/>
      <c r="B24" s="18"/>
      <c r="C24" s="136" t="s">
        <v>15</v>
      </c>
      <c r="D24" s="18"/>
      <c r="E24" s="19"/>
      <c r="F24" s="18"/>
      <c r="G24" s="18"/>
      <c r="H24" s="19"/>
    </row>
    <row r="25" spans="1:8" ht="14.45">
      <c r="A25" s="18"/>
      <c r="B25" s="18"/>
      <c r="C25" s="136"/>
      <c r="D25" s="18"/>
      <c r="E25" s="19"/>
      <c r="F25" s="18"/>
      <c r="G25" s="18"/>
      <c r="H25" s="19"/>
    </row>
    <row r="26" spans="1:8" ht="14.45">
      <c r="A26" s="18"/>
      <c r="B26" s="18"/>
      <c r="C26" s="159" t="s">
        <v>16</v>
      </c>
      <c r="D26" s="18"/>
      <c r="E26" s="19"/>
      <c r="F26" s="18"/>
      <c r="G26" s="18"/>
      <c r="H26" s="19"/>
    </row>
    <row r="27" spans="1:8" ht="14.45">
      <c r="A27" s="18"/>
      <c r="B27" s="18"/>
      <c r="C27" s="136" t="s">
        <v>17</v>
      </c>
      <c r="D27" s="212"/>
      <c r="E27" s="213"/>
      <c r="F27" s="210" t="s">
        <v>18</v>
      </c>
      <c r="G27" s="18"/>
      <c r="H27" s="19"/>
    </row>
    <row r="28" spans="1:8" ht="14.45">
      <c r="A28" s="18"/>
      <c r="B28" s="18"/>
      <c r="C28" s="210" t="s">
        <v>19</v>
      </c>
      <c r="D28" s="210"/>
      <c r="E28" s="214"/>
      <c r="F28" s="210" t="s">
        <v>20</v>
      </c>
      <c r="G28" s="18"/>
      <c r="H28" s="19"/>
    </row>
    <row r="29" spans="1:8" ht="14.45">
      <c r="A29" s="18"/>
      <c r="B29" s="18"/>
      <c r="C29" s="136" t="s">
        <v>21</v>
      </c>
      <c r="D29" s="210"/>
      <c r="E29" s="214"/>
      <c r="F29" s="210" t="s">
        <v>22</v>
      </c>
      <c r="G29" s="18"/>
      <c r="H29" s="19"/>
    </row>
    <row r="30" spans="1:8" ht="14.45">
      <c r="A30" s="18"/>
      <c r="B30" s="18"/>
      <c r="C30" s="136" t="s">
        <v>23</v>
      </c>
      <c r="D30" s="210"/>
      <c r="E30" s="214"/>
      <c r="F30" s="210" t="s">
        <v>24</v>
      </c>
      <c r="G30" s="18"/>
      <c r="H30" s="19"/>
    </row>
    <row r="31" spans="1:8" ht="14.45">
      <c r="A31" s="18"/>
      <c r="B31" s="18"/>
      <c r="C31" s="136" t="s">
        <v>25</v>
      </c>
      <c r="D31" s="210"/>
      <c r="E31" s="214"/>
      <c r="F31" s="210" t="s">
        <v>26</v>
      </c>
      <c r="G31" s="18"/>
      <c r="H31" s="19"/>
    </row>
    <row r="32" spans="1:8" ht="14.45">
      <c r="A32" s="18"/>
      <c r="B32" s="18"/>
      <c r="C32" s="136" t="s">
        <v>27</v>
      </c>
      <c r="D32" s="210"/>
      <c r="E32" s="214"/>
      <c r="F32" s="211" t="s">
        <v>28</v>
      </c>
      <c r="G32" s="18" t="s">
        <v>29</v>
      </c>
      <c r="H32" s="19"/>
    </row>
    <row r="33" spans="1:10" ht="14.45">
      <c r="A33" s="18"/>
      <c r="B33" s="18"/>
      <c r="C33" s="136"/>
      <c r="D33" s="18"/>
      <c r="E33" s="19"/>
      <c r="F33" s="18"/>
      <c r="G33" s="18"/>
      <c r="H33" s="19"/>
    </row>
    <row r="34" spans="1:10" ht="14.45">
      <c r="A34" s="18"/>
      <c r="B34" s="18"/>
      <c r="C34" s="159" t="s">
        <v>30</v>
      </c>
      <c r="D34" s="160"/>
      <c r="E34" s="19"/>
      <c r="F34" s="18"/>
      <c r="G34" s="18"/>
      <c r="H34" s="19"/>
    </row>
    <row r="35" spans="1:10" ht="14.45">
      <c r="A35" s="18"/>
      <c r="B35" s="18"/>
      <c r="C35" s="136" t="s">
        <v>31</v>
      </c>
      <c r="D35" s="18"/>
      <c r="E35" s="19"/>
      <c r="F35" s="18"/>
      <c r="G35" s="18"/>
      <c r="H35" s="19"/>
    </row>
    <row r="36" spans="1:10" ht="14.45">
      <c r="A36" s="18"/>
      <c r="B36" s="18"/>
      <c r="C36" s="136" t="s">
        <v>32</v>
      </c>
      <c r="D36" s="18"/>
      <c r="E36" s="19"/>
      <c r="F36" s="18"/>
      <c r="G36" s="18"/>
      <c r="H36" s="19"/>
    </row>
    <row r="37" spans="1:10" ht="14.45">
      <c r="A37" s="18"/>
      <c r="B37" s="18"/>
      <c r="C37" s="136"/>
      <c r="D37" s="18"/>
      <c r="E37" s="19"/>
      <c r="F37" s="18"/>
      <c r="G37" s="18"/>
      <c r="H37" s="19"/>
    </row>
    <row r="38" spans="1:10" ht="14.45">
      <c r="A38" s="18"/>
      <c r="B38" s="18"/>
      <c r="C38" s="159" t="s">
        <v>33</v>
      </c>
      <c r="D38" s="160"/>
      <c r="E38" s="19"/>
      <c r="F38" s="18"/>
      <c r="G38" s="18"/>
      <c r="H38" s="19"/>
    </row>
    <row r="39" spans="1:10" ht="14.45">
      <c r="A39" s="18"/>
      <c r="B39" s="18"/>
      <c r="C39" s="136" t="s">
        <v>34</v>
      </c>
      <c r="D39" s="18"/>
      <c r="E39" s="19"/>
      <c r="F39" s="18"/>
      <c r="G39" s="18"/>
      <c r="H39" s="19"/>
    </row>
    <row r="40" spans="1:10" ht="13.9">
      <c r="A40" s="18"/>
      <c r="B40" s="18"/>
      <c r="C40" s="18"/>
      <c r="D40" s="18"/>
      <c r="E40" s="19"/>
      <c r="F40" s="18"/>
      <c r="G40" s="18"/>
      <c r="H40" s="19"/>
    </row>
    <row r="41" spans="1:10" ht="13.9">
      <c r="A41" s="18"/>
      <c r="B41" s="18"/>
      <c r="C41" s="18"/>
      <c r="D41" s="18"/>
      <c r="E41" s="19"/>
      <c r="F41" s="18"/>
      <c r="G41" s="18"/>
      <c r="H41" s="19"/>
    </row>
    <row r="42" spans="1:10" ht="13.9" customHeight="1">
      <c r="A42" s="145"/>
      <c r="B42" s="18"/>
      <c r="E42" s="145"/>
      <c r="F42" s="145"/>
      <c r="G42" s="252"/>
      <c r="H42" s="252"/>
      <c r="I42" s="145"/>
      <c r="J42" s="145"/>
    </row>
    <row r="43" spans="1:10" ht="14.45">
      <c r="A43" s="145"/>
      <c r="E43" s="145"/>
      <c r="F43" s="145"/>
      <c r="G43" s="145"/>
      <c r="H43" s="145"/>
      <c r="I43" s="145"/>
      <c r="J43" s="145"/>
    </row>
    <row r="44" spans="1:10" ht="14.45">
      <c r="A44" s="145"/>
      <c r="E44" s="145"/>
      <c r="F44" s="145"/>
      <c r="G44" s="145"/>
      <c r="H44" s="145"/>
      <c r="I44" s="145"/>
      <c r="J44" s="145"/>
    </row>
    <row r="45" spans="1:10" ht="14.45">
      <c r="A45" s="145"/>
      <c r="E45" s="145"/>
      <c r="F45" s="145"/>
      <c r="G45" s="145"/>
      <c r="H45" s="145"/>
      <c r="I45" s="145"/>
      <c r="J45" s="145"/>
    </row>
    <row r="46" spans="1:10" ht="14.45">
      <c r="A46" s="145"/>
      <c r="E46" s="145"/>
      <c r="F46" s="145"/>
      <c r="G46" s="145"/>
      <c r="H46" s="145"/>
      <c r="I46" s="145"/>
      <c r="J46" s="145"/>
    </row>
    <row r="47" spans="1:10" ht="14.45">
      <c r="A47" s="145"/>
      <c r="E47" s="145"/>
      <c r="F47" s="145"/>
      <c r="G47" s="145"/>
      <c r="H47" s="145"/>
      <c r="I47" s="145"/>
      <c r="J47" s="145"/>
    </row>
    <row r="48" spans="1:10" ht="13.9" customHeight="1">
      <c r="A48" s="145"/>
      <c r="E48" s="145"/>
      <c r="F48" s="145"/>
      <c r="G48" s="145"/>
      <c r="H48" s="145"/>
      <c r="I48" s="145"/>
      <c r="J48" s="145"/>
    </row>
    <row r="49" spans="1:10" ht="14.45">
      <c r="A49" s="145"/>
      <c r="E49" s="145"/>
      <c r="F49" s="145"/>
      <c r="G49" s="145"/>
      <c r="H49" s="145"/>
      <c r="I49" s="145"/>
      <c r="J49" s="145"/>
    </row>
    <row r="50" spans="1:10" ht="14.45">
      <c r="A50" s="145"/>
      <c r="E50" s="145"/>
      <c r="F50" s="145"/>
      <c r="G50" s="145"/>
      <c r="H50" s="145"/>
      <c r="I50" s="145"/>
      <c r="J50" s="145"/>
    </row>
    <row r="51" spans="1:10" ht="14.45">
      <c r="A51" s="145"/>
      <c r="E51" s="145"/>
      <c r="F51" s="145"/>
      <c r="G51" s="145"/>
      <c r="H51" s="145"/>
      <c r="I51" s="145"/>
      <c r="J51" s="145"/>
    </row>
    <row r="52" spans="1:10" ht="14.45">
      <c r="A52" s="145"/>
      <c r="C52" s="145"/>
      <c r="D52" s="145"/>
      <c r="E52" s="145"/>
      <c r="F52" s="145"/>
      <c r="G52" s="145"/>
      <c r="H52" s="145"/>
      <c r="I52" s="145"/>
      <c r="J52" s="145"/>
    </row>
    <row r="53" spans="1:10" ht="14.45">
      <c r="A53" s="145"/>
      <c r="B53" s="145"/>
      <c r="C53" s="145" t="s">
        <v>35</v>
      </c>
      <c r="D53" s="145">
        <v>2025</v>
      </c>
      <c r="E53" s="145"/>
      <c r="F53" s="145"/>
      <c r="G53" s="145"/>
      <c r="H53" s="145"/>
      <c r="I53" s="145"/>
      <c r="J53" s="145"/>
    </row>
    <row r="54" spans="1:10" ht="14.45">
      <c r="A54" s="145"/>
      <c r="B54" s="145"/>
      <c r="C54" s="145"/>
      <c r="D54" s="148" t="s">
        <v>4</v>
      </c>
      <c r="E54" s="149" t="s">
        <v>5</v>
      </c>
      <c r="F54" s="149" t="s">
        <v>6</v>
      </c>
      <c r="G54" s="149" t="s">
        <v>7</v>
      </c>
      <c r="H54" s="150" t="s">
        <v>8</v>
      </c>
      <c r="I54" s="151" t="s">
        <v>6</v>
      </c>
      <c r="J54" s="151" t="s">
        <v>7</v>
      </c>
    </row>
    <row r="55" spans="1:10" ht="14.45">
      <c r="A55" s="146"/>
      <c r="B55" s="145"/>
      <c r="C55" s="145"/>
      <c r="D55" s="152">
        <v>2009886</v>
      </c>
      <c r="E55" s="153">
        <v>1966799</v>
      </c>
      <c r="F55" s="153">
        <v>43087</v>
      </c>
      <c r="G55" s="154">
        <v>0.02</v>
      </c>
      <c r="H55" s="153">
        <v>2174763</v>
      </c>
      <c r="I55" s="153">
        <v>-164877</v>
      </c>
      <c r="J55" s="154">
        <v>-0.08</v>
      </c>
    </row>
    <row r="56" spans="1:10" ht="14.45">
      <c r="A56" s="145"/>
      <c r="B56" s="146"/>
      <c r="C56" s="145"/>
      <c r="D56" s="145"/>
      <c r="E56" s="145"/>
      <c r="F56" s="145"/>
      <c r="G56" s="145"/>
      <c r="H56" s="145"/>
      <c r="I56" s="145"/>
      <c r="J56" s="145"/>
    </row>
    <row r="57" spans="1:10" ht="14.45">
      <c r="A57" s="18"/>
      <c r="B57" s="145"/>
      <c r="C57" s="145" t="s">
        <v>36</v>
      </c>
      <c r="D57" s="145">
        <v>2024</v>
      </c>
      <c r="E57" s="145"/>
      <c r="F57" s="145"/>
      <c r="G57" s="145"/>
      <c r="H57" s="145"/>
      <c r="I57" s="145"/>
      <c r="J57" s="145"/>
    </row>
    <row r="58" spans="1:10" ht="14.45">
      <c r="A58" s="18"/>
      <c r="B58" s="145"/>
      <c r="C58" s="145"/>
      <c r="D58" s="148" t="s">
        <v>4</v>
      </c>
      <c r="E58" s="149" t="s">
        <v>5</v>
      </c>
      <c r="F58" s="149" t="s">
        <v>6</v>
      </c>
      <c r="G58" s="149" t="s">
        <v>7</v>
      </c>
      <c r="H58" s="150" t="s">
        <v>8</v>
      </c>
      <c r="I58" s="151" t="s">
        <v>6</v>
      </c>
      <c r="J58" s="151" t="s">
        <v>7</v>
      </c>
    </row>
    <row r="59" spans="1:10" ht="14.45">
      <c r="A59" s="18"/>
      <c r="B59" s="145"/>
      <c r="C59" s="145"/>
      <c r="D59" s="152">
        <v>1566588</v>
      </c>
      <c r="E59" s="153">
        <v>1547344</v>
      </c>
      <c r="F59" s="153">
        <v>19244</v>
      </c>
      <c r="G59" s="154">
        <v>0.01</v>
      </c>
      <c r="H59" s="153">
        <v>1863295</v>
      </c>
      <c r="I59" s="153">
        <v>-296707</v>
      </c>
      <c r="J59" s="155">
        <v>-0.16</v>
      </c>
    </row>
    <row r="60" spans="1:10" ht="14.45">
      <c r="A60" s="18"/>
      <c r="B60" s="145"/>
      <c r="C60" s="18"/>
      <c r="D60" s="18"/>
      <c r="E60" s="19"/>
      <c r="F60" s="18"/>
      <c r="G60" s="18"/>
      <c r="H60" s="19"/>
    </row>
    <row r="61" spans="1:10" ht="13.9">
      <c r="A61" s="18"/>
      <c r="B61" s="18"/>
      <c r="C61" s="18"/>
      <c r="D61" s="18"/>
      <c r="E61" s="19"/>
      <c r="F61" s="18"/>
      <c r="G61" s="18"/>
      <c r="H61" s="19"/>
    </row>
    <row r="62" spans="1:10" ht="13.9">
      <c r="A62" s="18"/>
      <c r="B62" s="18"/>
      <c r="C62" s="18"/>
      <c r="D62" s="18"/>
      <c r="E62" s="19"/>
      <c r="F62" s="18"/>
      <c r="G62" s="18"/>
      <c r="H62" s="19"/>
    </row>
    <row r="63" spans="1:10" ht="13.9">
      <c r="A63" s="18"/>
      <c r="B63" s="18"/>
      <c r="C63" s="18"/>
      <c r="D63" s="18"/>
      <c r="E63" s="19"/>
      <c r="F63" s="18"/>
      <c r="G63" s="18"/>
      <c r="H63" s="19"/>
    </row>
    <row r="64" spans="1:10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  <row r="333" spans="1:8" ht="13.9">
      <c r="A333" s="18"/>
      <c r="B333" s="18"/>
      <c r="C333" s="18"/>
      <c r="D333" s="18"/>
      <c r="E333" s="19"/>
      <c r="F333" s="18"/>
      <c r="G333" s="18"/>
      <c r="H333" s="19"/>
    </row>
    <row r="334" spans="1:8" ht="13.9">
      <c r="A334" s="18"/>
      <c r="B334" s="18"/>
      <c r="C334" s="18"/>
      <c r="D334" s="18"/>
      <c r="E334" s="19"/>
      <c r="F334" s="18"/>
      <c r="G334" s="18"/>
      <c r="H334" s="19"/>
    </row>
    <row r="335" spans="1:8" ht="13.9">
      <c r="A335" s="18"/>
      <c r="B335" s="18"/>
      <c r="C335" s="18"/>
      <c r="D335" s="18"/>
      <c r="E335" s="19"/>
      <c r="F335" s="18"/>
      <c r="G335" s="18"/>
      <c r="H335" s="19"/>
    </row>
    <row r="336" spans="1:8" ht="13.9">
      <c r="A336" s="18"/>
      <c r="B336" s="18"/>
      <c r="C336" s="18"/>
      <c r="D336" s="18"/>
      <c r="E336" s="19"/>
      <c r="F336" s="18"/>
      <c r="G336" s="18"/>
      <c r="H336" s="19"/>
    </row>
    <row r="337" spans="2:2" ht="13.9">
      <c r="B337" s="18"/>
    </row>
  </sheetData>
  <autoFilter ref="A2:H2" xr:uid="{D5C25034-9971-4A61-864F-C938F31EB1B8}"/>
  <mergeCells count="4">
    <mergeCell ref="G42:H42"/>
    <mergeCell ref="F1:H1"/>
    <mergeCell ref="A1:B1"/>
    <mergeCell ref="C1:E1"/>
  </mergeCells>
  <conditionalFormatting sqref="E2 H2 E4:E41 H4:H41 E60:E94 H60:H94">
    <cfRule type="cellIs" dxfId="40" priority="1" stopIfTrue="1" operator="lessThanOrEqual">
      <formula>-0.1</formula>
    </cfRule>
    <cfRule type="expression" dxfId="39" priority="2">
      <formula>AND(ISNUMBER(E2), E2&gt;=0.1)</formula>
    </cfRule>
  </conditionalFormatting>
  <pageMargins left="0.4" right="0.7" top="0.25" bottom="0.25" header="0.3" footer="0.3"/>
  <pageSetup fitToHeight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4" activePane="bottomRight" state="frozen"/>
      <selection pane="bottomRight" activeCell="B8" sqref="B8"/>
      <selection pane="bottomLeft" activeCell="A4" sqref="A4"/>
      <selection pane="topRight" activeCell="B1" sqref="B1"/>
    </sheetView>
  </sheetViews>
  <sheetFormatPr defaultRowHeight="13.15"/>
  <cols>
    <col min="1" max="1" width="35.85546875" customWidth="1"/>
    <col min="2" max="2" width="10.8554687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56" t="str" cm="1">
        <f t="array" ref="A1">portfolio</f>
        <v>Wells Fargo</v>
      </c>
      <c r="B1" s="257"/>
      <c r="C1" s="258" t="s">
        <v>37</v>
      </c>
      <c r="D1" s="259"/>
      <c r="E1" s="260"/>
      <c r="F1" s="261" t="s">
        <v>38</v>
      </c>
      <c r="G1" s="262"/>
      <c r="H1" s="263"/>
    </row>
    <row r="2" spans="1:8" ht="19.5" customHeight="1">
      <c r="A2" s="41" t="s">
        <v>2</v>
      </c>
      <c r="B2" s="4">
        <f ca="1">SUM(B4:B90)</f>
        <v>4617003.6626098529</v>
      </c>
      <c r="C2" s="4">
        <f ca="1">SUM(C4:C90)</f>
        <v>4690988.3459999999</v>
      </c>
      <c r="D2" s="4">
        <f ca="1">B2-C2</f>
        <v>-73984.683390147053</v>
      </c>
      <c r="E2" s="5">
        <f ca="1">IFERROR(D2/C2, 0)</f>
        <v>-1.577166216011466E-2</v>
      </c>
      <c r="F2" s="4">
        <f ca="1">SUM(F4:F90)</f>
        <v>4770066.9560000002</v>
      </c>
      <c r="G2" s="6">
        <f ca="1">B2-F2</f>
        <v>-153063.29339014739</v>
      </c>
      <c r="H2" s="5">
        <f ca="1">IFERROR(G2/F2, 0)</f>
        <v>-3.2088290332616322E-2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43">
        <f ca="1">SUM(SUMIF(_xlfn.ANCHORARRAY(Jan!$B$4), $A4, Jan!C$4:C$65), SUMIF(_xlfn.ANCHORARRAY(Feb!$B$4), $A4, Feb!C$4:C$76), SUMIF(_xlfn.ANCHORARRAY(Mar!$B$4), $A4, Mar!C$4:C$65))</f>
        <v>323915.6626098525</v>
      </c>
      <c r="C4" s="11">
        <f ca="1">SUM(SUMIF(_xlfn.ANCHORARRAY(Jan!$B$4), $A4, Jan!D$4:D$65), SUMIF(_xlfn.ANCHORARRAY(Feb!$B$4), $A4, Feb!D$4:D$76), SUMIF(_xlfn.ANCHORARRAY(Mar!$B$4), $A4, Mar!D$4:D$65))</f>
        <v>315455.34600000002</v>
      </c>
      <c r="D4" s="11">
        <f ca="1">IF(AND(ISNUMBER(B4),ISNUMBER(C4)), B4-C4, "")</f>
        <v>8460.3166098524816</v>
      </c>
      <c r="E4" s="12">
        <f ca="1">IFERROR(D4/C4, "")</f>
        <v>2.6819379405453099E-2</v>
      </c>
      <c r="F4" s="13">
        <f ca="1">SUM(SUMIF(_xlfn.ANCHORARRAY(Jan!$B$4), $A4, Jan!G$4:G$65), SUMIF(_xlfn.ANCHORARRAY(Feb!$B$4), $A4, Feb!G$4:G$76), SUMIF(_xlfn.ANCHORARRAY(Mar!$B$4), $A4, Mar!G$4:G$65))</f>
        <v>335470.95600000001</v>
      </c>
      <c r="G4" s="13">
        <f ca="1">IF(AND(ISNUMBER(B4),ISNUMBER(F4)), B4-F4, "")</f>
        <v>-11555.293390147504</v>
      </c>
      <c r="H4" s="14">
        <f ca="1">IFERROR(G4/F4, "")</f>
        <v>-3.4444989002706705E-2</v>
      </c>
    </row>
    <row r="5" spans="1:8" ht="14.45">
      <c r="A5" s="9" t="str">
        <v>CO</v>
      </c>
      <c r="B5" s="10">
        <f ca="1">SUM(SUMIF(_xlfn.ANCHORARRAY(Jan!$B$4), $A5, Jan!C$4:C$65), SUMIF(_xlfn.ANCHORARRAY(Feb!$B$4), $A5, Feb!C$4:C$76), SUMIF(_xlfn.ANCHORARRAY(Mar!$B$4), $A5, Mar!C$4:C$65))</f>
        <v>54979</v>
      </c>
      <c r="C5" s="15">
        <f ca="1">SUM(SUMIF(_xlfn.ANCHORARRAY(Jan!$B$4), $A5, Jan!D$4:D$65), SUMIF(_xlfn.ANCHORARRAY(Feb!$B$4), $A5, Feb!D$4:D$76), SUMIF(_xlfn.ANCHORARRAY(Mar!$B$4), $A5, Mar!D$4:D$65))</f>
        <v>0</v>
      </c>
      <c r="D5" s="15">
        <f t="shared" ref="D5:D6" ca="1" si="0">IF(AND(ISNUMBER(B5),ISNUMBER(C5)), B5-C5, "")</f>
        <v>54979</v>
      </c>
      <c r="E5" s="16" t="str">
        <f ca="1">IFERROR(D5/C5, "")</f>
        <v/>
      </c>
      <c r="F5" s="15">
        <f ca="1">SUM(SUMIF(_xlfn.ANCHORARRAY(Jan!$B$4), $A5, Jan!G$4:G$65), SUMIF(_xlfn.ANCHORARRAY(Feb!$B$4), $A5, Feb!G$4:G$76), SUMIF(_xlfn.ANCHORARRAY(Mar!$B$4), $A5, Mar!G$4:G$65))</f>
        <v>55712</v>
      </c>
      <c r="G5" s="15">
        <f ca="1">IF(AND(ISNUMBER(B5),ISNUMBER(F5)), B5-F5, "")</f>
        <v>-733</v>
      </c>
      <c r="H5" s="16">
        <f ca="1">IFERROR(G5/F5, "")</f>
        <v>-1.3156950028719127E-2</v>
      </c>
    </row>
    <row r="6" spans="1:8" ht="14.45">
      <c r="A6" s="8" t="str">
        <v>CT</v>
      </c>
      <c r="B6" s="21">
        <f ca="1">SUM(SUMIF(_xlfn.ANCHORARRAY(Jan!$B$4), $A6, Jan!C$4:C$65), SUMIF(_xlfn.ANCHORARRAY(Feb!$B$4), $A6, Feb!C$4:C$76), SUMIF(_xlfn.ANCHORARRAY(Mar!$B$4), $A6, Mar!C$4:C$65))</f>
        <v>1851</v>
      </c>
      <c r="C6" s="11">
        <f ca="1">SUM(SUMIF(_xlfn.ANCHORARRAY(Jan!$B$4), $A6, Jan!D$4:D$65), SUMIF(_xlfn.ANCHORARRAY(Feb!$B$4), $A6, Feb!D$4:D$76), SUMIF(_xlfn.ANCHORARRAY(Mar!$B$4), $A6, Mar!D$4:D$65))</f>
        <v>5169</v>
      </c>
      <c r="D6" s="11">
        <f t="shared" ca="1" si="0"/>
        <v>-3318</v>
      </c>
      <c r="E6" s="12">
        <f t="shared" ref="E6:E12" ca="1" si="1">IFERROR(D6/C6, "")</f>
        <v>-0.64190365641323277</v>
      </c>
      <c r="F6" s="13">
        <f ca="1">SUM(SUMIF(_xlfn.ANCHORARRAY(Jan!$B$4), $A6, Jan!G$4:G$65), SUMIF(_xlfn.ANCHORARRAY(Feb!$B$4), $A6, Feb!G$4:G$76), SUMIF(_xlfn.ANCHORARRAY(Mar!$B$4), $A6, Mar!G$4:G$65))</f>
        <v>2894</v>
      </c>
      <c r="G6" s="13">
        <f t="shared" ref="G6:G12" ca="1" si="2">IF(AND(ISNUMBER(B6),ISNUMBER(F6)), B6-F6, "")</f>
        <v>-1043</v>
      </c>
      <c r="H6" s="14">
        <f t="shared" ref="H6:H12" ca="1" si="3">IFERROR(G6/F6, "")</f>
        <v>-0.36040082930200412</v>
      </c>
    </row>
    <row r="7" spans="1:8" ht="14.45">
      <c r="A7" s="9" t="str">
        <v>FL</v>
      </c>
      <c r="B7" s="10">
        <f ca="1">SUM(SUMIF(_xlfn.ANCHORARRAY(Jan!$B$4), $A7, Jan!C$4:C$65), SUMIF(_xlfn.ANCHORARRAY(Feb!$B$4), $A7, Feb!C$4:C$76), SUMIF(_xlfn.ANCHORARRAY(Mar!$B$4), $A7, Mar!C$4:C$65))</f>
        <v>6795</v>
      </c>
      <c r="C7" s="15">
        <f ca="1">SUM(SUMIF(_xlfn.ANCHORARRAY(Jan!$B$4), $A7, Jan!D$4:D$65), SUMIF(_xlfn.ANCHORARRAY(Feb!$B$4), $A7, Feb!D$4:D$76), SUMIF(_xlfn.ANCHORARRAY(Mar!$B$4), $A7, Mar!D$4:D$65))</f>
        <v>10103</v>
      </c>
      <c r="D7" s="15">
        <f t="shared" ref="D7:D12" ca="1" si="4">IF(AND(ISNUMBER(B7),ISNUMBER(C7)), B7-C7, "")</f>
        <v>-3308</v>
      </c>
      <c r="E7" s="16">
        <f t="shared" ca="1" si="1"/>
        <v>-0.32742749678313371</v>
      </c>
      <c r="F7" s="15">
        <f ca="1">SUM(SUMIF(_xlfn.ANCHORARRAY(Jan!$B$4), $A7, Jan!G$4:G$65), SUMIF(_xlfn.ANCHORARRAY(Feb!$B$4), $A7, Feb!G$4:G$76), SUMIF(_xlfn.ANCHORARRAY(Mar!$B$4), $A7, Mar!G$4:G$65))</f>
        <v>12194</v>
      </c>
      <c r="G7" s="15">
        <f t="shared" ca="1" si="2"/>
        <v>-5399</v>
      </c>
      <c r="H7" s="16">
        <f t="shared" ca="1" si="3"/>
        <v>-0.44275873380350994</v>
      </c>
    </row>
    <row r="8" spans="1:8" ht="12.75" customHeight="1">
      <c r="A8" s="8" t="str">
        <v>IA</v>
      </c>
      <c r="B8" s="21">
        <f ca="1">SUM(SUMIF(_xlfn.ANCHORARRAY(Jan!$B$4), $A8, Jan!C$4:C$65), SUMIF(_xlfn.ANCHORARRAY(Feb!$B$4), $A8, Feb!C$4:C$76), SUMIF(_xlfn.ANCHORARRAY(Mar!$B$4), $A8, Mar!C$4:C$65))</f>
        <v>613482</v>
      </c>
      <c r="C8" s="11">
        <f ca="1">SUM(SUMIF(_xlfn.ANCHORARRAY(Jan!$B$4), $A8, Jan!D$4:D$65), SUMIF(_xlfn.ANCHORARRAY(Feb!$B$4), $A8, Feb!D$4:D$76), SUMIF(_xlfn.ANCHORARRAY(Mar!$B$4), $A8, Mar!D$4:D$65))</f>
        <v>684039</v>
      </c>
      <c r="D8" s="11">
        <f t="shared" ca="1" si="4"/>
        <v>-70557</v>
      </c>
      <c r="E8" s="12">
        <f t="shared" ca="1" si="1"/>
        <v>-0.10314762754755211</v>
      </c>
      <c r="F8" s="13">
        <f ca="1">SUM(SUMIF(_xlfn.ANCHORARRAY(Jan!$B$4), $A8, Jan!G$4:G$65), SUMIF(_xlfn.ANCHORARRAY(Feb!$B$4), $A8, Feb!G$4:G$76), SUMIF(_xlfn.ANCHORARRAY(Mar!$B$4), $A8, Mar!G$4:G$65))</f>
        <v>584112</v>
      </c>
      <c r="G8" s="13">
        <f t="shared" ca="1" si="2"/>
        <v>29370</v>
      </c>
      <c r="H8" s="14">
        <f t="shared" ca="1" si="3"/>
        <v>5.0281452872051935E-2</v>
      </c>
    </row>
    <row r="9" spans="1:8" ht="14.45">
      <c r="A9" s="9" t="str">
        <v>NC</v>
      </c>
      <c r="B9" s="10">
        <f ca="1">SUM(SUMIF(_xlfn.ANCHORARRAY(Jan!$B$4), $A9, Jan!C$4:C$65), SUMIF(_xlfn.ANCHORARRAY(Feb!$B$4), $A9, Feb!C$4:C$76), SUMIF(_xlfn.ANCHORARRAY(Mar!$B$4), $A9, Mar!C$4:C$65))</f>
        <v>815835</v>
      </c>
      <c r="C9" s="15">
        <f ca="1">SUM(SUMIF(_xlfn.ANCHORARRAY(Jan!$B$4), $A9, Jan!D$4:D$65), SUMIF(_xlfn.ANCHORARRAY(Feb!$B$4), $A9, Feb!D$4:D$76), SUMIF(_xlfn.ANCHORARRAY(Mar!$B$4), $A9, Mar!D$4:D$65))</f>
        <v>857586</v>
      </c>
      <c r="D9" s="15">
        <f t="shared" ca="1" si="4"/>
        <v>-41751</v>
      </c>
      <c r="E9" s="16">
        <f t="shared" ca="1" si="1"/>
        <v>-4.8684330201285937E-2</v>
      </c>
      <c r="F9" s="15">
        <f ca="1">SUM(SUMIF(_xlfn.ANCHORARRAY(Jan!$B$4), $A9, Jan!G$4:G$65), SUMIF(_xlfn.ANCHORARRAY(Feb!$B$4), $A9, Feb!G$4:G$76), SUMIF(_xlfn.ANCHORARRAY(Mar!$B$4), $A9, Mar!G$4:G$65))</f>
        <v>817329</v>
      </c>
      <c r="G9" s="15">
        <f t="shared" ca="1" si="2"/>
        <v>-1494</v>
      </c>
      <c r="H9" s="16">
        <f t="shared" ca="1" si="3"/>
        <v>-1.8279052866104102E-3</v>
      </c>
    </row>
    <row r="10" spans="1:8" ht="14.45">
      <c r="A10" s="8" t="str">
        <v>NJ</v>
      </c>
      <c r="B10" s="21">
        <f ca="1">SUM(SUMIF(_xlfn.ANCHORARRAY(Jan!$B$4), $A10, Jan!C$4:C$65), SUMIF(_xlfn.ANCHORARRAY(Feb!$B$4), $A10, Feb!C$4:C$76), SUMIF(_xlfn.ANCHORARRAY(Mar!$B$4), $A10, Mar!C$4:C$65))</f>
        <v>170720</v>
      </c>
      <c r="C10" s="11">
        <f ca="1">SUM(SUMIF(_xlfn.ANCHORARRAY(Jan!$B$4), $A10, Jan!D$4:D$65), SUMIF(_xlfn.ANCHORARRAY(Feb!$B$4), $A10, Feb!D$4:D$76), SUMIF(_xlfn.ANCHORARRAY(Mar!$B$4), $A10, Mar!D$4:D$65))</f>
        <v>178697</v>
      </c>
      <c r="D10" s="11">
        <f t="shared" ca="1" si="4"/>
        <v>-7977</v>
      </c>
      <c r="E10" s="12">
        <f t="shared" ca="1" si="1"/>
        <v>-4.4639809286110006E-2</v>
      </c>
      <c r="F10" s="13">
        <f ca="1">SUM(SUMIF(_xlfn.ANCHORARRAY(Jan!$B$4), $A10, Jan!G$4:G$65), SUMIF(_xlfn.ANCHORARRAY(Feb!$B$4), $A10, Feb!G$4:G$76), SUMIF(_xlfn.ANCHORARRAY(Mar!$B$4), $A10, Mar!G$4:G$65))</f>
        <v>163693</v>
      </c>
      <c r="G10" s="13">
        <f t="shared" ca="1" si="2"/>
        <v>7027</v>
      </c>
      <c r="H10" s="14">
        <f t="shared" ca="1" si="3"/>
        <v>4.2927919947706991E-2</v>
      </c>
    </row>
    <row r="11" spans="1:8" ht="14.45">
      <c r="A11" s="9" t="str">
        <v>TX</v>
      </c>
      <c r="B11" s="10">
        <f ca="1">SUM(SUMIF(_xlfn.ANCHORARRAY(Jan!$B$4), $A11, Jan!C$4:C$65), SUMIF(_xlfn.ANCHORARRAY(Feb!$B$4), $A11, Feb!C$4:C$76), SUMIF(_xlfn.ANCHORARRAY(Mar!$B$4), $A11, Mar!C$4:C$65))</f>
        <v>1715281</v>
      </c>
      <c r="C11" s="15">
        <f ca="1">SUM(SUMIF(_xlfn.ANCHORARRAY(Jan!$B$4), $A11, Jan!D$4:D$65), SUMIF(_xlfn.ANCHORARRAY(Feb!$B$4), $A11, Feb!D$4:D$76), SUMIF(_xlfn.ANCHORARRAY(Mar!$B$4), $A11, Mar!D$4:D$65))</f>
        <v>1848664</v>
      </c>
      <c r="D11" s="15">
        <f t="shared" ca="1" si="4"/>
        <v>-133383</v>
      </c>
      <c r="E11" s="16">
        <f t="shared" ca="1" si="1"/>
        <v>-7.2151023658166114E-2</v>
      </c>
      <c r="F11" s="15">
        <f ca="1">SUM(SUMIF(_xlfn.ANCHORARRAY(Jan!$B$4), $A11, Jan!G$4:G$65), SUMIF(_xlfn.ANCHORARRAY(Feb!$B$4), $A11, Feb!G$4:G$76), SUMIF(_xlfn.ANCHORARRAY(Mar!$B$4), $A11, Mar!G$4:G$65))</f>
        <v>1849861</v>
      </c>
      <c r="G11" s="15">
        <f t="shared" ca="1" si="2"/>
        <v>-134580</v>
      </c>
      <c r="H11" s="16">
        <f t="shared" ca="1" si="3"/>
        <v>-7.2751412133127843E-2</v>
      </c>
    </row>
    <row r="12" spans="1:8" ht="14.45">
      <c r="A12" s="8" t="str">
        <v>AZ</v>
      </c>
      <c r="B12" s="21">
        <f ca="1">SUM(SUMIF(_xlfn.ANCHORARRAY(Jan!$B$4), $A12, Jan!C$4:C$65), SUMIF(_xlfn.ANCHORARRAY(Feb!$B$4), $A12, Feb!C$4:C$76), SUMIF(_xlfn.ANCHORARRAY(Mar!$B$4), $A12, Mar!C$4:C$65))</f>
        <v>914145</v>
      </c>
      <c r="C12" s="11">
        <f ca="1">SUM(SUMIF(_xlfn.ANCHORARRAY(Jan!$B$4), $A12, Jan!D$4:D$65), SUMIF(_xlfn.ANCHORARRAY(Feb!$B$4), $A12, Feb!D$4:D$76), SUMIF(_xlfn.ANCHORARRAY(Mar!$B$4), $A12, Mar!D$4:D$65))</f>
        <v>791275</v>
      </c>
      <c r="D12" s="11">
        <f t="shared" ca="1" si="4"/>
        <v>122870</v>
      </c>
      <c r="E12" s="12">
        <f t="shared" ca="1" si="1"/>
        <v>0.15528103377460428</v>
      </c>
      <c r="F12" s="13">
        <f ca="1">SUM(SUMIF(_xlfn.ANCHORARRAY(Jan!$B$4), $A12, Jan!G$4:G$65), SUMIF(_xlfn.ANCHORARRAY(Feb!$B$4), $A12, Feb!G$4:G$76), SUMIF(_xlfn.ANCHORARRAY(Mar!$B$4), $A12, Mar!G$4:G$65))</f>
        <v>948801</v>
      </c>
      <c r="G12" s="13">
        <f t="shared" ca="1" si="2"/>
        <v>-34656</v>
      </c>
      <c r="H12" s="14">
        <f t="shared" ca="1" si="3"/>
        <v>-3.6526099782778473E-2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8" priority="1" stopIfTrue="1" operator="lessThanOrEqual">
      <formula>-0.1</formula>
    </cfRule>
    <cfRule type="expression" dxfId="37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2" sqref="B2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3" width="11.85546875" customWidth="1"/>
    <col min="4" max="5" width="13.140625" customWidth="1"/>
    <col min="6" max="6" width="13.140625" style="1" customWidth="1"/>
    <col min="7" max="8" width="13.140625" customWidth="1"/>
  </cols>
  <sheetData>
    <row r="1" spans="1:8" ht="19.5" customHeight="1">
      <c r="A1" s="256" t="str" cm="1">
        <f t="array" ref="A1">portfolio</f>
        <v>Wells Fargo</v>
      </c>
      <c r="B1" s="257"/>
      <c r="C1" s="258" t="s">
        <v>40</v>
      </c>
      <c r="D1" s="259"/>
      <c r="E1" s="260"/>
      <c r="F1" s="261" t="s">
        <v>41</v>
      </c>
      <c r="G1" s="262"/>
      <c r="H1" s="263"/>
    </row>
    <row r="2" spans="1:8" ht="19.5" customHeight="1">
      <c r="A2" s="41" t="s">
        <v>2</v>
      </c>
      <c r="B2" s="4">
        <f ca="1">SUM(B4:B85)</f>
        <v>6006772.0842812499</v>
      </c>
      <c r="C2" s="4">
        <f ca="1">SUM(C4:C85)</f>
        <v>5524974.2650000006</v>
      </c>
      <c r="D2" s="4">
        <f ca="1">B2-C2</f>
        <v>481797.81928124931</v>
      </c>
      <c r="E2" s="5">
        <f ca="1">IFERROR(D2/C2, 0)</f>
        <v>8.7203631396688366E-2</v>
      </c>
      <c r="F2" s="4">
        <f ca="1">SUM(F4:F85)</f>
        <v>6241087.4369999999</v>
      </c>
      <c r="G2" s="6">
        <f ca="1">B2-F2</f>
        <v>-234315.35271875001</v>
      </c>
      <c r="H2" s="5">
        <f ca="1">IFERROR(G2/F2, 0)</f>
        <v>-3.7543994549671299E-2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SUM(SUMIF(_xlfn.ANCHORARRAY(Apr!$B$4), $A4, Apr!C$4:C$78), SUMIF(_xlfn.ANCHORARRAY(May!$B$4), $A4, May!C$4:C$65), SUMIF(_xlfn.ANCHORARRAY(Jun!$B$4), $A4, Jun!C$4:C$65))</f>
        <v>454465.44099999999</v>
      </c>
      <c r="C4" s="11">
        <f ca="1">SUM(SUMIF(_xlfn.ANCHORARRAY(Apr!$B$4), $A4, Apr!D$4:D$78), SUMIF(_xlfn.ANCHORARRAY(May!$B$4), $A4, May!D$4:D$65), SUMIF(_xlfn.ANCHORARRAY(Jun!$B$4), $A4, Jun!D$4:D$65))</f>
        <v>384953.35</v>
      </c>
      <c r="D4" s="11">
        <f ca="1">IF(AND(ISNUMBER(B4),ISNUMBER(C4)), B4-C4, "")</f>
        <v>69512.091000000015</v>
      </c>
      <c r="E4" s="12">
        <f ca="1">IFERROR(D4/C4, "")</f>
        <v>0.18057276550522294</v>
      </c>
      <c r="F4" s="13">
        <f ca="1">SUM(SUMIF(_xlfn.ANCHORARRAY(Apr!$B$4), $A4, Apr!G$4:G$78), SUMIF(_xlfn.ANCHORARRAY(May!$B$4), $A4, May!G$4:G$65), SUMIF(_xlfn.ANCHORARRAY(Jun!$B$4), $A4, Jun!G$4:G$65))</f>
        <v>468977.55799999996</v>
      </c>
      <c r="G4" s="13">
        <f ca="1">IF(AND(ISNUMBER(B4),ISNUMBER(F4)), B4-F4, "")</f>
        <v>-14512.116999999969</v>
      </c>
      <c r="H4" s="14">
        <f ca="1">IFERROR(G4/F4, "")</f>
        <v>-3.0944160871766001E-2</v>
      </c>
    </row>
    <row r="5" spans="1:8" ht="14.4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86882</v>
      </c>
      <c r="C5" s="15">
        <f ca="1">SUM(SUMIF(_xlfn.ANCHORARRAY(Apr!$B$4), $A5, Apr!D$4:D$78), SUMIF(_xlfn.ANCHORARRAY(May!$B$4), $A5, May!D$4:D$65), SUMIF(_xlfn.ANCHORARRAY(Jun!$B$4), $A5, Jun!D$4:D$65))</f>
        <v>0</v>
      </c>
      <c r="D5" s="15">
        <f t="shared" ref="D5:D12" ca="1" si="0">IF(AND(ISNUMBER(B5),ISNUMBER(C5)), B5-C5, "")</f>
        <v>86882</v>
      </c>
      <c r="E5" s="16" t="str">
        <f ca="1">IFERROR(D5/C5, "")</f>
        <v/>
      </c>
      <c r="F5" s="15">
        <f ca="1">SUM(SUMIF(_xlfn.ANCHORARRAY(Apr!$B$4), $A5, Apr!G$4:G$78), SUMIF(_xlfn.ANCHORARRAY(May!$B$4), $A5, May!G$4:G$65), SUMIF(_xlfn.ANCHORARRAY(Jun!$B$4), $A5, Jun!G$4:G$65))</f>
        <v>91827</v>
      </c>
      <c r="G5" s="15">
        <f ca="1">IF(AND(ISNUMBER(B5),ISNUMBER(F5)), B5-F5, "")</f>
        <v>-4945</v>
      </c>
      <c r="H5" s="16">
        <f ca="1">IFERROR(G5/F5, "")</f>
        <v>-5.3851263789517247E-2</v>
      </c>
    </row>
    <row r="6" spans="1:8" ht="14.45">
      <c r="A6" s="8" t="str">
        <v>CT</v>
      </c>
      <c r="B6" s="21">
        <f ca="1">SUM(SUMIF(_xlfn.ANCHORARRAY(Apr!$B$4), $A6, Apr!C$4:C$78), SUMIF(_xlfn.ANCHORARRAY(May!$B$4), $A6, May!C$4:C$65), SUMIF(_xlfn.ANCHORARRAY(Jun!$B$4), $A6, Jun!C$4:C$65))</f>
        <v>4927</v>
      </c>
      <c r="C6" s="11">
        <f ca="1">SUM(SUMIF(_xlfn.ANCHORARRAY(Apr!$B$4), $A6, Apr!D$4:D$78), SUMIF(_xlfn.ANCHORARRAY(May!$B$4), $A6, May!D$4:D$65), SUMIF(_xlfn.ANCHORARRAY(Jun!$B$4), $A6, Jun!D$4:D$65))</f>
        <v>5259</v>
      </c>
      <c r="D6" s="11">
        <f t="shared" ca="1" si="0"/>
        <v>-332</v>
      </c>
      <c r="E6" s="12">
        <f t="shared" ref="E6:E12" ca="1" si="1">IFERROR(D6/C6, "")</f>
        <v>-6.3129872599353487E-2</v>
      </c>
      <c r="F6" s="13">
        <f ca="1">SUM(SUMIF(_xlfn.ANCHORARRAY(Apr!$B$4), $A6, Apr!G$4:G$78), SUMIF(_xlfn.ANCHORARRAY(May!$B$4), $A6, May!G$4:G$65), SUMIF(_xlfn.ANCHORARRAY(Jun!$B$4), $A6, Jun!G$4:G$65))</f>
        <v>6003</v>
      </c>
      <c r="G6" s="13">
        <f t="shared" ref="G6:G12" ca="1" si="2">IF(AND(ISNUMBER(B6),ISNUMBER(F6)), B6-F6, "")</f>
        <v>-1076</v>
      </c>
      <c r="H6" s="14">
        <f t="shared" ref="H6:H12" ca="1" si="3">IFERROR(G6/F6, "")</f>
        <v>-0.17924371147759455</v>
      </c>
    </row>
    <row r="7" spans="1:8" ht="14.4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2625</v>
      </c>
      <c r="C7" s="15">
        <f ca="1">SUM(SUMIF(_xlfn.ANCHORARRAY(Apr!$B$4), $A7, Apr!D$4:D$78), SUMIF(_xlfn.ANCHORARRAY(May!$B$4), $A7, May!D$4:D$65), SUMIF(_xlfn.ANCHORARRAY(Jun!$B$4), $A7, Jun!D$4:D$65))</f>
        <v>13157</v>
      </c>
      <c r="D7" s="15">
        <f t="shared" ca="1" si="0"/>
        <v>-10532</v>
      </c>
      <c r="E7" s="16">
        <f t="shared" ca="1" si="1"/>
        <v>-0.80048643307744927</v>
      </c>
      <c r="F7" s="15">
        <f ca="1">SUM(SUMIF(_xlfn.ANCHORARRAY(Apr!$B$4), $A7, Apr!G$4:G$78), SUMIF(_xlfn.ANCHORARRAY(May!$B$4), $A7, May!G$4:G$65), SUMIF(_xlfn.ANCHORARRAY(Jun!$B$4), $A7, Jun!G$4:G$65))</f>
        <v>16185</v>
      </c>
      <c r="G7" s="15">
        <f t="shared" ca="1" si="2"/>
        <v>-13560</v>
      </c>
      <c r="H7" s="16">
        <f t="shared" ca="1" si="3"/>
        <v>-0.83781278962001848</v>
      </c>
    </row>
    <row r="8" spans="1:8" ht="14.45">
      <c r="A8" s="8" t="str">
        <v>IA</v>
      </c>
      <c r="B8" s="21">
        <f ca="1">SUM(SUMIF(_xlfn.ANCHORARRAY(Apr!$B$4), $A8, Apr!C$4:C$78), SUMIF(_xlfn.ANCHORARRAY(May!$B$4), $A8, May!C$4:C$65), SUMIF(_xlfn.ANCHORARRAY(Jun!$B$4), $A8, Jun!C$4:C$65))</f>
        <v>832182</v>
      </c>
      <c r="C8" s="11">
        <f ca="1">SUM(SUMIF(_xlfn.ANCHORARRAY(Apr!$B$4), $A8, Apr!D$4:D$78), SUMIF(_xlfn.ANCHORARRAY(May!$B$4), $A8, May!D$4:D$65), SUMIF(_xlfn.ANCHORARRAY(Jun!$B$4), $A8, Jun!D$4:D$65))</f>
        <v>787358</v>
      </c>
      <c r="D8" s="11">
        <f t="shared" ca="1" si="0"/>
        <v>44824</v>
      </c>
      <c r="E8" s="12">
        <f t="shared" ca="1" si="1"/>
        <v>5.692963048575108E-2</v>
      </c>
      <c r="F8" s="13">
        <f ca="1">SUM(SUMIF(_xlfn.ANCHORARRAY(Apr!$B$4), $A8, Apr!G$4:G$78), SUMIF(_xlfn.ANCHORARRAY(May!$B$4), $A8, May!G$4:G$65), SUMIF(_xlfn.ANCHORARRAY(Jun!$B$4), $A8, Jun!G$4:G$65))</f>
        <v>856428</v>
      </c>
      <c r="G8" s="13">
        <f t="shared" ca="1" si="2"/>
        <v>-24246</v>
      </c>
      <c r="H8" s="14">
        <f t="shared" ca="1" si="3"/>
        <v>-2.8310611049615381E-2</v>
      </c>
    </row>
    <row r="9" spans="1:8" ht="14.4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1111186</v>
      </c>
      <c r="C9" s="15">
        <f ca="1">SUM(SUMIF(_xlfn.ANCHORARRAY(Apr!$B$4), $A9, Apr!D$4:D$78), SUMIF(_xlfn.ANCHORARRAY(May!$B$4), $A9, May!D$4:D$65), SUMIF(_xlfn.ANCHORARRAY(Jun!$B$4), $A9, Jun!D$4:D$65))</f>
        <v>1158864</v>
      </c>
      <c r="D9" s="15">
        <f t="shared" ca="1" si="0"/>
        <v>-47678</v>
      </c>
      <c r="E9" s="16">
        <f t="shared" ca="1" si="1"/>
        <v>-4.1142014938767624E-2</v>
      </c>
      <c r="F9" s="15">
        <f ca="1">SUM(SUMIF(_xlfn.ANCHORARRAY(Apr!$B$4), $A9, Apr!G$4:G$78), SUMIF(_xlfn.ANCHORARRAY(May!$B$4), $A9, May!G$4:G$65), SUMIF(_xlfn.ANCHORARRAY(Jun!$B$4), $A9, Jun!G$4:G$65))</f>
        <v>1153402</v>
      </c>
      <c r="G9" s="15">
        <f t="shared" ca="1" si="2"/>
        <v>-42216</v>
      </c>
      <c r="H9" s="16">
        <f t="shared" ca="1" si="3"/>
        <v>-3.6601289056200699E-2</v>
      </c>
    </row>
    <row r="10" spans="1:8" ht="14.45">
      <c r="A10" s="8" t="str">
        <v>NJ</v>
      </c>
      <c r="B10" s="21">
        <f ca="1">SUM(SUMIF(_xlfn.ANCHORARRAY(Apr!$B$4), $A10, Apr!C$4:C$78), SUMIF(_xlfn.ANCHORARRAY(May!$B$4), $A10, May!C$4:C$65), SUMIF(_xlfn.ANCHORARRAY(Jun!$B$4), $A10, Jun!C$4:C$65))</f>
        <v>247246</v>
      </c>
      <c r="C10" s="11">
        <f ca="1">SUM(SUMIF(_xlfn.ANCHORARRAY(Apr!$B$4), $A10, Apr!D$4:D$78), SUMIF(_xlfn.ANCHORARRAY(May!$B$4), $A10, May!D$4:D$65), SUMIF(_xlfn.ANCHORARRAY(Jun!$B$4), $A10, Jun!D$4:D$65))</f>
        <v>248112</v>
      </c>
      <c r="D10" s="11">
        <f t="shared" ca="1" si="0"/>
        <v>-866</v>
      </c>
      <c r="E10" s="12">
        <f t="shared" ca="1" si="1"/>
        <v>-3.4903591926226866E-3</v>
      </c>
      <c r="F10" s="13">
        <f ca="1">SUM(SUMIF(_xlfn.ANCHORARRAY(Apr!$B$4), $A10, Apr!G$4:G$78), SUMIF(_xlfn.ANCHORARRAY(May!$B$4), $A10, May!G$4:G$65), SUMIF(_xlfn.ANCHORARRAY(Jun!$B$4), $A10, Jun!G$4:G$65))</f>
        <v>297565</v>
      </c>
      <c r="G10" s="13">
        <f t="shared" ca="1" si="2"/>
        <v>-50319</v>
      </c>
      <c r="H10" s="14">
        <f t="shared" ca="1" si="3"/>
        <v>-0.16910254902290256</v>
      </c>
    </row>
    <row r="11" spans="1:8" ht="14.4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1671673.64328125</v>
      </c>
      <c r="C11" s="15">
        <f ca="1">SUM(SUMIF(_xlfn.ANCHORARRAY(Apr!$B$4), $A11, Apr!D$4:D$78), SUMIF(_xlfn.ANCHORARRAY(May!$B$4), $A11, May!D$4:D$65), SUMIF(_xlfn.ANCHORARRAY(Jun!$B$4), $A11, Jun!D$4:D$65))</f>
        <v>1446898.915</v>
      </c>
      <c r="D11" s="15">
        <f t="shared" ca="1" si="0"/>
        <v>224774.72828124999</v>
      </c>
      <c r="E11" s="16">
        <f t="shared" ca="1" si="1"/>
        <v>0.15534929631297012</v>
      </c>
      <c r="F11" s="15">
        <f ca="1">SUM(SUMIF(_xlfn.ANCHORARRAY(Apr!$B$4), $A11, Apr!G$4:G$78), SUMIF(_xlfn.ANCHORARRAY(May!$B$4), $A11, May!G$4:G$65), SUMIF(_xlfn.ANCHORARRAY(Jun!$B$4), $A11, Jun!G$4:G$65))</f>
        <v>1825798.879</v>
      </c>
      <c r="G11" s="15">
        <f t="shared" ca="1" si="2"/>
        <v>-154125.23571874993</v>
      </c>
      <c r="H11" s="16">
        <f t="shared" ca="1" si="3"/>
        <v>-8.4415231869988422E-2</v>
      </c>
    </row>
    <row r="12" spans="1:8" ht="14.45">
      <c r="A12" s="8" t="str">
        <v>AZ</v>
      </c>
      <c r="B12" s="21">
        <f ca="1">SUM(SUMIF(_xlfn.ANCHORARRAY(Apr!$B$4), $A12, Apr!C$4:C$78), SUMIF(_xlfn.ANCHORARRAY(May!$B$4), $A12, May!C$4:C$65), SUMIF(_xlfn.ANCHORARRAY(Jun!$B$4), $A12, Jun!C$4:C$65))</f>
        <v>1595585</v>
      </c>
      <c r="C12" s="11">
        <f ca="1">SUM(SUMIF(_xlfn.ANCHORARRAY(Apr!$B$4), $A12, Apr!D$4:D$78), SUMIF(_xlfn.ANCHORARRAY(May!$B$4), $A12, May!D$4:D$65), SUMIF(_xlfn.ANCHORARRAY(Jun!$B$4), $A12, Jun!D$4:D$65))</f>
        <v>1480372</v>
      </c>
      <c r="D12" s="11">
        <f t="shared" ca="1" si="0"/>
        <v>115213</v>
      </c>
      <c r="E12" s="12">
        <f t="shared" ca="1" si="1"/>
        <v>7.782705968499809E-2</v>
      </c>
      <c r="F12" s="13">
        <f ca="1">SUM(SUMIF(_xlfn.ANCHORARRAY(Apr!$B$4), $A12, Apr!G$4:G$78), SUMIF(_xlfn.ANCHORARRAY(May!$B$4), $A12, May!G$4:G$65), SUMIF(_xlfn.ANCHORARRAY(Jun!$B$4), $A12, Jun!G$4:G$65))</f>
        <v>1524901</v>
      </c>
      <c r="G12" s="13">
        <f t="shared" ca="1" si="2"/>
        <v>70684</v>
      </c>
      <c r="H12" s="14">
        <f t="shared" ca="1" si="3"/>
        <v>4.6353173091236745E-2</v>
      </c>
    </row>
    <row r="13" spans="1:8" ht="12.75" customHeight="1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8"/>
      <c r="F23" s="18"/>
      <c r="G23" s="18"/>
      <c r="H23" s="18"/>
    </row>
    <row r="24" spans="1:8" ht="13.9">
      <c r="A24" s="18"/>
      <c r="B24" s="18"/>
      <c r="C24" s="18"/>
      <c r="D24" s="18"/>
      <c r="E24" s="18"/>
      <c r="F24" s="18"/>
      <c r="G24" s="18"/>
      <c r="H24" s="18"/>
    </row>
    <row r="25" spans="1:8" ht="13.9">
      <c r="A25" s="18"/>
      <c r="B25" s="18"/>
      <c r="C25" s="18"/>
      <c r="D25" s="18"/>
      <c r="E25" s="18"/>
      <c r="F25" s="18"/>
      <c r="G25" s="18"/>
      <c r="H25" s="18"/>
    </row>
    <row r="26" spans="1:8" ht="13.9">
      <c r="A26" s="18"/>
      <c r="B26" s="18"/>
      <c r="C26" s="18"/>
      <c r="D26" s="18"/>
      <c r="E26" s="18"/>
      <c r="F26" s="18"/>
      <c r="G26" s="18"/>
      <c r="H26" s="18"/>
    </row>
    <row r="27" spans="1:8" ht="13.9">
      <c r="A27" s="18"/>
      <c r="B27" s="18"/>
      <c r="C27" s="18"/>
      <c r="D27" s="18"/>
      <c r="E27" s="18"/>
      <c r="F27" s="18"/>
      <c r="G27" s="18"/>
      <c r="H27" s="18"/>
    </row>
    <row r="28" spans="1:8" ht="13.9">
      <c r="A28" s="18"/>
      <c r="B28" s="18"/>
      <c r="C28" s="18"/>
      <c r="D28" s="18"/>
      <c r="E28" s="18"/>
      <c r="F28" s="19"/>
      <c r="G28" s="18"/>
      <c r="H28" s="18"/>
    </row>
    <row r="29" spans="1:8" ht="13.9">
      <c r="A29" s="18"/>
      <c r="B29" s="18"/>
      <c r="C29" s="18"/>
      <c r="D29" s="18"/>
      <c r="E29" s="18"/>
      <c r="F29" s="19"/>
      <c r="G29" s="18"/>
      <c r="H29" s="18"/>
    </row>
    <row r="30" spans="1:8" ht="13.9">
      <c r="A30" s="18"/>
      <c r="B30" s="18"/>
      <c r="C30" s="18"/>
      <c r="D30" s="18"/>
      <c r="E30" s="18"/>
      <c r="F30" s="19"/>
      <c r="G30" s="18"/>
      <c r="H30" s="18"/>
    </row>
    <row r="31" spans="1:8" ht="13.9">
      <c r="A31" s="18"/>
      <c r="B31" s="18"/>
      <c r="C31" s="18"/>
      <c r="D31" s="18"/>
      <c r="E31" s="18"/>
      <c r="F31" s="19"/>
      <c r="G31" s="18"/>
      <c r="H31" s="18"/>
    </row>
    <row r="32" spans="1:8" ht="13.9">
      <c r="A32" s="18"/>
      <c r="B32" s="18"/>
      <c r="C32" s="18"/>
      <c r="D32" s="18"/>
      <c r="E32" s="18"/>
      <c r="F32" s="19"/>
      <c r="G32" s="18"/>
      <c r="H32" s="18"/>
    </row>
    <row r="33" spans="1:8" ht="13.9">
      <c r="A33" s="18"/>
      <c r="B33" s="18"/>
      <c r="C33" s="18"/>
      <c r="D33" s="18"/>
      <c r="E33" s="18"/>
      <c r="F33" s="19"/>
      <c r="G33" s="18"/>
      <c r="H33" s="18"/>
    </row>
    <row r="34" spans="1:8" ht="13.9">
      <c r="A34" s="18"/>
      <c r="B34" s="18"/>
      <c r="C34" s="18"/>
      <c r="D34" s="18"/>
      <c r="E34" s="18"/>
      <c r="F34" s="19"/>
      <c r="G34" s="18"/>
      <c r="H34" s="18"/>
    </row>
    <row r="35" spans="1:8" ht="13.9">
      <c r="A35" s="18"/>
      <c r="B35" s="18"/>
      <c r="C35" s="18"/>
      <c r="D35" s="18"/>
      <c r="E35" s="18"/>
      <c r="F35" s="19"/>
      <c r="G35" s="18"/>
      <c r="H35" s="18"/>
    </row>
    <row r="36" spans="1:8" ht="13.9">
      <c r="A36" s="18"/>
      <c r="B36" s="18"/>
      <c r="C36" s="18"/>
      <c r="D36" s="18"/>
      <c r="E36" s="18"/>
      <c r="F36" s="19"/>
      <c r="G36" s="18"/>
      <c r="H36" s="18"/>
    </row>
    <row r="37" spans="1:8" ht="13.9">
      <c r="A37" s="18"/>
      <c r="B37" s="18"/>
      <c r="C37" s="18"/>
      <c r="D37" s="18"/>
      <c r="E37" s="18"/>
      <c r="F37" s="19"/>
      <c r="G37" s="18"/>
      <c r="H37" s="18"/>
    </row>
    <row r="38" spans="1:8" ht="13.9">
      <c r="A38" s="18"/>
      <c r="B38" s="18"/>
      <c r="C38" s="18"/>
      <c r="D38" s="18"/>
      <c r="E38" s="18"/>
      <c r="F38" s="19"/>
      <c r="G38" s="18"/>
      <c r="H38" s="18"/>
    </row>
    <row r="39" spans="1:8" ht="13.9">
      <c r="A39" s="18"/>
      <c r="B39" s="18"/>
      <c r="C39" s="18"/>
      <c r="D39" s="18"/>
      <c r="E39" s="18"/>
      <c r="F39" s="19"/>
      <c r="G39" s="18"/>
      <c r="H39" s="18"/>
    </row>
    <row r="40" spans="1:8" ht="13.9">
      <c r="A40" s="18"/>
      <c r="B40" s="18"/>
      <c r="C40" s="18"/>
      <c r="D40" s="18"/>
      <c r="E40" s="18"/>
      <c r="F40" s="19"/>
      <c r="G40" s="18"/>
      <c r="H40" s="18"/>
    </row>
    <row r="41" spans="1:8" ht="13.9">
      <c r="A41" s="18"/>
      <c r="B41" s="18"/>
      <c r="C41" s="18"/>
      <c r="D41" s="18"/>
      <c r="E41" s="18"/>
      <c r="F41" s="19"/>
      <c r="G41" s="18"/>
      <c r="H41" s="18"/>
    </row>
    <row r="42" spans="1:8" ht="13.9">
      <c r="A42" s="18"/>
      <c r="B42" s="18"/>
      <c r="C42" s="18"/>
      <c r="D42" s="18"/>
      <c r="E42" s="18"/>
      <c r="F42" s="19"/>
      <c r="G42" s="18"/>
      <c r="H42" s="18"/>
    </row>
    <row r="43" spans="1:8" ht="13.9">
      <c r="A43" s="18"/>
      <c r="B43" s="18"/>
      <c r="C43" s="18"/>
      <c r="D43" s="18"/>
      <c r="E43" s="18"/>
      <c r="F43" s="19"/>
      <c r="G43" s="18"/>
      <c r="H43" s="18"/>
    </row>
    <row r="44" spans="1:8" ht="13.9">
      <c r="A44" s="18"/>
      <c r="B44" s="18"/>
      <c r="C44" s="18"/>
      <c r="D44" s="18"/>
      <c r="E44" s="18"/>
      <c r="F44" s="19"/>
      <c r="G44" s="18"/>
      <c r="H44" s="18"/>
    </row>
    <row r="45" spans="1:8" ht="13.9">
      <c r="A45" s="18"/>
      <c r="B45" s="18"/>
      <c r="C45" s="18"/>
      <c r="D45" s="18"/>
      <c r="E45" s="18"/>
      <c r="F45" s="19"/>
      <c r="G45" s="18"/>
      <c r="H45" s="18"/>
    </row>
    <row r="46" spans="1:8" ht="13.9">
      <c r="A46" s="18"/>
      <c r="B46" s="18"/>
      <c r="C46" s="18"/>
      <c r="D46" s="18"/>
      <c r="E46" s="18"/>
      <c r="F46" s="19"/>
      <c r="G46" s="18"/>
      <c r="H46" s="18"/>
    </row>
    <row r="47" spans="1:8" ht="13.9">
      <c r="A47" s="18"/>
      <c r="B47" s="18"/>
      <c r="C47" s="18"/>
      <c r="D47" s="18"/>
      <c r="E47" s="18"/>
      <c r="F47" s="19"/>
      <c r="G47" s="18"/>
      <c r="H47" s="18"/>
    </row>
    <row r="48" spans="1:8" ht="13.9">
      <c r="A48" s="18"/>
      <c r="B48" s="18"/>
      <c r="C48" s="18"/>
      <c r="D48" s="18"/>
      <c r="E48" s="18"/>
      <c r="F48" s="19"/>
      <c r="G48" s="18"/>
      <c r="H48" s="18"/>
    </row>
    <row r="49" spans="1:8" ht="13.9">
      <c r="A49" s="18"/>
      <c r="B49" s="18"/>
      <c r="C49" s="18"/>
      <c r="D49" s="18"/>
      <c r="E49" s="18"/>
      <c r="F49" s="19"/>
      <c r="G49" s="18"/>
      <c r="H49" s="18"/>
    </row>
    <row r="50" spans="1:8" ht="13.9">
      <c r="A50" s="18"/>
      <c r="B50" s="18"/>
      <c r="C50" s="18"/>
      <c r="D50" s="18"/>
      <c r="E50" s="18"/>
      <c r="F50" s="19"/>
      <c r="G50" s="18"/>
      <c r="H50" s="18"/>
    </row>
    <row r="51" spans="1:8" ht="13.9">
      <c r="A51" s="18"/>
      <c r="B51" s="18"/>
      <c r="C51" s="18"/>
      <c r="D51" s="18"/>
      <c r="E51" s="18"/>
      <c r="F51" s="19"/>
      <c r="G51" s="18"/>
      <c r="H51" s="18"/>
    </row>
    <row r="52" spans="1:8" ht="13.9">
      <c r="A52" s="18"/>
      <c r="B52" s="18"/>
      <c r="C52" s="18"/>
      <c r="D52" s="18"/>
      <c r="E52" s="18"/>
      <c r="F52" s="19"/>
      <c r="G52" s="18"/>
      <c r="H52" s="18"/>
    </row>
    <row r="53" spans="1:8" ht="13.9">
      <c r="A53" s="18"/>
      <c r="B53" s="18"/>
      <c r="C53" s="18"/>
      <c r="D53" s="18"/>
      <c r="E53" s="18"/>
      <c r="F53" s="19"/>
      <c r="G53" s="18"/>
      <c r="H53" s="18"/>
    </row>
    <row r="54" spans="1:8" ht="13.9">
      <c r="A54" s="18"/>
      <c r="B54" s="18"/>
      <c r="C54" s="18"/>
      <c r="D54" s="18"/>
      <c r="E54" s="18"/>
      <c r="F54" s="19"/>
      <c r="G54" s="18"/>
      <c r="H54" s="18"/>
    </row>
    <row r="55" spans="1:8" ht="13.9">
      <c r="A55" s="18"/>
      <c r="B55" s="18"/>
      <c r="C55" s="18"/>
      <c r="D55" s="18"/>
      <c r="E55" s="18"/>
      <c r="F55" s="19"/>
      <c r="G55" s="18"/>
      <c r="H55" s="18"/>
    </row>
    <row r="56" spans="1:8" ht="13.9">
      <c r="A56" s="18"/>
      <c r="B56" s="18"/>
      <c r="C56" s="18"/>
      <c r="D56" s="18"/>
      <c r="E56" s="18"/>
      <c r="F56" s="19"/>
      <c r="G56" s="18"/>
      <c r="H56" s="18"/>
    </row>
    <row r="57" spans="1:8" ht="13.9">
      <c r="A57" s="18"/>
      <c r="B57" s="18"/>
      <c r="C57" s="18"/>
      <c r="D57" s="18"/>
      <c r="E57" s="18"/>
      <c r="F57" s="19"/>
      <c r="G57" s="18"/>
      <c r="H57" s="18"/>
    </row>
    <row r="58" spans="1:8" ht="13.9">
      <c r="A58" s="18"/>
      <c r="B58" s="18"/>
      <c r="C58" s="18"/>
      <c r="D58" s="18"/>
      <c r="E58" s="18"/>
      <c r="F58" s="19"/>
      <c r="G58" s="18"/>
      <c r="H58" s="18"/>
    </row>
    <row r="59" spans="1:8" ht="13.9">
      <c r="A59" s="18"/>
      <c r="B59" s="18"/>
      <c r="C59" s="18"/>
      <c r="D59" s="18"/>
      <c r="E59" s="18"/>
      <c r="F59" s="19"/>
      <c r="G59" s="18"/>
      <c r="H59" s="18"/>
    </row>
    <row r="60" spans="1:8" ht="13.9">
      <c r="A60" s="18"/>
      <c r="B60" s="18"/>
      <c r="C60" s="18"/>
      <c r="D60" s="18"/>
      <c r="E60" s="18"/>
      <c r="F60" s="19"/>
      <c r="G60" s="18"/>
      <c r="H60" s="18"/>
    </row>
    <row r="61" spans="1:8" ht="13.9">
      <c r="A61" s="18"/>
      <c r="B61" s="18"/>
      <c r="C61" s="18"/>
      <c r="D61" s="18"/>
      <c r="E61" s="18"/>
      <c r="F61" s="19"/>
      <c r="G61" s="18"/>
      <c r="H61" s="18"/>
    </row>
    <row r="62" spans="1:8" ht="13.9">
      <c r="A62" s="18"/>
      <c r="B62" s="18"/>
      <c r="C62" s="18"/>
      <c r="D62" s="18"/>
      <c r="E62" s="18"/>
      <c r="F62" s="19"/>
      <c r="G62" s="18"/>
      <c r="H62" s="18"/>
    </row>
    <row r="63" spans="1:8" ht="13.9">
      <c r="A63" s="18"/>
      <c r="B63" s="18"/>
      <c r="C63" s="18"/>
      <c r="D63" s="18"/>
      <c r="E63" s="18"/>
      <c r="F63" s="19"/>
      <c r="G63" s="18"/>
      <c r="H63" s="18"/>
    </row>
    <row r="64" spans="1:8" ht="13.9">
      <c r="A64" s="18"/>
      <c r="B64" s="18"/>
      <c r="C64" s="18"/>
      <c r="D64" s="18"/>
      <c r="E64" s="18"/>
      <c r="F64" s="19"/>
      <c r="G64" s="18"/>
      <c r="H64" s="18"/>
    </row>
    <row r="65" spans="1:8" ht="13.9">
      <c r="A65" s="18"/>
      <c r="B65" s="18"/>
      <c r="C65" s="18"/>
      <c r="D65" s="18"/>
      <c r="E65" s="18"/>
      <c r="F65" s="19"/>
      <c r="G65" s="18"/>
      <c r="H65" s="18"/>
    </row>
    <row r="66" spans="1:8" ht="13.9">
      <c r="A66" s="18"/>
      <c r="B66" s="18"/>
      <c r="C66" s="18"/>
      <c r="D66" s="18"/>
      <c r="E66" s="18"/>
      <c r="F66" s="19"/>
      <c r="G66" s="18"/>
      <c r="H66" s="18"/>
    </row>
    <row r="67" spans="1:8" ht="13.9">
      <c r="A67" s="18"/>
      <c r="B67" s="18"/>
      <c r="C67" s="18"/>
      <c r="D67" s="18"/>
      <c r="E67" s="18"/>
      <c r="F67" s="19"/>
      <c r="G67" s="18"/>
      <c r="H67" s="18"/>
    </row>
    <row r="68" spans="1:8" ht="13.9">
      <c r="A68" s="18"/>
      <c r="B68" s="18"/>
      <c r="C68" s="18"/>
      <c r="D68" s="18"/>
      <c r="E68" s="18"/>
      <c r="F68" s="19"/>
      <c r="G68" s="18"/>
      <c r="H68" s="18"/>
    </row>
    <row r="69" spans="1:8" ht="13.9">
      <c r="A69" s="18"/>
      <c r="B69" s="18"/>
      <c r="C69" s="18"/>
      <c r="D69" s="18"/>
      <c r="E69" s="18"/>
      <c r="F69" s="19"/>
      <c r="G69" s="18"/>
      <c r="H69" s="18"/>
    </row>
    <row r="70" spans="1:8" ht="13.9">
      <c r="A70" s="18"/>
      <c r="B70" s="18"/>
      <c r="C70" s="18"/>
      <c r="D70" s="18"/>
      <c r="E70" s="18"/>
      <c r="F70" s="19"/>
      <c r="G70" s="18"/>
      <c r="H70" s="18"/>
    </row>
    <row r="71" spans="1:8" ht="13.9">
      <c r="A71" s="18"/>
      <c r="B71" s="18"/>
      <c r="C71" s="18"/>
      <c r="D71" s="18"/>
      <c r="E71" s="18"/>
      <c r="F71" s="19"/>
      <c r="G71" s="18"/>
      <c r="H71" s="18"/>
    </row>
    <row r="72" spans="1:8" ht="13.9">
      <c r="A72" s="18"/>
      <c r="B72" s="18"/>
      <c r="C72" s="18"/>
      <c r="D72" s="18"/>
      <c r="E72" s="18"/>
      <c r="F72" s="19"/>
      <c r="G72" s="18"/>
      <c r="H72" s="18"/>
    </row>
    <row r="73" spans="1:8" ht="13.9">
      <c r="A73" s="18"/>
      <c r="B73" s="18"/>
      <c r="C73" s="18"/>
      <c r="D73" s="18"/>
      <c r="E73" s="18"/>
      <c r="F73" s="19"/>
      <c r="G73" s="18"/>
      <c r="H73" s="18"/>
    </row>
    <row r="74" spans="1:8" ht="13.9">
      <c r="A74" s="18"/>
      <c r="B74" s="18"/>
      <c r="C74" s="18"/>
      <c r="D74" s="18"/>
      <c r="E74" s="18"/>
      <c r="F74" s="19"/>
      <c r="G74" s="18"/>
      <c r="H74" s="18"/>
    </row>
    <row r="75" spans="1:8" ht="13.9">
      <c r="A75" s="18"/>
      <c r="B75" s="18"/>
      <c r="C75" s="18"/>
      <c r="D75" s="18"/>
      <c r="E75" s="18"/>
      <c r="F75" s="19"/>
      <c r="G75" s="18"/>
      <c r="H75" s="18"/>
    </row>
    <row r="76" spans="1:8" ht="13.9">
      <c r="A76" s="18"/>
      <c r="B76" s="18"/>
      <c r="C76" s="18"/>
      <c r="D76" s="18"/>
      <c r="E76" s="18"/>
      <c r="F76" s="19"/>
      <c r="G76" s="18"/>
      <c r="H76" s="18"/>
    </row>
    <row r="77" spans="1:8" ht="13.9">
      <c r="A77" s="18"/>
      <c r="B77" s="18"/>
      <c r="C77" s="18"/>
      <c r="D77" s="18"/>
      <c r="E77" s="18"/>
      <c r="F77" s="19"/>
      <c r="G77" s="18"/>
      <c r="H77" s="18"/>
    </row>
    <row r="78" spans="1:8" ht="13.9">
      <c r="A78" s="18"/>
      <c r="B78" s="18"/>
      <c r="C78" s="18"/>
      <c r="D78" s="18"/>
      <c r="E78" s="18"/>
      <c r="F78" s="19"/>
      <c r="G78" s="18"/>
      <c r="H78" s="18"/>
    </row>
    <row r="79" spans="1:8" ht="13.9">
      <c r="A79" s="18"/>
      <c r="B79" s="18"/>
      <c r="C79" s="18"/>
      <c r="D79" s="18"/>
      <c r="E79" s="18"/>
      <c r="F79" s="19"/>
      <c r="G79" s="18"/>
      <c r="H79" s="18"/>
    </row>
    <row r="80" spans="1:8" ht="13.9">
      <c r="A80" s="18"/>
      <c r="B80" s="18"/>
      <c r="C80" s="18"/>
      <c r="D80" s="18"/>
      <c r="E80" s="18"/>
      <c r="F80" s="19"/>
      <c r="G80" s="18"/>
      <c r="H80" s="18"/>
    </row>
    <row r="81" spans="1:8" ht="13.9">
      <c r="A81" s="18"/>
      <c r="B81" s="18"/>
      <c r="C81" s="18"/>
      <c r="D81" s="18"/>
      <c r="E81" s="18"/>
      <c r="F81" s="19"/>
      <c r="G81" s="18"/>
      <c r="H81" s="18"/>
    </row>
    <row r="82" spans="1:8" ht="13.9">
      <c r="A82" s="18"/>
      <c r="B82" s="18"/>
      <c r="C82" s="18"/>
      <c r="D82" s="18"/>
      <c r="E82" s="18"/>
      <c r="F82" s="19"/>
      <c r="G82" s="18"/>
      <c r="H82" s="18"/>
    </row>
    <row r="83" spans="1:8" ht="13.9">
      <c r="A83" s="18"/>
      <c r="B83" s="18"/>
      <c r="C83" s="18"/>
      <c r="D83" s="18"/>
      <c r="E83" s="18"/>
      <c r="F83" s="19"/>
      <c r="G83" s="18"/>
      <c r="H83" s="18"/>
    </row>
    <row r="84" spans="1:8" ht="13.9">
      <c r="A84" s="18"/>
      <c r="B84" s="18"/>
      <c r="C84" s="18"/>
      <c r="D84" s="18"/>
      <c r="E84" s="18"/>
      <c r="F84" s="19"/>
      <c r="G84" s="18"/>
      <c r="H84" s="18"/>
    </row>
    <row r="85" spans="1:8" ht="13.9">
      <c r="A85" s="18"/>
      <c r="B85" s="18"/>
      <c r="C85" s="18"/>
      <c r="D85" s="18"/>
      <c r="E85" s="18"/>
      <c r="F85" s="19"/>
      <c r="G85" s="18"/>
      <c r="H85" s="18"/>
    </row>
    <row r="86" spans="1:8" ht="13.9">
      <c r="A86" s="18"/>
      <c r="B86" s="18"/>
      <c r="C86" s="18"/>
      <c r="D86" s="18"/>
      <c r="E86" s="18"/>
      <c r="F86" s="19"/>
      <c r="G86" s="18"/>
      <c r="H86" s="18"/>
    </row>
    <row r="87" spans="1:8" ht="13.9">
      <c r="A87" s="18"/>
      <c r="B87" s="18"/>
      <c r="C87" s="18"/>
      <c r="D87" s="18"/>
      <c r="E87" s="18"/>
      <c r="F87" s="19"/>
      <c r="G87" s="18"/>
      <c r="H87" s="18"/>
    </row>
    <row r="88" spans="1:8" ht="13.9">
      <c r="A88" s="18"/>
      <c r="B88" s="18"/>
      <c r="C88" s="18"/>
      <c r="D88" s="18"/>
      <c r="E88" s="18"/>
      <c r="F88" s="19"/>
      <c r="G88" s="18"/>
      <c r="H88" s="18"/>
    </row>
    <row r="89" spans="1:8" ht="13.9">
      <c r="A89" s="18"/>
      <c r="B89" s="18"/>
      <c r="C89" s="18"/>
      <c r="D89" s="18"/>
      <c r="E89" s="18"/>
      <c r="F89" s="19"/>
      <c r="G89" s="18"/>
      <c r="H89" s="18"/>
    </row>
    <row r="90" spans="1:8" ht="13.9">
      <c r="A90" s="18"/>
      <c r="B90" s="18"/>
      <c r="C90" s="18"/>
      <c r="D90" s="18"/>
      <c r="E90" s="18"/>
      <c r="F90" s="19"/>
      <c r="G90" s="18"/>
      <c r="H90" s="18"/>
    </row>
    <row r="91" spans="1:8" ht="13.9">
      <c r="A91" s="18"/>
      <c r="B91" s="18"/>
      <c r="C91" s="18"/>
      <c r="D91" s="18"/>
      <c r="E91" s="18"/>
      <c r="F91" s="19"/>
      <c r="G91" s="18"/>
      <c r="H91" s="18"/>
    </row>
    <row r="92" spans="1:8" ht="13.9">
      <c r="A92" s="18"/>
      <c r="B92" s="18"/>
      <c r="C92" s="18"/>
      <c r="D92" s="18"/>
      <c r="E92" s="18"/>
      <c r="F92" s="19"/>
      <c r="G92" s="18"/>
      <c r="H92" s="18"/>
    </row>
    <row r="93" spans="1:8" ht="13.9">
      <c r="A93" s="18"/>
      <c r="B93" s="18"/>
      <c r="C93" s="18"/>
      <c r="D93" s="18"/>
      <c r="E93" s="18"/>
      <c r="F93" s="19"/>
      <c r="G93" s="18"/>
      <c r="H93" s="18"/>
    </row>
    <row r="94" spans="1:8" ht="13.9">
      <c r="A94" s="18"/>
      <c r="B94" s="18"/>
      <c r="C94" s="18"/>
      <c r="D94" s="18"/>
      <c r="E94" s="18"/>
      <c r="F94" s="19"/>
      <c r="G94" s="18"/>
      <c r="H94" s="18"/>
    </row>
    <row r="95" spans="1:8" ht="13.9">
      <c r="A95" s="18"/>
      <c r="B95" s="18"/>
      <c r="C95" s="18"/>
      <c r="D95" s="18"/>
      <c r="E95" s="18"/>
      <c r="F95" s="19"/>
      <c r="G95" s="18"/>
      <c r="H95" s="18"/>
    </row>
    <row r="96" spans="1:8" ht="13.9">
      <c r="A96" s="18"/>
      <c r="B96" s="18"/>
      <c r="C96" s="18"/>
      <c r="D96" s="18"/>
      <c r="E96" s="18"/>
      <c r="F96" s="19"/>
      <c r="G96" s="18"/>
      <c r="H96" s="18"/>
    </row>
    <row r="97" spans="1:8" ht="13.9">
      <c r="A97" s="18"/>
      <c r="B97" s="18"/>
      <c r="C97" s="18"/>
      <c r="D97" s="18"/>
      <c r="E97" s="18"/>
      <c r="F97" s="19"/>
      <c r="G97" s="18"/>
      <c r="H97" s="18"/>
    </row>
    <row r="98" spans="1:8" ht="13.9">
      <c r="A98" s="18"/>
      <c r="B98" s="18"/>
      <c r="C98" s="18"/>
      <c r="D98" s="18"/>
      <c r="E98" s="18"/>
      <c r="F98" s="19"/>
      <c r="G98" s="18"/>
      <c r="H98" s="18"/>
    </row>
    <row r="99" spans="1:8" ht="13.9">
      <c r="A99" s="18"/>
      <c r="B99" s="18"/>
      <c r="C99" s="18"/>
      <c r="D99" s="18"/>
      <c r="E99" s="18"/>
      <c r="F99" s="19"/>
      <c r="G99" s="18"/>
      <c r="H99" s="18"/>
    </row>
    <row r="100" spans="1:8" ht="13.9">
      <c r="A100" s="18"/>
      <c r="B100" s="18"/>
      <c r="C100" s="18"/>
      <c r="D100" s="18"/>
      <c r="E100" s="18"/>
      <c r="F100" s="19"/>
      <c r="G100" s="18"/>
      <c r="H100" s="18"/>
    </row>
    <row r="101" spans="1:8" ht="13.9">
      <c r="A101" s="18"/>
      <c r="B101" s="18"/>
      <c r="C101" s="18"/>
      <c r="D101" s="18"/>
      <c r="E101" s="18"/>
      <c r="F101" s="19"/>
      <c r="G101" s="18"/>
      <c r="H101" s="18"/>
    </row>
    <row r="102" spans="1:8" ht="13.9">
      <c r="A102" s="18"/>
      <c r="B102" s="18"/>
      <c r="C102" s="18"/>
      <c r="D102" s="18"/>
      <c r="E102" s="18"/>
      <c r="F102" s="19"/>
      <c r="G102" s="18"/>
      <c r="H102" s="18"/>
    </row>
    <row r="103" spans="1:8" ht="13.9">
      <c r="A103" s="18"/>
      <c r="B103" s="18"/>
      <c r="C103" s="18"/>
      <c r="D103" s="18"/>
      <c r="E103" s="18"/>
      <c r="F103" s="19"/>
      <c r="G103" s="18"/>
      <c r="H103" s="18"/>
    </row>
    <row r="104" spans="1:8" ht="13.9">
      <c r="A104" s="18"/>
      <c r="B104" s="18"/>
      <c r="C104" s="18"/>
      <c r="D104" s="18"/>
      <c r="E104" s="18"/>
      <c r="F104" s="19"/>
      <c r="G104" s="18"/>
      <c r="H104" s="18"/>
    </row>
    <row r="105" spans="1:8" ht="13.9">
      <c r="A105" s="18"/>
      <c r="B105" s="18"/>
      <c r="C105" s="18"/>
      <c r="D105" s="18"/>
      <c r="E105" s="18"/>
      <c r="F105" s="19"/>
      <c r="G105" s="18"/>
      <c r="H105" s="18"/>
    </row>
    <row r="106" spans="1:8" ht="13.9">
      <c r="A106" s="18"/>
      <c r="B106" s="18"/>
      <c r="C106" s="18"/>
      <c r="D106" s="18"/>
      <c r="E106" s="18"/>
      <c r="F106" s="19"/>
      <c r="G106" s="18"/>
      <c r="H106" s="18"/>
    </row>
    <row r="107" spans="1:8" ht="13.9">
      <c r="A107" s="18"/>
      <c r="B107" s="18"/>
      <c r="C107" s="18"/>
      <c r="D107" s="18"/>
      <c r="E107" s="18"/>
      <c r="F107" s="19"/>
      <c r="G107" s="18"/>
      <c r="H107" s="18"/>
    </row>
    <row r="108" spans="1:8" ht="13.9">
      <c r="A108" s="18"/>
      <c r="B108" s="18"/>
      <c r="C108" s="18"/>
      <c r="D108" s="18"/>
      <c r="E108" s="18"/>
      <c r="F108" s="19"/>
      <c r="G108" s="18"/>
      <c r="H108" s="18"/>
    </row>
    <row r="109" spans="1:8" ht="13.9">
      <c r="A109" s="18"/>
      <c r="B109" s="18"/>
      <c r="C109" s="18"/>
      <c r="D109" s="18"/>
      <c r="E109" s="18"/>
      <c r="F109" s="19"/>
      <c r="G109" s="18"/>
      <c r="H109" s="18"/>
    </row>
    <row r="110" spans="1:8" ht="13.9">
      <c r="A110" s="18"/>
      <c r="B110" s="18"/>
      <c r="C110" s="18"/>
      <c r="D110" s="18"/>
      <c r="E110" s="18"/>
      <c r="F110" s="19"/>
      <c r="G110" s="18"/>
      <c r="H110" s="18"/>
    </row>
    <row r="111" spans="1:8" ht="13.9">
      <c r="A111" s="18"/>
      <c r="B111" s="18"/>
      <c r="C111" s="18"/>
      <c r="D111" s="18"/>
      <c r="E111" s="18"/>
      <c r="F111" s="19"/>
      <c r="G111" s="18"/>
      <c r="H111" s="18"/>
    </row>
    <row r="112" spans="1:8" ht="13.9">
      <c r="A112" s="18"/>
      <c r="B112" s="18"/>
      <c r="C112" s="18"/>
      <c r="D112" s="18"/>
      <c r="E112" s="18"/>
      <c r="F112" s="19"/>
      <c r="G112" s="18"/>
      <c r="H112" s="18"/>
    </row>
    <row r="113" spans="1:8" ht="13.9">
      <c r="A113" s="18"/>
      <c r="B113" s="18"/>
      <c r="C113" s="18"/>
      <c r="D113" s="18"/>
      <c r="E113" s="18"/>
      <c r="F113" s="19"/>
      <c r="G113" s="18"/>
      <c r="H113" s="18"/>
    </row>
    <row r="114" spans="1:8" ht="13.9">
      <c r="A114" s="18"/>
      <c r="B114" s="18"/>
      <c r="C114" s="18"/>
      <c r="D114" s="18"/>
      <c r="E114" s="18"/>
      <c r="F114" s="19"/>
      <c r="G114" s="18"/>
      <c r="H114" s="18"/>
    </row>
    <row r="115" spans="1:8" ht="13.9">
      <c r="A115" s="18"/>
      <c r="B115" s="18"/>
      <c r="C115" s="18"/>
      <c r="D115" s="18"/>
      <c r="E115" s="18"/>
      <c r="F115" s="19"/>
      <c r="G115" s="18"/>
      <c r="H115" s="18"/>
    </row>
    <row r="116" spans="1:8" ht="13.9">
      <c r="A116" s="18"/>
      <c r="B116" s="18"/>
      <c r="C116" s="18"/>
      <c r="D116" s="18"/>
      <c r="E116" s="18"/>
      <c r="F116" s="19"/>
      <c r="G116" s="18"/>
      <c r="H116" s="18"/>
    </row>
    <row r="117" spans="1:8" ht="13.9">
      <c r="A117" s="18"/>
      <c r="B117" s="18"/>
      <c r="C117" s="18"/>
      <c r="D117" s="18"/>
      <c r="E117" s="18"/>
      <c r="F117" s="19"/>
      <c r="G117" s="18"/>
      <c r="H117" s="18"/>
    </row>
    <row r="118" spans="1:8" ht="13.9">
      <c r="A118" s="18"/>
      <c r="B118" s="18"/>
      <c r="C118" s="18"/>
      <c r="D118" s="18"/>
      <c r="E118" s="18"/>
      <c r="F118" s="19"/>
      <c r="G118" s="18"/>
      <c r="H118" s="18"/>
    </row>
    <row r="119" spans="1:8" ht="13.9">
      <c r="A119" s="18"/>
      <c r="B119" s="18"/>
      <c r="C119" s="18"/>
      <c r="D119" s="18"/>
      <c r="E119" s="18"/>
      <c r="F119" s="19"/>
      <c r="G119" s="18"/>
      <c r="H119" s="18"/>
    </row>
    <row r="120" spans="1:8" ht="13.9">
      <c r="A120" s="18"/>
      <c r="B120" s="18"/>
      <c r="C120" s="18"/>
      <c r="D120" s="18"/>
      <c r="E120" s="18"/>
      <c r="F120" s="19"/>
      <c r="G120" s="18"/>
      <c r="H120" s="18"/>
    </row>
    <row r="121" spans="1:8" ht="13.9">
      <c r="A121" s="18"/>
      <c r="B121" s="18"/>
      <c r="C121" s="18"/>
      <c r="D121" s="18"/>
      <c r="E121" s="18"/>
      <c r="F121" s="19"/>
      <c r="G121" s="18"/>
      <c r="H121" s="18"/>
    </row>
    <row r="122" spans="1:8" ht="13.9">
      <c r="A122" s="18"/>
      <c r="B122" s="18"/>
      <c r="C122" s="18"/>
      <c r="D122" s="18"/>
      <c r="E122" s="18"/>
      <c r="F122" s="19"/>
      <c r="G122" s="18"/>
      <c r="H122" s="18"/>
    </row>
    <row r="123" spans="1:8" ht="13.9">
      <c r="A123" s="18"/>
      <c r="B123" s="18"/>
      <c r="C123" s="18"/>
      <c r="D123" s="18"/>
      <c r="E123" s="18"/>
      <c r="F123" s="19"/>
      <c r="G123" s="18"/>
      <c r="H123" s="18"/>
    </row>
    <row r="124" spans="1:8" ht="13.9">
      <c r="A124" s="18"/>
      <c r="B124" s="18"/>
      <c r="C124" s="18"/>
      <c r="D124" s="18"/>
      <c r="E124" s="18"/>
      <c r="F124" s="19"/>
      <c r="G124" s="18"/>
      <c r="H124" s="18"/>
    </row>
    <row r="125" spans="1:8" ht="13.9">
      <c r="A125" s="18"/>
      <c r="B125" s="18"/>
      <c r="C125" s="18"/>
      <c r="D125" s="18"/>
      <c r="E125" s="18"/>
      <c r="F125" s="19"/>
      <c r="G125" s="18"/>
      <c r="H125" s="18"/>
    </row>
    <row r="126" spans="1:8" ht="13.9">
      <c r="A126" s="18"/>
      <c r="B126" s="18"/>
      <c r="C126" s="18"/>
      <c r="D126" s="18"/>
      <c r="E126" s="18"/>
      <c r="F126" s="19"/>
      <c r="G126" s="18"/>
      <c r="H126" s="18"/>
    </row>
    <row r="127" spans="1:8" ht="13.9">
      <c r="A127" s="18"/>
      <c r="B127" s="18"/>
      <c r="C127" s="18"/>
      <c r="D127" s="18"/>
      <c r="E127" s="18"/>
      <c r="F127" s="19"/>
      <c r="G127" s="18"/>
      <c r="H127" s="18"/>
    </row>
    <row r="128" spans="1:8" ht="13.9">
      <c r="A128" s="18"/>
      <c r="B128" s="18"/>
      <c r="C128" s="18"/>
      <c r="D128" s="18"/>
      <c r="E128" s="18"/>
      <c r="F128" s="19"/>
      <c r="G128" s="18"/>
      <c r="H128" s="18"/>
    </row>
    <row r="129" spans="1:8" ht="13.9">
      <c r="A129" s="18"/>
      <c r="B129" s="18"/>
      <c r="C129" s="18"/>
      <c r="D129" s="18"/>
      <c r="E129" s="18"/>
      <c r="F129" s="19"/>
      <c r="G129" s="18"/>
      <c r="H129" s="18"/>
    </row>
    <row r="130" spans="1:8" ht="13.9">
      <c r="A130" s="18"/>
      <c r="B130" s="18"/>
      <c r="C130" s="18"/>
      <c r="D130" s="18"/>
      <c r="E130" s="18"/>
      <c r="F130" s="19"/>
      <c r="G130" s="18"/>
      <c r="H130" s="18"/>
    </row>
    <row r="131" spans="1:8" ht="13.9">
      <c r="A131" s="18"/>
      <c r="B131" s="18"/>
      <c r="C131" s="18"/>
      <c r="D131" s="18"/>
      <c r="E131" s="18"/>
      <c r="F131" s="19"/>
      <c r="G131" s="18"/>
      <c r="H131" s="18"/>
    </row>
    <row r="132" spans="1:8" ht="13.9">
      <c r="A132" s="18"/>
      <c r="B132" s="18"/>
      <c r="C132" s="18"/>
      <c r="D132" s="18"/>
      <c r="E132" s="18"/>
      <c r="F132" s="19"/>
      <c r="G132" s="18"/>
      <c r="H132" s="18"/>
    </row>
    <row r="133" spans="1:8" ht="13.9">
      <c r="A133" s="18"/>
      <c r="B133" s="18"/>
      <c r="C133" s="18"/>
      <c r="D133" s="18"/>
      <c r="E133" s="18"/>
      <c r="F133" s="19"/>
      <c r="G133" s="18"/>
      <c r="H133" s="18"/>
    </row>
    <row r="134" spans="1:8" ht="13.9">
      <c r="A134" s="18"/>
      <c r="B134" s="18"/>
      <c r="C134" s="18"/>
      <c r="D134" s="18"/>
      <c r="E134" s="18"/>
      <c r="F134" s="19"/>
      <c r="G134" s="18"/>
      <c r="H134" s="18"/>
    </row>
    <row r="135" spans="1:8" ht="13.9">
      <c r="A135" s="18"/>
      <c r="B135" s="18"/>
      <c r="C135" s="18"/>
      <c r="D135" s="18"/>
      <c r="E135" s="18"/>
      <c r="F135" s="19"/>
      <c r="G135" s="18"/>
      <c r="H135" s="18"/>
    </row>
    <row r="136" spans="1:8" ht="13.9">
      <c r="A136" s="18"/>
      <c r="B136" s="18"/>
      <c r="C136" s="18"/>
      <c r="D136" s="18"/>
      <c r="E136" s="18"/>
      <c r="F136" s="19"/>
      <c r="G136" s="18"/>
      <c r="H136" s="18"/>
    </row>
    <row r="137" spans="1:8" ht="13.9">
      <c r="A137" s="18"/>
      <c r="B137" s="18"/>
      <c r="C137" s="18"/>
      <c r="D137" s="18"/>
      <c r="E137" s="18"/>
      <c r="F137" s="19"/>
      <c r="G137" s="18"/>
      <c r="H137" s="18"/>
    </row>
    <row r="138" spans="1:8" ht="13.9">
      <c r="A138" s="18"/>
      <c r="B138" s="18"/>
      <c r="C138" s="18"/>
      <c r="D138" s="18"/>
      <c r="E138" s="18"/>
      <c r="F138" s="19"/>
      <c r="G138" s="18"/>
      <c r="H138" s="18"/>
    </row>
    <row r="139" spans="1:8" ht="13.9">
      <c r="A139" s="18"/>
      <c r="B139" s="18"/>
      <c r="C139" s="18"/>
      <c r="D139" s="18"/>
      <c r="E139" s="18"/>
      <c r="F139" s="19"/>
      <c r="G139" s="18"/>
      <c r="H139" s="18"/>
    </row>
    <row r="140" spans="1:8" ht="13.9">
      <c r="A140" s="18"/>
      <c r="B140" s="18"/>
      <c r="C140" s="18"/>
      <c r="D140" s="18"/>
      <c r="E140" s="18"/>
      <c r="F140" s="19"/>
      <c r="G140" s="18"/>
      <c r="H140" s="18"/>
    </row>
    <row r="141" spans="1:8" ht="13.9">
      <c r="A141" s="18"/>
      <c r="B141" s="18"/>
      <c r="C141" s="18"/>
      <c r="D141" s="18"/>
      <c r="E141" s="18"/>
      <c r="F141" s="19"/>
      <c r="G141" s="18"/>
      <c r="H141" s="18"/>
    </row>
    <row r="142" spans="1:8" ht="13.9">
      <c r="A142" s="18"/>
      <c r="B142" s="18"/>
      <c r="C142" s="18"/>
      <c r="D142" s="18"/>
      <c r="E142" s="18"/>
      <c r="F142" s="19"/>
      <c r="G142" s="18"/>
      <c r="H142" s="18"/>
    </row>
    <row r="143" spans="1:8" ht="13.9">
      <c r="A143" s="18"/>
      <c r="B143" s="18"/>
      <c r="C143" s="18"/>
      <c r="D143" s="18"/>
      <c r="E143" s="18"/>
      <c r="F143" s="19"/>
      <c r="G143" s="18"/>
      <c r="H143" s="18"/>
    </row>
    <row r="144" spans="1:8" ht="13.9">
      <c r="A144" s="18"/>
      <c r="B144" s="18"/>
      <c r="C144" s="18"/>
      <c r="D144" s="18"/>
      <c r="E144" s="18"/>
      <c r="F144" s="19"/>
      <c r="G144" s="18"/>
      <c r="H144" s="18"/>
    </row>
    <row r="145" spans="1:8" ht="13.9">
      <c r="A145" s="18"/>
      <c r="B145" s="18"/>
      <c r="C145" s="18"/>
      <c r="D145" s="18"/>
      <c r="E145" s="18"/>
      <c r="F145" s="19"/>
      <c r="G145" s="18"/>
      <c r="H145" s="18"/>
    </row>
    <row r="146" spans="1:8" ht="13.9">
      <c r="A146" s="18"/>
      <c r="B146" s="18"/>
      <c r="C146" s="18"/>
      <c r="D146" s="18"/>
      <c r="E146" s="18"/>
      <c r="F146" s="19"/>
      <c r="G146" s="18"/>
      <c r="H146" s="18"/>
    </row>
    <row r="147" spans="1:8" ht="13.9">
      <c r="A147" s="18"/>
      <c r="B147" s="18"/>
      <c r="C147" s="18"/>
      <c r="D147" s="18"/>
      <c r="E147" s="18"/>
      <c r="F147" s="19"/>
      <c r="G147" s="18"/>
      <c r="H147" s="18"/>
    </row>
    <row r="148" spans="1:8" ht="13.9">
      <c r="A148" s="18"/>
      <c r="B148" s="18"/>
      <c r="C148" s="18"/>
      <c r="D148" s="18"/>
      <c r="E148" s="18"/>
      <c r="F148" s="19"/>
      <c r="G148" s="18"/>
      <c r="H148" s="18"/>
    </row>
    <row r="149" spans="1:8" ht="13.9">
      <c r="A149" s="18"/>
      <c r="B149" s="18"/>
      <c r="C149" s="18"/>
      <c r="D149" s="18"/>
      <c r="E149" s="18"/>
      <c r="F149" s="19"/>
      <c r="G149" s="18"/>
      <c r="H149" s="18"/>
    </row>
    <row r="150" spans="1:8" ht="13.9">
      <c r="A150" s="18"/>
      <c r="B150" s="18"/>
      <c r="C150" s="18"/>
      <c r="D150" s="18"/>
      <c r="E150" s="18"/>
      <c r="F150" s="19"/>
      <c r="G150" s="18"/>
      <c r="H150" s="18"/>
    </row>
    <row r="151" spans="1:8" ht="13.9">
      <c r="A151" s="18"/>
      <c r="B151" s="18"/>
      <c r="C151" s="18"/>
      <c r="D151" s="18"/>
      <c r="E151" s="18"/>
      <c r="F151" s="19"/>
      <c r="G151" s="18"/>
      <c r="H151" s="18"/>
    </row>
    <row r="152" spans="1:8" ht="13.9">
      <c r="A152" s="18"/>
      <c r="B152" s="18"/>
      <c r="C152" s="18"/>
      <c r="D152" s="18"/>
      <c r="E152" s="18"/>
      <c r="F152" s="19"/>
      <c r="G152" s="18"/>
      <c r="H152" s="18"/>
    </row>
    <row r="153" spans="1:8" ht="13.9">
      <c r="A153" s="18"/>
      <c r="B153" s="18"/>
      <c r="C153" s="18"/>
      <c r="D153" s="18"/>
      <c r="E153" s="18"/>
      <c r="F153" s="19"/>
      <c r="G153" s="18"/>
      <c r="H153" s="18"/>
    </row>
    <row r="154" spans="1:8" ht="13.9">
      <c r="A154" s="18"/>
      <c r="B154" s="18"/>
      <c r="C154" s="18"/>
      <c r="D154" s="18"/>
      <c r="E154" s="18"/>
      <c r="F154" s="19"/>
      <c r="G154" s="18"/>
      <c r="H154" s="18"/>
    </row>
    <row r="155" spans="1:8" ht="13.9">
      <c r="A155" s="18"/>
      <c r="B155" s="18"/>
      <c r="C155" s="18"/>
      <c r="D155" s="18"/>
      <c r="E155" s="18"/>
      <c r="F155" s="19"/>
      <c r="G155" s="18"/>
      <c r="H155" s="18"/>
    </row>
    <row r="156" spans="1:8" ht="13.9">
      <c r="A156" s="18"/>
      <c r="B156" s="18"/>
      <c r="C156" s="18"/>
      <c r="D156" s="18"/>
      <c r="E156" s="18"/>
      <c r="F156" s="19"/>
      <c r="G156" s="18"/>
      <c r="H156" s="18"/>
    </row>
    <row r="157" spans="1:8" ht="13.9">
      <c r="A157" s="18"/>
      <c r="B157" s="18"/>
      <c r="C157" s="18"/>
      <c r="D157" s="18"/>
      <c r="E157" s="18"/>
      <c r="F157" s="19"/>
      <c r="G157" s="18"/>
      <c r="H157" s="18"/>
    </row>
    <row r="158" spans="1:8" ht="13.9">
      <c r="A158" s="18"/>
      <c r="B158" s="18"/>
      <c r="C158" s="18"/>
      <c r="D158" s="18"/>
      <c r="E158" s="18"/>
      <c r="F158" s="19"/>
      <c r="G158" s="18"/>
      <c r="H158" s="18"/>
    </row>
    <row r="159" spans="1:8" ht="13.9">
      <c r="A159" s="18"/>
      <c r="B159" s="18"/>
      <c r="C159" s="18"/>
      <c r="D159" s="18"/>
      <c r="E159" s="18"/>
      <c r="F159" s="19"/>
      <c r="G159" s="18"/>
      <c r="H159" s="18"/>
    </row>
    <row r="160" spans="1:8" ht="13.9">
      <c r="A160" s="18"/>
      <c r="B160" s="18"/>
      <c r="C160" s="18"/>
      <c r="D160" s="18"/>
      <c r="E160" s="18"/>
      <c r="F160" s="19"/>
      <c r="G160" s="18"/>
      <c r="H160" s="18"/>
    </row>
    <row r="161" spans="1:8" ht="13.9">
      <c r="A161" s="18"/>
      <c r="B161" s="18"/>
      <c r="C161" s="18"/>
      <c r="D161" s="18"/>
      <c r="E161" s="18"/>
      <c r="F161" s="19"/>
      <c r="G161" s="18"/>
      <c r="H161" s="18"/>
    </row>
    <row r="162" spans="1:8" ht="13.9">
      <c r="A162" s="18"/>
      <c r="B162" s="18"/>
      <c r="C162" s="18"/>
      <c r="D162" s="18"/>
      <c r="E162" s="18"/>
      <c r="F162" s="19"/>
      <c r="G162" s="18"/>
      <c r="H162" s="18"/>
    </row>
    <row r="163" spans="1:8" ht="13.9">
      <c r="A163" s="18"/>
      <c r="B163" s="18"/>
      <c r="C163" s="18"/>
      <c r="D163" s="18"/>
      <c r="E163" s="18"/>
      <c r="F163" s="19"/>
      <c r="G163" s="18"/>
      <c r="H163" s="18"/>
    </row>
    <row r="164" spans="1:8" ht="13.9">
      <c r="A164" s="18"/>
      <c r="B164" s="18"/>
      <c r="C164" s="18"/>
      <c r="D164" s="18"/>
      <c r="E164" s="18"/>
      <c r="F164" s="19"/>
      <c r="G164" s="18"/>
      <c r="H164" s="18"/>
    </row>
    <row r="165" spans="1:8" ht="13.9">
      <c r="A165" s="18"/>
      <c r="B165" s="18"/>
      <c r="C165" s="18"/>
      <c r="D165" s="18"/>
      <c r="E165" s="18"/>
      <c r="F165" s="19"/>
      <c r="G165" s="18"/>
      <c r="H165" s="18"/>
    </row>
    <row r="166" spans="1:8" ht="13.9">
      <c r="A166" s="18"/>
      <c r="B166" s="18"/>
      <c r="C166" s="18"/>
      <c r="D166" s="18"/>
      <c r="E166" s="18"/>
      <c r="F166" s="19"/>
      <c r="G166" s="18"/>
      <c r="H166" s="18"/>
    </row>
    <row r="167" spans="1:8" ht="13.9">
      <c r="A167" s="18"/>
      <c r="B167" s="18"/>
      <c r="C167" s="18"/>
      <c r="D167" s="18"/>
      <c r="E167" s="18"/>
      <c r="F167" s="19"/>
      <c r="G167" s="18"/>
      <c r="H167" s="18"/>
    </row>
    <row r="168" spans="1:8" ht="13.9">
      <c r="A168" s="18"/>
      <c r="B168" s="18"/>
      <c r="C168" s="18"/>
      <c r="D168" s="18"/>
      <c r="E168" s="18"/>
      <c r="F168" s="19"/>
      <c r="G168" s="18"/>
      <c r="H168" s="18"/>
    </row>
    <row r="169" spans="1:8" ht="13.9">
      <c r="A169" s="18"/>
      <c r="B169" s="18"/>
      <c r="C169" s="18"/>
      <c r="D169" s="18"/>
      <c r="E169" s="18"/>
      <c r="F169" s="19"/>
      <c r="G169" s="18"/>
      <c r="H169" s="18"/>
    </row>
    <row r="170" spans="1:8" ht="13.9">
      <c r="A170" s="18"/>
      <c r="B170" s="18"/>
      <c r="C170" s="18"/>
      <c r="D170" s="18"/>
      <c r="E170" s="18"/>
      <c r="F170" s="19"/>
      <c r="G170" s="18"/>
      <c r="H170" s="18"/>
    </row>
    <row r="171" spans="1:8" ht="13.9">
      <c r="A171" s="18"/>
      <c r="B171" s="18"/>
      <c r="C171" s="18"/>
      <c r="D171" s="18"/>
      <c r="E171" s="18"/>
      <c r="F171" s="19"/>
      <c r="G171" s="18"/>
      <c r="H171" s="18"/>
    </row>
    <row r="172" spans="1:8" ht="13.9">
      <c r="A172" s="18"/>
      <c r="B172" s="18"/>
      <c r="C172" s="18"/>
      <c r="D172" s="18"/>
      <c r="E172" s="18"/>
      <c r="F172" s="19"/>
      <c r="G172" s="18"/>
      <c r="H172" s="18"/>
    </row>
    <row r="173" spans="1:8" ht="13.9">
      <c r="A173" s="18"/>
      <c r="B173" s="18"/>
      <c r="C173" s="18"/>
      <c r="D173" s="18"/>
      <c r="E173" s="18"/>
      <c r="F173" s="19"/>
      <c r="G173" s="18"/>
      <c r="H173" s="18"/>
    </row>
    <row r="174" spans="1:8" ht="13.9">
      <c r="A174" s="18"/>
      <c r="B174" s="18"/>
      <c r="C174" s="18"/>
      <c r="D174" s="18"/>
      <c r="E174" s="18"/>
      <c r="F174" s="19"/>
      <c r="G174" s="18"/>
      <c r="H174" s="18"/>
    </row>
    <row r="175" spans="1:8" ht="13.9">
      <c r="A175" s="18"/>
      <c r="B175" s="18"/>
      <c r="C175" s="18"/>
      <c r="D175" s="18"/>
      <c r="E175" s="18"/>
      <c r="F175" s="19"/>
      <c r="G175" s="18"/>
      <c r="H175" s="18"/>
    </row>
    <row r="176" spans="1:8" ht="13.9">
      <c r="A176" s="18"/>
      <c r="B176" s="18"/>
      <c r="C176" s="18"/>
      <c r="D176" s="18"/>
      <c r="E176" s="18"/>
      <c r="F176" s="19"/>
      <c r="G176" s="18"/>
      <c r="H176" s="18"/>
    </row>
    <row r="177" spans="1:8" ht="13.9">
      <c r="A177" s="18"/>
      <c r="B177" s="18"/>
      <c r="C177" s="18"/>
      <c r="D177" s="18"/>
      <c r="E177" s="18"/>
      <c r="F177" s="19"/>
      <c r="G177" s="18"/>
      <c r="H177" s="18"/>
    </row>
    <row r="178" spans="1:8" ht="13.9">
      <c r="A178" s="18"/>
      <c r="B178" s="18"/>
      <c r="C178" s="18"/>
      <c r="D178" s="18"/>
      <c r="E178" s="18"/>
      <c r="F178" s="19"/>
      <c r="G178" s="18"/>
      <c r="H178" s="18"/>
    </row>
    <row r="179" spans="1:8" ht="13.9">
      <c r="A179" s="18"/>
      <c r="B179" s="18"/>
      <c r="C179" s="18"/>
      <c r="D179" s="18"/>
      <c r="E179" s="18"/>
      <c r="F179" s="19"/>
      <c r="G179" s="18"/>
      <c r="H179" s="18"/>
    </row>
    <row r="180" spans="1:8" ht="13.9">
      <c r="A180" s="18"/>
      <c r="B180" s="18"/>
      <c r="C180" s="18"/>
      <c r="D180" s="18"/>
      <c r="E180" s="18"/>
      <c r="F180" s="19"/>
      <c r="G180" s="18"/>
      <c r="H180" s="18"/>
    </row>
    <row r="181" spans="1:8" ht="13.9">
      <c r="A181" s="18"/>
      <c r="B181" s="18"/>
      <c r="C181" s="18"/>
      <c r="D181" s="18"/>
      <c r="E181" s="18"/>
      <c r="F181" s="19"/>
      <c r="G181" s="18"/>
      <c r="H181" s="18"/>
    </row>
    <row r="182" spans="1:8" ht="13.9">
      <c r="A182" s="18"/>
      <c r="B182" s="18"/>
      <c r="C182" s="18"/>
      <c r="D182" s="18"/>
      <c r="E182" s="18"/>
      <c r="F182" s="19"/>
      <c r="G182" s="18"/>
      <c r="H182" s="18"/>
    </row>
    <row r="183" spans="1:8" ht="13.9">
      <c r="A183" s="18"/>
      <c r="B183" s="18"/>
      <c r="C183" s="18"/>
      <c r="D183" s="18"/>
      <c r="E183" s="18"/>
      <c r="F183" s="19"/>
      <c r="G183" s="18"/>
      <c r="H183" s="18"/>
    </row>
    <row r="184" spans="1:8" ht="13.9">
      <c r="A184" s="18"/>
      <c r="B184" s="18"/>
      <c r="C184" s="18"/>
      <c r="D184" s="18"/>
      <c r="E184" s="18"/>
      <c r="F184" s="19"/>
      <c r="G184" s="18"/>
      <c r="H184" s="18"/>
    </row>
    <row r="185" spans="1:8" ht="13.9">
      <c r="A185" s="18"/>
      <c r="B185" s="18"/>
      <c r="C185" s="18"/>
      <c r="D185" s="18"/>
      <c r="E185" s="18"/>
      <c r="F185" s="19"/>
      <c r="G185" s="18"/>
      <c r="H185" s="18"/>
    </row>
    <row r="186" spans="1:8" ht="13.9">
      <c r="A186" s="18"/>
      <c r="B186" s="18"/>
      <c r="C186" s="18"/>
      <c r="D186" s="18"/>
      <c r="E186" s="18"/>
      <c r="F186" s="19"/>
      <c r="G186" s="18"/>
      <c r="H186" s="18"/>
    </row>
    <row r="187" spans="1:8" ht="13.9">
      <c r="A187" s="18"/>
      <c r="B187" s="18"/>
      <c r="C187" s="18"/>
      <c r="D187" s="18"/>
      <c r="E187" s="18"/>
      <c r="F187" s="19"/>
      <c r="G187" s="18"/>
      <c r="H187" s="18"/>
    </row>
    <row r="188" spans="1:8" ht="13.9">
      <c r="A188" s="18"/>
      <c r="B188" s="18"/>
      <c r="C188" s="18"/>
      <c r="D188" s="18"/>
      <c r="E188" s="18"/>
      <c r="F188" s="19"/>
      <c r="G188" s="18"/>
      <c r="H188" s="18"/>
    </row>
    <row r="189" spans="1:8" ht="13.9">
      <c r="A189" s="18"/>
      <c r="B189" s="18"/>
      <c r="C189" s="18"/>
      <c r="D189" s="18"/>
      <c r="E189" s="18"/>
      <c r="F189" s="19"/>
      <c r="G189" s="18"/>
      <c r="H189" s="18"/>
    </row>
    <row r="190" spans="1:8" ht="13.9">
      <c r="A190" s="18"/>
      <c r="B190" s="18"/>
      <c r="C190" s="18"/>
      <c r="D190" s="18"/>
      <c r="E190" s="18"/>
      <c r="F190" s="19"/>
      <c r="G190" s="18"/>
      <c r="H190" s="18"/>
    </row>
    <row r="191" spans="1:8" ht="13.9">
      <c r="A191" s="18"/>
      <c r="B191" s="18"/>
      <c r="C191" s="18"/>
      <c r="D191" s="18"/>
      <c r="E191" s="18"/>
      <c r="F191" s="19"/>
      <c r="G191" s="18"/>
      <c r="H191" s="18"/>
    </row>
    <row r="192" spans="1:8" ht="13.9">
      <c r="A192" s="18"/>
      <c r="B192" s="18"/>
      <c r="C192" s="18"/>
      <c r="D192" s="18"/>
      <c r="E192" s="18"/>
      <c r="F192" s="19"/>
      <c r="G192" s="18"/>
      <c r="H192" s="18"/>
    </row>
    <row r="193" spans="1:8" ht="13.9">
      <c r="A193" s="18"/>
      <c r="B193" s="18"/>
      <c r="C193" s="18"/>
      <c r="D193" s="18"/>
      <c r="E193" s="18"/>
      <c r="F193" s="19"/>
      <c r="G193" s="18"/>
      <c r="H193" s="18"/>
    </row>
    <row r="194" spans="1:8" ht="13.9">
      <c r="A194" s="18"/>
      <c r="B194" s="18"/>
      <c r="C194" s="18"/>
      <c r="D194" s="18"/>
      <c r="E194" s="18"/>
      <c r="F194" s="19"/>
      <c r="G194" s="18"/>
      <c r="H194" s="18"/>
    </row>
    <row r="195" spans="1:8" ht="13.9">
      <c r="A195" s="18"/>
      <c r="B195" s="18"/>
      <c r="C195" s="18"/>
      <c r="D195" s="18"/>
      <c r="E195" s="18"/>
      <c r="F195" s="19"/>
      <c r="G195" s="18"/>
      <c r="H195" s="18"/>
    </row>
    <row r="196" spans="1:8" ht="13.9">
      <c r="A196" s="18"/>
      <c r="B196" s="18"/>
      <c r="C196" s="18"/>
      <c r="D196" s="18"/>
      <c r="E196" s="18"/>
      <c r="F196" s="19"/>
      <c r="G196" s="18"/>
      <c r="H196" s="18"/>
    </row>
    <row r="197" spans="1:8" ht="13.9">
      <c r="A197" s="18"/>
      <c r="B197" s="18"/>
      <c r="C197" s="18"/>
      <c r="D197" s="18"/>
      <c r="E197" s="18"/>
      <c r="F197" s="19"/>
      <c r="G197" s="18"/>
      <c r="H197" s="18"/>
    </row>
    <row r="198" spans="1:8" ht="13.9">
      <c r="A198" s="18"/>
      <c r="B198" s="18"/>
      <c r="C198" s="18"/>
      <c r="D198" s="18"/>
      <c r="E198" s="18"/>
      <c r="F198" s="19"/>
      <c r="G198" s="18"/>
      <c r="H198" s="18"/>
    </row>
    <row r="199" spans="1:8" ht="13.9">
      <c r="A199" s="18"/>
      <c r="B199" s="18"/>
      <c r="C199" s="18"/>
      <c r="D199" s="18"/>
      <c r="E199" s="18"/>
      <c r="F199" s="19"/>
      <c r="G199" s="18"/>
      <c r="H199" s="18"/>
    </row>
    <row r="200" spans="1:8" ht="13.9">
      <c r="A200" s="18"/>
      <c r="B200" s="18"/>
      <c r="C200" s="18"/>
      <c r="D200" s="18"/>
      <c r="E200" s="18"/>
      <c r="F200" s="19"/>
      <c r="G200" s="18"/>
      <c r="H200" s="18"/>
    </row>
    <row r="201" spans="1:8" ht="13.9">
      <c r="A201" s="18"/>
      <c r="B201" s="18"/>
      <c r="C201" s="18"/>
      <c r="D201" s="18"/>
      <c r="E201" s="18"/>
      <c r="F201" s="19"/>
      <c r="G201" s="18"/>
      <c r="H201" s="18"/>
    </row>
    <row r="202" spans="1:8" ht="13.9">
      <c r="A202" s="18"/>
      <c r="B202" s="18"/>
      <c r="C202" s="18"/>
      <c r="D202" s="18"/>
      <c r="E202" s="18"/>
      <c r="F202" s="19"/>
      <c r="G202" s="18"/>
      <c r="H202" s="18"/>
    </row>
    <row r="203" spans="1:8" ht="13.9">
      <c r="A203" s="18"/>
      <c r="B203" s="18"/>
      <c r="C203" s="18"/>
      <c r="D203" s="18"/>
      <c r="E203" s="18"/>
      <c r="F203" s="19"/>
      <c r="G203" s="18"/>
      <c r="H203" s="18"/>
    </row>
    <row r="204" spans="1:8" ht="13.9">
      <c r="A204" s="18"/>
      <c r="B204" s="18"/>
      <c r="C204" s="18"/>
      <c r="D204" s="18"/>
      <c r="E204" s="18"/>
      <c r="F204" s="19"/>
      <c r="G204" s="18"/>
      <c r="H204" s="18"/>
    </row>
    <row r="205" spans="1:8" ht="13.9">
      <c r="A205" s="18"/>
      <c r="B205" s="18"/>
      <c r="C205" s="18"/>
      <c r="D205" s="18"/>
      <c r="E205" s="18"/>
      <c r="F205" s="19"/>
      <c r="G205" s="18"/>
      <c r="H205" s="18"/>
    </row>
    <row r="206" spans="1:8" ht="13.9">
      <c r="A206" s="18"/>
      <c r="B206" s="18"/>
      <c r="C206" s="18"/>
      <c r="D206" s="18"/>
      <c r="E206" s="18"/>
      <c r="F206" s="19"/>
      <c r="G206" s="18"/>
      <c r="H206" s="18"/>
    </row>
    <row r="207" spans="1:8" ht="13.9">
      <c r="A207" s="18"/>
      <c r="B207" s="18"/>
      <c r="C207" s="18"/>
      <c r="D207" s="18"/>
      <c r="E207" s="18"/>
      <c r="F207" s="19"/>
      <c r="G207" s="18"/>
      <c r="H207" s="18"/>
    </row>
    <row r="208" spans="1:8" ht="13.9">
      <c r="A208" s="18"/>
      <c r="B208" s="18"/>
      <c r="C208" s="18"/>
      <c r="D208" s="18"/>
      <c r="E208" s="18"/>
      <c r="F208" s="19"/>
      <c r="G208" s="18"/>
      <c r="H208" s="18"/>
    </row>
    <row r="209" spans="1:8" ht="13.9">
      <c r="A209" s="18"/>
      <c r="B209" s="18"/>
      <c r="C209" s="18"/>
      <c r="D209" s="18"/>
      <c r="E209" s="18"/>
      <c r="F209" s="19"/>
      <c r="G209" s="18"/>
      <c r="H209" s="18"/>
    </row>
    <row r="210" spans="1:8" ht="13.9">
      <c r="A210" s="18"/>
      <c r="B210" s="18"/>
      <c r="C210" s="18"/>
      <c r="D210" s="18"/>
      <c r="E210" s="18"/>
      <c r="F210" s="19"/>
      <c r="G210" s="18"/>
      <c r="H210" s="18"/>
    </row>
    <row r="211" spans="1:8" ht="13.9">
      <c r="A211" s="18"/>
      <c r="B211" s="18"/>
      <c r="C211" s="18"/>
      <c r="D211" s="18"/>
      <c r="E211" s="18"/>
      <c r="F211" s="19"/>
      <c r="G211" s="18"/>
      <c r="H211" s="18"/>
    </row>
    <row r="212" spans="1:8" ht="13.9">
      <c r="A212" s="18"/>
      <c r="B212" s="18"/>
      <c r="C212" s="18"/>
      <c r="D212" s="18"/>
      <c r="E212" s="18"/>
      <c r="F212" s="19"/>
      <c r="G212" s="18"/>
      <c r="H212" s="18"/>
    </row>
    <row r="213" spans="1:8" ht="13.9">
      <c r="A213" s="18"/>
      <c r="B213" s="18"/>
      <c r="C213" s="18"/>
      <c r="D213" s="18"/>
      <c r="E213" s="18"/>
      <c r="F213" s="19"/>
      <c r="G213" s="18"/>
      <c r="H213" s="18"/>
    </row>
    <row r="214" spans="1:8" ht="13.9">
      <c r="A214" s="18"/>
      <c r="B214" s="18"/>
      <c r="C214" s="18"/>
      <c r="D214" s="18"/>
      <c r="E214" s="18"/>
      <c r="F214" s="19"/>
      <c r="G214" s="18"/>
      <c r="H214" s="18"/>
    </row>
    <row r="215" spans="1:8" ht="13.9">
      <c r="A215" s="18"/>
      <c r="B215" s="18"/>
      <c r="C215" s="18"/>
      <c r="D215" s="18"/>
      <c r="E215" s="18"/>
      <c r="F215" s="19"/>
      <c r="G215" s="18"/>
      <c r="H215" s="18"/>
    </row>
    <row r="216" spans="1:8" ht="13.9">
      <c r="A216" s="18"/>
      <c r="B216" s="18"/>
      <c r="C216" s="18"/>
      <c r="D216" s="18"/>
      <c r="E216" s="18"/>
      <c r="F216" s="19"/>
      <c r="G216" s="18"/>
      <c r="H216" s="18"/>
    </row>
    <row r="217" spans="1:8" ht="13.9">
      <c r="A217" s="18"/>
      <c r="B217" s="18"/>
      <c r="C217" s="18"/>
      <c r="D217" s="18"/>
      <c r="E217" s="18"/>
      <c r="F217" s="19"/>
      <c r="G217" s="18"/>
      <c r="H217" s="18"/>
    </row>
    <row r="218" spans="1:8" ht="13.9">
      <c r="A218" s="18"/>
      <c r="B218" s="18"/>
      <c r="C218" s="18"/>
      <c r="D218" s="18"/>
      <c r="E218" s="18"/>
      <c r="F218" s="19"/>
      <c r="G218" s="18"/>
      <c r="H218" s="18"/>
    </row>
    <row r="219" spans="1:8" ht="13.9">
      <c r="A219" s="18"/>
      <c r="B219" s="18"/>
      <c r="C219" s="18"/>
      <c r="D219" s="18"/>
      <c r="E219" s="18"/>
      <c r="F219" s="19"/>
      <c r="G219" s="18"/>
      <c r="H219" s="18"/>
    </row>
    <row r="220" spans="1:8" ht="13.9">
      <c r="A220" s="18"/>
      <c r="B220" s="18"/>
      <c r="C220" s="18"/>
      <c r="D220" s="18"/>
      <c r="E220" s="18"/>
      <c r="F220" s="19"/>
      <c r="G220" s="18"/>
      <c r="H220" s="18"/>
    </row>
    <row r="221" spans="1:8" ht="13.9">
      <c r="A221" s="18"/>
      <c r="B221" s="18"/>
      <c r="C221" s="18"/>
      <c r="D221" s="18"/>
      <c r="E221" s="18"/>
      <c r="F221" s="19"/>
      <c r="G221" s="18"/>
      <c r="H221" s="18"/>
    </row>
    <row r="222" spans="1:8" ht="13.9">
      <c r="A222" s="18"/>
      <c r="B222" s="18"/>
      <c r="C222" s="18"/>
      <c r="D222" s="18"/>
      <c r="E222" s="18"/>
      <c r="F222" s="19"/>
      <c r="G222" s="18"/>
      <c r="H222" s="18"/>
    </row>
    <row r="223" spans="1:8" ht="13.9">
      <c r="A223" s="18"/>
      <c r="B223" s="18"/>
      <c r="C223" s="18"/>
      <c r="D223" s="18"/>
      <c r="E223" s="18"/>
      <c r="F223" s="19"/>
      <c r="G223" s="18"/>
      <c r="H223" s="18"/>
    </row>
    <row r="224" spans="1:8" ht="13.9">
      <c r="A224" s="18"/>
      <c r="B224" s="18"/>
      <c r="C224" s="18"/>
      <c r="D224" s="18"/>
      <c r="E224" s="18"/>
      <c r="F224" s="19"/>
      <c r="G224" s="18"/>
      <c r="H224" s="18"/>
    </row>
    <row r="225" spans="1:8" ht="13.9">
      <c r="A225" s="18"/>
      <c r="B225" s="18"/>
      <c r="C225" s="18"/>
      <c r="D225" s="18"/>
      <c r="E225" s="18"/>
      <c r="F225" s="19"/>
      <c r="G225" s="18"/>
      <c r="H225" s="18"/>
    </row>
    <row r="226" spans="1:8" ht="13.9">
      <c r="A226" s="18"/>
      <c r="B226" s="18"/>
      <c r="C226" s="18"/>
      <c r="D226" s="18"/>
      <c r="E226" s="18"/>
      <c r="F226" s="19"/>
      <c r="G226" s="18"/>
      <c r="H226" s="18"/>
    </row>
    <row r="227" spans="1:8" ht="13.9">
      <c r="A227" s="18"/>
      <c r="B227" s="18"/>
      <c r="C227" s="18"/>
      <c r="D227" s="18"/>
      <c r="E227" s="18"/>
      <c r="F227" s="19"/>
      <c r="G227" s="18"/>
      <c r="H227" s="18"/>
    </row>
    <row r="228" spans="1:8" ht="13.9">
      <c r="A228" s="18"/>
      <c r="B228" s="18"/>
      <c r="C228" s="18"/>
      <c r="D228" s="18"/>
      <c r="E228" s="18"/>
      <c r="F228" s="19"/>
      <c r="G228" s="18"/>
      <c r="H228" s="18"/>
    </row>
    <row r="229" spans="1:8" ht="13.9">
      <c r="A229" s="18"/>
      <c r="B229" s="18"/>
      <c r="C229" s="18"/>
      <c r="D229" s="18"/>
      <c r="E229" s="18"/>
      <c r="F229" s="19"/>
      <c r="G229" s="18"/>
      <c r="H229" s="18"/>
    </row>
    <row r="230" spans="1:8" ht="13.9">
      <c r="A230" s="18"/>
      <c r="B230" s="18"/>
      <c r="C230" s="18"/>
      <c r="D230" s="18"/>
      <c r="E230" s="18"/>
      <c r="F230" s="19"/>
      <c r="G230" s="18"/>
      <c r="H230" s="18"/>
    </row>
    <row r="231" spans="1:8" ht="13.9">
      <c r="A231" s="18"/>
      <c r="B231" s="18"/>
      <c r="C231" s="18"/>
      <c r="D231" s="18"/>
      <c r="E231" s="18"/>
      <c r="F231" s="19"/>
      <c r="G231" s="18"/>
      <c r="H231" s="18"/>
    </row>
    <row r="232" spans="1:8" ht="13.9">
      <c r="A232" s="18"/>
      <c r="B232" s="18"/>
      <c r="C232" s="18"/>
      <c r="D232" s="18"/>
      <c r="E232" s="18"/>
      <c r="F232" s="19"/>
      <c r="G232" s="18"/>
      <c r="H232" s="18"/>
    </row>
    <row r="233" spans="1:8" ht="13.9">
      <c r="A233" s="18"/>
      <c r="B233" s="18"/>
      <c r="C233" s="18"/>
      <c r="D233" s="18"/>
      <c r="E233" s="18"/>
      <c r="F233" s="19"/>
      <c r="G233" s="18"/>
      <c r="H233" s="18"/>
    </row>
    <row r="234" spans="1:8" ht="13.9">
      <c r="A234" s="18"/>
      <c r="B234" s="18"/>
      <c r="C234" s="18"/>
      <c r="D234" s="18"/>
      <c r="E234" s="18"/>
      <c r="F234" s="19"/>
      <c r="G234" s="18"/>
      <c r="H234" s="18"/>
    </row>
    <row r="235" spans="1:8" ht="13.9">
      <c r="A235" s="18"/>
      <c r="B235" s="18"/>
      <c r="C235" s="18"/>
      <c r="D235" s="18"/>
      <c r="E235" s="18"/>
      <c r="F235" s="19"/>
      <c r="G235" s="18"/>
      <c r="H235" s="18"/>
    </row>
    <row r="236" spans="1:8" ht="13.9">
      <c r="A236" s="18"/>
      <c r="B236" s="18"/>
      <c r="C236" s="18"/>
      <c r="D236" s="18"/>
      <c r="E236" s="18"/>
      <c r="F236" s="19"/>
      <c r="G236" s="18"/>
      <c r="H236" s="18"/>
    </row>
    <row r="237" spans="1:8" ht="13.9">
      <c r="A237" s="18"/>
      <c r="B237" s="18"/>
      <c r="C237" s="18"/>
      <c r="D237" s="18"/>
      <c r="E237" s="18"/>
      <c r="F237" s="19"/>
      <c r="G237" s="18"/>
      <c r="H237" s="18"/>
    </row>
    <row r="238" spans="1:8" ht="13.9">
      <c r="A238" s="18"/>
      <c r="B238" s="18"/>
      <c r="C238" s="18"/>
      <c r="D238" s="18"/>
      <c r="E238" s="18"/>
      <c r="F238" s="19"/>
      <c r="G238" s="18"/>
      <c r="H238" s="18"/>
    </row>
    <row r="239" spans="1:8" ht="13.9">
      <c r="A239" s="18"/>
      <c r="B239" s="18"/>
      <c r="C239" s="18"/>
      <c r="D239" s="18"/>
      <c r="E239" s="18"/>
      <c r="F239" s="19"/>
      <c r="G239" s="18"/>
      <c r="H239" s="18"/>
    </row>
    <row r="240" spans="1:8" ht="13.9">
      <c r="A240" s="18"/>
      <c r="B240" s="18"/>
      <c r="C240" s="18"/>
      <c r="D240" s="18"/>
      <c r="E240" s="18"/>
      <c r="F240" s="19"/>
      <c r="G240" s="18"/>
      <c r="H240" s="18"/>
    </row>
    <row r="241" spans="1:8" ht="13.9">
      <c r="A241" s="18"/>
      <c r="B241" s="18"/>
      <c r="C241" s="18"/>
      <c r="D241" s="18"/>
      <c r="E241" s="18"/>
      <c r="F241" s="19"/>
      <c r="G241" s="18"/>
      <c r="H241" s="18"/>
    </row>
    <row r="242" spans="1:8" ht="13.9">
      <c r="A242" s="18"/>
      <c r="B242" s="18"/>
      <c r="C242" s="18"/>
      <c r="D242" s="18"/>
      <c r="E242" s="18"/>
      <c r="F242" s="19"/>
      <c r="G242" s="18"/>
      <c r="H242" s="18"/>
    </row>
    <row r="243" spans="1:8" ht="13.9">
      <c r="A243" s="18"/>
      <c r="B243" s="18"/>
      <c r="C243" s="18"/>
      <c r="D243" s="18"/>
      <c r="E243" s="18"/>
      <c r="F243" s="19"/>
      <c r="G243" s="18"/>
      <c r="H243" s="18"/>
    </row>
    <row r="244" spans="1:8" ht="13.9">
      <c r="A244" s="18"/>
      <c r="B244" s="18"/>
      <c r="C244" s="18"/>
      <c r="D244" s="18"/>
      <c r="E244" s="18"/>
      <c r="F244" s="19"/>
      <c r="G244" s="18"/>
      <c r="H244" s="18"/>
    </row>
    <row r="245" spans="1:8" ht="13.9">
      <c r="A245" s="18"/>
      <c r="B245" s="18"/>
      <c r="C245" s="18"/>
      <c r="D245" s="18"/>
      <c r="E245" s="18"/>
      <c r="F245" s="19"/>
      <c r="G245" s="18"/>
      <c r="H245" s="18"/>
    </row>
    <row r="246" spans="1:8" ht="13.9">
      <c r="A246" s="18"/>
      <c r="B246" s="18"/>
      <c r="C246" s="18"/>
      <c r="D246" s="18"/>
      <c r="E246" s="18"/>
      <c r="F246" s="19"/>
      <c r="G246" s="18"/>
      <c r="H246" s="18"/>
    </row>
    <row r="247" spans="1:8" ht="13.9">
      <c r="A247" s="18"/>
      <c r="B247" s="18"/>
      <c r="C247" s="18"/>
      <c r="D247" s="18"/>
      <c r="E247" s="18"/>
      <c r="F247" s="19"/>
      <c r="G247" s="18"/>
      <c r="H247" s="18"/>
    </row>
    <row r="248" spans="1:8" ht="13.9">
      <c r="A248" s="18"/>
      <c r="B248" s="18"/>
      <c r="C248" s="18"/>
      <c r="D248" s="18"/>
      <c r="E248" s="18"/>
      <c r="F248" s="19"/>
      <c r="G248" s="18"/>
      <c r="H248" s="18"/>
    </row>
    <row r="249" spans="1:8" ht="13.9">
      <c r="A249" s="18"/>
      <c r="B249" s="18"/>
      <c r="C249" s="18"/>
      <c r="D249" s="18"/>
      <c r="E249" s="18"/>
      <c r="F249" s="19"/>
      <c r="G249" s="18"/>
      <c r="H249" s="18"/>
    </row>
    <row r="250" spans="1:8" ht="13.9">
      <c r="A250" s="18"/>
      <c r="B250" s="18"/>
      <c r="C250" s="18"/>
      <c r="D250" s="18"/>
      <c r="E250" s="18"/>
      <c r="F250" s="19"/>
      <c r="G250" s="18"/>
      <c r="H250" s="18"/>
    </row>
    <row r="251" spans="1:8" ht="13.9">
      <c r="A251" s="18"/>
      <c r="B251" s="18"/>
      <c r="C251" s="18"/>
      <c r="D251" s="18"/>
      <c r="E251" s="18"/>
      <c r="F251" s="19"/>
      <c r="G251" s="18"/>
      <c r="H251" s="18"/>
    </row>
    <row r="252" spans="1:8" ht="13.9">
      <c r="A252" s="18"/>
      <c r="B252" s="18"/>
      <c r="C252" s="18"/>
      <c r="D252" s="18"/>
      <c r="E252" s="18"/>
      <c r="F252" s="19"/>
      <c r="G252" s="18"/>
      <c r="H252" s="18"/>
    </row>
    <row r="253" spans="1:8" ht="13.9">
      <c r="A253" s="18"/>
      <c r="B253" s="18"/>
      <c r="C253" s="18"/>
      <c r="D253" s="18"/>
      <c r="E253" s="18"/>
      <c r="F253" s="19"/>
      <c r="G253" s="18"/>
      <c r="H253" s="18"/>
    </row>
    <row r="254" spans="1:8" ht="13.9">
      <c r="A254" s="18"/>
      <c r="B254" s="18"/>
      <c r="C254" s="18"/>
      <c r="D254" s="18"/>
      <c r="E254" s="18"/>
      <c r="F254" s="19"/>
      <c r="G254" s="18"/>
      <c r="H254" s="18"/>
    </row>
    <row r="255" spans="1:8" ht="13.9">
      <c r="A255" s="18"/>
      <c r="B255" s="18"/>
      <c r="C255" s="18"/>
      <c r="D255" s="18"/>
      <c r="E255" s="18"/>
      <c r="F255" s="19"/>
      <c r="G255" s="18"/>
      <c r="H255" s="18"/>
    </row>
    <row r="256" spans="1:8" ht="13.9">
      <c r="A256" s="18"/>
      <c r="B256" s="18"/>
      <c r="C256" s="18"/>
      <c r="D256" s="18"/>
      <c r="E256" s="18"/>
      <c r="F256" s="19"/>
      <c r="G256" s="18"/>
      <c r="H256" s="18"/>
    </row>
    <row r="257" spans="1:8" ht="13.9">
      <c r="A257" s="18"/>
      <c r="B257" s="18"/>
      <c r="C257" s="18"/>
      <c r="D257" s="18"/>
      <c r="E257" s="18"/>
      <c r="F257" s="19"/>
      <c r="G257" s="18"/>
      <c r="H257" s="18"/>
    </row>
    <row r="258" spans="1:8" ht="13.9">
      <c r="A258" s="18"/>
      <c r="B258" s="18"/>
      <c r="C258" s="18"/>
      <c r="D258" s="18"/>
      <c r="E258" s="18"/>
      <c r="F258" s="19"/>
      <c r="G258" s="18"/>
      <c r="H258" s="18"/>
    </row>
    <row r="259" spans="1:8" ht="13.9">
      <c r="A259" s="18"/>
      <c r="B259" s="18"/>
      <c r="C259" s="18"/>
      <c r="D259" s="18"/>
      <c r="E259" s="18"/>
      <c r="F259" s="19"/>
      <c r="G259" s="18"/>
      <c r="H259" s="18"/>
    </row>
    <row r="260" spans="1:8" ht="13.9">
      <c r="A260" s="18"/>
      <c r="B260" s="18"/>
      <c r="C260" s="18"/>
      <c r="D260" s="18"/>
      <c r="E260" s="18"/>
      <c r="F260" s="19"/>
      <c r="G260" s="18"/>
      <c r="H260" s="18"/>
    </row>
    <row r="261" spans="1:8" ht="13.9">
      <c r="A261" s="18"/>
      <c r="B261" s="18"/>
      <c r="C261" s="18"/>
      <c r="D261" s="18"/>
      <c r="E261" s="18"/>
      <c r="F261" s="19"/>
      <c r="G261" s="18"/>
      <c r="H261" s="18"/>
    </row>
    <row r="262" spans="1:8" ht="13.9">
      <c r="A262" s="18"/>
      <c r="B262" s="18"/>
      <c r="C262" s="18"/>
      <c r="D262" s="18"/>
      <c r="E262" s="18"/>
      <c r="F262" s="19"/>
      <c r="G262" s="18"/>
      <c r="H262" s="18"/>
    </row>
    <row r="263" spans="1:8" ht="13.9">
      <c r="A263" s="18"/>
      <c r="B263" s="18"/>
      <c r="C263" s="18"/>
      <c r="D263" s="18"/>
      <c r="E263" s="18"/>
      <c r="F263" s="19"/>
      <c r="G263" s="18"/>
      <c r="H263" s="18"/>
    </row>
    <row r="264" spans="1:8" ht="13.9">
      <c r="A264" s="18"/>
      <c r="B264" s="18"/>
      <c r="C264" s="18"/>
      <c r="D264" s="18"/>
      <c r="E264" s="18"/>
      <c r="F264" s="19"/>
      <c r="G264" s="18"/>
      <c r="H264" s="18"/>
    </row>
    <row r="265" spans="1:8" ht="13.9">
      <c r="A265" s="18"/>
      <c r="B265" s="18"/>
      <c r="C265" s="18"/>
      <c r="D265" s="18"/>
      <c r="E265" s="18"/>
      <c r="F265" s="19"/>
      <c r="G265" s="18"/>
      <c r="H265" s="18"/>
    </row>
    <row r="266" spans="1:8" ht="13.9">
      <c r="A266" s="18"/>
      <c r="B266" s="18"/>
      <c r="C266" s="18"/>
      <c r="D266" s="18"/>
      <c r="E266" s="18"/>
      <c r="F266" s="19"/>
      <c r="G266" s="18"/>
      <c r="H266" s="18"/>
    </row>
    <row r="267" spans="1:8" ht="13.9">
      <c r="A267" s="18"/>
      <c r="B267" s="18"/>
      <c r="C267" s="18"/>
      <c r="D267" s="18"/>
      <c r="E267" s="18"/>
      <c r="F267" s="19"/>
      <c r="G267" s="18"/>
      <c r="H267" s="18"/>
    </row>
    <row r="268" spans="1:8" ht="13.9">
      <c r="A268" s="18"/>
      <c r="B268" s="18"/>
      <c r="C268" s="18"/>
      <c r="D268" s="18"/>
      <c r="E268" s="18"/>
      <c r="F268" s="19"/>
      <c r="G268" s="18"/>
      <c r="H268" s="18"/>
    </row>
    <row r="269" spans="1:8" ht="13.9">
      <c r="A269" s="18"/>
      <c r="B269" s="18"/>
      <c r="C269" s="18"/>
      <c r="D269" s="18"/>
      <c r="E269" s="18"/>
      <c r="F269" s="19"/>
      <c r="G269" s="18"/>
      <c r="H269" s="18"/>
    </row>
    <row r="270" spans="1:8" ht="13.9">
      <c r="A270" s="18"/>
      <c r="B270" s="18"/>
      <c r="C270" s="18"/>
      <c r="D270" s="18"/>
      <c r="E270" s="18"/>
      <c r="F270" s="19"/>
      <c r="G270" s="18"/>
      <c r="H270" s="18"/>
    </row>
    <row r="271" spans="1:8" ht="13.9">
      <c r="A271" s="18"/>
      <c r="B271" s="18"/>
      <c r="C271" s="18"/>
      <c r="D271" s="18"/>
      <c r="E271" s="18"/>
      <c r="F271" s="19"/>
      <c r="G271" s="18"/>
      <c r="H271" s="18"/>
    </row>
    <row r="272" spans="1:8" ht="13.9">
      <c r="A272" s="18"/>
      <c r="B272" s="18"/>
      <c r="C272" s="18"/>
      <c r="D272" s="18"/>
      <c r="E272" s="18"/>
      <c r="F272" s="19"/>
      <c r="G272" s="18"/>
      <c r="H272" s="18"/>
    </row>
    <row r="273" spans="1:8" ht="13.9">
      <c r="A273" s="18"/>
      <c r="B273" s="18"/>
      <c r="C273" s="18"/>
      <c r="D273" s="18"/>
      <c r="E273" s="18"/>
      <c r="F273" s="19"/>
      <c r="G273" s="18"/>
      <c r="H273" s="18"/>
    </row>
    <row r="274" spans="1:8" ht="13.9">
      <c r="A274" s="18"/>
      <c r="B274" s="18"/>
      <c r="C274" s="18"/>
      <c r="D274" s="18"/>
      <c r="E274" s="18"/>
      <c r="F274" s="19"/>
      <c r="G274" s="18"/>
      <c r="H274" s="18"/>
    </row>
    <row r="275" spans="1:8" ht="13.9">
      <c r="A275" s="18"/>
      <c r="B275" s="18"/>
      <c r="C275" s="18"/>
      <c r="D275" s="18"/>
      <c r="E275" s="18"/>
      <c r="F275" s="19"/>
      <c r="G275" s="18"/>
      <c r="H275" s="18"/>
    </row>
    <row r="276" spans="1:8" ht="13.9">
      <c r="A276" s="18"/>
      <c r="B276" s="18"/>
      <c r="C276" s="18"/>
      <c r="D276" s="18"/>
      <c r="E276" s="18"/>
      <c r="F276" s="19"/>
      <c r="G276" s="18"/>
      <c r="H276" s="18"/>
    </row>
    <row r="277" spans="1:8" ht="13.9">
      <c r="A277" s="18"/>
      <c r="B277" s="18"/>
      <c r="C277" s="18"/>
      <c r="D277" s="18"/>
      <c r="E277" s="18"/>
      <c r="F277" s="19"/>
      <c r="G277" s="18"/>
      <c r="H277" s="18"/>
    </row>
    <row r="278" spans="1:8" ht="13.9">
      <c r="A278" s="18"/>
      <c r="B278" s="18"/>
      <c r="C278" s="18"/>
      <c r="D278" s="18"/>
      <c r="E278" s="18"/>
      <c r="F278" s="19"/>
      <c r="G278" s="18"/>
      <c r="H278" s="18"/>
    </row>
    <row r="279" spans="1:8" ht="13.9">
      <c r="A279" s="18"/>
      <c r="B279" s="18"/>
      <c r="C279" s="18"/>
      <c r="D279" s="18"/>
      <c r="E279" s="18"/>
      <c r="F279" s="19"/>
      <c r="G279" s="18"/>
      <c r="H279" s="18"/>
    </row>
    <row r="280" spans="1:8" ht="13.9">
      <c r="A280" s="18"/>
      <c r="B280" s="18"/>
      <c r="C280" s="18"/>
      <c r="D280" s="18"/>
      <c r="E280" s="18"/>
      <c r="F280" s="19"/>
      <c r="G280" s="18"/>
      <c r="H280" s="18"/>
    </row>
    <row r="281" spans="1:8" ht="13.9">
      <c r="A281" s="18"/>
      <c r="B281" s="18"/>
      <c r="C281" s="18"/>
      <c r="D281" s="18"/>
      <c r="E281" s="18"/>
      <c r="F281" s="19"/>
      <c r="G281" s="18"/>
      <c r="H281" s="18"/>
    </row>
    <row r="282" spans="1:8" ht="13.9">
      <c r="A282" s="18"/>
      <c r="B282" s="18"/>
      <c r="C282" s="18"/>
      <c r="D282" s="18"/>
      <c r="E282" s="18"/>
      <c r="F282" s="19"/>
      <c r="G282" s="18"/>
      <c r="H282" s="18"/>
    </row>
    <row r="283" spans="1:8" ht="13.9">
      <c r="A283" s="18"/>
      <c r="B283" s="18"/>
      <c r="C283" s="18"/>
      <c r="D283" s="18"/>
      <c r="E283" s="18"/>
      <c r="F283" s="19"/>
      <c r="G283" s="18"/>
      <c r="H283" s="18"/>
    </row>
    <row r="284" spans="1:8" ht="13.9">
      <c r="A284" s="18"/>
      <c r="B284" s="18"/>
      <c r="C284" s="18"/>
      <c r="D284" s="18"/>
      <c r="E284" s="18"/>
      <c r="F284" s="19"/>
      <c r="G284" s="18"/>
      <c r="H284" s="18"/>
    </row>
    <row r="285" spans="1:8" ht="13.9">
      <c r="A285" s="18"/>
      <c r="B285" s="18"/>
      <c r="C285" s="18"/>
      <c r="D285" s="18"/>
      <c r="E285" s="18"/>
      <c r="F285" s="19"/>
      <c r="G285" s="18"/>
      <c r="H285" s="18"/>
    </row>
    <row r="286" spans="1:8" ht="13.9">
      <c r="A286" s="18"/>
      <c r="B286" s="18"/>
      <c r="C286" s="18"/>
      <c r="D286" s="18"/>
      <c r="E286" s="18"/>
      <c r="F286" s="19"/>
      <c r="G286" s="18"/>
      <c r="H286" s="18"/>
    </row>
    <row r="287" spans="1:8" ht="13.9">
      <c r="A287" s="18"/>
      <c r="B287" s="18"/>
      <c r="C287" s="18"/>
      <c r="D287" s="18"/>
      <c r="E287" s="18"/>
      <c r="F287" s="19"/>
      <c r="G287" s="18"/>
      <c r="H287" s="18"/>
    </row>
    <row r="288" spans="1:8" ht="13.9">
      <c r="A288" s="18"/>
      <c r="B288" s="18"/>
      <c r="C288" s="18"/>
      <c r="D288" s="18"/>
      <c r="E288" s="18"/>
      <c r="F288" s="19"/>
      <c r="G288" s="18"/>
      <c r="H288" s="18"/>
    </row>
    <row r="289" spans="1:8" ht="13.9">
      <c r="A289" s="18"/>
      <c r="B289" s="18"/>
      <c r="C289" s="18"/>
      <c r="D289" s="18"/>
      <c r="E289" s="18"/>
      <c r="F289" s="19"/>
      <c r="G289" s="18"/>
      <c r="H289" s="18"/>
    </row>
    <row r="290" spans="1:8" ht="13.9">
      <c r="A290" s="18"/>
      <c r="B290" s="18"/>
      <c r="C290" s="18"/>
      <c r="D290" s="18"/>
      <c r="E290" s="18"/>
      <c r="F290" s="19"/>
      <c r="G290" s="18"/>
      <c r="H290" s="18"/>
    </row>
    <row r="291" spans="1:8" ht="13.9">
      <c r="A291" s="18"/>
      <c r="B291" s="18"/>
      <c r="C291" s="18"/>
      <c r="D291" s="18"/>
      <c r="E291" s="18"/>
      <c r="F291" s="19"/>
      <c r="G291" s="18"/>
      <c r="H291" s="18"/>
    </row>
    <row r="292" spans="1:8" ht="13.9">
      <c r="A292" s="18"/>
      <c r="B292" s="18"/>
      <c r="C292" s="18"/>
      <c r="D292" s="18"/>
      <c r="E292" s="18"/>
      <c r="F292" s="19"/>
      <c r="G292" s="18"/>
      <c r="H292" s="18"/>
    </row>
    <row r="293" spans="1:8" ht="13.9">
      <c r="A293" s="18"/>
      <c r="B293" s="18"/>
      <c r="C293" s="18"/>
      <c r="D293" s="18"/>
      <c r="E293" s="18"/>
      <c r="F293" s="19"/>
      <c r="G293" s="18"/>
      <c r="H293" s="18"/>
    </row>
    <row r="294" spans="1:8" ht="13.9">
      <c r="A294" s="18"/>
      <c r="B294" s="18"/>
      <c r="C294" s="18"/>
      <c r="D294" s="18"/>
      <c r="E294" s="18"/>
      <c r="F294" s="19"/>
      <c r="G294" s="18"/>
      <c r="H294" s="18"/>
    </row>
    <row r="295" spans="1:8" ht="13.9">
      <c r="A295" s="18"/>
      <c r="B295" s="18"/>
      <c r="C295" s="18"/>
      <c r="D295" s="18"/>
      <c r="E295" s="18"/>
      <c r="F295" s="19"/>
      <c r="G295" s="18"/>
      <c r="H295" s="18"/>
    </row>
    <row r="296" spans="1:8" ht="13.9">
      <c r="A296" s="18"/>
      <c r="B296" s="18"/>
      <c r="C296" s="18"/>
      <c r="D296" s="18"/>
      <c r="E296" s="18"/>
      <c r="F296" s="19"/>
      <c r="G296" s="18"/>
      <c r="H296" s="18"/>
    </row>
    <row r="297" spans="1:8" ht="13.9">
      <c r="A297" s="18"/>
      <c r="B297" s="18"/>
      <c r="C297" s="18"/>
      <c r="D297" s="18"/>
      <c r="E297" s="18"/>
      <c r="F297" s="19"/>
      <c r="G297" s="18"/>
      <c r="H297" s="18"/>
    </row>
    <row r="298" spans="1:8" ht="13.9">
      <c r="A298" s="18"/>
      <c r="B298" s="18"/>
      <c r="C298" s="18"/>
      <c r="D298" s="18"/>
      <c r="E298" s="18"/>
      <c r="F298" s="19"/>
      <c r="G298" s="18"/>
      <c r="H298" s="18"/>
    </row>
    <row r="299" spans="1:8" ht="13.9">
      <c r="A299" s="18"/>
      <c r="B299" s="18"/>
      <c r="C299" s="18"/>
      <c r="D299" s="18"/>
      <c r="E299" s="18"/>
      <c r="F299" s="19"/>
      <c r="G299" s="18"/>
      <c r="H299" s="18"/>
    </row>
    <row r="300" spans="1:8" ht="13.9">
      <c r="A300" s="18"/>
      <c r="B300" s="18"/>
      <c r="C300" s="18"/>
      <c r="D300" s="18"/>
      <c r="E300" s="18"/>
      <c r="F300" s="19"/>
      <c r="G300" s="18"/>
      <c r="H300" s="18"/>
    </row>
    <row r="301" spans="1:8" ht="13.9">
      <c r="A301" s="18"/>
      <c r="B301" s="18"/>
      <c r="C301" s="18"/>
      <c r="D301" s="18"/>
      <c r="E301" s="18"/>
      <c r="F301" s="19"/>
      <c r="G301" s="18"/>
      <c r="H301" s="18"/>
    </row>
    <row r="302" spans="1:8" ht="13.9">
      <c r="A302" s="18"/>
      <c r="B302" s="18"/>
      <c r="C302" s="18"/>
      <c r="D302" s="18"/>
      <c r="E302" s="18"/>
      <c r="F302" s="19"/>
      <c r="G302" s="18"/>
      <c r="H302" s="18"/>
    </row>
    <row r="303" spans="1:8" ht="13.9">
      <c r="A303" s="18"/>
      <c r="B303" s="18"/>
      <c r="C303" s="18"/>
      <c r="D303" s="18"/>
      <c r="E303" s="18"/>
      <c r="F303" s="19"/>
      <c r="G303" s="18"/>
      <c r="H303" s="18"/>
    </row>
    <row r="304" spans="1:8" ht="13.9">
      <c r="A304" s="18"/>
      <c r="B304" s="18"/>
      <c r="C304" s="18"/>
      <c r="D304" s="18"/>
      <c r="E304" s="18"/>
      <c r="F304" s="19"/>
      <c r="G304" s="18"/>
      <c r="H304" s="18"/>
    </row>
    <row r="305" spans="1:8" ht="13.9">
      <c r="A305" s="18"/>
      <c r="B305" s="18"/>
      <c r="C305" s="18"/>
      <c r="D305" s="18"/>
      <c r="E305" s="18"/>
      <c r="F305" s="19"/>
      <c r="G305" s="18"/>
      <c r="H305" s="18"/>
    </row>
    <row r="306" spans="1:8" ht="13.9">
      <c r="A306" s="18"/>
      <c r="B306" s="18"/>
      <c r="C306" s="18"/>
      <c r="D306" s="18"/>
      <c r="E306" s="18"/>
      <c r="F306" s="19"/>
      <c r="G306" s="18"/>
      <c r="H306" s="18"/>
    </row>
    <row r="307" spans="1:8" ht="13.9">
      <c r="A307" s="18"/>
      <c r="B307" s="18"/>
      <c r="C307" s="18"/>
      <c r="D307" s="18"/>
      <c r="E307" s="18"/>
      <c r="F307" s="19"/>
      <c r="G307" s="18"/>
      <c r="H307" s="18"/>
    </row>
    <row r="308" spans="1:8" ht="13.9">
      <c r="A308" s="18"/>
      <c r="B308" s="18"/>
      <c r="C308" s="18"/>
      <c r="D308" s="18"/>
      <c r="E308" s="18"/>
      <c r="F308" s="19"/>
      <c r="G308" s="18"/>
      <c r="H308" s="18"/>
    </row>
    <row r="309" spans="1:8" ht="13.9">
      <c r="A309" s="18"/>
      <c r="B309" s="18"/>
      <c r="C309" s="18"/>
      <c r="D309" s="18"/>
      <c r="E309" s="18"/>
      <c r="F309" s="19"/>
      <c r="G309" s="18"/>
      <c r="H309" s="18"/>
    </row>
    <row r="310" spans="1:8" ht="13.9">
      <c r="A310" s="18"/>
      <c r="B310" s="18"/>
      <c r="C310" s="18"/>
      <c r="D310" s="18"/>
      <c r="E310" s="18"/>
      <c r="F310" s="19"/>
      <c r="G310" s="18"/>
      <c r="H310" s="18"/>
    </row>
    <row r="311" spans="1:8" ht="13.9">
      <c r="A311" s="18"/>
      <c r="B311" s="18"/>
      <c r="C311" s="18"/>
      <c r="D311" s="18"/>
      <c r="E311" s="18"/>
      <c r="F311" s="19"/>
      <c r="G311" s="18"/>
      <c r="H311" s="18"/>
    </row>
    <row r="312" spans="1:8" ht="13.9">
      <c r="A312" s="18"/>
      <c r="B312" s="18"/>
      <c r="C312" s="18"/>
      <c r="D312" s="18"/>
      <c r="E312" s="18"/>
      <c r="F312" s="19"/>
      <c r="G312" s="18"/>
      <c r="H312" s="18"/>
    </row>
    <row r="313" spans="1:8" ht="13.9">
      <c r="A313" s="18"/>
      <c r="B313" s="18"/>
      <c r="C313" s="18"/>
      <c r="D313" s="18"/>
      <c r="E313" s="18"/>
      <c r="F313" s="19"/>
      <c r="G313" s="18"/>
      <c r="H313" s="18"/>
    </row>
    <row r="314" spans="1:8" ht="13.9">
      <c r="A314" s="18"/>
      <c r="B314" s="18"/>
      <c r="C314" s="18"/>
      <c r="D314" s="18"/>
      <c r="E314" s="18"/>
      <c r="F314" s="19"/>
      <c r="G314" s="18"/>
      <c r="H314" s="18"/>
    </row>
    <row r="315" spans="1:8" ht="13.9">
      <c r="A315" s="18"/>
      <c r="B315" s="18"/>
      <c r="C315" s="18"/>
      <c r="D315" s="18"/>
      <c r="E315" s="18"/>
      <c r="F315" s="19"/>
      <c r="G315" s="18"/>
      <c r="H315" s="18"/>
    </row>
    <row r="316" spans="1:8" ht="13.9">
      <c r="A316" s="18"/>
      <c r="B316" s="18"/>
      <c r="C316" s="18"/>
      <c r="D316" s="18"/>
      <c r="E316" s="18"/>
      <c r="F316" s="19"/>
      <c r="G316" s="18"/>
      <c r="H316" s="18"/>
    </row>
    <row r="317" spans="1:8" ht="13.9">
      <c r="A317" s="18"/>
      <c r="B317" s="18"/>
      <c r="C317" s="18"/>
      <c r="D317" s="18"/>
      <c r="E317" s="18"/>
      <c r="F317" s="19"/>
      <c r="G317" s="18"/>
      <c r="H317" s="18"/>
    </row>
    <row r="318" spans="1:8" ht="13.9">
      <c r="A318" s="18"/>
      <c r="B318" s="18"/>
      <c r="C318" s="18"/>
      <c r="D318" s="18"/>
      <c r="E318" s="18"/>
      <c r="F318" s="19"/>
      <c r="G318" s="18"/>
      <c r="H318" s="18"/>
    </row>
    <row r="319" spans="1:8" ht="13.9">
      <c r="A319" s="18"/>
      <c r="B319" s="18"/>
      <c r="C319" s="18"/>
      <c r="D319" s="18"/>
      <c r="E319" s="18"/>
      <c r="F319" s="19"/>
      <c r="G319" s="18"/>
      <c r="H319" s="18"/>
    </row>
    <row r="320" spans="1:8" ht="13.9">
      <c r="A320" s="18"/>
      <c r="B320" s="18"/>
      <c r="C320" s="18"/>
      <c r="D320" s="18"/>
      <c r="E320" s="18"/>
      <c r="F320" s="19"/>
      <c r="G320" s="18"/>
      <c r="H320" s="18"/>
    </row>
    <row r="321" spans="1:8" ht="13.9">
      <c r="A321" s="18"/>
      <c r="B321" s="18"/>
      <c r="C321" s="18"/>
      <c r="D321" s="18"/>
      <c r="E321" s="18"/>
      <c r="F321" s="19"/>
      <c r="G321" s="18"/>
      <c r="H321" s="18"/>
    </row>
    <row r="322" spans="1:8" ht="13.9">
      <c r="A322" s="18"/>
      <c r="B322" s="18"/>
      <c r="C322" s="18"/>
      <c r="D322" s="18"/>
      <c r="E322" s="18"/>
      <c r="F322" s="19"/>
      <c r="G322" s="18"/>
      <c r="H322" s="18"/>
    </row>
    <row r="323" spans="1:8" ht="13.9">
      <c r="A323" s="18"/>
      <c r="B323" s="18"/>
      <c r="C323" s="18"/>
      <c r="D323" s="18"/>
      <c r="E323" s="18"/>
      <c r="F323" s="19"/>
      <c r="G323" s="18"/>
      <c r="H323" s="18"/>
    </row>
    <row r="324" spans="1:8" ht="13.9">
      <c r="A324" s="18"/>
      <c r="B324" s="18"/>
      <c r="C324" s="18"/>
      <c r="D324" s="18"/>
      <c r="E324" s="18"/>
      <c r="F324" s="19"/>
      <c r="G324" s="18"/>
      <c r="H324" s="18"/>
    </row>
    <row r="325" spans="1:8" ht="13.9">
      <c r="A325" s="18"/>
      <c r="B325" s="18"/>
      <c r="C325" s="18"/>
      <c r="D325" s="18"/>
      <c r="E325" s="18"/>
      <c r="F325" s="19"/>
      <c r="G325" s="18"/>
      <c r="H325" s="18"/>
    </row>
    <row r="326" spans="1:8" ht="13.9">
      <c r="A326" s="18"/>
      <c r="B326" s="18"/>
      <c r="C326" s="18"/>
      <c r="D326" s="18"/>
      <c r="E326" s="18"/>
      <c r="F326" s="19"/>
      <c r="G326" s="18"/>
      <c r="H326" s="18"/>
    </row>
    <row r="327" spans="1:8" ht="13.9">
      <c r="A327" s="18"/>
      <c r="B327" s="18"/>
      <c r="C327" s="18"/>
      <c r="D327" s="18"/>
      <c r="E327" s="18"/>
      <c r="F327" s="19"/>
      <c r="G327" s="18"/>
      <c r="H327" s="18"/>
    </row>
    <row r="328" spans="1:8" ht="13.9">
      <c r="A328" s="18"/>
      <c r="B328" s="18"/>
      <c r="C328" s="18"/>
      <c r="D328" s="18"/>
      <c r="E328" s="18"/>
      <c r="F328" s="19"/>
      <c r="G328" s="18"/>
      <c r="H328" s="18"/>
    </row>
    <row r="329" spans="1:8" ht="13.9">
      <c r="A329" s="18"/>
      <c r="B329" s="18"/>
      <c r="C329" s="18"/>
      <c r="D329" s="18"/>
      <c r="E329" s="18"/>
      <c r="F329" s="19"/>
      <c r="G329" s="18"/>
      <c r="H329" s="18"/>
    </row>
    <row r="330" spans="1:8" ht="13.9">
      <c r="A330" s="18"/>
      <c r="B330" s="18"/>
      <c r="C330" s="18"/>
      <c r="D330" s="18"/>
      <c r="E330" s="18"/>
      <c r="F330" s="19"/>
      <c r="G330" s="18"/>
      <c r="H330" s="18"/>
    </row>
    <row r="331" spans="1:8" ht="13.9">
      <c r="A331" s="18"/>
      <c r="B331" s="18"/>
      <c r="C331" s="18"/>
      <c r="D331" s="18"/>
      <c r="E331" s="18"/>
      <c r="F331" s="19"/>
      <c r="G331" s="18"/>
      <c r="H331" s="18"/>
    </row>
    <row r="332" spans="1:8" ht="13.9">
      <c r="A332" s="18"/>
      <c r="B332" s="18"/>
      <c r="C332" s="18"/>
      <c r="D332" s="18"/>
      <c r="E332" s="18"/>
      <c r="F332" s="19"/>
      <c r="G332" s="18"/>
      <c r="H332" s="18"/>
    </row>
    <row r="333" spans="1:8" ht="13.9">
      <c r="A333" s="18"/>
      <c r="B333" s="18"/>
      <c r="C333" s="18"/>
      <c r="D333" s="18"/>
      <c r="E333" s="18"/>
      <c r="F333" s="19"/>
      <c r="G333" s="18"/>
      <c r="H333" s="18"/>
    </row>
    <row r="334" spans="1:8" ht="13.9">
      <c r="A334" s="18"/>
      <c r="B334" s="18"/>
      <c r="C334" s="18"/>
      <c r="D334" s="18"/>
      <c r="E334" s="18"/>
      <c r="F334" s="19"/>
      <c r="G334" s="18"/>
      <c r="H334" s="18"/>
    </row>
    <row r="335" spans="1:8" ht="13.9">
      <c r="A335" s="18"/>
      <c r="B335" s="18"/>
      <c r="C335" s="18"/>
      <c r="D335" s="18"/>
      <c r="E335" s="18"/>
      <c r="F335" s="19"/>
      <c r="G335" s="18"/>
      <c r="H335" s="18"/>
    </row>
    <row r="336" spans="1:8" ht="13.9">
      <c r="A336" s="18"/>
      <c r="B336" s="18"/>
      <c r="C336" s="18"/>
      <c r="D336" s="18"/>
      <c r="E336" s="18"/>
      <c r="F336" s="19"/>
      <c r="G336" s="18"/>
      <c r="H336" s="18"/>
    </row>
    <row r="337" spans="1:8" ht="13.9">
      <c r="A337" s="18"/>
      <c r="B337" s="18"/>
      <c r="C337" s="18"/>
      <c r="D337" s="18"/>
      <c r="E337" s="18"/>
      <c r="F337" s="19"/>
      <c r="G337" s="18"/>
      <c r="H337" s="18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2 H4:H12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conditionalFormatting sqref="F13:F95">
    <cfRule type="cellIs" dxfId="34" priority="3" stopIfTrue="1" operator="lessThanOrEqual">
      <formula>-0.1</formula>
    </cfRule>
    <cfRule type="expression" dxfId="33" priority="4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H2" sqref="H2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4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56" t="str" cm="1">
        <f t="array" ref="A1">portfolio</f>
        <v>Wells Fargo</v>
      </c>
      <c r="B1" s="257"/>
      <c r="C1" s="258" t="s">
        <v>42</v>
      </c>
      <c r="D1" s="259"/>
      <c r="E1" s="260"/>
      <c r="F1" s="261" t="s">
        <v>43</v>
      </c>
      <c r="G1" s="262"/>
      <c r="H1" s="263"/>
    </row>
    <row r="2" spans="1:8" ht="19.5" customHeight="1">
      <c r="A2" s="41" t="s">
        <v>2</v>
      </c>
      <c r="B2" s="4">
        <f ca="1">SUM(B4:B90)</f>
        <v>5987266.1099999994</v>
      </c>
      <c r="C2" s="4">
        <f ca="1">SUM(C4:C90)</f>
        <v>5805494</v>
      </c>
      <c r="D2" s="4">
        <f ca="1">B2-C2</f>
        <v>181772.1099999994</v>
      </c>
      <c r="E2" s="5">
        <f ca="1">IFERROR(D2/C2, 0)</f>
        <v>3.1310360496453776E-2</v>
      </c>
      <c r="F2" s="4">
        <f ca="1">SUM(F4:F90)</f>
        <v>6414877.6660000002</v>
      </c>
      <c r="G2" s="6">
        <f ca="1">B2-F2</f>
        <v>-427611.5560000008</v>
      </c>
      <c r="H2" s="5">
        <f ca="1">IFERROR(G2/F2, 0)</f>
        <v>-6.6659346953164611E-2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SUM(SUMIF(_xlfn.ANCHORARRAY(Jul!$B$4), $A4, Jul!C$4:C$65), SUMIF(_xlfn.ANCHORARRAY(Aug!$C$4), $A4, Aug!D$4:D$69), SUMIF(_xlfn.ANCHORARRAY(Sep!$B$4), $A4, Sep!C$4:C$69))</f>
        <v>376889.11</v>
      </c>
      <c r="C4" s="11">
        <f ca="1">SUM(SUMIF(_xlfn.ANCHORARRAY(Jul!$B$4), $A4, Jul!D$4:D$65), SUMIF(_xlfn.ANCHORARRAY(Aug!$C$4), $A4, Aug!E$4:E$69), SUMIF(_xlfn.ANCHORARRAY(Sep!$B$4), $A4, Sep!D$4:D$69))</f>
        <v>337724</v>
      </c>
      <c r="D4" s="11">
        <f ca="1">IF(AND(ISNUMBER(B4),ISNUMBER(C4)), B4-C4, "")</f>
        <v>39165.109999999986</v>
      </c>
      <c r="E4" s="12">
        <f ca="1">IFERROR(D4/C4, "")</f>
        <v>0.11596780211059915</v>
      </c>
      <c r="F4" s="13">
        <f ca="1">SUM(SUMIF(_xlfn.ANCHORARRAY(Jul!$B$4), $A4, Jul!G$4:G$65), SUMIF(_xlfn.ANCHORARRAY(Aug!$C$4), $A4, Aug!H$4:H$69), SUMIF(_xlfn.ANCHORARRAY(Sep!$B$4), $A4, Sep!G$4:G$69))</f>
        <v>429928.66599999997</v>
      </c>
      <c r="G4" s="13">
        <f ca="1">IF(AND(ISNUMBER(B4),ISNUMBER(F4)), B4-F4, "")</f>
        <v>-53039.555999999982</v>
      </c>
      <c r="H4" s="14">
        <f ca="1">IFERROR(G4/F4, "")</f>
        <v>-0.1233682705865442</v>
      </c>
    </row>
    <row r="5" spans="1:8" ht="14.45">
      <c r="A5" s="9" t="str">
        <v>CO</v>
      </c>
      <c r="B5" s="10">
        <f ca="1">SUM(SUMIF(_xlfn.ANCHORARRAY(Jul!$B$4), $A5, Jul!C$4:C$65), SUMIF(_xlfn.ANCHORARRAY(Aug!$C$4), $A5, Aug!D$4:D$69), SUMIF(_xlfn.ANCHORARRAY(Sep!$B$4), $A5, Sep!C$4:C$69))</f>
        <v>84768</v>
      </c>
      <c r="C5" s="15">
        <f ca="1">SUM(SUMIF(_xlfn.ANCHORARRAY(Jul!$B$4), $A5, Jul!D$4:D$65), SUMIF(_xlfn.ANCHORARRAY(Aug!$C$4), $A5, Aug!E$4:E$69), SUMIF(_xlfn.ANCHORARRAY(Sep!$B$4), $A5, Sep!D$4:D$69))</f>
        <v>0</v>
      </c>
      <c r="D5" s="15">
        <f t="shared" ref="D5:D11" ca="1" si="0">IF(AND(ISNUMBER(B5),ISNUMBER(C5)), B5-C5, "")</f>
        <v>84768</v>
      </c>
      <c r="E5" s="16" t="str">
        <f ca="1">IFERROR(D5/C5, "")</f>
        <v/>
      </c>
      <c r="F5" s="15">
        <f ca="1">SUM(SUMIF(_xlfn.ANCHORARRAY(Jul!$B$4), $A5, Jul!G$4:G$65), SUMIF(_xlfn.ANCHORARRAY(Aug!$C$4), $A5, Aug!H$4:H$69), SUMIF(_xlfn.ANCHORARRAY(Sep!$B$4), $A5, Sep!G$4:G$69))</f>
        <v>85474</v>
      </c>
      <c r="G5" s="15">
        <f ca="1">IF(AND(ISNUMBER(B5),ISNUMBER(F5)), B5-F5, "")</f>
        <v>-706</v>
      </c>
      <c r="H5" s="16">
        <f ca="1">IFERROR(G5/F5, "")</f>
        <v>-8.2598217001661322E-3</v>
      </c>
    </row>
    <row r="6" spans="1:8" ht="14.45">
      <c r="A6" s="8" t="str">
        <v>CT</v>
      </c>
      <c r="B6" s="21">
        <f ca="1">SUM(SUMIF(_xlfn.ANCHORARRAY(Jul!$B$4), $A6, Jul!C$4:C$65), SUMIF(_xlfn.ANCHORARRAY(Aug!$C$4), $A6, Aug!D$4:D$69), SUMIF(_xlfn.ANCHORARRAY(Sep!$B$4), $A6, Sep!C$4:C$69))</f>
        <v>5110</v>
      </c>
      <c r="C6" s="11">
        <f ca="1">SUM(SUMIF(_xlfn.ANCHORARRAY(Jul!$B$4), $A6, Jul!D$4:D$65), SUMIF(_xlfn.ANCHORARRAY(Aug!$C$4), $A6, Aug!E$4:E$69), SUMIF(_xlfn.ANCHORARRAY(Sep!$B$4), $A6, Sep!D$4:D$69))</f>
        <v>3670</v>
      </c>
      <c r="D6" s="11">
        <f t="shared" ca="1" si="0"/>
        <v>1440</v>
      </c>
      <c r="E6" s="12">
        <f t="shared" ref="E6:E11" ca="1" si="1">IFERROR(D6/C6, "")</f>
        <v>0.39237057220708449</v>
      </c>
      <c r="F6" s="13">
        <f ca="1">SUM(SUMIF(_xlfn.ANCHORARRAY(Jul!$B$4), $A6, Jul!G$4:G$65), SUMIF(_xlfn.ANCHORARRAY(Aug!$C$4), $A6, Aug!H$4:H$69), SUMIF(_xlfn.ANCHORARRAY(Sep!$B$4), $A6, Sep!G$4:G$69))</f>
        <v>5963</v>
      </c>
      <c r="G6" s="13">
        <f t="shared" ref="G6:G11" ca="1" si="2">IF(AND(ISNUMBER(B6),ISNUMBER(F6)), B6-F6, "")</f>
        <v>-853</v>
      </c>
      <c r="H6" s="14">
        <f t="shared" ref="H6:H11" ca="1" si="3">IFERROR(G6/F6, "")</f>
        <v>-0.14304880093912462</v>
      </c>
    </row>
    <row r="7" spans="1:8" ht="14.45">
      <c r="A7" s="9" t="str">
        <v>FL</v>
      </c>
      <c r="B7" s="10">
        <f ca="1">SUM(SUMIF(_xlfn.ANCHORARRAY(Jul!$B$4), $A7, Jul!C$4:C$65), SUMIF(_xlfn.ANCHORARRAY(Aug!$C$4), $A7, Aug!D$4:D$69), SUMIF(_xlfn.ANCHORARRAY(Sep!$B$4), $A7, Sep!C$4:C$69))</f>
        <v>2210</v>
      </c>
      <c r="C7" s="15">
        <f ca="1">SUM(SUMIF(_xlfn.ANCHORARRAY(Jul!$B$4), $A7, Jul!D$4:D$65), SUMIF(_xlfn.ANCHORARRAY(Aug!$C$4), $A7, Aug!E$4:E$69), SUMIF(_xlfn.ANCHORARRAY(Sep!$B$4), $A7, Sep!D$4:D$69))</f>
        <v>13583</v>
      </c>
      <c r="D7" s="15">
        <f t="shared" ca="1" si="0"/>
        <v>-11373</v>
      </c>
      <c r="E7" s="16">
        <f t="shared" ca="1" si="1"/>
        <v>-0.83729662077597</v>
      </c>
      <c r="F7" s="15">
        <f ca="1">SUM(SUMIF(_xlfn.ANCHORARRAY(Jul!$B$4), $A7, Jul!G$4:G$65), SUMIF(_xlfn.ANCHORARRAY(Aug!$C$4), $A7, Aug!H$4:H$69), SUMIF(_xlfn.ANCHORARRAY(Sep!$B$4), $A7, Sep!G$4:G$69))</f>
        <v>15389</v>
      </c>
      <c r="G7" s="15">
        <f t="shared" ca="1" si="2"/>
        <v>-13179</v>
      </c>
      <c r="H7" s="16">
        <f t="shared" ca="1" si="3"/>
        <v>-0.85639092858535315</v>
      </c>
    </row>
    <row r="8" spans="1:8" ht="12.75" customHeight="1">
      <c r="A8" s="8" t="str">
        <v>IA</v>
      </c>
      <c r="B8" s="21">
        <f ca="1">SUM(SUMIF(_xlfn.ANCHORARRAY(Jul!$B$4), $A8, Jul!C$4:C$65), SUMIF(_xlfn.ANCHORARRAY(Aug!$C$4), $A8, Aug!D$4:D$69), SUMIF(_xlfn.ANCHORARRAY(Sep!$B$4), $A8, Sep!C$4:C$69))</f>
        <v>795280</v>
      </c>
      <c r="C8" s="11">
        <f ca="1">SUM(SUMIF(_xlfn.ANCHORARRAY(Jul!$B$4), $A8, Jul!D$4:D$65), SUMIF(_xlfn.ANCHORARRAY(Aug!$C$4), $A8, Aug!E$4:E$69), SUMIF(_xlfn.ANCHORARRAY(Sep!$B$4), $A8, Sep!D$4:D$69))</f>
        <v>838660</v>
      </c>
      <c r="D8" s="11">
        <f t="shared" ca="1" si="0"/>
        <v>-43380</v>
      </c>
      <c r="E8" s="12">
        <f t="shared" ca="1" si="1"/>
        <v>-5.172537142584599E-2</v>
      </c>
      <c r="F8" s="13">
        <f ca="1">SUM(SUMIF(_xlfn.ANCHORARRAY(Jul!$B$4), $A8, Jul!G$4:G$65), SUMIF(_xlfn.ANCHORARRAY(Aug!$C$4), $A8, Aug!H$4:H$69), SUMIF(_xlfn.ANCHORARRAY(Sep!$B$4), $A8, Sep!G$4:G$69))</f>
        <v>872315</v>
      </c>
      <c r="G8" s="13">
        <f t="shared" ca="1" si="2"/>
        <v>-77035</v>
      </c>
      <c r="H8" s="14">
        <f t="shared" ca="1" si="3"/>
        <v>-8.8310988576374358E-2</v>
      </c>
    </row>
    <row r="9" spans="1:8" ht="14.45">
      <c r="A9" s="9" t="str">
        <v>NC</v>
      </c>
      <c r="B9" s="10">
        <f ca="1">SUM(SUMIF(_xlfn.ANCHORARRAY(Jul!$B$4), $A9, Jul!C$4:C$65), SUMIF(_xlfn.ANCHORARRAY(Aug!$C$4), $A9, Aug!D$4:D$69), SUMIF(_xlfn.ANCHORARRAY(Sep!$B$4), $A9, Sep!C$4:C$69))</f>
        <v>734629</v>
      </c>
      <c r="C9" s="15">
        <f ca="1">SUM(SUMIF(_xlfn.ANCHORARRAY(Jul!$B$4), $A9, Jul!D$4:D$65), SUMIF(_xlfn.ANCHORARRAY(Aug!$C$4), $A9, Aug!E$4:E$69), SUMIF(_xlfn.ANCHORARRAY(Sep!$B$4), $A9, Sep!D$4:D$69))</f>
        <v>782827</v>
      </c>
      <c r="D9" s="15">
        <f t="shared" ca="1" si="0"/>
        <v>-48198</v>
      </c>
      <c r="E9" s="16">
        <f t="shared" ca="1" si="1"/>
        <v>-6.1569158958492742E-2</v>
      </c>
      <c r="F9" s="15">
        <f ca="1">SUM(SUMIF(_xlfn.ANCHORARRAY(Jul!$B$4), $A9, Jul!G$4:G$65), SUMIF(_xlfn.ANCHORARRAY(Aug!$C$4), $A9, Aug!H$4:H$69), SUMIF(_xlfn.ANCHORARRAY(Sep!$B$4), $A9, Sep!G$4:G$69))</f>
        <v>717095</v>
      </c>
      <c r="G9" s="15">
        <f t="shared" ca="1" si="2"/>
        <v>17534</v>
      </c>
      <c r="H9" s="16">
        <f t="shared" ca="1" si="3"/>
        <v>2.4451432515914907E-2</v>
      </c>
    </row>
    <row r="10" spans="1:8" ht="14.45">
      <c r="A10" s="8" t="str">
        <v>NJ</v>
      </c>
      <c r="B10" s="21">
        <f ca="1">SUM(SUMIF(_xlfn.ANCHORARRAY(Jul!$B$4), $A10, Jul!C$4:C$65), SUMIF(_xlfn.ANCHORARRAY(Aug!$C$4), $A10, Aug!D$4:D$69), SUMIF(_xlfn.ANCHORARRAY(Sep!$B$4), $A10, Sep!C$4:C$69))</f>
        <v>276182</v>
      </c>
      <c r="C10" s="11">
        <f ca="1">SUM(SUMIF(_xlfn.ANCHORARRAY(Jul!$B$4), $A10, Jul!D$4:D$65), SUMIF(_xlfn.ANCHORARRAY(Aug!$C$4), $A10, Aug!E$4:E$69), SUMIF(_xlfn.ANCHORARRAY(Sep!$B$4), $A10, Sep!D$4:D$69))</f>
        <v>260813</v>
      </c>
      <c r="D10" s="11">
        <f t="shared" ca="1" si="0"/>
        <v>15369</v>
      </c>
      <c r="E10" s="12">
        <f t="shared" ca="1" si="1"/>
        <v>5.892727739798246E-2</v>
      </c>
      <c r="F10" s="13">
        <f ca="1">SUM(SUMIF(_xlfn.ANCHORARRAY(Jul!$B$4), $A10, Jul!G$4:G$65), SUMIF(_xlfn.ANCHORARRAY(Aug!$C$4), $A10, Aug!H$4:H$69), SUMIF(_xlfn.ANCHORARRAY(Sep!$B$4), $A10, Sep!G$4:G$69))</f>
        <v>295284</v>
      </c>
      <c r="G10" s="13">
        <f t="shared" ca="1" si="2"/>
        <v>-19102</v>
      </c>
      <c r="H10" s="14">
        <f t="shared" ca="1" si="3"/>
        <v>-6.4690264287939753E-2</v>
      </c>
    </row>
    <row r="11" spans="1:8" ht="14.45">
      <c r="A11" s="9" t="str">
        <v>TX</v>
      </c>
      <c r="B11" s="10">
        <f ca="1">SUM(SUMIF(_xlfn.ANCHORARRAY(Jul!$B$4), $A11, Jul!C$4:C$65), SUMIF(_xlfn.ANCHORARRAY(Aug!$C$4), $A11, Aug!D$4:D$69), SUMIF(_xlfn.ANCHORARRAY(Sep!$B$4), $A11, Sep!C$4:C$69))</f>
        <v>2281623</v>
      </c>
      <c r="C11" s="15">
        <f ca="1">SUM(SUMIF(_xlfn.ANCHORARRAY(Jul!$B$4), $A11, Jul!D$4:D$65), SUMIF(_xlfn.ANCHORARRAY(Aug!$C$4), $A11, Aug!E$4:E$69), SUMIF(_xlfn.ANCHORARRAY(Sep!$B$4), $A11, Sep!D$4:D$69))</f>
        <v>2255734</v>
      </c>
      <c r="D11" s="15">
        <f t="shared" ca="1" si="0"/>
        <v>25889</v>
      </c>
      <c r="E11" s="16">
        <f t="shared" ca="1" si="1"/>
        <v>1.1476973792122654E-2</v>
      </c>
      <c r="F11" s="15">
        <f ca="1">SUM(SUMIF(_xlfn.ANCHORARRAY(Jul!$B$4), $A11, Jul!G$4:G$65), SUMIF(_xlfn.ANCHORARRAY(Aug!$C$4), $A11, Aug!H$4:H$69), SUMIF(_xlfn.ANCHORARRAY(Sep!$B$4), $A11, Sep!G$4:G$69))</f>
        <v>2611327</v>
      </c>
      <c r="G11" s="15">
        <f t="shared" ca="1" si="2"/>
        <v>-329704</v>
      </c>
      <c r="H11" s="16">
        <f t="shared" ca="1" si="3"/>
        <v>-0.12625917780500107</v>
      </c>
    </row>
    <row r="12" spans="1:8" ht="14.45">
      <c r="A12" s="8" t="str">
        <v>AZ</v>
      </c>
      <c r="B12" s="57">
        <f ca="1">SUM(SUMIF(_xlfn.ANCHORARRAY(Jul!$B$4), $A12, Jul!C$4:C$65), SUMIF(_xlfn.ANCHORARRAY(Aug!$C$4), $A12, Aug!D$4:D$69), SUMIF(_xlfn.ANCHORARRAY(Sep!$B$4), $A12, Sep!C$4:C$69))</f>
        <v>1430575</v>
      </c>
      <c r="C12" s="11">
        <f ca="1">SUM(SUMIF(_xlfn.ANCHORARRAY(Jul!$B$4), $A12, Jul!D$4:D$65), SUMIF(_xlfn.ANCHORARRAY(Aug!$C$4), $A12, Aug!E$4:E$69), SUMIF(_xlfn.ANCHORARRAY(Sep!$B$4), $A12, Sep!D$4:D$69))</f>
        <v>1312483</v>
      </c>
      <c r="D12" s="11">
        <f ca="1">IF(AND(ISNUMBER(B12),ISNUMBER(C12)), B12-C12, "")</f>
        <v>118092</v>
      </c>
      <c r="E12" s="58">
        <f ca="1">IFERROR(D12/C12, "")</f>
        <v>8.9976022546577744E-2</v>
      </c>
      <c r="F12" s="73">
        <f ca="1">SUM(SUMIF(_xlfn.ANCHORARRAY(Jul!$B$4), $A12, Jul!G$4:G$65), SUMIF(_xlfn.ANCHORARRAY(Aug!$C$4), $A12, Aug!H$4:H$69), SUMIF(_xlfn.ANCHORARRAY(Sep!$B$4), $A12, Sep!G$4:G$69))</f>
        <v>1382102</v>
      </c>
      <c r="G12" s="73">
        <f ca="1">IF(AND(ISNUMBER(B12),ISNUMBER(F12)), B12-F12, "")</f>
        <v>48473</v>
      </c>
      <c r="H12" s="74">
        <f ca="1">IFERROR(G12/F12, "")</f>
        <v>3.5071941144720141E-2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2" priority="1" stopIfTrue="1" operator="lessThanOrEqual">
      <formula>-0.1</formula>
    </cfRule>
    <cfRule type="expression" dxfId="31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2.14062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56" t="str" cm="1">
        <f t="array" ref="A1">portfolio</f>
        <v>Wells Fargo</v>
      </c>
      <c r="B1" s="257"/>
      <c r="C1" s="258" t="s">
        <v>44</v>
      </c>
      <c r="D1" s="259"/>
      <c r="E1" s="260"/>
      <c r="F1" s="261" t="s">
        <v>45</v>
      </c>
      <c r="G1" s="262"/>
      <c r="H1" s="263"/>
    </row>
    <row r="2" spans="1:8" ht="19.5" customHeight="1">
      <c r="A2" s="41" t="s">
        <v>2</v>
      </c>
      <c r="B2" s="4">
        <f ca="1">SUM(B4:B90)</f>
        <v>3797480.1529671177</v>
      </c>
      <c r="C2" s="4">
        <f ca="1">SUM(C4:C90)</f>
        <v>3907115.5203</v>
      </c>
      <c r="D2" s="4">
        <f ca="1">B2-C2</f>
        <v>-109635.36733288225</v>
      </c>
      <c r="E2" s="5">
        <f ca="1">IFERROR(D2/C2, 0)</f>
        <v>-2.8060436596577549E-2</v>
      </c>
      <c r="F2" s="4">
        <f ca="1">SUM(F4:F90)</f>
        <v>4585623.7407</v>
      </c>
      <c r="G2" s="6">
        <f ca="1">B2-F2</f>
        <v>-788143.58773288224</v>
      </c>
      <c r="H2" s="5">
        <f ca="1">IFERROR(G2/F2, 0)</f>
        <v>-0.17187271182710934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SUM(SUMIF(_xlfn.ANCHORARRAY(Oct!$B$4), $A4, Oct!C$4:C$69), SUMIF(_xlfn.ANCHORARRAY(Nov!$B$4), $A4, Nov!C$4:C$69), SUMIF(_xlfn.ANCHORARRAY(Dec!$B$4), $A4, Dec!C$4:C$69))</f>
        <v>192476.14523407025</v>
      </c>
      <c r="C4" s="11">
        <f ca="1">SUM(SUMIF(_xlfn.ANCHORARRAY(Oct!$B$4), $A4, Oct!D$4:D$69), SUMIF(_xlfn.ANCHORARRAY(Nov!$B$4), $A4, Nov!D$4:D$69), SUMIF(_xlfn.ANCHORARRAY(Dec!$B$4), $A4, Dec!D$4:D$69))</f>
        <v>174922.33570000003</v>
      </c>
      <c r="D4" s="11">
        <f ca="1">IF(AND(ISNUMBER(B4),ISNUMBER(C4)), B4-C4, "")</f>
        <v>17553.809534070228</v>
      </c>
      <c r="E4" s="12">
        <f ca="1">IFERROR(D4/C4, "")</f>
        <v>0.10035201887639912</v>
      </c>
      <c r="F4" s="13">
        <f ca="1">SUM(SUMIF(_xlfn.ANCHORARRAY(Oct!$B$4), $A4, Oct!G$4:G$69), SUMIF(_xlfn.ANCHORARRAY(Nov!$B$4), $A4, Nov!G$4:G$69), SUMIF(_xlfn.ANCHORARRAY(Dec!$B$4), $A4, Dec!G$4:G$69))</f>
        <v>269576.19900000002</v>
      </c>
      <c r="G4" s="13">
        <f ca="1">IF(AND(ISNUMBER(B4),ISNUMBER(F4)), B4-F4, "")</f>
        <v>-77100.05376592977</v>
      </c>
      <c r="H4" s="14">
        <f ca="1">IFERROR(G4/F4, "")</f>
        <v>-0.28600467716339367</v>
      </c>
    </row>
    <row r="5" spans="1:8" ht="14.45">
      <c r="A5" s="9" t="str">
        <v>CO</v>
      </c>
      <c r="B5" s="10">
        <f ca="1">SUM(SUMIF(_xlfn.ANCHORARRAY(Oct!$B$4), $A5, Oct!C$4:C$69), SUMIF(_xlfn.ANCHORARRAY(Nov!$B$4), $A5, Nov!C$4:C$69), SUMIF(_xlfn.ANCHORARRAY(Dec!$B$4), $A5, Dec!C$4:C$69))</f>
        <v>46884.50528316696</v>
      </c>
      <c r="C5" s="15">
        <f ca="1">SUM(SUMIF(_xlfn.ANCHORARRAY(Oct!$B$4), $A5, Oct!D$4:D$69), SUMIF(_xlfn.ANCHORARRAY(Nov!$B$4), $A5, Nov!D$4:D$69), SUMIF(_xlfn.ANCHORARRAY(Dec!$B$4), $A5, Dec!D$4:D$69))</f>
        <v>0</v>
      </c>
      <c r="D5" s="15">
        <f t="shared" ref="D5:D11" ca="1" si="0">IF(AND(ISNUMBER(B5),ISNUMBER(C5)), B5-C5, "")</f>
        <v>46884.50528316696</v>
      </c>
      <c r="E5" s="16" t="str">
        <f ca="1">IFERROR(D5/C5, "")</f>
        <v/>
      </c>
      <c r="F5" s="15">
        <f ca="1">SUM(SUMIF(_xlfn.ANCHORARRAY(Oct!$B$4), $A5, Oct!G$4:G$69), SUMIF(_xlfn.ANCHORARRAY(Nov!$B$4), $A5, Nov!G$4:G$69), SUMIF(_xlfn.ANCHORARRAY(Dec!$B$4), $A5, Dec!G$4:G$69))</f>
        <v>49607.56</v>
      </c>
      <c r="G5" s="15">
        <f ca="1">IF(AND(ISNUMBER(B5),ISNUMBER(F5)), B5-F5, "")</f>
        <v>-2723.0547168330377</v>
      </c>
      <c r="H5" s="16">
        <f ca="1">IFERROR(G5/F5, "")</f>
        <v>-5.4891930117769105E-2</v>
      </c>
    </row>
    <row r="6" spans="1:8" ht="14.45">
      <c r="A6" s="8" t="str">
        <v>CT</v>
      </c>
      <c r="B6" s="21">
        <f ca="1">SUM(SUMIF(_xlfn.ANCHORARRAY(Oct!$B$4), $A6, Oct!C$4:C$69), SUMIF(_xlfn.ANCHORARRAY(Nov!$B$4), $A6, Nov!C$4:C$69), SUMIF(_xlfn.ANCHORARRAY(Dec!$B$4), $A6, Dec!C$4:C$69))</f>
        <v>1182.8689906367699</v>
      </c>
      <c r="C6" s="11">
        <f ca="1">SUM(SUMIF(_xlfn.ANCHORARRAY(Oct!$B$4), $A6, Oct!D$4:D$69), SUMIF(_xlfn.ANCHORARRAY(Nov!$B$4), $A6, Nov!D$4:D$69), SUMIF(_xlfn.ANCHORARRAY(Dec!$B$4), $A6, Dec!D$4:D$69))</f>
        <v>1223.2611000000002</v>
      </c>
      <c r="D6" s="11">
        <f t="shared" ca="1" si="0"/>
        <v>-40.392109363230247</v>
      </c>
      <c r="E6" s="12">
        <f t="shared" ref="E6:E11" ca="1" si="1">IFERROR(D6/C6, "")</f>
        <v>-3.302002275984272E-2</v>
      </c>
      <c r="F6" s="13">
        <f ca="1">SUM(SUMIF(_xlfn.ANCHORARRAY(Oct!$B$4), $A6, Oct!G$4:G$69), SUMIF(_xlfn.ANCHORARRAY(Nov!$B$4), $A6, Nov!G$4:G$69), SUMIF(_xlfn.ANCHORARRAY(Dec!$B$4), $A6, Dec!G$4:G$69))</f>
        <v>2697.8762999999999</v>
      </c>
      <c r="G6" s="13">
        <f t="shared" ref="G6:G11" ca="1" si="2">IF(AND(ISNUMBER(B6),ISNUMBER(F6)), B6-F6, "")</f>
        <v>-1515.00730936323</v>
      </c>
      <c r="H6" s="14">
        <f t="shared" ref="H6:H11" ca="1" si="3">IFERROR(G6/F6, "")</f>
        <v>-0.56155551289109518</v>
      </c>
    </row>
    <row r="7" spans="1:8" ht="14.45">
      <c r="A7" s="9" t="str">
        <v>FL</v>
      </c>
      <c r="B7" s="10">
        <f ca="1">SUM(SUMIF(_xlfn.ANCHORARRAY(Oct!$B$4), $A7, Oct!C$4:C$69), SUMIF(_xlfn.ANCHORARRAY(Nov!$B$4), $A7, Nov!C$4:C$69), SUMIF(_xlfn.ANCHORARRAY(Dec!$B$4), $A7, Dec!C$4:C$69))</f>
        <v>1919.593255341053</v>
      </c>
      <c r="C7" s="15">
        <f ca="1">SUM(SUMIF(_xlfn.ANCHORARRAY(Oct!$B$4), $A7, Oct!D$4:D$69), SUMIF(_xlfn.ANCHORARRAY(Nov!$B$4), $A7, Nov!D$4:D$69), SUMIF(_xlfn.ANCHORARRAY(Dec!$B$4), $A7, Dec!D$4:D$69))</f>
        <v>14278.753000000001</v>
      </c>
      <c r="D7" s="15">
        <f t="shared" ca="1" si="0"/>
        <v>-12359.159744658948</v>
      </c>
      <c r="E7" s="16">
        <f t="shared" ca="1" si="1"/>
        <v>-0.86556296230202645</v>
      </c>
      <c r="F7" s="15">
        <f ca="1">SUM(SUMIF(_xlfn.ANCHORARRAY(Oct!$B$4), $A7, Oct!G$4:G$69), SUMIF(_xlfn.ANCHORARRAY(Nov!$B$4), $A7, Nov!G$4:G$69), SUMIF(_xlfn.ANCHORARRAY(Dec!$B$4), $A7, Dec!G$4:G$69))</f>
        <v>10621</v>
      </c>
      <c r="G7" s="15">
        <f t="shared" ca="1" si="2"/>
        <v>-8701.406744658947</v>
      </c>
      <c r="H7" s="16">
        <f t="shared" ca="1" si="3"/>
        <v>-0.81926435784379503</v>
      </c>
    </row>
    <row r="8" spans="1:8" ht="12.75" customHeight="1">
      <c r="A8" s="8" t="str">
        <v>IA</v>
      </c>
      <c r="B8" s="21">
        <f ca="1">SUM(SUMIF(_xlfn.ANCHORARRAY(Oct!$B$4), $A8, Oct!C$4:C$69), SUMIF(_xlfn.ANCHORARRAY(Nov!$B$4), $A8, Nov!C$4:C$69), SUMIF(_xlfn.ANCHORARRAY(Dec!$B$4), $A8, Dec!C$4:C$69))</f>
        <v>429963.74999999907</v>
      </c>
      <c r="C8" s="11">
        <f ca="1">SUM(SUMIF(_xlfn.ANCHORARRAY(Oct!$B$4), $A8, Oct!D$4:D$69), SUMIF(_xlfn.ANCHORARRAY(Nov!$B$4), $A8, Nov!D$4:D$69), SUMIF(_xlfn.ANCHORARRAY(Dec!$B$4), $A8, Dec!D$4:D$69))</f>
        <v>531097.24</v>
      </c>
      <c r="D8" s="11">
        <f t="shared" ca="1" si="0"/>
        <v>-101133.49000000092</v>
      </c>
      <c r="E8" s="12">
        <f t="shared" ca="1" si="1"/>
        <v>-0.19042367834560942</v>
      </c>
      <c r="F8" s="13">
        <f ca="1">SUM(SUMIF(_xlfn.ANCHORARRAY(Oct!$B$4), $A8, Oct!G$4:G$69), SUMIF(_xlfn.ANCHORARRAY(Nov!$B$4), $A8, Nov!G$4:G$69), SUMIF(_xlfn.ANCHORARRAY(Dec!$B$4), $A8, Dec!G$4:G$69))</f>
        <v>532352.29</v>
      </c>
      <c r="G8" s="13">
        <f t="shared" ca="1" si="2"/>
        <v>-102388.54000000097</v>
      </c>
      <c r="H8" s="14">
        <f t="shared" ca="1" si="3"/>
        <v>-0.19233229935011825</v>
      </c>
    </row>
    <row r="9" spans="1:8" ht="14.45">
      <c r="A9" s="9" t="str">
        <v>NC</v>
      </c>
      <c r="B9" s="10">
        <f ca="1">SUM(SUMIF(_xlfn.ANCHORARRAY(Oct!$B$4), $A9, Oct!C$4:C$69), SUMIF(_xlfn.ANCHORARRAY(Nov!$B$4), $A9, Nov!C$4:C$69), SUMIF(_xlfn.ANCHORARRAY(Dec!$B$4), $A9, Dec!C$4:C$69))</f>
        <v>688859</v>
      </c>
      <c r="C9" s="15">
        <f ca="1">SUM(SUMIF(_xlfn.ANCHORARRAY(Oct!$B$4), $A9, Oct!D$4:D$69), SUMIF(_xlfn.ANCHORARRAY(Nov!$B$4), $A9, Nov!D$4:D$69), SUMIF(_xlfn.ANCHORARRAY(Dec!$B$4), $A9, Dec!D$4:D$69))</f>
        <v>749292.74200000009</v>
      </c>
      <c r="D9" s="15">
        <f t="shared" ca="1" si="0"/>
        <v>-60433.742000000086</v>
      </c>
      <c r="E9" s="16">
        <f t="shared" ca="1" si="1"/>
        <v>-8.0654380607893414E-2</v>
      </c>
      <c r="F9" s="15">
        <f ca="1">SUM(SUMIF(_xlfn.ANCHORARRAY(Oct!$B$4), $A9, Oct!G$4:G$69), SUMIF(_xlfn.ANCHORARRAY(Nov!$B$4), $A9, Nov!G$4:G$69), SUMIF(_xlfn.ANCHORARRAY(Dec!$B$4), $A9, Dec!G$4:G$69))</f>
        <v>774639.11800000002</v>
      </c>
      <c r="G9" s="15">
        <f t="shared" ca="1" si="2"/>
        <v>-85780.118000000017</v>
      </c>
      <c r="H9" s="16">
        <f t="shared" ca="1" si="3"/>
        <v>-0.11073558771660175</v>
      </c>
    </row>
    <row r="10" spans="1:8" ht="14.45">
      <c r="A10" s="8" t="str">
        <v>NJ</v>
      </c>
      <c r="B10" s="21">
        <f ca="1">SUM(SUMIF(_xlfn.ANCHORARRAY(Oct!$B$4), $A10, Oct!C$4:C$69), SUMIF(_xlfn.ANCHORARRAY(Nov!$B$4), $A10, Nov!C$4:C$69), SUMIF(_xlfn.ANCHORARRAY(Dec!$B$4), $A10, Dec!C$4:C$69))</f>
        <v>131074.52010433236</v>
      </c>
      <c r="C10" s="11">
        <f ca="1">SUM(SUMIF(_xlfn.ANCHORARRAY(Oct!$B$4), $A10, Oct!D$4:D$69), SUMIF(_xlfn.ANCHORARRAY(Nov!$B$4), $A10, Nov!D$4:D$69), SUMIF(_xlfn.ANCHORARRAY(Dec!$B$4), $A10, Dec!D$4:D$69))</f>
        <v>122494.0255</v>
      </c>
      <c r="D10" s="11">
        <f ca="1">IF(AND(ISNUMBER(B10),ISNUMBER(C10)), B10-C10, "")</f>
        <v>8580.494604332358</v>
      </c>
      <c r="E10" s="12">
        <f t="shared" ca="1" si="1"/>
        <v>7.0048270267127094E-2</v>
      </c>
      <c r="F10" s="13">
        <f ca="1">SUM(SUMIF(_xlfn.ANCHORARRAY(Oct!$B$4), $A10, Oct!G$4:G$69), SUMIF(_xlfn.ANCHORARRAY(Nov!$B$4), $A10, Nov!G$4:G$69), SUMIF(_xlfn.ANCHORARRAY(Dec!$B$4), $A10, Dec!G$4:G$69))</f>
        <v>147385.4074</v>
      </c>
      <c r="G10" s="13">
        <f ca="1">IF(AND(ISNUMBER(B10),ISNUMBER(F10)), B10-F10, "")</f>
        <v>-16310.887295667635</v>
      </c>
      <c r="H10" s="14">
        <f t="shared" ca="1" si="3"/>
        <v>-0.11066826481267802</v>
      </c>
    </row>
    <row r="11" spans="1:8" ht="14.45">
      <c r="A11" s="9" t="str">
        <v>TX</v>
      </c>
      <c r="B11" s="71">
        <f ca="1">SUM(SUMIF(_xlfn.ANCHORARRAY(Oct!$B$4), $A11, Oct!C$4:C$69), SUMIF(_xlfn.ANCHORARRAY(Nov!$B$4), $A11, Nov!C$4:C$69), SUMIF(_xlfn.ANCHORARRAY(Dec!$B$4), $A11, Dec!C$4:C$69))</f>
        <v>1316721.6700000002</v>
      </c>
      <c r="C11" s="15">
        <f ca="1">SUM(SUMIF(_xlfn.ANCHORARRAY(Oct!$B$4), $A11, Oct!D$4:D$69), SUMIF(_xlfn.ANCHORARRAY(Nov!$B$4), $A11, Nov!D$4:D$69), SUMIF(_xlfn.ANCHORARRAY(Dec!$B$4), $A11, Dec!D$4:D$69))</f>
        <v>1393827.8800000001</v>
      </c>
      <c r="D11" s="15">
        <f t="shared" ca="1" si="0"/>
        <v>-77106.209999999963</v>
      </c>
      <c r="E11" s="75">
        <f t="shared" ca="1" si="1"/>
        <v>-5.5319750097121E-2</v>
      </c>
      <c r="F11" s="15">
        <f ca="1">SUM(SUMIF(_xlfn.ANCHORARRAY(Oct!$B$4), $A11, Oct!G$4:G$69), SUMIF(_xlfn.ANCHORARRAY(Nov!$B$4), $A11, Nov!G$4:G$69), SUMIF(_xlfn.ANCHORARRAY(Dec!$B$4), $A11, Dec!G$4:G$69))</f>
        <v>1750164.9900000002</v>
      </c>
      <c r="G11" s="15">
        <f t="shared" ca="1" si="2"/>
        <v>-433443.32000000007</v>
      </c>
      <c r="H11" s="75">
        <f t="shared" ca="1" si="3"/>
        <v>-0.24765854789496161</v>
      </c>
    </row>
    <row r="12" spans="1:8" ht="12.75" customHeight="1">
      <c r="A12" s="8" t="str">
        <v>AZ</v>
      </c>
      <c r="B12" s="57">
        <f ca="1">SUM(SUMIF(_xlfn.ANCHORARRAY(Oct!$B$4), $A12, Oct!C$4:C$69), SUMIF(_xlfn.ANCHORARRAY(Nov!$B$4), $A12, Nov!C$4:C$69), SUMIF(_xlfn.ANCHORARRAY(Dec!$B$4), $A12, Dec!C$4:C$69))</f>
        <v>988398.10009957082</v>
      </c>
      <c r="C12" s="11">
        <f ca="1">SUM(SUMIF(_xlfn.ANCHORARRAY(Oct!$B$4), $A12, Oct!D$4:D$69), SUMIF(_xlfn.ANCHORARRAY(Nov!$B$4), $A12, Nov!D$4:D$69), SUMIF(_xlfn.ANCHORARRAY(Dec!$B$4), $A12, Dec!D$4:D$69))</f>
        <v>919979.28299999994</v>
      </c>
      <c r="D12" s="11">
        <f ca="1">IF(AND(ISNUMBER(B12),ISNUMBER(C12)), B12-C12, "")</f>
        <v>68418.817099570879</v>
      </c>
      <c r="E12" s="58">
        <f ca="1">IFERROR(D12/C12, "")</f>
        <v>7.4369954154251197E-2</v>
      </c>
      <c r="F12" s="73">
        <f ca="1">SUM(SUMIF(_xlfn.ANCHORARRAY(Oct!$B$4), $A12, Oct!G$4:G$69), SUMIF(_xlfn.ANCHORARRAY(Nov!$B$4), $A12, Nov!G$4:G$69), SUMIF(_xlfn.ANCHORARRAY(Dec!$B$4), $A12, Dec!G$4:G$69))</f>
        <v>1048579.3</v>
      </c>
      <c r="G12" s="73">
        <f ca="1">IF(AND(ISNUMBER(B12),ISNUMBER(F12)), B12-F12, "")</f>
        <v>-60181.19990042923</v>
      </c>
      <c r="H12" s="74">
        <f ca="1">IFERROR(G12/F12, "")</f>
        <v>-5.7393084052326064E-2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0" priority="1" stopIfTrue="1" operator="lessThanOrEqual">
      <formula>-0.1</formula>
    </cfRule>
    <cfRule type="expression" dxfId="29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292"/>
  <sheetViews>
    <sheetView zoomScale="80" zoomScaleNormal="80" workbookViewId="0">
      <pane xSplit="2" ySplit="3" topLeftCell="C15" activePane="bottomRight" state="frozen"/>
      <selection pane="bottomRight" activeCell="J26" sqref="J26"/>
      <selection pane="bottomLeft"/>
      <selection pane="topRight"/>
    </sheetView>
  </sheetViews>
  <sheetFormatPr defaultRowHeight="13.9"/>
  <cols>
    <col min="1" max="1" width="41.570312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254" t="str" cm="1">
        <f t="array" ref="A1">portfolio</f>
        <v>Wells Fargo</v>
      </c>
      <c r="B1" s="254"/>
      <c r="C1" s="254"/>
      <c r="D1" s="255" t="s">
        <v>46</v>
      </c>
      <c r="E1" s="255"/>
      <c r="F1" s="255"/>
      <c r="G1" s="253" t="s">
        <v>47</v>
      </c>
      <c r="H1" s="253"/>
      <c r="I1" s="253"/>
      <c r="J1" s="3"/>
      <c r="K1" s="3"/>
    </row>
    <row r="2" spans="1:12" ht="19.5" customHeight="1">
      <c r="A2" s="264" t="s">
        <v>2</v>
      </c>
      <c r="B2" s="264"/>
      <c r="C2" s="4">
        <f>SUM(C4:C65)</f>
        <v>546415.96260985243</v>
      </c>
      <c r="D2" s="4">
        <f>SUM(D4:D65)</f>
        <v>600064.25600000005</v>
      </c>
      <c r="E2" s="4">
        <f>C2-D2</f>
        <v>-53648.293390147621</v>
      </c>
      <c r="F2" s="5">
        <f>IFERROR(E2/D2, 0)</f>
        <v>-8.9404247718010407E-2</v>
      </c>
      <c r="G2" s="4">
        <f>SUM(G4:G65)</f>
        <v>538220.17700000003</v>
      </c>
      <c r="H2" s="6">
        <f>C2-G2</f>
        <v>8195.7856098524062</v>
      </c>
      <c r="I2" s="5">
        <f>IFERROR(H2/G2, 0)</f>
        <v>1.5227570351477935E-2</v>
      </c>
      <c r="J2" s="23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2" ht="14.25" customHeight="1">
      <c r="A3" s="24" t="s">
        <v>3</v>
      </c>
      <c r="B3" s="7" t="s">
        <v>39</v>
      </c>
      <c r="C3" s="11" t="s">
        <v>4</v>
      </c>
      <c r="D3" s="32" t="s">
        <v>5</v>
      </c>
      <c r="E3" s="32" t="s">
        <v>6</v>
      </c>
      <c r="F3" s="33" t="s">
        <v>7</v>
      </c>
      <c r="G3" s="37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2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501.79999999999899</v>
      </c>
      <c r="D4" s="11">
        <v>0</v>
      </c>
      <c r="E4" s="11">
        <f>IF(AND(ISNUMBER(C4),ISNUMBER(D4)), C4-D4, "")</f>
        <v>501.79999999999899</v>
      </c>
      <c r="F4" s="12" t="str">
        <f>IFERROR(E4/D4, "")</f>
        <v/>
      </c>
      <c r="G4" s="13">
        <v>661</v>
      </c>
      <c r="H4" s="13">
        <f>IF(AND(ISNUMBER(C4),ISNUMBER(G4)), C4-G4, "")</f>
        <v>-159.20000000000101</v>
      </c>
      <c r="I4" s="14">
        <f>IFERROR(H4/G4, "")</f>
        <v>-0.24084720121028896</v>
      </c>
      <c r="J4" s="38" t="s">
        <v>50</v>
      </c>
      <c r="K4" s="38"/>
    </row>
    <row r="5" spans="1:12" ht="15.6">
      <c r="A5" s="27" t="str">
        <v>Otay Mesa</v>
      </c>
      <c r="B5" s="28" t="str">
        <v>CA</v>
      </c>
      <c r="C5" s="10">
        <v>39.49</v>
      </c>
      <c r="D5" s="15">
        <v>0</v>
      </c>
      <c r="E5" s="15">
        <f t="shared" ref="E5:E7" si="0">IF(AND(ISNUMBER(C5),ISNUMBER(D5)), C5-D5, "")</f>
        <v>39.49</v>
      </c>
      <c r="F5" s="16" t="str">
        <f>IFERROR(E5/D5, "")</f>
        <v/>
      </c>
      <c r="G5" s="17">
        <v>0</v>
      </c>
      <c r="H5" s="17">
        <f t="shared" ref="H5:H6" si="1">IF(AND(ISNUMBER(C5),ISNUMBER(G5)), C5-G5, "")</f>
        <v>39.49</v>
      </c>
      <c r="I5" s="16" t="str">
        <f t="shared" ref="I5:I6" si="2">IFERROR(H5/G5, "")</f>
        <v/>
      </c>
      <c r="J5" s="39" t="s">
        <v>51</v>
      </c>
      <c r="K5" s="39"/>
    </row>
    <row r="6" spans="1:12" ht="139.5" customHeight="1">
      <c r="A6" s="25" t="str">
        <v>San Leandro</v>
      </c>
      <c r="B6" s="26" t="str">
        <v>CA</v>
      </c>
      <c r="C6" s="21">
        <v>25601</v>
      </c>
      <c r="D6" s="11">
        <v>35709.120000000003</v>
      </c>
      <c r="E6" s="11">
        <f t="shared" si="0"/>
        <v>-10108.120000000003</v>
      </c>
      <c r="F6" s="12">
        <f t="shared" ref="F6:F7" si="3">IFERROR(E6/D6, "")</f>
        <v>-0.28306830299934588</v>
      </c>
      <c r="G6" s="13">
        <v>22352.73</v>
      </c>
      <c r="H6" s="13">
        <f t="shared" si="1"/>
        <v>3248.2700000000004</v>
      </c>
      <c r="I6" s="14">
        <f t="shared" si="2"/>
        <v>0.14531871498470211</v>
      </c>
      <c r="J6" s="60" t="s">
        <v>52</v>
      </c>
      <c r="K6" s="77" t="s">
        <v>53</v>
      </c>
      <c r="L6" s="78" t="s">
        <v>54</v>
      </c>
    </row>
    <row r="7" spans="1:12" ht="15.6">
      <c r="A7" s="27" t="str">
        <v>Van Nuys</v>
      </c>
      <c r="B7" s="28" t="str">
        <v>CA</v>
      </c>
      <c r="C7" s="10">
        <v>914</v>
      </c>
      <c r="D7" s="15">
        <v>0</v>
      </c>
      <c r="E7" s="15">
        <f t="shared" si="0"/>
        <v>914</v>
      </c>
      <c r="F7" s="16" t="str">
        <f t="shared" si="3"/>
        <v/>
      </c>
      <c r="G7" s="17">
        <v>1320.568</v>
      </c>
      <c r="H7" s="17">
        <f t="shared" ref="H7" si="4">IF(AND(ISNUMBER(C7),ISNUMBER(G7)), C7-G7, "")</f>
        <v>-406.56799999999998</v>
      </c>
      <c r="I7" s="16">
        <f t="shared" ref="I7" si="5">IFERROR(H7/G7, "")</f>
        <v>-0.30787358167091733</v>
      </c>
      <c r="J7" s="39"/>
      <c r="K7" s="39"/>
    </row>
    <row r="8" spans="1:12" ht="15.6">
      <c r="A8" s="25" t="str">
        <v>Lodi - Lodi Vineyard</v>
      </c>
      <c r="B8" s="26" t="str">
        <v>CA</v>
      </c>
      <c r="C8" s="21">
        <v>20951.21875</v>
      </c>
      <c r="D8" s="11">
        <v>21734.83</v>
      </c>
      <c r="E8" s="11">
        <v>-783.61125000000175</v>
      </c>
      <c r="F8" s="12">
        <v>-3.6053249553826813E-2</v>
      </c>
      <c r="G8" s="13">
        <v>17814</v>
      </c>
      <c r="H8" s="13">
        <v>3137.21875</v>
      </c>
      <c r="I8" s="14">
        <v>0.17610973111036263</v>
      </c>
      <c r="J8" s="38"/>
      <c r="K8" s="38"/>
    </row>
    <row r="9" spans="1:12" ht="15.6">
      <c r="A9" s="27" t="str">
        <v>Arden Fair Mall</v>
      </c>
      <c r="B9" s="28" t="str">
        <v>CA</v>
      </c>
      <c r="C9" s="10">
        <v>10599.65625</v>
      </c>
      <c r="D9" s="15">
        <v>12935.16</v>
      </c>
      <c r="E9" s="15">
        <v>-2335.5037499999999</v>
      </c>
      <c r="F9" s="16">
        <v>-0.18055468583303183</v>
      </c>
      <c r="G9" s="17">
        <v>10608</v>
      </c>
      <c r="H9" s="17">
        <v>-8.34375</v>
      </c>
      <c r="I9" s="16">
        <v>-7.8655260180995478E-4</v>
      </c>
      <c r="J9" s="39"/>
      <c r="K9" s="54"/>
    </row>
    <row r="10" spans="1:12" ht="15.6">
      <c r="A10" s="25" t="str">
        <v>Modesto - Modesto Main</v>
      </c>
      <c r="B10" s="26" t="str">
        <v>CA</v>
      </c>
      <c r="C10" s="21">
        <v>7933.953125</v>
      </c>
      <c r="D10" s="11">
        <v>10825.7</v>
      </c>
      <c r="E10" s="11">
        <v>-2891.7468750000007</v>
      </c>
      <c r="F10" s="12">
        <v>-0.26711869671245281</v>
      </c>
      <c r="G10" s="13">
        <v>10268.68</v>
      </c>
      <c r="H10" s="13">
        <v>-2334.7268750000003</v>
      </c>
      <c r="I10" s="14">
        <v>-0.22736387490894644</v>
      </c>
      <c r="J10" s="38" t="s">
        <v>55</v>
      </c>
      <c r="K10" s="38" t="s">
        <v>56</v>
      </c>
    </row>
    <row r="11" spans="1:12" ht="15.6">
      <c r="A11" s="27" t="str">
        <v>Stevens Creek</v>
      </c>
      <c r="B11" s="28" t="str">
        <v>CA</v>
      </c>
      <c r="C11" s="10">
        <v>3096.2008642543701</v>
      </c>
      <c r="D11" s="15">
        <v>2594.087</v>
      </c>
      <c r="E11" s="15">
        <v>502.11386425437013</v>
      </c>
      <c r="F11" s="16">
        <v>0.1935609192191203</v>
      </c>
      <c r="G11" s="17">
        <v>2416</v>
      </c>
      <c r="H11" s="17">
        <v>680.20086425437012</v>
      </c>
      <c r="I11" s="16">
        <v>0.28154009282051745</v>
      </c>
      <c r="J11" s="39"/>
      <c r="K11" s="39"/>
    </row>
    <row r="12" spans="1:12" ht="15.6">
      <c r="A12" s="25" t="str">
        <v>Covina Main</v>
      </c>
      <c r="B12" s="26" t="str">
        <v>CA</v>
      </c>
      <c r="C12" s="21">
        <v>2141.6999999999998</v>
      </c>
      <c r="D12" s="11">
        <v>1912.7059999999999</v>
      </c>
      <c r="E12" s="11">
        <v>228.99399999999991</v>
      </c>
      <c r="F12" s="12">
        <v>0.11972252923345246</v>
      </c>
      <c r="G12" s="13">
        <v>2134</v>
      </c>
      <c r="H12" s="13">
        <v>7.6999999999998181</v>
      </c>
      <c r="I12" s="14">
        <v>3.6082474226803271E-3</v>
      </c>
      <c r="J12" s="38"/>
      <c r="K12" s="38"/>
    </row>
    <row r="13" spans="1:12" ht="15.6">
      <c r="A13" s="27" t="str">
        <v>Old Ranch Town Center</v>
      </c>
      <c r="B13" s="28" t="str">
        <v>CA</v>
      </c>
      <c r="C13" s="10">
        <v>642.60620117187</v>
      </c>
      <c r="D13" s="15">
        <v>0</v>
      </c>
      <c r="E13" s="15">
        <v>642.60620117187</v>
      </c>
      <c r="F13" s="16" t="s">
        <v>57</v>
      </c>
      <c r="G13" s="17">
        <v>910</v>
      </c>
      <c r="H13" s="17">
        <v>-267.39379882813</v>
      </c>
      <c r="I13" s="16">
        <v>-0.29383933937157142</v>
      </c>
      <c r="J13" s="39" t="s">
        <v>50</v>
      </c>
      <c r="K13" s="39"/>
    </row>
    <row r="14" spans="1:12" ht="15.6">
      <c r="A14" s="25" t="str">
        <v>Mountain Gate Plaza</v>
      </c>
      <c r="B14" s="26" t="str">
        <v>CA</v>
      </c>
      <c r="C14" s="21">
        <v>5252.3031909106203</v>
      </c>
      <c r="D14" s="11">
        <v>0</v>
      </c>
      <c r="E14" s="11">
        <v>5252.3031909106203</v>
      </c>
      <c r="F14" s="12" t="s">
        <v>57</v>
      </c>
      <c r="G14" s="13">
        <v>6591</v>
      </c>
      <c r="H14" s="13">
        <v>-1338.6968090893797</v>
      </c>
      <c r="I14" s="14">
        <v>-0.20310981779538456</v>
      </c>
      <c r="J14" s="38" t="s">
        <v>50</v>
      </c>
      <c r="K14" s="38"/>
    </row>
    <row r="15" spans="1:12" ht="28.9">
      <c r="A15" s="27" t="str">
        <v>Arcadia Main</v>
      </c>
      <c r="B15" s="28" t="str">
        <v>CA</v>
      </c>
      <c r="C15" s="10">
        <v>1679.0975195312501</v>
      </c>
      <c r="D15" s="15">
        <v>0</v>
      </c>
      <c r="E15" s="15">
        <v>1679.0975195312501</v>
      </c>
      <c r="F15" s="16" t="s">
        <v>57</v>
      </c>
      <c r="G15" s="17">
        <v>3550</v>
      </c>
      <c r="H15" s="17">
        <v>-1870.9024804687499</v>
      </c>
      <c r="I15" s="16">
        <v>-0.52701478323063378</v>
      </c>
      <c r="J15" s="39" t="s">
        <v>58</v>
      </c>
      <c r="K15" s="39" t="s">
        <v>59</v>
      </c>
    </row>
    <row r="16" spans="1:12" ht="15.6">
      <c r="A16" s="25" t="str">
        <v>Fairfield</v>
      </c>
      <c r="B16" s="26" t="str">
        <v>CA</v>
      </c>
      <c r="C16" s="21">
        <v>2185.7230273437499</v>
      </c>
      <c r="D16" s="11">
        <v>2398.0520000000001</v>
      </c>
      <c r="E16" s="11">
        <v>-212.32897265625024</v>
      </c>
      <c r="F16" s="12">
        <v>-8.8542272084279339E-2</v>
      </c>
      <c r="G16" s="13">
        <v>2037</v>
      </c>
      <c r="H16" s="13">
        <v>148.72302734374989</v>
      </c>
      <c r="I16" s="14">
        <v>7.3010813619906675E-2</v>
      </c>
      <c r="J16" s="38"/>
      <c r="K16" s="38"/>
    </row>
    <row r="17" spans="1:12" ht="15.6">
      <c r="A17" s="27" t="str">
        <v>Los Gatos</v>
      </c>
      <c r="B17" s="28" t="str">
        <v>CA</v>
      </c>
      <c r="C17" s="10">
        <v>1247.8238378906201</v>
      </c>
      <c r="D17" s="15">
        <v>1112.865</v>
      </c>
      <c r="E17" s="15">
        <v>134.95883789062009</v>
      </c>
      <c r="F17" s="16">
        <v>0.12127152699619459</v>
      </c>
      <c r="G17" s="17">
        <v>0</v>
      </c>
      <c r="H17" s="17">
        <v>1247.8238378906201</v>
      </c>
      <c r="I17" s="16" t="s">
        <v>57</v>
      </c>
      <c r="J17" s="39"/>
      <c r="K17" s="39"/>
    </row>
    <row r="18" spans="1:12" ht="15.6">
      <c r="A18" s="25" t="str">
        <v>San Marino</v>
      </c>
      <c r="B18" s="26" t="str">
        <v>CA</v>
      </c>
      <c r="C18" s="21">
        <v>2293.8000000000002</v>
      </c>
      <c r="D18" s="11">
        <v>2367.9079999999999</v>
      </c>
      <c r="E18" s="11">
        <v>-74.10799999999972</v>
      </c>
      <c r="F18" s="12">
        <v>-3.1296824032014642E-2</v>
      </c>
      <c r="G18" s="13">
        <v>2895.0030000000002</v>
      </c>
      <c r="H18" s="13">
        <v>-601.20299999999997</v>
      </c>
      <c r="I18" s="14">
        <v>-0.20766921485055453</v>
      </c>
      <c r="J18" s="38" t="s">
        <v>50</v>
      </c>
      <c r="K18" s="38"/>
    </row>
    <row r="19" spans="1:12" ht="15.6">
      <c r="A19" s="27" t="str">
        <v>Buenaventura</v>
      </c>
      <c r="B19" s="28" t="str">
        <v>CA</v>
      </c>
      <c r="C19" s="10">
        <v>3155.58984375</v>
      </c>
      <c r="D19" s="15">
        <v>2389.828</v>
      </c>
      <c r="E19" s="15">
        <v>765.76184375000003</v>
      </c>
      <c r="F19" s="16">
        <v>0.32042550499450173</v>
      </c>
      <c r="G19" s="17">
        <v>3932.1959999999999</v>
      </c>
      <c r="H19" s="17">
        <v>-776.60615624999991</v>
      </c>
      <c r="I19" s="16">
        <v>-0.19749935055373638</v>
      </c>
      <c r="J19" s="39" t="s">
        <v>50</v>
      </c>
      <c r="K19" s="79"/>
      <c r="L19" s="78"/>
    </row>
    <row r="20" spans="1:12" ht="15.6">
      <c r="A20" s="25" t="str">
        <v>BE 199502 - Westgate</v>
      </c>
      <c r="B20" s="26" t="str">
        <v>CA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2" ht="15.6">
      <c r="A21" s="27" t="str">
        <v>98th &amp; Grant</v>
      </c>
      <c r="B21" s="28" t="str">
        <v>CO</v>
      </c>
      <c r="C21" s="10">
        <v>468</v>
      </c>
      <c r="D21" s="15">
        <v>0</v>
      </c>
      <c r="E21" s="15">
        <v>468</v>
      </c>
      <c r="F21" s="16"/>
      <c r="G21" s="17">
        <v>1170</v>
      </c>
      <c r="H21" s="17">
        <v>-702</v>
      </c>
      <c r="I21" s="16">
        <v>-0.6</v>
      </c>
      <c r="J21" s="39"/>
      <c r="K21" s="54"/>
    </row>
    <row r="22" spans="1:12" ht="15.6">
      <c r="A22" s="25" t="str">
        <v>Arapahoe Crossings</v>
      </c>
      <c r="B22" s="26" t="str">
        <v>CO</v>
      </c>
      <c r="C22" s="21">
        <v>1869</v>
      </c>
      <c r="D22" s="11">
        <v>0</v>
      </c>
      <c r="E22" s="11">
        <v>1869</v>
      </c>
      <c r="F22" s="12"/>
      <c r="G22" s="13">
        <v>2128</v>
      </c>
      <c r="H22" s="13">
        <v>-259</v>
      </c>
      <c r="I22" s="14">
        <v>-0.12</v>
      </c>
      <c r="J22" s="38"/>
      <c r="K22" s="38"/>
    </row>
    <row r="23" spans="1:12" ht="15.6">
      <c r="A23" s="27" t="str">
        <v>Aurora City Center</v>
      </c>
      <c r="B23" s="28" t="str">
        <v>CO</v>
      </c>
      <c r="C23" s="10">
        <v>976</v>
      </c>
      <c r="D23" s="15">
        <v>0</v>
      </c>
      <c r="E23" s="15">
        <v>976</v>
      </c>
      <c r="F23" s="16"/>
      <c r="G23" s="17">
        <v>1050</v>
      </c>
      <c r="H23" s="17">
        <v>-74</v>
      </c>
      <c r="I23" s="16">
        <v>-7.0000000000000007E-2</v>
      </c>
      <c r="J23" s="39"/>
      <c r="K23" s="54"/>
    </row>
    <row r="24" spans="1:12" ht="15.6">
      <c r="A24" s="25" t="str">
        <v>Dry Creek</v>
      </c>
      <c r="B24" s="26" t="str">
        <v>CO</v>
      </c>
      <c r="C24" s="21">
        <v>1117</v>
      </c>
      <c r="D24" s="11">
        <v>0</v>
      </c>
      <c r="E24" s="11">
        <v>1117</v>
      </c>
      <c r="F24" s="12"/>
      <c r="G24" s="13">
        <v>1261</v>
      </c>
      <c r="H24" s="13">
        <v>-144</v>
      </c>
      <c r="I24" s="14">
        <v>-0.11</v>
      </c>
      <c r="J24" s="38"/>
      <c r="K24" s="38"/>
      <c r="L24" s="78"/>
    </row>
    <row r="25" spans="1:12" ht="15.6">
      <c r="A25" s="27" t="str">
        <v>Highlands Ranch S.</v>
      </c>
      <c r="B25" s="28" t="str">
        <v>CO</v>
      </c>
      <c r="C25" s="10">
        <v>875</v>
      </c>
      <c r="D25" s="15">
        <v>0</v>
      </c>
      <c r="E25" s="15">
        <v>875</v>
      </c>
      <c r="F25" s="16"/>
      <c r="G25" s="17">
        <v>1109</v>
      </c>
      <c r="H25" s="17">
        <v>-234</v>
      </c>
      <c r="I25" s="16">
        <v>-0.21</v>
      </c>
      <c r="J25" s="39" t="s">
        <v>50</v>
      </c>
      <c r="K25" s="54"/>
    </row>
    <row r="26" spans="1:12" ht="15.6">
      <c r="A26" s="25" t="str">
        <v>Lone Tree</v>
      </c>
      <c r="B26" s="26" t="str">
        <v>CO</v>
      </c>
      <c r="C26" s="21">
        <v>1475</v>
      </c>
      <c r="D26" s="11">
        <v>0</v>
      </c>
      <c r="E26" s="11">
        <v>1475</v>
      </c>
      <c r="F26" s="12"/>
      <c r="G26" s="13">
        <v>2554</v>
      </c>
      <c r="H26" s="13">
        <v>-1079</v>
      </c>
      <c r="I26" s="14">
        <v>-0.42</v>
      </c>
      <c r="J26" s="38" t="s">
        <v>50</v>
      </c>
      <c r="K26" s="38"/>
      <c r="L26" s="78"/>
    </row>
    <row r="27" spans="1:12" ht="15.6">
      <c r="A27" s="27" t="str">
        <v>Meridian</v>
      </c>
      <c r="B27" s="28" t="str">
        <v>CO</v>
      </c>
      <c r="C27" s="10">
        <v>1504</v>
      </c>
      <c r="D27" s="15">
        <v>0</v>
      </c>
      <c r="E27" s="15">
        <v>1504</v>
      </c>
      <c r="F27" s="16"/>
      <c r="G27" s="17">
        <v>1505</v>
      </c>
      <c r="H27" s="17">
        <v>-1</v>
      </c>
      <c r="I27" s="16">
        <v>0</v>
      </c>
      <c r="J27" s="39"/>
      <c r="K27" s="54"/>
    </row>
    <row r="28" spans="1:12" ht="15.6">
      <c r="A28" s="25" t="str">
        <v>Southglenn</v>
      </c>
      <c r="B28" s="26" t="str">
        <v>CO</v>
      </c>
      <c r="C28" s="21">
        <v>1413</v>
      </c>
      <c r="D28" s="11">
        <v>0</v>
      </c>
      <c r="E28" s="11">
        <v>1413</v>
      </c>
      <c r="F28" s="12"/>
      <c r="G28" s="13"/>
      <c r="H28" s="13"/>
      <c r="I28" s="14"/>
      <c r="J28" s="38"/>
      <c r="K28" s="38"/>
      <c r="L28" s="78"/>
    </row>
    <row r="29" spans="1:12" ht="15.6">
      <c r="A29" s="27" t="str">
        <v>Standley Lake</v>
      </c>
      <c r="B29" s="28" t="str">
        <v>CO</v>
      </c>
      <c r="C29" s="10">
        <v>1429</v>
      </c>
      <c r="D29" s="15">
        <v>0</v>
      </c>
      <c r="E29" s="15">
        <v>1429</v>
      </c>
      <c r="F29" s="16"/>
      <c r="G29" s="17">
        <v>2142</v>
      </c>
      <c r="H29" s="17">
        <v>-713</v>
      </c>
      <c r="I29" s="16">
        <v>-0.33</v>
      </c>
      <c r="J29" s="39" t="s">
        <v>50</v>
      </c>
      <c r="K29" s="54"/>
    </row>
    <row r="30" spans="1:12" ht="15.6">
      <c r="A30" s="25" t="str">
        <v>Havana Gardens</v>
      </c>
      <c r="B30" s="26" t="str">
        <v>CO</v>
      </c>
      <c r="C30" s="21">
        <v>1606</v>
      </c>
      <c r="D30" s="11">
        <v>0</v>
      </c>
      <c r="E30" s="11">
        <v>1606</v>
      </c>
      <c r="F30" s="12"/>
      <c r="G30" s="13">
        <v>839</v>
      </c>
      <c r="H30" s="13">
        <v>767</v>
      </c>
      <c r="I30" s="14">
        <v>0.91</v>
      </c>
      <c r="J30" s="38"/>
      <c r="K30" s="38"/>
      <c r="L30" s="78"/>
    </row>
    <row r="31" spans="1:12" ht="15.6">
      <c r="A31" s="27" t="str">
        <v>East Hartford</v>
      </c>
      <c r="B31" s="28" t="str">
        <v>CT</v>
      </c>
      <c r="C31" s="10">
        <v>207</v>
      </c>
      <c r="D31" s="15">
        <v>702</v>
      </c>
      <c r="E31" s="15">
        <v>-494</v>
      </c>
      <c r="F31" s="16">
        <v>-0.7</v>
      </c>
      <c r="G31" s="17">
        <v>271</v>
      </c>
      <c r="H31" s="17">
        <v>-64</v>
      </c>
      <c r="I31" s="16">
        <v>-0.23</v>
      </c>
      <c r="J31" s="39" t="s">
        <v>50</v>
      </c>
      <c r="K31" s="54"/>
    </row>
    <row r="32" spans="1:12" ht="72">
      <c r="A32" s="25" t="str">
        <v>Norwalk</v>
      </c>
      <c r="B32" s="26" t="str">
        <v>CT</v>
      </c>
      <c r="C32" s="21">
        <v>-48</v>
      </c>
      <c r="D32" s="11">
        <v>1301</v>
      </c>
      <c r="E32" s="11">
        <v>-1349</v>
      </c>
      <c r="F32" s="12">
        <v>-1.04</v>
      </c>
      <c r="G32" s="13">
        <v>380</v>
      </c>
      <c r="H32" s="13">
        <v>-428</v>
      </c>
      <c r="I32" s="14">
        <v>-1.1299999999999999</v>
      </c>
      <c r="J32" s="38" t="s">
        <v>60</v>
      </c>
      <c r="K32" s="38" t="s">
        <v>61</v>
      </c>
      <c r="L32" s="78"/>
    </row>
    <row r="33" spans="1:11" ht="15.6">
      <c r="A33" s="27" t="str">
        <v>Hialeah Gardens</v>
      </c>
      <c r="B33" s="28" t="str">
        <v>FL</v>
      </c>
      <c r="C33" s="216">
        <v>2375</v>
      </c>
      <c r="D33" s="217">
        <v>2837</v>
      </c>
      <c r="E33" s="218">
        <v>-462</v>
      </c>
      <c r="F33" s="219">
        <v>-0.16</v>
      </c>
      <c r="G33" s="220">
        <v>3416</v>
      </c>
      <c r="H33" s="220">
        <v>-1041</v>
      </c>
      <c r="I33" s="219">
        <v>-0.3</v>
      </c>
      <c r="J33" s="221" t="s">
        <v>50</v>
      </c>
      <c r="K33" s="221"/>
    </row>
    <row r="34" spans="1:11" ht="15.6">
      <c r="A34" s="25" t="str">
        <v>W. Des Moines Campus EAST</v>
      </c>
      <c r="B34" s="26" t="str">
        <v>IA</v>
      </c>
      <c r="C34" s="222">
        <v>118781</v>
      </c>
      <c r="D34" s="15">
        <v>137812</v>
      </c>
      <c r="E34" s="15">
        <v>-19031</v>
      </c>
      <c r="F34" s="219">
        <v>-0.14000000000000001</v>
      </c>
      <c r="G34" s="223">
        <v>103900</v>
      </c>
      <c r="H34" s="223">
        <v>14881</v>
      </c>
      <c r="I34" s="224">
        <v>0.14000000000000001</v>
      </c>
      <c r="J34" s="225"/>
      <c r="K34" s="226"/>
    </row>
    <row r="35" spans="1:11" ht="15.6">
      <c r="A35" s="27" t="str">
        <v>W. Des Moines Campus SW</v>
      </c>
      <c r="B35" s="28" t="str">
        <v>IA</v>
      </c>
      <c r="C35" s="216">
        <v>62763</v>
      </c>
      <c r="D35" s="217">
        <v>76926</v>
      </c>
      <c r="E35" s="217">
        <v>-14164</v>
      </c>
      <c r="F35" s="219">
        <v>-0.18</v>
      </c>
      <c r="G35" s="220">
        <v>54918</v>
      </c>
      <c r="H35" s="220">
        <v>7845</v>
      </c>
      <c r="I35" s="224">
        <v>0.14000000000000001</v>
      </c>
      <c r="J35" s="221" t="s">
        <v>50</v>
      </c>
      <c r="K35" s="221"/>
    </row>
    <row r="36" spans="1:11" ht="15.6">
      <c r="A36" s="25" t="str">
        <v>WF - CIC</v>
      </c>
      <c r="B36" s="26" t="str">
        <v>NC</v>
      </c>
      <c r="C36" s="222">
        <v>116508</v>
      </c>
      <c r="D36" s="15">
        <v>113753</v>
      </c>
      <c r="E36" s="15">
        <v>2755</v>
      </c>
      <c r="F36" s="227">
        <v>0.02</v>
      </c>
      <c r="G36" s="223">
        <v>106712</v>
      </c>
      <c r="H36" s="223">
        <v>9796</v>
      </c>
      <c r="I36" s="227">
        <v>0.09</v>
      </c>
      <c r="J36" s="225"/>
      <c r="K36" s="226"/>
    </row>
    <row r="37" spans="1:11" ht="15.6">
      <c r="A37" s="27" t="str">
        <v>Charlotte - Wells Fargo - DUC</v>
      </c>
      <c r="B37" s="28" t="str">
        <v>NC</v>
      </c>
      <c r="C37" s="216">
        <v>110087</v>
      </c>
      <c r="D37" s="217">
        <v>128961</v>
      </c>
      <c r="E37" s="217">
        <v>-18874</v>
      </c>
      <c r="F37" s="219">
        <v>-0.15</v>
      </c>
      <c r="G37" s="220">
        <v>129978</v>
      </c>
      <c r="H37" s="220">
        <v>-19891</v>
      </c>
      <c r="I37" s="219">
        <v>-0.15</v>
      </c>
      <c r="J37" s="221" t="s">
        <v>50</v>
      </c>
      <c r="K37" s="221"/>
    </row>
    <row r="38" spans="1:11" ht="15.6">
      <c r="A38" s="25" t="str">
        <v>East Windsor</v>
      </c>
      <c r="B38" s="26" t="str">
        <v>NJ</v>
      </c>
      <c r="C38" s="228">
        <v>395</v>
      </c>
      <c r="D38" s="218">
        <v>635</v>
      </c>
      <c r="E38" s="218">
        <v>-241</v>
      </c>
      <c r="F38" s="219">
        <v>-0.38</v>
      </c>
      <c r="G38" s="229">
        <v>406</v>
      </c>
      <c r="H38" s="229">
        <v>-12</v>
      </c>
      <c r="I38" s="230">
        <v>-0.03</v>
      </c>
      <c r="J38" s="221" t="s">
        <v>50</v>
      </c>
      <c r="K38" s="221"/>
    </row>
    <row r="39" spans="1:11" ht="15.6">
      <c r="A39" s="27" t="str">
        <v>Burlington</v>
      </c>
      <c r="B39" s="28" t="str">
        <v>NJ</v>
      </c>
      <c r="C39" s="222">
        <v>1271</v>
      </c>
      <c r="D39" s="15">
        <v>1261</v>
      </c>
      <c r="E39" s="231">
        <v>10</v>
      </c>
      <c r="F39" s="227">
        <v>0.01</v>
      </c>
      <c r="G39" s="223">
        <v>1087</v>
      </c>
      <c r="H39" s="232">
        <v>185</v>
      </c>
      <c r="I39" s="224">
        <v>0.17</v>
      </c>
      <c r="J39" s="225"/>
      <c r="K39" s="225"/>
    </row>
    <row r="40" spans="1:11" ht="15.6">
      <c r="A40" s="25" t="str">
        <v>Bayonne</v>
      </c>
      <c r="B40" s="26" t="str">
        <v>NJ</v>
      </c>
      <c r="C40" s="216">
        <v>1509</v>
      </c>
      <c r="D40" s="217">
        <v>1667</v>
      </c>
      <c r="E40" s="218">
        <v>-159</v>
      </c>
      <c r="F40" s="233">
        <v>-0.1</v>
      </c>
      <c r="G40" s="220">
        <v>2001</v>
      </c>
      <c r="H40" s="229">
        <v>-493</v>
      </c>
      <c r="I40" s="219">
        <v>-0.25</v>
      </c>
      <c r="J40" s="221" t="s">
        <v>50</v>
      </c>
      <c r="K40" s="221"/>
    </row>
    <row r="41" spans="1:11" ht="15.6">
      <c r="A41" s="27" t="str">
        <v>Clifton</v>
      </c>
      <c r="B41" s="28" t="str">
        <v>NJ</v>
      </c>
      <c r="C41" s="222">
        <v>1389</v>
      </c>
      <c r="D41" s="15">
        <v>2166</v>
      </c>
      <c r="E41" s="231">
        <v>-777</v>
      </c>
      <c r="F41" s="219">
        <v>-0.36</v>
      </c>
      <c r="G41" s="223">
        <v>2510</v>
      </c>
      <c r="H41" s="223">
        <v>-1120</v>
      </c>
      <c r="I41" s="219">
        <v>-0.45</v>
      </c>
      <c r="J41" s="225" t="s">
        <v>50</v>
      </c>
      <c r="K41" s="225"/>
    </row>
    <row r="42" spans="1:11" ht="15.6">
      <c r="A42" s="25" t="str">
        <v>North Elizabeth</v>
      </c>
      <c r="B42" s="26" t="str">
        <v>NJ</v>
      </c>
      <c r="C42" s="216">
        <v>1258</v>
      </c>
      <c r="D42" s="217">
        <v>1301</v>
      </c>
      <c r="E42" s="218">
        <v>-43</v>
      </c>
      <c r="F42" s="233">
        <v>-0.03</v>
      </c>
      <c r="G42" s="220">
        <v>1349</v>
      </c>
      <c r="H42" s="229">
        <v>-92</v>
      </c>
      <c r="I42" s="230">
        <v>-7.0000000000000007E-2</v>
      </c>
      <c r="J42" s="221" t="s">
        <v>62</v>
      </c>
      <c r="K42" s="221"/>
    </row>
    <row r="43" spans="1:11" ht="15.6">
      <c r="A43" s="27" t="str">
        <v>Haddon Westmont Plaza</v>
      </c>
      <c r="B43" s="28" t="str">
        <v>NJ</v>
      </c>
      <c r="C43" s="234">
        <v>745</v>
      </c>
      <c r="D43" s="15">
        <v>1161</v>
      </c>
      <c r="E43" s="231">
        <v>-416</v>
      </c>
      <c r="F43" s="219">
        <v>-0.36</v>
      </c>
      <c r="G43" s="232">
        <v>961</v>
      </c>
      <c r="H43" s="232">
        <v>-217</v>
      </c>
      <c r="I43" s="219">
        <v>-0.23</v>
      </c>
      <c r="J43" s="225" t="s">
        <v>50</v>
      </c>
      <c r="K43" s="225"/>
    </row>
    <row r="44" spans="1:11" ht="15.6">
      <c r="A44" s="25" t="str">
        <v>Parsippany</v>
      </c>
      <c r="B44" s="26" t="str">
        <v>NJ</v>
      </c>
      <c r="C44" s="216">
        <v>1080</v>
      </c>
      <c r="D44" s="217">
        <v>2126</v>
      </c>
      <c r="E44" s="217">
        <v>-1046</v>
      </c>
      <c r="F44" s="219">
        <v>-0.49</v>
      </c>
      <c r="G44" s="220">
        <v>1075</v>
      </c>
      <c r="H44" s="229">
        <v>5</v>
      </c>
      <c r="I44" s="230">
        <v>0</v>
      </c>
      <c r="J44" s="221" t="s">
        <v>50</v>
      </c>
      <c r="K44" s="221"/>
    </row>
    <row r="45" spans="1:11" ht="15.6">
      <c r="A45" s="27" t="str">
        <v>Clark</v>
      </c>
      <c r="B45" s="28" t="str">
        <v>NJ</v>
      </c>
      <c r="C45" s="234">
        <v>905</v>
      </c>
      <c r="D45" s="15">
        <v>1198</v>
      </c>
      <c r="E45" s="231">
        <v>-293</v>
      </c>
      <c r="F45" s="219">
        <v>-0.24</v>
      </c>
      <c r="G45" s="232">
        <v>916</v>
      </c>
      <c r="H45" s="232">
        <v>-11</v>
      </c>
      <c r="I45" s="227">
        <v>-0.01</v>
      </c>
      <c r="J45" s="225" t="s">
        <v>50</v>
      </c>
      <c r="K45" s="225"/>
    </row>
    <row r="46" spans="1:11" ht="15.6">
      <c r="A46" s="25" t="str">
        <v>Closter</v>
      </c>
      <c r="B46" s="26" t="str">
        <v>NJ</v>
      </c>
      <c r="C46" s="228">
        <v>184</v>
      </c>
      <c r="D46" s="218">
        <v>274</v>
      </c>
      <c r="E46" s="218">
        <v>-90</v>
      </c>
      <c r="F46" s="219">
        <v>-0.33</v>
      </c>
      <c r="G46" s="229">
        <v>462</v>
      </c>
      <c r="H46" s="229">
        <v>-279</v>
      </c>
      <c r="I46" s="219">
        <v>-0.6</v>
      </c>
      <c r="J46" s="221" t="s">
        <v>50</v>
      </c>
      <c r="K46" s="221"/>
    </row>
    <row r="47" spans="1:11" ht="15.6">
      <c r="A47" s="27" t="str">
        <v>Holmdel</v>
      </c>
      <c r="B47" s="28" t="str">
        <v>NJ</v>
      </c>
      <c r="C47" s="234">
        <v>761</v>
      </c>
      <c r="D47" s="15">
        <v>3879</v>
      </c>
      <c r="E47" s="15">
        <v>-3118</v>
      </c>
      <c r="F47" s="219">
        <v>-0.8</v>
      </c>
      <c r="G47" s="232">
        <v>804</v>
      </c>
      <c r="H47" s="232">
        <v>-42</v>
      </c>
      <c r="I47" s="227">
        <v>-0.05</v>
      </c>
      <c r="J47" s="225" t="s">
        <v>50</v>
      </c>
      <c r="K47" s="225"/>
    </row>
    <row r="48" spans="1:11" ht="15.6">
      <c r="A48" s="25" t="str">
        <v>Ellisburg Circle Center</v>
      </c>
      <c r="B48" s="26" t="str">
        <v>NJ</v>
      </c>
      <c r="C48" s="228">
        <v>357</v>
      </c>
      <c r="D48" s="218">
        <v>562</v>
      </c>
      <c r="E48" s="218">
        <v>-205</v>
      </c>
      <c r="F48" s="219">
        <v>-0.36</v>
      </c>
      <c r="G48" s="229">
        <v>451</v>
      </c>
      <c r="H48" s="229">
        <v>-94</v>
      </c>
      <c r="I48" s="219">
        <v>-0.21</v>
      </c>
      <c r="J48" s="221" t="s">
        <v>50</v>
      </c>
      <c r="K48" s="221"/>
    </row>
    <row r="49" spans="1:11" ht="15.6">
      <c r="A49" s="27" t="str">
        <v>Nutley</v>
      </c>
      <c r="B49" s="28" t="str">
        <v>NJ</v>
      </c>
      <c r="C49" s="222">
        <v>1174</v>
      </c>
      <c r="D49" s="15">
        <v>1685</v>
      </c>
      <c r="E49" s="231">
        <v>-512</v>
      </c>
      <c r="F49" s="219">
        <v>-0.3</v>
      </c>
      <c r="G49" s="223">
        <v>1647</v>
      </c>
      <c r="H49" s="232">
        <v>-473</v>
      </c>
      <c r="I49" s="219">
        <v>-0.28999999999999998</v>
      </c>
      <c r="J49" s="225" t="s">
        <v>50</v>
      </c>
      <c r="K49" s="225"/>
    </row>
    <row r="50" spans="1:11" ht="15.6">
      <c r="A50" s="25" t="str">
        <v>Marlton</v>
      </c>
      <c r="B50" s="26" t="str">
        <v>NJ</v>
      </c>
      <c r="C50" s="216">
        <v>1399</v>
      </c>
      <c r="D50" s="217">
        <v>1471</v>
      </c>
      <c r="E50" s="218">
        <v>-72</v>
      </c>
      <c r="F50" s="233">
        <v>-0.05</v>
      </c>
      <c r="G50" s="220">
        <v>1600</v>
      </c>
      <c r="H50" s="229">
        <v>-202</v>
      </c>
      <c r="I50" s="219">
        <v>-0.13</v>
      </c>
      <c r="J50" s="221"/>
      <c r="K50" s="221"/>
    </row>
    <row r="51" spans="1:11" ht="15.6">
      <c r="A51" s="27" t="str">
        <v>Middletown</v>
      </c>
      <c r="B51" s="28" t="str">
        <v>NJ</v>
      </c>
      <c r="C51" s="222">
        <v>1803</v>
      </c>
      <c r="D51" s="15">
        <v>1488</v>
      </c>
      <c r="E51" s="231">
        <v>314</v>
      </c>
      <c r="F51" s="224">
        <v>0.21</v>
      </c>
      <c r="G51" s="223">
        <v>1621</v>
      </c>
      <c r="H51" s="232">
        <v>182</v>
      </c>
      <c r="I51" s="224">
        <v>0.11</v>
      </c>
      <c r="J51" s="225"/>
      <c r="K51" s="225"/>
    </row>
    <row r="52" spans="1:11" ht="15.6">
      <c r="A52" s="25" t="str">
        <v>Whiting Crestwood</v>
      </c>
      <c r="B52" s="26" t="str">
        <v>NJ</v>
      </c>
      <c r="C52" s="216">
        <v>2647</v>
      </c>
      <c r="D52" s="217">
        <v>2943</v>
      </c>
      <c r="E52" s="218">
        <v>-296</v>
      </c>
      <c r="F52" s="219">
        <v>-0.1</v>
      </c>
      <c r="G52" s="220">
        <v>2442</v>
      </c>
      <c r="H52" s="229">
        <v>205</v>
      </c>
      <c r="I52" s="230">
        <v>0.08</v>
      </c>
      <c r="J52" s="221"/>
      <c r="K52" s="221"/>
    </row>
    <row r="53" spans="1:11" ht="15.6">
      <c r="A53" s="27" t="str">
        <v>Barnegat</v>
      </c>
      <c r="B53" s="28" t="str">
        <v>NJ</v>
      </c>
      <c r="C53" s="222">
        <v>2474</v>
      </c>
      <c r="D53" s="15">
        <v>2068</v>
      </c>
      <c r="E53" s="231">
        <v>406</v>
      </c>
      <c r="F53" s="224">
        <v>0.2</v>
      </c>
      <c r="G53" s="223">
        <v>2008</v>
      </c>
      <c r="H53" s="232">
        <v>466</v>
      </c>
      <c r="I53" s="224">
        <v>0.23</v>
      </c>
      <c r="J53" s="225"/>
      <c r="K53" s="225"/>
    </row>
    <row r="54" spans="1:11" ht="15.6">
      <c r="A54" s="25" t="str">
        <v>Manchester</v>
      </c>
      <c r="B54" s="26" t="str">
        <v>NJ</v>
      </c>
      <c r="C54" s="216">
        <v>1526</v>
      </c>
      <c r="D54" s="217">
        <v>1805</v>
      </c>
      <c r="E54" s="218">
        <v>-279</v>
      </c>
      <c r="F54" s="219">
        <v>-0.15</v>
      </c>
      <c r="G54" s="220">
        <v>2136</v>
      </c>
      <c r="H54" s="229">
        <v>-610</v>
      </c>
      <c r="I54" s="219">
        <v>-0.28999999999999998</v>
      </c>
      <c r="J54" s="221" t="s">
        <v>50</v>
      </c>
      <c r="K54" s="221"/>
    </row>
    <row r="55" spans="1:11" ht="15.6">
      <c r="A55" s="27" t="str">
        <v>West Deptford - Woodbury</v>
      </c>
      <c r="B55" s="28" t="str">
        <v>NJ</v>
      </c>
      <c r="C55" s="222">
        <v>2282</v>
      </c>
      <c r="D55" s="15">
        <v>2179</v>
      </c>
      <c r="E55" s="231">
        <v>103</v>
      </c>
      <c r="F55" s="227">
        <v>0.05</v>
      </c>
      <c r="G55" s="223">
        <v>1943</v>
      </c>
      <c r="H55" s="232">
        <v>339</v>
      </c>
      <c r="I55" s="224">
        <v>0.17</v>
      </c>
      <c r="J55" s="225"/>
      <c r="K55" s="225"/>
    </row>
    <row r="56" spans="1:11" ht="15.6">
      <c r="A56" s="25" t="str">
        <v>Edison</v>
      </c>
      <c r="B56" s="26" t="str">
        <v>NJ</v>
      </c>
      <c r="C56" s="216">
        <v>1779</v>
      </c>
      <c r="D56" s="217">
        <v>1552</v>
      </c>
      <c r="E56" s="218">
        <v>227</v>
      </c>
      <c r="F56" s="224">
        <v>0.15</v>
      </c>
      <c r="G56" s="220">
        <v>1464</v>
      </c>
      <c r="H56" s="229">
        <v>315</v>
      </c>
      <c r="I56" s="224">
        <v>0.22</v>
      </c>
      <c r="J56" s="221"/>
      <c r="K56" s="221"/>
    </row>
    <row r="57" spans="1:11" ht="15.6">
      <c r="A57" s="27" t="str">
        <v>Flemington</v>
      </c>
      <c r="B57" s="28" t="str">
        <v>NJ</v>
      </c>
      <c r="C57" s="222">
        <v>1189</v>
      </c>
      <c r="D57" s="15">
        <v>1601</v>
      </c>
      <c r="E57" s="231">
        <v>-413</v>
      </c>
      <c r="F57" s="219">
        <v>-0.26</v>
      </c>
      <c r="G57" s="223">
        <v>1235</v>
      </c>
      <c r="H57" s="232">
        <v>-47</v>
      </c>
      <c r="I57" s="227">
        <v>-0.04</v>
      </c>
      <c r="J57" s="225" t="s">
        <v>50</v>
      </c>
      <c r="K57" s="225"/>
    </row>
    <row r="58" spans="1:11" ht="15.6">
      <c r="A58" s="25" t="str">
        <v>Route 22</v>
      </c>
      <c r="B58" s="26" t="str">
        <v>NJ</v>
      </c>
      <c r="C58" s="216">
        <v>1569</v>
      </c>
      <c r="D58" s="217">
        <v>1450</v>
      </c>
      <c r="E58" s="218">
        <v>119</v>
      </c>
      <c r="F58" s="233">
        <v>0.08</v>
      </c>
      <c r="G58" s="220">
        <v>1385</v>
      </c>
      <c r="H58" s="229">
        <v>184</v>
      </c>
      <c r="I58" s="224">
        <v>0.13</v>
      </c>
      <c r="J58" s="221"/>
      <c r="K58" s="221"/>
    </row>
    <row r="59" spans="1:11" ht="15.6">
      <c r="A59" s="27" t="str">
        <v>Laurelton</v>
      </c>
      <c r="B59" s="28" t="str">
        <v>NJ</v>
      </c>
      <c r="C59" s="234">
        <v>831</v>
      </c>
      <c r="D59" s="15">
        <v>1040</v>
      </c>
      <c r="E59" s="231">
        <v>-209</v>
      </c>
      <c r="F59" s="219">
        <v>-0.2</v>
      </c>
      <c r="G59" s="223">
        <v>1168</v>
      </c>
      <c r="H59" s="232">
        <v>-337</v>
      </c>
      <c r="I59" s="219">
        <v>-0.28999999999999998</v>
      </c>
      <c r="J59" s="225" t="s">
        <v>50</v>
      </c>
      <c r="K59" s="225"/>
    </row>
    <row r="60" spans="1:11" ht="15.6">
      <c r="A60" s="25" t="str">
        <v>Mahwah</v>
      </c>
      <c r="B60" s="26" t="str">
        <v>NJ</v>
      </c>
      <c r="C60" s="228">
        <v>807</v>
      </c>
      <c r="D60" s="217">
        <v>1393</v>
      </c>
      <c r="E60" s="218">
        <v>-586</v>
      </c>
      <c r="F60" s="219">
        <v>-0.42</v>
      </c>
      <c r="G60" s="220">
        <v>1017</v>
      </c>
      <c r="H60" s="229">
        <v>-210</v>
      </c>
      <c r="I60" s="219">
        <v>-0.21</v>
      </c>
      <c r="J60" s="221" t="s">
        <v>50</v>
      </c>
      <c r="K60" s="221"/>
    </row>
    <row r="61" spans="1:11" ht="15.6">
      <c r="A61" s="27" t="str">
        <v>Franklin Township WF</v>
      </c>
      <c r="B61" s="28" t="str">
        <v>NJ</v>
      </c>
      <c r="C61" s="222">
        <v>1187</v>
      </c>
      <c r="D61" s="15">
        <v>1355</v>
      </c>
      <c r="E61" s="231">
        <v>-169</v>
      </c>
      <c r="F61" s="219">
        <v>-0.12</v>
      </c>
      <c r="G61" s="223">
        <v>1713</v>
      </c>
      <c r="H61" s="232">
        <v>-527</v>
      </c>
      <c r="I61" s="219">
        <v>-0.31</v>
      </c>
      <c r="J61" s="225" t="s">
        <v>50</v>
      </c>
      <c r="K61" s="225"/>
    </row>
    <row r="62" spans="1:11" ht="15.6">
      <c r="A62" s="25" t="str">
        <v>Bordentown</v>
      </c>
      <c r="B62" s="26" t="str">
        <v>NJ</v>
      </c>
      <c r="C62" s="216">
        <v>1339</v>
      </c>
      <c r="D62" s="217">
        <v>1122</v>
      </c>
      <c r="E62" s="218">
        <v>217</v>
      </c>
      <c r="F62" s="224">
        <v>0.19</v>
      </c>
      <c r="G62" s="220">
        <v>1122</v>
      </c>
      <c r="H62" s="229">
        <v>218</v>
      </c>
      <c r="I62" s="224">
        <v>0.19</v>
      </c>
      <c r="J62" s="221"/>
      <c r="K62" s="221"/>
    </row>
    <row r="63" spans="1:11" ht="15.6">
      <c r="A63" s="27" t="str">
        <v>South Plainfield</v>
      </c>
      <c r="B63" s="28" t="str">
        <v>NJ</v>
      </c>
      <c r="C63" s="234">
        <v>771</v>
      </c>
      <c r="D63" s="231">
        <v>766</v>
      </c>
      <c r="E63" s="231">
        <v>5</v>
      </c>
      <c r="F63" s="227">
        <v>0.01</v>
      </c>
      <c r="G63" s="232">
        <v>744</v>
      </c>
      <c r="H63" s="232">
        <v>27</v>
      </c>
      <c r="I63" s="227">
        <v>0.04</v>
      </c>
      <c r="J63" s="225"/>
      <c r="K63" s="225"/>
    </row>
    <row r="64" spans="1:11" ht="15.6">
      <c r="A64" s="25" t="str">
        <v>Somerset</v>
      </c>
      <c r="B64" s="26" t="str">
        <v>NJ</v>
      </c>
      <c r="C64" s="216">
        <v>1156</v>
      </c>
      <c r="D64" s="217">
        <v>2084</v>
      </c>
      <c r="E64" s="218">
        <v>-928</v>
      </c>
      <c r="F64" s="219">
        <v>-0.45</v>
      </c>
      <c r="G64" s="220">
        <v>1056</v>
      </c>
      <c r="H64" s="229">
        <v>100</v>
      </c>
      <c r="I64" s="230">
        <v>0.09</v>
      </c>
      <c r="J64" s="221" t="s">
        <v>50</v>
      </c>
      <c r="K64" s="221"/>
    </row>
    <row r="65" spans="1:11" ht="15.6">
      <c r="A65" s="27" t="str">
        <v>Clinton Main Relo</v>
      </c>
      <c r="B65" s="28" t="str">
        <v>NJ</v>
      </c>
      <c r="C65" s="234">
        <v>988</v>
      </c>
      <c r="D65" s="15">
        <v>1560</v>
      </c>
      <c r="E65" s="231">
        <v>-572</v>
      </c>
      <c r="F65" s="219">
        <v>-0.37</v>
      </c>
      <c r="G65" s="223">
        <v>1074</v>
      </c>
      <c r="H65" s="232">
        <v>-86</v>
      </c>
      <c r="I65" s="227">
        <v>-0.08</v>
      </c>
      <c r="J65" s="225" t="s">
        <v>50</v>
      </c>
      <c r="K65" s="225"/>
    </row>
    <row r="66" spans="1:11" ht="28.9">
      <c r="A66" s="25" t="str">
        <v>North Brunswick</v>
      </c>
      <c r="B66" s="26" t="str">
        <v>NJ</v>
      </c>
      <c r="C66" s="216">
        <v>1330</v>
      </c>
      <c r="D66" s="217">
        <v>1367</v>
      </c>
      <c r="E66" s="218">
        <v>-37</v>
      </c>
      <c r="F66" s="233">
        <v>-0.03</v>
      </c>
      <c r="G66" s="220">
        <v>1384</v>
      </c>
      <c r="H66" s="229">
        <v>-54</v>
      </c>
      <c r="I66" s="230">
        <v>-0.04</v>
      </c>
      <c r="J66" s="221" t="s">
        <v>63</v>
      </c>
      <c r="K66" s="235" t="s">
        <v>64</v>
      </c>
    </row>
    <row r="67" spans="1:11" ht="43.15">
      <c r="A67" s="27" t="str">
        <v>Cherry Hill</v>
      </c>
      <c r="B67" s="28" t="str">
        <v>NJ</v>
      </c>
      <c r="C67" s="234">
        <v>953</v>
      </c>
      <c r="D67" s="15">
        <v>1172</v>
      </c>
      <c r="E67" s="231">
        <v>-220</v>
      </c>
      <c r="F67" s="219">
        <v>-0.19</v>
      </c>
      <c r="G67" s="232">
        <v>910</v>
      </c>
      <c r="H67" s="232">
        <v>43</v>
      </c>
      <c r="I67" s="227">
        <v>0.05</v>
      </c>
      <c r="J67" s="225" t="s">
        <v>65</v>
      </c>
      <c r="K67" s="236" t="s">
        <v>66</v>
      </c>
    </row>
    <row r="68" spans="1:11" ht="15.6">
      <c r="A68" s="25" t="str">
        <v>Hainesport</v>
      </c>
      <c r="B68" s="26" t="str">
        <v>NJ</v>
      </c>
      <c r="C68" s="216">
        <v>1266</v>
      </c>
      <c r="D68" s="217">
        <v>1241</v>
      </c>
      <c r="E68" s="218">
        <v>25</v>
      </c>
      <c r="F68" s="233">
        <v>0.02</v>
      </c>
      <c r="G68" s="229">
        <v>988</v>
      </c>
      <c r="H68" s="229">
        <v>278</v>
      </c>
      <c r="I68" s="224">
        <v>0.28000000000000003</v>
      </c>
      <c r="J68" s="221"/>
      <c r="K68" s="221"/>
    </row>
    <row r="69" spans="1:11" ht="15.6">
      <c r="A69" s="27" t="str">
        <v>San Antonio - Ops Ctr (Bldg 106)</v>
      </c>
      <c r="B69" s="28" t="str">
        <v>TX</v>
      </c>
      <c r="C69" s="222">
        <v>29279</v>
      </c>
      <c r="D69" s="15">
        <v>35496</v>
      </c>
      <c r="E69" s="15">
        <v>-6217</v>
      </c>
      <c r="F69" s="219">
        <v>-0.18</v>
      </c>
      <c r="G69" s="223">
        <v>34683</v>
      </c>
      <c r="H69" s="223">
        <v>-5404</v>
      </c>
      <c r="I69" s="219">
        <v>-0.16</v>
      </c>
      <c r="J69" s="225" t="s">
        <v>67</v>
      </c>
      <c r="K69" s="225"/>
    </row>
    <row r="70" spans="1:11" ht="15.6">
      <c r="A70" s="25" t="str">
        <v>San Antonio - Ops Ctr GM</v>
      </c>
      <c r="B70" s="26" t="str">
        <v>TX</v>
      </c>
      <c r="C70" s="216">
        <v>242775</v>
      </c>
      <c r="D70" s="217">
        <v>278247</v>
      </c>
      <c r="E70" s="217">
        <v>-35472</v>
      </c>
      <c r="F70" s="219">
        <v>-0.13</v>
      </c>
      <c r="G70" s="220">
        <v>286543</v>
      </c>
      <c r="H70" s="220">
        <v>-43768</v>
      </c>
      <c r="I70" s="219">
        <v>-0.15</v>
      </c>
      <c r="J70" s="221" t="s">
        <v>67</v>
      </c>
      <c r="K70" s="221"/>
    </row>
    <row r="71" spans="1:11" ht="15.6">
      <c r="A71" s="27" t="str">
        <v>San Antonio - Ctr (Bldg 201)</v>
      </c>
      <c r="B71" s="28" t="str">
        <v>TX</v>
      </c>
      <c r="C71" s="222">
        <v>30240</v>
      </c>
      <c r="D71" s="15">
        <v>35143</v>
      </c>
      <c r="E71" s="15">
        <v>-4902</v>
      </c>
      <c r="F71" s="219">
        <v>-0.14000000000000001</v>
      </c>
      <c r="G71" s="223">
        <v>35426</v>
      </c>
      <c r="H71" s="223">
        <v>-5185</v>
      </c>
      <c r="I71" s="219">
        <v>-0.15</v>
      </c>
      <c r="J71" s="225" t="s">
        <v>67</v>
      </c>
      <c r="K71" s="225"/>
    </row>
    <row r="72" spans="1:11" ht="15.6">
      <c r="A72" s="25" t="str">
        <v>San Antonio - Ops Ctr (Bldg 203)</v>
      </c>
      <c r="B72" s="26" t="str">
        <v>TX</v>
      </c>
      <c r="C72" s="216">
        <v>32108</v>
      </c>
      <c r="D72" s="217">
        <v>31335</v>
      </c>
      <c r="E72" s="218">
        <v>773</v>
      </c>
      <c r="F72" s="233">
        <v>0.02</v>
      </c>
      <c r="G72" s="220">
        <v>36479</v>
      </c>
      <c r="H72" s="220">
        <v>-4371</v>
      </c>
      <c r="I72" s="219">
        <v>-0.12</v>
      </c>
      <c r="J72" s="221" t="s">
        <v>67</v>
      </c>
      <c r="K72" s="221"/>
    </row>
    <row r="73" spans="1:11" ht="15.6">
      <c r="A73" s="27" t="str">
        <v>San Antonio - Ops Ctr (Bldg 205)</v>
      </c>
      <c r="B73" s="28" t="str">
        <v>TX</v>
      </c>
      <c r="C73" s="222">
        <v>27955</v>
      </c>
      <c r="D73" s="15">
        <v>32092</v>
      </c>
      <c r="E73" s="15">
        <v>-4137</v>
      </c>
      <c r="F73" s="219">
        <v>-0.13</v>
      </c>
      <c r="G73" s="223">
        <v>32995</v>
      </c>
      <c r="H73" s="223">
        <v>-5040</v>
      </c>
      <c r="I73" s="219">
        <v>-0.15</v>
      </c>
      <c r="J73" s="225" t="s">
        <v>67</v>
      </c>
      <c r="K73" s="225"/>
    </row>
    <row r="74" spans="1:11" ht="15.6">
      <c r="A74" s="25" t="str">
        <v>San Antonio - Ops Ctr (Bldg 307)</v>
      </c>
      <c r="B74" s="26" t="str">
        <v>TX</v>
      </c>
      <c r="C74" s="216">
        <v>29449</v>
      </c>
      <c r="D74" s="217">
        <v>34830</v>
      </c>
      <c r="E74" s="217">
        <v>-5380</v>
      </c>
      <c r="F74" s="219">
        <v>-0.15</v>
      </c>
      <c r="G74" s="220">
        <v>34193</v>
      </c>
      <c r="H74" s="220">
        <v>-4743</v>
      </c>
      <c r="I74" s="219">
        <v>-0.14000000000000001</v>
      </c>
      <c r="J74" s="221" t="s">
        <v>67</v>
      </c>
      <c r="K74" s="221"/>
    </row>
    <row r="75" spans="1:11" ht="15.6">
      <c r="A75" s="27" t="str">
        <v>San Antonio - Ctr (Bldg 308)</v>
      </c>
      <c r="B75" s="28" t="str">
        <v>TX</v>
      </c>
      <c r="C75" s="222">
        <v>30174</v>
      </c>
      <c r="D75" s="15">
        <v>34056</v>
      </c>
      <c r="E75" s="15">
        <v>-3882</v>
      </c>
      <c r="F75" s="219">
        <v>-0.11</v>
      </c>
      <c r="G75" s="223">
        <v>33833</v>
      </c>
      <c r="H75" s="223">
        <v>-3659</v>
      </c>
      <c r="I75" s="219">
        <v>-0.11</v>
      </c>
      <c r="J75" s="225" t="s">
        <v>67</v>
      </c>
      <c r="K75" s="225"/>
    </row>
    <row r="76" spans="1:11" ht="15.6">
      <c r="A76" s="25" t="str">
        <v>San Antonio - Ops Ctr (Bldg 104)</v>
      </c>
      <c r="B76" s="26" t="str">
        <v>TX</v>
      </c>
      <c r="C76" s="216">
        <v>7770</v>
      </c>
      <c r="D76" s="217">
        <v>10657</v>
      </c>
      <c r="E76" s="217">
        <v>-2887</v>
      </c>
      <c r="F76" s="219">
        <v>-0.27</v>
      </c>
      <c r="G76" s="220">
        <v>10100</v>
      </c>
      <c r="H76" s="220">
        <v>-2330</v>
      </c>
      <c r="I76" s="219">
        <v>-0.23</v>
      </c>
      <c r="J76" s="221" t="s">
        <v>67</v>
      </c>
      <c r="K76" s="221"/>
    </row>
    <row r="77" spans="1:11" ht="15.6">
      <c r="A77" s="27" t="str">
        <v>San Antonio - Ops Ctr (Bldg 102)</v>
      </c>
      <c r="B77" s="28" t="str">
        <v>TX</v>
      </c>
      <c r="C77" s="222">
        <v>32749</v>
      </c>
      <c r="D77" s="15">
        <v>31328</v>
      </c>
      <c r="E77" s="15">
        <v>1420</v>
      </c>
      <c r="F77" s="227">
        <v>0.05</v>
      </c>
      <c r="G77" s="223">
        <v>37504</v>
      </c>
      <c r="H77" s="223">
        <v>-4755</v>
      </c>
      <c r="I77" s="219">
        <v>-0.13</v>
      </c>
      <c r="J77" s="225" t="s">
        <v>67</v>
      </c>
      <c r="K77" s="225"/>
    </row>
    <row r="78" spans="1:11" ht="15.6">
      <c r="A78" s="25" t="str">
        <v>N Black Canyon Hwy, Phoenix - North</v>
      </c>
      <c r="B78" s="26" t="str">
        <v>AZ</v>
      </c>
      <c r="C78" s="216">
        <v>61065</v>
      </c>
      <c r="D78" s="217">
        <v>57627</v>
      </c>
      <c r="E78" s="217">
        <v>3438</v>
      </c>
      <c r="F78" s="233">
        <v>0.06</v>
      </c>
      <c r="G78" s="220">
        <v>57066</v>
      </c>
      <c r="H78" s="220">
        <v>3999</v>
      </c>
      <c r="I78" s="230">
        <v>7.0000000000000007E-2</v>
      </c>
      <c r="J78" s="221"/>
      <c r="K78" s="221"/>
    </row>
    <row r="79" spans="1:11" ht="15.6">
      <c r="A79" s="27" t="str">
        <v>N Black Canyon Hwy, Phoenix - South</v>
      </c>
      <c r="B79" s="28" t="str">
        <v>AZ</v>
      </c>
      <c r="C79" s="222">
        <v>65447</v>
      </c>
      <c r="D79" s="15">
        <v>63092</v>
      </c>
      <c r="E79" s="15">
        <v>2355</v>
      </c>
      <c r="F79" s="227">
        <v>0.04</v>
      </c>
      <c r="G79" s="223">
        <v>63382</v>
      </c>
      <c r="H79" s="223">
        <v>2065</v>
      </c>
      <c r="I79" s="227">
        <v>0.03</v>
      </c>
      <c r="J79" s="225"/>
      <c r="K79" s="225"/>
    </row>
    <row r="80" spans="1:11" ht="43.15">
      <c r="A80" s="25" t="str">
        <v xml:space="preserve"> Building 2222, Rose Garden Ln, Phoenix</v>
      </c>
      <c r="B80" s="26" t="str">
        <v>AZ</v>
      </c>
      <c r="C80" s="216">
        <v>38005</v>
      </c>
      <c r="D80" s="217">
        <v>39145</v>
      </c>
      <c r="E80" s="217">
        <v>-1140</v>
      </c>
      <c r="F80" s="233">
        <v>-0.03</v>
      </c>
      <c r="G80" s="220">
        <v>65567</v>
      </c>
      <c r="H80" s="220">
        <v>-27562</v>
      </c>
      <c r="I80" s="219">
        <v>-0.42</v>
      </c>
      <c r="J80" s="221" t="s">
        <v>68</v>
      </c>
      <c r="K80" s="235" t="s">
        <v>69</v>
      </c>
    </row>
    <row r="81" spans="1:12" ht="15.6">
      <c r="A81" s="27" t="str">
        <v xml:space="preserve"> Building 2202, Rose Garden Ln, Phoenix</v>
      </c>
      <c r="B81" s="28" t="str">
        <v>AZ</v>
      </c>
      <c r="C81" s="222">
        <v>62409</v>
      </c>
      <c r="D81" s="15">
        <v>32578</v>
      </c>
      <c r="E81" s="15">
        <v>29831</v>
      </c>
      <c r="F81" s="224">
        <v>0.92</v>
      </c>
      <c r="G81" s="223">
        <v>50223</v>
      </c>
      <c r="H81" s="223">
        <v>12186</v>
      </c>
      <c r="I81" s="224">
        <v>0.24</v>
      </c>
      <c r="J81" s="225" t="s">
        <v>70</v>
      </c>
      <c r="K81" s="225"/>
      <c r="L81" s="76"/>
    </row>
    <row r="82" spans="1:12" ht="15.6">
      <c r="A82" s="25" t="str">
        <v xml:space="preserve"> 99TH Ave &amp; BELL</v>
      </c>
      <c r="B82" s="26" t="str">
        <v>AZ</v>
      </c>
      <c r="C82" s="216">
        <v>10492</v>
      </c>
      <c r="D82" s="217">
        <v>8208</v>
      </c>
      <c r="E82" s="217">
        <v>2284</v>
      </c>
      <c r="F82" s="224">
        <v>0.28000000000000003</v>
      </c>
      <c r="G82" s="220">
        <v>13506</v>
      </c>
      <c r="H82" s="220">
        <v>-3014</v>
      </c>
      <c r="I82" s="219">
        <v>-0.22</v>
      </c>
      <c r="J82" s="221" t="s">
        <v>50</v>
      </c>
      <c r="K82" s="221"/>
    </row>
    <row r="83" spans="1:12" ht="15.6">
      <c r="A83" s="27" t="str">
        <v>Rincon</v>
      </c>
      <c r="B83" s="28" t="str">
        <v>AZ</v>
      </c>
      <c r="C83" s="222">
        <v>5660</v>
      </c>
      <c r="D83" s="15">
        <v>4142</v>
      </c>
      <c r="E83" s="15">
        <v>1518</v>
      </c>
      <c r="F83" s="224">
        <v>0.37</v>
      </c>
      <c r="G83" s="223">
        <v>4593</v>
      </c>
      <c r="H83" s="223">
        <v>1067</v>
      </c>
      <c r="I83" s="224">
        <v>0.23</v>
      </c>
      <c r="J83" s="225"/>
      <c r="K83" s="226"/>
    </row>
    <row r="84" spans="1:12" ht="15.6">
      <c r="A84" s="25" t="str">
        <v>Tucson Main Parking Garage</v>
      </c>
      <c r="B84" s="26" t="str">
        <v>AZ</v>
      </c>
      <c r="C84" s="216">
        <v>7711</v>
      </c>
      <c r="D84" s="217">
        <v>9305</v>
      </c>
      <c r="E84" s="217">
        <v>-1594</v>
      </c>
      <c r="F84" s="224">
        <v>-0.17</v>
      </c>
      <c r="G84" s="220">
        <v>8400</v>
      </c>
      <c r="H84" s="220">
        <v>-689</v>
      </c>
      <c r="I84" s="219">
        <v>-0.08</v>
      </c>
      <c r="J84" s="221" t="s">
        <v>50</v>
      </c>
      <c r="K84" s="221"/>
    </row>
    <row r="85" spans="1:12" ht="14.4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  <c r="J85" s="18"/>
      <c r="K85" s="18"/>
    </row>
    <row r="86" spans="1:12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18"/>
      <c r="K86" s="18"/>
    </row>
    <row r="87" spans="1:12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18"/>
      <c r="K87" s="18"/>
    </row>
    <row r="88" spans="1:12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18"/>
      <c r="K88" s="18"/>
    </row>
    <row r="89" spans="1:12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18"/>
      <c r="K89" s="18"/>
    </row>
    <row r="90" spans="1:12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18"/>
      <c r="K90" s="18"/>
    </row>
    <row r="91" spans="1:12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2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2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2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2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2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</sheetData>
  <mergeCells count="4">
    <mergeCell ref="D1:F1"/>
    <mergeCell ref="A1:C1"/>
    <mergeCell ref="G1:I1"/>
    <mergeCell ref="A2:B2"/>
  </mergeCells>
  <conditionalFormatting sqref="F2 I2">
    <cfRule type="cellIs" dxfId="28" priority="10" stopIfTrue="1" operator="lessThanOrEqual">
      <formula>-0.1</formula>
    </cfRule>
    <cfRule type="expression" dxfId="27" priority="11">
      <formula>AND(ISNUMBER(F2), F2&gt;=0.1)</formula>
    </cfRule>
  </conditionalFormatting>
  <conditionalFormatting sqref="F4:F32 I4:I32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6" r:id="rId1" display="https://us3.assetplanner.com/service_request?ID=091496" xr:uid="{EE61D459-9ECC-471A-AD57-B61B38D2869F}"/>
    <hyperlink ref="L6" r:id="rId2" display="https://us3.assetplanner.com/service_request?ID=088261" xr:uid="{4C0271C8-F7FF-4F00-B5B2-F3E450111B04}"/>
    <hyperlink ref="K19" r:id="rId3" display="https://us3.assetplanner.com/service_request?ID=088667" xr:uid="{802923BF-C17F-4D49-A4E7-FA6DD5D64FFE}"/>
    <hyperlink ref="L19" r:id="rId4" display="https://us3.assetplanner.com/service_request?ID=077700" xr:uid="{EB39DED3-3F8B-4EDB-A5DE-DE1AA921AF3D}"/>
    <hyperlink ref="K66" r:id="rId5" display="https://us3.assetplanner.com/service_request?ID=090252" xr:uid="{0569A344-677C-4BBF-9495-BDB42244F788}"/>
    <hyperlink ref="K67" r:id="rId6" display="https://us3.assetplanner.com/service_request?ID=077660" xr:uid="{050F2EC5-BAA6-494F-9225-3FCF28EAB4D1}"/>
    <hyperlink ref="K80" r:id="rId7" display="https://us3.assetplanner.com/service_request?ID=094853" xr:uid="{7AF3CE67-8027-4740-9C13-CCF73A7C37AD}"/>
  </hyperlinks>
  <pageMargins left="0.4" right="0.7" top="0.25" bottom="0.25" header="0.3" footer="0.3"/>
  <pageSetup fitToHeight="99" orientation="landscape"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39"/>
  <sheetViews>
    <sheetView zoomScale="70" zoomScaleNormal="70" workbookViewId="0">
      <pane xSplit="2" ySplit="3" topLeftCell="C11" activePane="bottomRight" state="frozen"/>
      <selection pane="bottomRight" activeCell="D20" sqref="D20:D29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4" ht="19.5" customHeight="1">
      <c r="A1" s="254" t="str" cm="1">
        <f t="array" ref="A1">portfolio</f>
        <v>Wells Fargo</v>
      </c>
      <c r="B1" s="254"/>
      <c r="C1" s="254"/>
      <c r="D1" s="255" t="s">
        <v>71</v>
      </c>
      <c r="E1" s="255"/>
      <c r="F1" s="255"/>
      <c r="G1" s="253" t="s">
        <v>72</v>
      </c>
      <c r="H1" s="253"/>
      <c r="I1" s="253"/>
      <c r="J1" s="3"/>
      <c r="K1" s="3"/>
    </row>
    <row r="2" spans="1:14" ht="19.5" customHeight="1">
      <c r="A2" s="264" t="s">
        <v>2</v>
      </c>
      <c r="B2" s="264"/>
      <c r="C2" s="4">
        <f>SUM(C4:C97)</f>
        <v>1283462.7</v>
      </c>
      <c r="D2" s="4">
        <f>SUM(D4:D97)</f>
        <v>1301889.74</v>
      </c>
      <c r="E2" s="4">
        <f>C2-D2</f>
        <v>-18427.040000000037</v>
      </c>
      <c r="F2" s="5">
        <f>IFERROR(E2/D2, 0)</f>
        <v>-1.4154071142768232E-2</v>
      </c>
      <c r="G2" s="4">
        <f>SUM(G4:G97)</f>
        <v>1468474.048</v>
      </c>
      <c r="H2" s="6">
        <f>C2-G2</f>
        <v>-185011.348</v>
      </c>
      <c r="I2" s="5">
        <f>IFERROR(H2/G2, 0)</f>
        <v>-0.12598884416920933</v>
      </c>
      <c r="J2" s="23" t="s">
        <v>73</v>
      </c>
      <c r="K2" s="3"/>
    </row>
    <row r="3" spans="1:14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4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11">
        <v>715.30000000000302</v>
      </c>
      <c r="D4" s="11">
        <v>0</v>
      </c>
      <c r="E4" s="11">
        <f>IF(AND(ISNUMBER(C4),ISNUMBER(D4)), C4-D4, "")</f>
        <v>715.30000000000302</v>
      </c>
      <c r="F4" s="12" t="str">
        <f>IFERROR(E4/D4, "")</f>
        <v/>
      </c>
      <c r="G4" s="13">
        <v>734</v>
      </c>
      <c r="H4" s="13">
        <f>IF(AND(ISNUMBER(C4),ISNUMBER(G4)), C4-G4, "")</f>
        <v>-18.699999999996976</v>
      </c>
      <c r="I4" s="14">
        <f>IFERROR(H4/G4, "")</f>
        <v>-2.54768392370531E-2</v>
      </c>
      <c r="J4" s="59"/>
      <c r="K4" s="59"/>
    </row>
    <row r="5" spans="1:14" ht="15.6">
      <c r="A5" s="27" t="str">
        <v>Otay Mesa</v>
      </c>
      <c r="B5" s="28" t="str">
        <v>CA</v>
      </c>
      <c r="C5" s="10">
        <v>35.700000000000003</v>
      </c>
      <c r="D5" s="15">
        <v>0</v>
      </c>
      <c r="E5" s="15">
        <f>IF(AND(ISNUMBER(C5),ISNUMBER(D5)), C5-D5, "")</f>
        <v>35.700000000000003</v>
      </c>
      <c r="F5" s="16" t="str">
        <f>IFERROR(E5/D5, "")</f>
        <v/>
      </c>
      <c r="G5" s="17">
        <v>0</v>
      </c>
      <c r="H5" s="17">
        <f>IF(AND(ISNUMBER(C5),ISNUMBER(G5)), C5-G5, "")</f>
        <v>35.700000000000003</v>
      </c>
      <c r="I5" s="16" t="str">
        <f t="shared" ref="I5:I68" si="0">IFERROR(H5/G5, "")</f>
        <v/>
      </c>
      <c r="J5" s="39" t="s">
        <v>51</v>
      </c>
      <c r="K5" s="39"/>
    </row>
    <row r="6" spans="1:14" ht="230.45">
      <c r="A6" s="25" t="str">
        <v>San Leandro</v>
      </c>
      <c r="B6" s="26" t="str">
        <v>CA</v>
      </c>
      <c r="C6" s="21">
        <v>23817.5</v>
      </c>
      <c r="D6" s="11">
        <v>28486.74</v>
      </c>
      <c r="E6" s="11">
        <f t="shared" ref="E6:E69" si="1">IF(AND(ISNUMBER(C6),ISNUMBER(D6)), C6-D6, "")</f>
        <v>-4669.2400000000016</v>
      </c>
      <c r="F6" s="12">
        <f t="shared" ref="F6:F69" si="2">IFERROR(E6/D6, "")</f>
        <v>-0.16390924338832738</v>
      </c>
      <c r="G6" s="13">
        <v>25171.85</v>
      </c>
      <c r="H6" s="13">
        <f t="shared" ref="H6:H69" si="3">IF(AND(ISNUMBER(C6),ISNUMBER(G6)), C6-G6, "")</f>
        <v>-1354.3499999999985</v>
      </c>
      <c r="I6" s="14">
        <f t="shared" si="0"/>
        <v>-5.3804150271036841E-2</v>
      </c>
      <c r="J6" s="61" t="s">
        <v>74</v>
      </c>
      <c r="K6" s="82" t="s">
        <v>75</v>
      </c>
      <c r="L6" s="78" t="s">
        <v>54</v>
      </c>
      <c r="M6" s="78" t="s">
        <v>76</v>
      </c>
      <c r="N6" s="78" t="s">
        <v>77</v>
      </c>
    </row>
    <row r="7" spans="1:14" ht="15.6">
      <c r="A7" s="27" t="str">
        <v>Van Nuys</v>
      </c>
      <c r="B7" s="28" t="str">
        <v>CA</v>
      </c>
      <c r="C7" s="10">
        <v>1286.2</v>
      </c>
      <c r="D7" s="15">
        <v>0</v>
      </c>
      <c r="E7" s="15">
        <f t="shared" si="1"/>
        <v>1286.2</v>
      </c>
      <c r="F7" s="16" t="str">
        <f t="shared" si="2"/>
        <v/>
      </c>
      <c r="G7" s="17">
        <v>1479.1980000000001</v>
      </c>
      <c r="H7" s="17">
        <f t="shared" si="3"/>
        <v>-192.99800000000005</v>
      </c>
      <c r="I7" s="16">
        <f t="shared" si="0"/>
        <v>-0.13047475726711369</v>
      </c>
      <c r="J7" s="56" t="s">
        <v>62</v>
      </c>
      <c r="K7" s="81"/>
    </row>
    <row r="8" spans="1:14" ht="15.6">
      <c r="A8" s="25" t="str">
        <v>Lodi - Lodi Vineyard</v>
      </c>
      <c r="B8" s="26" t="str">
        <v>CA</v>
      </c>
      <c r="C8" s="21">
        <v>23034</v>
      </c>
      <c r="D8" s="11">
        <v>24427</v>
      </c>
      <c r="E8" s="11">
        <f t="shared" si="1"/>
        <v>-1393</v>
      </c>
      <c r="F8" s="12">
        <f t="shared" si="2"/>
        <v>-5.7027060220248088E-2</v>
      </c>
      <c r="G8" s="13">
        <v>21975</v>
      </c>
      <c r="H8" s="13">
        <f t="shared" si="3"/>
        <v>1059</v>
      </c>
      <c r="I8" s="14">
        <f t="shared" si="0"/>
        <v>4.819112627986348E-2</v>
      </c>
      <c r="J8" s="61"/>
      <c r="K8" s="61"/>
    </row>
    <row r="9" spans="1:14" ht="15.6">
      <c r="A9" s="27" t="str">
        <v>Arden Fair Mall</v>
      </c>
      <c r="B9" s="28" t="str">
        <v>CA</v>
      </c>
      <c r="C9" s="10">
        <v>11150</v>
      </c>
      <c r="D9" s="15">
        <v>12202</v>
      </c>
      <c r="E9" s="15">
        <f t="shared" si="1"/>
        <v>-1052</v>
      </c>
      <c r="F9" s="16">
        <f t="shared" si="2"/>
        <v>-8.6215374528765779E-2</v>
      </c>
      <c r="G9" s="17">
        <v>12337</v>
      </c>
      <c r="H9" s="17">
        <f t="shared" si="3"/>
        <v>-1187</v>
      </c>
      <c r="I9" s="16">
        <f t="shared" si="0"/>
        <v>-9.6214638891140472E-2</v>
      </c>
      <c r="J9" s="56"/>
      <c r="K9" s="81"/>
    </row>
    <row r="10" spans="1:14" ht="43.15">
      <c r="A10" s="25" t="str">
        <v>Modesto - Modesto Main</v>
      </c>
      <c r="B10" s="26" t="str">
        <v>CA</v>
      </c>
      <c r="C10" s="21">
        <v>8051</v>
      </c>
      <c r="D10" s="11">
        <v>9829</v>
      </c>
      <c r="E10" s="11">
        <f t="shared" si="1"/>
        <v>-1778</v>
      </c>
      <c r="F10" s="12">
        <f t="shared" si="2"/>
        <v>-0.18089327500254349</v>
      </c>
      <c r="G10" s="13">
        <v>12423</v>
      </c>
      <c r="H10" s="13">
        <f t="shared" si="3"/>
        <v>-4372</v>
      </c>
      <c r="I10" s="14">
        <f t="shared" si="0"/>
        <v>-0.35192787571440071</v>
      </c>
      <c r="J10" s="61" t="s">
        <v>78</v>
      </c>
      <c r="K10" s="61" t="s">
        <v>79</v>
      </c>
    </row>
    <row r="11" spans="1:14" ht="72">
      <c r="A11" s="27" t="str">
        <v>Stevens Creek</v>
      </c>
      <c r="B11" s="28" t="str">
        <v>CA</v>
      </c>
      <c r="C11" s="10">
        <v>2694</v>
      </c>
      <c r="D11" s="15">
        <v>2448</v>
      </c>
      <c r="E11" s="15">
        <f t="shared" si="1"/>
        <v>246</v>
      </c>
      <c r="F11" s="16">
        <f t="shared" si="2"/>
        <v>0.10049019607843138</v>
      </c>
      <c r="G11" s="17">
        <v>2894</v>
      </c>
      <c r="H11" s="17">
        <f t="shared" si="3"/>
        <v>-200</v>
      </c>
      <c r="I11" s="16">
        <f t="shared" si="0"/>
        <v>-6.9108500345542501E-2</v>
      </c>
      <c r="J11" s="138" t="s">
        <v>80</v>
      </c>
      <c r="K11" s="237" t="s">
        <v>81</v>
      </c>
    </row>
    <row r="12" spans="1:14" ht="15.6">
      <c r="A12" s="25" t="str">
        <v>Covina Main</v>
      </c>
      <c r="B12" s="26" t="str">
        <v>CA</v>
      </c>
      <c r="C12" s="21">
        <v>2712</v>
      </c>
      <c r="D12" s="11">
        <v>2191</v>
      </c>
      <c r="E12" s="11">
        <f t="shared" si="1"/>
        <v>521</v>
      </c>
      <c r="F12" s="12">
        <f t="shared" si="2"/>
        <v>0.23779096303057964</v>
      </c>
      <c r="G12" s="13">
        <v>2174</v>
      </c>
      <c r="H12" s="13">
        <f t="shared" si="3"/>
        <v>538</v>
      </c>
      <c r="I12" s="14">
        <f t="shared" si="0"/>
        <v>0.24747010119595217</v>
      </c>
      <c r="J12" s="61"/>
      <c r="K12" s="61"/>
    </row>
    <row r="13" spans="1:14" ht="15.6">
      <c r="A13" s="27" t="str">
        <v>Old Ranch Town Center</v>
      </c>
      <c r="B13" s="28" t="str">
        <v>CA</v>
      </c>
      <c r="C13" s="10">
        <v>862</v>
      </c>
      <c r="D13" s="15">
        <v>0</v>
      </c>
      <c r="E13" s="15">
        <f t="shared" si="1"/>
        <v>862</v>
      </c>
      <c r="F13" s="16" t="str">
        <f t="shared" si="2"/>
        <v/>
      </c>
      <c r="G13" s="17">
        <v>990</v>
      </c>
      <c r="H13" s="17">
        <f t="shared" si="3"/>
        <v>-128</v>
      </c>
      <c r="I13" s="16">
        <f t="shared" si="0"/>
        <v>-0.12929292929292929</v>
      </c>
      <c r="J13" s="137" t="s">
        <v>62</v>
      </c>
      <c r="K13" s="56"/>
    </row>
    <row r="14" spans="1:14" ht="15.6">
      <c r="A14" s="25" t="str">
        <v>Mountain Gate Plaza</v>
      </c>
      <c r="B14" s="26" t="str">
        <v>CA</v>
      </c>
      <c r="C14" s="21">
        <v>6050</v>
      </c>
      <c r="D14" s="11">
        <v>0</v>
      </c>
      <c r="E14" s="11">
        <f t="shared" si="1"/>
        <v>6050</v>
      </c>
      <c r="F14" s="12" t="str">
        <f t="shared" si="2"/>
        <v/>
      </c>
      <c r="G14" s="13">
        <v>6590</v>
      </c>
      <c r="H14" s="13">
        <f t="shared" si="3"/>
        <v>-540</v>
      </c>
      <c r="I14" s="14">
        <f t="shared" si="0"/>
        <v>-8.1942336874051599E-2</v>
      </c>
      <c r="J14" s="61"/>
      <c r="K14" s="61"/>
      <c r="L14" s="50"/>
    </row>
    <row r="15" spans="1:14" ht="15.6">
      <c r="A15" s="27" t="str">
        <v>Arcadia Main</v>
      </c>
      <c r="B15" s="28" t="str">
        <v>CA</v>
      </c>
      <c r="C15" s="10">
        <v>2375</v>
      </c>
      <c r="D15" s="15">
        <v>0</v>
      </c>
      <c r="E15" s="15">
        <f t="shared" si="1"/>
        <v>2375</v>
      </c>
      <c r="F15" s="16" t="str">
        <f t="shared" si="2"/>
        <v/>
      </c>
      <c r="G15" s="17">
        <v>3533</v>
      </c>
      <c r="H15" s="17">
        <f t="shared" si="3"/>
        <v>-1158</v>
      </c>
      <c r="I15" s="16">
        <f t="shared" si="0"/>
        <v>-0.32776677045004243</v>
      </c>
      <c r="J15" s="56" t="s">
        <v>82</v>
      </c>
      <c r="K15" s="81" t="s">
        <v>59</v>
      </c>
    </row>
    <row r="16" spans="1:14" ht="15.6">
      <c r="A16" s="25" t="str">
        <v>Fairfield</v>
      </c>
      <c r="B16" s="26" t="str">
        <v>CA</v>
      </c>
      <c r="C16" s="21">
        <v>2178</v>
      </c>
      <c r="D16" s="11">
        <v>2211</v>
      </c>
      <c r="E16" s="11">
        <f t="shared" si="1"/>
        <v>-33</v>
      </c>
      <c r="F16" s="12">
        <f t="shared" si="2"/>
        <v>-1.4925373134328358E-2</v>
      </c>
      <c r="G16" s="13">
        <v>2330</v>
      </c>
      <c r="H16" s="13">
        <f t="shared" si="3"/>
        <v>-152</v>
      </c>
      <c r="I16" s="14">
        <f t="shared" si="0"/>
        <v>-6.5236051502145925E-2</v>
      </c>
      <c r="J16" s="61"/>
      <c r="K16" s="61"/>
    </row>
    <row r="17" spans="1:12" ht="15.6">
      <c r="A17" s="27" t="str">
        <v>Los Gatos</v>
      </c>
      <c r="B17" s="28" t="str">
        <v>CA</v>
      </c>
      <c r="C17" s="10">
        <v>1180</v>
      </c>
      <c r="D17" s="15">
        <v>1108</v>
      </c>
      <c r="E17" s="15">
        <f t="shared" si="1"/>
        <v>72</v>
      </c>
      <c r="F17" s="16">
        <f t="shared" si="2"/>
        <v>6.4981949458483748E-2</v>
      </c>
      <c r="G17" s="17">
        <v>0</v>
      </c>
      <c r="H17" s="17">
        <f t="shared" si="3"/>
        <v>1180</v>
      </c>
      <c r="I17" s="16" t="str">
        <f t="shared" si="0"/>
        <v/>
      </c>
      <c r="J17" s="56"/>
      <c r="K17" s="81"/>
    </row>
    <row r="18" spans="1:12" ht="24.75" customHeight="1">
      <c r="A18" s="25" t="str">
        <v>San Marino</v>
      </c>
      <c r="B18" s="26" t="str">
        <v>CA</v>
      </c>
      <c r="C18" s="21">
        <v>2792</v>
      </c>
      <c r="D18" s="11">
        <v>2686</v>
      </c>
      <c r="E18" s="11">
        <f t="shared" si="1"/>
        <v>106</v>
      </c>
      <c r="F18" s="12">
        <f t="shared" si="2"/>
        <v>3.9463886820551006E-2</v>
      </c>
      <c r="G18" s="13">
        <v>3237</v>
      </c>
      <c r="H18" s="13">
        <f t="shared" si="3"/>
        <v>-445</v>
      </c>
      <c r="I18" s="14">
        <f t="shared" si="0"/>
        <v>-0.13747296879827001</v>
      </c>
      <c r="J18" s="59" t="s">
        <v>62</v>
      </c>
      <c r="K18" s="61"/>
    </row>
    <row r="19" spans="1:12" ht="15.6">
      <c r="A19" s="27" t="str">
        <v>Buenaventura</v>
      </c>
      <c r="B19" s="28" t="str">
        <v>CA</v>
      </c>
      <c r="C19" s="10">
        <v>3680</v>
      </c>
      <c r="D19" s="15">
        <v>2669</v>
      </c>
      <c r="E19" s="15">
        <f t="shared" si="1"/>
        <v>1011</v>
      </c>
      <c r="F19" s="16">
        <f t="shared" si="2"/>
        <v>0.37879355563881606</v>
      </c>
      <c r="G19" s="17">
        <v>3947</v>
      </c>
      <c r="H19" s="17">
        <f t="shared" si="3"/>
        <v>-267</v>
      </c>
      <c r="I19" s="16">
        <f t="shared" si="0"/>
        <v>-6.7646313655941218E-2</v>
      </c>
      <c r="J19" s="56"/>
      <c r="K19" s="80"/>
      <c r="L19" s="78"/>
    </row>
    <row r="20" spans="1:12" ht="15.6">
      <c r="A20" s="25" t="str">
        <v>BE 199502 - Westgate</v>
      </c>
      <c r="B20" s="26" t="str">
        <v>CA</v>
      </c>
      <c r="C20" s="21"/>
      <c r="D20" s="11"/>
      <c r="E20" s="11" t="str">
        <f t="shared" si="1"/>
        <v/>
      </c>
      <c r="F20" s="12" t="str">
        <f t="shared" si="2"/>
        <v/>
      </c>
      <c r="G20" s="13"/>
      <c r="H20" s="13" t="str">
        <f t="shared" si="3"/>
        <v/>
      </c>
      <c r="I20" s="14" t="str">
        <f t="shared" si="0"/>
        <v/>
      </c>
      <c r="J20" s="59"/>
      <c r="K20" s="59"/>
    </row>
    <row r="21" spans="1:12" ht="15.6">
      <c r="A21" s="27" t="str">
        <v>98th &amp; Grant</v>
      </c>
      <c r="B21" s="28" t="str">
        <v>CO</v>
      </c>
      <c r="C21" s="10">
        <v>686</v>
      </c>
      <c r="D21" s="15">
        <v>0</v>
      </c>
      <c r="E21" s="15">
        <f t="shared" si="1"/>
        <v>686</v>
      </c>
      <c r="F21" s="16" t="str">
        <f t="shared" si="2"/>
        <v/>
      </c>
      <c r="G21" s="17">
        <v>1280</v>
      </c>
      <c r="H21" s="17">
        <f t="shared" si="3"/>
        <v>-594</v>
      </c>
      <c r="I21" s="16">
        <f t="shared" si="0"/>
        <v>-0.46406249999999999</v>
      </c>
      <c r="J21" s="49" t="s">
        <v>62</v>
      </c>
      <c r="K21" s="49"/>
    </row>
    <row r="22" spans="1:12" ht="15.6">
      <c r="A22" s="25" t="str">
        <v>Arapahoe Crossings</v>
      </c>
      <c r="B22" s="26" t="str">
        <v>CO</v>
      </c>
      <c r="C22" s="21">
        <v>2274</v>
      </c>
      <c r="D22" s="11">
        <v>0</v>
      </c>
      <c r="E22" s="11">
        <f t="shared" si="1"/>
        <v>2274</v>
      </c>
      <c r="F22" s="12" t="str">
        <f t="shared" si="2"/>
        <v/>
      </c>
      <c r="G22" s="13">
        <v>2351</v>
      </c>
      <c r="H22" s="13">
        <f t="shared" si="3"/>
        <v>-77</v>
      </c>
      <c r="I22" s="14">
        <f t="shared" si="0"/>
        <v>-3.2752020416843899E-2</v>
      </c>
      <c r="J22" s="59"/>
      <c r="K22" s="59"/>
    </row>
    <row r="23" spans="1:12" ht="15.6">
      <c r="A23" s="27" t="str">
        <v>Aurora City Center</v>
      </c>
      <c r="B23" s="28" t="str">
        <v>CO</v>
      </c>
      <c r="C23" s="10">
        <v>1252</v>
      </c>
      <c r="D23" s="15">
        <v>0</v>
      </c>
      <c r="E23" s="15">
        <f t="shared" si="1"/>
        <v>1252</v>
      </c>
      <c r="F23" s="16" t="str">
        <f t="shared" si="2"/>
        <v/>
      </c>
      <c r="G23" s="17">
        <v>1140</v>
      </c>
      <c r="H23" s="17">
        <f t="shared" si="3"/>
        <v>112</v>
      </c>
      <c r="I23" s="16">
        <f t="shared" si="0"/>
        <v>9.8245614035087719E-2</v>
      </c>
      <c r="J23" s="39"/>
      <c r="K23" s="40"/>
    </row>
    <row r="24" spans="1:12" ht="15.6">
      <c r="A24" s="25" t="str">
        <v>Dry Creek</v>
      </c>
      <c r="B24" s="26" t="str">
        <v>CO</v>
      </c>
      <c r="C24" s="21">
        <v>1268</v>
      </c>
      <c r="D24" s="11">
        <v>0</v>
      </c>
      <c r="E24" s="11">
        <f t="shared" si="1"/>
        <v>1268</v>
      </c>
      <c r="F24" s="12" t="str">
        <f t="shared" si="2"/>
        <v/>
      </c>
      <c r="G24" s="13">
        <v>1386</v>
      </c>
      <c r="H24" s="13">
        <f t="shared" si="3"/>
        <v>-118</v>
      </c>
      <c r="I24" s="14">
        <f t="shared" si="0"/>
        <v>-8.5137085137085136E-2</v>
      </c>
      <c r="J24" s="59"/>
      <c r="K24" s="59"/>
    </row>
    <row r="25" spans="1:12" ht="15.6">
      <c r="A25" s="27" t="str">
        <v>Highlands Ranch S.</v>
      </c>
      <c r="B25" s="28" t="str">
        <v>CO</v>
      </c>
      <c r="C25" s="10">
        <v>1188</v>
      </c>
      <c r="D25" s="15">
        <v>0</v>
      </c>
      <c r="E25" s="15">
        <f t="shared" si="1"/>
        <v>1188</v>
      </c>
      <c r="F25" s="16" t="str">
        <f t="shared" si="2"/>
        <v/>
      </c>
      <c r="G25" s="17">
        <v>1265</v>
      </c>
      <c r="H25" s="17">
        <f t="shared" si="3"/>
        <v>-77</v>
      </c>
      <c r="I25" s="16">
        <f t="shared" si="0"/>
        <v>-6.0869565217391307E-2</v>
      </c>
      <c r="J25" s="39"/>
      <c r="K25" s="40"/>
    </row>
    <row r="26" spans="1:12" ht="15.6">
      <c r="A26" s="25" t="str">
        <v>Lone Tree</v>
      </c>
      <c r="B26" s="26" t="str">
        <v>CO</v>
      </c>
      <c r="C26" s="21">
        <v>1907</v>
      </c>
      <c r="D26" s="11">
        <v>0</v>
      </c>
      <c r="E26" s="11">
        <f t="shared" si="1"/>
        <v>1907</v>
      </c>
      <c r="F26" s="12" t="str">
        <f t="shared" si="2"/>
        <v/>
      </c>
      <c r="G26" s="13">
        <v>2891</v>
      </c>
      <c r="H26" s="13">
        <f t="shared" si="3"/>
        <v>-984</v>
      </c>
      <c r="I26" s="14">
        <f t="shared" si="0"/>
        <v>-0.34036665513663095</v>
      </c>
      <c r="J26" s="59" t="s">
        <v>62</v>
      </c>
      <c r="K26" s="59"/>
    </row>
    <row r="27" spans="1:12" ht="15.6">
      <c r="A27" s="27" t="str">
        <v>Meridian</v>
      </c>
      <c r="B27" s="28" t="str">
        <v>CO</v>
      </c>
      <c r="C27" s="10">
        <v>2004</v>
      </c>
      <c r="D27" s="15">
        <v>0</v>
      </c>
      <c r="E27" s="15">
        <f t="shared" si="1"/>
        <v>2004</v>
      </c>
      <c r="F27" s="16" t="str">
        <f t="shared" si="2"/>
        <v/>
      </c>
      <c r="G27" s="17">
        <v>1699</v>
      </c>
      <c r="H27" s="17">
        <f t="shared" si="3"/>
        <v>305</v>
      </c>
      <c r="I27" s="16">
        <f t="shared" si="0"/>
        <v>0.17951736315479694</v>
      </c>
      <c r="J27" s="137"/>
      <c r="K27" s="40"/>
    </row>
    <row r="28" spans="1:12" ht="15.6">
      <c r="A28" s="25" t="str">
        <v>Southglenn</v>
      </c>
      <c r="B28" s="26" t="str">
        <v>CO</v>
      </c>
      <c r="C28" s="21">
        <v>1877</v>
      </c>
      <c r="D28" s="11">
        <v>0</v>
      </c>
      <c r="E28" s="11">
        <f t="shared" si="1"/>
        <v>1877</v>
      </c>
      <c r="F28" s="12" t="str">
        <f t="shared" si="2"/>
        <v/>
      </c>
      <c r="G28" s="13"/>
      <c r="H28" s="13" t="str">
        <f t="shared" si="3"/>
        <v/>
      </c>
      <c r="I28" s="14" t="str">
        <f t="shared" si="0"/>
        <v/>
      </c>
      <c r="J28" s="59"/>
      <c r="K28" s="59"/>
    </row>
    <row r="29" spans="1:12" ht="15.6">
      <c r="A29" s="27" t="str">
        <v>Standley Lake</v>
      </c>
      <c r="B29" s="28" t="str">
        <v>CO</v>
      </c>
      <c r="C29" s="10">
        <v>1987</v>
      </c>
      <c r="D29" s="15">
        <v>0</v>
      </c>
      <c r="E29" s="15">
        <f t="shared" si="1"/>
        <v>1987</v>
      </c>
      <c r="F29" s="16" t="str">
        <f t="shared" si="2"/>
        <v/>
      </c>
      <c r="G29" s="17">
        <v>2371</v>
      </c>
      <c r="H29" s="17">
        <f t="shared" si="3"/>
        <v>-384</v>
      </c>
      <c r="I29" s="16">
        <f t="shared" si="0"/>
        <v>-0.16195698017714044</v>
      </c>
      <c r="J29" s="39" t="s">
        <v>62</v>
      </c>
      <c r="K29" s="40"/>
    </row>
    <row r="30" spans="1:12" ht="15.6">
      <c r="A30" s="25" t="str">
        <v>Havana Gardens</v>
      </c>
      <c r="B30" s="26" t="str">
        <v>CO</v>
      </c>
      <c r="C30" s="21">
        <v>2177</v>
      </c>
      <c r="D30" s="11">
        <v>0</v>
      </c>
      <c r="E30" s="11">
        <f t="shared" si="1"/>
        <v>2177</v>
      </c>
      <c r="F30" s="12" t="str">
        <f t="shared" si="2"/>
        <v/>
      </c>
      <c r="G30" s="13">
        <v>926</v>
      </c>
      <c r="H30" s="13">
        <f t="shared" si="3"/>
        <v>1251</v>
      </c>
      <c r="I30" s="14">
        <f t="shared" si="0"/>
        <v>1.3509719222462202</v>
      </c>
      <c r="J30" s="59" t="s">
        <v>62</v>
      </c>
      <c r="K30" s="59"/>
    </row>
    <row r="31" spans="1:12" ht="15.6">
      <c r="A31" s="27" t="str">
        <v>East Hartford</v>
      </c>
      <c r="B31" s="28" t="str">
        <v>CT</v>
      </c>
      <c r="C31" s="10">
        <v>203</v>
      </c>
      <c r="D31" s="15">
        <v>980</v>
      </c>
      <c r="E31" s="15">
        <f t="shared" si="1"/>
        <v>-777</v>
      </c>
      <c r="F31" s="16">
        <f t="shared" si="2"/>
        <v>-0.79285714285714282</v>
      </c>
      <c r="G31" s="17">
        <v>429</v>
      </c>
      <c r="H31" s="17">
        <f t="shared" si="3"/>
        <v>-226</v>
      </c>
      <c r="I31" s="16">
        <f t="shared" si="0"/>
        <v>-0.52680652680652684</v>
      </c>
      <c r="J31" s="39" t="s">
        <v>62</v>
      </c>
      <c r="K31" s="40"/>
    </row>
    <row r="32" spans="1:12" ht="72">
      <c r="A32" s="25" t="str">
        <v>Norwalk</v>
      </c>
      <c r="B32" s="26" t="str">
        <v>CT</v>
      </c>
      <c r="C32" s="21">
        <v>220</v>
      </c>
      <c r="D32" s="11">
        <v>427</v>
      </c>
      <c r="E32" s="11">
        <f t="shared" si="1"/>
        <v>-207</v>
      </c>
      <c r="F32" s="12">
        <f t="shared" si="2"/>
        <v>-0.48477751756440279</v>
      </c>
      <c r="G32" s="13">
        <v>488</v>
      </c>
      <c r="H32" s="13">
        <f t="shared" si="3"/>
        <v>-268</v>
      </c>
      <c r="I32" s="14">
        <f t="shared" si="0"/>
        <v>-0.54918032786885251</v>
      </c>
      <c r="J32" s="59" t="s">
        <v>60</v>
      </c>
      <c r="K32" s="59" t="s">
        <v>61</v>
      </c>
    </row>
    <row r="33" spans="1:11" ht="15.6">
      <c r="A33" s="27" t="str">
        <v>Hialeah Gardens</v>
      </c>
      <c r="B33" s="28" t="str">
        <v>FL</v>
      </c>
      <c r="C33" s="10">
        <v>2565</v>
      </c>
      <c r="D33" s="15">
        <v>3094</v>
      </c>
      <c r="E33" s="15">
        <f t="shared" si="1"/>
        <v>-529</v>
      </c>
      <c r="F33" s="16">
        <f t="shared" si="2"/>
        <v>-0.17097608274078863</v>
      </c>
      <c r="G33" s="17">
        <v>3739</v>
      </c>
      <c r="H33" s="17">
        <f t="shared" si="3"/>
        <v>-1174</v>
      </c>
      <c r="I33" s="16">
        <f t="shared" si="0"/>
        <v>-0.31398769724525272</v>
      </c>
      <c r="J33" s="137" t="s">
        <v>62</v>
      </c>
      <c r="K33" s="237"/>
    </row>
    <row r="34" spans="1:11" ht="15.6">
      <c r="A34" s="25" t="str">
        <v>W. Des Moines Campus EAST</v>
      </c>
      <c r="B34" s="26" t="str">
        <v>IA</v>
      </c>
      <c r="C34" s="21">
        <v>116148</v>
      </c>
      <c r="D34" s="11">
        <v>129057</v>
      </c>
      <c r="E34" s="11">
        <f t="shared" si="1"/>
        <v>-12909</v>
      </c>
      <c r="F34" s="12">
        <f t="shared" si="2"/>
        <v>-0.10002557009693391</v>
      </c>
      <c r="G34" s="13">
        <v>124800</v>
      </c>
      <c r="H34" s="13">
        <f t="shared" si="3"/>
        <v>-8652</v>
      </c>
      <c r="I34" s="14">
        <f t="shared" si="0"/>
        <v>-6.9326923076923078E-2</v>
      </c>
      <c r="J34" s="59"/>
      <c r="K34" s="59"/>
    </row>
    <row r="35" spans="1:11" ht="15.6">
      <c r="A35" s="27" t="str">
        <v>W. Des Moines Campus SW</v>
      </c>
      <c r="B35" s="28" t="str">
        <v>IA</v>
      </c>
      <c r="C35" s="10">
        <v>49019</v>
      </c>
      <c r="D35" s="15">
        <v>70698</v>
      </c>
      <c r="E35" s="15">
        <f t="shared" si="1"/>
        <v>-21679</v>
      </c>
      <c r="F35" s="16">
        <f t="shared" si="2"/>
        <v>-0.30664233783133893</v>
      </c>
      <c r="G35" s="17">
        <v>62858</v>
      </c>
      <c r="H35" s="17">
        <f t="shared" si="3"/>
        <v>-13839</v>
      </c>
      <c r="I35" s="16">
        <f t="shared" si="0"/>
        <v>-0.22016290686945178</v>
      </c>
      <c r="J35" s="39" t="s">
        <v>62</v>
      </c>
      <c r="K35" s="40"/>
    </row>
    <row r="36" spans="1:11" ht="15.6">
      <c r="A36" s="25" t="str">
        <v>WF - CIC</v>
      </c>
      <c r="B36" s="26" t="str">
        <v>NC</v>
      </c>
      <c r="C36" s="21">
        <v>121252</v>
      </c>
      <c r="D36" s="11">
        <v>120286</v>
      </c>
      <c r="E36" s="11">
        <f t="shared" si="1"/>
        <v>966</v>
      </c>
      <c r="F36" s="12">
        <f t="shared" si="2"/>
        <v>8.0308597841810356E-3</v>
      </c>
      <c r="G36" s="13">
        <v>116371</v>
      </c>
      <c r="H36" s="13">
        <f t="shared" si="3"/>
        <v>4881</v>
      </c>
      <c r="I36" s="14">
        <f t="shared" si="0"/>
        <v>4.1943439516718084E-2</v>
      </c>
      <c r="J36" s="59"/>
      <c r="K36" s="59"/>
    </row>
    <row r="37" spans="1:11" ht="15.6">
      <c r="A37" s="27" t="str">
        <v>Charlotte - Wells Fargo - DUC</v>
      </c>
      <c r="B37" s="28" t="str">
        <v>NC</v>
      </c>
      <c r="C37" s="10">
        <v>115950</v>
      </c>
      <c r="D37" s="15">
        <v>130576</v>
      </c>
      <c r="E37" s="15">
        <f t="shared" si="1"/>
        <v>-14626</v>
      </c>
      <c r="F37" s="16">
        <f t="shared" si="2"/>
        <v>-0.11201139566229629</v>
      </c>
      <c r="G37" s="17">
        <v>128349</v>
      </c>
      <c r="H37" s="17">
        <f t="shared" si="3"/>
        <v>-12399</v>
      </c>
      <c r="I37" s="16">
        <f t="shared" si="0"/>
        <v>-9.6603791225486763E-2</v>
      </c>
      <c r="J37" s="39"/>
      <c r="K37" s="40"/>
    </row>
    <row r="38" spans="1:11" ht="15.6">
      <c r="A38" s="25" t="str">
        <v>East Windsor</v>
      </c>
      <c r="B38" s="26" t="str">
        <v>NJ</v>
      </c>
      <c r="C38" s="21">
        <v>572</v>
      </c>
      <c r="D38" s="11">
        <v>629</v>
      </c>
      <c r="E38" s="11">
        <f t="shared" si="1"/>
        <v>-57</v>
      </c>
      <c r="F38" s="12">
        <f t="shared" si="2"/>
        <v>-9.0620031796502382E-2</v>
      </c>
      <c r="G38" s="13">
        <v>479</v>
      </c>
      <c r="H38" s="13">
        <f t="shared" si="3"/>
        <v>93</v>
      </c>
      <c r="I38" s="14">
        <f t="shared" si="0"/>
        <v>0.19415448851774531</v>
      </c>
      <c r="J38" s="59"/>
      <c r="K38" s="59"/>
    </row>
    <row r="39" spans="1:11" ht="15.6">
      <c r="A39" s="27" t="str">
        <v>Burlington</v>
      </c>
      <c r="B39" s="28" t="str">
        <v>NJ</v>
      </c>
      <c r="C39" s="10">
        <v>1564</v>
      </c>
      <c r="D39" s="15">
        <v>1361</v>
      </c>
      <c r="E39" s="15">
        <f t="shared" si="1"/>
        <v>203</v>
      </c>
      <c r="F39" s="16">
        <f t="shared" si="2"/>
        <v>0.14915503306392358</v>
      </c>
      <c r="G39" s="17">
        <v>1358</v>
      </c>
      <c r="H39" s="17">
        <f t="shared" si="3"/>
        <v>206</v>
      </c>
      <c r="I39" s="16">
        <f t="shared" si="0"/>
        <v>0.15169366715758467</v>
      </c>
      <c r="J39" s="39"/>
      <c r="K39" s="40"/>
    </row>
    <row r="40" spans="1:11" ht="15.6">
      <c r="A40" s="25" t="str">
        <v>Bayonne</v>
      </c>
      <c r="B40" s="26" t="str">
        <v>NJ</v>
      </c>
      <c r="C40" s="21">
        <v>1884</v>
      </c>
      <c r="D40" s="11">
        <v>1982</v>
      </c>
      <c r="E40" s="11">
        <f t="shared" si="1"/>
        <v>-98</v>
      </c>
      <c r="F40" s="12">
        <f t="shared" si="2"/>
        <v>-4.9445005045408677E-2</v>
      </c>
      <c r="G40" s="13">
        <v>2311</v>
      </c>
      <c r="H40" s="13">
        <f t="shared" si="3"/>
        <v>-427</v>
      </c>
      <c r="I40" s="14">
        <f t="shared" si="0"/>
        <v>-0.18476849848550411</v>
      </c>
      <c r="J40" s="59" t="s">
        <v>62</v>
      </c>
      <c r="K40" s="59"/>
    </row>
    <row r="41" spans="1:11" ht="15.6">
      <c r="A41" s="27" t="str">
        <v>Clifton</v>
      </c>
      <c r="B41" s="28" t="str">
        <v>NJ</v>
      </c>
      <c r="C41" s="10">
        <v>2261</v>
      </c>
      <c r="D41" s="15">
        <v>2568</v>
      </c>
      <c r="E41" s="15">
        <f t="shared" si="1"/>
        <v>-307</v>
      </c>
      <c r="F41" s="16">
        <f t="shared" si="2"/>
        <v>-0.11954828660436137</v>
      </c>
      <c r="G41" s="17">
        <v>3023</v>
      </c>
      <c r="H41" s="17">
        <f t="shared" si="3"/>
        <v>-762</v>
      </c>
      <c r="I41" s="16">
        <f t="shared" si="0"/>
        <v>-0.25206748263314588</v>
      </c>
      <c r="J41" s="137" t="s">
        <v>62</v>
      </c>
      <c r="K41" s="40"/>
    </row>
    <row r="42" spans="1:11" ht="15.6">
      <c r="A42" s="25" t="str">
        <v>North Elizabeth</v>
      </c>
      <c r="B42" s="26" t="str">
        <v>NJ</v>
      </c>
      <c r="C42" s="21">
        <v>1699</v>
      </c>
      <c r="D42" s="11">
        <v>1480</v>
      </c>
      <c r="E42" s="11">
        <f t="shared" si="1"/>
        <v>219</v>
      </c>
      <c r="F42" s="12">
        <f t="shared" si="2"/>
        <v>0.14797297297297296</v>
      </c>
      <c r="G42" s="13">
        <v>1908</v>
      </c>
      <c r="H42" s="13">
        <f t="shared" si="3"/>
        <v>-209</v>
      </c>
      <c r="I42" s="14">
        <f t="shared" si="0"/>
        <v>-0.10953878406708595</v>
      </c>
      <c r="J42" s="61" t="s">
        <v>62</v>
      </c>
      <c r="K42" s="82"/>
    </row>
    <row r="43" spans="1:11" ht="15.6">
      <c r="A43" s="27" t="str">
        <v>Haddon Westmont Plaza</v>
      </c>
      <c r="B43" s="28" t="str">
        <v>NJ</v>
      </c>
      <c r="C43" s="10">
        <v>1316</v>
      </c>
      <c r="D43" s="15">
        <v>1301</v>
      </c>
      <c r="E43" s="15">
        <f t="shared" si="1"/>
        <v>15</v>
      </c>
      <c r="F43" s="16">
        <f t="shared" si="2"/>
        <v>1.1529592621060722E-2</v>
      </c>
      <c r="G43" s="17">
        <v>1318</v>
      </c>
      <c r="H43" s="17">
        <f t="shared" si="3"/>
        <v>-2</v>
      </c>
      <c r="I43" s="16">
        <f t="shared" si="0"/>
        <v>-1.5174506828528073E-3</v>
      </c>
      <c r="J43" s="56"/>
      <c r="K43" s="81"/>
    </row>
    <row r="44" spans="1:11" ht="15.6">
      <c r="A44" s="25" t="str">
        <v>Parsippany</v>
      </c>
      <c r="B44" s="26" t="str">
        <v>NJ</v>
      </c>
      <c r="C44" s="21">
        <v>1672</v>
      </c>
      <c r="D44" s="11">
        <v>1810</v>
      </c>
      <c r="E44" s="11">
        <f t="shared" si="1"/>
        <v>-138</v>
      </c>
      <c r="F44" s="12">
        <f t="shared" si="2"/>
        <v>-7.6243093922651939E-2</v>
      </c>
      <c r="G44" s="13">
        <v>1721</v>
      </c>
      <c r="H44" s="13">
        <f t="shared" si="3"/>
        <v>-49</v>
      </c>
      <c r="I44" s="14">
        <f t="shared" si="0"/>
        <v>-2.8471818710052294E-2</v>
      </c>
      <c r="J44" s="61"/>
      <c r="K44" s="61"/>
    </row>
    <row r="45" spans="1:11" ht="15.6">
      <c r="A45" s="27" t="str">
        <v>Clark</v>
      </c>
      <c r="B45" s="28" t="str">
        <v>NJ</v>
      </c>
      <c r="C45" s="10">
        <v>1390</v>
      </c>
      <c r="D45" s="15">
        <v>1360</v>
      </c>
      <c r="E45" s="15">
        <f t="shared" si="1"/>
        <v>30</v>
      </c>
      <c r="F45" s="16">
        <f t="shared" si="2"/>
        <v>2.2058823529411766E-2</v>
      </c>
      <c r="G45" s="17">
        <v>1373</v>
      </c>
      <c r="H45" s="17">
        <f t="shared" si="3"/>
        <v>17</v>
      </c>
      <c r="I45" s="16">
        <f t="shared" si="0"/>
        <v>1.2381646030589949E-2</v>
      </c>
      <c r="J45" s="56"/>
      <c r="K45" s="81"/>
    </row>
    <row r="46" spans="1:11" ht="15.6">
      <c r="A46" s="25" t="str">
        <v>Closter</v>
      </c>
      <c r="B46" s="26" t="str">
        <v>NJ</v>
      </c>
      <c r="C46" s="21">
        <v>355</v>
      </c>
      <c r="D46" s="11">
        <v>417</v>
      </c>
      <c r="E46" s="11">
        <f t="shared" si="1"/>
        <v>-62</v>
      </c>
      <c r="F46" s="12">
        <f t="shared" si="2"/>
        <v>-0.14868105515587529</v>
      </c>
      <c r="G46" s="13">
        <v>767</v>
      </c>
      <c r="H46" s="13">
        <f t="shared" si="3"/>
        <v>-412</v>
      </c>
      <c r="I46" s="14">
        <f t="shared" si="0"/>
        <v>-0.53715775749674055</v>
      </c>
      <c r="J46" s="61" t="s">
        <v>62</v>
      </c>
      <c r="K46" s="61"/>
    </row>
    <row r="47" spans="1:11" ht="15.6">
      <c r="A47" s="27" t="str">
        <v>Holmdel</v>
      </c>
      <c r="B47" s="28" t="str">
        <v>NJ</v>
      </c>
      <c r="C47" s="10">
        <v>1230</v>
      </c>
      <c r="D47" s="15">
        <v>4382</v>
      </c>
      <c r="E47" s="15">
        <f t="shared" si="1"/>
        <v>-3152</v>
      </c>
      <c r="F47" s="16">
        <f t="shared" si="2"/>
        <v>-0.71930625285257876</v>
      </c>
      <c r="G47" s="17">
        <v>996</v>
      </c>
      <c r="H47" s="17">
        <f t="shared" si="3"/>
        <v>234</v>
      </c>
      <c r="I47" s="16">
        <f t="shared" si="0"/>
        <v>0.23493975903614459</v>
      </c>
      <c r="J47" s="56" t="s">
        <v>62</v>
      </c>
      <c r="K47" s="81"/>
    </row>
    <row r="48" spans="1:11" ht="15.6">
      <c r="A48" s="25" t="str">
        <v>Ellisburg Circle Center</v>
      </c>
      <c r="B48" s="26" t="str">
        <v>NJ</v>
      </c>
      <c r="C48" s="21">
        <v>600</v>
      </c>
      <c r="D48" s="11">
        <v>614</v>
      </c>
      <c r="E48" s="11">
        <f t="shared" si="1"/>
        <v>-14</v>
      </c>
      <c r="F48" s="12">
        <f t="shared" si="2"/>
        <v>-2.2801302931596091E-2</v>
      </c>
      <c r="G48" s="13">
        <v>612</v>
      </c>
      <c r="H48" s="13">
        <f t="shared" si="3"/>
        <v>-12</v>
      </c>
      <c r="I48" s="14">
        <f t="shared" si="0"/>
        <v>-1.9607843137254902E-2</v>
      </c>
      <c r="J48" s="61"/>
      <c r="K48" s="61"/>
    </row>
    <row r="49" spans="1:11" ht="15.6">
      <c r="A49" s="27" t="str">
        <v>Nutley</v>
      </c>
      <c r="B49" s="28" t="str">
        <v>NJ</v>
      </c>
      <c r="C49" s="10">
        <v>1891</v>
      </c>
      <c r="D49" s="15">
        <v>1982</v>
      </c>
      <c r="E49" s="15">
        <f t="shared" si="1"/>
        <v>-91</v>
      </c>
      <c r="F49" s="16">
        <f t="shared" si="2"/>
        <v>-4.5913218970736629E-2</v>
      </c>
      <c r="G49" s="17">
        <v>2488</v>
      </c>
      <c r="H49" s="17">
        <f t="shared" si="3"/>
        <v>-597</v>
      </c>
      <c r="I49" s="16">
        <f t="shared" si="0"/>
        <v>-0.23995176848874597</v>
      </c>
      <c r="J49" s="56" t="s">
        <v>62</v>
      </c>
      <c r="K49" s="81"/>
    </row>
    <row r="50" spans="1:11" ht="15.6">
      <c r="A50" s="25" t="str">
        <v>Marlton</v>
      </c>
      <c r="B50" s="26" t="str">
        <v>NJ</v>
      </c>
      <c r="C50" s="21">
        <v>2317</v>
      </c>
      <c r="D50" s="11">
        <v>1706</v>
      </c>
      <c r="E50" s="11">
        <f t="shared" si="1"/>
        <v>611</v>
      </c>
      <c r="F50" s="12">
        <f t="shared" si="2"/>
        <v>0.358147713950762</v>
      </c>
      <c r="G50" s="13">
        <v>2205</v>
      </c>
      <c r="H50" s="13">
        <f t="shared" si="3"/>
        <v>112</v>
      </c>
      <c r="I50" s="14">
        <f t="shared" si="0"/>
        <v>5.0793650793650794E-2</v>
      </c>
      <c r="J50" s="61" t="s">
        <v>62</v>
      </c>
      <c r="K50" s="61"/>
    </row>
    <row r="51" spans="1:11" ht="15.6">
      <c r="A51" s="27" t="str">
        <v>Middletown</v>
      </c>
      <c r="B51" s="28" t="str">
        <v>NJ</v>
      </c>
      <c r="C51" s="10">
        <v>2084</v>
      </c>
      <c r="D51" s="15">
        <v>1650</v>
      </c>
      <c r="E51" s="15">
        <f t="shared" si="1"/>
        <v>434</v>
      </c>
      <c r="F51" s="16">
        <f t="shared" si="2"/>
        <v>0.263030303030303</v>
      </c>
      <c r="G51" s="17">
        <v>1901</v>
      </c>
      <c r="H51" s="17">
        <f t="shared" si="3"/>
        <v>183</v>
      </c>
      <c r="I51" s="16">
        <f t="shared" si="0"/>
        <v>9.626512361914781E-2</v>
      </c>
      <c r="J51" s="56" t="s">
        <v>62</v>
      </c>
      <c r="K51" s="81"/>
    </row>
    <row r="52" spans="1:11" ht="15.6">
      <c r="A52" s="25" t="str">
        <v>Whiting Crestwood</v>
      </c>
      <c r="B52" s="26" t="str">
        <v>NJ</v>
      </c>
      <c r="C52" s="21">
        <v>2873</v>
      </c>
      <c r="D52" s="11">
        <v>2824</v>
      </c>
      <c r="E52" s="11">
        <f t="shared" si="1"/>
        <v>49</v>
      </c>
      <c r="F52" s="12">
        <f t="shared" si="2"/>
        <v>1.7351274787535412E-2</v>
      </c>
      <c r="G52" s="13">
        <v>2953</v>
      </c>
      <c r="H52" s="13">
        <f t="shared" si="3"/>
        <v>-80</v>
      </c>
      <c r="I52" s="14">
        <f t="shared" si="0"/>
        <v>-2.7091093802912292E-2</v>
      </c>
      <c r="J52" s="61"/>
      <c r="K52" s="82"/>
    </row>
    <row r="53" spans="1:11" ht="15.6">
      <c r="A53" s="27" t="str">
        <v>Barnegat</v>
      </c>
      <c r="B53" s="28" t="str">
        <v>NJ</v>
      </c>
      <c r="C53" s="10">
        <v>3221</v>
      </c>
      <c r="D53" s="15">
        <v>2723</v>
      </c>
      <c r="E53" s="15">
        <f t="shared" si="1"/>
        <v>498</v>
      </c>
      <c r="F53" s="16">
        <f t="shared" si="2"/>
        <v>0.18288652221814175</v>
      </c>
      <c r="G53" s="17">
        <v>2731</v>
      </c>
      <c r="H53" s="17">
        <f t="shared" si="3"/>
        <v>490</v>
      </c>
      <c r="I53" s="16">
        <f t="shared" si="0"/>
        <v>0.17942145734163309</v>
      </c>
      <c r="J53" s="56" t="s">
        <v>62</v>
      </c>
      <c r="K53" s="83"/>
    </row>
    <row r="54" spans="1:11" ht="15.6">
      <c r="A54" s="25" t="str">
        <v>Manchester</v>
      </c>
      <c r="B54" s="26" t="str">
        <v>NJ</v>
      </c>
      <c r="C54" s="21">
        <v>1478</v>
      </c>
      <c r="D54" s="11">
        <v>1829</v>
      </c>
      <c r="E54" s="11">
        <f t="shared" si="1"/>
        <v>-351</v>
      </c>
      <c r="F54" s="12">
        <f t="shared" si="2"/>
        <v>-0.19190814652815746</v>
      </c>
      <c r="G54" s="13">
        <v>2367</v>
      </c>
      <c r="H54" s="13">
        <f t="shared" si="3"/>
        <v>-889</v>
      </c>
      <c r="I54" s="14">
        <f t="shared" si="0"/>
        <v>-0.37558090409801437</v>
      </c>
      <c r="J54" s="61" t="s">
        <v>62</v>
      </c>
      <c r="K54" s="82"/>
    </row>
    <row r="55" spans="1:11" ht="28.9">
      <c r="A55" s="27" t="str">
        <v>West Deptford - Woodbury</v>
      </c>
      <c r="B55" s="28" t="str">
        <v>NJ</v>
      </c>
      <c r="C55" s="51">
        <v>2430</v>
      </c>
      <c r="D55" s="15">
        <v>2315</v>
      </c>
      <c r="E55" s="15">
        <f t="shared" si="1"/>
        <v>115</v>
      </c>
      <c r="F55" s="16">
        <f t="shared" si="2"/>
        <v>4.9676025917926567E-2</v>
      </c>
      <c r="G55" s="17">
        <v>2342</v>
      </c>
      <c r="H55" s="17">
        <f t="shared" si="3"/>
        <v>88</v>
      </c>
      <c r="I55" s="16">
        <f t="shared" si="0"/>
        <v>3.7574722459436376E-2</v>
      </c>
      <c r="J55" s="39" t="s">
        <v>83</v>
      </c>
      <c r="K55" s="39" t="s">
        <v>84</v>
      </c>
    </row>
    <row r="56" spans="1:11" ht="15.6">
      <c r="A56" s="25" t="str">
        <v>Edison</v>
      </c>
      <c r="B56" s="26" t="str">
        <v>NJ</v>
      </c>
      <c r="C56" s="52">
        <v>2143</v>
      </c>
      <c r="D56" s="11">
        <v>1706</v>
      </c>
      <c r="E56" s="11">
        <f t="shared" si="1"/>
        <v>437</v>
      </c>
      <c r="F56" s="12">
        <f t="shared" si="2"/>
        <v>0.25615474794841736</v>
      </c>
      <c r="G56" s="13">
        <v>2080</v>
      </c>
      <c r="H56" s="13">
        <f t="shared" si="3"/>
        <v>63</v>
      </c>
      <c r="I56" s="14">
        <f t="shared" si="0"/>
        <v>3.0288461538461538E-2</v>
      </c>
      <c r="J56" s="59" t="s">
        <v>62</v>
      </c>
      <c r="K56" s="59"/>
    </row>
    <row r="57" spans="1:11" ht="15.6">
      <c r="A57" s="27" t="str">
        <v>Flemington</v>
      </c>
      <c r="B57" s="28" t="str">
        <v>NJ</v>
      </c>
      <c r="C57" s="10">
        <v>1791</v>
      </c>
      <c r="D57" s="15">
        <v>1628</v>
      </c>
      <c r="E57" s="15">
        <f t="shared" si="1"/>
        <v>163</v>
      </c>
      <c r="F57" s="16">
        <f t="shared" si="2"/>
        <v>0.10012285012285012</v>
      </c>
      <c r="G57" s="17">
        <v>1847</v>
      </c>
      <c r="H57" s="17">
        <f t="shared" si="3"/>
        <v>-56</v>
      </c>
      <c r="I57" s="16">
        <f t="shared" si="0"/>
        <v>-3.0319436924742826E-2</v>
      </c>
      <c r="J57" s="39"/>
      <c r="K57" s="39"/>
    </row>
    <row r="58" spans="1:11" ht="15.6">
      <c r="A58" s="25" t="str">
        <v>Route 22</v>
      </c>
      <c r="B58" s="26" t="str">
        <v>NJ</v>
      </c>
      <c r="C58" s="21">
        <v>1870</v>
      </c>
      <c r="D58" s="11">
        <v>2004</v>
      </c>
      <c r="E58" s="11">
        <f t="shared" si="1"/>
        <v>-134</v>
      </c>
      <c r="F58" s="12">
        <f t="shared" si="2"/>
        <v>-6.6866267465069865E-2</v>
      </c>
      <c r="G58" s="13">
        <v>1908</v>
      </c>
      <c r="H58" s="13">
        <f t="shared" si="3"/>
        <v>-38</v>
      </c>
      <c r="I58" s="14">
        <f t="shared" si="0"/>
        <v>-1.9916142557651992E-2</v>
      </c>
      <c r="J58" s="59"/>
      <c r="K58" s="59"/>
    </row>
    <row r="59" spans="1:11" ht="15.6">
      <c r="A59" s="27" t="str">
        <v>Laurelton</v>
      </c>
      <c r="B59" s="28" t="str">
        <v>NJ</v>
      </c>
      <c r="C59" s="10">
        <v>1087</v>
      </c>
      <c r="D59" s="15">
        <v>1514</v>
      </c>
      <c r="E59" s="15">
        <f t="shared" si="1"/>
        <v>-427</v>
      </c>
      <c r="F59" s="16">
        <f t="shared" si="2"/>
        <v>-0.28203434610303829</v>
      </c>
      <c r="G59" s="17">
        <v>1507</v>
      </c>
      <c r="H59" s="17">
        <f t="shared" si="3"/>
        <v>-420</v>
      </c>
      <c r="I59" s="16">
        <f t="shared" si="0"/>
        <v>-0.27869940278699401</v>
      </c>
      <c r="J59" s="39" t="s">
        <v>62</v>
      </c>
      <c r="K59" s="39"/>
    </row>
    <row r="60" spans="1:11" ht="15.6">
      <c r="A60" s="25" t="str">
        <v>Mahwah</v>
      </c>
      <c r="B60" s="26" t="str">
        <v>NJ</v>
      </c>
      <c r="C60" s="21">
        <v>1288</v>
      </c>
      <c r="D60" s="11">
        <v>1576</v>
      </c>
      <c r="E60" s="11">
        <f t="shared" si="1"/>
        <v>-288</v>
      </c>
      <c r="F60" s="12">
        <f t="shared" si="2"/>
        <v>-0.18274111675126903</v>
      </c>
      <c r="G60" s="13">
        <v>1464</v>
      </c>
      <c r="H60" s="13">
        <f t="shared" si="3"/>
        <v>-176</v>
      </c>
      <c r="I60" s="14">
        <f t="shared" si="0"/>
        <v>-0.12021857923497267</v>
      </c>
      <c r="J60" s="59" t="s">
        <v>62</v>
      </c>
      <c r="K60" s="82"/>
    </row>
    <row r="61" spans="1:11" ht="15.6">
      <c r="A61" s="27" t="str">
        <v>Franklin Township WF</v>
      </c>
      <c r="B61" s="28" t="str">
        <v>NJ</v>
      </c>
      <c r="C61" s="10">
        <v>1622</v>
      </c>
      <c r="D61" s="15">
        <v>1492</v>
      </c>
      <c r="E61" s="15">
        <f t="shared" si="1"/>
        <v>130</v>
      </c>
      <c r="F61" s="16">
        <f t="shared" si="2"/>
        <v>8.7131367292225204E-2</v>
      </c>
      <c r="G61" s="17">
        <v>2146</v>
      </c>
      <c r="H61" s="17">
        <f t="shared" si="3"/>
        <v>-524</v>
      </c>
      <c r="I61" s="16">
        <f t="shared" si="0"/>
        <v>-0.24417520969245107</v>
      </c>
      <c r="J61" s="39" t="s">
        <v>62</v>
      </c>
      <c r="K61" s="80"/>
    </row>
    <row r="62" spans="1:11" ht="15.6">
      <c r="A62" s="25" t="str">
        <v>Bordentown</v>
      </c>
      <c r="B62" s="26" t="str">
        <v>NJ</v>
      </c>
      <c r="C62" s="21">
        <v>1432</v>
      </c>
      <c r="D62" s="11">
        <v>1137</v>
      </c>
      <c r="E62" s="11">
        <f t="shared" si="1"/>
        <v>295</v>
      </c>
      <c r="F62" s="12">
        <f t="shared" si="2"/>
        <v>0.2594547053649956</v>
      </c>
      <c r="G62" s="13">
        <v>1253</v>
      </c>
      <c r="H62" s="13">
        <f t="shared" si="3"/>
        <v>179</v>
      </c>
      <c r="I62" s="14">
        <f t="shared" si="0"/>
        <v>0.14285714285714285</v>
      </c>
      <c r="J62" s="59" t="s">
        <v>62</v>
      </c>
      <c r="K62" s="61"/>
    </row>
    <row r="63" spans="1:11" ht="15.6">
      <c r="A63" s="27" t="str">
        <v>South Plainfield</v>
      </c>
      <c r="B63" s="28" t="str">
        <v>NJ</v>
      </c>
      <c r="C63" s="10">
        <v>1015</v>
      </c>
      <c r="D63" s="15">
        <v>852</v>
      </c>
      <c r="E63" s="15">
        <f t="shared" si="1"/>
        <v>163</v>
      </c>
      <c r="F63" s="16">
        <f t="shared" si="2"/>
        <v>0.19131455399061034</v>
      </c>
      <c r="G63" s="17">
        <v>939</v>
      </c>
      <c r="H63" s="17">
        <f t="shared" si="3"/>
        <v>76</v>
      </c>
      <c r="I63" s="16">
        <f t="shared" si="0"/>
        <v>8.0937167199148036E-2</v>
      </c>
      <c r="J63" s="39"/>
      <c r="K63" s="49"/>
    </row>
    <row r="64" spans="1:11" ht="15.6">
      <c r="A64" s="25" t="str">
        <v>Somerset</v>
      </c>
      <c r="B64" s="26" t="str">
        <v>NJ</v>
      </c>
      <c r="C64" s="21">
        <v>1472</v>
      </c>
      <c r="D64" s="11">
        <v>2124</v>
      </c>
      <c r="E64" s="11">
        <f t="shared" si="1"/>
        <v>-652</v>
      </c>
      <c r="F64" s="12">
        <f t="shared" si="2"/>
        <v>-0.30696798493408661</v>
      </c>
      <c r="G64" s="13">
        <v>1440</v>
      </c>
      <c r="H64" s="13">
        <f t="shared" si="3"/>
        <v>32</v>
      </c>
      <c r="I64" s="14">
        <f t="shared" si="0"/>
        <v>2.2222222222222223E-2</v>
      </c>
      <c r="J64" s="59" t="s">
        <v>62</v>
      </c>
      <c r="K64" s="61"/>
    </row>
    <row r="65" spans="1:12" ht="15.6">
      <c r="A65" s="27" t="str">
        <v>Clinton Main Relo</v>
      </c>
      <c r="B65" s="28" t="str">
        <v>NJ</v>
      </c>
      <c r="C65" s="10">
        <v>1600</v>
      </c>
      <c r="D65" s="15"/>
      <c r="E65" s="15" t="str">
        <f t="shared" si="1"/>
        <v/>
      </c>
      <c r="F65" s="16" t="str">
        <f t="shared" si="2"/>
        <v/>
      </c>
      <c r="G65" s="17"/>
      <c r="H65" s="17" t="str">
        <f t="shared" si="3"/>
        <v/>
      </c>
      <c r="I65" s="16" t="str">
        <f t="shared" si="0"/>
        <v/>
      </c>
      <c r="J65" s="39"/>
      <c r="K65" s="49"/>
    </row>
    <row r="66" spans="1:12" ht="43.15">
      <c r="A66" s="25" t="str">
        <v>North Brunswick</v>
      </c>
      <c r="B66" s="26" t="str">
        <v>NJ</v>
      </c>
      <c r="C66" s="21">
        <v>1728</v>
      </c>
      <c r="D66" s="11">
        <v>1526</v>
      </c>
      <c r="E66" s="11">
        <f t="shared" si="1"/>
        <v>202</v>
      </c>
      <c r="F66" s="12">
        <f t="shared" si="2"/>
        <v>0.13237221494102228</v>
      </c>
      <c r="G66" s="13">
        <v>1843</v>
      </c>
      <c r="H66" s="13">
        <f t="shared" si="3"/>
        <v>-115</v>
      </c>
      <c r="I66" s="14">
        <f t="shared" si="0"/>
        <v>-6.2398263700488336E-2</v>
      </c>
      <c r="J66" s="61" t="s">
        <v>85</v>
      </c>
      <c r="K66" s="61" t="s">
        <v>64</v>
      </c>
    </row>
    <row r="67" spans="1:12" ht="43.15">
      <c r="A67" s="27" t="str">
        <v>Cherry Hill</v>
      </c>
      <c r="B67" s="28" t="str">
        <v>NJ</v>
      </c>
      <c r="C67" s="10">
        <v>1142</v>
      </c>
      <c r="D67" s="15">
        <v>1226</v>
      </c>
      <c r="E67" s="15">
        <f t="shared" si="1"/>
        <v>-84</v>
      </c>
      <c r="F67" s="16">
        <f t="shared" si="2"/>
        <v>-6.8515497553017946E-2</v>
      </c>
      <c r="G67" s="17">
        <v>1192</v>
      </c>
      <c r="H67" s="17">
        <f t="shared" si="3"/>
        <v>-50</v>
      </c>
      <c r="I67" s="16">
        <f t="shared" si="0"/>
        <v>-4.1946308724832217E-2</v>
      </c>
      <c r="J67" s="49" t="s">
        <v>65</v>
      </c>
      <c r="K67" s="80" t="s">
        <v>66</v>
      </c>
      <c r="L67" s="78"/>
    </row>
    <row r="68" spans="1:12" ht="15.6">
      <c r="A68" s="25" t="str">
        <v>Hainesport</v>
      </c>
      <c r="B68" s="26" t="str">
        <v>NJ</v>
      </c>
      <c r="C68" s="21">
        <v>1391</v>
      </c>
      <c r="D68" s="11">
        <v>1336</v>
      </c>
      <c r="E68" s="11">
        <f t="shared" si="1"/>
        <v>55</v>
      </c>
      <c r="F68" s="12">
        <f t="shared" si="2"/>
        <v>4.1167664670658681E-2</v>
      </c>
      <c r="G68" s="13">
        <v>1156</v>
      </c>
      <c r="H68" s="13">
        <f t="shared" si="3"/>
        <v>235</v>
      </c>
      <c r="I68" s="14">
        <f t="shared" si="0"/>
        <v>0.20328719723183392</v>
      </c>
      <c r="J68" s="61"/>
      <c r="K68" s="82"/>
      <c r="L68" s="78"/>
    </row>
    <row r="69" spans="1:12" ht="15.6">
      <c r="A69" s="27" t="str">
        <v>San Antonio - Ops Ctr (Bldg 106)</v>
      </c>
      <c r="B69" s="28" t="str">
        <v>TX</v>
      </c>
      <c r="C69" s="10">
        <v>32009</v>
      </c>
      <c r="D69" s="15">
        <v>36208</v>
      </c>
      <c r="E69" s="15">
        <f t="shared" si="1"/>
        <v>-4199</v>
      </c>
      <c r="F69" s="16">
        <f t="shared" si="2"/>
        <v>-0.11596884666372073</v>
      </c>
      <c r="G69" s="17">
        <v>37511</v>
      </c>
      <c r="H69" s="17">
        <f t="shared" si="3"/>
        <v>-5502</v>
      </c>
      <c r="I69" s="16">
        <f t="shared" ref="I69:I84" si="4">IFERROR(H69/G69, "")</f>
        <v>-0.14667697475407213</v>
      </c>
      <c r="J69" s="39" t="s">
        <v>67</v>
      </c>
      <c r="K69" s="54"/>
    </row>
    <row r="70" spans="1:12" ht="15.6">
      <c r="A70" s="25" t="str">
        <v>San Antonio - Ops Ctr GM</v>
      </c>
      <c r="B70" s="26" t="str">
        <v>TX</v>
      </c>
      <c r="C70" s="21">
        <v>239671</v>
      </c>
      <c r="D70" s="11">
        <v>272681</v>
      </c>
      <c r="E70" s="11">
        <f t="shared" ref="E70:E84" si="5">IF(AND(ISNUMBER(C70),ISNUMBER(D70)), C70-D70, "")</f>
        <v>-33010</v>
      </c>
      <c r="F70" s="12">
        <f t="shared" ref="F70:F84" si="6">IFERROR(E70/D70, "")</f>
        <v>-0.12105720603929133</v>
      </c>
      <c r="G70" s="13">
        <v>304922</v>
      </c>
      <c r="H70" s="13">
        <f t="shared" ref="H70:H84" si="7">IF(AND(ISNUMBER(C70),ISNUMBER(G70)), C70-G70, "")</f>
        <v>-65251</v>
      </c>
      <c r="I70" s="14">
        <f t="shared" si="4"/>
        <v>-0.21399243085116851</v>
      </c>
      <c r="J70" s="59" t="s">
        <v>67</v>
      </c>
      <c r="K70" s="59"/>
    </row>
    <row r="71" spans="1:12" ht="15.6">
      <c r="A71" s="27" t="str">
        <v>San Antonio - Ctr (Bldg 201)</v>
      </c>
      <c r="B71" s="28" t="str">
        <v>TX</v>
      </c>
      <c r="C71" s="10">
        <v>32332</v>
      </c>
      <c r="D71" s="15">
        <v>35890</v>
      </c>
      <c r="E71" s="15">
        <f t="shared" si="5"/>
        <v>-3558</v>
      </c>
      <c r="F71" s="16">
        <f t="shared" si="6"/>
        <v>-9.9136249651713568E-2</v>
      </c>
      <c r="G71" s="17">
        <v>37272</v>
      </c>
      <c r="H71" s="17">
        <f t="shared" si="7"/>
        <v>-4940</v>
      </c>
      <c r="I71" s="16">
        <f t="shared" si="4"/>
        <v>-0.1325391714960292</v>
      </c>
      <c r="J71" s="39" t="s">
        <v>67</v>
      </c>
      <c r="K71" s="39"/>
    </row>
    <row r="72" spans="1:12" ht="15.6">
      <c r="A72" s="25" t="str">
        <v>San Antonio - Ops Ctr (Bldg 203)</v>
      </c>
      <c r="B72" s="26" t="str">
        <v>TX</v>
      </c>
      <c r="C72" s="21">
        <v>33952</v>
      </c>
      <c r="D72" s="11">
        <v>33074</v>
      </c>
      <c r="E72" s="11">
        <f t="shared" si="5"/>
        <v>878</v>
      </c>
      <c r="F72" s="12">
        <f t="shared" si="6"/>
        <v>2.6546532019108664E-2</v>
      </c>
      <c r="G72" s="13">
        <v>38423</v>
      </c>
      <c r="H72" s="13">
        <f t="shared" si="7"/>
        <v>-4471</v>
      </c>
      <c r="I72" s="14">
        <f t="shared" si="4"/>
        <v>-0.11636259532051116</v>
      </c>
      <c r="J72" s="61" t="s">
        <v>67</v>
      </c>
      <c r="K72" s="82"/>
    </row>
    <row r="73" spans="1:12" ht="28.9">
      <c r="A73" s="27" t="str">
        <v>San Antonio - Ops Ctr (Bldg 205)</v>
      </c>
      <c r="B73" s="28" t="str">
        <v>TX</v>
      </c>
      <c r="C73" s="10">
        <v>30207</v>
      </c>
      <c r="D73" s="15">
        <v>32734</v>
      </c>
      <c r="E73" s="15">
        <f t="shared" si="5"/>
        <v>-2527</v>
      </c>
      <c r="F73" s="16">
        <f t="shared" si="6"/>
        <v>-7.7198020406916354E-2</v>
      </c>
      <c r="G73" s="17">
        <v>35606</v>
      </c>
      <c r="H73" s="17">
        <f t="shared" si="7"/>
        <v>-5399</v>
      </c>
      <c r="I73" s="16">
        <f t="shared" si="4"/>
        <v>-0.15163174745829355</v>
      </c>
      <c r="J73" s="56" t="s">
        <v>86</v>
      </c>
      <c r="K73" s="56" t="s">
        <v>87</v>
      </c>
    </row>
    <row r="74" spans="1:12" ht="15.6">
      <c r="A74" s="25" t="str">
        <v>San Antonio - Ops Ctr (Bldg 307)</v>
      </c>
      <c r="B74" s="26" t="str">
        <v>TX</v>
      </c>
      <c r="C74" s="21">
        <v>31864</v>
      </c>
      <c r="D74" s="11">
        <v>35565</v>
      </c>
      <c r="E74" s="11">
        <f t="shared" si="5"/>
        <v>-3701</v>
      </c>
      <c r="F74" s="12">
        <f t="shared" si="6"/>
        <v>-0.10406298327006888</v>
      </c>
      <c r="G74" s="13">
        <v>36605</v>
      </c>
      <c r="H74" s="13">
        <f t="shared" si="7"/>
        <v>-4741</v>
      </c>
      <c r="I74" s="14">
        <f t="shared" si="4"/>
        <v>-0.12951782543368393</v>
      </c>
      <c r="J74" s="61" t="s">
        <v>67</v>
      </c>
      <c r="K74" s="61"/>
    </row>
    <row r="75" spans="1:12" ht="15.6">
      <c r="A75" s="27" t="str">
        <v>San Antonio - Ctr (Bldg 308)</v>
      </c>
      <c r="B75" s="28" t="str">
        <v>TX</v>
      </c>
      <c r="C75" s="10">
        <v>31694</v>
      </c>
      <c r="D75" s="15">
        <v>34762</v>
      </c>
      <c r="E75" s="15">
        <f t="shared" si="5"/>
        <v>-3068</v>
      </c>
      <c r="F75" s="16">
        <f t="shared" si="6"/>
        <v>-8.8257292445774127E-2</v>
      </c>
      <c r="G75" s="17">
        <v>35499</v>
      </c>
      <c r="H75" s="17">
        <f t="shared" si="7"/>
        <v>-3805</v>
      </c>
      <c r="I75" s="16">
        <f t="shared" si="4"/>
        <v>-0.10718611791881462</v>
      </c>
      <c r="J75" s="56" t="s">
        <v>67</v>
      </c>
      <c r="K75" s="56"/>
    </row>
    <row r="76" spans="1:12" ht="15.6">
      <c r="A76" s="25" t="str">
        <v>San Antonio - Ops Ctr (Bldg 104)</v>
      </c>
      <c r="B76" s="26" t="str">
        <v>TX</v>
      </c>
      <c r="C76" s="21">
        <v>8831</v>
      </c>
      <c r="D76" s="11">
        <v>10884</v>
      </c>
      <c r="E76" s="11">
        <f t="shared" si="5"/>
        <v>-2053</v>
      </c>
      <c r="F76" s="12">
        <f t="shared" si="6"/>
        <v>-0.18862550532892319</v>
      </c>
      <c r="G76" s="13">
        <v>10911</v>
      </c>
      <c r="H76" s="13">
        <f t="shared" si="7"/>
        <v>-2080</v>
      </c>
      <c r="I76" s="14">
        <f t="shared" si="4"/>
        <v>-0.190633305838145</v>
      </c>
      <c r="J76" s="61" t="s">
        <v>67</v>
      </c>
      <c r="K76" s="61"/>
    </row>
    <row r="77" spans="1:12" ht="15.6">
      <c r="A77" s="27" t="str">
        <v>San Antonio - Ops Ctr (Bldg 102)</v>
      </c>
      <c r="B77" s="28" t="str">
        <v>TX</v>
      </c>
      <c r="C77" s="10">
        <v>34984</v>
      </c>
      <c r="D77" s="15">
        <v>32568</v>
      </c>
      <c r="E77" s="15">
        <f t="shared" si="5"/>
        <v>2416</v>
      </c>
      <c r="F77" s="16">
        <f t="shared" si="6"/>
        <v>7.4183247359371166E-2</v>
      </c>
      <c r="G77" s="17">
        <v>39742</v>
      </c>
      <c r="H77" s="17">
        <f t="shared" si="7"/>
        <v>-4758</v>
      </c>
      <c r="I77" s="16">
        <f t="shared" si="4"/>
        <v>-0.11972220824316844</v>
      </c>
      <c r="J77" s="56" t="s">
        <v>67</v>
      </c>
      <c r="K77" s="56"/>
    </row>
    <row r="78" spans="1:12" ht="15.6">
      <c r="A78" s="25" t="str">
        <v>N Black Canyon Hwy, Phoenix - North</v>
      </c>
      <c r="B78" s="26" t="str">
        <v>AZ</v>
      </c>
      <c r="C78" s="21">
        <v>63308</v>
      </c>
      <c r="D78" s="11">
        <v>60958</v>
      </c>
      <c r="E78" s="11">
        <f t="shared" si="5"/>
        <v>2350</v>
      </c>
      <c r="F78" s="12">
        <f t="shared" si="6"/>
        <v>3.855113356737426E-2</v>
      </c>
      <c r="G78" s="13">
        <v>61016</v>
      </c>
      <c r="H78" s="13">
        <f t="shared" si="7"/>
        <v>2292</v>
      </c>
      <c r="I78" s="14">
        <f t="shared" si="4"/>
        <v>3.7563917660941394E-2</v>
      </c>
      <c r="J78" s="61"/>
      <c r="K78" s="82"/>
    </row>
    <row r="79" spans="1:12" ht="28.9">
      <c r="A79" s="27" t="str">
        <v>N Black Canyon Hwy, Phoenix - South</v>
      </c>
      <c r="B79" s="28" t="str">
        <v>AZ</v>
      </c>
      <c r="C79" s="10">
        <v>68222</v>
      </c>
      <c r="D79" s="15">
        <v>66700</v>
      </c>
      <c r="E79" s="15">
        <f t="shared" si="5"/>
        <v>1522</v>
      </c>
      <c r="F79" s="16">
        <f t="shared" si="6"/>
        <v>2.2818590704647677E-2</v>
      </c>
      <c r="G79" s="17">
        <v>67660</v>
      </c>
      <c r="H79" s="17">
        <f t="shared" si="7"/>
        <v>562</v>
      </c>
      <c r="I79" s="16">
        <f t="shared" si="4"/>
        <v>8.3062370676913987E-3</v>
      </c>
      <c r="J79" s="56" t="s">
        <v>88</v>
      </c>
      <c r="K79" s="83" t="s">
        <v>89</v>
      </c>
    </row>
    <row r="80" spans="1:12" ht="43.15">
      <c r="A80" s="25" t="str">
        <v xml:space="preserve"> Building 2222, Rose Garden Ln, Phoenix</v>
      </c>
      <c r="B80" s="26" t="str">
        <v>AZ</v>
      </c>
      <c r="C80" s="21">
        <v>13324</v>
      </c>
      <c r="D80" s="11">
        <v>15183</v>
      </c>
      <c r="E80" s="11">
        <f t="shared" si="5"/>
        <v>-1859</v>
      </c>
      <c r="F80" s="12">
        <f t="shared" si="6"/>
        <v>-0.12243957057235065</v>
      </c>
      <c r="G80" s="13">
        <v>73696</v>
      </c>
      <c r="H80" s="13">
        <f t="shared" si="7"/>
        <v>-60372</v>
      </c>
      <c r="I80" s="14">
        <f t="shared" si="4"/>
        <v>-0.81920321320017364</v>
      </c>
      <c r="J80" s="61" t="s">
        <v>90</v>
      </c>
      <c r="K80" s="82" t="s">
        <v>91</v>
      </c>
    </row>
    <row r="81" spans="1:11" ht="13.15" customHeight="1">
      <c r="A81" s="27" t="str">
        <v xml:space="preserve"> Building 2202, Rose Garden Ln, Phoenix</v>
      </c>
      <c r="B81" s="28" t="str">
        <v>AZ</v>
      </c>
      <c r="C81" s="10">
        <v>69360</v>
      </c>
      <c r="D81" s="15">
        <v>13434</v>
      </c>
      <c r="E81" s="15">
        <f t="shared" si="5"/>
        <v>55926</v>
      </c>
      <c r="F81" s="16">
        <f t="shared" si="6"/>
        <v>4.1630192050022332</v>
      </c>
      <c r="G81" s="17">
        <v>57349</v>
      </c>
      <c r="H81" s="17">
        <f t="shared" si="7"/>
        <v>12011</v>
      </c>
      <c r="I81" s="16">
        <f t="shared" si="4"/>
        <v>0.20943695618057856</v>
      </c>
      <c r="J81" s="49" t="s">
        <v>92</v>
      </c>
      <c r="K81" s="39" t="s">
        <v>93</v>
      </c>
    </row>
    <row r="82" spans="1:11" ht="15.6">
      <c r="A82" s="25" t="str">
        <v xml:space="preserve"> 99TH Ave &amp; BELL</v>
      </c>
      <c r="B82" s="26" t="str">
        <v>AZ</v>
      </c>
      <c r="C82" s="21">
        <v>13291</v>
      </c>
      <c r="D82" s="11">
        <v>11366</v>
      </c>
      <c r="E82" s="11">
        <f t="shared" si="5"/>
        <v>1925</v>
      </c>
      <c r="F82" s="12">
        <f t="shared" si="6"/>
        <v>0.16936477212739751</v>
      </c>
      <c r="G82" s="13">
        <v>14489</v>
      </c>
      <c r="H82" s="13">
        <f t="shared" si="7"/>
        <v>-1198</v>
      </c>
      <c r="I82" s="14">
        <f t="shared" si="4"/>
        <v>-8.2683415004486158E-2</v>
      </c>
      <c r="J82" s="61"/>
      <c r="K82" s="59"/>
    </row>
    <row r="83" spans="1:11" ht="15.6">
      <c r="A83" s="27" t="str">
        <v>Rincon</v>
      </c>
      <c r="B83" s="28" t="str">
        <v>AZ</v>
      </c>
      <c r="C83" s="10">
        <v>6553</v>
      </c>
      <c r="D83" s="15">
        <v>4885</v>
      </c>
      <c r="E83" s="15">
        <f t="shared" si="5"/>
        <v>1668</v>
      </c>
      <c r="F83" s="16">
        <f t="shared" si="6"/>
        <v>0.34145342886386898</v>
      </c>
      <c r="G83" s="17">
        <v>5215</v>
      </c>
      <c r="H83" s="17">
        <f t="shared" si="7"/>
        <v>1338</v>
      </c>
      <c r="I83" s="16">
        <f t="shared" si="4"/>
        <v>0.25656759348034514</v>
      </c>
      <c r="J83" s="138" t="s">
        <v>62</v>
      </c>
      <c r="K83" s="80"/>
    </row>
    <row r="84" spans="1:11" ht="43.15">
      <c r="A84" s="25" t="str">
        <v>Tucson Main Parking Garage</v>
      </c>
      <c r="B84" s="26" t="str">
        <v>AZ</v>
      </c>
      <c r="C84" s="21">
        <v>8853</v>
      </c>
      <c r="D84" s="11">
        <v>10568</v>
      </c>
      <c r="E84" s="11">
        <f t="shared" si="5"/>
        <v>-1715</v>
      </c>
      <c r="F84" s="12">
        <f t="shared" si="6"/>
        <v>-0.16228236184708555</v>
      </c>
      <c r="G84" s="13">
        <v>8772</v>
      </c>
      <c r="H84" s="13">
        <f t="shared" si="7"/>
        <v>81</v>
      </c>
      <c r="I84" s="14">
        <f t="shared" si="4"/>
        <v>9.2339261285909711E-3</v>
      </c>
      <c r="J84" s="61" t="s">
        <v>94</v>
      </c>
      <c r="K84" s="59" t="s">
        <v>95</v>
      </c>
    </row>
    <row r="85" spans="1:11" ht="14.45">
      <c r="A85" s="18" t="str">
        <v>AZ: Chandler - Chandler Campus - Bldg A</v>
      </c>
      <c r="B85" s="30" t="str">
        <v>AZ</v>
      </c>
      <c r="C85" s="215"/>
      <c r="D85" s="215"/>
      <c r="E85" s="215"/>
      <c r="F85" s="19"/>
      <c r="G85" s="215"/>
      <c r="H85" s="18"/>
      <c r="I85" s="19"/>
      <c r="J85" s="18"/>
      <c r="K85" s="18"/>
    </row>
    <row r="86" spans="1:11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4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4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4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4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4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45">
      <c r="C339" s="18"/>
      <c r="D339" s="18"/>
      <c r="E339" s="18"/>
      <c r="F339" s="19"/>
      <c r="G339" s="18"/>
      <c r="H339" s="18"/>
      <c r="I339" s="19"/>
      <c r="J339" s="18"/>
      <c r="K339" s="18"/>
    </row>
  </sheetData>
  <mergeCells count="4">
    <mergeCell ref="G1:I1"/>
    <mergeCell ref="A1:C1"/>
    <mergeCell ref="D1:F1"/>
    <mergeCell ref="A2:B2"/>
  </mergeCells>
  <phoneticPr fontId="6" type="noConversion"/>
  <conditionalFormatting sqref="F2 I2 F4:F97 I4:I97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hyperlinks>
    <hyperlink ref="K6" r:id="rId1" display="https://us3.assetplanner.com/service_request?ID=091496" xr:uid="{15648FEE-1AF1-49BD-A150-DB4B663A18A7}"/>
    <hyperlink ref="L6" r:id="rId2" display="https://us3.assetplanner.com/service_request?ID=088261" xr:uid="{89323349-52E6-484D-BD0C-CD4BECE72A8E}"/>
    <hyperlink ref="M6" r:id="rId3" display="https://us3.assetplanner.com/service_request?ID=097801" xr:uid="{ADE7FC25-B388-40D6-AB08-130C811EB358}"/>
    <hyperlink ref="N6" r:id="rId4" display="https://us3.assetplanner.com/service_request?ID=097144" xr:uid="{C9DC5D72-A4F1-4234-9840-BFEE481B616A}"/>
    <hyperlink ref="K32" r:id="rId5" display="https://us3.assetplanner.com/service_request?ID=088667" xr:uid="{50B4CC01-5D35-40E5-A63C-8D43AD0DC68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8"/>
  <sheetViews>
    <sheetView zoomScale="70" zoomScaleNormal="70" workbookViewId="0">
      <pane xSplit="2" ySplit="3" topLeftCell="C4" activePane="bottomRight" state="frozen"/>
      <selection pane="bottomRight" activeCell="Q7" sqref="Q7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3" ht="19.5" customHeight="1">
      <c r="A1" s="254" t="str" cm="1">
        <f t="array" ref="A1">portfolio</f>
        <v>Wells Fargo</v>
      </c>
      <c r="B1" s="254"/>
      <c r="C1" s="254"/>
      <c r="D1" s="255" t="s">
        <v>96</v>
      </c>
      <c r="E1" s="255"/>
      <c r="F1" s="255"/>
      <c r="G1" s="253" t="s">
        <v>97</v>
      </c>
      <c r="H1" s="253"/>
      <c r="I1" s="253"/>
      <c r="J1" s="3"/>
      <c r="K1" s="3"/>
    </row>
    <row r="2" spans="1:13" ht="19.5" customHeight="1">
      <c r="A2" s="264" t="s">
        <v>2</v>
      </c>
      <c r="B2" s="264"/>
      <c r="C2" s="4">
        <f>SUM(C4:C86)</f>
        <v>2070288</v>
      </c>
      <c r="D2" s="4">
        <f>SUM(D4:D86)</f>
        <v>2047973.35</v>
      </c>
      <c r="E2" s="4">
        <f>C2-D2</f>
        <v>22314.649999999907</v>
      </c>
      <c r="F2" s="5">
        <f>IFERROR(E2/D2, 0)</f>
        <v>1.0895966981210916E-2</v>
      </c>
      <c r="G2" s="4">
        <f>SUM(G4:G86)</f>
        <v>1955597.7310000001</v>
      </c>
      <c r="H2" s="6">
        <f>C2-G2</f>
        <v>114690.26899999985</v>
      </c>
      <c r="I2" s="5">
        <f>IFERROR(H2/G2, 0)</f>
        <v>5.8647168168554115E-2</v>
      </c>
      <c r="J2" s="23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3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3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1011.1</v>
      </c>
      <c r="D4" s="11">
        <v>0</v>
      </c>
      <c r="E4" s="11">
        <f>IF(AND(ISNUMBER(C4),ISNUMBER(D4)), C4-D4, "")</f>
        <v>1011.1</v>
      </c>
      <c r="F4" s="12" t="str">
        <f>IFERROR(E4/D4, "")</f>
        <v/>
      </c>
      <c r="G4" s="13">
        <v>1060</v>
      </c>
      <c r="H4" s="13">
        <f>IF(AND(ISNUMBER(C4),ISNUMBER(G4)), C4-G4, "")</f>
        <v>-48.899999999999977</v>
      </c>
      <c r="I4" s="14">
        <f>IFERROR(H4/G4, "")</f>
        <v>-4.6132075471698092E-2</v>
      </c>
      <c r="J4" s="38"/>
      <c r="K4" s="38"/>
      <c r="L4" s="63"/>
      <c r="M4" s="63"/>
    </row>
    <row r="5" spans="1:13" ht="15.6">
      <c r="A5" s="27" t="str">
        <v>Otay Mesa</v>
      </c>
      <c r="B5" s="28" t="str">
        <v>CA</v>
      </c>
      <c r="C5" s="71">
        <v>39.700000000000003</v>
      </c>
      <c r="D5" s="15">
        <v>0</v>
      </c>
      <c r="E5" s="15">
        <f t="shared" ref="E5:E68" si="0">IF(AND(ISNUMBER(C5),ISNUMBER(D5)), C5-D5, "")</f>
        <v>39.700000000000003</v>
      </c>
      <c r="F5" s="16" t="str">
        <f>IFERROR(E5/D5, "")</f>
        <v/>
      </c>
      <c r="G5" s="17">
        <v>0</v>
      </c>
      <c r="H5" s="17">
        <f t="shared" ref="H5:H68" si="1">IF(AND(ISNUMBER(C5),ISNUMBER(G5)), C5-G5, "")</f>
        <v>39.700000000000003</v>
      </c>
      <c r="I5" s="16" t="str">
        <f t="shared" ref="I5:I68" si="2">IFERROR(H5/G5, "")</f>
        <v/>
      </c>
      <c r="J5" s="39" t="s">
        <v>51</v>
      </c>
      <c r="K5" s="39"/>
      <c r="L5" s="63"/>
      <c r="M5" s="63"/>
    </row>
    <row r="6" spans="1:13" ht="149.25" customHeight="1">
      <c r="A6" s="25" t="str">
        <v>San Leandro</v>
      </c>
      <c r="B6" s="26" t="str">
        <v>CA</v>
      </c>
      <c r="C6" s="21">
        <v>38680.5</v>
      </c>
      <c r="D6" s="11">
        <v>42926.35</v>
      </c>
      <c r="E6" s="11">
        <f t="shared" si="0"/>
        <v>-4245.8499999999985</v>
      </c>
      <c r="F6" s="12">
        <f t="shared" ref="F6:F69" si="3">IFERROR(E6/D6, "")</f>
        <v>-9.891010999071663E-2</v>
      </c>
      <c r="G6" s="13">
        <v>37122.589999999997</v>
      </c>
      <c r="H6" s="13">
        <f t="shared" si="1"/>
        <v>1557.9100000000035</v>
      </c>
      <c r="I6" s="14">
        <f t="shared" si="2"/>
        <v>4.1966630022312656E-2</v>
      </c>
      <c r="J6" s="38" t="s">
        <v>98</v>
      </c>
      <c r="K6" s="77" t="s">
        <v>99</v>
      </c>
      <c r="L6" s="85" t="s">
        <v>76</v>
      </c>
      <c r="M6" s="63"/>
    </row>
    <row r="7" spans="1:13" ht="28.9">
      <c r="A7" s="27" t="str">
        <v>Van Nuys</v>
      </c>
      <c r="B7" s="28" t="str">
        <v>CA</v>
      </c>
      <c r="C7" s="10">
        <v>1659.7</v>
      </c>
      <c r="D7" s="15">
        <v>0</v>
      </c>
      <c r="E7" s="15">
        <f t="shared" si="0"/>
        <v>1659.7</v>
      </c>
      <c r="F7" s="16" t="str">
        <f t="shared" si="3"/>
        <v/>
      </c>
      <c r="G7" s="17">
        <v>2116.1410000000001</v>
      </c>
      <c r="H7" s="17">
        <f t="shared" si="1"/>
        <v>-456.44100000000003</v>
      </c>
      <c r="I7" s="16">
        <f t="shared" si="2"/>
        <v>-0.2156949844079388</v>
      </c>
      <c r="J7" s="49" t="s">
        <v>100</v>
      </c>
      <c r="K7" s="39"/>
      <c r="L7" s="63"/>
      <c r="M7" s="63"/>
    </row>
    <row r="8" spans="1:13" ht="15.6">
      <c r="A8" s="25" t="str">
        <v>Lodi - Lodi Vineyard</v>
      </c>
      <c r="B8" s="26" t="str">
        <v>CA</v>
      </c>
      <c r="C8" s="21">
        <v>35356</v>
      </c>
      <c r="D8" s="11">
        <v>38013</v>
      </c>
      <c r="E8" s="11">
        <f t="shared" si="0"/>
        <v>-2657</v>
      </c>
      <c r="F8" s="12">
        <v>-7.0000000000000007E-2</v>
      </c>
      <c r="G8" s="13">
        <v>32370</v>
      </c>
      <c r="H8" s="13">
        <f t="shared" si="1"/>
        <v>2986</v>
      </c>
      <c r="I8" s="14">
        <v>0.09</v>
      </c>
      <c r="J8" s="38"/>
      <c r="K8" s="38"/>
      <c r="L8" s="63"/>
      <c r="M8" s="63"/>
    </row>
    <row r="9" spans="1:13" ht="15.6">
      <c r="A9" s="27" t="str">
        <v>Arden Fair Mall</v>
      </c>
      <c r="B9" s="28" t="str">
        <v>CA</v>
      </c>
      <c r="C9" s="10">
        <v>16843</v>
      </c>
      <c r="D9" s="15">
        <v>17634</v>
      </c>
      <c r="E9" s="15">
        <f t="shared" si="0"/>
        <v>-791</v>
      </c>
      <c r="F9" s="16">
        <v>-0.04</v>
      </c>
      <c r="G9" s="17">
        <v>19350</v>
      </c>
      <c r="H9" s="17">
        <f t="shared" si="1"/>
        <v>-2507</v>
      </c>
      <c r="I9" s="16">
        <v>-0.13</v>
      </c>
      <c r="J9" s="39" t="s">
        <v>101</v>
      </c>
      <c r="K9" s="39" t="s">
        <v>102</v>
      </c>
      <c r="L9" s="63"/>
      <c r="M9" s="63"/>
    </row>
    <row r="10" spans="1:13" ht="28.9">
      <c r="A10" s="25" t="str">
        <v>Modesto - Modesto Main</v>
      </c>
      <c r="B10" s="26" t="str">
        <v>CA</v>
      </c>
      <c r="C10" s="21">
        <v>13610</v>
      </c>
      <c r="D10" s="11">
        <v>15389</v>
      </c>
      <c r="E10" s="11">
        <f t="shared" si="0"/>
        <v>-1779</v>
      </c>
      <c r="F10" s="12">
        <v>-0.12</v>
      </c>
      <c r="G10" s="13">
        <v>18601</v>
      </c>
      <c r="H10" s="13">
        <f t="shared" si="1"/>
        <v>-4991</v>
      </c>
      <c r="I10" s="14">
        <v>-0.27</v>
      </c>
      <c r="J10" s="38" t="s">
        <v>103</v>
      </c>
      <c r="K10" s="38" t="s">
        <v>104</v>
      </c>
      <c r="L10" s="63"/>
      <c r="M10" s="63"/>
    </row>
    <row r="11" spans="1:13" ht="15.6">
      <c r="A11" s="27" t="str">
        <v>Stevens Creek</v>
      </c>
      <c r="B11" s="28" t="str">
        <v>CA</v>
      </c>
      <c r="C11" s="10">
        <v>4575</v>
      </c>
      <c r="D11" s="15">
        <v>4275</v>
      </c>
      <c r="E11" s="15">
        <f t="shared" si="0"/>
        <v>300</v>
      </c>
      <c r="F11" s="16">
        <v>7.0000000000000007E-2</v>
      </c>
      <c r="G11" s="17">
        <v>4937</v>
      </c>
      <c r="H11" s="17">
        <f t="shared" si="1"/>
        <v>-362</v>
      </c>
      <c r="I11" s="16">
        <v>-7.0000000000000007E-2</v>
      </c>
      <c r="J11" s="39"/>
      <c r="K11" s="39"/>
      <c r="L11" s="63"/>
      <c r="M11" s="63"/>
    </row>
    <row r="12" spans="1:13" ht="15.6">
      <c r="A12" s="25" t="str">
        <v>Covina Main</v>
      </c>
      <c r="B12" s="26" t="str">
        <v>CA</v>
      </c>
      <c r="C12" s="21">
        <v>3456</v>
      </c>
      <c r="D12" s="11">
        <v>2874</v>
      </c>
      <c r="E12" s="11">
        <f t="shared" si="0"/>
        <v>582</v>
      </c>
      <c r="F12" s="12">
        <v>0.2</v>
      </c>
      <c r="G12" s="13">
        <v>3109</v>
      </c>
      <c r="H12" s="13">
        <f t="shared" si="1"/>
        <v>347</v>
      </c>
      <c r="I12" s="14">
        <v>0.11</v>
      </c>
      <c r="J12" s="38"/>
      <c r="K12" s="38"/>
      <c r="L12" s="63"/>
      <c r="M12" s="63"/>
    </row>
    <row r="13" spans="1:13" ht="15.6">
      <c r="A13" s="27" t="str">
        <v>Old Ranch Town Center</v>
      </c>
      <c r="B13" s="28" t="str">
        <v>CA</v>
      </c>
      <c r="C13" s="10">
        <v>1246</v>
      </c>
      <c r="D13" s="15">
        <v>0</v>
      </c>
      <c r="E13" s="15">
        <f t="shared" si="0"/>
        <v>1246</v>
      </c>
      <c r="F13" s="16"/>
      <c r="G13" s="17">
        <v>1294</v>
      </c>
      <c r="H13" s="17">
        <f t="shared" si="1"/>
        <v>-48</v>
      </c>
      <c r="I13" s="16">
        <v>-0.04</v>
      </c>
      <c r="J13" s="39"/>
      <c r="K13" s="39"/>
      <c r="L13" s="63"/>
      <c r="M13" s="63"/>
    </row>
    <row r="14" spans="1:13" ht="43.15">
      <c r="A14" s="25" t="str">
        <v>Mountain Gate Plaza</v>
      </c>
      <c r="B14" s="26" t="str">
        <v>CA</v>
      </c>
      <c r="C14" s="21">
        <v>8125</v>
      </c>
      <c r="D14" s="11">
        <v>0</v>
      </c>
      <c r="E14" s="11">
        <f t="shared" si="0"/>
        <v>8125</v>
      </c>
      <c r="F14" s="12"/>
      <c r="G14" s="13">
        <v>9526</v>
      </c>
      <c r="H14" s="13">
        <f t="shared" si="1"/>
        <v>-1401</v>
      </c>
      <c r="I14" s="14">
        <v>-0.15</v>
      </c>
      <c r="J14" s="38" t="s">
        <v>105</v>
      </c>
      <c r="K14" s="38"/>
      <c r="L14" s="63"/>
      <c r="M14" s="63"/>
    </row>
    <row r="15" spans="1:13" ht="43.15">
      <c r="A15" s="27" t="str">
        <v>Arcadia Main</v>
      </c>
      <c r="B15" s="28" t="str">
        <v>CA</v>
      </c>
      <c r="C15" s="10">
        <v>3900</v>
      </c>
      <c r="D15" s="15">
        <v>0</v>
      </c>
      <c r="E15" s="15">
        <f t="shared" si="0"/>
        <v>3900</v>
      </c>
      <c r="F15" s="16"/>
      <c r="G15" s="17">
        <v>4681</v>
      </c>
      <c r="H15" s="17">
        <f t="shared" si="1"/>
        <v>-781</v>
      </c>
      <c r="I15" s="16">
        <v>-0.17</v>
      </c>
      <c r="J15" s="39" t="s">
        <v>105</v>
      </c>
      <c r="K15" s="39"/>
      <c r="L15" s="63"/>
      <c r="M15" s="63"/>
    </row>
    <row r="16" spans="1:13" ht="15.6">
      <c r="A16" s="25" t="str">
        <v>Fairfield</v>
      </c>
      <c r="B16" s="26" t="str">
        <v>CA</v>
      </c>
      <c r="C16" s="21">
        <v>3354</v>
      </c>
      <c r="D16" s="11">
        <v>3360</v>
      </c>
      <c r="E16" s="11">
        <f t="shared" si="0"/>
        <v>-6</v>
      </c>
      <c r="F16" s="12">
        <v>0</v>
      </c>
      <c r="G16" s="13">
        <v>3588</v>
      </c>
      <c r="H16" s="13">
        <f t="shared" si="1"/>
        <v>-234</v>
      </c>
      <c r="I16" s="14">
        <v>-7.0000000000000007E-2</v>
      </c>
      <c r="J16" s="38"/>
      <c r="K16" s="38"/>
      <c r="L16" s="63"/>
      <c r="M16" s="63"/>
    </row>
    <row r="17" spans="1:13" ht="15.6">
      <c r="A17" s="27" t="str">
        <v>Los Gatos</v>
      </c>
      <c r="B17" s="28" t="str">
        <v>CA</v>
      </c>
      <c r="C17" s="10">
        <v>1728</v>
      </c>
      <c r="D17" s="15">
        <v>1681</v>
      </c>
      <c r="E17" s="15">
        <f t="shared" si="0"/>
        <v>47</v>
      </c>
      <c r="F17" s="16">
        <v>0.03</v>
      </c>
      <c r="G17" s="17">
        <v>0</v>
      </c>
      <c r="H17" s="17">
        <f t="shared" si="1"/>
        <v>1728</v>
      </c>
      <c r="I17" s="16"/>
      <c r="J17" s="39"/>
      <c r="K17" s="53"/>
      <c r="L17" s="63"/>
      <c r="M17" s="63"/>
    </row>
    <row r="18" spans="1:13" ht="36.75" customHeight="1">
      <c r="A18" s="25" t="str">
        <v>San Marino</v>
      </c>
      <c r="B18" s="26" t="str">
        <v>CA</v>
      </c>
      <c r="C18" s="57">
        <v>2913</v>
      </c>
      <c r="D18" s="11">
        <v>3623</v>
      </c>
      <c r="E18" s="11">
        <f t="shared" si="0"/>
        <v>-710</v>
      </c>
      <c r="F18" s="12">
        <v>-0.2</v>
      </c>
      <c r="G18" s="13">
        <v>4867</v>
      </c>
      <c r="H18" s="13">
        <f t="shared" si="1"/>
        <v>-1954</v>
      </c>
      <c r="I18" s="14">
        <v>-0.4</v>
      </c>
      <c r="J18" s="38" t="s">
        <v>106</v>
      </c>
      <c r="K18" s="38"/>
      <c r="L18" s="63"/>
      <c r="M18" s="63"/>
    </row>
    <row r="19" spans="1:13" ht="28.9">
      <c r="A19" s="27" t="str">
        <v>Buenaventura</v>
      </c>
      <c r="B19" s="28" t="str">
        <v>CA</v>
      </c>
      <c r="C19" s="10">
        <v>4848</v>
      </c>
      <c r="D19" s="15">
        <v>3442</v>
      </c>
      <c r="E19" s="15">
        <f t="shared" si="0"/>
        <v>1406</v>
      </c>
      <c r="F19" s="16">
        <v>0.41</v>
      </c>
      <c r="G19" s="17">
        <v>5544</v>
      </c>
      <c r="H19" s="17">
        <f t="shared" si="1"/>
        <v>-696</v>
      </c>
      <c r="I19" s="16">
        <v>-0.13</v>
      </c>
      <c r="J19" s="39" t="s">
        <v>107</v>
      </c>
      <c r="K19" s="80"/>
      <c r="L19" s="85"/>
      <c r="M19" s="63"/>
    </row>
    <row r="20" spans="1:13" ht="28.9">
      <c r="A20" s="25" t="str">
        <v>BE 199502 - Westgate</v>
      </c>
      <c r="B20" s="26" t="str">
        <v>CA</v>
      </c>
      <c r="C20" s="21">
        <v>1722</v>
      </c>
      <c r="D20" s="11">
        <v>0</v>
      </c>
      <c r="E20" s="11">
        <f t="shared" si="0"/>
        <v>1722</v>
      </c>
      <c r="F20" s="12"/>
      <c r="G20" s="13">
        <v>0</v>
      </c>
      <c r="H20" s="13">
        <f t="shared" si="1"/>
        <v>1722</v>
      </c>
      <c r="I20" s="14"/>
      <c r="J20" s="38" t="s">
        <v>108</v>
      </c>
      <c r="K20" s="77" t="s">
        <v>109</v>
      </c>
      <c r="L20" s="63"/>
      <c r="M20" s="63"/>
    </row>
    <row r="21" spans="1:13" ht="43.15">
      <c r="A21" s="27" t="str">
        <v>98th &amp; Grant</v>
      </c>
      <c r="B21" s="28" t="str">
        <v>CO</v>
      </c>
      <c r="C21" s="10">
        <v>1113</v>
      </c>
      <c r="D21" s="15">
        <v>0</v>
      </c>
      <c r="E21" s="15">
        <f t="shared" si="0"/>
        <v>1113</v>
      </c>
      <c r="F21" s="16" t="str">
        <f t="shared" si="3"/>
        <v/>
      </c>
      <c r="G21" s="17">
        <v>1984</v>
      </c>
      <c r="H21" s="17">
        <f t="shared" si="1"/>
        <v>-871</v>
      </c>
      <c r="I21" s="16">
        <f t="shared" si="2"/>
        <v>-0.43901209677419356</v>
      </c>
      <c r="J21" s="39" t="s">
        <v>110</v>
      </c>
      <c r="K21" s="39"/>
      <c r="L21" s="63"/>
      <c r="M21" s="63"/>
    </row>
    <row r="22" spans="1:13" ht="43.15">
      <c r="A22" s="25" t="str">
        <v>Arapahoe Crossings</v>
      </c>
      <c r="B22" s="26" t="str">
        <v>CO</v>
      </c>
      <c r="C22" s="21">
        <v>2757</v>
      </c>
      <c r="D22" s="11">
        <v>0</v>
      </c>
      <c r="E22" s="11">
        <f t="shared" si="0"/>
        <v>2757</v>
      </c>
      <c r="F22" s="12" t="str">
        <f t="shared" si="3"/>
        <v/>
      </c>
      <c r="G22" s="13">
        <v>3647</v>
      </c>
      <c r="H22" s="13">
        <f t="shared" si="1"/>
        <v>-890</v>
      </c>
      <c r="I22" s="14">
        <f t="shared" si="2"/>
        <v>-0.24403619413216343</v>
      </c>
      <c r="J22" s="38" t="s">
        <v>110</v>
      </c>
      <c r="K22" s="38"/>
      <c r="L22" s="63"/>
      <c r="M22" s="63"/>
    </row>
    <row r="23" spans="1:13" ht="15.6">
      <c r="A23" s="27" t="str">
        <v>Aurora City Center</v>
      </c>
      <c r="B23" s="28" t="str">
        <v>CO</v>
      </c>
      <c r="C23" s="10">
        <v>1941</v>
      </c>
      <c r="D23" s="15">
        <v>0</v>
      </c>
      <c r="E23" s="15">
        <f t="shared" si="0"/>
        <v>1941</v>
      </c>
      <c r="F23" s="16" t="str">
        <f t="shared" si="3"/>
        <v/>
      </c>
      <c r="G23" s="17">
        <v>1727</v>
      </c>
      <c r="H23" s="17">
        <f t="shared" si="1"/>
        <v>214</v>
      </c>
      <c r="I23" s="16">
        <f t="shared" si="2"/>
        <v>0.1239143022582513</v>
      </c>
      <c r="J23" s="39"/>
      <c r="K23" s="39"/>
      <c r="L23" s="63"/>
      <c r="M23" s="63"/>
    </row>
    <row r="24" spans="1:13" ht="15.6">
      <c r="A24" s="25" t="str">
        <v>Dry Creek</v>
      </c>
      <c r="B24" s="26" t="str">
        <v>CO</v>
      </c>
      <c r="C24" s="21">
        <v>2338</v>
      </c>
      <c r="D24" s="11">
        <v>0</v>
      </c>
      <c r="E24" s="11">
        <f t="shared" si="0"/>
        <v>2338</v>
      </c>
      <c r="F24" s="12" t="str">
        <f t="shared" si="3"/>
        <v/>
      </c>
      <c r="G24" s="13">
        <v>2153</v>
      </c>
      <c r="H24" s="13">
        <f t="shared" si="1"/>
        <v>185</v>
      </c>
      <c r="I24" s="14">
        <f t="shared" si="2"/>
        <v>8.5926614026939158E-2</v>
      </c>
      <c r="J24" s="38"/>
      <c r="K24" s="38"/>
      <c r="L24" s="63"/>
      <c r="M24" s="63"/>
    </row>
    <row r="25" spans="1:13" ht="15.6">
      <c r="A25" s="27" t="str">
        <v>Highlands Ranch S.</v>
      </c>
      <c r="B25" s="28" t="str">
        <v>CO</v>
      </c>
      <c r="C25" s="10">
        <v>1852</v>
      </c>
      <c r="D25" s="15">
        <v>0</v>
      </c>
      <c r="E25" s="15">
        <f t="shared" si="0"/>
        <v>1852</v>
      </c>
      <c r="F25" s="16" t="str">
        <f t="shared" si="3"/>
        <v/>
      </c>
      <c r="G25" s="17">
        <v>2006</v>
      </c>
      <c r="H25" s="17">
        <f t="shared" si="1"/>
        <v>-154</v>
      </c>
      <c r="I25" s="16">
        <f t="shared" si="2"/>
        <v>-7.6769690927218345E-2</v>
      </c>
      <c r="J25" s="39"/>
      <c r="K25" s="54"/>
      <c r="L25" s="63"/>
      <c r="M25" s="63"/>
    </row>
    <row r="26" spans="1:13" ht="43.15">
      <c r="A26" s="25" t="str">
        <v>Lone Tree</v>
      </c>
      <c r="B26" s="26" t="str">
        <v>CO</v>
      </c>
      <c r="C26" s="21">
        <v>2868</v>
      </c>
      <c r="D26" s="11">
        <v>0</v>
      </c>
      <c r="E26" s="11">
        <f t="shared" si="0"/>
        <v>2868</v>
      </c>
      <c r="F26" s="12" t="str">
        <f t="shared" si="3"/>
        <v/>
      </c>
      <c r="G26" s="13">
        <v>4580</v>
      </c>
      <c r="H26" s="13">
        <f t="shared" si="1"/>
        <v>-1712</v>
      </c>
      <c r="I26" s="14">
        <f t="shared" si="2"/>
        <v>-0.3737991266375546</v>
      </c>
      <c r="J26" s="38" t="s">
        <v>110</v>
      </c>
      <c r="K26" s="38"/>
      <c r="L26" s="63"/>
      <c r="M26" s="63"/>
    </row>
    <row r="27" spans="1:13" ht="15.6">
      <c r="A27" s="27" t="str">
        <v>Meridian</v>
      </c>
      <c r="B27" s="28" t="str">
        <v>CO</v>
      </c>
      <c r="C27" s="10">
        <v>2937</v>
      </c>
      <c r="D27" s="15">
        <v>0</v>
      </c>
      <c r="E27" s="15">
        <f t="shared" si="0"/>
        <v>2937</v>
      </c>
      <c r="F27" s="16" t="str">
        <f t="shared" si="3"/>
        <v/>
      </c>
      <c r="G27" s="17">
        <v>2667</v>
      </c>
      <c r="H27" s="17">
        <f t="shared" si="1"/>
        <v>270</v>
      </c>
      <c r="I27" s="16">
        <f t="shared" si="2"/>
        <v>0.10123734533183353</v>
      </c>
      <c r="J27" s="39"/>
      <c r="K27" s="39"/>
      <c r="L27" s="63"/>
      <c r="M27" s="63"/>
    </row>
    <row r="28" spans="1:13" ht="15.6">
      <c r="A28" s="25" t="str">
        <v>Southglenn</v>
      </c>
      <c r="B28" s="26" t="str">
        <v>CO</v>
      </c>
      <c r="C28" s="21">
        <v>3092</v>
      </c>
      <c r="D28" s="11">
        <v>0</v>
      </c>
      <c r="E28" s="11">
        <f t="shared" si="0"/>
        <v>3092</v>
      </c>
      <c r="F28" s="12" t="str">
        <f t="shared" si="3"/>
        <v/>
      </c>
      <c r="G28" s="13">
        <v>2762</v>
      </c>
      <c r="H28" s="13">
        <f t="shared" si="1"/>
        <v>330</v>
      </c>
      <c r="I28" s="14">
        <f t="shared" si="2"/>
        <v>0.11947863866763216</v>
      </c>
      <c r="J28" s="38"/>
      <c r="K28" s="38"/>
      <c r="L28" s="63"/>
      <c r="M28" s="63"/>
    </row>
    <row r="29" spans="1:13" ht="43.15">
      <c r="A29" s="27" t="str">
        <v>Standley Lake</v>
      </c>
      <c r="B29" s="28" t="str">
        <v>CO</v>
      </c>
      <c r="C29" s="10">
        <v>3175</v>
      </c>
      <c r="D29" s="15">
        <v>0</v>
      </c>
      <c r="E29" s="15">
        <f t="shared" si="0"/>
        <v>3175</v>
      </c>
      <c r="F29" s="16" t="str">
        <f t="shared" si="3"/>
        <v/>
      </c>
      <c r="G29" s="17">
        <v>3683</v>
      </c>
      <c r="H29" s="17">
        <f t="shared" si="1"/>
        <v>-508</v>
      </c>
      <c r="I29" s="16">
        <f t="shared" si="2"/>
        <v>-0.13793103448275862</v>
      </c>
      <c r="J29" s="39" t="s">
        <v>110</v>
      </c>
      <c r="K29" s="39"/>
      <c r="L29" s="63"/>
      <c r="M29" s="63"/>
    </row>
    <row r="30" spans="1:13" ht="15.6">
      <c r="A30" s="25" t="str">
        <v>Havana Gardens</v>
      </c>
      <c r="B30" s="26" t="str">
        <v>CO</v>
      </c>
      <c r="C30" s="21">
        <v>3554</v>
      </c>
      <c r="D30" s="11">
        <v>0</v>
      </c>
      <c r="E30" s="11">
        <f t="shared" si="0"/>
        <v>3554</v>
      </c>
      <c r="F30" s="12" t="str">
        <f t="shared" si="3"/>
        <v/>
      </c>
      <c r="G30" s="13">
        <v>1436</v>
      </c>
      <c r="H30" s="13">
        <f t="shared" si="1"/>
        <v>2118</v>
      </c>
      <c r="I30" s="14">
        <f t="shared" si="2"/>
        <v>1.4749303621169916</v>
      </c>
      <c r="J30" s="38"/>
      <c r="K30" s="38"/>
      <c r="L30" s="63"/>
      <c r="M30" s="63"/>
    </row>
    <row r="31" spans="1:13" ht="28.9">
      <c r="A31" s="27" t="str">
        <v>East Hartford</v>
      </c>
      <c r="B31" s="28" t="str">
        <v>CT</v>
      </c>
      <c r="C31" s="10">
        <v>615</v>
      </c>
      <c r="D31" s="15">
        <v>1498</v>
      </c>
      <c r="E31" s="15">
        <f t="shared" si="0"/>
        <v>-883</v>
      </c>
      <c r="F31" s="16">
        <v>-0.59</v>
      </c>
      <c r="G31" s="17">
        <v>596</v>
      </c>
      <c r="H31" s="17">
        <f t="shared" si="1"/>
        <v>19</v>
      </c>
      <c r="I31" s="16">
        <v>0.03</v>
      </c>
      <c r="J31" s="39" t="s">
        <v>111</v>
      </c>
      <c r="K31" s="39"/>
      <c r="L31" s="63"/>
      <c r="M31" s="63"/>
    </row>
    <row r="32" spans="1:13" ht="86.45">
      <c r="A32" s="25" t="str">
        <v>Norwalk</v>
      </c>
      <c r="B32" s="26" t="str">
        <v>CT</v>
      </c>
      <c r="C32" s="21">
        <v>654</v>
      </c>
      <c r="D32" s="11">
        <v>261</v>
      </c>
      <c r="E32" s="11">
        <f t="shared" si="0"/>
        <v>393</v>
      </c>
      <c r="F32" s="12">
        <v>1.5</v>
      </c>
      <c r="G32" s="13">
        <v>730</v>
      </c>
      <c r="H32" s="13">
        <f t="shared" si="1"/>
        <v>-76</v>
      </c>
      <c r="I32" s="14">
        <v>-0.1</v>
      </c>
      <c r="J32" s="38" t="s">
        <v>112</v>
      </c>
      <c r="K32" s="38" t="s">
        <v>113</v>
      </c>
      <c r="L32" s="63"/>
      <c r="M32" s="63"/>
    </row>
    <row r="33" spans="1:13" ht="15.6">
      <c r="A33" s="27" t="str">
        <v>Hialeah Gardens</v>
      </c>
      <c r="B33" s="28" t="str">
        <v>FL</v>
      </c>
      <c r="C33" s="10">
        <v>1855</v>
      </c>
      <c r="D33" s="15">
        <v>4172</v>
      </c>
      <c r="E33" s="15">
        <f t="shared" si="0"/>
        <v>-2317</v>
      </c>
      <c r="F33" s="16">
        <v>-0.56000000000000005</v>
      </c>
      <c r="G33" s="17">
        <v>5039</v>
      </c>
      <c r="H33" s="17">
        <f t="shared" si="1"/>
        <v>-3184</v>
      </c>
      <c r="I33" s="16">
        <v>-0.63</v>
      </c>
      <c r="J33" s="39" t="s">
        <v>114</v>
      </c>
      <c r="K33" s="39" t="s">
        <v>109</v>
      </c>
      <c r="L33" s="63"/>
      <c r="M33" s="63"/>
    </row>
    <row r="34" spans="1:13" ht="15.6">
      <c r="A34" s="25" t="str">
        <v>W. Des Moines Campus EAST</v>
      </c>
      <c r="B34" s="26" t="str">
        <v>IA</v>
      </c>
      <c r="C34" s="21">
        <v>178354</v>
      </c>
      <c r="D34" s="11">
        <v>177208</v>
      </c>
      <c r="E34" s="11">
        <f t="shared" si="0"/>
        <v>1146</v>
      </c>
      <c r="F34" s="12">
        <v>0.01</v>
      </c>
      <c r="G34" s="13">
        <v>159000</v>
      </c>
      <c r="H34" s="13">
        <f t="shared" si="1"/>
        <v>19354</v>
      </c>
      <c r="I34" s="14">
        <v>0.12</v>
      </c>
      <c r="J34" s="38"/>
      <c r="K34" s="38"/>
      <c r="L34" s="63"/>
      <c r="M34" s="63"/>
    </row>
    <row r="35" spans="1:13" ht="15.6">
      <c r="A35" s="27" t="str">
        <v>W. Des Moines Campus SW</v>
      </c>
      <c r="B35" s="28" t="str">
        <v>IA</v>
      </c>
      <c r="C35" s="10">
        <v>88417</v>
      </c>
      <c r="D35" s="15">
        <v>92338</v>
      </c>
      <c r="E35" s="15">
        <f t="shared" si="0"/>
        <v>-3921</v>
      </c>
      <c r="F35" s="16">
        <v>-0.04</v>
      </c>
      <c r="G35" s="17">
        <v>78636</v>
      </c>
      <c r="H35" s="17">
        <f t="shared" si="1"/>
        <v>9781</v>
      </c>
      <c r="I35" s="16">
        <v>0.12</v>
      </c>
      <c r="J35" s="39"/>
      <c r="K35" s="39"/>
      <c r="L35" s="63"/>
      <c r="M35" s="63"/>
    </row>
    <row r="36" spans="1:13" ht="15.6">
      <c r="A36" s="25" t="str">
        <v>WF - CIC</v>
      </c>
      <c r="B36" s="26" t="str">
        <v>NC</v>
      </c>
      <c r="C36" s="21">
        <v>178134</v>
      </c>
      <c r="D36" s="11">
        <v>175836</v>
      </c>
      <c r="E36" s="11">
        <f t="shared" si="0"/>
        <v>2298</v>
      </c>
      <c r="F36" s="12">
        <v>0.01</v>
      </c>
      <c r="G36" s="13">
        <v>171329</v>
      </c>
      <c r="H36" s="13">
        <f t="shared" si="1"/>
        <v>6805</v>
      </c>
      <c r="I36" s="14">
        <v>0.04</v>
      </c>
      <c r="J36" s="38"/>
      <c r="K36" s="38"/>
      <c r="L36" s="63"/>
      <c r="M36" s="63"/>
    </row>
    <row r="37" spans="1:13" ht="15.6">
      <c r="A37" s="27" t="str">
        <v>Charlotte - Wells Fargo - DUC</v>
      </c>
      <c r="B37" s="28" t="str">
        <v>NC</v>
      </c>
      <c r="C37" s="10">
        <v>173904</v>
      </c>
      <c r="D37" s="15">
        <v>188174</v>
      </c>
      <c r="E37" s="15">
        <f t="shared" si="0"/>
        <v>-14270</v>
      </c>
      <c r="F37" s="16">
        <v>-0.08</v>
      </c>
      <c r="G37" s="17">
        <v>164590</v>
      </c>
      <c r="H37" s="17">
        <f t="shared" si="1"/>
        <v>9314</v>
      </c>
      <c r="I37" s="16">
        <v>0.06</v>
      </c>
      <c r="J37" s="39"/>
      <c r="K37" s="39"/>
      <c r="L37" s="63"/>
      <c r="M37" s="63"/>
    </row>
    <row r="38" spans="1:13" ht="15.6">
      <c r="A38" s="25" t="str">
        <v>East Windsor</v>
      </c>
      <c r="B38" s="26" t="str">
        <v>NJ</v>
      </c>
      <c r="C38" s="21">
        <v>940</v>
      </c>
      <c r="D38" s="11">
        <v>940</v>
      </c>
      <c r="E38" s="11">
        <f t="shared" si="0"/>
        <v>0</v>
      </c>
      <c r="F38" s="12">
        <f t="shared" si="3"/>
        <v>0</v>
      </c>
      <c r="G38" s="13">
        <v>754</v>
      </c>
      <c r="H38" s="13">
        <f t="shared" si="1"/>
        <v>186</v>
      </c>
      <c r="I38" s="14">
        <f t="shared" si="2"/>
        <v>0.24668435013262599</v>
      </c>
      <c r="J38" s="38"/>
      <c r="K38" s="38"/>
      <c r="L38" s="63"/>
      <c r="M38" s="63"/>
    </row>
    <row r="39" spans="1:13" ht="15.6">
      <c r="A39" s="27" t="str">
        <v>Burlington</v>
      </c>
      <c r="B39" s="28" t="str">
        <v>NJ</v>
      </c>
      <c r="C39" s="10">
        <v>2515</v>
      </c>
      <c r="D39" s="15">
        <v>2272</v>
      </c>
      <c r="E39" s="15">
        <f t="shared" si="0"/>
        <v>243</v>
      </c>
      <c r="F39" s="16">
        <f t="shared" si="3"/>
        <v>0.10695422535211267</v>
      </c>
      <c r="G39" s="17">
        <v>1965</v>
      </c>
      <c r="H39" s="17">
        <f t="shared" si="1"/>
        <v>550</v>
      </c>
      <c r="I39" s="16">
        <f t="shared" si="2"/>
        <v>0.27989821882951654</v>
      </c>
      <c r="J39" s="39"/>
      <c r="K39" s="39"/>
      <c r="L39" s="63"/>
      <c r="M39" s="63"/>
    </row>
    <row r="40" spans="1:13" ht="15.6">
      <c r="A40" s="25" t="str">
        <v>Bayonne</v>
      </c>
      <c r="B40" s="26" t="str">
        <v>NJ</v>
      </c>
      <c r="C40" s="21">
        <v>3042</v>
      </c>
      <c r="D40" s="11">
        <v>2939</v>
      </c>
      <c r="E40" s="11">
        <f t="shared" si="0"/>
        <v>103</v>
      </c>
      <c r="F40" s="12">
        <f t="shared" si="3"/>
        <v>3.5045933991153452E-2</v>
      </c>
      <c r="G40" s="13">
        <v>3069</v>
      </c>
      <c r="H40" s="13">
        <f t="shared" si="1"/>
        <v>-27</v>
      </c>
      <c r="I40" s="14">
        <f t="shared" si="2"/>
        <v>-8.7976539589442824E-3</v>
      </c>
      <c r="J40" s="38"/>
      <c r="K40" s="38"/>
      <c r="L40" s="63"/>
      <c r="M40" s="63"/>
    </row>
    <row r="41" spans="1:13" ht="15.6">
      <c r="A41" s="27" t="str">
        <v>Clifton</v>
      </c>
      <c r="B41" s="28" t="str">
        <v>NJ</v>
      </c>
      <c r="C41" s="10">
        <v>3722</v>
      </c>
      <c r="D41" s="15">
        <v>3688</v>
      </c>
      <c r="E41" s="15">
        <f t="shared" si="0"/>
        <v>34</v>
      </c>
      <c r="F41" s="16">
        <f t="shared" si="3"/>
        <v>9.2190889370932748E-3</v>
      </c>
      <c r="G41" s="17">
        <v>3861</v>
      </c>
      <c r="H41" s="17">
        <f t="shared" si="1"/>
        <v>-139</v>
      </c>
      <c r="I41" s="16">
        <f t="shared" si="2"/>
        <v>-3.6001036001035998E-2</v>
      </c>
      <c r="J41" s="39"/>
      <c r="K41" s="39"/>
      <c r="L41" s="63"/>
      <c r="M41" s="63"/>
    </row>
    <row r="42" spans="1:13" ht="15.6">
      <c r="A42" s="25" t="str">
        <v>North Elizabeth</v>
      </c>
      <c r="B42" s="26" t="str">
        <v>NJ</v>
      </c>
      <c r="C42" s="21">
        <v>3124</v>
      </c>
      <c r="D42" s="11">
        <v>2304</v>
      </c>
      <c r="E42" s="11">
        <f t="shared" si="0"/>
        <v>820</v>
      </c>
      <c r="F42" s="12">
        <f t="shared" si="3"/>
        <v>0.35590277777777779</v>
      </c>
      <c r="G42" s="13">
        <v>2667</v>
      </c>
      <c r="H42" s="13">
        <f t="shared" si="1"/>
        <v>457</v>
      </c>
      <c r="I42" s="14">
        <f t="shared" si="2"/>
        <v>0.17135358080239971</v>
      </c>
      <c r="J42" s="38"/>
      <c r="K42" s="38"/>
      <c r="L42" s="63"/>
      <c r="M42" s="63"/>
    </row>
    <row r="43" spans="1:13" ht="15.6">
      <c r="A43" s="27" t="str">
        <v>Haddon Westmont Plaza</v>
      </c>
      <c r="B43" s="28" t="str">
        <v>NJ</v>
      </c>
      <c r="C43" s="10">
        <v>2327</v>
      </c>
      <c r="D43" s="15">
        <v>2206</v>
      </c>
      <c r="E43" s="15">
        <f t="shared" si="0"/>
        <v>121</v>
      </c>
      <c r="F43" s="16">
        <f t="shared" si="3"/>
        <v>5.4850407978241159E-2</v>
      </c>
      <c r="G43" s="17">
        <v>1892</v>
      </c>
      <c r="H43" s="17">
        <f t="shared" si="1"/>
        <v>435</v>
      </c>
      <c r="I43" s="16">
        <f t="shared" si="2"/>
        <v>0.22991543340380549</v>
      </c>
      <c r="J43" s="39"/>
      <c r="K43" s="39"/>
      <c r="L43" s="63"/>
      <c r="M43" s="63"/>
    </row>
    <row r="44" spans="1:13" ht="15.6">
      <c r="A44" s="25" t="str">
        <v>Parsippany</v>
      </c>
      <c r="B44" s="26" t="str">
        <v>NJ</v>
      </c>
      <c r="C44" s="21">
        <v>2753</v>
      </c>
      <c r="D44" s="11">
        <v>2605</v>
      </c>
      <c r="E44" s="11">
        <f t="shared" si="0"/>
        <v>148</v>
      </c>
      <c r="F44" s="12">
        <f t="shared" si="3"/>
        <v>5.6813819577735125E-2</v>
      </c>
      <c r="G44" s="13">
        <v>2192</v>
      </c>
      <c r="H44" s="13">
        <f t="shared" si="1"/>
        <v>561</v>
      </c>
      <c r="I44" s="14">
        <f t="shared" si="2"/>
        <v>0.25593065693430656</v>
      </c>
      <c r="J44" s="38"/>
      <c r="K44" s="38"/>
      <c r="L44" s="63"/>
      <c r="M44" s="63"/>
    </row>
    <row r="45" spans="1:13" ht="15.6">
      <c r="A45" s="27" t="str">
        <v>Clark</v>
      </c>
      <c r="B45" s="28" t="str">
        <v>NJ</v>
      </c>
      <c r="C45" s="10">
        <v>2315</v>
      </c>
      <c r="D45" s="15">
        <v>2107</v>
      </c>
      <c r="E45" s="15">
        <f t="shared" si="0"/>
        <v>208</v>
      </c>
      <c r="F45" s="16">
        <f t="shared" si="3"/>
        <v>9.8718557190317982E-2</v>
      </c>
      <c r="G45" s="17">
        <v>1834</v>
      </c>
      <c r="H45" s="17">
        <f t="shared" si="1"/>
        <v>481</v>
      </c>
      <c r="I45" s="16">
        <f t="shared" si="2"/>
        <v>0.26226826608505999</v>
      </c>
      <c r="J45" s="39"/>
      <c r="K45" s="39"/>
      <c r="L45" s="63"/>
      <c r="M45" s="63"/>
    </row>
    <row r="46" spans="1:13" ht="28.9">
      <c r="A46" s="25" t="str">
        <v>Closter</v>
      </c>
      <c r="B46" s="26" t="str">
        <v>NJ</v>
      </c>
      <c r="C46" s="21">
        <v>845</v>
      </c>
      <c r="D46" s="11">
        <v>818</v>
      </c>
      <c r="E46" s="11">
        <f t="shared" si="0"/>
        <v>27</v>
      </c>
      <c r="F46" s="12">
        <f t="shared" si="3"/>
        <v>3.3007334963325183E-2</v>
      </c>
      <c r="G46" s="13">
        <v>1036</v>
      </c>
      <c r="H46" s="13">
        <f t="shared" si="1"/>
        <v>-191</v>
      </c>
      <c r="I46" s="14">
        <f t="shared" si="2"/>
        <v>-0.18436293436293436</v>
      </c>
      <c r="J46" s="38" t="s">
        <v>100</v>
      </c>
      <c r="K46" s="38"/>
      <c r="L46" s="63"/>
      <c r="M46" s="63"/>
    </row>
    <row r="47" spans="1:13" ht="28.9">
      <c r="A47" s="27" t="str">
        <v>Holmdel</v>
      </c>
      <c r="B47" s="28" t="str">
        <v>NJ</v>
      </c>
      <c r="C47" s="10">
        <v>2025</v>
      </c>
      <c r="D47" s="15">
        <v>5443</v>
      </c>
      <c r="E47" s="15">
        <f t="shared" si="0"/>
        <v>-3418</v>
      </c>
      <c r="F47" s="16">
        <f t="shared" si="3"/>
        <v>-0.6279625206687488</v>
      </c>
      <c r="G47" s="17">
        <v>1588</v>
      </c>
      <c r="H47" s="17">
        <f t="shared" si="1"/>
        <v>437</v>
      </c>
      <c r="I47" s="16">
        <f t="shared" si="2"/>
        <v>0.27518891687657432</v>
      </c>
      <c r="J47" s="39" t="s">
        <v>115</v>
      </c>
      <c r="K47" s="39"/>
      <c r="L47" s="63"/>
      <c r="M47" s="63"/>
    </row>
    <row r="48" spans="1:13" ht="15.6">
      <c r="A48" s="25" t="str">
        <v>Ellisburg Circle Center</v>
      </c>
      <c r="B48" s="26" t="str">
        <v>NJ</v>
      </c>
      <c r="C48" s="21">
        <v>1051</v>
      </c>
      <c r="D48" s="11">
        <v>1015</v>
      </c>
      <c r="E48" s="11">
        <f t="shared" si="0"/>
        <v>36</v>
      </c>
      <c r="F48" s="12">
        <f t="shared" si="3"/>
        <v>3.5467980295566505E-2</v>
      </c>
      <c r="G48" s="13">
        <v>869</v>
      </c>
      <c r="H48" s="13">
        <f t="shared" si="1"/>
        <v>182</v>
      </c>
      <c r="I48" s="14">
        <f t="shared" si="2"/>
        <v>0.2094361334867664</v>
      </c>
      <c r="J48" s="38"/>
      <c r="K48" s="38"/>
      <c r="L48" s="63"/>
      <c r="M48" s="63"/>
    </row>
    <row r="49" spans="1:13" ht="15.6">
      <c r="A49" s="27" t="str">
        <v>Nutley</v>
      </c>
      <c r="B49" s="28" t="str">
        <v>NJ</v>
      </c>
      <c r="C49" s="10">
        <v>3197</v>
      </c>
      <c r="D49" s="15">
        <v>2931</v>
      </c>
      <c r="E49" s="15">
        <f t="shared" si="0"/>
        <v>266</v>
      </c>
      <c r="F49" s="16">
        <f t="shared" si="3"/>
        <v>9.0754008870692598E-2</v>
      </c>
      <c r="G49" s="17">
        <v>3119</v>
      </c>
      <c r="H49" s="17">
        <f t="shared" si="1"/>
        <v>78</v>
      </c>
      <c r="I49" s="16">
        <f t="shared" si="2"/>
        <v>2.5008015389547934E-2</v>
      </c>
      <c r="J49" s="39"/>
      <c r="K49" s="39"/>
      <c r="L49" s="63"/>
      <c r="M49" s="63"/>
    </row>
    <row r="50" spans="1:13" ht="15.6">
      <c r="A50" s="25" t="str">
        <v>Marlton</v>
      </c>
      <c r="B50" s="26" t="str">
        <v>NJ</v>
      </c>
      <c r="C50" s="21">
        <v>3884</v>
      </c>
      <c r="D50" s="11">
        <v>3145</v>
      </c>
      <c r="E50" s="11">
        <f t="shared" si="0"/>
        <v>739</v>
      </c>
      <c r="F50" s="12">
        <f t="shared" si="3"/>
        <v>0.23497615262321145</v>
      </c>
      <c r="G50" s="13">
        <v>3126</v>
      </c>
      <c r="H50" s="13">
        <f t="shared" si="1"/>
        <v>758</v>
      </c>
      <c r="I50" s="14">
        <f t="shared" si="2"/>
        <v>0.24248240563019835</v>
      </c>
      <c r="J50" s="38"/>
      <c r="K50" s="38"/>
      <c r="L50" s="63"/>
      <c r="M50" s="63"/>
    </row>
    <row r="51" spans="1:13" ht="15.6">
      <c r="A51" s="27" t="str">
        <v>Middletown</v>
      </c>
      <c r="B51" s="28" t="str">
        <v>NJ</v>
      </c>
      <c r="C51" s="10">
        <v>3205</v>
      </c>
      <c r="D51" s="15">
        <v>2594</v>
      </c>
      <c r="E51" s="15">
        <f t="shared" si="0"/>
        <v>611</v>
      </c>
      <c r="F51" s="16">
        <f t="shared" si="3"/>
        <v>0.23554356206630686</v>
      </c>
      <c r="G51" s="17">
        <v>2619</v>
      </c>
      <c r="H51" s="17">
        <f t="shared" si="1"/>
        <v>586</v>
      </c>
      <c r="I51" s="16">
        <f t="shared" si="2"/>
        <v>0.22374952271859488</v>
      </c>
      <c r="J51" s="39"/>
      <c r="K51" s="39"/>
      <c r="L51" s="63"/>
      <c r="M51" s="63"/>
    </row>
    <row r="52" spans="1:13" ht="15.6">
      <c r="A52" s="25" t="str">
        <v>Whiting Crestwood</v>
      </c>
      <c r="B52" s="26" t="str">
        <v>NJ</v>
      </c>
      <c r="C52" s="21">
        <v>4261</v>
      </c>
      <c r="D52" s="11">
        <v>4144</v>
      </c>
      <c r="E52" s="11">
        <f t="shared" si="0"/>
        <v>117</v>
      </c>
      <c r="F52" s="12">
        <f t="shared" si="3"/>
        <v>2.8233590733590733E-2</v>
      </c>
      <c r="G52" s="13">
        <v>3747</v>
      </c>
      <c r="H52" s="13">
        <f t="shared" si="1"/>
        <v>514</v>
      </c>
      <c r="I52" s="14">
        <f t="shared" si="2"/>
        <v>0.137176407792901</v>
      </c>
      <c r="J52" s="38"/>
      <c r="K52" s="38"/>
      <c r="L52" s="63"/>
      <c r="M52" s="63"/>
    </row>
    <row r="53" spans="1:13" ht="15.6">
      <c r="A53" s="27" t="str">
        <v>Barnegat</v>
      </c>
      <c r="B53" s="28" t="str">
        <v>NJ</v>
      </c>
      <c r="C53" s="10">
        <v>5280</v>
      </c>
      <c r="D53" s="15">
        <v>4551</v>
      </c>
      <c r="E53" s="15">
        <f t="shared" si="0"/>
        <v>729</v>
      </c>
      <c r="F53" s="16">
        <f t="shared" si="3"/>
        <v>0.16018457481872117</v>
      </c>
      <c r="G53" s="17">
        <v>4382</v>
      </c>
      <c r="H53" s="17">
        <f t="shared" si="1"/>
        <v>898</v>
      </c>
      <c r="I53" s="16">
        <f t="shared" si="2"/>
        <v>0.20492925604746692</v>
      </c>
      <c r="J53" s="39"/>
      <c r="K53" s="39"/>
      <c r="L53" s="63"/>
      <c r="M53" s="63"/>
    </row>
    <row r="54" spans="1:13" ht="28.9">
      <c r="A54" s="25" t="str">
        <v>Manchester</v>
      </c>
      <c r="B54" s="26" t="str">
        <v>NJ</v>
      </c>
      <c r="C54" s="21">
        <v>2410</v>
      </c>
      <c r="D54" s="11">
        <v>2673</v>
      </c>
      <c r="E54" s="11">
        <f t="shared" si="0"/>
        <v>-263</v>
      </c>
      <c r="F54" s="12">
        <f t="shared" si="3"/>
        <v>-9.8391320613542832E-2</v>
      </c>
      <c r="G54" s="13">
        <v>3157</v>
      </c>
      <c r="H54" s="13">
        <f t="shared" si="1"/>
        <v>-747</v>
      </c>
      <c r="I54" s="14">
        <f t="shared" si="2"/>
        <v>-0.23661704149509027</v>
      </c>
      <c r="J54" s="38" t="s">
        <v>100</v>
      </c>
      <c r="K54" s="77"/>
      <c r="L54" s="63"/>
      <c r="M54" s="63"/>
    </row>
    <row r="55" spans="1:13" ht="15.6">
      <c r="A55" s="27" t="str">
        <v>West Deptford - Woodbury</v>
      </c>
      <c r="B55" s="28" t="str">
        <v>NJ</v>
      </c>
      <c r="C55" s="10">
        <v>3757</v>
      </c>
      <c r="D55" s="15">
        <v>3633</v>
      </c>
      <c r="E55" s="15">
        <f t="shared" si="0"/>
        <v>124</v>
      </c>
      <c r="F55" s="16">
        <f t="shared" si="3"/>
        <v>3.4131571703826039E-2</v>
      </c>
      <c r="G55" s="17">
        <v>2958</v>
      </c>
      <c r="H55" s="17">
        <f t="shared" si="1"/>
        <v>799</v>
      </c>
      <c r="I55" s="16">
        <f t="shared" si="2"/>
        <v>0.27011494252873564</v>
      </c>
      <c r="J55" s="39"/>
      <c r="K55" s="39"/>
      <c r="L55" s="63"/>
      <c r="M55" s="63"/>
    </row>
    <row r="56" spans="1:13" ht="15.6">
      <c r="A56" s="25" t="str">
        <v>Edison</v>
      </c>
      <c r="B56" s="26" t="str">
        <v>NJ</v>
      </c>
      <c r="C56" s="21">
        <v>3228</v>
      </c>
      <c r="D56" s="11">
        <v>2730</v>
      </c>
      <c r="E56" s="11">
        <f t="shared" si="0"/>
        <v>498</v>
      </c>
      <c r="F56" s="12">
        <f t="shared" si="3"/>
        <v>0.18241758241758241</v>
      </c>
      <c r="G56" s="13">
        <v>2487</v>
      </c>
      <c r="H56" s="13">
        <f t="shared" si="1"/>
        <v>741</v>
      </c>
      <c r="I56" s="14">
        <f t="shared" si="2"/>
        <v>0.29794933655006034</v>
      </c>
      <c r="J56" s="38"/>
      <c r="K56" s="38"/>
      <c r="L56" s="63"/>
      <c r="M56" s="63"/>
    </row>
    <row r="57" spans="1:13" ht="15.6">
      <c r="A57" s="27" t="str">
        <v>Flemington</v>
      </c>
      <c r="B57" s="28" t="str">
        <v>NJ</v>
      </c>
      <c r="C57" s="10">
        <v>2843</v>
      </c>
      <c r="D57" s="15">
        <v>2391</v>
      </c>
      <c r="E57" s="15">
        <f t="shared" si="0"/>
        <v>452</v>
      </c>
      <c r="F57" s="16">
        <f t="shared" si="3"/>
        <v>0.18904224173985781</v>
      </c>
      <c r="G57" s="17">
        <v>2325</v>
      </c>
      <c r="H57" s="17">
        <f t="shared" si="1"/>
        <v>518</v>
      </c>
      <c r="I57" s="16">
        <f t="shared" si="2"/>
        <v>0.22279569892473119</v>
      </c>
      <c r="J57" s="39"/>
      <c r="K57" s="39"/>
      <c r="L57" s="63"/>
      <c r="M57" s="63"/>
    </row>
    <row r="58" spans="1:13" ht="15.6">
      <c r="A58" s="25" t="str">
        <v>Route 22</v>
      </c>
      <c r="B58" s="26" t="str">
        <v>NJ</v>
      </c>
      <c r="C58" s="21">
        <v>2825</v>
      </c>
      <c r="D58" s="11">
        <v>2664</v>
      </c>
      <c r="E58" s="11">
        <f t="shared" si="0"/>
        <v>161</v>
      </c>
      <c r="F58" s="12">
        <f t="shared" si="3"/>
        <v>6.0435435435435433E-2</v>
      </c>
      <c r="G58" s="13">
        <v>2326</v>
      </c>
      <c r="H58" s="13">
        <f t="shared" si="1"/>
        <v>499</v>
      </c>
      <c r="I58" s="14">
        <f t="shared" si="2"/>
        <v>0.21453138435081684</v>
      </c>
      <c r="J58" s="38"/>
      <c r="K58" s="38"/>
      <c r="L58" s="63"/>
      <c r="M58" s="63"/>
    </row>
    <row r="59" spans="1:13" ht="28.9">
      <c r="A59" s="27" t="str">
        <v>Laurelton</v>
      </c>
      <c r="B59" s="28" t="str">
        <v>NJ</v>
      </c>
      <c r="C59" s="10">
        <v>1726</v>
      </c>
      <c r="D59" s="15">
        <v>2453</v>
      </c>
      <c r="E59" s="15">
        <f t="shared" si="0"/>
        <v>-727</v>
      </c>
      <c r="F59" s="16">
        <f t="shared" si="3"/>
        <v>-0.29637178964533223</v>
      </c>
      <c r="G59" s="17">
        <v>2155</v>
      </c>
      <c r="H59" s="17">
        <f t="shared" si="1"/>
        <v>-429</v>
      </c>
      <c r="I59" s="16">
        <f t="shared" si="2"/>
        <v>-0.19907192575406032</v>
      </c>
      <c r="J59" s="39" t="s">
        <v>116</v>
      </c>
      <c r="K59" s="39"/>
      <c r="L59" s="63"/>
      <c r="M59" s="63"/>
    </row>
    <row r="60" spans="1:13" ht="28.9">
      <c r="A60" s="25" t="str">
        <v>Mahwah</v>
      </c>
      <c r="B60" s="26" t="str">
        <v>NJ</v>
      </c>
      <c r="C60" s="21">
        <v>2167</v>
      </c>
      <c r="D60" s="11">
        <v>1804</v>
      </c>
      <c r="E60" s="11">
        <f t="shared" si="0"/>
        <v>363</v>
      </c>
      <c r="F60" s="12">
        <f t="shared" si="3"/>
        <v>0.20121951219512196</v>
      </c>
      <c r="G60" s="13">
        <v>1895</v>
      </c>
      <c r="H60" s="13">
        <f t="shared" si="1"/>
        <v>272</v>
      </c>
      <c r="I60" s="14">
        <f t="shared" si="2"/>
        <v>0.14353562005277046</v>
      </c>
      <c r="J60" s="38" t="s">
        <v>117</v>
      </c>
      <c r="K60" s="38"/>
      <c r="L60" s="63"/>
      <c r="M60" s="63"/>
    </row>
    <row r="61" spans="1:13" ht="15.6">
      <c r="A61" s="27" t="str">
        <v>Franklin Township WF</v>
      </c>
      <c r="B61" s="28" t="str">
        <v>NJ</v>
      </c>
      <c r="C61" s="10">
        <v>2673</v>
      </c>
      <c r="D61" s="15">
        <v>2388</v>
      </c>
      <c r="E61" s="15">
        <f t="shared" si="0"/>
        <v>285</v>
      </c>
      <c r="F61" s="16">
        <f t="shared" si="3"/>
        <v>0.11934673366834171</v>
      </c>
      <c r="G61" s="17">
        <v>2729</v>
      </c>
      <c r="H61" s="17">
        <f t="shared" si="1"/>
        <v>-56</v>
      </c>
      <c r="I61" s="16">
        <f t="shared" si="2"/>
        <v>-2.0520337119824112E-2</v>
      </c>
      <c r="J61" s="39"/>
      <c r="K61" s="39"/>
      <c r="L61" s="63"/>
      <c r="M61" s="63"/>
    </row>
    <row r="62" spans="1:13" ht="15.6">
      <c r="A62" s="25" t="str">
        <v>Bordentown</v>
      </c>
      <c r="B62" s="26" t="str">
        <v>NJ</v>
      </c>
      <c r="C62" s="21">
        <v>2243</v>
      </c>
      <c r="D62" s="11">
        <v>1824</v>
      </c>
      <c r="E62" s="11">
        <f t="shared" si="0"/>
        <v>419</v>
      </c>
      <c r="F62" s="12">
        <f t="shared" si="3"/>
        <v>0.22971491228070176</v>
      </c>
      <c r="G62" s="13">
        <v>1708</v>
      </c>
      <c r="H62" s="13">
        <f t="shared" si="1"/>
        <v>535</v>
      </c>
      <c r="I62" s="14">
        <f t="shared" si="2"/>
        <v>0.31323185011709603</v>
      </c>
      <c r="J62" s="38"/>
      <c r="K62" s="38"/>
      <c r="L62" s="63"/>
      <c r="M62" s="63"/>
    </row>
    <row r="63" spans="1:13" ht="15.6">
      <c r="A63" s="27" t="str">
        <v>South Plainfield</v>
      </c>
      <c r="B63" s="28" t="str">
        <v>NJ</v>
      </c>
      <c r="C63" s="10">
        <v>1548</v>
      </c>
      <c r="D63" s="15">
        <v>1343</v>
      </c>
      <c r="E63" s="15">
        <f t="shared" si="0"/>
        <v>205</v>
      </c>
      <c r="F63" s="16">
        <f t="shared" si="3"/>
        <v>0.15264333581533879</v>
      </c>
      <c r="G63" s="17">
        <v>1221</v>
      </c>
      <c r="H63" s="17">
        <f t="shared" si="1"/>
        <v>327</v>
      </c>
      <c r="I63" s="16">
        <f t="shared" si="2"/>
        <v>0.26781326781326781</v>
      </c>
      <c r="J63" s="39"/>
      <c r="K63" s="39"/>
      <c r="L63" s="63"/>
      <c r="M63" s="63"/>
    </row>
    <row r="64" spans="1:13" ht="28.9">
      <c r="A64" s="25" t="str">
        <v>Somerset</v>
      </c>
      <c r="B64" s="26" t="str">
        <v>NJ</v>
      </c>
      <c r="C64" s="21">
        <v>2368</v>
      </c>
      <c r="D64" s="11">
        <v>3126</v>
      </c>
      <c r="E64" s="11">
        <f t="shared" si="0"/>
        <v>-758</v>
      </c>
      <c r="F64" s="12">
        <f t="shared" si="3"/>
        <v>-0.24248240563019835</v>
      </c>
      <c r="G64" s="13">
        <v>1883</v>
      </c>
      <c r="H64" s="13">
        <f t="shared" si="1"/>
        <v>485</v>
      </c>
      <c r="I64" s="14">
        <f t="shared" si="2"/>
        <v>0.25756771109930959</v>
      </c>
      <c r="J64" s="38" t="s">
        <v>118</v>
      </c>
      <c r="K64" s="77"/>
      <c r="L64" s="63"/>
      <c r="M64" s="63"/>
    </row>
    <row r="65" spans="1:13" ht="15.6">
      <c r="A65" s="27" t="str">
        <v>Clinton Main Relo</v>
      </c>
      <c r="B65" s="28" t="str">
        <v>NJ</v>
      </c>
      <c r="C65" s="10">
        <v>2711</v>
      </c>
      <c r="D65" s="15">
        <v>2698</v>
      </c>
      <c r="E65" s="15">
        <f t="shared" si="0"/>
        <v>13</v>
      </c>
      <c r="F65" s="16">
        <f t="shared" si="3"/>
        <v>4.8183839881393627E-3</v>
      </c>
      <c r="G65" s="17">
        <v>2152</v>
      </c>
      <c r="H65" s="17">
        <f t="shared" si="1"/>
        <v>559</v>
      </c>
      <c r="I65" s="16">
        <f t="shared" si="2"/>
        <v>0.25975836431226768</v>
      </c>
      <c r="J65" s="39"/>
      <c r="K65" s="39"/>
      <c r="L65" s="63"/>
      <c r="M65" s="63"/>
    </row>
    <row r="66" spans="1:13" ht="15.6">
      <c r="A66" s="25" t="str">
        <v>North Brunswick</v>
      </c>
      <c r="B66" s="26" t="str">
        <v>NJ</v>
      </c>
      <c r="C66" s="21">
        <v>2795</v>
      </c>
      <c r="D66" s="11">
        <v>2440</v>
      </c>
      <c r="E66" s="11">
        <f t="shared" si="0"/>
        <v>355</v>
      </c>
      <c r="F66" s="12">
        <f t="shared" si="3"/>
        <v>0.14549180327868852</v>
      </c>
      <c r="G66" s="13">
        <v>2416</v>
      </c>
      <c r="H66" s="13">
        <f t="shared" si="1"/>
        <v>379</v>
      </c>
      <c r="I66" s="14">
        <f t="shared" si="2"/>
        <v>0.15687086092715233</v>
      </c>
      <c r="J66" s="38"/>
      <c r="K66" s="77"/>
      <c r="L66" s="63"/>
      <c r="M66" s="63"/>
    </row>
    <row r="67" spans="1:13" ht="57.6">
      <c r="A67" s="27" t="str">
        <v>Cherry Hill</v>
      </c>
      <c r="B67" s="28" t="str">
        <v>NJ</v>
      </c>
      <c r="C67" s="10">
        <v>1993</v>
      </c>
      <c r="D67" s="15">
        <v>1969</v>
      </c>
      <c r="E67" s="15">
        <f t="shared" si="0"/>
        <v>24</v>
      </c>
      <c r="F67" s="16">
        <f t="shared" si="3"/>
        <v>1.2188928390045709E-2</v>
      </c>
      <c r="G67" s="17">
        <v>1649</v>
      </c>
      <c r="H67" s="17">
        <f t="shared" si="1"/>
        <v>344</v>
      </c>
      <c r="I67" s="16">
        <f t="shared" si="2"/>
        <v>0.20861127956337175</v>
      </c>
      <c r="J67" s="39" t="s">
        <v>119</v>
      </c>
      <c r="K67" s="84" t="s">
        <v>66</v>
      </c>
      <c r="L67" s="63"/>
      <c r="M67" s="63"/>
    </row>
    <row r="68" spans="1:13" ht="15.6">
      <c r="A68" s="25" t="str">
        <v>Hainesport</v>
      </c>
      <c r="B68" s="26" t="str">
        <v>NJ</v>
      </c>
      <c r="C68" s="21">
        <v>2205</v>
      </c>
      <c r="D68" s="11">
        <v>2233</v>
      </c>
      <c r="E68" s="11">
        <f t="shared" si="0"/>
        <v>-28</v>
      </c>
      <c r="F68" s="12">
        <f t="shared" si="3"/>
        <v>-1.2539184952978056E-2</v>
      </c>
      <c r="G68" s="13">
        <v>1605</v>
      </c>
      <c r="H68" s="13">
        <f t="shared" si="1"/>
        <v>600</v>
      </c>
      <c r="I68" s="14">
        <f t="shared" si="2"/>
        <v>0.37383177570093457</v>
      </c>
      <c r="J68" s="38"/>
      <c r="K68" s="38"/>
      <c r="L68" s="63"/>
      <c r="M68" s="63"/>
    </row>
    <row r="69" spans="1:13" ht="15.6">
      <c r="A69" s="27" t="str">
        <v>San Antonio - Ops Ctr (Bldg 106)</v>
      </c>
      <c r="B69" s="28" t="str">
        <v>TX</v>
      </c>
      <c r="C69" s="10">
        <v>52377</v>
      </c>
      <c r="D69" s="15">
        <v>52442</v>
      </c>
      <c r="E69" s="15">
        <f t="shared" ref="E69:E84" si="4">IF(AND(ISNUMBER(C69),ISNUMBER(D69)), C69-D69, "")</f>
        <v>-65</v>
      </c>
      <c r="F69" s="16">
        <f t="shared" si="3"/>
        <v>-1.2394645513138325E-3</v>
      </c>
      <c r="G69" s="17">
        <v>50659</v>
      </c>
      <c r="H69" s="17">
        <f t="shared" ref="H69:H84" si="5">IF(AND(ISNUMBER(C69),ISNUMBER(G69)), C69-G69, "")</f>
        <v>1718</v>
      </c>
      <c r="I69" s="16">
        <f t="shared" ref="I69:I84" si="6">IFERROR(H69/G69, "")</f>
        <v>3.3913026313192131E-2</v>
      </c>
      <c r="J69" s="39"/>
      <c r="K69" s="39"/>
      <c r="L69" s="63"/>
      <c r="M69" s="63"/>
    </row>
    <row r="70" spans="1:13" ht="15.6">
      <c r="A70" s="25" t="str">
        <v>San Antonio - Ops Ctr GM</v>
      </c>
      <c r="B70" s="26" t="str">
        <v>TX</v>
      </c>
      <c r="C70" s="21">
        <v>392242</v>
      </c>
      <c r="D70" s="11">
        <v>429672</v>
      </c>
      <c r="E70" s="11">
        <f t="shared" si="4"/>
        <v>-37430</v>
      </c>
      <c r="F70" s="12">
        <f t="shared" ref="F70:F84" si="7">IFERROR(E70/D70, "")</f>
        <v>-8.7112960583887247E-2</v>
      </c>
      <c r="G70" s="13">
        <v>366154</v>
      </c>
      <c r="H70" s="13">
        <f t="shared" si="5"/>
        <v>26088</v>
      </c>
      <c r="I70" s="14">
        <f t="shared" si="6"/>
        <v>7.1248709559365728E-2</v>
      </c>
      <c r="J70" s="38"/>
      <c r="K70" s="38"/>
      <c r="L70" s="63"/>
      <c r="M70" s="63"/>
    </row>
    <row r="71" spans="1:13" ht="15.6">
      <c r="A71" s="27" t="str">
        <v>San Antonio - Ctr (Bldg 201)</v>
      </c>
      <c r="B71" s="28" t="str">
        <v>TX</v>
      </c>
      <c r="C71" s="10">
        <v>53579</v>
      </c>
      <c r="D71" s="15">
        <v>52004</v>
      </c>
      <c r="E71" s="15">
        <f t="shared" si="4"/>
        <v>1575</v>
      </c>
      <c r="F71" s="16">
        <f t="shared" si="7"/>
        <v>3.0286131836012614E-2</v>
      </c>
      <c r="G71" s="17">
        <v>50695</v>
      </c>
      <c r="H71" s="17">
        <f t="shared" si="5"/>
        <v>2884</v>
      </c>
      <c r="I71" s="16">
        <f t="shared" si="6"/>
        <v>5.6889239569977317E-2</v>
      </c>
      <c r="J71" s="39"/>
      <c r="K71" s="39"/>
      <c r="L71" s="63"/>
      <c r="M71" s="63"/>
    </row>
    <row r="72" spans="1:13" ht="15.6">
      <c r="A72" s="25" t="str">
        <v>San Antonio - Ops Ctr (Bldg 203)</v>
      </c>
      <c r="B72" s="26" t="str">
        <v>TX</v>
      </c>
      <c r="C72" s="21">
        <v>54984</v>
      </c>
      <c r="D72" s="11">
        <v>53459</v>
      </c>
      <c r="E72" s="11">
        <f t="shared" si="4"/>
        <v>1525</v>
      </c>
      <c r="F72" s="12">
        <f t="shared" si="7"/>
        <v>2.8526534353429733E-2</v>
      </c>
      <c r="G72" s="13">
        <v>51279</v>
      </c>
      <c r="H72" s="13">
        <f t="shared" si="5"/>
        <v>3705</v>
      </c>
      <c r="I72" s="14">
        <f t="shared" si="6"/>
        <v>7.2251798982039428E-2</v>
      </c>
      <c r="J72" s="38"/>
      <c r="K72" s="38"/>
      <c r="L72" s="63"/>
      <c r="M72" s="63"/>
    </row>
    <row r="73" spans="1:13" ht="15.6">
      <c r="A73" s="27" t="str">
        <v>San Antonio - Ops Ctr (Bldg 205)</v>
      </c>
      <c r="B73" s="28" t="str">
        <v>TX</v>
      </c>
      <c r="C73" s="10">
        <v>48894</v>
      </c>
      <c r="D73" s="15">
        <v>47420</v>
      </c>
      <c r="E73" s="15">
        <f t="shared" si="4"/>
        <v>1474</v>
      </c>
      <c r="F73" s="16">
        <f t="shared" si="7"/>
        <v>3.108393083087305E-2</v>
      </c>
      <c r="G73" s="17">
        <v>47944</v>
      </c>
      <c r="H73" s="17">
        <f t="shared" si="5"/>
        <v>950</v>
      </c>
      <c r="I73" s="16">
        <f t="shared" si="6"/>
        <v>1.9814783914566994E-2</v>
      </c>
      <c r="J73" s="39"/>
      <c r="K73" s="39"/>
      <c r="L73" s="63"/>
      <c r="M73" s="63"/>
    </row>
    <row r="74" spans="1:13" ht="15.6">
      <c r="A74" s="25" t="str">
        <v>San Antonio - Ops Ctr (Bldg 307)</v>
      </c>
      <c r="B74" s="26" t="str">
        <v>TX</v>
      </c>
      <c r="C74" s="21">
        <v>52224</v>
      </c>
      <c r="D74" s="11">
        <v>51531</v>
      </c>
      <c r="E74" s="11">
        <f t="shared" si="4"/>
        <v>693</v>
      </c>
      <c r="F74" s="12">
        <f t="shared" si="7"/>
        <v>1.3448215637189264E-2</v>
      </c>
      <c r="G74" s="13">
        <v>49100</v>
      </c>
      <c r="H74" s="13">
        <f t="shared" si="5"/>
        <v>3124</v>
      </c>
      <c r="I74" s="14">
        <f t="shared" si="6"/>
        <v>6.3625254582484719E-2</v>
      </c>
      <c r="J74" s="38"/>
      <c r="K74" s="38"/>
      <c r="L74" s="63"/>
      <c r="M74" s="63"/>
    </row>
    <row r="75" spans="1:13" ht="15.6">
      <c r="A75" s="27" t="str">
        <v>San Antonio - Ctr (Bldg 308)</v>
      </c>
      <c r="B75" s="28" t="str">
        <v>TX</v>
      </c>
      <c r="C75" s="10">
        <v>51650</v>
      </c>
      <c r="D75" s="15">
        <v>50369</v>
      </c>
      <c r="E75" s="15">
        <f t="shared" si="4"/>
        <v>1281</v>
      </c>
      <c r="F75" s="16">
        <f t="shared" si="7"/>
        <v>2.5432309555480554E-2</v>
      </c>
      <c r="G75" s="17">
        <v>47705</v>
      </c>
      <c r="H75" s="17">
        <f t="shared" si="5"/>
        <v>3945</v>
      </c>
      <c r="I75" s="16">
        <f t="shared" si="6"/>
        <v>8.2695734199769416E-2</v>
      </c>
      <c r="J75" s="39"/>
      <c r="K75" s="39"/>
      <c r="L75" s="63"/>
      <c r="M75" s="63"/>
    </row>
    <row r="76" spans="1:13" ht="15.6">
      <c r="A76" s="25" t="str">
        <v>San Antonio - Ops Ctr (Bldg 104)</v>
      </c>
      <c r="B76" s="26" t="str">
        <v>TX</v>
      </c>
      <c r="C76" s="21">
        <v>14428</v>
      </c>
      <c r="D76" s="11">
        <v>15771</v>
      </c>
      <c r="E76" s="11">
        <f t="shared" si="4"/>
        <v>-1343</v>
      </c>
      <c r="F76" s="12">
        <f t="shared" si="7"/>
        <v>-8.5156299537125099E-2</v>
      </c>
      <c r="G76" s="13">
        <v>14699</v>
      </c>
      <c r="H76" s="13">
        <f t="shared" si="5"/>
        <v>-271</v>
      </c>
      <c r="I76" s="14">
        <f t="shared" si="6"/>
        <v>-1.8436628342064085E-2</v>
      </c>
      <c r="J76" s="38"/>
      <c r="K76" s="38"/>
      <c r="L76" s="63"/>
      <c r="M76" s="63"/>
    </row>
    <row r="77" spans="1:13" ht="28.9">
      <c r="A77" s="27" t="str">
        <v>San Antonio - Ops Ctr (Bldg 102)</v>
      </c>
      <c r="B77" s="28" t="str">
        <v>TX</v>
      </c>
      <c r="C77" s="10">
        <v>56860</v>
      </c>
      <c r="D77" s="15">
        <v>48446</v>
      </c>
      <c r="E77" s="15">
        <f t="shared" si="4"/>
        <v>8414</v>
      </c>
      <c r="F77" s="16">
        <f t="shared" si="7"/>
        <v>0.17367790942492672</v>
      </c>
      <c r="G77" s="17">
        <v>53379</v>
      </c>
      <c r="H77" s="17">
        <f t="shared" si="5"/>
        <v>3481</v>
      </c>
      <c r="I77" s="16">
        <f t="shared" si="6"/>
        <v>6.5212911444575583E-2</v>
      </c>
      <c r="J77" s="39" t="s">
        <v>120</v>
      </c>
      <c r="K77" s="39" t="s">
        <v>121</v>
      </c>
      <c r="L77" s="63"/>
      <c r="M77" s="63"/>
    </row>
    <row r="78" spans="1:13" ht="15.6">
      <c r="A78" s="25" t="str">
        <v>N Black Canyon Hwy, Phoenix - North</v>
      </c>
      <c r="B78" s="26" t="str">
        <v>AZ</v>
      </c>
      <c r="C78" s="21">
        <v>85411</v>
      </c>
      <c r="D78" s="11">
        <v>77197</v>
      </c>
      <c r="E78" s="11">
        <f t="shared" si="4"/>
        <v>8214</v>
      </c>
      <c r="F78" s="12">
        <f t="shared" si="7"/>
        <v>0.10640309856600645</v>
      </c>
      <c r="G78" s="13">
        <v>80919</v>
      </c>
      <c r="H78" s="13">
        <f t="shared" si="5"/>
        <v>4492</v>
      </c>
      <c r="I78" s="14">
        <f t="shared" si="6"/>
        <v>5.5512302425882676E-2</v>
      </c>
      <c r="J78" s="38"/>
      <c r="K78" s="77"/>
      <c r="L78" s="63"/>
      <c r="M78" s="63"/>
    </row>
    <row r="79" spans="1:13" ht="15.6">
      <c r="A79" s="27" t="str">
        <v>N Black Canyon Hwy, Phoenix - South</v>
      </c>
      <c r="B79" s="28" t="str">
        <v>AZ</v>
      </c>
      <c r="C79" s="10">
        <v>90957</v>
      </c>
      <c r="D79" s="15">
        <v>84695</v>
      </c>
      <c r="E79" s="15">
        <f t="shared" si="4"/>
        <v>6262</v>
      </c>
      <c r="F79" s="16">
        <f t="shared" si="7"/>
        <v>7.3935887596670399E-2</v>
      </c>
      <c r="G79" s="17">
        <v>89640</v>
      </c>
      <c r="H79" s="17">
        <f t="shared" si="5"/>
        <v>1317</v>
      </c>
      <c r="I79" s="16">
        <f t="shared" si="6"/>
        <v>1.4692101740294511E-2</v>
      </c>
      <c r="J79" s="39"/>
      <c r="K79" s="39"/>
      <c r="L79" s="63"/>
      <c r="M79" s="63"/>
    </row>
    <row r="80" spans="1:13" ht="15.6">
      <c r="A80" s="25" t="str">
        <v xml:space="preserve"> Building 2222, Rose Garden Ln, Phoenix</v>
      </c>
      <c r="B80" s="26" t="str">
        <v>AZ</v>
      </c>
      <c r="C80" s="21">
        <v>104420</v>
      </c>
      <c r="D80" s="11">
        <v>103296</v>
      </c>
      <c r="E80" s="11">
        <f t="shared" si="4"/>
        <v>1124</v>
      </c>
      <c r="F80" s="12">
        <f t="shared" si="7"/>
        <v>1.0881350681536554E-2</v>
      </c>
      <c r="G80" s="13">
        <v>104525</v>
      </c>
      <c r="H80" s="13">
        <f t="shared" si="5"/>
        <v>-105</v>
      </c>
      <c r="I80" s="14">
        <f t="shared" si="6"/>
        <v>-1.0045443673762258E-3</v>
      </c>
      <c r="J80" s="38"/>
      <c r="K80" s="38"/>
      <c r="L80" s="63"/>
      <c r="M80" s="63"/>
    </row>
    <row r="81" spans="1:13" ht="15.6">
      <c r="A81" s="27" t="str">
        <v xml:space="preserve"> Building 2202, Rose Garden Ln, Phoenix</v>
      </c>
      <c r="B81" s="28" t="str">
        <v>AZ</v>
      </c>
      <c r="C81" s="10">
        <v>104380</v>
      </c>
      <c r="D81" s="15">
        <v>94117</v>
      </c>
      <c r="E81" s="15">
        <f t="shared" si="4"/>
        <v>10263</v>
      </c>
      <c r="F81" s="16">
        <f t="shared" si="7"/>
        <v>0.10904512468523221</v>
      </c>
      <c r="G81" s="17">
        <v>84591</v>
      </c>
      <c r="H81" s="17">
        <f t="shared" si="5"/>
        <v>19789</v>
      </c>
      <c r="I81" s="16">
        <f t="shared" si="6"/>
        <v>0.23393741651003061</v>
      </c>
      <c r="J81" s="39"/>
      <c r="K81" s="39"/>
      <c r="L81" s="63"/>
      <c r="M81" s="63"/>
    </row>
    <row r="82" spans="1:13" ht="43.15">
      <c r="A82" s="25" t="str">
        <v xml:space="preserve"> 99TH Ave &amp; BELL</v>
      </c>
      <c r="B82" s="26" t="str">
        <v>AZ</v>
      </c>
      <c r="C82" s="21">
        <v>18692</v>
      </c>
      <c r="D82" s="11">
        <v>18683</v>
      </c>
      <c r="E82" s="11">
        <f t="shared" si="4"/>
        <v>9</v>
      </c>
      <c r="F82" s="12">
        <f t="shared" si="7"/>
        <v>4.8172135096076648E-4</v>
      </c>
      <c r="G82" s="13">
        <v>19248</v>
      </c>
      <c r="H82" s="13">
        <f t="shared" si="5"/>
        <v>-556</v>
      </c>
      <c r="I82" s="14">
        <f t="shared" si="6"/>
        <v>-2.8886118038237738E-2</v>
      </c>
      <c r="J82" s="38" t="s">
        <v>122</v>
      </c>
      <c r="K82" s="38"/>
      <c r="L82" s="63"/>
      <c r="M82" s="63"/>
    </row>
    <row r="83" spans="1:13" ht="15.6">
      <c r="A83" s="27" t="str">
        <v>Rincon</v>
      </c>
      <c r="B83" s="28" t="str">
        <v>AZ</v>
      </c>
      <c r="C83" s="10">
        <v>8415</v>
      </c>
      <c r="D83" s="15">
        <v>6682</v>
      </c>
      <c r="E83" s="15">
        <f t="shared" si="4"/>
        <v>1733</v>
      </c>
      <c r="F83" s="16">
        <f t="shared" si="7"/>
        <v>0.25935348697994615</v>
      </c>
      <c r="G83" s="17">
        <v>7610</v>
      </c>
      <c r="H83" s="17">
        <f t="shared" si="5"/>
        <v>805</v>
      </c>
      <c r="I83" s="16">
        <f t="shared" si="6"/>
        <v>0.10578186596583443</v>
      </c>
      <c r="J83" s="39"/>
      <c r="K83" s="84"/>
      <c r="L83" s="63"/>
      <c r="M83" s="63"/>
    </row>
    <row r="84" spans="1:13" ht="72">
      <c r="A84" s="25" t="str">
        <v>Tucson Main Parking Garage</v>
      </c>
      <c r="B84" s="26" t="str">
        <v>AZ</v>
      </c>
      <c r="C84" s="21">
        <v>8170</v>
      </c>
      <c r="D84" s="11">
        <v>9414</v>
      </c>
      <c r="E84" s="11">
        <f t="shared" si="4"/>
        <v>-1244</v>
      </c>
      <c r="F84" s="12">
        <f t="shared" si="7"/>
        <v>-0.13214361589122584</v>
      </c>
      <c r="G84" s="13">
        <v>11334</v>
      </c>
      <c r="H84" s="13">
        <f t="shared" si="5"/>
        <v>-3164</v>
      </c>
      <c r="I84" s="14">
        <f t="shared" si="6"/>
        <v>-0.2791600494088583</v>
      </c>
      <c r="J84" s="38" t="s">
        <v>123</v>
      </c>
      <c r="K84" s="38" t="s">
        <v>124</v>
      </c>
      <c r="L84" s="63"/>
      <c r="M84" s="63"/>
    </row>
    <row r="85" spans="1:13" ht="14.4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  <c r="J85" s="18"/>
      <c r="K85" s="18"/>
    </row>
    <row r="86" spans="1:13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18"/>
      <c r="K86" s="18"/>
    </row>
    <row r="87" spans="1:13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18"/>
      <c r="K87" s="18"/>
    </row>
    <row r="88" spans="1:13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18"/>
      <c r="K88" s="18"/>
    </row>
    <row r="89" spans="1:13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18"/>
      <c r="K89" s="18"/>
    </row>
    <row r="90" spans="1:13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18"/>
      <c r="K90" s="18"/>
    </row>
    <row r="91" spans="1:13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3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3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3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3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3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C328" s="18"/>
      <c r="D328" s="18"/>
      <c r="E328" s="18"/>
      <c r="F328" s="19"/>
      <c r="G328" s="18"/>
      <c r="H328" s="18"/>
      <c r="I328" s="19"/>
      <c r="J328" s="18"/>
      <c r="K328" s="18"/>
    </row>
  </sheetData>
  <mergeCells count="4">
    <mergeCell ref="G1:I1"/>
    <mergeCell ref="A1:C1"/>
    <mergeCell ref="D1:F1"/>
    <mergeCell ref="A2:B2"/>
  </mergeCells>
  <conditionalFormatting sqref="F2 I2 F4:F86 I4:I86">
    <cfRule type="cellIs" dxfId="22" priority="11" stopIfTrue="1" operator="lessThanOrEqual">
      <formula>-0.1</formula>
    </cfRule>
    <cfRule type="expression" dxfId="21" priority="12">
      <formula>AND(ISNUMBER(F2), F2&gt;=0.1)</formula>
    </cfRule>
  </conditionalFormatting>
  <hyperlinks>
    <hyperlink ref="K6" r:id="rId1" display="https://us3.assetplanner.com/service_request?ID=091496" xr:uid="{668598A2-8231-4BE5-B948-15D0F5830638}"/>
    <hyperlink ref="L6" r:id="rId2" display="https://us3.assetplanner.com/service_request?ID=097801" xr:uid="{7D5C017B-8D2E-4A82-8B28-40F90772E708}"/>
    <hyperlink ref="K20" r:id="rId3" display="https://us3.assetplanner.com/service_request?ID=098782" xr:uid="{6C3E0510-EB12-4EFD-ADE5-32352A1FEB1C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O341"/>
  <sheetViews>
    <sheetView zoomScale="70" zoomScaleNormal="70" workbookViewId="0">
      <pane xSplit="2" ySplit="3" topLeftCell="C4" activePane="bottomRight" state="frozen"/>
      <selection pane="bottomRight" activeCell="L84" sqref="L84"/>
      <selection pane="bottomLeft" activeCell="H74" sqref="H74"/>
      <selection pane="topRight" activeCell="H74" sqref="H74"/>
    </sheetView>
  </sheetViews>
  <sheetFormatPr defaultRowHeight="13.9"/>
  <cols>
    <col min="1" max="1" width="29.85546875" customWidth="1"/>
    <col min="2" max="2" width="8.42578125" style="31" customWidth="1"/>
    <col min="3" max="3" width="13.85546875" bestFit="1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254" t="str" cm="1">
        <f t="array" ref="A1">portfolio</f>
        <v>Wells Fargo</v>
      </c>
      <c r="B1" s="254"/>
      <c r="C1" s="254"/>
      <c r="D1" s="255" t="s">
        <v>125</v>
      </c>
      <c r="E1" s="255"/>
      <c r="F1" s="255"/>
      <c r="G1" s="253" t="s">
        <v>126</v>
      </c>
      <c r="H1" s="253"/>
      <c r="I1" s="253"/>
      <c r="J1" s="3"/>
      <c r="K1" s="3"/>
    </row>
    <row r="2" spans="1:15" ht="19.5" customHeight="1">
      <c r="A2" s="264" t="s">
        <v>2</v>
      </c>
      <c r="B2" s="264"/>
      <c r="C2" s="4">
        <f>SUM(C4:C99)</f>
        <v>1500390.9932812499</v>
      </c>
      <c r="D2" s="4">
        <f>SUM(D4:D99)</f>
        <v>1400910.2649999999</v>
      </c>
      <c r="E2" s="4">
        <f>C2-D2</f>
        <v>99480.728281249991</v>
      </c>
      <c r="F2" s="5">
        <f>IFERROR(E2/D2, 0)</f>
        <v>7.1011492146679359E-2</v>
      </c>
      <c r="G2" s="4">
        <f>SUM(G4:G99)</f>
        <v>1543739.2140000002</v>
      </c>
      <c r="H2" s="6">
        <f>C2-G2</f>
        <v>-43348.220718750264</v>
      </c>
      <c r="I2" s="5">
        <f>IFERROR(H2/G2, 0)</f>
        <v>-2.8080015280838918E-2</v>
      </c>
      <c r="J2" s="23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5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5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1178.7</v>
      </c>
      <c r="D4" s="11" t="s">
        <v>127</v>
      </c>
      <c r="E4" s="11" t="str">
        <f>IF(AND(ISNUMBER(C4),ISNUMBER(D4)), C4-D4, "")</f>
        <v/>
      </c>
      <c r="F4" s="12" t="str">
        <f>IFERROR(E4/D4, "")</f>
        <v/>
      </c>
      <c r="G4" s="13">
        <v>1189</v>
      </c>
      <c r="H4" s="13">
        <f>IF(AND(ISNUMBER(C4),ISNUMBER(G4)), C4-G4, "")</f>
        <v>-10.299999999999955</v>
      </c>
      <c r="I4" s="14">
        <f>IFERROR(H4/G4, "")</f>
        <v>-8.6627417998317528E-3</v>
      </c>
      <c r="J4" s="38"/>
      <c r="K4" s="38"/>
      <c r="L4" s="63"/>
      <c r="M4" s="63"/>
      <c r="N4" s="63"/>
      <c r="O4" s="63"/>
    </row>
    <row r="5" spans="1:15" ht="15.6">
      <c r="A5" s="27" t="str">
        <v>Otay Mesa</v>
      </c>
      <c r="B5" s="28" t="str">
        <v>CA</v>
      </c>
      <c r="C5" s="10">
        <v>38.200000000000003</v>
      </c>
      <c r="D5" s="15" t="s">
        <v>127</v>
      </c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39" t="s">
        <v>51</v>
      </c>
      <c r="K5" s="39"/>
      <c r="L5" s="63"/>
      <c r="M5" s="63"/>
      <c r="N5" s="63"/>
      <c r="O5" s="63"/>
    </row>
    <row r="6" spans="1:15" ht="158.44999999999999">
      <c r="A6" s="25" t="str">
        <v>San Leandro</v>
      </c>
      <c r="B6" s="26" t="str">
        <v>CA</v>
      </c>
      <c r="C6" s="21">
        <v>10927.75</v>
      </c>
      <c r="D6" s="11">
        <v>11196.35</v>
      </c>
      <c r="E6" s="11">
        <f t="shared" si="0"/>
        <v>-268.60000000000036</v>
      </c>
      <c r="F6" s="12">
        <f t="shared" ref="F6:F69" si="3">IFERROR(E6/D6, "")</f>
        <v>-2.3989961014080512E-2</v>
      </c>
      <c r="G6" s="13">
        <v>44719.21</v>
      </c>
      <c r="H6" s="13">
        <f t="shared" si="1"/>
        <v>-33791.46</v>
      </c>
      <c r="I6" s="14">
        <f t="shared" si="2"/>
        <v>-0.75563633615173431</v>
      </c>
      <c r="J6" s="38" t="s">
        <v>128</v>
      </c>
      <c r="K6" s="77" t="s">
        <v>129</v>
      </c>
      <c r="L6" s="85" t="s">
        <v>130</v>
      </c>
      <c r="M6" s="85" t="s">
        <v>131</v>
      </c>
      <c r="N6" s="63"/>
      <c r="O6" s="63"/>
    </row>
    <row r="7" spans="1:15" ht="28.9">
      <c r="A7" s="27" t="str">
        <v>Van Nuys</v>
      </c>
      <c r="B7" s="28" t="str">
        <v>CA</v>
      </c>
      <c r="C7" s="10">
        <v>1914.7</v>
      </c>
      <c r="D7" s="15" t="s">
        <v>127</v>
      </c>
      <c r="E7" s="15" t="str">
        <f t="shared" si="0"/>
        <v/>
      </c>
      <c r="F7" s="16" t="str">
        <f t="shared" si="3"/>
        <v/>
      </c>
      <c r="G7" s="17">
        <v>2371.125</v>
      </c>
      <c r="H7" s="17">
        <f t="shared" si="1"/>
        <v>-456.42499999999995</v>
      </c>
      <c r="I7" s="16">
        <f t="shared" si="2"/>
        <v>-0.19249301491907847</v>
      </c>
      <c r="J7" s="49" t="s">
        <v>100</v>
      </c>
      <c r="K7" s="40"/>
      <c r="L7" s="63"/>
      <c r="M7" s="63"/>
      <c r="N7" s="63"/>
      <c r="O7" s="63"/>
    </row>
    <row r="8" spans="1:15" ht="15.6">
      <c r="A8" s="25" t="str">
        <v>Lodi - Lodi Vineyard</v>
      </c>
      <c r="B8" s="26" t="str">
        <v>CA</v>
      </c>
      <c r="C8" s="21">
        <v>46040</v>
      </c>
      <c r="D8" s="11">
        <v>49502</v>
      </c>
      <c r="E8" s="11">
        <f t="shared" si="0"/>
        <v>-3462</v>
      </c>
      <c r="F8" s="12">
        <f t="shared" si="3"/>
        <v>-6.9936568219465881E-2</v>
      </c>
      <c r="G8" s="13">
        <v>36362</v>
      </c>
      <c r="H8" s="13">
        <f t="shared" si="1"/>
        <v>9678</v>
      </c>
      <c r="I8" s="14">
        <f t="shared" si="2"/>
        <v>0.2661569770639679</v>
      </c>
      <c r="J8" s="38"/>
      <c r="K8" s="38"/>
      <c r="L8" s="63"/>
      <c r="M8" s="63"/>
      <c r="N8" s="63"/>
      <c r="O8" s="63"/>
    </row>
    <row r="9" spans="1:15" ht="15.6">
      <c r="A9" s="27" t="str">
        <v>Arden Fair Mall</v>
      </c>
      <c r="B9" s="28" t="str">
        <v>CA</v>
      </c>
      <c r="C9" s="10">
        <v>22644</v>
      </c>
      <c r="D9" s="15">
        <v>22917</v>
      </c>
      <c r="E9" s="15">
        <f t="shared" si="0"/>
        <v>-273</v>
      </c>
      <c r="F9" s="16">
        <f t="shared" si="3"/>
        <v>-1.1912553999214558E-2</v>
      </c>
      <c r="G9" s="17">
        <v>23272</v>
      </c>
      <c r="H9" s="17">
        <f t="shared" si="1"/>
        <v>-628</v>
      </c>
      <c r="I9" s="16">
        <f t="shared" si="2"/>
        <v>-2.6985218288071502E-2</v>
      </c>
      <c r="J9" s="39"/>
      <c r="K9" s="40"/>
      <c r="L9" s="63"/>
      <c r="M9" s="63"/>
      <c r="N9" s="63"/>
      <c r="O9" s="63"/>
    </row>
    <row r="10" spans="1:15" ht="28.9">
      <c r="A10" s="25" t="str">
        <v>Modesto - Modesto Main</v>
      </c>
      <c r="B10" s="26" t="str">
        <v>CA</v>
      </c>
      <c r="C10" s="21">
        <v>17813</v>
      </c>
      <c r="D10" s="11">
        <v>19239</v>
      </c>
      <c r="E10" s="11">
        <f t="shared" si="0"/>
        <v>-1426</v>
      </c>
      <c r="F10" s="12">
        <f t="shared" si="3"/>
        <v>-7.4120276521648737E-2</v>
      </c>
      <c r="G10" s="13">
        <v>21715</v>
      </c>
      <c r="H10" s="13">
        <f t="shared" si="1"/>
        <v>-3902</v>
      </c>
      <c r="I10" s="14">
        <f t="shared" si="2"/>
        <v>-0.17969145751784482</v>
      </c>
      <c r="J10" s="38" t="s">
        <v>100</v>
      </c>
      <c r="K10" s="38"/>
      <c r="L10" s="63"/>
      <c r="M10" s="63"/>
      <c r="N10" s="63"/>
      <c r="O10" s="63"/>
    </row>
    <row r="11" spans="1:15" ht="15.6">
      <c r="A11" s="27" t="str">
        <v>Stevens Creek</v>
      </c>
      <c r="B11" s="28" t="str">
        <v>CA</v>
      </c>
      <c r="C11" s="10">
        <v>5771</v>
      </c>
      <c r="D11" s="15">
        <v>5580</v>
      </c>
      <c r="E11" s="15">
        <f t="shared" si="0"/>
        <v>191</v>
      </c>
      <c r="F11" s="16">
        <f t="shared" si="3"/>
        <v>3.4229390681003585E-2</v>
      </c>
      <c r="G11" s="17">
        <v>5993</v>
      </c>
      <c r="H11" s="17">
        <f t="shared" si="1"/>
        <v>-222</v>
      </c>
      <c r="I11" s="16">
        <f t="shared" si="2"/>
        <v>-3.7043217086601035E-2</v>
      </c>
      <c r="J11" s="39"/>
      <c r="K11" s="40"/>
      <c r="L11" s="63"/>
      <c r="M11" s="63"/>
      <c r="N11" s="63"/>
      <c r="O11" s="63"/>
    </row>
    <row r="12" spans="1:15" ht="15.6">
      <c r="A12" s="25" t="str">
        <v>Covina Main</v>
      </c>
      <c r="B12" s="26" t="str">
        <v>CA</v>
      </c>
      <c r="C12" s="21">
        <v>3922</v>
      </c>
      <c r="D12" s="11">
        <v>3411</v>
      </c>
      <c r="E12" s="11">
        <f t="shared" si="0"/>
        <v>511</v>
      </c>
      <c r="F12" s="12">
        <f t="shared" si="3"/>
        <v>0.14980944004690708</v>
      </c>
      <c r="G12" s="13">
        <v>3350</v>
      </c>
      <c r="H12" s="13">
        <f t="shared" si="1"/>
        <v>572</v>
      </c>
      <c r="I12" s="14">
        <f t="shared" si="2"/>
        <v>0.17074626865671641</v>
      </c>
      <c r="J12" s="38"/>
      <c r="K12" s="38"/>
      <c r="L12" s="63"/>
      <c r="M12" s="63"/>
      <c r="N12" s="63"/>
      <c r="O12" s="63"/>
    </row>
    <row r="13" spans="1:15" ht="45.75" customHeight="1">
      <c r="A13" s="27" t="str">
        <v>Old Ranch Town Center</v>
      </c>
      <c r="B13" s="28" t="str">
        <v>CA</v>
      </c>
      <c r="C13" s="10">
        <v>1397</v>
      </c>
      <c r="D13" s="15" t="s">
        <v>127</v>
      </c>
      <c r="E13" s="15" t="str">
        <f t="shared" si="0"/>
        <v/>
      </c>
      <c r="F13" s="16" t="str">
        <f t="shared" si="3"/>
        <v/>
      </c>
      <c r="G13" s="17">
        <v>1468</v>
      </c>
      <c r="H13" s="17">
        <f t="shared" si="1"/>
        <v>-71</v>
      </c>
      <c r="I13" s="16">
        <f t="shared" si="2"/>
        <v>-4.8365122615803814E-2</v>
      </c>
      <c r="J13" s="39"/>
      <c r="K13" s="80"/>
      <c r="L13" s="85"/>
      <c r="M13" s="63"/>
      <c r="N13" s="63"/>
      <c r="O13" s="63"/>
    </row>
    <row r="14" spans="1:15" ht="15.6">
      <c r="A14" s="25" t="str">
        <v>Mountain Gate Plaza</v>
      </c>
      <c r="B14" s="26" t="str">
        <v>CA</v>
      </c>
      <c r="C14" s="21">
        <v>9496</v>
      </c>
      <c r="D14" s="11" t="s">
        <v>127</v>
      </c>
      <c r="E14" s="11" t="str">
        <f t="shared" si="0"/>
        <v/>
      </c>
      <c r="F14" s="12" t="str">
        <f t="shared" si="3"/>
        <v/>
      </c>
      <c r="G14" s="13">
        <v>9942</v>
      </c>
      <c r="H14" s="13">
        <f t="shared" si="1"/>
        <v>-446</v>
      </c>
      <c r="I14" s="14">
        <f t="shared" si="2"/>
        <v>-4.4860189096761212E-2</v>
      </c>
      <c r="J14" s="38"/>
      <c r="K14" s="38"/>
      <c r="L14" s="63"/>
      <c r="M14" s="63"/>
      <c r="N14" s="63"/>
      <c r="O14" s="63"/>
    </row>
    <row r="15" spans="1:15" ht="43.15">
      <c r="A15" s="27" t="str">
        <v>Arcadia Main</v>
      </c>
      <c r="B15" s="28" t="str">
        <v>CA</v>
      </c>
      <c r="C15" s="10">
        <v>3914</v>
      </c>
      <c r="D15" s="15" t="s">
        <v>127</v>
      </c>
      <c r="E15" s="15" t="str">
        <f t="shared" si="0"/>
        <v/>
      </c>
      <c r="F15" s="16" t="str">
        <f t="shared" si="3"/>
        <v/>
      </c>
      <c r="G15" s="17">
        <v>5021</v>
      </c>
      <c r="H15" s="17">
        <f t="shared" si="1"/>
        <v>-1107</v>
      </c>
      <c r="I15" s="16">
        <f t="shared" si="2"/>
        <v>-0.2204740091615216</v>
      </c>
      <c r="J15" s="39" t="s">
        <v>105</v>
      </c>
      <c r="K15" s="40"/>
      <c r="L15" s="63"/>
      <c r="M15" s="63"/>
      <c r="N15" s="63"/>
      <c r="O15" s="63"/>
    </row>
    <row r="16" spans="1:15" ht="15.6">
      <c r="A16" s="25" t="str">
        <v>Fairfield</v>
      </c>
      <c r="B16" s="26" t="str">
        <v>CA</v>
      </c>
      <c r="C16" s="21">
        <v>4272</v>
      </c>
      <c r="D16" s="11">
        <v>4181</v>
      </c>
      <c r="E16" s="11">
        <f t="shared" si="0"/>
        <v>91</v>
      </c>
      <c r="F16" s="12">
        <f t="shared" si="3"/>
        <v>2.1765127959818224E-2</v>
      </c>
      <c r="G16" s="13">
        <v>4343</v>
      </c>
      <c r="H16" s="13">
        <f t="shared" si="1"/>
        <v>-71</v>
      </c>
      <c r="I16" s="14">
        <f t="shared" si="2"/>
        <v>-1.6348146442551233E-2</v>
      </c>
      <c r="J16" s="38"/>
      <c r="K16" s="38"/>
      <c r="L16" s="63"/>
      <c r="M16" s="63"/>
      <c r="N16" s="63"/>
      <c r="O16" s="63"/>
    </row>
    <row r="17" spans="1:15" ht="15.6">
      <c r="A17" s="27" t="str">
        <v>Los Gatos</v>
      </c>
      <c r="B17" s="28" t="str">
        <v>CA</v>
      </c>
      <c r="C17" s="10">
        <v>2202</v>
      </c>
      <c r="D17" s="15">
        <v>2210</v>
      </c>
      <c r="E17" s="15">
        <f t="shared" si="0"/>
        <v>-8</v>
      </c>
      <c r="F17" s="16">
        <f t="shared" si="3"/>
        <v>-3.6199095022624436E-3</v>
      </c>
      <c r="G17" s="17">
        <v>0</v>
      </c>
      <c r="H17" s="17">
        <f t="shared" si="1"/>
        <v>2202</v>
      </c>
      <c r="I17" s="16" t="str">
        <f t="shared" si="2"/>
        <v/>
      </c>
      <c r="J17" s="39"/>
      <c r="K17" s="40"/>
      <c r="L17" s="63"/>
      <c r="M17" s="63"/>
      <c r="N17" s="63"/>
      <c r="O17" s="63"/>
    </row>
    <row r="18" spans="1:15" ht="12.75" customHeight="1">
      <c r="A18" s="25" t="str">
        <v>San Marino</v>
      </c>
      <c r="B18" s="26" t="str">
        <v>CA</v>
      </c>
      <c r="C18" s="21">
        <v>3742</v>
      </c>
      <c r="D18" s="11">
        <v>4309</v>
      </c>
      <c r="E18" s="11">
        <f t="shared" si="0"/>
        <v>-567</v>
      </c>
      <c r="F18" s="12">
        <f t="shared" si="3"/>
        <v>-0.13158505453701555</v>
      </c>
      <c r="G18" s="13">
        <v>5485</v>
      </c>
      <c r="H18" s="13">
        <f t="shared" si="1"/>
        <v>-1743</v>
      </c>
      <c r="I18" s="14">
        <f t="shared" si="2"/>
        <v>-0.3177757520510483</v>
      </c>
      <c r="J18" s="38" t="s">
        <v>132</v>
      </c>
      <c r="K18" s="38" t="s">
        <v>133</v>
      </c>
      <c r="L18" s="63"/>
      <c r="M18" s="63"/>
      <c r="N18" s="63"/>
      <c r="O18" s="63"/>
    </row>
    <row r="19" spans="1:15" ht="15.6">
      <c r="A19" s="27" t="str">
        <v>Buenaventura</v>
      </c>
      <c r="B19" s="28" t="str">
        <v>CA</v>
      </c>
      <c r="C19" s="10">
        <v>5514</v>
      </c>
      <c r="D19" s="15">
        <v>3923</v>
      </c>
      <c r="E19" s="15">
        <f t="shared" si="0"/>
        <v>1591</v>
      </c>
      <c r="F19" s="16">
        <f t="shared" si="3"/>
        <v>0.40555697170532756</v>
      </c>
      <c r="G19" s="17">
        <v>5951</v>
      </c>
      <c r="H19" s="17">
        <f t="shared" si="1"/>
        <v>-437</v>
      </c>
      <c r="I19" s="16">
        <f t="shared" si="2"/>
        <v>-7.3433036464459756E-2</v>
      </c>
      <c r="J19" s="39"/>
      <c r="K19" s="84"/>
      <c r="L19" s="63"/>
      <c r="M19" s="63"/>
      <c r="N19" s="63"/>
      <c r="O19" s="63"/>
    </row>
    <row r="20" spans="1:15" ht="15.6">
      <c r="A20" s="25" t="str">
        <v>BE 199502 - Westgate</v>
      </c>
      <c r="B20" s="26" t="str">
        <v>CA</v>
      </c>
      <c r="C20" s="21">
        <v>2024</v>
      </c>
      <c r="D20" s="11" t="s">
        <v>127</v>
      </c>
      <c r="E20" s="11"/>
      <c r="F20" s="12"/>
      <c r="G20" s="13">
        <v>2120</v>
      </c>
      <c r="H20" s="13">
        <v>-95</v>
      </c>
      <c r="I20" s="14">
        <v>-0.04</v>
      </c>
      <c r="J20" s="38"/>
      <c r="K20" s="77"/>
      <c r="L20" s="63"/>
      <c r="M20" s="63"/>
      <c r="N20" s="63"/>
      <c r="O20" s="63"/>
    </row>
    <row r="21" spans="1:15" ht="43.15">
      <c r="A21" s="27" t="str">
        <v>98th &amp; Grant</v>
      </c>
      <c r="B21" s="28" t="str">
        <v>CO</v>
      </c>
      <c r="C21" s="10">
        <v>1132</v>
      </c>
      <c r="D21" s="15" t="s">
        <v>127</v>
      </c>
      <c r="E21" s="15" t="str">
        <f t="shared" si="0"/>
        <v/>
      </c>
      <c r="F21" s="16" t="str">
        <f t="shared" si="3"/>
        <v/>
      </c>
      <c r="G21" s="17">
        <v>2136</v>
      </c>
      <c r="H21" s="17">
        <f t="shared" si="1"/>
        <v>-1004</v>
      </c>
      <c r="I21" s="16">
        <f t="shared" si="2"/>
        <v>-0.47003745318352058</v>
      </c>
      <c r="J21" s="39" t="s">
        <v>110</v>
      </c>
      <c r="K21" s="40"/>
      <c r="L21" s="63"/>
      <c r="M21" s="63"/>
      <c r="N21" s="63"/>
      <c r="O21" s="63"/>
    </row>
    <row r="22" spans="1:15" ht="43.15">
      <c r="A22" s="25" t="str">
        <v>Arapahoe Crossings</v>
      </c>
      <c r="B22" s="26" t="str">
        <v>CO</v>
      </c>
      <c r="C22" s="21">
        <v>2890</v>
      </c>
      <c r="D22" s="11" t="s">
        <v>127</v>
      </c>
      <c r="E22" s="11" t="str">
        <f t="shared" si="0"/>
        <v/>
      </c>
      <c r="F22" s="12" t="str">
        <f t="shared" si="3"/>
        <v/>
      </c>
      <c r="G22" s="13">
        <v>3938</v>
      </c>
      <c r="H22" s="13">
        <f t="shared" si="1"/>
        <v>-1048</v>
      </c>
      <c r="I22" s="14">
        <f t="shared" si="2"/>
        <v>-0.26612493651599795</v>
      </c>
      <c r="J22" s="38" t="s">
        <v>105</v>
      </c>
      <c r="K22" s="38"/>
      <c r="L22" s="63"/>
      <c r="M22" s="63"/>
      <c r="N22" s="63"/>
      <c r="O22" s="63"/>
    </row>
    <row r="23" spans="1:15" ht="15.6">
      <c r="A23" s="27" t="str">
        <v>Aurora City Center</v>
      </c>
      <c r="B23" s="28" t="str">
        <v>CO</v>
      </c>
      <c r="C23" s="10">
        <v>1928</v>
      </c>
      <c r="D23" s="15" t="s">
        <v>127</v>
      </c>
      <c r="E23" s="15" t="str">
        <f t="shared" si="0"/>
        <v/>
      </c>
      <c r="F23" s="16" t="str">
        <f t="shared" si="3"/>
        <v/>
      </c>
      <c r="G23" s="17">
        <v>1830</v>
      </c>
      <c r="H23" s="17">
        <f t="shared" si="1"/>
        <v>98</v>
      </c>
      <c r="I23" s="16">
        <f t="shared" si="2"/>
        <v>5.3551912568306013E-2</v>
      </c>
      <c r="J23" s="39"/>
      <c r="K23" s="40"/>
      <c r="L23" s="63"/>
      <c r="M23" s="63"/>
      <c r="N23" s="63"/>
      <c r="O23" s="63"/>
    </row>
    <row r="24" spans="1:15" ht="15.6">
      <c r="A24" s="25" t="str">
        <v>Dry Creek</v>
      </c>
      <c r="B24" s="26" t="str">
        <v>CO</v>
      </c>
      <c r="C24" s="57">
        <v>2239</v>
      </c>
      <c r="D24" s="11" t="s">
        <v>127</v>
      </c>
      <c r="E24" s="11" t="str">
        <f t="shared" si="0"/>
        <v/>
      </c>
      <c r="F24" s="12" t="str">
        <f t="shared" si="3"/>
        <v/>
      </c>
      <c r="G24" s="13">
        <v>2326</v>
      </c>
      <c r="H24" s="13">
        <f t="shared" si="1"/>
        <v>-87</v>
      </c>
      <c r="I24" s="14">
        <f t="shared" si="2"/>
        <v>-3.7403267411865865E-2</v>
      </c>
      <c r="J24" s="38"/>
      <c r="K24" s="38"/>
      <c r="L24" s="63"/>
      <c r="M24" s="63"/>
      <c r="N24" s="63"/>
      <c r="O24" s="63"/>
    </row>
    <row r="25" spans="1:15" ht="43.15">
      <c r="A25" s="27" t="str">
        <v>Highlands Ranch S.</v>
      </c>
      <c r="B25" s="28" t="str">
        <v>CO</v>
      </c>
      <c r="C25" s="10">
        <v>1893</v>
      </c>
      <c r="D25" s="15" t="s">
        <v>127</v>
      </c>
      <c r="E25" s="15" t="str">
        <f t="shared" si="0"/>
        <v/>
      </c>
      <c r="F25" s="16" t="str">
        <f t="shared" si="3"/>
        <v/>
      </c>
      <c r="G25" s="17">
        <v>2208</v>
      </c>
      <c r="H25" s="17">
        <f t="shared" si="1"/>
        <v>-315</v>
      </c>
      <c r="I25" s="16">
        <f t="shared" si="2"/>
        <v>-0.14266304347826086</v>
      </c>
      <c r="J25" s="39" t="s">
        <v>105</v>
      </c>
      <c r="K25" s="55"/>
      <c r="L25" s="63"/>
      <c r="M25" s="63"/>
      <c r="N25" s="63"/>
      <c r="O25" s="63"/>
    </row>
    <row r="26" spans="1:15" ht="43.15">
      <c r="A26" s="25" t="str">
        <v>Lone Tree</v>
      </c>
      <c r="B26" s="26" t="str">
        <v>CO</v>
      </c>
      <c r="C26" s="21">
        <v>2930</v>
      </c>
      <c r="D26" s="11" t="s">
        <v>127</v>
      </c>
      <c r="E26" s="11" t="str">
        <f t="shared" si="0"/>
        <v/>
      </c>
      <c r="F26" s="12" t="str">
        <f t="shared" si="3"/>
        <v/>
      </c>
      <c r="G26" s="13">
        <v>5022</v>
      </c>
      <c r="H26" s="13">
        <f t="shared" si="1"/>
        <v>-2092</v>
      </c>
      <c r="I26" s="14">
        <f t="shared" si="2"/>
        <v>-0.41656710473914776</v>
      </c>
      <c r="J26" s="38" t="s">
        <v>134</v>
      </c>
      <c r="K26" s="38" t="s">
        <v>135</v>
      </c>
      <c r="L26" s="63"/>
      <c r="M26" s="63"/>
      <c r="N26" s="63"/>
      <c r="O26" s="63"/>
    </row>
    <row r="27" spans="1:15" ht="15.6">
      <c r="A27" s="27" t="str">
        <v>Meridian</v>
      </c>
      <c r="B27" s="28" t="str">
        <v>CO</v>
      </c>
      <c r="C27" s="10">
        <v>3211</v>
      </c>
      <c r="D27" s="15" t="s">
        <v>127</v>
      </c>
      <c r="E27" s="15" t="str">
        <f t="shared" si="0"/>
        <v/>
      </c>
      <c r="F27" s="16" t="str">
        <f t="shared" si="3"/>
        <v/>
      </c>
      <c r="G27" s="17">
        <v>2914</v>
      </c>
      <c r="H27" s="17">
        <f t="shared" si="1"/>
        <v>297</v>
      </c>
      <c r="I27" s="16">
        <f t="shared" si="2"/>
        <v>0.10192175703500343</v>
      </c>
      <c r="J27" s="39"/>
      <c r="K27" s="40"/>
      <c r="L27" s="63"/>
      <c r="M27" s="63"/>
      <c r="N27" s="63"/>
      <c r="O27" s="63"/>
    </row>
    <row r="28" spans="1:15" ht="15.6">
      <c r="A28" s="25" t="str">
        <v>Southglenn</v>
      </c>
      <c r="B28" s="26" t="str">
        <v>CO</v>
      </c>
      <c r="C28" s="21">
        <v>3125</v>
      </c>
      <c r="D28" s="11" t="s">
        <v>127</v>
      </c>
      <c r="E28" s="11" t="str">
        <f t="shared" si="0"/>
        <v/>
      </c>
      <c r="F28" s="12" t="str">
        <f t="shared" si="3"/>
        <v/>
      </c>
      <c r="G28" s="13">
        <v>2987</v>
      </c>
      <c r="H28" s="13">
        <f t="shared" si="1"/>
        <v>138</v>
      </c>
      <c r="I28" s="14">
        <f t="shared" si="2"/>
        <v>4.6200200870438565E-2</v>
      </c>
      <c r="J28" s="38"/>
      <c r="K28" s="38"/>
      <c r="L28" s="63"/>
      <c r="M28" s="63"/>
      <c r="N28" s="63"/>
      <c r="O28" s="63"/>
    </row>
    <row r="29" spans="1:15" ht="43.15">
      <c r="A29" s="27" t="str">
        <v>Standley Lake</v>
      </c>
      <c r="B29" s="28" t="str">
        <v>CO</v>
      </c>
      <c r="C29" s="10">
        <v>3215</v>
      </c>
      <c r="D29" s="15" t="s">
        <v>127</v>
      </c>
      <c r="E29" s="15" t="str">
        <f t="shared" si="0"/>
        <v/>
      </c>
      <c r="F29" s="16" t="str">
        <f t="shared" si="3"/>
        <v/>
      </c>
      <c r="G29" s="17">
        <v>3982</v>
      </c>
      <c r="H29" s="17">
        <f t="shared" si="1"/>
        <v>-767</v>
      </c>
      <c r="I29" s="16">
        <f t="shared" si="2"/>
        <v>-0.19261677548970366</v>
      </c>
      <c r="J29" s="39" t="s">
        <v>110</v>
      </c>
      <c r="K29" s="40"/>
      <c r="L29" s="63"/>
      <c r="M29" s="63"/>
      <c r="N29" s="63"/>
      <c r="O29" s="63"/>
    </row>
    <row r="30" spans="1:15" ht="15.6">
      <c r="A30" s="25" t="str">
        <v>Havana Gardens</v>
      </c>
      <c r="B30" s="26" t="str">
        <v>CO</v>
      </c>
      <c r="C30" s="21">
        <v>3617</v>
      </c>
      <c r="D30" s="11" t="s">
        <v>127</v>
      </c>
      <c r="E30" s="11" t="str">
        <f t="shared" si="0"/>
        <v/>
      </c>
      <c r="F30" s="12" t="str">
        <f t="shared" si="3"/>
        <v/>
      </c>
      <c r="G30" s="13">
        <v>1550</v>
      </c>
      <c r="H30" s="13">
        <f t="shared" si="1"/>
        <v>2067</v>
      </c>
      <c r="I30" s="14">
        <f t="shared" si="2"/>
        <v>1.3335483870967741</v>
      </c>
      <c r="J30" s="38"/>
      <c r="K30" s="38"/>
      <c r="L30" s="63"/>
      <c r="M30" s="63"/>
      <c r="N30" s="63"/>
      <c r="O30" s="63"/>
    </row>
    <row r="31" spans="1:15" ht="15.6">
      <c r="A31" s="27" t="str">
        <v>East Hartford</v>
      </c>
      <c r="B31" s="28" t="str">
        <v>CT</v>
      </c>
      <c r="C31" s="10">
        <v>723</v>
      </c>
      <c r="D31" s="15">
        <v>1739</v>
      </c>
      <c r="E31" s="15">
        <f t="shared" si="0"/>
        <v>-1016</v>
      </c>
      <c r="F31" s="16">
        <f t="shared" si="3"/>
        <v>-0.58424381828637151</v>
      </c>
      <c r="G31" s="17">
        <v>797</v>
      </c>
      <c r="H31" s="17">
        <f t="shared" si="1"/>
        <v>-74</v>
      </c>
      <c r="I31" s="16">
        <f t="shared" si="2"/>
        <v>-9.2848180677540776E-2</v>
      </c>
      <c r="J31" s="39" t="s">
        <v>136</v>
      </c>
      <c r="K31" s="40"/>
      <c r="L31" s="63"/>
      <c r="M31" s="63"/>
      <c r="N31" s="63"/>
      <c r="O31" s="63"/>
    </row>
    <row r="32" spans="1:15" ht="15.6">
      <c r="A32" s="25" t="str">
        <v>Norwalk</v>
      </c>
      <c r="B32" s="26" t="str">
        <v>CT</v>
      </c>
      <c r="C32" s="21">
        <v>900</v>
      </c>
      <c r="D32" s="11">
        <v>96</v>
      </c>
      <c r="E32" s="11">
        <f t="shared" si="0"/>
        <v>804</v>
      </c>
      <c r="F32" s="12">
        <f t="shared" si="3"/>
        <v>8.375</v>
      </c>
      <c r="G32" s="13">
        <v>989</v>
      </c>
      <c r="H32" s="13">
        <f t="shared" si="1"/>
        <v>-89</v>
      </c>
      <c r="I32" s="14">
        <f t="shared" si="2"/>
        <v>-8.998988877654196E-2</v>
      </c>
      <c r="J32" s="38" t="s">
        <v>137</v>
      </c>
      <c r="K32" s="38" t="s">
        <v>138</v>
      </c>
      <c r="L32" s="63"/>
      <c r="M32" s="63"/>
      <c r="N32" s="63"/>
      <c r="O32" s="63"/>
    </row>
    <row r="33" spans="1:15" ht="15.6">
      <c r="A33" s="27" t="str">
        <v>Hialeah Gardens</v>
      </c>
      <c r="B33" s="28" t="str">
        <v>FL</v>
      </c>
      <c r="C33" s="10">
        <v>912</v>
      </c>
      <c r="D33" s="15">
        <v>4623</v>
      </c>
      <c r="E33" s="15">
        <f t="shared" si="0"/>
        <v>-3711</v>
      </c>
      <c r="F33" s="16">
        <f t="shared" si="3"/>
        <v>-0.80272550292018174</v>
      </c>
      <c r="G33" s="17">
        <v>5532</v>
      </c>
      <c r="H33" s="17">
        <f t="shared" si="1"/>
        <v>-4620</v>
      </c>
      <c r="I33" s="16">
        <f t="shared" si="2"/>
        <v>-0.83514099783080264</v>
      </c>
      <c r="J33" s="39" t="s">
        <v>139</v>
      </c>
      <c r="K33" s="40" t="s">
        <v>109</v>
      </c>
      <c r="L33" s="63"/>
      <c r="M33" s="63"/>
      <c r="N33" s="63"/>
      <c r="O33" s="63"/>
    </row>
    <row r="34" spans="1:15" ht="18" customHeight="1">
      <c r="A34" s="25" t="str">
        <v>W. Des Moines Campus EAST</v>
      </c>
      <c r="B34" s="26" t="str">
        <v>IA</v>
      </c>
      <c r="C34" s="21">
        <v>171304</v>
      </c>
      <c r="D34" s="11">
        <v>165349</v>
      </c>
      <c r="E34" s="11">
        <f t="shared" si="0"/>
        <v>5955</v>
      </c>
      <c r="F34" s="12">
        <f t="shared" si="3"/>
        <v>3.601473247494693E-2</v>
      </c>
      <c r="G34" s="13">
        <v>177300</v>
      </c>
      <c r="H34" s="13">
        <f t="shared" si="1"/>
        <v>-5996</v>
      </c>
      <c r="I34" s="14">
        <f t="shared" si="2"/>
        <v>-3.3818386914833617E-2</v>
      </c>
      <c r="J34" s="38"/>
      <c r="K34" s="77"/>
      <c r="L34" s="63"/>
      <c r="M34" s="63"/>
      <c r="N34" s="63"/>
      <c r="O34" s="63"/>
    </row>
    <row r="35" spans="1:15" ht="15.6">
      <c r="A35" s="27" t="str">
        <v>W. Des Moines Campus SW</v>
      </c>
      <c r="B35" s="28" t="str">
        <v>IA</v>
      </c>
      <c r="C35" s="10">
        <v>85147</v>
      </c>
      <c r="D35" s="15">
        <v>83404</v>
      </c>
      <c r="E35" s="15">
        <f t="shared" si="0"/>
        <v>1743</v>
      </c>
      <c r="F35" s="16">
        <f t="shared" si="3"/>
        <v>2.0898278260035489E-2</v>
      </c>
      <c r="G35" s="17">
        <v>87570</v>
      </c>
      <c r="H35" s="17">
        <f t="shared" si="1"/>
        <v>-2423</v>
      </c>
      <c r="I35" s="16">
        <f t="shared" si="2"/>
        <v>-2.7669293136919036E-2</v>
      </c>
      <c r="J35" s="39"/>
      <c r="K35" s="40"/>
      <c r="L35" s="63"/>
      <c r="M35" s="63"/>
      <c r="N35" s="63"/>
      <c r="O35" s="63"/>
    </row>
    <row r="36" spans="1:15" ht="15.6">
      <c r="A36" s="25" t="str">
        <v>WF - CIC</v>
      </c>
      <c r="B36" s="26" t="str">
        <v>NC</v>
      </c>
      <c r="C36" s="21">
        <v>181200</v>
      </c>
      <c r="D36" s="11">
        <v>181100</v>
      </c>
      <c r="E36" s="11">
        <f t="shared" si="0"/>
        <v>100</v>
      </c>
      <c r="F36" s="12">
        <f t="shared" si="3"/>
        <v>5.5218111540585317E-4</v>
      </c>
      <c r="G36" s="13">
        <v>194273</v>
      </c>
      <c r="H36" s="13">
        <f t="shared" si="1"/>
        <v>-13073</v>
      </c>
      <c r="I36" s="14">
        <f t="shared" si="2"/>
        <v>-6.729190366134255E-2</v>
      </c>
      <c r="J36" s="38"/>
      <c r="K36" s="38"/>
      <c r="L36" s="63"/>
      <c r="M36" s="63"/>
      <c r="N36" s="63"/>
      <c r="O36" s="63"/>
    </row>
    <row r="37" spans="1:15" ht="15.6">
      <c r="A37" s="27" t="str">
        <v>Charlotte - Wells Fargo - DUC</v>
      </c>
      <c r="B37" s="28" t="str">
        <v>NC</v>
      </c>
      <c r="C37" s="10">
        <v>182298</v>
      </c>
      <c r="D37" s="15">
        <v>197108</v>
      </c>
      <c r="E37" s="15">
        <f t="shared" si="0"/>
        <v>-14810</v>
      </c>
      <c r="F37" s="16">
        <f t="shared" si="3"/>
        <v>-7.5136473405442702E-2</v>
      </c>
      <c r="G37" s="17">
        <v>175059</v>
      </c>
      <c r="H37" s="17">
        <f t="shared" si="1"/>
        <v>7239</v>
      </c>
      <c r="I37" s="16">
        <f t="shared" si="2"/>
        <v>4.1351772830874163E-2</v>
      </c>
      <c r="J37" s="39"/>
      <c r="K37" s="40"/>
      <c r="L37" s="63"/>
      <c r="M37" s="63"/>
      <c r="N37" s="63"/>
      <c r="O37" s="63"/>
    </row>
    <row r="38" spans="1:15" ht="28.9">
      <c r="A38" s="25" t="str">
        <v>East Windsor</v>
      </c>
      <c r="B38" s="26" t="str">
        <v>NJ</v>
      </c>
      <c r="C38" s="21">
        <v>951</v>
      </c>
      <c r="D38" s="11">
        <v>828</v>
      </c>
      <c r="E38" s="11">
        <f t="shared" si="0"/>
        <v>123</v>
      </c>
      <c r="F38" s="12">
        <f t="shared" si="3"/>
        <v>0.14855072463768115</v>
      </c>
      <c r="G38" s="13">
        <v>1083</v>
      </c>
      <c r="H38" s="13">
        <f t="shared" si="1"/>
        <v>-132</v>
      </c>
      <c r="I38" s="14">
        <f t="shared" si="2"/>
        <v>-0.12188365650969529</v>
      </c>
      <c r="J38" s="38" t="s">
        <v>100</v>
      </c>
      <c r="K38" s="77"/>
      <c r="L38" s="63"/>
      <c r="M38" s="63"/>
      <c r="N38" s="63"/>
      <c r="O38" s="63"/>
    </row>
    <row r="39" spans="1:15" ht="28.9">
      <c r="A39" s="27" t="str">
        <v>Burlington</v>
      </c>
      <c r="B39" s="28" t="str">
        <v>NJ</v>
      </c>
      <c r="C39" s="10">
        <v>2419</v>
      </c>
      <c r="D39" s="15">
        <v>2340</v>
      </c>
      <c r="E39" s="15">
        <f t="shared" si="0"/>
        <v>79</v>
      </c>
      <c r="F39" s="16">
        <f t="shared" si="3"/>
        <v>3.3760683760683759E-2</v>
      </c>
      <c r="G39" s="17">
        <v>2738</v>
      </c>
      <c r="H39" s="17">
        <f t="shared" si="1"/>
        <v>-319</v>
      </c>
      <c r="I39" s="16">
        <f t="shared" si="2"/>
        <v>-0.11650840029218408</v>
      </c>
      <c r="J39" s="39" t="s">
        <v>100</v>
      </c>
      <c r="K39" s="40"/>
      <c r="L39" s="63"/>
      <c r="M39" s="63"/>
      <c r="N39" s="63"/>
      <c r="O39" s="63"/>
    </row>
    <row r="40" spans="1:15" ht="15.6">
      <c r="A40" s="25" t="str">
        <v>Bayonne</v>
      </c>
      <c r="B40" s="26" t="str">
        <v>NJ</v>
      </c>
      <c r="C40" s="21">
        <v>3164</v>
      </c>
      <c r="D40" s="11">
        <v>3019</v>
      </c>
      <c r="E40" s="11">
        <f t="shared" si="0"/>
        <v>145</v>
      </c>
      <c r="F40" s="12">
        <f t="shared" si="3"/>
        <v>4.8029148724743294E-2</v>
      </c>
      <c r="G40" s="13">
        <v>3302</v>
      </c>
      <c r="H40" s="13">
        <f t="shared" si="1"/>
        <v>-138</v>
      </c>
      <c r="I40" s="14">
        <f t="shared" si="2"/>
        <v>-4.1792852816474865E-2</v>
      </c>
      <c r="J40" s="38"/>
      <c r="K40" s="77"/>
      <c r="L40" s="63"/>
      <c r="M40" s="63"/>
      <c r="N40" s="63"/>
      <c r="O40" s="63"/>
    </row>
    <row r="41" spans="1:15" ht="28.9">
      <c r="A41" s="27" t="str">
        <v>Clifton</v>
      </c>
      <c r="B41" s="28" t="str">
        <v>NJ</v>
      </c>
      <c r="C41" s="10">
        <v>3850</v>
      </c>
      <c r="D41" s="15">
        <v>3906</v>
      </c>
      <c r="E41" s="15">
        <f t="shared" si="0"/>
        <v>-56</v>
      </c>
      <c r="F41" s="16">
        <f t="shared" si="3"/>
        <v>-1.4336917562724014E-2</v>
      </c>
      <c r="G41" s="17">
        <v>4380</v>
      </c>
      <c r="H41" s="17">
        <f t="shared" si="1"/>
        <v>-530</v>
      </c>
      <c r="I41" s="16">
        <f t="shared" si="2"/>
        <v>-0.12100456621004566</v>
      </c>
      <c r="J41" s="39" t="s">
        <v>100</v>
      </c>
      <c r="K41" s="40"/>
      <c r="L41" s="63"/>
      <c r="M41" s="63"/>
      <c r="N41" s="63"/>
      <c r="O41" s="63"/>
    </row>
    <row r="42" spans="1:15" ht="15.6">
      <c r="A42" s="25" t="str">
        <v>North Elizabeth</v>
      </c>
      <c r="B42" s="26" t="str">
        <v>NJ</v>
      </c>
      <c r="C42" s="21">
        <v>3380</v>
      </c>
      <c r="D42" s="11">
        <v>2552</v>
      </c>
      <c r="E42" s="11">
        <f t="shared" si="0"/>
        <v>828</v>
      </c>
      <c r="F42" s="12">
        <f t="shared" si="3"/>
        <v>0.32445141065830724</v>
      </c>
      <c r="G42" s="13">
        <v>3644</v>
      </c>
      <c r="H42" s="13">
        <f t="shared" si="1"/>
        <v>-264</v>
      </c>
      <c r="I42" s="14">
        <f t="shared" si="2"/>
        <v>-7.2447859495060371E-2</v>
      </c>
      <c r="J42" s="38"/>
      <c r="K42" s="38"/>
      <c r="L42" s="63"/>
      <c r="M42" s="63"/>
      <c r="N42" s="63"/>
      <c r="O42" s="63"/>
    </row>
    <row r="43" spans="1:15" ht="28.9">
      <c r="A43" s="27" t="str">
        <v>Haddon Westmont Plaza</v>
      </c>
      <c r="B43" s="28" t="str">
        <v>NJ</v>
      </c>
      <c r="C43" s="10">
        <v>2352</v>
      </c>
      <c r="D43" s="15">
        <v>2273</v>
      </c>
      <c r="E43" s="15">
        <f t="shared" si="0"/>
        <v>79</v>
      </c>
      <c r="F43" s="16">
        <f t="shared" si="3"/>
        <v>3.4755829300483945E-2</v>
      </c>
      <c r="G43" s="17">
        <v>2652</v>
      </c>
      <c r="H43" s="17">
        <f t="shared" si="1"/>
        <v>-300</v>
      </c>
      <c r="I43" s="16">
        <f t="shared" si="2"/>
        <v>-0.11312217194570136</v>
      </c>
      <c r="J43" s="49" t="s">
        <v>100</v>
      </c>
      <c r="K43" s="49"/>
      <c r="L43" s="63"/>
      <c r="M43" s="63"/>
      <c r="N43" s="63"/>
      <c r="O43" s="63"/>
    </row>
    <row r="44" spans="1:15" ht="15.6">
      <c r="A44" s="25" t="str">
        <v>Parsippany</v>
      </c>
      <c r="B44" s="26" t="str">
        <v>NJ</v>
      </c>
      <c r="C44" s="21">
        <v>2855</v>
      </c>
      <c r="D44" s="11">
        <v>2683</v>
      </c>
      <c r="E44" s="11">
        <f t="shared" si="0"/>
        <v>172</v>
      </c>
      <c r="F44" s="12">
        <f t="shared" si="3"/>
        <v>6.4107342527021993E-2</v>
      </c>
      <c r="G44" s="13">
        <v>3019</v>
      </c>
      <c r="H44" s="13">
        <f t="shared" si="1"/>
        <v>-164</v>
      </c>
      <c r="I44" s="14">
        <f t="shared" si="2"/>
        <v>-5.4322623385226899E-2</v>
      </c>
      <c r="J44" s="60"/>
      <c r="K44" s="60"/>
      <c r="L44" s="63"/>
      <c r="M44" s="63"/>
      <c r="N44" s="63"/>
      <c r="O44" s="63"/>
    </row>
    <row r="45" spans="1:15" ht="57" customHeight="1">
      <c r="A45" s="27" t="str">
        <v>Clark</v>
      </c>
      <c r="B45" s="28" t="str">
        <v>NJ</v>
      </c>
      <c r="C45" s="10">
        <v>2377</v>
      </c>
      <c r="D45" s="15">
        <v>2258</v>
      </c>
      <c r="E45" s="15">
        <f t="shared" si="0"/>
        <v>119</v>
      </c>
      <c r="F45" s="16">
        <f t="shared" si="3"/>
        <v>5.2701505757307351E-2</v>
      </c>
      <c r="G45" s="17">
        <v>2525</v>
      </c>
      <c r="H45" s="17">
        <f t="shared" si="1"/>
        <v>-148</v>
      </c>
      <c r="I45" s="16">
        <f t="shared" si="2"/>
        <v>-5.861386138613861E-2</v>
      </c>
      <c r="J45" s="49"/>
      <c r="K45" s="80"/>
      <c r="L45" s="63"/>
      <c r="M45" s="63"/>
      <c r="N45" s="63"/>
      <c r="O45" s="63"/>
    </row>
    <row r="46" spans="1:15" ht="39.75" customHeight="1">
      <c r="A46" s="25" t="str">
        <v>Closter</v>
      </c>
      <c r="B46" s="26" t="str">
        <v>NJ</v>
      </c>
      <c r="C46" s="21">
        <v>1232</v>
      </c>
      <c r="D46" s="11">
        <v>999</v>
      </c>
      <c r="E46" s="11">
        <f t="shared" si="0"/>
        <v>233</v>
      </c>
      <c r="F46" s="12">
        <f t="shared" si="3"/>
        <v>0.23323323323323322</v>
      </c>
      <c r="G46" s="13">
        <v>1502</v>
      </c>
      <c r="H46" s="13">
        <f t="shared" si="1"/>
        <v>-270</v>
      </c>
      <c r="I46" s="14">
        <f t="shared" si="2"/>
        <v>-0.17976031957390146</v>
      </c>
      <c r="J46" s="60" t="s">
        <v>100</v>
      </c>
      <c r="K46" s="86"/>
      <c r="L46" s="63"/>
      <c r="M46" s="63"/>
      <c r="N46" s="63"/>
      <c r="O46" s="63"/>
    </row>
    <row r="47" spans="1:15" ht="15.6">
      <c r="A47" s="27" t="str">
        <v>Holmdel</v>
      </c>
      <c r="B47" s="28" t="str">
        <v>NJ</v>
      </c>
      <c r="C47" s="10">
        <v>2006</v>
      </c>
      <c r="D47" s="15">
        <v>5819</v>
      </c>
      <c r="E47" s="15">
        <f t="shared" si="0"/>
        <v>-3813</v>
      </c>
      <c r="F47" s="16">
        <f t="shared" si="3"/>
        <v>-0.65526722804605597</v>
      </c>
      <c r="G47" s="17">
        <v>2179</v>
      </c>
      <c r="H47" s="17">
        <f t="shared" si="1"/>
        <v>-173</v>
      </c>
      <c r="I47" s="16">
        <f t="shared" si="2"/>
        <v>-7.9394217530977515E-2</v>
      </c>
      <c r="J47" s="49" t="s">
        <v>140</v>
      </c>
      <c r="K47" s="80" t="s">
        <v>141</v>
      </c>
      <c r="L47" s="63"/>
      <c r="M47" s="63"/>
      <c r="N47" s="63"/>
      <c r="O47" s="63"/>
    </row>
    <row r="48" spans="1:15" ht="28.9">
      <c r="A48" s="25" t="str">
        <v>Ellisburg Circle Center</v>
      </c>
      <c r="B48" s="26" t="str">
        <v>NJ</v>
      </c>
      <c r="C48" s="21">
        <v>1046</v>
      </c>
      <c r="D48" s="11">
        <v>1035</v>
      </c>
      <c r="E48" s="11">
        <f t="shared" si="0"/>
        <v>11</v>
      </c>
      <c r="F48" s="12">
        <f t="shared" si="3"/>
        <v>1.0628019323671498E-2</v>
      </c>
      <c r="G48" s="13">
        <v>1216</v>
      </c>
      <c r="H48" s="13">
        <f t="shared" si="1"/>
        <v>-170</v>
      </c>
      <c r="I48" s="14">
        <f t="shared" si="2"/>
        <v>-0.13980263157894737</v>
      </c>
      <c r="J48" s="61" t="s">
        <v>100</v>
      </c>
      <c r="K48" s="60"/>
      <c r="L48" s="63"/>
      <c r="M48" s="63"/>
      <c r="N48" s="63"/>
      <c r="O48" s="63"/>
    </row>
    <row r="49" spans="1:15" ht="15.6">
      <c r="A49" s="27" t="str">
        <v>Nutley</v>
      </c>
      <c r="B49" s="28" t="str">
        <v>NJ</v>
      </c>
      <c r="C49" s="10">
        <v>4065</v>
      </c>
      <c r="D49" s="15">
        <v>3305</v>
      </c>
      <c r="E49" s="15">
        <f t="shared" si="0"/>
        <v>760</v>
      </c>
      <c r="F49" s="16">
        <f t="shared" si="3"/>
        <v>0.22995461422087746</v>
      </c>
      <c r="G49" s="17">
        <v>4263</v>
      </c>
      <c r="H49" s="17">
        <f t="shared" si="1"/>
        <v>-198</v>
      </c>
      <c r="I49" s="16">
        <f t="shared" si="2"/>
        <v>-4.6446164672765661E-2</v>
      </c>
      <c r="J49" s="49"/>
      <c r="K49" s="49"/>
      <c r="L49" s="63"/>
      <c r="M49" s="63"/>
      <c r="N49" s="63"/>
      <c r="O49" s="63"/>
    </row>
    <row r="50" spans="1:15" ht="15.6">
      <c r="A50" s="25" t="str">
        <v>Marlton</v>
      </c>
      <c r="B50" s="26" t="str">
        <v>NJ</v>
      </c>
      <c r="C50" s="21">
        <v>3782</v>
      </c>
      <c r="D50" s="11">
        <v>3337</v>
      </c>
      <c r="E50" s="11">
        <f t="shared" si="0"/>
        <v>445</v>
      </c>
      <c r="F50" s="12">
        <f t="shared" si="3"/>
        <v>0.13335331135750675</v>
      </c>
      <c r="G50" s="13">
        <v>4177</v>
      </c>
      <c r="H50" s="13">
        <f t="shared" si="1"/>
        <v>-395</v>
      </c>
      <c r="I50" s="14">
        <f t="shared" si="2"/>
        <v>-9.4565477615513524E-2</v>
      </c>
      <c r="J50" s="38"/>
      <c r="K50" s="38"/>
      <c r="L50" s="63"/>
      <c r="M50" s="63"/>
      <c r="N50" s="63"/>
      <c r="O50" s="63"/>
    </row>
    <row r="51" spans="1:15" ht="15.6">
      <c r="A51" s="27" t="str">
        <v>Middletown</v>
      </c>
      <c r="B51" s="28" t="str">
        <v>NJ</v>
      </c>
      <c r="C51" s="10">
        <v>2972</v>
      </c>
      <c r="D51" s="15">
        <v>2414</v>
      </c>
      <c r="E51" s="15">
        <f t="shared" si="0"/>
        <v>558</v>
      </c>
      <c r="F51" s="16">
        <f t="shared" si="3"/>
        <v>0.2311516155758078</v>
      </c>
      <c r="G51" s="17">
        <v>3484</v>
      </c>
      <c r="H51" s="17">
        <f t="shared" si="1"/>
        <v>-512</v>
      </c>
      <c r="I51" s="16">
        <f t="shared" si="2"/>
        <v>-0.14695752009184845</v>
      </c>
      <c r="J51" s="39" t="s">
        <v>142</v>
      </c>
      <c r="K51" s="40" t="s">
        <v>143</v>
      </c>
      <c r="L51" s="63"/>
      <c r="M51" s="63"/>
      <c r="N51" s="63"/>
      <c r="O51" s="63"/>
    </row>
    <row r="52" spans="1:15" ht="28.9">
      <c r="A52" s="25" t="str">
        <v>Whiting Crestwood</v>
      </c>
      <c r="B52" s="26" t="str">
        <v>NJ</v>
      </c>
      <c r="C52" s="21">
        <v>3893</v>
      </c>
      <c r="D52" s="11">
        <v>3672</v>
      </c>
      <c r="E52" s="11">
        <f t="shared" si="0"/>
        <v>221</v>
      </c>
      <c r="F52" s="12">
        <f t="shared" si="3"/>
        <v>6.0185185185185182E-2</v>
      </c>
      <c r="G52" s="13">
        <v>4680</v>
      </c>
      <c r="H52" s="13">
        <f t="shared" si="1"/>
        <v>-787</v>
      </c>
      <c r="I52" s="14">
        <f t="shared" si="2"/>
        <v>-0.16816239316239318</v>
      </c>
      <c r="J52" s="38" t="s">
        <v>100</v>
      </c>
      <c r="K52" s="38"/>
      <c r="L52" s="63"/>
      <c r="M52" s="63"/>
      <c r="N52" s="63"/>
      <c r="O52" s="63"/>
    </row>
    <row r="53" spans="1:15" ht="28.9">
      <c r="A53" s="27" t="str">
        <v>Barnegat</v>
      </c>
      <c r="B53" s="28" t="str">
        <v>NJ</v>
      </c>
      <c r="C53" s="10">
        <v>5389</v>
      </c>
      <c r="D53" s="15">
        <v>4836</v>
      </c>
      <c r="E53" s="15">
        <f t="shared" si="0"/>
        <v>553</v>
      </c>
      <c r="F53" s="16">
        <f t="shared" si="3"/>
        <v>0.11435070306038048</v>
      </c>
      <c r="G53" s="17">
        <v>6060</v>
      </c>
      <c r="H53" s="17">
        <f t="shared" si="1"/>
        <v>-671</v>
      </c>
      <c r="I53" s="16">
        <f t="shared" si="2"/>
        <v>-0.11072607260726072</v>
      </c>
      <c r="J53" s="39" t="s">
        <v>144</v>
      </c>
      <c r="K53" s="40" t="s">
        <v>145</v>
      </c>
      <c r="L53" s="63"/>
      <c r="M53" s="63"/>
      <c r="N53" s="63"/>
      <c r="O53" s="63"/>
    </row>
    <row r="54" spans="1:15" ht="15.6">
      <c r="A54" s="25" t="str">
        <v>Manchester</v>
      </c>
      <c r="B54" s="26" t="str">
        <v>NJ</v>
      </c>
      <c r="C54" s="21">
        <v>2211</v>
      </c>
      <c r="D54" s="11">
        <v>2486</v>
      </c>
      <c r="E54" s="11">
        <f t="shared" si="0"/>
        <v>-275</v>
      </c>
      <c r="F54" s="12">
        <f t="shared" si="3"/>
        <v>-0.11061946902654868</v>
      </c>
      <c r="G54" s="13">
        <v>3946</v>
      </c>
      <c r="H54" s="13">
        <f t="shared" si="1"/>
        <v>-1735</v>
      </c>
      <c r="I54" s="14">
        <f t="shared" si="2"/>
        <v>-0.43968575772934615</v>
      </c>
      <c r="J54" s="38" t="s">
        <v>146</v>
      </c>
      <c r="K54" s="38"/>
      <c r="L54" s="63"/>
      <c r="M54" s="63"/>
      <c r="N54" s="63"/>
      <c r="O54" s="63"/>
    </row>
    <row r="55" spans="1:15" ht="15.6">
      <c r="A55" s="27" t="str">
        <v>West Deptford - Woodbury</v>
      </c>
      <c r="B55" s="28" t="str">
        <v>NJ</v>
      </c>
      <c r="C55" s="10">
        <v>3415</v>
      </c>
      <c r="D55" s="15">
        <v>3542</v>
      </c>
      <c r="E55" s="15">
        <f t="shared" si="0"/>
        <v>-127</v>
      </c>
      <c r="F55" s="16">
        <f t="shared" si="3"/>
        <v>-3.585544889892716E-2</v>
      </c>
      <c r="G55" s="17">
        <v>3775</v>
      </c>
      <c r="H55" s="17">
        <f t="shared" si="1"/>
        <v>-360</v>
      </c>
      <c r="I55" s="16">
        <f t="shared" si="2"/>
        <v>-9.5364238410596033E-2</v>
      </c>
      <c r="J55" s="39"/>
      <c r="K55" s="40"/>
      <c r="L55" s="63"/>
      <c r="M55" s="63"/>
      <c r="N55" s="63"/>
      <c r="O55" s="63"/>
    </row>
    <row r="56" spans="1:15" ht="15.6">
      <c r="A56" s="25" t="str">
        <v>Edison</v>
      </c>
      <c r="B56" s="26" t="str">
        <v>NJ</v>
      </c>
      <c r="C56" s="21">
        <v>3047</v>
      </c>
      <c r="D56" s="11">
        <v>2910</v>
      </c>
      <c r="E56" s="11">
        <f t="shared" si="0"/>
        <v>137</v>
      </c>
      <c r="F56" s="12">
        <f t="shared" si="3"/>
        <v>4.7079037800687284E-2</v>
      </c>
      <c r="G56" s="13">
        <v>3309</v>
      </c>
      <c r="H56" s="13">
        <f t="shared" si="1"/>
        <v>-262</v>
      </c>
      <c r="I56" s="14">
        <f t="shared" si="2"/>
        <v>-7.9177999395587798E-2</v>
      </c>
      <c r="J56" s="38"/>
      <c r="K56" s="38"/>
      <c r="L56" s="63"/>
      <c r="M56" s="63"/>
      <c r="N56" s="63"/>
      <c r="O56" s="63"/>
    </row>
    <row r="57" spans="1:15" ht="28.9">
      <c r="A57" s="27" t="str">
        <v>Flemington</v>
      </c>
      <c r="B57" s="28" t="str">
        <v>NJ</v>
      </c>
      <c r="C57" s="10">
        <v>2898</v>
      </c>
      <c r="D57" s="15">
        <v>2720</v>
      </c>
      <c r="E57" s="15">
        <f t="shared" si="0"/>
        <v>178</v>
      </c>
      <c r="F57" s="16">
        <f t="shared" si="3"/>
        <v>6.5441176470588239E-2</v>
      </c>
      <c r="G57" s="17">
        <v>3284</v>
      </c>
      <c r="H57" s="17">
        <f t="shared" si="1"/>
        <v>-386</v>
      </c>
      <c r="I57" s="16">
        <f t="shared" si="2"/>
        <v>-0.11753958587088915</v>
      </c>
      <c r="J57" s="39" t="s">
        <v>100</v>
      </c>
      <c r="K57" s="55"/>
      <c r="L57" s="63"/>
      <c r="M57" s="63"/>
      <c r="N57" s="63"/>
      <c r="O57" s="63"/>
    </row>
    <row r="58" spans="1:15" ht="43.15">
      <c r="A58" s="25" t="str">
        <v>Route 22</v>
      </c>
      <c r="B58" s="26" t="str">
        <v>NJ</v>
      </c>
      <c r="C58" s="21">
        <v>2799</v>
      </c>
      <c r="D58" s="11">
        <v>2987</v>
      </c>
      <c r="E58" s="11">
        <f t="shared" si="0"/>
        <v>-188</v>
      </c>
      <c r="F58" s="12">
        <f t="shared" si="3"/>
        <v>-6.2939404084365588E-2</v>
      </c>
      <c r="G58" s="13">
        <v>3173</v>
      </c>
      <c r="H58" s="13">
        <f t="shared" si="1"/>
        <v>-374</v>
      </c>
      <c r="I58" s="14">
        <f t="shared" si="2"/>
        <v>-0.11786952410967538</v>
      </c>
      <c r="J58" s="38" t="s">
        <v>147</v>
      </c>
      <c r="K58" s="38" t="s">
        <v>148</v>
      </c>
      <c r="L58" s="63"/>
      <c r="M58" s="63"/>
      <c r="N58" s="63"/>
      <c r="O58" s="63"/>
    </row>
    <row r="59" spans="1:15" ht="28.9">
      <c r="A59" s="27" t="str">
        <v>Laurelton</v>
      </c>
      <c r="B59" s="28" t="str">
        <v>NJ</v>
      </c>
      <c r="C59" s="10">
        <v>1172</v>
      </c>
      <c r="D59" s="15">
        <v>1737</v>
      </c>
      <c r="E59" s="15">
        <f t="shared" si="0"/>
        <v>-565</v>
      </c>
      <c r="F59" s="16">
        <f t="shared" si="3"/>
        <v>-0.32527345998848589</v>
      </c>
      <c r="G59" s="17">
        <v>2845</v>
      </c>
      <c r="H59" s="17">
        <f t="shared" si="1"/>
        <v>-1673</v>
      </c>
      <c r="I59" s="16">
        <f t="shared" si="2"/>
        <v>-0.58804920913884007</v>
      </c>
      <c r="J59" s="39" t="s">
        <v>149</v>
      </c>
      <c r="K59" s="40" t="s">
        <v>150</v>
      </c>
      <c r="L59" s="63"/>
      <c r="M59" s="63"/>
      <c r="N59" s="63"/>
      <c r="O59" s="63"/>
    </row>
    <row r="60" spans="1:15" ht="28.9">
      <c r="A60" s="25" t="str">
        <v>Mahwah</v>
      </c>
      <c r="B60" s="26" t="str">
        <v>NJ</v>
      </c>
      <c r="C60" s="21">
        <v>2351</v>
      </c>
      <c r="D60" s="11">
        <v>1144</v>
      </c>
      <c r="E60" s="11">
        <f t="shared" si="0"/>
        <v>1207</v>
      </c>
      <c r="F60" s="12">
        <f t="shared" si="3"/>
        <v>1.05506993006993</v>
      </c>
      <c r="G60" s="13">
        <v>2592</v>
      </c>
      <c r="H60" s="13">
        <f t="shared" si="1"/>
        <v>-241</v>
      </c>
      <c r="I60" s="14">
        <f t="shared" si="2"/>
        <v>-9.2978395061728392E-2</v>
      </c>
      <c r="J60" s="38" t="s">
        <v>151</v>
      </c>
      <c r="K60" s="38" t="s">
        <v>152</v>
      </c>
      <c r="L60" s="63"/>
      <c r="M60" s="63"/>
      <c r="N60" s="63"/>
      <c r="O60" s="63"/>
    </row>
    <row r="61" spans="1:15" ht="28.9">
      <c r="A61" s="27" t="str">
        <v>Franklin Township WF</v>
      </c>
      <c r="B61" s="28" t="str">
        <v>NJ</v>
      </c>
      <c r="C61" s="10">
        <v>2616</v>
      </c>
      <c r="D61" s="15">
        <v>2522</v>
      </c>
      <c r="E61" s="15">
        <f t="shared" si="0"/>
        <v>94</v>
      </c>
      <c r="F61" s="16">
        <f t="shared" si="3"/>
        <v>3.7272006344171292E-2</v>
      </c>
      <c r="G61" s="17">
        <v>3132</v>
      </c>
      <c r="H61" s="17">
        <f t="shared" si="1"/>
        <v>-516</v>
      </c>
      <c r="I61" s="16">
        <f t="shared" si="2"/>
        <v>-0.16475095785440613</v>
      </c>
      <c r="J61" s="56" t="s">
        <v>100</v>
      </c>
      <c r="K61" s="55"/>
      <c r="L61" s="63"/>
      <c r="M61" s="63"/>
      <c r="N61" s="63"/>
      <c r="O61" s="63"/>
    </row>
    <row r="62" spans="1:15" ht="28.9">
      <c r="A62" s="25" t="str">
        <v>Bordentown</v>
      </c>
      <c r="B62" s="26" t="str">
        <v>NJ</v>
      </c>
      <c r="C62" s="21">
        <v>2019</v>
      </c>
      <c r="D62" s="11">
        <v>1809</v>
      </c>
      <c r="E62" s="11">
        <f t="shared" si="0"/>
        <v>210</v>
      </c>
      <c r="F62" s="12">
        <f t="shared" si="3"/>
        <v>0.11608623548922056</v>
      </c>
      <c r="G62" s="13">
        <v>2245</v>
      </c>
      <c r="H62" s="13">
        <f t="shared" si="1"/>
        <v>-226</v>
      </c>
      <c r="I62" s="14">
        <f t="shared" si="2"/>
        <v>-0.10066815144766147</v>
      </c>
      <c r="J62" s="38" t="s">
        <v>100</v>
      </c>
      <c r="K62" s="38"/>
      <c r="L62" s="63"/>
      <c r="M62" s="63"/>
      <c r="N62" s="63"/>
      <c r="O62" s="63"/>
    </row>
    <row r="63" spans="1:15" ht="15.6">
      <c r="A63" s="27" t="str">
        <v>South Plainfield</v>
      </c>
      <c r="B63" s="28" t="str">
        <v>NJ</v>
      </c>
      <c r="C63" s="10">
        <v>1501</v>
      </c>
      <c r="D63" s="15">
        <v>1442</v>
      </c>
      <c r="E63" s="15">
        <f t="shared" si="0"/>
        <v>59</v>
      </c>
      <c r="F63" s="16">
        <f t="shared" si="3"/>
        <v>4.0915395284327326E-2</v>
      </c>
      <c r="G63" s="17">
        <v>1588</v>
      </c>
      <c r="H63" s="17">
        <f t="shared" si="1"/>
        <v>-87</v>
      </c>
      <c r="I63" s="16">
        <f t="shared" si="2"/>
        <v>-5.478589420654912E-2</v>
      </c>
      <c r="J63" s="39"/>
      <c r="K63" s="55"/>
      <c r="L63" s="63"/>
      <c r="M63" s="63"/>
      <c r="N63" s="63"/>
      <c r="O63" s="63"/>
    </row>
    <row r="64" spans="1:15" ht="28.9">
      <c r="A64" s="25" t="str">
        <v>Somerset</v>
      </c>
      <c r="B64" s="26" t="str">
        <v>NJ</v>
      </c>
      <c r="C64" s="21">
        <v>2357</v>
      </c>
      <c r="D64" s="11">
        <v>2364</v>
      </c>
      <c r="E64" s="11">
        <f t="shared" si="0"/>
        <v>-7</v>
      </c>
      <c r="F64" s="12">
        <f t="shared" si="3"/>
        <v>-2.9610829103214891E-3</v>
      </c>
      <c r="G64" s="13">
        <v>2652</v>
      </c>
      <c r="H64" s="13">
        <f t="shared" si="1"/>
        <v>-295</v>
      </c>
      <c r="I64" s="14">
        <f t="shared" si="2"/>
        <v>-0.11123680241327299</v>
      </c>
      <c r="J64" s="38" t="s">
        <v>100</v>
      </c>
      <c r="K64" s="77"/>
      <c r="L64" s="63"/>
      <c r="M64" s="63"/>
      <c r="N64" s="63"/>
      <c r="O64" s="63"/>
    </row>
    <row r="65" spans="1:15" ht="15.6">
      <c r="A65" s="27" t="str">
        <v>Clinton Main Relo</v>
      </c>
      <c r="B65" s="28" t="str">
        <v>NJ</v>
      </c>
      <c r="C65" s="10">
        <v>2804</v>
      </c>
      <c r="D65" s="15">
        <v>2794</v>
      </c>
      <c r="E65" s="15">
        <f t="shared" si="0"/>
        <v>10</v>
      </c>
      <c r="F65" s="16">
        <f t="shared" si="3"/>
        <v>3.5790980672870437E-3</v>
      </c>
      <c r="G65" s="17">
        <v>3050</v>
      </c>
      <c r="H65" s="17">
        <f t="shared" si="1"/>
        <v>-246</v>
      </c>
      <c r="I65" s="16">
        <f t="shared" si="2"/>
        <v>-8.0655737704918032E-2</v>
      </c>
      <c r="K65" s="39"/>
      <c r="L65" s="63"/>
      <c r="M65" s="63"/>
      <c r="N65" s="63"/>
      <c r="O65" s="63"/>
    </row>
    <row r="66" spans="1:15" ht="28.9">
      <c r="A66" s="25" t="str">
        <v>North Brunswick</v>
      </c>
      <c r="B66" s="26" t="str">
        <v>NJ</v>
      </c>
      <c r="C66" s="21">
        <v>2819</v>
      </c>
      <c r="D66" s="11">
        <v>2556</v>
      </c>
      <c r="E66" s="11">
        <f t="shared" si="0"/>
        <v>263</v>
      </c>
      <c r="F66" s="12">
        <f t="shared" si="3"/>
        <v>0.10289514866979656</v>
      </c>
      <c r="G66" s="13">
        <v>3314</v>
      </c>
      <c r="H66" s="13">
        <f t="shared" si="1"/>
        <v>-495</v>
      </c>
      <c r="I66" s="14">
        <f t="shared" si="2"/>
        <v>-0.14936632468316235</v>
      </c>
      <c r="J66" s="38" t="s">
        <v>100</v>
      </c>
      <c r="K66" s="38"/>
      <c r="L66" s="63"/>
      <c r="M66" s="63"/>
      <c r="N66" s="63"/>
      <c r="O66" s="63"/>
    </row>
    <row r="67" spans="1:15" ht="28.9">
      <c r="A67" s="27" t="str">
        <v>Cherry Hill</v>
      </c>
      <c r="B67" s="28" t="str">
        <v>NJ</v>
      </c>
      <c r="C67" s="10">
        <v>1940</v>
      </c>
      <c r="D67" s="15">
        <v>1866</v>
      </c>
      <c r="E67" s="15">
        <f t="shared" si="0"/>
        <v>74</v>
      </c>
      <c r="F67" s="16">
        <f t="shared" si="3"/>
        <v>3.965702036441586E-2</v>
      </c>
      <c r="G67" s="17">
        <v>2159</v>
      </c>
      <c r="H67" s="17">
        <f t="shared" si="1"/>
        <v>-219</v>
      </c>
      <c r="I67" s="16">
        <f t="shared" si="2"/>
        <v>-0.10143584993052339</v>
      </c>
      <c r="J67" s="39" t="s">
        <v>100</v>
      </c>
      <c r="K67" s="39"/>
      <c r="L67" s="63"/>
      <c r="M67" s="63"/>
      <c r="N67" s="63"/>
      <c r="O67" s="63"/>
    </row>
    <row r="68" spans="1:15" ht="15.6">
      <c r="A68" s="25" t="str">
        <v>Hainesport</v>
      </c>
      <c r="B68" s="26" t="str">
        <v>NJ</v>
      </c>
      <c r="C68" s="21">
        <v>2019</v>
      </c>
      <c r="D68" s="11">
        <v>2197</v>
      </c>
      <c r="E68" s="11">
        <f t="shared" si="0"/>
        <v>-178</v>
      </c>
      <c r="F68" s="12">
        <f t="shared" si="3"/>
        <v>-8.10195721438325E-2</v>
      </c>
      <c r="G68" s="13">
        <v>2179</v>
      </c>
      <c r="H68" s="13">
        <f t="shared" si="1"/>
        <v>-160</v>
      </c>
      <c r="I68" s="14">
        <f t="shared" si="2"/>
        <v>-7.3428178063331809E-2</v>
      </c>
      <c r="J68" s="38"/>
      <c r="K68" s="38"/>
      <c r="L68" s="63"/>
      <c r="M68" s="63"/>
      <c r="N68" s="63"/>
      <c r="O68" s="63"/>
    </row>
    <row r="69" spans="1:15" ht="15.6">
      <c r="A69" s="27" t="str">
        <v>San Antonio - Ops Ctr (Bldg 106)</v>
      </c>
      <c r="B69" s="28" t="str">
        <v>TX</v>
      </c>
      <c r="C69" s="10">
        <v>3922</v>
      </c>
      <c r="D69" s="15">
        <v>3411.2089999999998</v>
      </c>
      <c r="E69" s="15">
        <f t="shared" ref="E69:E70" si="4">IF(AND(ISNUMBER(C69),ISNUMBER(D69)), C69-D69, "")</f>
        <v>510.79100000000017</v>
      </c>
      <c r="F69" s="16">
        <f t="shared" si="3"/>
        <v>0.14973899283216016</v>
      </c>
      <c r="G69" s="17">
        <v>3350</v>
      </c>
      <c r="H69" s="17">
        <f t="shared" ref="H69:H70" si="5">IF(AND(ISNUMBER(C69),ISNUMBER(G69)), C69-G69, "")</f>
        <v>572</v>
      </c>
      <c r="I69" s="16">
        <f t="shared" ref="I69:I70" si="6">IFERROR(H69/G69, "")</f>
        <v>0.17074626865671641</v>
      </c>
      <c r="J69" s="39"/>
      <c r="K69" s="39"/>
      <c r="L69" s="63"/>
      <c r="M69" s="63"/>
      <c r="N69" s="63"/>
      <c r="O69" s="63"/>
    </row>
    <row r="70" spans="1:15" ht="15.6">
      <c r="A70" s="25" t="str">
        <v>San Antonio - Ops Ctr GM</v>
      </c>
      <c r="B70" s="26" t="str">
        <v>TX</v>
      </c>
      <c r="C70" s="21">
        <v>1396.8203125</v>
      </c>
      <c r="D70" s="11" t="s">
        <v>127</v>
      </c>
      <c r="E70" s="11" t="str">
        <f t="shared" si="4"/>
        <v/>
      </c>
      <c r="F70" s="12" t="str">
        <f t="shared" ref="F70:F84" si="7">IFERROR(E70/D70, "")</f>
        <v/>
      </c>
      <c r="G70" s="13">
        <v>1468</v>
      </c>
      <c r="H70" s="13">
        <f t="shared" si="5"/>
        <v>-71.1796875</v>
      </c>
      <c r="I70" s="14">
        <f t="shared" si="6"/>
        <v>-4.848752554495913E-2</v>
      </c>
      <c r="J70" s="38"/>
      <c r="K70" s="38"/>
      <c r="L70" s="63"/>
      <c r="M70" s="63"/>
      <c r="N70" s="63"/>
      <c r="O70" s="63"/>
    </row>
    <row r="71" spans="1:15" ht="15.6">
      <c r="A71" s="27" t="str">
        <v>San Antonio - Ctr (Bldg 201)</v>
      </c>
      <c r="B71" s="28" t="str">
        <v>TX</v>
      </c>
      <c r="C71" s="10">
        <v>9495.5</v>
      </c>
      <c r="D71" s="15" t="s">
        <v>127</v>
      </c>
      <c r="E71" s="15" t="str">
        <f t="shared" ref="E71:E84" si="8">IF(AND(ISNUMBER(C71),ISNUMBER(D71)), C71-D71, "")</f>
        <v/>
      </c>
      <c r="F71" s="16" t="str">
        <f t="shared" si="7"/>
        <v/>
      </c>
      <c r="G71" s="17">
        <v>9942</v>
      </c>
      <c r="H71" s="17">
        <f t="shared" ref="H71:H84" si="9">IF(AND(ISNUMBER(C71),ISNUMBER(G71)), C71-G71, "")</f>
        <v>-446.5</v>
      </c>
      <c r="I71" s="16">
        <f t="shared" ref="I71:I84" si="10">IFERROR(H71/G71, "")</f>
        <v>-4.491048078857373E-2</v>
      </c>
      <c r="J71" s="39"/>
      <c r="K71" s="39"/>
      <c r="L71" s="63"/>
      <c r="M71" s="63"/>
      <c r="N71" s="63"/>
      <c r="O71" s="63"/>
    </row>
    <row r="72" spans="1:15" ht="43.15">
      <c r="A72" s="25" t="str">
        <v>San Antonio - Ops Ctr (Bldg 203)</v>
      </c>
      <c r="B72" s="26" t="str">
        <v>TX</v>
      </c>
      <c r="C72" s="21">
        <v>3914.4593945312499</v>
      </c>
      <c r="D72" s="11" t="s">
        <v>127</v>
      </c>
      <c r="E72" s="11" t="str">
        <f t="shared" si="8"/>
        <v/>
      </c>
      <c r="F72" s="12" t="str">
        <f t="shared" si="7"/>
        <v/>
      </c>
      <c r="G72" s="13">
        <v>5021</v>
      </c>
      <c r="H72" s="13">
        <f t="shared" si="9"/>
        <v>-1106.5406054687501</v>
      </c>
      <c r="I72" s="14">
        <f t="shared" si="10"/>
        <v>-0.22038251453271263</v>
      </c>
      <c r="J72" s="38" t="s">
        <v>105</v>
      </c>
      <c r="K72" s="38"/>
      <c r="L72" s="63"/>
      <c r="M72" s="63"/>
      <c r="N72" s="63"/>
      <c r="O72" s="63"/>
    </row>
    <row r="73" spans="1:15" ht="15.6">
      <c r="A73" s="27" t="str">
        <v>San Antonio - Ops Ctr (Bldg 205)</v>
      </c>
      <c r="B73" s="28" t="str">
        <v>TX</v>
      </c>
      <c r="C73" s="10">
        <v>4272.1207421874997</v>
      </c>
      <c r="D73" s="15">
        <v>4180.9849999999997</v>
      </c>
      <c r="E73" s="15">
        <f t="shared" si="8"/>
        <v>91.1357421875</v>
      </c>
      <c r="F73" s="16">
        <f t="shared" si="7"/>
        <v>2.1797672602867506E-2</v>
      </c>
      <c r="G73" s="17">
        <v>4343</v>
      </c>
      <c r="H73" s="17">
        <f t="shared" si="9"/>
        <v>-70.879257812500327</v>
      </c>
      <c r="I73" s="16">
        <f t="shared" si="10"/>
        <v>-1.6320344879691532E-2</v>
      </c>
      <c r="J73" s="39"/>
      <c r="K73" s="39"/>
      <c r="L73" s="63"/>
      <c r="M73" s="63"/>
      <c r="N73" s="63"/>
      <c r="O73" s="63"/>
    </row>
    <row r="74" spans="1:15" ht="15.6">
      <c r="A74" s="25" t="str">
        <v>San Antonio - Ops Ctr (Bldg 307)</v>
      </c>
      <c r="B74" s="26" t="str">
        <v>TX</v>
      </c>
      <c r="C74" s="21">
        <v>2202.1373632812501</v>
      </c>
      <c r="D74" s="11">
        <v>2210.1779999999999</v>
      </c>
      <c r="E74" s="11">
        <f t="shared" si="8"/>
        <v>-8.0406367187497381</v>
      </c>
      <c r="F74" s="12">
        <f t="shared" si="7"/>
        <v>-3.6380041420870802E-3</v>
      </c>
      <c r="G74" s="13">
        <v>0</v>
      </c>
      <c r="H74" s="13">
        <f t="shared" si="9"/>
        <v>2202.1373632812501</v>
      </c>
      <c r="I74" s="14" t="str">
        <f t="shared" si="10"/>
        <v/>
      </c>
      <c r="J74" s="38"/>
      <c r="K74" s="38"/>
      <c r="L74" s="63"/>
      <c r="M74" s="63"/>
      <c r="N74" s="63"/>
      <c r="O74" s="63"/>
    </row>
    <row r="75" spans="1:15" ht="15.6">
      <c r="A75" s="27" t="str">
        <v>San Antonio - Ctr (Bldg 308)</v>
      </c>
      <c r="B75" s="28" t="str">
        <v>TX</v>
      </c>
      <c r="C75" s="10">
        <v>3742</v>
      </c>
      <c r="D75" s="15">
        <v>4308.5159999999996</v>
      </c>
      <c r="E75" s="15">
        <f t="shared" si="8"/>
        <v>-566.51599999999962</v>
      </c>
      <c r="F75" s="16">
        <f t="shared" si="7"/>
        <v>-0.1314875005686412</v>
      </c>
      <c r="G75" s="17">
        <v>5485.241</v>
      </c>
      <c r="H75" s="17">
        <f t="shared" si="9"/>
        <v>-1743.241</v>
      </c>
      <c r="I75" s="16">
        <f t="shared" si="10"/>
        <v>-0.31780572631175186</v>
      </c>
      <c r="J75" s="39" t="s">
        <v>132</v>
      </c>
      <c r="K75" s="84" t="s">
        <v>133</v>
      </c>
      <c r="L75" s="63"/>
      <c r="M75" s="63"/>
      <c r="N75" s="63"/>
      <c r="O75" s="63"/>
    </row>
    <row r="76" spans="1:15" ht="15.6">
      <c r="A76" s="25" t="str">
        <v>San Antonio - Ops Ctr (Bldg 104)</v>
      </c>
      <c r="B76" s="26" t="str">
        <v>TX</v>
      </c>
      <c r="C76" s="21">
        <v>5513.73046875</v>
      </c>
      <c r="D76" s="11">
        <v>3923.2269999999999</v>
      </c>
      <c r="E76" s="11">
        <f t="shared" si="8"/>
        <v>1590.5034687500001</v>
      </c>
      <c r="F76" s="12">
        <f t="shared" si="7"/>
        <v>0.40540694401572996</v>
      </c>
      <c r="G76" s="13">
        <v>5950.6379999999999</v>
      </c>
      <c r="H76" s="13">
        <f t="shared" si="9"/>
        <v>-436.90753124999992</v>
      </c>
      <c r="I76" s="14">
        <f t="shared" si="10"/>
        <v>-7.342196437592069E-2</v>
      </c>
      <c r="J76" s="38"/>
      <c r="K76" s="38"/>
      <c r="L76" s="63"/>
      <c r="M76" s="63"/>
      <c r="N76" s="63"/>
      <c r="O76" s="63"/>
    </row>
    <row r="77" spans="1:15" ht="15.6">
      <c r="A77" s="27" t="str">
        <v>San Antonio - Ops Ctr (Bldg 102)</v>
      </c>
      <c r="B77" s="28" t="str">
        <v>TX</v>
      </c>
      <c r="C77" s="10">
        <v>96811.875</v>
      </c>
      <c r="D77" s="15">
        <v>84016.8</v>
      </c>
      <c r="E77" s="15">
        <f t="shared" si="8"/>
        <v>12795.074999999997</v>
      </c>
      <c r="F77" s="16">
        <f t="shared" si="7"/>
        <v>0.15229186305596021</v>
      </c>
      <c r="G77" s="17">
        <v>95505</v>
      </c>
      <c r="H77" s="17">
        <f t="shared" si="9"/>
        <v>1306.875</v>
      </c>
      <c r="I77" s="16">
        <f t="shared" si="10"/>
        <v>1.3683838542484686E-2</v>
      </c>
      <c r="J77" s="39"/>
      <c r="K77" s="39"/>
      <c r="L77" s="63"/>
      <c r="M77" s="63"/>
      <c r="N77" s="63"/>
      <c r="O77" s="63"/>
    </row>
    <row r="78" spans="1:15" ht="15.6">
      <c r="A78" s="25" t="str">
        <v>N Black Canyon Hwy, Phoenix - North</v>
      </c>
      <c r="B78" s="26" t="str">
        <v>AZ</v>
      </c>
      <c r="C78" s="21">
        <v>96812</v>
      </c>
      <c r="D78" s="11">
        <v>84017</v>
      </c>
      <c r="E78" s="11">
        <f t="shared" si="8"/>
        <v>12795</v>
      </c>
      <c r="F78" s="12">
        <f t="shared" si="7"/>
        <v>0.15229060785317258</v>
      </c>
      <c r="G78" s="13">
        <v>95505</v>
      </c>
      <c r="H78" s="13">
        <f t="shared" si="9"/>
        <v>1307</v>
      </c>
      <c r="I78" s="14">
        <f t="shared" si="10"/>
        <v>1.3685147374483011E-2</v>
      </c>
      <c r="J78" s="38"/>
      <c r="K78" s="77"/>
      <c r="L78" s="63"/>
      <c r="M78" s="63"/>
      <c r="N78" s="63"/>
      <c r="O78" s="63"/>
    </row>
    <row r="79" spans="1:15" ht="15.6">
      <c r="A79" s="27" t="str">
        <v>N Black Canyon Hwy, Phoenix - South</v>
      </c>
      <c r="B79" s="28" t="str">
        <v>AZ</v>
      </c>
      <c r="C79" s="10">
        <v>102327</v>
      </c>
      <c r="D79" s="15">
        <v>92222</v>
      </c>
      <c r="E79" s="15">
        <f t="shared" si="8"/>
        <v>10105</v>
      </c>
      <c r="F79" s="16">
        <f t="shared" si="7"/>
        <v>0.10957255318687514</v>
      </c>
      <c r="G79" s="17">
        <v>105383</v>
      </c>
      <c r="H79" s="17">
        <f t="shared" si="9"/>
        <v>-3056</v>
      </c>
      <c r="I79" s="16">
        <f t="shared" si="10"/>
        <v>-2.899898465596918E-2</v>
      </c>
      <c r="J79" s="39" t="s">
        <v>153</v>
      </c>
      <c r="K79" s="39" t="s">
        <v>89</v>
      </c>
      <c r="L79" s="63"/>
      <c r="M79" s="63"/>
      <c r="N79" s="63"/>
      <c r="O79" s="63"/>
    </row>
    <row r="80" spans="1:15" ht="15.6">
      <c r="A80" s="25" t="str">
        <v xml:space="preserve"> Building 2222, Rose Garden Ln, Phoenix</v>
      </c>
      <c r="B80" s="26" t="str">
        <v>AZ</v>
      </c>
      <c r="C80" s="21">
        <v>127173</v>
      </c>
      <c r="D80" s="11">
        <v>122285</v>
      </c>
      <c r="E80" s="11">
        <f t="shared" si="8"/>
        <v>4888</v>
      </c>
      <c r="F80" s="12">
        <f t="shared" si="7"/>
        <v>3.9972196099276283E-2</v>
      </c>
      <c r="G80" s="13">
        <v>129398</v>
      </c>
      <c r="H80" s="13">
        <f t="shared" si="9"/>
        <v>-2225</v>
      </c>
      <c r="I80" s="14">
        <f t="shared" si="10"/>
        <v>-1.7195010742051653E-2</v>
      </c>
      <c r="J80" s="38"/>
      <c r="K80" s="38"/>
      <c r="L80" s="63"/>
      <c r="M80" s="63"/>
      <c r="N80" s="63"/>
      <c r="O80" s="63"/>
    </row>
    <row r="81" spans="1:15" ht="15.6">
      <c r="A81" s="27" t="str">
        <v xml:space="preserve"> Building 2202, Rose Garden Ln, Phoenix</v>
      </c>
      <c r="B81" s="28" t="str">
        <v>AZ</v>
      </c>
      <c r="C81" s="10">
        <v>127273</v>
      </c>
      <c r="D81" s="15">
        <v>117897</v>
      </c>
      <c r="E81" s="15">
        <f t="shared" si="8"/>
        <v>9376</v>
      </c>
      <c r="F81" s="16">
        <f t="shared" si="7"/>
        <v>7.9527044793336554E-2</v>
      </c>
      <c r="G81" s="17">
        <v>100842</v>
      </c>
      <c r="H81" s="17">
        <f t="shared" si="9"/>
        <v>26431</v>
      </c>
      <c r="I81" s="16">
        <f t="shared" si="10"/>
        <v>0.26210309196564924</v>
      </c>
      <c r="J81" s="39"/>
      <c r="K81" s="39"/>
      <c r="L81" s="63"/>
      <c r="M81" s="63"/>
      <c r="N81" s="63"/>
      <c r="O81" s="63"/>
    </row>
    <row r="82" spans="1:15" ht="15.6">
      <c r="A82" s="25" t="str">
        <v xml:space="preserve"> 99TH Ave &amp; BELL</v>
      </c>
      <c r="B82" s="26" t="str">
        <v>AZ</v>
      </c>
      <c r="C82" s="21">
        <v>22919</v>
      </c>
      <c r="D82" s="11">
        <v>22548</v>
      </c>
      <c r="E82" s="11">
        <f t="shared" si="8"/>
        <v>371</v>
      </c>
      <c r="F82" s="12">
        <f t="shared" si="7"/>
        <v>1.6453787475607592E-2</v>
      </c>
      <c r="G82" s="13">
        <v>22764</v>
      </c>
      <c r="H82" s="13">
        <f t="shared" si="9"/>
        <v>155</v>
      </c>
      <c r="I82" s="14">
        <f t="shared" si="10"/>
        <v>6.8089966613951855E-3</v>
      </c>
      <c r="J82" s="38"/>
      <c r="K82" s="38"/>
      <c r="L82" s="63"/>
      <c r="M82" s="63"/>
      <c r="N82" s="63"/>
      <c r="O82" s="63"/>
    </row>
    <row r="83" spans="1:15" ht="15.6">
      <c r="A83" s="27" t="str">
        <v>Rincon</v>
      </c>
      <c r="B83" s="28" t="str">
        <v>AZ</v>
      </c>
      <c r="C83" s="10">
        <v>9308</v>
      </c>
      <c r="D83" s="15">
        <v>7691</v>
      </c>
      <c r="E83" s="15">
        <f t="shared" si="8"/>
        <v>1617</v>
      </c>
      <c r="F83" s="16">
        <f t="shared" si="7"/>
        <v>0.21024574177610195</v>
      </c>
      <c r="G83" s="17">
        <v>8846</v>
      </c>
      <c r="H83" s="17">
        <f t="shared" si="9"/>
        <v>462</v>
      </c>
      <c r="I83" s="16">
        <f t="shared" si="10"/>
        <v>5.2226995252091339E-2</v>
      </c>
      <c r="J83" s="39"/>
      <c r="K83" s="80"/>
      <c r="L83" s="85"/>
      <c r="M83" s="85"/>
      <c r="N83" s="63"/>
      <c r="O83" s="63"/>
    </row>
    <row r="84" spans="1:15" ht="86.45">
      <c r="A84" s="25" t="str">
        <v>Tucson Main Parking Garage</v>
      </c>
      <c r="B84" s="26" t="str">
        <v>AZ</v>
      </c>
      <c r="C84" s="21">
        <v>10133</v>
      </c>
      <c r="D84" s="11">
        <v>11960</v>
      </c>
      <c r="E84" s="11">
        <f t="shared" si="8"/>
        <v>-1827</v>
      </c>
      <c r="F84" s="12">
        <f t="shared" si="7"/>
        <v>-0.1527591973244147</v>
      </c>
      <c r="G84" s="13">
        <v>12075</v>
      </c>
      <c r="H84" s="13">
        <f t="shared" si="9"/>
        <v>-1942</v>
      </c>
      <c r="I84" s="14">
        <f t="shared" si="10"/>
        <v>-0.16082815734989647</v>
      </c>
      <c r="J84" s="38" t="s">
        <v>154</v>
      </c>
      <c r="K84" s="38" t="s">
        <v>155</v>
      </c>
      <c r="L84" s="87"/>
      <c r="M84" s="63"/>
      <c r="N84" s="63"/>
      <c r="O84" s="63"/>
    </row>
    <row r="85" spans="1:15" ht="14.4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  <c r="J85" s="18"/>
      <c r="K85" s="18"/>
      <c r="L85" s="63"/>
      <c r="M85" s="63"/>
      <c r="N85" s="63"/>
      <c r="O85" s="63"/>
    </row>
    <row r="86" spans="1:15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4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4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4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4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4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4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4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45">
      <c r="C341" s="18"/>
      <c r="D341" s="18"/>
      <c r="E341" s="18"/>
      <c r="F341" s="19"/>
      <c r="G341" s="18"/>
      <c r="H341" s="18"/>
      <c r="I341" s="19"/>
      <c r="J341" s="18"/>
      <c r="K341" s="18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11" stopIfTrue="1" operator="lessThanOrEqual">
      <formula>-0.1</formula>
    </cfRule>
    <cfRule type="expression" dxfId="19" priority="12">
      <formula>AND(ISNUMBER(F2), F2&gt;=0.1)</formula>
    </cfRule>
  </conditionalFormatting>
  <hyperlinks>
    <hyperlink ref="K6" r:id="rId1" display="https://us3.assetplanner.com/service_request?ID=097801" xr:uid="{234B4227-53E4-460B-9110-290A3399402C}"/>
    <hyperlink ref="L6" r:id="rId2" display="https://us3.assetplanner.com/service_request?ID=099548" xr:uid="{4C8F5B02-6EC2-4824-B88F-EE497C8FFDC1}"/>
    <hyperlink ref="M6" r:id="rId3" display="https://us3.assetplanner.com/service_request?ID=091496" xr:uid="{4FF4A648-6C64-45AB-8101-0F6BCC5906E7}"/>
    <hyperlink ref="K75" r:id="rId4" display="https://us3.assetplanner.com/service_request?ID=100421" xr:uid="{A81DA916-E4A5-46BC-A833-B0084F166C6D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29"/>
  <sheetViews>
    <sheetView zoomScale="85" zoomScaleNormal="85" workbookViewId="0">
      <pane xSplit="2" ySplit="3" topLeftCell="C53" activePane="bottomRight" state="frozen"/>
      <selection pane="bottomRight" activeCell="J67" sqref="J67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11.5703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254" t="str" cm="1">
        <f t="array" ref="A1">portfolio</f>
        <v>Wells Fargo</v>
      </c>
      <c r="B1" s="254"/>
      <c r="C1" s="254"/>
      <c r="D1" s="255" t="s">
        <v>156</v>
      </c>
      <c r="E1" s="255"/>
      <c r="F1" s="255"/>
      <c r="G1" s="253" t="s">
        <v>157</v>
      </c>
      <c r="H1" s="253"/>
      <c r="I1" s="253"/>
      <c r="J1" s="3"/>
      <c r="K1" s="3"/>
    </row>
    <row r="2" spans="1:15" ht="19.5" customHeight="1">
      <c r="A2" s="264" t="s">
        <v>2</v>
      </c>
      <c r="B2" s="264"/>
      <c r="C2" s="4">
        <f>SUM(C4:C87)</f>
        <v>2214606.19</v>
      </c>
      <c r="D2" s="4">
        <f>SUM(D4:D87)</f>
        <v>2048063</v>
      </c>
      <c r="E2" s="4">
        <f>C2-D2</f>
        <v>166543.18999999994</v>
      </c>
      <c r="F2" s="5">
        <f>IFERROR(E2/D2, 0)</f>
        <v>8.1317415528721501E-2</v>
      </c>
      <c r="G2" s="4">
        <f>SUM(G4:G87)</f>
        <v>2329515.801</v>
      </c>
      <c r="H2" s="6">
        <f>C2-G2</f>
        <v>-114909.61100000003</v>
      </c>
      <c r="I2" s="5">
        <f>IFERROR(H2/G2, 0)</f>
        <v>-4.9327680434995268E-2</v>
      </c>
      <c r="J2" s="23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5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5" ht="28.9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1195.5</v>
      </c>
      <c r="D4" s="11" t="s">
        <v>127</v>
      </c>
      <c r="E4" s="11" t="str">
        <f>IF(AND(ISNUMBER(C4),ISNUMBER(D4)), C4-D4, "")</f>
        <v/>
      </c>
      <c r="F4" s="12" t="str">
        <f>IFERROR(E4/D4, "")</f>
        <v/>
      </c>
      <c r="G4" s="13">
        <v>1376</v>
      </c>
      <c r="H4" s="13">
        <f>IF(AND(ISNUMBER(C4),ISNUMBER(G4)), C4-G4, "")</f>
        <v>-180.5</v>
      </c>
      <c r="I4" s="14">
        <f>IFERROR(H4/G4, "")</f>
        <v>-0.13117732558139536</v>
      </c>
      <c r="J4" s="60" t="s">
        <v>100</v>
      </c>
      <c r="K4" s="38"/>
      <c r="L4" s="63"/>
      <c r="M4" s="63"/>
      <c r="N4" s="63"/>
      <c r="O4" s="63"/>
    </row>
    <row r="5" spans="1:15" ht="15.6">
      <c r="A5" s="27" t="str">
        <v>Otay Mesa</v>
      </c>
      <c r="B5" s="28" t="str">
        <v>CA</v>
      </c>
      <c r="C5" s="10">
        <v>39.39</v>
      </c>
      <c r="D5" s="15" t="s">
        <v>127</v>
      </c>
      <c r="E5" s="15" t="str">
        <f t="shared" ref="E5:E68" si="0">IF(AND(ISNUMBER(C5),ISNUMBER(D5)), C5-D5, "")</f>
        <v/>
      </c>
      <c r="F5" s="16" t="str">
        <f>IFERROR(E5/D5, "")</f>
        <v/>
      </c>
      <c r="G5" s="89" t="s">
        <v>127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51</v>
      </c>
      <c r="K5" s="54"/>
      <c r="L5" s="63"/>
      <c r="M5" s="63"/>
      <c r="N5" s="63"/>
      <c r="O5" s="63"/>
    </row>
    <row r="6" spans="1:15" ht="28.9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158</v>
      </c>
      <c r="K6" s="77" t="s">
        <v>159</v>
      </c>
      <c r="L6" s="63"/>
      <c r="M6" s="63"/>
      <c r="N6" s="63"/>
      <c r="O6" s="63"/>
    </row>
    <row r="7" spans="1:15" ht="28.9">
      <c r="A7" s="27" t="str">
        <v>Van Nuys</v>
      </c>
      <c r="B7" s="28" t="str">
        <v>CA</v>
      </c>
      <c r="C7" s="10">
        <v>2061.3000000000002</v>
      </c>
      <c r="D7" s="15" t="s">
        <v>127</v>
      </c>
      <c r="E7" s="15" t="str">
        <f t="shared" si="0"/>
        <v/>
      </c>
      <c r="F7" s="16" t="str">
        <f>IFERROR(E7/D7, "")</f>
        <v/>
      </c>
      <c r="G7" s="17">
        <v>2794.8009999999999</v>
      </c>
      <c r="H7" s="17">
        <f t="shared" si="1"/>
        <v>-733.50099999999975</v>
      </c>
      <c r="I7" s="16">
        <f t="shared" si="2"/>
        <v>-0.26245195990698433</v>
      </c>
      <c r="J7" s="56" t="s">
        <v>100</v>
      </c>
      <c r="K7" s="54"/>
      <c r="L7" s="63"/>
      <c r="M7" s="63"/>
      <c r="N7" s="63"/>
      <c r="O7" s="63"/>
    </row>
    <row r="8" spans="1:15" ht="15.6">
      <c r="A8" s="25" t="str">
        <v>Lodi - Lodi Vineyard</v>
      </c>
      <c r="B8" s="26" t="str">
        <v>CA</v>
      </c>
      <c r="C8" s="21">
        <v>55588</v>
      </c>
      <c r="D8" s="11">
        <v>55517</v>
      </c>
      <c r="E8" s="11">
        <f t="shared" si="0"/>
        <v>71</v>
      </c>
      <c r="F8" s="12">
        <f t="shared" si="3"/>
        <v>1.278887547958283E-3</v>
      </c>
      <c r="G8" s="13">
        <v>41391</v>
      </c>
      <c r="H8" s="13">
        <f t="shared" si="1"/>
        <v>14197</v>
      </c>
      <c r="I8" s="14">
        <f t="shared" si="2"/>
        <v>0.34299726993790919</v>
      </c>
      <c r="J8" s="60"/>
      <c r="K8" s="38"/>
      <c r="L8" s="63"/>
      <c r="M8" s="63"/>
      <c r="N8" s="63"/>
      <c r="O8" s="63"/>
    </row>
    <row r="9" spans="1:15" ht="15.6">
      <c r="A9" s="27" t="str">
        <v>Arden Fair Mall</v>
      </c>
      <c r="B9" s="28" t="str">
        <v>CA</v>
      </c>
      <c r="C9" s="10">
        <v>27816</v>
      </c>
      <c r="D9" s="15">
        <v>28227</v>
      </c>
      <c r="E9" s="15">
        <f t="shared" si="0"/>
        <v>-411</v>
      </c>
      <c r="F9" s="16">
        <f t="shared" si="3"/>
        <v>-1.4560527154851738E-2</v>
      </c>
      <c r="G9" s="17">
        <v>26985</v>
      </c>
      <c r="H9" s="17">
        <f t="shared" si="1"/>
        <v>831</v>
      </c>
      <c r="I9" s="16">
        <f t="shared" si="2"/>
        <v>3.0794886047804337E-2</v>
      </c>
      <c r="J9" s="56"/>
      <c r="K9" s="54"/>
      <c r="L9" s="63"/>
      <c r="M9" s="63"/>
      <c r="N9" s="63"/>
      <c r="O9" s="63"/>
    </row>
    <row r="10" spans="1:15" ht="28.9">
      <c r="A10" s="25" t="str">
        <v>Modesto - Modesto Main</v>
      </c>
      <c r="B10" s="26" t="str">
        <v>CA</v>
      </c>
      <c r="C10" s="21">
        <v>21456</v>
      </c>
      <c r="D10" s="11">
        <v>23407</v>
      </c>
      <c r="E10" s="11">
        <f t="shared" si="0"/>
        <v>-1951</v>
      </c>
      <c r="F10" s="12">
        <f t="shared" si="3"/>
        <v>-8.3351134276071256E-2</v>
      </c>
      <c r="G10" s="13">
        <v>25073</v>
      </c>
      <c r="H10" s="13">
        <f t="shared" si="1"/>
        <v>-3617</v>
      </c>
      <c r="I10" s="14">
        <f t="shared" si="2"/>
        <v>-0.14425876440792884</v>
      </c>
      <c r="J10" s="60" t="s">
        <v>160</v>
      </c>
      <c r="K10" s="38" t="s">
        <v>161</v>
      </c>
      <c r="L10" s="63"/>
      <c r="M10" s="63"/>
      <c r="N10" s="63"/>
      <c r="O10" s="63"/>
    </row>
    <row r="11" spans="1:15" ht="15.6">
      <c r="A11" s="27" t="str">
        <v>Stevens Creek</v>
      </c>
      <c r="B11" s="28" t="str">
        <v>CA</v>
      </c>
      <c r="C11" s="10">
        <v>7317</v>
      </c>
      <c r="D11" s="15">
        <v>7255</v>
      </c>
      <c r="E11" s="15">
        <f t="shared" si="0"/>
        <v>62</v>
      </c>
      <c r="F11" s="16">
        <f t="shared" si="3"/>
        <v>8.5458304617505171E-3</v>
      </c>
      <c r="G11" s="17">
        <v>7072</v>
      </c>
      <c r="H11" s="17">
        <f t="shared" si="1"/>
        <v>245</v>
      </c>
      <c r="I11" s="16">
        <f t="shared" si="2"/>
        <v>3.4643665158371043E-2</v>
      </c>
      <c r="J11" s="56"/>
      <c r="K11" s="54"/>
      <c r="L11" s="63"/>
      <c r="M11" s="63"/>
      <c r="N11" s="63"/>
      <c r="O11" s="63"/>
    </row>
    <row r="12" spans="1:15" ht="15.6">
      <c r="A12" s="25" t="str">
        <v>Covina Main</v>
      </c>
      <c r="B12" s="26" t="str">
        <v>CA</v>
      </c>
      <c r="C12" s="21">
        <v>4076</v>
      </c>
      <c r="D12" s="11">
        <v>3614</v>
      </c>
      <c r="E12" s="11">
        <f t="shared" si="0"/>
        <v>462</v>
      </c>
      <c r="F12" s="12">
        <f t="shared" si="3"/>
        <v>0.12783619258439402</v>
      </c>
      <c r="G12" s="13">
        <v>3616</v>
      </c>
      <c r="H12" s="13">
        <f t="shared" si="1"/>
        <v>460</v>
      </c>
      <c r="I12" s="14">
        <f t="shared" si="2"/>
        <v>0.12721238938053098</v>
      </c>
      <c r="J12" s="60"/>
      <c r="K12" s="38"/>
      <c r="L12" s="63"/>
      <c r="M12" s="63"/>
      <c r="N12" s="63"/>
      <c r="O12" s="63"/>
    </row>
    <row r="13" spans="1:15" ht="15.6">
      <c r="A13" s="27" t="str">
        <v>Old Ranch Town Center</v>
      </c>
      <c r="B13" s="28" t="str">
        <v>CA</v>
      </c>
      <c r="C13" s="10">
        <v>1461</v>
      </c>
      <c r="D13" s="15" t="s">
        <v>127</v>
      </c>
      <c r="E13" s="15" t="str">
        <f t="shared" si="0"/>
        <v/>
      </c>
      <c r="F13" s="16" t="str">
        <f t="shared" si="3"/>
        <v/>
      </c>
      <c r="G13" s="17">
        <v>1587</v>
      </c>
      <c r="H13" s="17">
        <f t="shared" si="1"/>
        <v>-126</v>
      </c>
      <c r="I13" s="16">
        <f t="shared" si="2"/>
        <v>-7.9395085066162566E-2</v>
      </c>
      <c r="J13" s="88"/>
      <c r="K13" s="79"/>
      <c r="L13" s="63"/>
      <c r="M13" s="63"/>
      <c r="N13" s="63"/>
      <c r="O13" s="63"/>
    </row>
    <row r="14" spans="1:15" ht="15.6">
      <c r="A14" s="25" t="str">
        <v>Mountain Gate Plaza</v>
      </c>
      <c r="B14" s="26" t="str">
        <v>CA</v>
      </c>
      <c r="C14" s="21">
        <v>10399</v>
      </c>
      <c r="D14" s="11" t="s">
        <v>127</v>
      </c>
      <c r="E14" s="11" t="str">
        <f t="shared" si="0"/>
        <v/>
      </c>
      <c r="F14" s="12" t="str">
        <f t="shared" si="3"/>
        <v/>
      </c>
      <c r="G14" s="13">
        <v>10810</v>
      </c>
      <c r="H14" s="13">
        <f t="shared" si="1"/>
        <v>-411</v>
      </c>
      <c r="I14" s="14">
        <f t="shared" si="2"/>
        <v>-3.8020351526364481E-2</v>
      </c>
      <c r="J14" s="60"/>
      <c r="K14" s="38"/>
      <c r="L14" s="63"/>
      <c r="M14" s="63"/>
      <c r="N14" s="63"/>
      <c r="O14" s="63"/>
    </row>
    <row r="15" spans="1:15" ht="15.6">
      <c r="A15" s="27" t="str">
        <v>Arcadia Main</v>
      </c>
      <c r="B15" s="28" t="str">
        <v>CA</v>
      </c>
      <c r="C15" s="10">
        <v>4670</v>
      </c>
      <c r="D15" s="15" t="s">
        <v>127</v>
      </c>
      <c r="E15" s="15" t="str">
        <f t="shared" si="0"/>
        <v/>
      </c>
      <c r="F15" s="16" t="str">
        <f t="shared" si="3"/>
        <v/>
      </c>
      <c r="G15" s="17">
        <v>5150</v>
      </c>
      <c r="H15" s="17">
        <f t="shared" si="1"/>
        <v>-480</v>
      </c>
      <c r="I15" s="16">
        <f t="shared" si="2"/>
        <v>-9.3203883495145634E-2</v>
      </c>
      <c r="J15" s="56"/>
      <c r="K15" s="54"/>
      <c r="L15" s="63"/>
      <c r="M15" s="63"/>
      <c r="N15" s="63"/>
      <c r="O15" s="63"/>
    </row>
    <row r="16" spans="1:15" ht="15.6">
      <c r="A16" s="25" t="str">
        <v>Fairfield</v>
      </c>
      <c r="B16" s="26" t="str">
        <v>CA</v>
      </c>
      <c r="C16" s="21">
        <v>5152</v>
      </c>
      <c r="D16" s="11">
        <v>5046</v>
      </c>
      <c r="E16" s="11">
        <f t="shared" si="0"/>
        <v>106</v>
      </c>
      <c r="F16" s="12">
        <f t="shared" si="3"/>
        <v>2.1006738010305191E-2</v>
      </c>
      <c r="G16" s="13">
        <v>4903</v>
      </c>
      <c r="H16" s="13">
        <f t="shared" si="1"/>
        <v>249</v>
      </c>
      <c r="I16" s="14">
        <f t="shared" si="2"/>
        <v>5.0785233530491539E-2</v>
      </c>
      <c r="J16" s="59"/>
      <c r="K16" s="38"/>
      <c r="L16" s="63"/>
      <c r="M16" s="63"/>
      <c r="N16" s="63"/>
      <c r="O16" s="63"/>
    </row>
    <row r="17" spans="1:15" ht="15.6">
      <c r="A17" s="27" t="str">
        <v>Los Gatos</v>
      </c>
      <c r="B17" s="28" t="str">
        <v>CA</v>
      </c>
      <c r="C17" s="10">
        <v>2858</v>
      </c>
      <c r="D17" s="15">
        <v>2850</v>
      </c>
      <c r="E17" s="15">
        <f t="shared" si="0"/>
        <v>8</v>
      </c>
      <c r="F17" s="16">
        <f t="shared" si="3"/>
        <v>2.8070175438596489E-3</v>
      </c>
      <c r="G17" s="17">
        <v>0</v>
      </c>
      <c r="H17" s="17">
        <f t="shared" si="1"/>
        <v>2858</v>
      </c>
      <c r="I17" s="16" t="str">
        <f t="shared" si="2"/>
        <v/>
      </c>
      <c r="J17" s="54"/>
      <c r="K17" s="54"/>
      <c r="L17" s="63"/>
      <c r="M17" s="63"/>
      <c r="N17" s="63"/>
      <c r="O17" s="63"/>
    </row>
    <row r="18" spans="1:15" ht="12.75" customHeight="1">
      <c r="A18" s="25" t="str">
        <v>San Marino</v>
      </c>
      <c r="B18" s="26" t="str">
        <v>CA</v>
      </c>
      <c r="C18" s="21">
        <v>3835</v>
      </c>
      <c r="D18" s="11">
        <v>4618</v>
      </c>
      <c r="E18" s="11">
        <f t="shared" si="0"/>
        <v>-783</v>
      </c>
      <c r="F18" s="12">
        <f t="shared" si="3"/>
        <v>-0.16955391944564746</v>
      </c>
      <c r="G18" s="13">
        <v>6185</v>
      </c>
      <c r="H18" s="13">
        <f t="shared" si="1"/>
        <v>-2350</v>
      </c>
      <c r="I18" s="14">
        <f t="shared" si="2"/>
        <v>-0.37995149555375912</v>
      </c>
      <c r="J18" s="38" t="s">
        <v>132</v>
      </c>
      <c r="K18" s="38" t="s">
        <v>162</v>
      </c>
      <c r="L18" s="63"/>
      <c r="M18" s="63"/>
      <c r="N18" s="63"/>
      <c r="O18" s="63"/>
    </row>
    <row r="19" spans="1:15" ht="15.6">
      <c r="A19" s="27" t="str">
        <v>Buenaventura</v>
      </c>
      <c r="B19" s="28" t="str">
        <v>CA</v>
      </c>
      <c r="C19" s="10">
        <v>5898</v>
      </c>
      <c r="D19" s="15">
        <v>4301</v>
      </c>
      <c r="E19" s="15">
        <f t="shared" si="0"/>
        <v>1597</v>
      </c>
      <c r="F19" s="16">
        <f t="shared" si="3"/>
        <v>0.37130899790746336</v>
      </c>
      <c r="G19" s="17">
        <v>6331</v>
      </c>
      <c r="H19" s="17">
        <f t="shared" si="1"/>
        <v>-433</v>
      </c>
      <c r="I19" s="16">
        <f t="shared" si="2"/>
        <v>-6.8393618701626913E-2</v>
      </c>
      <c r="J19" s="88"/>
      <c r="K19" s="79"/>
      <c r="L19" s="85"/>
      <c r="M19" s="63"/>
      <c r="N19" s="63"/>
      <c r="O19" s="63"/>
    </row>
    <row r="20" spans="1:15" ht="37.5" customHeight="1">
      <c r="A20" s="25" t="str">
        <v>BE 199502 - Westgate</v>
      </c>
      <c r="B20" s="26" t="str">
        <v>CA</v>
      </c>
      <c r="C20" s="21">
        <v>2686</v>
      </c>
      <c r="D20" s="11" t="s">
        <v>127</v>
      </c>
      <c r="E20" s="11"/>
      <c r="F20" s="12"/>
      <c r="G20" s="13">
        <v>2413</v>
      </c>
      <c r="H20" s="13">
        <v>273</v>
      </c>
      <c r="I20" s="14">
        <v>0.11</v>
      </c>
      <c r="J20" s="38"/>
      <c r="K20" s="77"/>
      <c r="L20" s="63"/>
      <c r="M20" s="63"/>
      <c r="N20" s="63"/>
      <c r="O20" s="63"/>
    </row>
    <row r="21" spans="1:15" ht="43.15">
      <c r="A21" s="27" t="str">
        <v>98th &amp; Grant</v>
      </c>
      <c r="B21" s="28" t="str">
        <v>CO</v>
      </c>
      <c r="C21" s="10">
        <v>1300</v>
      </c>
      <c r="D21" s="15" t="s">
        <v>127</v>
      </c>
      <c r="E21" s="15" t="str">
        <f t="shared" si="0"/>
        <v/>
      </c>
      <c r="F21" s="16" t="str">
        <f t="shared" si="3"/>
        <v/>
      </c>
      <c r="G21" s="17">
        <v>2339</v>
      </c>
      <c r="H21" s="17">
        <f t="shared" si="1"/>
        <v>-1039</v>
      </c>
      <c r="I21" s="16">
        <f t="shared" si="2"/>
        <v>-0.44420692603676787</v>
      </c>
      <c r="J21" s="54" t="s">
        <v>110</v>
      </c>
      <c r="K21" s="79"/>
      <c r="L21" s="63"/>
      <c r="M21" s="63"/>
      <c r="N21" s="63"/>
      <c r="O21" s="63"/>
    </row>
    <row r="22" spans="1:15" ht="43.15">
      <c r="A22" s="25" t="str">
        <v>Arapahoe Crossings</v>
      </c>
      <c r="B22" s="26" t="str">
        <v>CO</v>
      </c>
      <c r="C22" s="21">
        <v>3270</v>
      </c>
      <c r="D22" s="11" t="s">
        <v>127</v>
      </c>
      <c r="E22" s="11" t="str">
        <f t="shared" si="0"/>
        <v/>
      </c>
      <c r="F22" s="12" t="str">
        <f t="shared" si="3"/>
        <v/>
      </c>
      <c r="G22" s="13">
        <v>4307</v>
      </c>
      <c r="H22" s="13">
        <f t="shared" si="1"/>
        <v>-1037</v>
      </c>
      <c r="I22" s="14">
        <f t="shared" si="2"/>
        <v>-0.24077083817042025</v>
      </c>
      <c r="J22" s="38" t="s">
        <v>163</v>
      </c>
      <c r="K22" s="77" t="s">
        <v>164</v>
      </c>
      <c r="L22" s="63"/>
      <c r="M22" s="63"/>
      <c r="N22" s="63"/>
      <c r="O22" s="63"/>
    </row>
    <row r="23" spans="1:15" ht="15.6">
      <c r="A23" s="27" t="str">
        <v>Aurora City Center</v>
      </c>
      <c r="B23" s="28" t="str">
        <v>CO</v>
      </c>
      <c r="C23" s="10">
        <v>2110</v>
      </c>
      <c r="D23" s="15" t="s">
        <v>127</v>
      </c>
      <c r="E23" s="15" t="str">
        <f t="shared" si="0"/>
        <v/>
      </c>
      <c r="F23" s="16" t="str">
        <f t="shared" si="3"/>
        <v/>
      </c>
      <c r="G23" s="17">
        <v>1972</v>
      </c>
      <c r="H23" s="17">
        <f t="shared" si="1"/>
        <v>138</v>
      </c>
      <c r="I23" s="16">
        <f t="shared" si="2"/>
        <v>6.9979716024340777E-2</v>
      </c>
      <c r="J23" s="54"/>
      <c r="K23" s="79"/>
      <c r="L23" s="63"/>
      <c r="M23" s="63"/>
      <c r="N23" s="63"/>
      <c r="O23" s="63"/>
    </row>
    <row r="24" spans="1:15" ht="15.6">
      <c r="A24" s="25" t="str">
        <v>Dry Creek</v>
      </c>
      <c r="B24" s="26" t="str">
        <v>CO</v>
      </c>
      <c r="C24" s="21">
        <v>2696</v>
      </c>
      <c r="D24" s="11" t="s">
        <v>127</v>
      </c>
      <c r="E24" s="11" t="str">
        <f t="shared" si="0"/>
        <v/>
      </c>
      <c r="F24" s="12" t="str">
        <f t="shared" si="3"/>
        <v/>
      </c>
      <c r="G24" s="13">
        <v>2551</v>
      </c>
      <c r="H24" s="13">
        <f t="shared" si="1"/>
        <v>145</v>
      </c>
      <c r="I24" s="14">
        <f t="shared" si="2"/>
        <v>5.6840454723637787E-2</v>
      </c>
      <c r="J24" s="60"/>
      <c r="K24" s="38"/>
      <c r="L24" s="63"/>
      <c r="M24" s="63"/>
      <c r="N24" s="63"/>
      <c r="O24" s="63"/>
    </row>
    <row r="25" spans="1:15" ht="28.9">
      <c r="A25" s="27" t="str">
        <v>Highlands Ranch S.</v>
      </c>
      <c r="B25" s="28" t="str">
        <v>CO</v>
      </c>
      <c r="C25" s="10">
        <v>1925</v>
      </c>
      <c r="D25" s="15" t="s">
        <v>127</v>
      </c>
      <c r="E25" s="15" t="str">
        <f t="shared" si="0"/>
        <v/>
      </c>
      <c r="F25" s="16" t="str">
        <f t="shared" si="3"/>
        <v/>
      </c>
      <c r="G25" s="17">
        <v>2417</v>
      </c>
      <c r="H25" s="17">
        <f t="shared" si="1"/>
        <v>-492</v>
      </c>
      <c r="I25" s="16">
        <f t="shared" si="2"/>
        <v>-0.20355812991311542</v>
      </c>
      <c r="J25" s="56" t="s">
        <v>165</v>
      </c>
      <c r="K25" s="54" t="s">
        <v>166</v>
      </c>
      <c r="L25" s="63"/>
      <c r="M25" s="63"/>
      <c r="N25" s="63"/>
      <c r="O25" s="63"/>
    </row>
    <row r="26" spans="1:15" ht="28.9">
      <c r="A26" s="25" t="str">
        <v>Lone Tree</v>
      </c>
      <c r="B26" s="26" t="str">
        <v>CO</v>
      </c>
      <c r="C26" s="21">
        <v>3677</v>
      </c>
      <c r="D26" s="11" t="s">
        <v>127</v>
      </c>
      <c r="E26" s="11" t="str">
        <f t="shared" si="0"/>
        <v/>
      </c>
      <c r="F26" s="12" t="str">
        <f t="shared" si="3"/>
        <v/>
      </c>
      <c r="G26" s="13">
        <v>5500</v>
      </c>
      <c r="H26" s="13">
        <f t="shared" si="1"/>
        <v>-1823</v>
      </c>
      <c r="I26" s="14">
        <f t="shared" si="2"/>
        <v>-0.33145454545454545</v>
      </c>
      <c r="J26" s="60" t="s">
        <v>167</v>
      </c>
      <c r="K26" s="38" t="s">
        <v>168</v>
      </c>
      <c r="L26" s="63"/>
      <c r="M26" s="63"/>
      <c r="N26" s="63"/>
      <c r="O26" s="63"/>
    </row>
    <row r="27" spans="1:15" ht="15.6">
      <c r="A27" s="27" t="str">
        <v>Meridian</v>
      </c>
      <c r="B27" s="28" t="str">
        <v>CO</v>
      </c>
      <c r="C27" s="10">
        <v>3650</v>
      </c>
      <c r="D27" s="15" t="s">
        <v>127</v>
      </c>
      <c r="E27" s="15" t="str">
        <f t="shared" si="0"/>
        <v/>
      </c>
      <c r="F27" s="16" t="str">
        <f t="shared" si="3"/>
        <v/>
      </c>
      <c r="G27" s="17">
        <v>3150</v>
      </c>
      <c r="H27" s="17">
        <f t="shared" si="1"/>
        <v>500</v>
      </c>
      <c r="I27" s="16">
        <f t="shared" si="2"/>
        <v>0.15873015873015872</v>
      </c>
      <c r="J27" s="56"/>
      <c r="K27" s="54"/>
      <c r="L27" s="63"/>
      <c r="M27" s="63"/>
      <c r="N27" s="63"/>
      <c r="O27" s="63"/>
    </row>
    <row r="28" spans="1:15" ht="15.6">
      <c r="A28" s="25" t="str">
        <v>Southglenn</v>
      </c>
      <c r="B28" s="26" t="str">
        <v>CO</v>
      </c>
      <c r="C28" s="21">
        <v>3663</v>
      </c>
      <c r="D28" s="11" t="s">
        <v>127</v>
      </c>
      <c r="E28" s="11" t="str">
        <f t="shared" si="0"/>
        <v/>
      </c>
      <c r="F28" s="12" t="str">
        <f t="shared" si="3"/>
        <v/>
      </c>
      <c r="G28" s="13">
        <v>3267</v>
      </c>
      <c r="H28" s="13">
        <f t="shared" si="1"/>
        <v>396</v>
      </c>
      <c r="I28" s="14">
        <f t="shared" si="2"/>
        <v>0.12121212121212122</v>
      </c>
      <c r="J28" s="60"/>
      <c r="K28" s="38"/>
      <c r="L28" s="63"/>
      <c r="M28" s="63"/>
      <c r="N28" s="63"/>
      <c r="O28" s="63"/>
    </row>
    <row r="29" spans="1:15" ht="15.6">
      <c r="A29" s="27" t="str">
        <v>Standley Lake</v>
      </c>
      <c r="B29" s="28" t="str">
        <v>CO</v>
      </c>
      <c r="C29" s="10">
        <v>4329</v>
      </c>
      <c r="D29" s="15" t="s">
        <v>127</v>
      </c>
      <c r="E29" s="15" t="str">
        <f t="shared" si="0"/>
        <v/>
      </c>
      <c r="F29" s="16" t="str">
        <f t="shared" si="3"/>
        <v/>
      </c>
      <c r="G29" s="17">
        <v>4357</v>
      </c>
      <c r="H29" s="17">
        <f t="shared" si="1"/>
        <v>-28</v>
      </c>
      <c r="I29" s="16">
        <f t="shared" si="2"/>
        <v>-6.426440211154464E-3</v>
      </c>
      <c r="J29" s="56"/>
      <c r="K29" s="79"/>
      <c r="L29" s="85"/>
      <c r="M29" s="63"/>
      <c r="N29" s="63"/>
      <c r="O29" s="63"/>
    </row>
    <row r="30" spans="1:15" ht="15.6">
      <c r="A30" s="25" t="str">
        <v>Havana Gardens</v>
      </c>
      <c r="B30" s="26" t="str">
        <v>CO</v>
      </c>
      <c r="C30" s="21">
        <v>4144</v>
      </c>
      <c r="D30" s="11" t="s">
        <v>127</v>
      </c>
      <c r="E30" s="11" t="str">
        <f t="shared" si="0"/>
        <v/>
      </c>
      <c r="F30" s="12" t="str">
        <f t="shared" si="3"/>
        <v/>
      </c>
      <c r="G30" s="13">
        <v>1695</v>
      </c>
      <c r="H30" s="13">
        <f t="shared" si="1"/>
        <v>2449</v>
      </c>
      <c r="I30" s="14">
        <f t="shared" si="2"/>
        <v>1.4448377581120944</v>
      </c>
      <c r="J30" s="60"/>
      <c r="K30" s="38"/>
      <c r="L30" s="63"/>
      <c r="M30" s="63"/>
      <c r="N30" s="63"/>
      <c r="O30" s="63"/>
    </row>
    <row r="31" spans="1:15" ht="15.6">
      <c r="A31" s="27" t="str">
        <v>East Hartford</v>
      </c>
      <c r="B31" s="28" t="str">
        <v>CT</v>
      </c>
      <c r="C31" s="10">
        <v>712</v>
      </c>
      <c r="D31" s="15">
        <v>1656</v>
      </c>
      <c r="E31" s="15">
        <f t="shared" si="0"/>
        <v>-944</v>
      </c>
      <c r="F31" s="16">
        <f t="shared" si="3"/>
        <v>-0.57004830917874394</v>
      </c>
      <c r="G31" s="17">
        <v>1047</v>
      </c>
      <c r="H31" s="17">
        <f t="shared" si="1"/>
        <v>-335</v>
      </c>
      <c r="I31" s="16">
        <f t="shared" si="2"/>
        <v>-0.31996179560649474</v>
      </c>
      <c r="J31" s="56" t="s">
        <v>169</v>
      </c>
      <c r="K31" s="54"/>
      <c r="L31" s="63"/>
      <c r="M31" s="63"/>
      <c r="N31" s="63"/>
      <c r="O31" s="63"/>
    </row>
    <row r="32" spans="1:15" ht="72">
      <c r="A32" s="25" t="str">
        <v>Norwalk</v>
      </c>
      <c r="B32" s="26" t="str">
        <v>CT</v>
      </c>
      <c r="C32" s="21">
        <v>844</v>
      </c>
      <c r="D32" s="11">
        <v>2</v>
      </c>
      <c r="E32" s="11">
        <f t="shared" si="0"/>
        <v>842</v>
      </c>
      <c r="F32" s="12">
        <f t="shared" si="3"/>
        <v>421</v>
      </c>
      <c r="G32" s="13">
        <v>1235</v>
      </c>
      <c r="H32" s="13">
        <f t="shared" si="1"/>
        <v>-391</v>
      </c>
      <c r="I32" s="14">
        <f t="shared" si="2"/>
        <v>-0.31659919028340083</v>
      </c>
      <c r="J32" s="60" t="s">
        <v>170</v>
      </c>
      <c r="K32" s="77" t="s">
        <v>171</v>
      </c>
      <c r="L32" s="63"/>
      <c r="M32" s="63"/>
      <c r="N32" s="63"/>
      <c r="O32" s="63"/>
    </row>
    <row r="33" spans="1:15" ht="28.9">
      <c r="A33" s="27" t="str">
        <v>Hialeah Gardens</v>
      </c>
      <c r="B33" s="28" t="str">
        <v>FL</v>
      </c>
      <c r="C33" s="10">
        <v>957</v>
      </c>
      <c r="D33" s="15">
        <v>4535</v>
      </c>
      <c r="E33" s="15">
        <f t="shared" si="0"/>
        <v>-3578</v>
      </c>
      <c r="F33" s="16">
        <f t="shared" si="3"/>
        <v>-0.78897464167585452</v>
      </c>
      <c r="G33" s="17">
        <v>5552</v>
      </c>
      <c r="H33" s="17">
        <f t="shared" si="1"/>
        <v>-4595</v>
      </c>
      <c r="I33" s="16">
        <f t="shared" si="2"/>
        <v>-0.82762968299711814</v>
      </c>
      <c r="J33" s="56" t="s">
        <v>172</v>
      </c>
      <c r="K33" s="54" t="s">
        <v>109</v>
      </c>
      <c r="L33" s="63"/>
      <c r="M33" s="63"/>
      <c r="N33" s="63"/>
      <c r="O33" s="63"/>
    </row>
    <row r="34" spans="1:15" ht="15.6">
      <c r="A34" s="25" t="str">
        <v>W. Des Moines Campus EAST</v>
      </c>
      <c r="B34" s="26" t="str">
        <v>IA</v>
      </c>
      <c r="C34" s="21">
        <v>196673</v>
      </c>
      <c r="D34" s="11">
        <v>184996</v>
      </c>
      <c r="E34" s="11">
        <f t="shared" si="0"/>
        <v>11677</v>
      </c>
      <c r="F34" s="12">
        <f t="shared" si="3"/>
        <v>6.312028368180933E-2</v>
      </c>
      <c r="G34" s="13">
        <v>192800</v>
      </c>
      <c r="H34" s="13">
        <f t="shared" si="1"/>
        <v>3873</v>
      </c>
      <c r="I34" s="14">
        <f t="shared" si="2"/>
        <v>2.0088174273858922E-2</v>
      </c>
      <c r="J34" s="60"/>
      <c r="K34" s="77"/>
      <c r="L34" s="63"/>
      <c r="M34" s="63"/>
      <c r="N34" s="63"/>
      <c r="O34" s="63"/>
    </row>
    <row r="35" spans="1:15" ht="15.6">
      <c r="A35" s="27" t="str">
        <v>W. Des Moines Campus SW</v>
      </c>
      <c r="B35" s="28" t="str">
        <v>IA</v>
      </c>
      <c r="C35" s="10">
        <v>97841</v>
      </c>
      <c r="D35" s="15">
        <v>90857</v>
      </c>
      <c r="E35" s="15">
        <f t="shared" si="0"/>
        <v>6984</v>
      </c>
      <c r="F35" s="16">
        <f t="shared" si="3"/>
        <v>7.686804539000848E-2</v>
      </c>
      <c r="G35" s="17">
        <v>94941</v>
      </c>
      <c r="H35" s="17">
        <f t="shared" si="1"/>
        <v>2900</v>
      </c>
      <c r="I35" s="16">
        <f t="shared" si="2"/>
        <v>3.0545286019738573E-2</v>
      </c>
      <c r="J35" s="56"/>
      <c r="K35" s="54"/>
      <c r="L35" s="63"/>
      <c r="M35" s="63"/>
      <c r="N35" s="63"/>
      <c r="O35" s="63"/>
    </row>
    <row r="36" spans="1:15" ht="28.9">
      <c r="A36" s="25" t="str">
        <v>WF - CIC</v>
      </c>
      <c r="B36" s="26" t="str">
        <v>NC</v>
      </c>
      <c r="C36" s="21">
        <v>169288</v>
      </c>
      <c r="D36" s="11">
        <v>171249</v>
      </c>
      <c r="E36" s="11">
        <f t="shared" si="0"/>
        <v>-1961</v>
      </c>
      <c r="F36" s="12">
        <f t="shared" si="3"/>
        <v>-1.1451161758608809E-2</v>
      </c>
      <c r="G36" s="13">
        <v>206727</v>
      </c>
      <c r="H36" s="13">
        <f t="shared" si="1"/>
        <v>-37439</v>
      </c>
      <c r="I36" s="14">
        <f t="shared" si="2"/>
        <v>-0.18110358105133822</v>
      </c>
      <c r="J36" s="60" t="s">
        <v>173</v>
      </c>
      <c r="K36" s="38" t="s">
        <v>174</v>
      </c>
      <c r="L36" s="63"/>
      <c r="M36" s="63"/>
      <c r="N36" s="63"/>
      <c r="O36" s="63"/>
    </row>
    <row r="37" spans="1:15" ht="15.6">
      <c r="A37" s="27" t="str">
        <v>Charlotte - Wells Fargo - DUC</v>
      </c>
      <c r="B37" s="28" t="str">
        <v>NC</v>
      </c>
      <c r="C37" s="10">
        <v>170113</v>
      </c>
      <c r="D37" s="15">
        <v>186468</v>
      </c>
      <c r="E37" s="15">
        <f t="shared" si="0"/>
        <v>-16355</v>
      </c>
      <c r="F37" s="16">
        <f t="shared" si="3"/>
        <v>-8.7709419310551942E-2</v>
      </c>
      <c r="G37" s="17">
        <v>184494</v>
      </c>
      <c r="H37" s="17">
        <f t="shared" si="1"/>
        <v>-14381</v>
      </c>
      <c r="I37" s="16">
        <f t="shared" si="2"/>
        <v>-7.7948334363177121E-2</v>
      </c>
      <c r="J37" s="56"/>
      <c r="K37" s="54"/>
      <c r="L37" s="63"/>
      <c r="M37" s="63"/>
      <c r="N37" s="63"/>
      <c r="O37" s="63"/>
    </row>
    <row r="38" spans="1:15" ht="28.9">
      <c r="A38" s="25" t="str">
        <v>East Windsor</v>
      </c>
      <c r="B38" s="26" t="str">
        <v>NJ</v>
      </c>
      <c r="C38" s="21">
        <v>976</v>
      </c>
      <c r="D38" s="11">
        <v>781</v>
      </c>
      <c r="E38" s="11">
        <f t="shared" si="0"/>
        <v>195</v>
      </c>
      <c r="F38" s="12">
        <f t="shared" si="3"/>
        <v>0.2496798975672215</v>
      </c>
      <c r="G38" s="13">
        <v>1295</v>
      </c>
      <c r="H38" s="13">
        <f t="shared" si="1"/>
        <v>-319</v>
      </c>
      <c r="I38" s="14">
        <f t="shared" si="2"/>
        <v>-0.24633204633204633</v>
      </c>
      <c r="J38" s="60" t="s">
        <v>100</v>
      </c>
      <c r="K38" s="77"/>
      <c r="L38" s="63"/>
      <c r="M38" s="63"/>
      <c r="N38" s="63"/>
      <c r="O38" s="63"/>
    </row>
    <row r="39" spans="1:15" ht="28.9">
      <c r="A39" s="27" t="str">
        <v>Burlington</v>
      </c>
      <c r="B39" s="28" t="str">
        <v>NJ</v>
      </c>
      <c r="C39" s="10">
        <v>2447</v>
      </c>
      <c r="D39" s="15">
        <v>2403</v>
      </c>
      <c r="E39" s="15">
        <f t="shared" si="0"/>
        <v>44</v>
      </c>
      <c r="F39" s="16">
        <f t="shared" si="3"/>
        <v>1.8310445276737412E-2</v>
      </c>
      <c r="G39" s="17">
        <v>3332</v>
      </c>
      <c r="H39" s="17">
        <f t="shared" si="1"/>
        <v>-885</v>
      </c>
      <c r="I39" s="16">
        <f t="shared" si="2"/>
        <v>-0.26560624249699882</v>
      </c>
      <c r="J39" s="56" t="s">
        <v>100</v>
      </c>
      <c r="K39" s="54"/>
      <c r="L39" s="63"/>
      <c r="M39" s="63"/>
      <c r="N39" s="63"/>
      <c r="O39" s="63"/>
    </row>
    <row r="40" spans="1:15" ht="15.6">
      <c r="A40" s="25" t="str">
        <v>Bayonne</v>
      </c>
      <c r="B40" s="26" t="str">
        <v>NJ</v>
      </c>
      <c r="C40" s="21">
        <v>3160</v>
      </c>
      <c r="D40" s="11">
        <v>2969</v>
      </c>
      <c r="E40" s="11">
        <f t="shared" si="0"/>
        <v>191</v>
      </c>
      <c r="F40" s="12">
        <f t="shared" si="3"/>
        <v>6.4331424722128661E-2</v>
      </c>
      <c r="G40" s="13">
        <v>3776</v>
      </c>
      <c r="H40" s="13">
        <f t="shared" si="1"/>
        <v>-616</v>
      </c>
      <c r="I40" s="14">
        <f t="shared" si="2"/>
        <v>-0.16313559322033899</v>
      </c>
      <c r="J40" s="60" t="s">
        <v>175</v>
      </c>
      <c r="K40" s="38"/>
      <c r="L40" s="63"/>
      <c r="M40" s="63"/>
      <c r="N40" s="63"/>
      <c r="O40" s="63"/>
    </row>
    <row r="41" spans="1:15" ht="15.6">
      <c r="A41" s="27" t="str">
        <v>Clifton</v>
      </c>
      <c r="B41" s="28" t="str">
        <v>NJ</v>
      </c>
      <c r="C41" s="10">
        <v>3723</v>
      </c>
      <c r="D41" s="15">
        <v>3823</v>
      </c>
      <c r="E41" s="15">
        <f t="shared" si="0"/>
        <v>-100</v>
      </c>
      <c r="F41" s="16">
        <f t="shared" si="3"/>
        <v>-2.6157467957101752E-2</v>
      </c>
      <c r="G41" s="17">
        <v>4453</v>
      </c>
      <c r="H41" s="17">
        <f t="shared" si="1"/>
        <v>-730</v>
      </c>
      <c r="I41" s="16">
        <f t="shared" si="2"/>
        <v>-0.16393442622950818</v>
      </c>
      <c r="J41" s="56" t="s">
        <v>175</v>
      </c>
      <c r="K41" s="54"/>
      <c r="L41" s="63"/>
      <c r="M41" s="63"/>
      <c r="N41" s="63"/>
      <c r="O41" s="63"/>
    </row>
    <row r="42" spans="1:15" ht="57.6">
      <c r="A42" s="25" t="str">
        <v>North Elizabeth</v>
      </c>
      <c r="B42" s="26" t="str">
        <v>NJ</v>
      </c>
      <c r="C42" s="21">
        <v>2522</v>
      </c>
      <c r="D42" s="11">
        <v>1918</v>
      </c>
      <c r="E42" s="11">
        <f t="shared" si="0"/>
        <v>604</v>
      </c>
      <c r="F42" s="12">
        <f t="shared" si="3"/>
        <v>0.31491136600625652</v>
      </c>
      <c r="G42" s="13">
        <v>4136</v>
      </c>
      <c r="H42" s="13">
        <f t="shared" si="1"/>
        <v>-1614</v>
      </c>
      <c r="I42" s="14">
        <f t="shared" si="2"/>
        <v>-0.39023210831721472</v>
      </c>
      <c r="J42" s="60" t="s">
        <v>176</v>
      </c>
      <c r="K42" s="38" t="s">
        <v>177</v>
      </c>
      <c r="L42" s="63"/>
      <c r="M42" s="63"/>
      <c r="N42" s="63"/>
      <c r="O42" s="63"/>
    </row>
    <row r="43" spans="1:15" ht="28.9">
      <c r="A43" s="27" t="str">
        <v>Haddon Westmont Plaza</v>
      </c>
      <c r="B43" s="28" t="str">
        <v>NJ</v>
      </c>
      <c r="C43" s="10">
        <v>2492</v>
      </c>
      <c r="D43" s="15">
        <v>2439</v>
      </c>
      <c r="E43" s="15">
        <f t="shared" si="0"/>
        <v>53</v>
      </c>
      <c r="F43" s="16">
        <f t="shared" si="3"/>
        <v>2.1730217302173022E-2</v>
      </c>
      <c r="G43" s="17">
        <v>3063</v>
      </c>
      <c r="H43" s="17">
        <f t="shared" si="1"/>
        <v>-571</v>
      </c>
      <c r="I43" s="16">
        <f t="shared" si="2"/>
        <v>-0.18641854391119816</v>
      </c>
      <c r="J43" s="56" t="s">
        <v>100</v>
      </c>
      <c r="K43" s="54"/>
      <c r="L43" s="63"/>
      <c r="M43" s="63"/>
      <c r="N43" s="63"/>
      <c r="O43" s="63"/>
    </row>
    <row r="44" spans="1:15" ht="28.9">
      <c r="A44" s="25" t="str">
        <v>Parsippany</v>
      </c>
      <c r="B44" s="26" t="str">
        <v>NJ</v>
      </c>
      <c r="C44" s="21">
        <v>2730</v>
      </c>
      <c r="D44" s="11">
        <v>2519</v>
      </c>
      <c r="E44" s="11">
        <f t="shared" si="0"/>
        <v>211</v>
      </c>
      <c r="F44" s="12">
        <f t="shared" si="3"/>
        <v>8.3763398173878525E-2</v>
      </c>
      <c r="G44" s="13">
        <v>3536</v>
      </c>
      <c r="H44" s="13">
        <f t="shared" si="1"/>
        <v>-806</v>
      </c>
      <c r="I44" s="14">
        <f t="shared" si="2"/>
        <v>-0.22794117647058823</v>
      </c>
      <c r="J44" s="60" t="s">
        <v>100</v>
      </c>
      <c r="K44" s="77"/>
      <c r="L44" s="63"/>
      <c r="M44" s="63"/>
      <c r="N44" s="63"/>
      <c r="O44" s="63"/>
    </row>
    <row r="45" spans="1:15" ht="28.9">
      <c r="A45" s="27" t="str">
        <v>Clark</v>
      </c>
      <c r="B45" s="28" t="str">
        <v>NJ</v>
      </c>
      <c r="C45" s="10">
        <v>173</v>
      </c>
      <c r="D45" s="15">
        <v>2290</v>
      </c>
      <c r="E45" s="15">
        <f t="shared" si="0"/>
        <v>-2117</v>
      </c>
      <c r="F45" s="16">
        <f t="shared" si="3"/>
        <v>-0.92445414847161567</v>
      </c>
      <c r="G45" s="17">
        <v>2878</v>
      </c>
      <c r="H45" s="17">
        <f t="shared" si="1"/>
        <v>-2705</v>
      </c>
      <c r="I45" s="16">
        <f t="shared" si="2"/>
        <v>-0.93988881167477412</v>
      </c>
      <c r="J45" s="49" t="s">
        <v>178</v>
      </c>
      <c r="K45" s="54" t="s">
        <v>179</v>
      </c>
      <c r="L45" s="63"/>
      <c r="M45" s="63"/>
      <c r="N45" s="63"/>
      <c r="O45" s="63"/>
    </row>
    <row r="46" spans="1:15" ht="28.9">
      <c r="A46" s="25" t="str">
        <v>Closter</v>
      </c>
      <c r="B46" s="26" t="str">
        <v>NJ</v>
      </c>
      <c r="C46" s="21">
        <v>1220</v>
      </c>
      <c r="D46" s="11">
        <v>1006</v>
      </c>
      <c r="E46" s="11">
        <f t="shared" si="0"/>
        <v>214</v>
      </c>
      <c r="F46" s="12">
        <f t="shared" si="3"/>
        <v>0.21272365805168986</v>
      </c>
      <c r="G46" s="13">
        <v>1802</v>
      </c>
      <c r="H46" s="13">
        <f t="shared" si="1"/>
        <v>-582</v>
      </c>
      <c r="I46" s="14">
        <f t="shared" si="2"/>
        <v>-0.32297447280799113</v>
      </c>
      <c r="J46" s="60" t="s">
        <v>100</v>
      </c>
      <c r="K46" s="38"/>
      <c r="L46" s="63"/>
      <c r="M46" s="63"/>
      <c r="N46" s="63"/>
      <c r="O46" s="63"/>
    </row>
    <row r="47" spans="1:15" ht="43.15">
      <c r="A47" s="27" t="str">
        <v>Holmdel</v>
      </c>
      <c r="B47" s="28" t="str">
        <v>NJ</v>
      </c>
      <c r="C47" s="10">
        <v>2065</v>
      </c>
      <c r="D47" s="15">
        <v>6305</v>
      </c>
      <c r="E47" s="15">
        <f t="shared" si="0"/>
        <v>-4240</v>
      </c>
      <c r="F47" s="16">
        <f t="shared" si="3"/>
        <v>-0.67248215701823955</v>
      </c>
      <c r="G47" s="17">
        <v>2540</v>
      </c>
      <c r="H47" s="17">
        <f t="shared" si="1"/>
        <v>-475</v>
      </c>
      <c r="I47" s="16">
        <f t="shared" si="2"/>
        <v>-0.18700787401574803</v>
      </c>
      <c r="J47" s="49" t="s">
        <v>180</v>
      </c>
      <c r="K47" s="79" t="s">
        <v>181</v>
      </c>
      <c r="L47" s="63"/>
      <c r="M47" s="63"/>
      <c r="N47" s="63"/>
      <c r="O47" s="63"/>
    </row>
    <row r="48" spans="1:15" ht="28.9">
      <c r="A48" s="25" t="str">
        <v>Ellisburg Circle Center</v>
      </c>
      <c r="B48" s="26" t="str">
        <v>NJ</v>
      </c>
      <c r="C48" s="21">
        <v>1101</v>
      </c>
      <c r="D48" s="11">
        <v>1095</v>
      </c>
      <c r="E48" s="11">
        <f t="shared" si="0"/>
        <v>6</v>
      </c>
      <c r="F48" s="12">
        <f t="shared" si="3"/>
        <v>5.4794520547945206E-3</v>
      </c>
      <c r="G48" s="13">
        <v>1417</v>
      </c>
      <c r="H48" s="13">
        <f t="shared" si="1"/>
        <v>-316</v>
      </c>
      <c r="I48" s="14">
        <f t="shared" si="2"/>
        <v>-0.22300635144671843</v>
      </c>
      <c r="J48" s="60" t="s">
        <v>100</v>
      </c>
      <c r="K48" s="38"/>
      <c r="L48" s="63"/>
      <c r="M48" s="63"/>
      <c r="N48" s="63"/>
      <c r="O48" s="63"/>
    </row>
    <row r="49" spans="1:15" ht="28.9">
      <c r="A49" s="27" t="str">
        <v>Nutley</v>
      </c>
      <c r="B49" s="28" t="str">
        <v>NJ</v>
      </c>
      <c r="C49" s="10">
        <v>4066</v>
      </c>
      <c r="D49" s="15">
        <v>3291</v>
      </c>
      <c r="E49" s="15">
        <f t="shared" si="0"/>
        <v>775</v>
      </c>
      <c r="F49" s="16">
        <f t="shared" si="3"/>
        <v>0.2354907323002127</v>
      </c>
      <c r="G49" s="17">
        <v>4964</v>
      </c>
      <c r="H49" s="17">
        <f t="shared" si="1"/>
        <v>-898</v>
      </c>
      <c r="I49" s="16">
        <f t="shared" si="2"/>
        <v>-0.18090249798549557</v>
      </c>
      <c r="J49" s="49" t="s">
        <v>100</v>
      </c>
      <c r="K49" s="54"/>
      <c r="L49" s="63"/>
      <c r="M49" s="63"/>
      <c r="N49" s="63"/>
      <c r="O49" s="63"/>
    </row>
    <row r="50" spans="1:15" ht="28.9">
      <c r="A50" s="25" t="str">
        <v>Marlton</v>
      </c>
      <c r="B50" s="26" t="str">
        <v>NJ</v>
      </c>
      <c r="C50" s="21">
        <v>3815</v>
      </c>
      <c r="D50" s="11">
        <v>3516</v>
      </c>
      <c r="E50" s="11">
        <f t="shared" si="0"/>
        <v>299</v>
      </c>
      <c r="F50" s="12">
        <f t="shared" si="3"/>
        <v>8.5039817974971565E-2</v>
      </c>
      <c r="G50" s="13">
        <v>4949</v>
      </c>
      <c r="H50" s="13">
        <f t="shared" si="1"/>
        <v>-1134</v>
      </c>
      <c r="I50" s="14">
        <f t="shared" si="2"/>
        <v>-0.22913719943422914</v>
      </c>
      <c r="J50" s="60" t="s">
        <v>100</v>
      </c>
      <c r="K50" s="38"/>
      <c r="L50" s="63"/>
      <c r="M50" s="63"/>
      <c r="N50" s="63"/>
      <c r="O50" s="63"/>
    </row>
    <row r="51" spans="1:15" ht="28.9">
      <c r="A51" s="27" t="str">
        <v>Middletown</v>
      </c>
      <c r="B51" s="28" t="str">
        <v>NJ</v>
      </c>
      <c r="C51" s="10">
        <v>2881</v>
      </c>
      <c r="D51" s="15">
        <v>2489</v>
      </c>
      <c r="E51" s="15">
        <f t="shared" si="0"/>
        <v>392</v>
      </c>
      <c r="F51" s="16">
        <f t="shared" si="3"/>
        <v>0.15749296906388108</v>
      </c>
      <c r="G51" s="17">
        <v>4026</v>
      </c>
      <c r="H51" s="17">
        <f t="shared" si="1"/>
        <v>-1145</v>
      </c>
      <c r="I51" s="16">
        <f t="shared" si="2"/>
        <v>-0.28440139095876799</v>
      </c>
      <c r="J51" s="56" t="s">
        <v>182</v>
      </c>
      <c r="K51" s="54" t="s">
        <v>183</v>
      </c>
      <c r="L51" s="63"/>
      <c r="M51" s="63"/>
      <c r="N51" s="63"/>
      <c r="O51" s="63"/>
    </row>
    <row r="52" spans="1:15" ht="28.9">
      <c r="A52" s="25" t="str">
        <v>Whiting Crestwood</v>
      </c>
      <c r="B52" s="26" t="str">
        <v>NJ</v>
      </c>
      <c r="C52" s="21">
        <v>3679</v>
      </c>
      <c r="D52" s="11">
        <v>3506</v>
      </c>
      <c r="E52" s="11">
        <f t="shared" si="0"/>
        <v>173</v>
      </c>
      <c r="F52" s="12">
        <f t="shared" si="3"/>
        <v>4.934398174557901E-2</v>
      </c>
      <c r="G52" s="13">
        <v>5307</v>
      </c>
      <c r="H52" s="13">
        <f t="shared" si="1"/>
        <v>-1628</v>
      </c>
      <c r="I52" s="14">
        <f t="shared" si="2"/>
        <v>-0.30676465046165441</v>
      </c>
      <c r="J52" s="60" t="s">
        <v>100</v>
      </c>
      <c r="K52" s="38"/>
      <c r="L52" s="63"/>
      <c r="M52" s="63"/>
      <c r="N52" s="63"/>
      <c r="O52" s="63"/>
    </row>
    <row r="53" spans="1:15" ht="28.9">
      <c r="A53" s="27" t="str">
        <v>Barnegat</v>
      </c>
      <c r="B53" s="28" t="str">
        <v>NJ</v>
      </c>
      <c r="C53" s="10">
        <v>5837</v>
      </c>
      <c r="D53" s="15">
        <v>5283</v>
      </c>
      <c r="E53" s="15">
        <f t="shared" si="0"/>
        <v>554</v>
      </c>
      <c r="F53" s="16">
        <f t="shared" si="3"/>
        <v>0.1048646602309294</v>
      </c>
      <c r="G53" s="17">
        <v>7665</v>
      </c>
      <c r="H53" s="17">
        <f t="shared" si="1"/>
        <v>-1828</v>
      </c>
      <c r="I53" s="16">
        <f t="shared" si="2"/>
        <v>-0.23848662752772343</v>
      </c>
      <c r="J53" s="56" t="s">
        <v>100</v>
      </c>
      <c r="K53" s="54"/>
      <c r="L53" s="63"/>
      <c r="M53" s="63"/>
      <c r="N53" s="63"/>
      <c r="O53" s="63"/>
    </row>
    <row r="54" spans="1:15" ht="28.9">
      <c r="A54" s="25" t="str">
        <v>Manchester</v>
      </c>
      <c r="B54" s="26" t="str">
        <v>NJ</v>
      </c>
      <c r="C54" s="21">
        <v>2102</v>
      </c>
      <c r="D54" s="11">
        <v>2379</v>
      </c>
      <c r="E54" s="11">
        <f t="shared" si="0"/>
        <v>-277</v>
      </c>
      <c r="F54" s="12">
        <f t="shared" si="3"/>
        <v>-0.1164354770912148</v>
      </c>
      <c r="G54" s="13">
        <v>4398</v>
      </c>
      <c r="H54" s="13">
        <f t="shared" si="1"/>
        <v>-2296</v>
      </c>
      <c r="I54" s="14">
        <f t="shared" si="2"/>
        <v>-0.52205547976352884</v>
      </c>
      <c r="J54" s="60" t="s">
        <v>184</v>
      </c>
      <c r="K54" s="38"/>
      <c r="L54" s="63"/>
      <c r="M54" s="63"/>
      <c r="N54" s="63"/>
      <c r="O54" s="63"/>
    </row>
    <row r="55" spans="1:15" ht="28.9">
      <c r="A55" s="27" t="str">
        <v>West Deptford - Woodbury</v>
      </c>
      <c r="B55" s="28" t="str">
        <v>NJ</v>
      </c>
      <c r="C55" s="10">
        <v>3352</v>
      </c>
      <c r="D55" s="15">
        <v>3605</v>
      </c>
      <c r="E55" s="15">
        <f t="shared" si="0"/>
        <v>-253</v>
      </c>
      <c r="F55" s="16">
        <f t="shared" si="3"/>
        <v>-7.0180305131761447E-2</v>
      </c>
      <c r="G55" s="17">
        <v>4204</v>
      </c>
      <c r="H55" s="17">
        <f t="shared" si="1"/>
        <v>-852</v>
      </c>
      <c r="I55" s="16">
        <f t="shared" si="2"/>
        <v>-0.20266412940057088</v>
      </c>
      <c r="J55" s="56" t="s">
        <v>100</v>
      </c>
      <c r="K55" s="54"/>
      <c r="L55" s="63"/>
      <c r="M55" s="63"/>
      <c r="N55" s="63"/>
      <c r="O55" s="63"/>
    </row>
    <row r="56" spans="1:15" ht="28.9">
      <c r="A56" s="25" t="str">
        <v>Edison</v>
      </c>
      <c r="B56" s="26" t="str">
        <v>NJ</v>
      </c>
      <c r="C56" s="21">
        <v>2955</v>
      </c>
      <c r="D56" s="11">
        <v>2967</v>
      </c>
      <c r="E56" s="11">
        <f t="shared" si="0"/>
        <v>-12</v>
      </c>
      <c r="F56" s="12">
        <f t="shared" si="3"/>
        <v>-4.0444893832153692E-3</v>
      </c>
      <c r="G56" s="13">
        <v>3787</v>
      </c>
      <c r="H56" s="13">
        <f t="shared" si="1"/>
        <v>-832</v>
      </c>
      <c r="I56" s="14">
        <f t="shared" si="2"/>
        <v>-0.21969897016107737</v>
      </c>
      <c r="J56" s="60" t="s">
        <v>100</v>
      </c>
      <c r="K56" s="77"/>
      <c r="L56" s="63"/>
      <c r="M56" s="63"/>
      <c r="N56" s="63"/>
      <c r="O56" s="63"/>
    </row>
    <row r="57" spans="1:15" ht="28.9">
      <c r="A57" s="27" t="str">
        <v>Flemington</v>
      </c>
      <c r="B57" s="28" t="str">
        <v>NJ</v>
      </c>
      <c r="C57" s="10">
        <v>2911</v>
      </c>
      <c r="D57" s="15">
        <v>2994</v>
      </c>
      <c r="E57" s="15">
        <f t="shared" si="0"/>
        <v>-83</v>
      </c>
      <c r="F57" s="16">
        <f t="shared" si="3"/>
        <v>-2.7722110888443553E-2</v>
      </c>
      <c r="G57" s="17">
        <v>3786</v>
      </c>
      <c r="H57" s="17">
        <f t="shared" si="1"/>
        <v>-875</v>
      </c>
      <c r="I57" s="16">
        <f t="shared" si="2"/>
        <v>-0.23111463285789752</v>
      </c>
      <c r="J57" s="56" t="s">
        <v>185</v>
      </c>
      <c r="K57" s="54" t="s">
        <v>186</v>
      </c>
      <c r="L57" s="63"/>
      <c r="M57" s="63"/>
      <c r="N57" s="63"/>
      <c r="O57" s="63"/>
    </row>
    <row r="58" spans="1:15" ht="49.35" customHeight="1">
      <c r="A58" s="25" t="str">
        <v>Route 22</v>
      </c>
      <c r="B58" s="26" t="str">
        <v>NJ</v>
      </c>
      <c r="C58" s="21">
        <v>2754</v>
      </c>
      <c r="D58" s="11">
        <v>2990</v>
      </c>
      <c r="E58" s="11">
        <f t="shared" si="0"/>
        <v>-236</v>
      </c>
      <c r="F58" s="12">
        <f t="shared" si="3"/>
        <v>-7.8929765886287626E-2</v>
      </c>
      <c r="G58" s="13">
        <v>3533</v>
      </c>
      <c r="H58" s="13">
        <f t="shared" si="1"/>
        <v>-779</v>
      </c>
      <c r="I58" s="14">
        <f t="shared" si="2"/>
        <v>-0.22049249929238607</v>
      </c>
      <c r="J58" s="60" t="s">
        <v>100</v>
      </c>
      <c r="K58" s="38"/>
      <c r="L58" s="63"/>
      <c r="M58" s="63"/>
      <c r="N58" s="63"/>
      <c r="O58" s="63"/>
    </row>
    <row r="59" spans="1:15" ht="28.9">
      <c r="A59" s="27" t="str">
        <v>Laurelton</v>
      </c>
      <c r="B59" s="28" t="str">
        <v>NJ</v>
      </c>
      <c r="C59" s="10">
        <v>1713</v>
      </c>
      <c r="D59" s="15">
        <v>2647</v>
      </c>
      <c r="E59" s="15">
        <f t="shared" si="0"/>
        <v>-934</v>
      </c>
      <c r="F59" s="16">
        <f t="shared" si="3"/>
        <v>-0.35285228560634679</v>
      </c>
      <c r="G59" s="17">
        <v>3329</v>
      </c>
      <c r="H59" s="17">
        <f t="shared" si="1"/>
        <v>-1616</v>
      </c>
      <c r="I59" s="16">
        <f t="shared" si="2"/>
        <v>-0.48543106037849204</v>
      </c>
      <c r="J59" s="56" t="s">
        <v>184</v>
      </c>
      <c r="K59" s="54"/>
      <c r="L59" s="63"/>
      <c r="M59" s="63"/>
      <c r="N59" s="63"/>
      <c r="O59" s="63"/>
    </row>
    <row r="60" spans="1:15" ht="43.15">
      <c r="A60" s="25" t="str">
        <v>Mahwah</v>
      </c>
      <c r="B60" s="26" t="str">
        <v>NJ</v>
      </c>
      <c r="C60" s="21">
        <v>2185</v>
      </c>
      <c r="D60" s="11">
        <v>390</v>
      </c>
      <c r="E60" s="11">
        <f t="shared" si="0"/>
        <v>1795</v>
      </c>
      <c r="F60" s="12">
        <f t="shared" si="3"/>
        <v>4.6025641025641022</v>
      </c>
      <c r="G60" s="13">
        <v>3198</v>
      </c>
      <c r="H60" s="13">
        <f t="shared" si="1"/>
        <v>-1013</v>
      </c>
      <c r="I60" s="14">
        <f t="shared" si="2"/>
        <v>-0.31676047529706064</v>
      </c>
      <c r="J60" s="60" t="s">
        <v>187</v>
      </c>
      <c r="K60" s="38" t="s">
        <v>152</v>
      </c>
      <c r="L60" s="63"/>
      <c r="M60" s="63"/>
      <c r="N60" s="63"/>
      <c r="O60" s="63"/>
    </row>
    <row r="61" spans="1:15" ht="28.9">
      <c r="A61" s="27" t="str">
        <v>Franklin Township WF</v>
      </c>
      <c r="B61" s="28" t="str">
        <v>NJ</v>
      </c>
      <c r="C61" s="10">
        <v>2602</v>
      </c>
      <c r="D61" s="15">
        <v>2630</v>
      </c>
      <c r="E61" s="15">
        <f t="shared" si="0"/>
        <v>-28</v>
      </c>
      <c r="F61" s="16">
        <f t="shared" si="3"/>
        <v>-1.064638783269962E-2</v>
      </c>
      <c r="G61" s="17">
        <v>3295</v>
      </c>
      <c r="H61" s="17">
        <f t="shared" si="1"/>
        <v>-693</v>
      </c>
      <c r="I61" s="16">
        <f t="shared" si="2"/>
        <v>-0.2103186646433991</v>
      </c>
      <c r="J61" s="56" t="s">
        <v>100</v>
      </c>
      <c r="K61" s="79"/>
      <c r="L61" s="63"/>
      <c r="M61" s="63"/>
      <c r="N61" s="63"/>
      <c r="O61" s="63"/>
    </row>
    <row r="62" spans="1:15" ht="28.9">
      <c r="A62" s="25" t="str">
        <v>Bordentown</v>
      </c>
      <c r="B62" s="26" t="str">
        <v>NJ</v>
      </c>
      <c r="C62" s="21">
        <v>1966</v>
      </c>
      <c r="D62" s="11">
        <v>1836</v>
      </c>
      <c r="E62" s="11">
        <f t="shared" si="0"/>
        <v>130</v>
      </c>
      <c r="F62" s="12">
        <f t="shared" si="3"/>
        <v>7.0806100217864917E-2</v>
      </c>
      <c r="G62" s="13">
        <v>2562</v>
      </c>
      <c r="H62" s="13">
        <f t="shared" si="1"/>
        <v>-596</v>
      </c>
      <c r="I62" s="14">
        <f t="shared" si="2"/>
        <v>-0.23263075722092116</v>
      </c>
      <c r="J62" s="60" t="s">
        <v>100</v>
      </c>
      <c r="K62" s="38"/>
      <c r="L62" s="63"/>
      <c r="M62" s="63"/>
      <c r="N62" s="63"/>
      <c r="O62" s="63"/>
    </row>
    <row r="63" spans="1:15" ht="28.9">
      <c r="A63" s="27" t="str">
        <v>South Plainfield</v>
      </c>
      <c r="B63" s="28" t="str">
        <v>NJ</v>
      </c>
      <c r="C63" s="10">
        <v>1437</v>
      </c>
      <c r="D63" s="15">
        <v>1454</v>
      </c>
      <c r="E63" s="15">
        <f t="shared" si="0"/>
        <v>-17</v>
      </c>
      <c r="F63" s="16">
        <f t="shared" si="3"/>
        <v>-1.1691884456671253E-2</v>
      </c>
      <c r="G63" s="17">
        <v>1804</v>
      </c>
      <c r="H63" s="17">
        <f t="shared" si="1"/>
        <v>-367</v>
      </c>
      <c r="I63" s="16">
        <f t="shared" si="2"/>
        <v>-0.20343680709534367</v>
      </c>
      <c r="J63" s="56" t="s">
        <v>100</v>
      </c>
      <c r="K63" s="80"/>
      <c r="L63" s="85"/>
      <c r="M63" s="63"/>
      <c r="N63" s="63"/>
      <c r="O63" s="63"/>
    </row>
    <row r="64" spans="1:15" ht="28.9">
      <c r="A64" s="25" t="str">
        <v>Somerset</v>
      </c>
      <c r="B64" s="26" t="str">
        <v>NJ</v>
      </c>
      <c r="C64" s="21">
        <v>2349</v>
      </c>
      <c r="D64" s="11">
        <v>2309</v>
      </c>
      <c r="E64" s="11">
        <f t="shared" si="0"/>
        <v>40</v>
      </c>
      <c r="F64" s="12">
        <f t="shared" si="3"/>
        <v>1.7323516673884799E-2</v>
      </c>
      <c r="G64" s="13">
        <v>3043</v>
      </c>
      <c r="H64" s="13">
        <f t="shared" si="1"/>
        <v>-694</v>
      </c>
      <c r="I64" s="14">
        <f t="shared" si="2"/>
        <v>-0.22806441012159054</v>
      </c>
      <c r="J64" s="60" t="s">
        <v>100</v>
      </c>
      <c r="K64" s="38"/>
      <c r="L64" s="63"/>
      <c r="M64" s="63"/>
      <c r="N64" s="63"/>
      <c r="O64" s="63"/>
    </row>
    <row r="65" spans="1:15" ht="28.9">
      <c r="A65" s="27" t="str">
        <v>Clinton Main Relo</v>
      </c>
      <c r="B65" s="28" t="str">
        <v>NJ</v>
      </c>
      <c r="C65" s="10">
        <v>2835</v>
      </c>
      <c r="D65" s="15">
        <v>2845</v>
      </c>
      <c r="E65" s="15">
        <f t="shared" si="0"/>
        <v>-10</v>
      </c>
      <c r="F65" s="16">
        <f t="shared" si="3"/>
        <v>-3.5149384885764497E-3</v>
      </c>
      <c r="G65" s="17">
        <v>3388</v>
      </c>
      <c r="H65" s="17">
        <f t="shared" si="1"/>
        <v>-553</v>
      </c>
      <c r="I65" s="16">
        <f t="shared" si="2"/>
        <v>-0.16322314049586778</v>
      </c>
      <c r="J65" s="56" t="s">
        <v>100</v>
      </c>
      <c r="K65" s="54"/>
      <c r="L65" s="63"/>
      <c r="M65" s="63"/>
      <c r="N65" s="63"/>
      <c r="O65" s="63"/>
    </row>
    <row r="66" spans="1:15" ht="28.9">
      <c r="A66" s="25" t="str">
        <v>North Brunswick</v>
      </c>
      <c r="B66" s="26" t="str">
        <v>NJ</v>
      </c>
      <c r="C66" s="21">
        <v>2828</v>
      </c>
      <c r="D66" s="11">
        <v>2666</v>
      </c>
      <c r="E66" s="11">
        <f t="shared" si="0"/>
        <v>162</v>
      </c>
      <c r="F66" s="12">
        <f t="shared" si="3"/>
        <v>6.0765191297824456E-2</v>
      </c>
      <c r="G66" s="13">
        <v>3910</v>
      </c>
      <c r="H66" s="13">
        <f t="shared" si="1"/>
        <v>-1082</v>
      </c>
      <c r="I66" s="14">
        <f t="shared" si="2"/>
        <v>-0.27672634271099744</v>
      </c>
      <c r="J66" s="38" t="s">
        <v>100</v>
      </c>
      <c r="K66" s="38"/>
      <c r="L66" s="63"/>
      <c r="M66" s="63"/>
      <c r="N66" s="63"/>
      <c r="O66" s="63"/>
    </row>
    <row r="67" spans="1:15" ht="28.9">
      <c r="A67" s="27" t="str">
        <v>Cherry Hill</v>
      </c>
      <c r="B67" s="28" t="str">
        <v>NJ</v>
      </c>
      <c r="C67" s="10">
        <v>1977</v>
      </c>
      <c r="D67" s="15">
        <v>1909</v>
      </c>
      <c r="E67" s="15">
        <f t="shared" si="0"/>
        <v>68</v>
      </c>
      <c r="F67" s="16">
        <f t="shared" si="3"/>
        <v>3.5620743844944999E-2</v>
      </c>
      <c r="G67" s="17">
        <v>2562</v>
      </c>
      <c r="H67" s="17">
        <f t="shared" si="1"/>
        <v>-585</v>
      </c>
      <c r="I67" s="16">
        <f t="shared" si="2"/>
        <v>-0.22833723653395785</v>
      </c>
      <c r="J67" s="39" t="s">
        <v>100</v>
      </c>
      <c r="K67" s="80"/>
      <c r="L67" s="63"/>
      <c r="M67" s="63"/>
      <c r="N67" s="63"/>
      <c r="O67" s="63"/>
    </row>
    <row r="68" spans="1:15" ht="28.9">
      <c r="A68" s="25" t="str">
        <v>Hainesport</v>
      </c>
      <c r="B68" s="26" t="str">
        <v>NJ</v>
      </c>
      <c r="C68" s="21">
        <v>1961</v>
      </c>
      <c r="D68" s="11">
        <v>2236</v>
      </c>
      <c r="E68" s="11">
        <f t="shared" si="0"/>
        <v>-275</v>
      </c>
      <c r="F68" s="12">
        <f t="shared" si="3"/>
        <v>-0.12298747763864043</v>
      </c>
      <c r="G68" s="13">
        <v>2590</v>
      </c>
      <c r="H68" s="13">
        <f t="shared" si="1"/>
        <v>-629</v>
      </c>
      <c r="I68" s="14">
        <f t="shared" si="2"/>
        <v>-0.24285714285714285</v>
      </c>
      <c r="J68" s="38" t="s">
        <v>184</v>
      </c>
      <c r="K68" s="38"/>
      <c r="L68" s="63"/>
      <c r="M68" s="63"/>
      <c r="N68" s="63"/>
      <c r="O68" s="63"/>
    </row>
    <row r="69" spans="1:15" ht="28.9">
      <c r="A69" s="27" t="str">
        <v>San Antonio - Ops Ctr (Bldg 106)</v>
      </c>
      <c r="B69" s="28" t="str">
        <v>TX</v>
      </c>
      <c r="C69" s="10">
        <v>56872</v>
      </c>
      <c r="D69" s="15">
        <v>41952</v>
      </c>
      <c r="E69" s="15">
        <f t="shared" ref="E69:E84" si="4">IF(AND(ISNUMBER(C69),ISNUMBER(D69)), C69-D69, "")</f>
        <v>14920</v>
      </c>
      <c r="F69" s="16">
        <f t="shared" si="3"/>
        <v>0.35564454614797864</v>
      </c>
      <c r="G69" s="17">
        <v>57873</v>
      </c>
      <c r="H69" s="17">
        <f t="shared" ref="H69:H84" si="5">IF(AND(ISNUMBER(C69),ISNUMBER(G69)), C69-G69, "")</f>
        <v>-1001</v>
      </c>
      <c r="I69" s="16">
        <f t="shared" ref="I69:I84" si="6">IFERROR(H69/G69, "")</f>
        <v>-1.7296494047310491E-2</v>
      </c>
      <c r="J69" s="39" t="s">
        <v>188</v>
      </c>
      <c r="K69" s="54" t="s">
        <v>189</v>
      </c>
      <c r="L69" s="63"/>
      <c r="M69" s="63"/>
      <c r="N69" s="63"/>
      <c r="O69" s="63"/>
    </row>
    <row r="70" spans="1:15" ht="28.9">
      <c r="A70" s="25" t="str">
        <v>San Antonio - Ops Ctr GM</v>
      </c>
      <c r="B70" s="26" t="str">
        <v>TX</v>
      </c>
      <c r="C70" s="21">
        <v>377299</v>
      </c>
      <c r="D70" s="11">
        <v>414548</v>
      </c>
      <c r="E70" s="11">
        <f t="shared" si="4"/>
        <v>-37249</v>
      </c>
      <c r="F70" s="12">
        <f t="shared" ref="F70:F84" si="7">IFERROR(E70/D70, "")</f>
        <v>-8.9854492121539606E-2</v>
      </c>
      <c r="G70" s="13">
        <v>419951</v>
      </c>
      <c r="H70" s="13">
        <f t="shared" si="5"/>
        <v>-42652</v>
      </c>
      <c r="I70" s="14">
        <f t="shared" si="6"/>
        <v>-0.10156423011256076</v>
      </c>
      <c r="J70" s="38" t="s">
        <v>100</v>
      </c>
      <c r="K70" s="38"/>
      <c r="L70" s="63"/>
      <c r="M70" s="63"/>
      <c r="N70" s="63"/>
      <c r="O70" s="63"/>
    </row>
    <row r="71" spans="1:15" ht="15.6">
      <c r="A71" s="27" t="str">
        <v>San Antonio - Ctr (Bldg 201)</v>
      </c>
      <c r="B71" s="28" t="str">
        <v>TX</v>
      </c>
      <c r="C71" s="10">
        <v>56619</v>
      </c>
      <c r="D71" s="15">
        <v>41658</v>
      </c>
      <c r="E71" s="15">
        <f t="shared" si="4"/>
        <v>14961</v>
      </c>
      <c r="F71" s="16">
        <f t="shared" si="7"/>
        <v>0.35913870084977673</v>
      </c>
      <c r="G71" s="17">
        <v>56256</v>
      </c>
      <c r="H71" s="17">
        <f t="shared" si="5"/>
        <v>363</v>
      </c>
      <c r="I71" s="16">
        <f t="shared" si="6"/>
        <v>6.452645051194539E-3</v>
      </c>
      <c r="J71" s="39"/>
      <c r="K71" s="54"/>
      <c r="L71" s="63"/>
      <c r="M71" s="63"/>
      <c r="N71" s="63"/>
      <c r="O71" s="63"/>
    </row>
    <row r="72" spans="1:15" ht="15.6">
      <c r="A72" s="25" t="str">
        <v>San Antonio - Ops Ctr (Bldg 203)</v>
      </c>
      <c r="B72" s="26" t="str">
        <v>TX</v>
      </c>
      <c r="C72" s="21">
        <v>56545</v>
      </c>
      <c r="D72" s="11">
        <v>54798</v>
      </c>
      <c r="E72" s="11">
        <f t="shared" si="4"/>
        <v>1747</v>
      </c>
      <c r="F72" s="12">
        <f t="shared" si="7"/>
        <v>3.1880725573926058E-2</v>
      </c>
      <c r="G72" s="13">
        <v>56838</v>
      </c>
      <c r="H72" s="13">
        <f t="shared" si="5"/>
        <v>-293</v>
      </c>
      <c r="I72" s="14">
        <f t="shared" si="6"/>
        <v>-5.1550019353249583E-3</v>
      </c>
      <c r="J72" s="38"/>
      <c r="K72" s="38"/>
      <c r="L72" s="63"/>
      <c r="M72" s="63"/>
      <c r="N72" s="63"/>
      <c r="O72" s="63"/>
    </row>
    <row r="73" spans="1:15" ht="15.6">
      <c r="A73" s="27" t="str">
        <v>San Antonio - Ops Ctr (Bldg 205)</v>
      </c>
      <c r="B73" s="28" t="str">
        <v>TX</v>
      </c>
      <c r="C73" s="10">
        <v>52663</v>
      </c>
      <c r="D73" s="15">
        <v>37950</v>
      </c>
      <c r="E73" s="15">
        <f t="shared" si="4"/>
        <v>14713</v>
      </c>
      <c r="F73" s="16">
        <f t="shared" si="7"/>
        <v>0.3876943346508564</v>
      </c>
      <c r="G73" s="17">
        <v>54582</v>
      </c>
      <c r="H73" s="17">
        <f t="shared" si="5"/>
        <v>-1919</v>
      </c>
      <c r="I73" s="16">
        <f t="shared" si="6"/>
        <v>-3.5158110732475906E-2</v>
      </c>
      <c r="J73" s="39"/>
      <c r="K73" s="54"/>
      <c r="L73" s="63"/>
      <c r="M73" s="63"/>
      <c r="N73" s="63"/>
      <c r="O73" s="63"/>
    </row>
    <row r="74" spans="1:15" ht="43.15">
      <c r="A74" s="25" t="str">
        <v>San Antonio - Ops Ctr (Bldg 307)</v>
      </c>
      <c r="B74" s="26" t="str">
        <v>TX</v>
      </c>
      <c r="C74" s="21">
        <v>45090</v>
      </c>
      <c r="D74" s="11">
        <v>41272</v>
      </c>
      <c r="E74" s="11">
        <f t="shared" si="4"/>
        <v>3818</v>
      </c>
      <c r="F74" s="12">
        <f t="shared" si="7"/>
        <v>9.2508238030626092E-2</v>
      </c>
      <c r="G74" s="13">
        <v>55343</v>
      </c>
      <c r="H74" s="13">
        <f t="shared" si="5"/>
        <v>-10253</v>
      </c>
      <c r="I74" s="14">
        <f t="shared" si="6"/>
        <v>-0.18526281553222629</v>
      </c>
      <c r="J74" s="38" t="s">
        <v>190</v>
      </c>
      <c r="K74" s="38" t="s">
        <v>191</v>
      </c>
      <c r="L74" s="63"/>
      <c r="M74" s="63"/>
      <c r="N74" s="63"/>
      <c r="O74" s="63"/>
    </row>
    <row r="75" spans="1:15" ht="15.6">
      <c r="A75" s="27" t="str">
        <v>San Antonio - Ctr (Bldg 308)</v>
      </c>
      <c r="B75" s="28" t="str">
        <v>TX</v>
      </c>
      <c r="C75" s="10">
        <v>53189</v>
      </c>
      <c r="D75" s="15">
        <v>40327</v>
      </c>
      <c r="E75" s="15">
        <f t="shared" si="4"/>
        <v>12862</v>
      </c>
      <c r="F75" s="16">
        <f t="shared" si="7"/>
        <v>0.31894264388623006</v>
      </c>
      <c r="G75" s="17">
        <v>52695</v>
      </c>
      <c r="H75" s="17">
        <f t="shared" si="5"/>
        <v>494</v>
      </c>
      <c r="I75" s="16">
        <f t="shared" si="6"/>
        <v>9.3747034823038235E-3</v>
      </c>
      <c r="J75" s="39"/>
      <c r="K75" s="79"/>
      <c r="L75" s="63"/>
      <c r="M75" s="63"/>
      <c r="N75" s="63"/>
      <c r="O75" s="63"/>
    </row>
    <row r="76" spans="1:15" ht="100.9">
      <c r="A76" s="25" t="str">
        <v>San Antonio - Ops Ctr (Bldg 104)</v>
      </c>
      <c r="B76" s="26" t="str">
        <v>TX</v>
      </c>
      <c r="C76" s="21">
        <v>12162</v>
      </c>
      <c r="D76" s="11">
        <v>12637</v>
      </c>
      <c r="E76" s="11">
        <f t="shared" si="4"/>
        <v>-475</v>
      </c>
      <c r="F76" s="12">
        <f t="shared" si="7"/>
        <v>-3.758803513492126E-2</v>
      </c>
      <c r="G76" s="13">
        <v>16753</v>
      </c>
      <c r="H76" s="13">
        <f t="shared" si="5"/>
        <v>-4591</v>
      </c>
      <c r="I76" s="14">
        <f t="shared" si="6"/>
        <v>-0.27404047036351697</v>
      </c>
      <c r="J76" s="38" t="s">
        <v>192</v>
      </c>
      <c r="K76" s="38" t="s">
        <v>193</v>
      </c>
      <c r="L76" s="63"/>
      <c r="M76" s="63"/>
      <c r="N76" s="63"/>
      <c r="O76" s="63"/>
    </row>
    <row r="77" spans="1:15" ht="15.6">
      <c r="A77" s="27" t="str">
        <v>San Antonio - Ops Ctr (Bldg 102)</v>
      </c>
      <c r="B77" s="28" t="str">
        <v>TX</v>
      </c>
      <c r="C77" s="10">
        <v>59387</v>
      </c>
      <c r="D77" s="15"/>
      <c r="E77" s="15" t="str">
        <f t="shared" si="4"/>
        <v/>
      </c>
      <c r="F77" s="16" t="str">
        <f t="shared" si="7"/>
        <v/>
      </c>
      <c r="G77" s="17">
        <v>59470</v>
      </c>
      <c r="H77" s="17">
        <f t="shared" si="5"/>
        <v>-83</v>
      </c>
      <c r="I77" s="16">
        <f t="shared" si="6"/>
        <v>-1.395661678157054E-3</v>
      </c>
      <c r="J77" s="39"/>
      <c r="K77" s="54"/>
      <c r="L77" s="63"/>
      <c r="M77" s="63"/>
      <c r="N77" s="63"/>
      <c r="O77" s="63"/>
    </row>
    <row r="78" spans="1:15" ht="15.6">
      <c r="A78" s="25" t="str">
        <v>N Black Canyon Hwy, Phoenix - North</v>
      </c>
      <c r="B78" s="26" t="str">
        <v>AZ</v>
      </c>
      <c r="C78" s="21">
        <v>104374</v>
      </c>
      <c r="D78" s="11">
        <v>90017</v>
      </c>
      <c r="E78" s="11">
        <f t="shared" si="4"/>
        <v>14357</v>
      </c>
      <c r="F78" s="12">
        <f t="shared" si="7"/>
        <v>0.15949209593743405</v>
      </c>
      <c r="G78" s="13">
        <v>103734</v>
      </c>
      <c r="H78" s="13">
        <f t="shared" si="5"/>
        <v>640</v>
      </c>
      <c r="I78" s="14">
        <f t="shared" si="6"/>
        <v>6.1696261592149148E-3</v>
      </c>
      <c r="J78" s="38"/>
      <c r="K78" s="77"/>
      <c r="L78" s="63"/>
      <c r="M78" s="63"/>
      <c r="N78" s="63"/>
      <c r="O78" s="63"/>
    </row>
    <row r="79" spans="1:15" ht="28.9">
      <c r="A79" s="27" t="str">
        <v>N Black Canyon Hwy, Phoenix - South</v>
      </c>
      <c r="B79" s="28" t="str">
        <v>AZ</v>
      </c>
      <c r="C79" s="10">
        <v>109631</v>
      </c>
      <c r="D79" s="15">
        <v>98743</v>
      </c>
      <c r="E79" s="15">
        <f t="shared" si="4"/>
        <v>10888</v>
      </c>
      <c r="F79" s="16">
        <f t="shared" si="7"/>
        <v>0.11026604417528331</v>
      </c>
      <c r="G79" s="17">
        <v>114142</v>
      </c>
      <c r="H79" s="17">
        <f t="shared" si="5"/>
        <v>-4511</v>
      </c>
      <c r="I79" s="16">
        <f t="shared" si="6"/>
        <v>-3.9520947591596432E-2</v>
      </c>
      <c r="J79" s="39" t="s">
        <v>194</v>
      </c>
      <c r="K79" s="54" t="s">
        <v>195</v>
      </c>
      <c r="L79" s="63"/>
      <c r="M79" s="63"/>
      <c r="N79" s="63"/>
      <c r="O79" s="63"/>
    </row>
    <row r="80" spans="1:15" ht="15.6">
      <c r="A80" s="25" t="str">
        <v xml:space="preserve"> Building 2222, Rose Garden Ln, Phoenix</v>
      </c>
      <c r="B80" s="26" t="str">
        <v>AZ</v>
      </c>
      <c r="C80" s="21">
        <v>141166</v>
      </c>
      <c r="D80" s="11">
        <v>135638</v>
      </c>
      <c r="E80" s="11">
        <f t="shared" si="4"/>
        <v>5528</v>
      </c>
      <c r="F80" s="12">
        <f t="shared" si="7"/>
        <v>4.0755540482755571E-2</v>
      </c>
      <c r="G80" s="13">
        <v>145680</v>
      </c>
      <c r="H80" s="13">
        <f t="shared" si="5"/>
        <v>-4514</v>
      </c>
      <c r="I80" s="14">
        <f t="shared" si="6"/>
        <v>-3.0985722130697418E-2</v>
      </c>
      <c r="J80" s="38"/>
      <c r="K80" s="38"/>
      <c r="L80" s="63"/>
      <c r="M80" s="63"/>
      <c r="N80" s="63"/>
      <c r="O80" s="63"/>
    </row>
    <row r="81" spans="1:15" ht="15.6">
      <c r="A81" s="27" t="str">
        <v xml:space="preserve"> Building 2202, Rose Garden Ln, Phoenix</v>
      </c>
      <c r="B81" s="28" t="str">
        <v>AZ</v>
      </c>
      <c r="C81" s="10">
        <v>141413</v>
      </c>
      <c r="D81" s="15">
        <v>135365</v>
      </c>
      <c r="E81" s="15">
        <f t="shared" si="4"/>
        <v>6048</v>
      </c>
      <c r="F81" s="16">
        <f t="shared" si="7"/>
        <v>4.4679200679643927E-2</v>
      </c>
      <c r="G81" s="17">
        <v>115501</v>
      </c>
      <c r="H81" s="17">
        <f t="shared" si="5"/>
        <v>25912</v>
      </c>
      <c r="I81" s="16">
        <f t="shared" si="6"/>
        <v>0.22434437797075349</v>
      </c>
      <c r="J81" s="39"/>
      <c r="K81" s="79"/>
      <c r="L81" s="63"/>
      <c r="M81" s="63"/>
      <c r="N81" s="63"/>
      <c r="O81" s="63"/>
    </row>
    <row r="82" spans="1:15" ht="15.6">
      <c r="A82" s="25" t="str">
        <v xml:space="preserve"> 99TH Ave &amp; BELL</v>
      </c>
      <c r="B82" s="26" t="str">
        <v>AZ</v>
      </c>
      <c r="C82" s="21">
        <v>25162</v>
      </c>
      <c r="D82" s="11">
        <v>24369</v>
      </c>
      <c r="E82" s="11">
        <f t="shared" si="4"/>
        <v>793</v>
      </c>
      <c r="F82" s="12">
        <f t="shared" si="7"/>
        <v>3.2541343510197385E-2</v>
      </c>
      <c r="G82" s="13">
        <v>25018</v>
      </c>
      <c r="H82" s="13">
        <f t="shared" si="5"/>
        <v>144</v>
      </c>
      <c r="I82" s="14">
        <f t="shared" si="6"/>
        <v>5.7558557838356386E-3</v>
      </c>
      <c r="J82" s="38" t="s">
        <v>196</v>
      </c>
      <c r="K82" s="38" t="s">
        <v>197</v>
      </c>
      <c r="L82" s="63"/>
      <c r="M82" s="63"/>
      <c r="N82" s="63"/>
      <c r="O82" s="63"/>
    </row>
    <row r="83" spans="1:15" ht="15.6">
      <c r="A83" s="27" t="str">
        <v>Rincon</v>
      </c>
      <c r="B83" s="28" t="str">
        <v>AZ</v>
      </c>
      <c r="C83" s="10">
        <v>9598</v>
      </c>
      <c r="D83" s="15">
        <v>8335</v>
      </c>
      <c r="E83" s="15">
        <f t="shared" si="4"/>
        <v>1263</v>
      </c>
      <c r="F83" s="16">
        <f t="shared" si="7"/>
        <v>0.15152969406118777</v>
      </c>
      <c r="G83" s="17">
        <v>10052</v>
      </c>
      <c r="H83" s="17">
        <f t="shared" si="5"/>
        <v>-454</v>
      </c>
      <c r="I83" s="16">
        <f t="shared" si="6"/>
        <v>-4.5165141265419817E-2</v>
      </c>
      <c r="J83" s="39"/>
      <c r="K83" s="79"/>
      <c r="L83" s="85"/>
      <c r="M83" s="63"/>
      <c r="N83" s="63"/>
      <c r="O83" s="63"/>
    </row>
    <row r="84" spans="1:15" ht="57.6">
      <c r="A84" s="25" t="str">
        <v>Tucson Main Parking Garage</v>
      </c>
      <c r="B84" s="26" t="str">
        <v>AZ</v>
      </c>
      <c r="C84" s="21">
        <v>10922</v>
      </c>
      <c r="D84" s="11">
        <v>14366</v>
      </c>
      <c r="E84" s="11">
        <f t="shared" si="4"/>
        <v>-3444</v>
      </c>
      <c r="F84" s="12">
        <f t="shared" si="7"/>
        <v>-0.2397327022135598</v>
      </c>
      <c r="G84" s="13">
        <v>13062</v>
      </c>
      <c r="H84" s="13">
        <f t="shared" si="5"/>
        <v>-2140</v>
      </c>
      <c r="I84" s="14">
        <f t="shared" si="6"/>
        <v>-0.16383402235492267</v>
      </c>
      <c r="J84" s="38" t="s">
        <v>198</v>
      </c>
      <c r="K84" s="38" t="s">
        <v>199</v>
      </c>
      <c r="L84" s="63"/>
      <c r="M84" s="63"/>
      <c r="N84" s="63"/>
      <c r="O84" s="63"/>
    </row>
    <row r="85" spans="1:15" ht="14.4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  <c r="J85" s="18"/>
      <c r="K85" s="18"/>
    </row>
    <row r="86" spans="1:15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C329" s="18"/>
      <c r="D329" s="18"/>
      <c r="E329" s="18"/>
      <c r="F329" s="19"/>
      <c r="G329" s="18"/>
      <c r="H329" s="18"/>
      <c r="I329" s="19"/>
      <c r="J329" s="18"/>
      <c r="K329" s="18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hyperlinks>
    <hyperlink ref="K6" r:id="rId1" display="https://us3.assetplanner.com/service_request?ID=099548" xr:uid="{F45FD829-63D2-4F34-8E09-64E49CDF9F96}"/>
  </hyperlinks>
  <pageMargins left="0.4" right="0.7" top="0.25" bottom="0.25" header="0.3" footer="0.3"/>
  <pageSetup fitToHeight="99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9"/>
  <sheetViews>
    <sheetView zoomScale="70" zoomScaleNormal="70" workbookViewId="0">
      <pane xSplit="2" ySplit="3" topLeftCell="C17" activePane="bottomRight" state="frozen"/>
      <selection pane="bottomRight" activeCell="J26" sqref="J26:K26"/>
      <selection pane="bottomLeft" activeCell="H74" sqref="H74"/>
      <selection pane="topRight" activeCell="H74" sqref="H74"/>
    </sheetView>
  </sheetViews>
  <sheetFormatPr defaultRowHeight="13.9"/>
  <cols>
    <col min="1" max="1" width="41.85546875" style="2" customWidth="1"/>
    <col min="2" max="2" width="8.42578125" style="6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3" customWidth="1"/>
    <col min="11" max="11" width="20.5703125" style="63" bestFit="1" customWidth="1"/>
    <col min="13" max="13" width="9.85546875" bestFit="1" customWidth="1"/>
  </cols>
  <sheetData>
    <row r="1" spans="1:11" ht="19.5" customHeight="1">
      <c r="A1" s="254" t="str" cm="1">
        <f t="array" ref="A1">portfolio</f>
        <v>Wells Fargo</v>
      </c>
      <c r="B1" s="254"/>
      <c r="C1" s="254"/>
      <c r="D1" s="255" t="s">
        <v>200</v>
      </c>
      <c r="E1" s="255"/>
      <c r="F1" s="255"/>
      <c r="G1" s="253" t="s">
        <v>201</v>
      </c>
      <c r="H1" s="253"/>
      <c r="I1" s="253"/>
      <c r="J1" s="3"/>
      <c r="K1" s="3"/>
    </row>
    <row r="2" spans="1:11" ht="19.5" customHeight="1">
      <c r="A2" s="264" t="s">
        <v>2</v>
      </c>
      <c r="B2" s="264"/>
      <c r="C2" s="4">
        <f>SUM(C4:C87)</f>
        <v>2291774.9010000001</v>
      </c>
      <c r="D2" s="4">
        <f>SUM(D4:D87)</f>
        <v>2076001</v>
      </c>
      <c r="E2" s="4">
        <f>C2-D2</f>
        <v>215773.90100000007</v>
      </c>
      <c r="F2" s="5">
        <f>IFERROR(E2/D2, 0)</f>
        <v>0.10393728182211862</v>
      </c>
      <c r="G2" s="4">
        <f>SUM(G4:G87)</f>
        <v>2367832.4220000003</v>
      </c>
      <c r="H2" s="6">
        <f>C2-G2</f>
        <v>-76057.521000000183</v>
      </c>
      <c r="I2" s="5">
        <f>IFERROR(H2/G2, 0)</f>
        <v>-3.2121158699126968E-2</v>
      </c>
      <c r="J2" s="23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1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1280.8</v>
      </c>
      <c r="D4" s="11" t="s">
        <v>202</v>
      </c>
      <c r="E4" s="11" t="str">
        <f>IF(AND(ISNUMBER(C4),ISNUMBER(D4)), C4-D4, "")</f>
        <v/>
      </c>
      <c r="F4" s="12" t="str">
        <f>IFERROR(E4/D4, "")</f>
        <v/>
      </c>
      <c r="G4" s="13">
        <v>1338</v>
      </c>
      <c r="H4" s="13">
        <f>IF(AND(ISNUMBER(C4),ISNUMBER(G4)), C4-G4, "")</f>
        <v>-57.200000000000045</v>
      </c>
      <c r="I4" s="14">
        <f>IFERROR(H4/G4, "")</f>
        <v>-4.2750373692077764E-2</v>
      </c>
      <c r="J4" s="60"/>
      <c r="K4" s="60"/>
    </row>
    <row r="5" spans="1:11" ht="15.6">
      <c r="A5" s="27" t="str">
        <v>Otay Mesa</v>
      </c>
      <c r="B5" s="28" t="str">
        <v>CA</v>
      </c>
      <c r="C5" s="10">
        <v>38.201000000000001</v>
      </c>
      <c r="D5" s="15" t="s">
        <v>202</v>
      </c>
      <c r="E5" s="15" t="str">
        <f t="shared" ref="E5:E68" si="0">IF(AND(ISNUMBER(C5),ISNUMBER(D5)), C5-D5, "")</f>
        <v/>
      </c>
      <c r="F5" s="16" t="str">
        <f>IFERROR(E5/D5, "")</f>
        <v/>
      </c>
      <c r="G5" s="89" t="s">
        <v>202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51</v>
      </c>
      <c r="K5" s="49"/>
    </row>
    <row r="6" spans="1:11" ht="15.6">
      <c r="A6" s="25" t="str">
        <v>San Leandro</v>
      </c>
      <c r="B6" s="26" t="str">
        <v>CA</v>
      </c>
      <c r="C6" s="21">
        <v>0</v>
      </c>
      <c r="D6" s="11" t="s">
        <v>202</v>
      </c>
      <c r="E6" s="11" t="str">
        <f t="shared" si="0"/>
        <v/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203</v>
      </c>
      <c r="K6" s="86" t="s">
        <v>204</v>
      </c>
    </row>
    <row r="7" spans="1:11" ht="28.9">
      <c r="A7" s="27" t="str">
        <v>Van Nuys</v>
      </c>
      <c r="B7" s="28" t="str">
        <v>CA</v>
      </c>
      <c r="C7" s="10">
        <v>2144.8999999999901</v>
      </c>
      <c r="D7" s="15" t="s">
        <v>202</v>
      </c>
      <c r="E7" s="15" t="str">
        <f t="shared" si="0"/>
        <v/>
      </c>
      <c r="F7" s="16" t="str">
        <f t="shared" si="3"/>
        <v/>
      </c>
      <c r="G7" s="17">
        <v>2731.422</v>
      </c>
      <c r="H7" s="17">
        <f t="shared" si="1"/>
        <v>-586.52200000000994</v>
      </c>
      <c r="I7" s="16">
        <f t="shared" si="2"/>
        <v>-0.21473137435372855</v>
      </c>
      <c r="J7" s="49" t="s">
        <v>100</v>
      </c>
      <c r="K7" s="49"/>
    </row>
    <row r="8" spans="1:11" ht="15.6">
      <c r="A8" s="25" t="str">
        <v>Lodi - Lodi Vineyard</v>
      </c>
      <c r="B8" s="26" t="str">
        <v>CA</v>
      </c>
      <c r="C8" s="21">
        <v>53971</v>
      </c>
      <c r="D8" s="11">
        <v>45437</v>
      </c>
      <c r="E8" s="11">
        <f t="shared" si="0"/>
        <v>8534</v>
      </c>
      <c r="F8" s="12">
        <f t="shared" si="3"/>
        <v>0.18782049871250303</v>
      </c>
      <c r="G8" s="13">
        <v>42651</v>
      </c>
      <c r="H8" s="13">
        <f t="shared" si="1"/>
        <v>11320</v>
      </c>
      <c r="I8" s="14">
        <f t="shared" si="2"/>
        <v>0.26540995521793159</v>
      </c>
      <c r="J8" s="60"/>
      <c r="K8" s="60"/>
    </row>
    <row r="9" spans="1:11" ht="15.6">
      <c r="A9" s="27" t="str">
        <v>Arden Fair Mall</v>
      </c>
      <c r="B9" s="28" t="str">
        <v>CA</v>
      </c>
      <c r="C9" s="10">
        <v>27404</v>
      </c>
      <c r="D9" s="15">
        <v>27208</v>
      </c>
      <c r="E9" s="15">
        <f t="shared" si="0"/>
        <v>196</v>
      </c>
      <c r="F9" s="16">
        <f t="shared" si="3"/>
        <v>7.2037635989414877E-3</v>
      </c>
      <c r="G9" s="17">
        <v>28033</v>
      </c>
      <c r="H9" s="17">
        <f t="shared" si="1"/>
        <v>-629</v>
      </c>
      <c r="I9" s="16">
        <f t="shared" si="2"/>
        <v>-2.2437841115827774E-2</v>
      </c>
      <c r="J9" s="49"/>
      <c r="K9" s="49"/>
    </row>
    <row r="10" spans="1:11" ht="15.6">
      <c r="A10" s="25" t="str">
        <v>Modesto - Modesto Main</v>
      </c>
      <c r="B10" s="26" t="str">
        <v>CA</v>
      </c>
      <c r="C10" s="21">
        <v>21371</v>
      </c>
      <c r="D10" s="11">
        <v>22792</v>
      </c>
      <c r="E10" s="11">
        <f t="shared" si="0"/>
        <v>-1421</v>
      </c>
      <c r="F10" s="12">
        <f t="shared" si="3"/>
        <v>-6.2346437346437349E-2</v>
      </c>
      <c r="G10" s="13">
        <v>25471</v>
      </c>
      <c r="H10" s="13">
        <f t="shared" si="1"/>
        <v>-4100</v>
      </c>
      <c r="I10" s="14">
        <f t="shared" si="2"/>
        <v>-0.16096737466137961</v>
      </c>
      <c r="J10" s="60" t="s">
        <v>205</v>
      </c>
      <c r="K10" s="60" t="s">
        <v>161</v>
      </c>
    </row>
    <row r="11" spans="1:11" ht="15.6">
      <c r="A11" s="27" t="str">
        <v>Stevens Creek</v>
      </c>
      <c r="B11" s="28" t="str">
        <v>CA</v>
      </c>
      <c r="C11" s="10">
        <v>7085</v>
      </c>
      <c r="D11" s="15">
        <v>7193</v>
      </c>
      <c r="E11" s="15">
        <f t="shared" si="0"/>
        <v>-108</v>
      </c>
      <c r="F11" s="16">
        <f t="shared" si="3"/>
        <v>-1.5014597525371889E-2</v>
      </c>
      <c r="G11" s="17">
        <v>7609</v>
      </c>
      <c r="H11" s="17">
        <f t="shared" si="1"/>
        <v>-524</v>
      </c>
      <c r="I11" s="16">
        <f t="shared" si="2"/>
        <v>-6.8865816795899593E-2</v>
      </c>
      <c r="J11" s="49"/>
      <c r="K11" s="49"/>
    </row>
    <row r="12" spans="1:11" ht="15.6">
      <c r="A12" s="25" t="str">
        <v>Covina Main</v>
      </c>
      <c r="B12" s="26" t="str">
        <v>CA</v>
      </c>
      <c r="C12" s="21">
        <v>4528</v>
      </c>
      <c r="D12" s="11">
        <v>4150</v>
      </c>
      <c r="E12" s="11">
        <f t="shared" si="0"/>
        <v>378</v>
      </c>
      <c r="F12" s="12">
        <f t="shared" si="3"/>
        <v>9.1084337349397596E-2</v>
      </c>
      <c r="G12" s="13">
        <v>3875</v>
      </c>
      <c r="H12" s="13">
        <f t="shared" si="1"/>
        <v>653</v>
      </c>
      <c r="I12" s="14">
        <f t="shared" si="2"/>
        <v>0.16851612903225807</v>
      </c>
      <c r="J12" s="60"/>
      <c r="K12" s="60"/>
    </row>
    <row r="13" spans="1:11" ht="72">
      <c r="A13" s="27" t="str">
        <v>Old Ranch Town Center</v>
      </c>
      <c r="B13" s="28" t="str">
        <v>CA</v>
      </c>
      <c r="C13" s="10">
        <v>1466</v>
      </c>
      <c r="D13" s="15" t="s">
        <v>202</v>
      </c>
      <c r="E13" s="15" t="str">
        <f t="shared" si="0"/>
        <v/>
      </c>
      <c r="F13" s="16" t="str">
        <f t="shared" si="3"/>
        <v/>
      </c>
      <c r="G13" s="17">
        <v>1683</v>
      </c>
      <c r="H13" s="17">
        <f t="shared" si="1"/>
        <v>-217</v>
      </c>
      <c r="I13" s="16">
        <f t="shared" si="2"/>
        <v>-0.1289364230540701</v>
      </c>
      <c r="J13" s="49" t="s">
        <v>206</v>
      </c>
      <c r="K13" s="80"/>
    </row>
    <row r="14" spans="1:11" ht="15.6">
      <c r="A14" s="25" t="str">
        <v>Mountain Gate Plaza</v>
      </c>
      <c r="B14" s="26" t="str">
        <v>CA</v>
      </c>
      <c r="C14" s="21">
        <v>11481</v>
      </c>
      <c r="D14" s="11" t="s">
        <v>202</v>
      </c>
      <c r="E14" s="11" t="str">
        <f t="shared" si="0"/>
        <v/>
      </c>
      <c r="F14" s="12" t="str">
        <f t="shared" si="3"/>
        <v/>
      </c>
      <c r="G14" s="13">
        <v>11092</v>
      </c>
      <c r="H14" s="13">
        <f t="shared" si="1"/>
        <v>389</v>
      </c>
      <c r="I14" s="14">
        <f t="shared" si="2"/>
        <v>3.5070320952037506E-2</v>
      </c>
      <c r="J14" s="60"/>
      <c r="K14" s="60"/>
    </row>
    <row r="15" spans="1:11" ht="15.6">
      <c r="A15" s="27" t="str">
        <v>Arcadia Main</v>
      </c>
      <c r="B15" s="28" t="str">
        <v>CA</v>
      </c>
      <c r="C15" s="10">
        <v>5118</v>
      </c>
      <c r="D15" s="15" t="s">
        <v>202</v>
      </c>
      <c r="E15" s="15" t="str">
        <f t="shared" si="0"/>
        <v/>
      </c>
      <c r="F15" s="16" t="str">
        <f t="shared" si="3"/>
        <v/>
      </c>
      <c r="G15" s="17">
        <v>5550</v>
      </c>
      <c r="H15" s="17">
        <f t="shared" si="1"/>
        <v>-432</v>
      </c>
      <c r="I15" s="16">
        <f t="shared" si="2"/>
        <v>-7.7837837837837834E-2</v>
      </c>
      <c r="J15" s="49"/>
      <c r="K15" s="49"/>
    </row>
    <row r="16" spans="1:11" ht="15.6">
      <c r="A16" s="25" t="str">
        <v>Fairfield</v>
      </c>
      <c r="B16" s="26" t="str">
        <v>CA</v>
      </c>
      <c r="C16" s="21">
        <v>5079</v>
      </c>
      <c r="D16" s="11">
        <v>5001</v>
      </c>
      <c r="E16" s="11">
        <f t="shared" si="0"/>
        <v>78</v>
      </c>
      <c r="F16" s="12">
        <f t="shared" si="3"/>
        <v>1.5596880623875225E-2</v>
      </c>
      <c r="G16" s="13">
        <v>5137</v>
      </c>
      <c r="H16" s="13">
        <f t="shared" si="1"/>
        <v>-58</v>
      </c>
      <c r="I16" s="14">
        <f t="shared" si="2"/>
        <v>-1.1290636558302512E-2</v>
      </c>
      <c r="J16" s="60"/>
      <c r="K16" s="60"/>
    </row>
    <row r="17" spans="1:13" ht="81.75" customHeight="1">
      <c r="A17" s="27" t="str">
        <v>Los Gatos</v>
      </c>
      <c r="B17" s="28" t="str">
        <v>CA</v>
      </c>
      <c r="C17" s="10">
        <v>2809</v>
      </c>
      <c r="D17" s="15">
        <v>2833</v>
      </c>
      <c r="E17" s="15">
        <f t="shared" si="0"/>
        <v>-24</v>
      </c>
      <c r="F17" s="16">
        <f t="shared" si="3"/>
        <v>-8.4715848923402753E-3</v>
      </c>
      <c r="G17" s="17">
        <v>0</v>
      </c>
      <c r="H17" s="17">
        <f t="shared" si="1"/>
        <v>2809</v>
      </c>
      <c r="I17" s="16" t="str">
        <f t="shared" si="2"/>
        <v/>
      </c>
      <c r="J17" s="49"/>
      <c r="K17" s="49"/>
    </row>
    <row r="18" spans="1:13" ht="37.5" customHeight="1">
      <c r="A18" s="25" t="str">
        <v>San Marino</v>
      </c>
      <c r="B18" s="26" t="str">
        <v>CA</v>
      </c>
      <c r="C18" s="21">
        <v>3651</v>
      </c>
      <c r="D18" s="11">
        <v>5234</v>
      </c>
      <c r="E18" s="11">
        <f t="shared" si="0"/>
        <v>-1583</v>
      </c>
      <c r="F18" s="12">
        <f t="shared" si="3"/>
        <v>-0.30244554833779136</v>
      </c>
      <c r="G18" s="13">
        <v>6390</v>
      </c>
      <c r="H18" s="13">
        <f t="shared" si="1"/>
        <v>-2739</v>
      </c>
      <c r="I18" s="14">
        <f t="shared" si="2"/>
        <v>-0.42863849765258216</v>
      </c>
      <c r="J18" s="60" t="s">
        <v>207</v>
      </c>
      <c r="K18" s="60" t="s">
        <v>162</v>
      </c>
    </row>
    <row r="19" spans="1:13" ht="72">
      <c r="A19" s="27" t="str">
        <v>Buenaventura</v>
      </c>
      <c r="B19" s="28" t="str">
        <v>CA</v>
      </c>
      <c r="C19" s="10">
        <v>5133</v>
      </c>
      <c r="D19" s="15">
        <v>3802</v>
      </c>
      <c r="E19" s="15">
        <f t="shared" si="0"/>
        <v>1331</v>
      </c>
      <c r="F19" s="16">
        <f t="shared" si="3"/>
        <v>0.35007890583903206</v>
      </c>
      <c r="G19" s="17">
        <v>5944</v>
      </c>
      <c r="H19" s="17">
        <f t="shared" si="1"/>
        <v>-811</v>
      </c>
      <c r="I19" s="16">
        <f t="shared" si="2"/>
        <v>-0.13644010767160161</v>
      </c>
      <c r="J19" s="49" t="s">
        <v>208</v>
      </c>
      <c r="K19" s="80"/>
      <c r="L19" s="78"/>
      <c r="M19" s="78"/>
    </row>
    <row r="20" spans="1:13" ht="15.6">
      <c r="A20" s="25" t="str">
        <v>BE 199502 - Westgate</v>
      </c>
      <c r="B20" s="26" t="str">
        <v>CA</v>
      </c>
      <c r="C20" s="21">
        <v>2587</v>
      </c>
      <c r="D20" s="11" t="s">
        <v>202</v>
      </c>
      <c r="E20" s="11"/>
      <c r="F20" s="12"/>
      <c r="G20" s="13">
        <v>2485</v>
      </c>
      <c r="H20" s="13">
        <v>102</v>
      </c>
      <c r="I20" s="14">
        <v>0.04</v>
      </c>
      <c r="J20" s="60"/>
      <c r="K20" s="86"/>
    </row>
    <row r="21" spans="1:13" ht="43.15">
      <c r="A21" s="27" t="str">
        <v>98th &amp; Grant</v>
      </c>
      <c r="B21" s="28" t="str">
        <v>CO</v>
      </c>
      <c r="C21" s="10">
        <v>1895</v>
      </c>
      <c r="D21" s="15" t="s">
        <v>202</v>
      </c>
      <c r="E21" s="15" t="str">
        <f t="shared" si="0"/>
        <v/>
      </c>
      <c r="F21" s="16" t="str">
        <f t="shared" si="3"/>
        <v/>
      </c>
      <c r="G21" s="17">
        <v>2315</v>
      </c>
      <c r="H21" s="17">
        <f t="shared" si="1"/>
        <v>-420</v>
      </c>
      <c r="I21" s="16">
        <f t="shared" si="2"/>
        <v>-0.18142548596112312</v>
      </c>
      <c r="J21" s="49" t="s">
        <v>110</v>
      </c>
      <c r="K21" s="49"/>
    </row>
    <row r="22" spans="1:13" ht="28.9">
      <c r="A22" s="25" t="str">
        <v>Arapahoe Crossings</v>
      </c>
      <c r="B22" s="26" t="str">
        <v>CO</v>
      </c>
      <c r="C22" s="21">
        <v>3184</v>
      </c>
      <c r="D22" s="11" t="s">
        <v>202</v>
      </c>
      <c r="E22" s="11" t="str">
        <f t="shared" si="0"/>
        <v/>
      </c>
      <c r="F22" s="12" t="str">
        <f t="shared" si="3"/>
        <v/>
      </c>
      <c r="G22" s="13">
        <v>4281</v>
      </c>
      <c r="H22" s="13">
        <f t="shared" si="1"/>
        <v>-1097</v>
      </c>
      <c r="I22" s="14">
        <f t="shared" si="2"/>
        <v>-0.2562485400607335</v>
      </c>
      <c r="J22" s="60" t="s">
        <v>209</v>
      </c>
      <c r="K22" s="60" t="s">
        <v>164</v>
      </c>
    </row>
    <row r="23" spans="1:13" ht="15.6">
      <c r="A23" s="27" t="str">
        <v>Aurora City Center</v>
      </c>
      <c r="B23" s="28" t="str">
        <v>CO</v>
      </c>
      <c r="C23" s="10">
        <v>2154</v>
      </c>
      <c r="D23" s="15" t="s">
        <v>202</v>
      </c>
      <c r="E23" s="15" t="str">
        <f t="shared" si="0"/>
        <v/>
      </c>
      <c r="F23" s="16" t="str">
        <f t="shared" si="3"/>
        <v/>
      </c>
      <c r="G23" s="17">
        <v>1950</v>
      </c>
      <c r="H23" s="17">
        <f t="shared" si="1"/>
        <v>204</v>
      </c>
      <c r="I23" s="16">
        <f t="shared" si="2"/>
        <v>0.10461538461538461</v>
      </c>
      <c r="J23" s="49"/>
      <c r="K23" s="49"/>
    </row>
    <row r="24" spans="1:13" ht="15.6">
      <c r="A24" s="25" t="str">
        <v>Dry Creek</v>
      </c>
      <c r="B24" s="26" t="str">
        <v>CO</v>
      </c>
      <c r="C24" s="21">
        <v>2659</v>
      </c>
      <c r="D24" s="11" t="s">
        <v>202</v>
      </c>
      <c r="E24" s="11" t="str">
        <f t="shared" si="0"/>
        <v/>
      </c>
      <c r="F24" s="12" t="str">
        <f t="shared" si="3"/>
        <v/>
      </c>
      <c r="G24" s="13">
        <v>2528</v>
      </c>
      <c r="H24" s="13">
        <f t="shared" si="1"/>
        <v>131</v>
      </c>
      <c r="I24" s="14">
        <f t="shared" si="2"/>
        <v>5.1819620253164556E-2</v>
      </c>
      <c r="J24" s="60"/>
      <c r="K24" s="60"/>
    </row>
    <row r="25" spans="1:13" ht="15.6">
      <c r="A25" s="27" t="str">
        <v>Highlands Ranch S.</v>
      </c>
      <c r="B25" s="28" t="str">
        <v>CO</v>
      </c>
      <c r="C25" s="10">
        <v>2194</v>
      </c>
      <c r="D25" s="15" t="s">
        <v>202</v>
      </c>
      <c r="E25" s="15" t="str">
        <f t="shared" si="0"/>
        <v/>
      </c>
      <c r="F25" s="16" t="str">
        <f t="shared" si="3"/>
        <v/>
      </c>
      <c r="G25" s="17">
        <v>2420</v>
      </c>
      <c r="H25" s="17">
        <f t="shared" si="1"/>
        <v>-226</v>
      </c>
      <c r="I25" s="16">
        <f t="shared" si="2"/>
        <v>-9.3388429752066113E-2</v>
      </c>
      <c r="J25" s="49"/>
      <c r="K25" s="49"/>
    </row>
    <row r="26" spans="1:13" ht="15.6">
      <c r="A26" s="25" t="str">
        <v>Lone Tree</v>
      </c>
      <c r="B26" s="26" t="str">
        <v>CO</v>
      </c>
      <c r="C26" s="21">
        <v>3085</v>
      </c>
      <c r="D26" s="11" t="s">
        <v>202</v>
      </c>
      <c r="E26" s="11" t="str">
        <f t="shared" si="0"/>
        <v/>
      </c>
      <c r="F26" s="12" t="str">
        <f t="shared" si="3"/>
        <v/>
      </c>
      <c r="G26" s="13">
        <v>5490</v>
      </c>
      <c r="H26" s="13">
        <f t="shared" si="1"/>
        <v>-2405</v>
      </c>
      <c r="I26" s="14">
        <f t="shared" si="2"/>
        <v>-0.43806921675774135</v>
      </c>
      <c r="J26" s="60" t="s">
        <v>210</v>
      </c>
      <c r="K26" s="60" t="s">
        <v>211</v>
      </c>
    </row>
    <row r="27" spans="1:13" ht="15.6">
      <c r="A27" s="27" t="str">
        <v>Meridian</v>
      </c>
      <c r="B27" s="28" t="str">
        <v>CO</v>
      </c>
      <c r="C27" s="10">
        <v>3588</v>
      </c>
      <c r="D27" s="15" t="s">
        <v>202</v>
      </c>
      <c r="E27" s="15" t="str">
        <f t="shared" si="0"/>
        <v/>
      </c>
      <c r="F27" s="16" t="str">
        <f t="shared" si="3"/>
        <v/>
      </c>
      <c r="G27" s="17">
        <v>3132</v>
      </c>
      <c r="H27" s="17">
        <f t="shared" si="1"/>
        <v>456</v>
      </c>
      <c r="I27" s="16">
        <f t="shared" si="2"/>
        <v>0.14559386973180077</v>
      </c>
      <c r="J27" s="49"/>
      <c r="K27" s="49"/>
    </row>
    <row r="28" spans="1:13" ht="15.6">
      <c r="A28" s="25" t="str">
        <v>Southglenn</v>
      </c>
      <c r="B28" s="26" t="str">
        <v>CO</v>
      </c>
      <c r="C28" s="21">
        <v>3486</v>
      </c>
      <c r="D28" s="11" t="s">
        <v>202</v>
      </c>
      <c r="E28" s="11" t="str">
        <f t="shared" si="0"/>
        <v/>
      </c>
      <c r="F28" s="12" t="str">
        <f t="shared" si="3"/>
        <v/>
      </c>
      <c r="G28" s="13">
        <v>3248</v>
      </c>
      <c r="H28" s="13">
        <f t="shared" si="1"/>
        <v>238</v>
      </c>
      <c r="I28" s="14">
        <f t="shared" si="2"/>
        <v>7.3275862068965511E-2</v>
      </c>
      <c r="J28" s="60"/>
      <c r="K28" s="60"/>
    </row>
    <row r="29" spans="1:13" ht="28.9">
      <c r="A29" s="27" t="str">
        <v>Standley Lake</v>
      </c>
      <c r="B29" s="28" t="str">
        <v>CO</v>
      </c>
      <c r="C29" s="10">
        <v>3540</v>
      </c>
      <c r="D29" s="15" t="s">
        <v>202</v>
      </c>
      <c r="E29" s="15" t="str">
        <f t="shared" si="0"/>
        <v/>
      </c>
      <c r="F29" s="16" t="str">
        <f t="shared" si="3"/>
        <v/>
      </c>
      <c r="G29" s="17">
        <v>4331</v>
      </c>
      <c r="H29" s="17">
        <f t="shared" si="1"/>
        <v>-791</v>
      </c>
      <c r="I29" s="16">
        <f t="shared" si="2"/>
        <v>-0.1826368044331563</v>
      </c>
      <c r="J29" s="49" t="s">
        <v>212</v>
      </c>
      <c r="K29" s="49" t="s">
        <v>213</v>
      </c>
    </row>
    <row r="30" spans="1:13" ht="72">
      <c r="A30" s="25" t="str">
        <v>Havana Gardens</v>
      </c>
      <c r="B30" s="26" t="str">
        <v>CO</v>
      </c>
      <c r="C30" s="21">
        <v>4153</v>
      </c>
      <c r="D30" s="11" t="s">
        <v>202</v>
      </c>
      <c r="E30" s="11" t="str">
        <f t="shared" si="0"/>
        <v/>
      </c>
      <c r="F30" s="12" t="str">
        <f t="shared" si="3"/>
        <v/>
      </c>
      <c r="G30" s="13">
        <v>1684</v>
      </c>
      <c r="H30" s="13">
        <f t="shared" si="1"/>
        <v>2469</v>
      </c>
      <c r="I30" s="14">
        <f t="shared" si="2"/>
        <v>1.4661520190023754</v>
      </c>
      <c r="J30" s="60" t="s">
        <v>214</v>
      </c>
      <c r="K30" s="60"/>
    </row>
    <row r="31" spans="1:13" ht="28.9">
      <c r="A31" s="27" t="str">
        <v>East Hartford</v>
      </c>
      <c r="B31" s="28" t="str">
        <v>CT</v>
      </c>
      <c r="C31" s="10">
        <v>797</v>
      </c>
      <c r="D31" s="15">
        <v>1756</v>
      </c>
      <c r="E31" s="15">
        <f t="shared" si="0"/>
        <v>-959</v>
      </c>
      <c r="F31" s="16">
        <f t="shared" si="3"/>
        <v>-0.54612756264236906</v>
      </c>
      <c r="G31" s="17">
        <v>892</v>
      </c>
      <c r="H31" s="17">
        <f t="shared" si="1"/>
        <v>-95</v>
      </c>
      <c r="I31" s="16">
        <f t="shared" si="2"/>
        <v>-0.10650224215246637</v>
      </c>
      <c r="J31" s="49" t="s">
        <v>215</v>
      </c>
      <c r="K31" s="49"/>
    </row>
    <row r="32" spans="1:13" ht="72">
      <c r="A32" s="25" t="str">
        <v>Norwalk</v>
      </c>
      <c r="B32" s="26" t="str">
        <v>CT</v>
      </c>
      <c r="C32" s="21">
        <v>951</v>
      </c>
      <c r="D32" s="11">
        <v>10</v>
      </c>
      <c r="E32" s="11">
        <f t="shared" si="0"/>
        <v>941</v>
      </c>
      <c r="F32" s="12">
        <f t="shared" si="3"/>
        <v>94.1</v>
      </c>
      <c r="G32" s="13">
        <v>1043</v>
      </c>
      <c r="H32" s="13">
        <f t="shared" si="1"/>
        <v>-92</v>
      </c>
      <c r="I32" s="14">
        <f t="shared" si="2"/>
        <v>-8.8207094918504314E-2</v>
      </c>
      <c r="J32" s="60" t="s">
        <v>216</v>
      </c>
      <c r="K32" s="86" t="s">
        <v>217</v>
      </c>
    </row>
    <row r="33" spans="1:11" ht="28.9">
      <c r="A33" s="27" t="str">
        <v>Hialeah Gardens</v>
      </c>
      <c r="B33" s="28" t="str">
        <v>FL</v>
      </c>
      <c r="C33" s="10">
        <v>756</v>
      </c>
      <c r="D33" s="15">
        <v>3999</v>
      </c>
      <c r="E33" s="15">
        <f t="shared" si="0"/>
        <v>-3243</v>
      </c>
      <c r="F33" s="16">
        <f t="shared" si="3"/>
        <v>-0.81095273818454616</v>
      </c>
      <c r="G33" s="17">
        <v>5101</v>
      </c>
      <c r="H33" s="17">
        <f t="shared" si="1"/>
        <v>-4345</v>
      </c>
      <c r="I33" s="16">
        <f t="shared" si="2"/>
        <v>-0.8517937659282494</v>
      </c>
      <c r="J33" s="49" t="s">
        <v>172</v>
      </c>
      <c r="K33" s="49" t="s">
        <v>109</v>
      </c>
    </row>
    <row r="34" spans="1:11" ht="15.6">
      <c r="A34" s="25" t="str">
        <v>W. Des Moines Campus EAST</v>
      </c>
      <c r="B34" s="26" t="str">
        <v>IA</v>
      </c>
      <c r="C34" s="21">
        <v>187573</v>
      </c>
      <c r="D34" s="11">
        <v>177056</v>
      </c>
      <c r="E34" s="11">
        <f t="shared" si="0"/>
        <v>10517</v>
      </c>
      <c r="F34" s="12">
        <f t="shared" si="3"/>
        <v>5.9399286101572385E-2</v>
      </c>
      <c r="G34" s="13">
        <v>203700</v>
      </c>
      <c r="H34" s="13">
        <f t="shared" si="1"/>
        <v>-16127</v>
      </c>
      <c r="I34" s="14">
        <f t="shared" si="2"/>
        <v>-7.917034855179185E-2</v>
      </c>
      <c r="J34" s="60"/>
      <c r="K34" s="86"/>
    </row>
    <row r="35" spans="1:11" ht="15.6">
      <c r="A35" s="27" t="str">
        <v>W. Des Moines Campus SW</v>
      </c>
      <c r="B35" s="28" t="str">
        <v>IA</v>
      </c>
      <c r="C35" s="10">
        <v>93644</v>
      </c>
      <c r="D35" s="15">
        <v>85696</v>
      </c>
      <c r="E35" s="15">
        <f t="shared" si="0"/>
        <v>7948</v>
      </c>
      <c r="F35" s="16">
        <f t="shared" si="3"/>
        <v>9.2746452576549662E-2</v>
      </c>
      <c r="G35" s="17">
        <v>100117</v>
      </c>
      <c r="H35" s="17">
        <f t="shared" si="1"/>
        <v>-6473</v>
      </c>
      <c r="I35" s="16">
        <f t="shared" si="2"/>
        <v>-6.465435440534574E-2</v>
      </c>
      <c r="J35" s="56"/>
      <c r="K35" s="80"/>
    </row>
    <row r="36" spans="1:11" ht="15.6">
      <c r="A36" s="25" t="str">
        <v>WF - CIC</v>
      </c>
      <c r="B36" s="26" t="str">
        <v>NC</v>
      </c>
      <c r="C36" s="21">
        <v>203688</v>
      </c>
      <c r="D36" s="11">
        <v>201034</v>
      </c>
      <c r="E36" s="11">
        <f t="shared" si="0"/>
        <v>2654</v>
      </c>
      <c r="F36" s="12">
        <f t="shared" si="3"/>
        <v>1.3201746968174537E-2</v>
      </c>
      <c r="G36" s="13">
        <v>209637</v>
      </c>
      <c r="H36" s="13">
        <f t="shared" si="1"/>
        <v>-5949</v>
      </c>
      <c r="I36" s="14">
        <f t="shared" si="2"/>
        <v>-2.8377624178937879E-2</v>
      </c>
      <c r="J36" s="60"/>
      <c r="K36" s="60"/>
    </row>
    <row r="37" spans="1:11" ht="15.6">
      <c r="A37" s="27" t="str">
        <v>Charlotte - Wells Fargo - DUC</v>
      </c>
      <c r="B37" s="28" t="str">
        <v>NC</v>
      </c>
      <c r="C37" s="10">
        <v>204599</v>
      </c>
      <c r="D37" s="15">
        <v>221905</v>
      </c>
      <c r="E37" s="15">
        <f t="shared" si="0"/>
        <v>-17306</v>
      </c>
      <c r="F37" s="16">
        <f t="shared" si="3"/>
        <v>-7.7988328338703505E-2</v>
      </c>
      <c r="G37" s="17">
        <v>183212</v>
      </c>
      <c r="H37" s="17">
        <f t="shared" si="1"/>
        <v>21387</v>
      </c>
      <c r="I37" s="16">
        <f t="shared" si="2"/>
        <v>0.11673362006855446</v>
      </c>
      <c r="J37" s="49"/>
      <c r="K37" s="49"/>
    </row>
    <row r="38" spans="1:11" ht="15.6">
      <c r="A38" s="25" t="str">
        <v>East Windsor</v>
      </c>
      <c r="B38" s="26" t="str">
        <v>NJ</v>
      </c>
      <c r="C38" s="21">
        <v>1055</v>
      </c>
      <c r="D38" s="11">
        <v>852</v>
      </c>
      <c r="E38" s="11">
        <f t="shared" si="0"/>
        <v>203</v>
      </c>
      <c r="F38" s="12">
        <f t="shared" si="3"/>
        <v>0.23826291079812206</v>
      </c>
      <c r="G38" s="13">
        <v>1071</v>
      </c>
      <c r="H38" s="13">
        <f t="shared" si="1"/>
        <v>-16</v>
      </c>
      <c r="I38" s="14">
        <f t="shared" si="2"/>
        <v>-1.4939309056956116E-2</v>
      </c>
      <c r="J38" s="60"/>
      <c r="K38" s="60"/>
    </row>
    <row r="39" spans="1:11" ht="15.6">
      <c r="A39" s="27" t="str">
        <v>Burlington</v>
      </c>
      <c r="B39" s="28" t="str">
        <v>NJ</v>
      </c>
      <c r="C39" s="10">
        <v>2641</v>
      </c>
      <c r="D39" s="15">
        <v>2575</v>
      </c>
      <c r="E39" s="15">
        <f t="shared" si="0"/>
        <v>66</v>
      </c>
      <c r="F39" s="16">
        <f t="shared" si="3"/>
        <v>2.5631067961165047E-2</v>
      </c>
      <c r="G39" s="17">
        <v>2790</v>
      </c>
      <c r="H39" s="17">
        <f t="shared" si="1"/>
        <v>-149</v>
      </c>
      <c r="I39" s="16">
        <f t="shared" si="2"/>
        <v>-5.3405017921146956E-2</v>
      </c>
      <c r="J39" s="56"/>
      <c r="K39" s="49"/>
    </row>
    <row r="40" spans="1:11" ht="72">
      <c r="A40" s="25" t="str">
        <v>Bayonne</v>
      </c>
      <c r="B40" s="26" t="str">
        <v>NJ</v>
      </c>
      <c r="C40" s="21">
        <v>3371</v>
      </c>
      <c r="D40" s="11">
        <v>3113</v>
      </c>
      <c r="E40" s="11">
        <f t="shared" si="0"/>
        <v>258</v>
      </c>
      <c r="F40" s="12">
        <f t="shared" si="3"/>
        <v>8.2878252489559906E-2</v>
      </c>
      <c r="G40" s="13">
        <v>3828</v>
      </c>
      <c r="H40" s="13">
        <f t="shared" si="1"/>
        <v>-457</v>
      </c>
      <c r="I40" s="14">
        <f t="shared" si="2"/>
        <v>-0.11938349007314525</v>
      </c>
      <c r="J40" s="60" t="s">
        <v>208</v>
      </c>
      <c r="K40" s="60"/>
    </row>
    <row r="41" spans="1:11" ht="72">
      <c r="A41" s="27" t="str">
        <v>Clifton</v>
      </c>
      <c r="B41" s="28" t="str">
        <v>NJ</v>
      </c>
      <c r="C41" s="10">
        <v>4028</v>
      </c>
      <c r="D41" s="15">
        <v>4072</v>
      </c>
      <c r="E41" s="15">
        <f t="shared" si="0"/>
        <v>-44</v>
      </c>
      <c r="F41" s="16">
        <f t="shared" si="3"/>
        <v>-1.0805500982318271E-2</v>
      </c>
      <c r="G41" s="17">
        <v>4873</v>
      </c>
      <c r="H41" s="17">
        <f t="shared" si="1"/>
        <v>-845</v>
      </c>
      <c r="I41" s="16">
        <f t="shared" si="2"/>
        <v>-0.17340447363020725</v>
      </c>
      <c r="J41" s="49" t="s">
        <v>208</v>
      </c>
      <c r="K41" s="49"/>
    </row>
    <row r="42" spans="1:11" ht="15.6">
      <c r="A42" s="25" t="str">
        <v>North Elizabeth</v>
      </c>
      <c r="B42" s="26" t="str">
        <v>NJ</v>
      </c>
      <c r="C42" s="21">
        <v>3565</v>
      </c>
      <c r="D42" s="11">
        <v>3117</v>
      </c>
      <c r="E42" s="11">
        <f t="shared" si="0"/>
        <v>448</v>
      </c>
      <c r="F42" s="12">
        <f t="shared" si="3"/>
        <v>0.14372794353545076</v>
      </c>
      <c r="G42" s="13">
        <v>3589</v>
      </c>
      <c r="H42" s="13">
        <f t="shared" si="1"/>
        <v>-24</v>
      </c>
      <c r="I42" s="14">
        <f t="shared" si="2"/>
        <v>-6.6870994706046249E-3</v>
      </c>
      <c r="J42" s="60"/>
      <c r="K42" s="60"/>
    </row>
    <row r="43" spans="1:11" ht="15.6">
      <c r="A43" s="27" t="str">
        <v>Haddon Westmont Plaza</v>
      </c>
      <c r="B43" s="28" t="str">
        <v>NJ</v>
      </c>
      <c r="C43" s="10">
        <v>2647</v>
      </c>
      <c r="D43" s="15">
        <v>2590</v>
      </c>
      <c r="E43" s="15">
        <f t="shared" si="0"/>
        <v>57</v>
      </c>
      <c r="F43" s="16">
        <f t="shared" si="3"/>
        <v>2.2007722007722007E-2</v>
      </c>
      <c r="G43" s="17">
        <v>2641</v>
      </c>
      <c r="H43" s="17">
        <f t="shared" si="1"/>
        <v>6</v>
      </c>
      <c r="I43" s="16">
        <f t="shared" si="2"/>
        <v>2.2718667171525938E-3</v>
      </c>
      <c r="J43" s="49"/>
      <c r="K43" s="49"/>
    </row>
    <row r="44" spans="1:11" ht="15.6">
      <c r="A44" s="25" t="str">
        <v>Parsippany</v>
      </c>
      <c r="B44" s="26" t="str">
        <v>NJ</v>
      </c>
      <c r="C44" s="21">
        <v>2995</v>
      </c>
      <c r="D44" s="11">
        <v>2732</v>
      </c>
      <c r="E44" s="11">
        <f t="shared" si="0"/>
        <v>263</v>
      </c>
      <c r="F44" s="12">
        <f t="shared" si="3"/>
        <v>9.6266471449487551E-2</v>
      </c>
      <c r="G44" s="13">
        <v>2915</v>
      </c>
      <c r="H44" s="13">
        <f t="shared" si="1"/>
        <v>80</v>
      </c>
      <c r="I44" s="14">
        <f t="shared" si="2"/>
        <v>2.7444253859348199E-2</v>
      </c>
      <c r="J44" s="60"/>
      <c r="K44" s="60"/>
    </row>
    <row r="45" spans="1:11" ht="28.9">
      <c r="A45" s="27" t="str">
        <v>Clark</v>
      </c>
      <c r="B45" s="28" t="str">
        <v>NJ</v>
      </c>
      <c r="C45" s="10">
        <v>1916</v>
      </c>
      <c r="D45" s="15">
        <v>2402</v>
      </c>
      <c r="E45" s="15">
        <f t="shared" si="0"/>
        <v>-486</v>
      </c>
      <c r="F45" s="16">
        <f t="shared" si="3"/>
        <v>-0.20233139050791007</v>
      </c>
      <c r="G45" s="17">
        <v>2493</v>
      </c>
      <c r="H45" s="17">
        <f t="shared" si="1"/>
        <v>-577</v>
      </c>
      <c r="I45" s="16">
        <f t="shared" si="2"/>
        <v>-0.2314480545527477</v>
      </c>
      <c r="J45" s="49" t="s">
        <v>218</v>
      </c>
      <c r="K45" s="49" t="s">
        <v>219</v>
      </c>
    </row>
    <row r="46" spans="1:11" ht="37.5" customHeight="1">
      <c r="A46" s="25" t="str">
        <v>Closter</v>
      </c>
      <c r="B46" s="26" t="str">
        <v>NJ</v>
      </c>
      <c r="C46" s="21">
        <v>1395</v>
      </c>
      <c r="D46" s="11">
        <v>1110</v>
      </c>
      <c r="E46" s="11">
        <f t="shared" si="0"/>
        <v>285</v>
      </c>
      <c r="F46" s="12">
        <f t="shared" si="3"/>
        <v>0.25675675675675674</v>
      </c>
      <c r="G46" s="13">
        <v>1543</v>
      </c>
      <c r="H46" s="13">
        <f t="shared" si="1"/>
        <v>-148</v>
      </c>
      <c r="I46" s="14">
        <f t="shared" si="2"/>
        <v>-9.5917044718081657E-2</v>
      </c>
      <c r="J46" s="60"/>
      <c r="K46" s="86"/>
    </row>
    <row r="47" spans="1:11" ht="28.9">
      <c r="A47" s="27" t="str">
        <v>Holmdel</v>
      </c>
      <c r="B47" s="28" t="str">
        <v>NJ</v>
      </c>
      <c r="C47" s="10">
        <v>2200</v>
      </c>
      <c r="D47" s="15">
        <v>5955</v>
      </c>
      <c r="E47" s="15">
        <f t="shared" si="0"/>
        <v>-3755</v>
      </c>
      <c r="F47" s="16">
        <f t="shared" si="3"/>
        <v>-0.63056255247691018</v>
      </c>
      <c r="G47" s="17">
        <v>2178</v>
      </c>
      <c r="H47" s="17">
        <f t="shared" si="1"/>
        <v>22</v>
      </c>
      <c r="I47" s="16">
        <f t="shared" si="2"/>
        <v>1.0101010101010102E-2</v>
      </c>
      <c r="J47" s="49" t="s">
        <v>220</v>
      </c>
      <c r="K47" s="80" t="s">
        <v>141</v>
      </c>
    </row>
    <row r="48" spans="1:11" ht="28.9">
      <c r="A48" s="25" t="str">
        <v>Ellisburg Circle Center</v>
      </c>
      <c r="B48" s="26" t="str">
        <v>NJ</v>
      </c>
      <c r="C48" s="21">
        <v>1081</v>
      </c>
      <c r="D48" s="11">
        <v>1162</v>
      </c>
      <c r="E48" s="11">
        <f t="shared" si="0"/>
        <v>-81</v>
      </c>
      <c r="F48" s="12">
        <f t="shared" si="3"/>
        <v>-6.9707401032702232E-2</v>
      </c>
      <c r="G48" s="13">
        <v>1215</v>
      </c>
      <c r="H48" s="13">
        <f t="shared" si="1"/>
        <v>-134</v>
      </c>
      <c r="I48" s="14">
        <f t="shared" si="2"/>
        <v>-0.1102880658436214</v>
      </c>
      <c r="J48" s="60" t="s">
        <v>221</v>
      </c>
      <c r="K48" s="60" t="s">
        <v>222</v>
      </c>
    </row>
    <row r="49" spans="1:11" ht="15.6">
      <c r="A49" s="27" t="str">
        <v>Nutley</v>
      </c>
      <c r="B49" s="28" t="str">
        <v>NJ</v>
      </c>
      <c r="C49" s="10">
        <v>4384</v>
      </c>
      <c r="D49" s="15">
        <v>3449</v>
      </c>
      <c r="E49" s="15">
        <f t="shared" si="0"/>
        <v>935</v>
      </c>
      <c r="F49" s="16">
        <f t="shared" si="3"/>
        <v>0.27109307045520442</v>
      </c>
      <c r="G49" s="17">
        <v>4329</v>
      </c>
      <c r="H49" s="17">
        <f t="shared" si="1"/>
        <v>55</v>
      </c>
      <c r="I49" s="16">
        <f t="shared" si="2"/>
        <v>1.2705012705012704E-2</v>
      </c>
      <c r="J49" s="49"/>
      <c r="K49" s="49"/>
    </row>
    <row r="50" spans="1:11" ht="15.6">
      <c r="A50" s="25" t="str">
        <v>Marlton</v>
      </c>
      <c r="B50" s="26" t="str">
        <v>NJ</v>
      </c>
      <c r="C50" s="21">
        <v>4146</v>
      </c>
      <c r="D50" s="11">
        <v>3758</v>
      </c>
      <c r="E50" s="11">
        <f t="shared" si="0"/>
        <v>388</v>
      </c>
      <c r="F50" s="12">
        <f t="shared" si="3"/>
        <v>0.10324640766365088</v>
      </c>
      <c r="G50" s="13">
        <v>4268</v>
      </c>
      <c r="H50" s="13">
        <f t="shared" si="1"/>
        <v>-122</v>
      </c>
      <c r="I50" s="14">
        <f t="shared" si="2"/>
        <v>-2.8584817244611059E-2</v>
      </c>
      <c r="J50" s="60"/>
      <c r="K50" s="60"/>
    </row>
    <row r="51" spans="1:11" ht="15.6">
      <c r="A51" s="27" t="str">
        <v>Middletown</v>
      </c>
      <c r="B51" s="28" t="str">
        <v>NJ</v>
      </c>
      <c r="C51" s="10">
        <v>3092</v>
      </c>
      <c r="D51" s="15">
        <v>2419</v>
      </c>
      <c r="E51" s="15">
        <f t="shared" si="0"/>
        <v>673</v>
      </c>
      <c r="F51" s="16">
        <f t="shared" si="3"/>
        <v>0.27821413807358414</v>
      </c>
      <c r="G51" s="17">
        <v>3415</v>
      </c>
      <c r="H51" s="17">
        <f t="shared" si="1"/>
        <v>-323</v>
      </c>
      <c r="I51" s="16">
        <f t="shared" si="2"/>
        <v>-9.4582723279648603E-2</v>
      </c>
      <c r="J51" s="49"/>
      <c r="K51" s="49"/>
    </row>
    <row r="52" spans="1:11" ht="28.9">
      <c r="A52" s="25" t="str">
        <v>Whiting Crestwood</v>
      </c>
      <c r="B52" s="26" t="str">
        <v>NJ</v>
      </c>
      <c r="C52" s="21">
        <v>4009</v>
      </c>
      <c r="D52" s="11">
        <v>3793</v>
      </c>
      <c r="E52" s="11">
        <f t="shared" si="0"/>
        <v>216</v>
      </c>
      <c r="F52" s="12">
        <f t="shared" si="3"/>
        <v>5.6947007645663066E-2</v>
      </c>
      <c r="G52" s="13">
        <v>4573</v>
      </c>
      <c r="H52" s="13">
        <f t="shared" si="1"/>
        <v>-564</v>
      </c>
      <c r="I52" s="14">
        <f t="shared" si="2"/>
        <v>-0.12333260441723158</v>
      </c>
      <c r="J52" s="60" t="s">
        <v>100</v>
      </c>
      <c r="K52" s="60"/>
    </row>
    <row r="53" spans="1:11" ht="28.9">
      <c r="A53" s="27" t="str">
        <v>Barnegat</v>
      </c>
      <c r="B53" s="28" t="str">
        <v>NJ</v>
      </c>
      <c r="C53" s="10">
        <v>5927</v>
      </c>
      <c r="D53" s="15">
        <v>5281</v>
      </c>
      <c r="E53" s="15">
        <f t="shared" si="0"/>
        <v>646</v>
      </c>
      <c r="F53" s="16">
        <f t="shared" si="3"/>
        <v>0.1223253171747775</v>
      </c>
      <c r="G53" s="17">
        <v>6461</v>
      </c>
      <c r="H53" s="17">
        <f t="shared" si="1"/>
        <v>-534</v>
      </c>
      <c r="I53" s="16">
        <f t="shared" si="2"/>
        <v>-8.2649744621575608E-2</v>
      </c>
      <c r="J53" s="49" t="s">
        <v>100</v>
      </c>
      <c r="K53" s="49"/>
    </row>
    <row r="54" spans="1:11" ht="72">
      <c r="A54" s="25" t="str">
        <v>Manchester</v>
      </c>
      <c r="B54" s="26" t="str">
        <v>NJ</v>
      </c>
      <c r="C54" s="21">
        <v>2276</v>
      </c>
      <c r="D54" s="11">
        <v>2476</v>
      </c>
      <c r="E54" s="11">
        <f t="shared" si="0"/>
        <v>-200</v>
      </c>
      <c r="F54" s="12">
        <f t="shared" si="3"/>
        <v>-8.0775444264943458E-2</v>
      </c>
      <c r="G54" s="13">
        <v>3828</v>
      </c>
      <c r="H54" s="13">
        <f t="shared" si="1"/>
        <v>-1552</v>
      </c>
      <c r="I54" s="14">
        <f t="shared" si="2"/>
        <v>-0.40543364681295718</v>
      </c>
      <c r="J54" s="60" t="s">
        <v>208</v>
      </c>
      <c r="K54" s="60"/>
    </row>
    <row r="55" spans="1:11" ht="15.6">
      <c r="A55" s="27" t="str">
        <v>West Deptford - Woodbury</v>
      </c>
      <c r="B55" s="28" t="str">
        <v>NJ</v>
      </c>
      <c r="C55" s="10">
        <v>3520</v>
      </c>
      <c r="D55" s="15">
        <v>3766</v>
      </c>
      <c r="E55" s="15">
        <f t="shared" si="0"/>
        <v>-246</v>
      </c>
      <c r="F55" s="16">
        <f t="shared" si="3"/>
        <v>-6.5321295804567178E-2</v>
      </c>
      <c r="G55" s="17">
        <v>3623</v>
      </c>
      <c r="H55" s="17">
        <f t="shared" si="1"/>
        <v>-103</v>
      </c>
      <c r="I55" s="16">
        <f t="shared" si="2"/>
        <v>-2.842947833287331E-2</v>
      </c>
      <c r="J55" s="49"/>
      <c r="K55" s="49"/>
    </row>
    <row r="56" spans="1:11" ht="15.6">
      <c r="A56" s="25" t="str">
        <v>Edison</v>
      </c>
      <c r="B56" s="26" t="str">
        <v>NJ</v>
      </c>
      <c r="C56" s="21">
        <v>3125</v>
      </c>
      <c r="D56" s="11">
        <v>3126</v>
      </c>
      <c r="E56" s="11">
        <f t="shared" si="0"/>
        <v>-1</v>
      </c>
      <c r="F56" s="12">
        <f t="shared" si="3"/>
        <v>-3.1989763275751758E-4</v>
      </c>
      <c r="G56" s="13">
        <v>3153</v>
      </c>
      <c r="H56" s="13">
        <f t="shared" si="1"/>
        <v>-28</v>
      </c>
      <c r="I56" s="14">
        <f t="shared" si="2"/>
        <v>-8.8804313352362826E-3</v>
      </c>
      <c r="J56" s="60"/>
      <c r="K56" s="86"/>
    </row>
    <row r="57" spans="1:11" ht="15.6">
      <c r="A57" s="27" t="str">
        <v>Flemington</v>
      </c>
      <c r="B57" s="28" t="str">
        <v>NJ</v>
      </c>
      <c r="C57" s="10">
        <v>3075</v>
      </c>
      <c r="D57" s="15">
        <v>3292</v>
      </c>
      <c r="E57" s="15">
        <f t="shared" si="0"/>
        <v>-217</v>
      </c>
      <c r="F57" s="16">
        <f t="shared" si="3"/>
        <v>-6.591737545565006E-2</v>
      </c>
      <c r="G57" s="17">
        <v>3292</v>
      </c>
      <c r="H57" s="17">
        <f t="shared" si="1"/>
        <v>-217</v>
      </c>
      <c r="I57" s="16">
        <f t="shared" si="2"/>
        <v>-6.591737545565006E-2</v>
      </c>
      <c r="J57" s="56"/>
      <c r="K57" s="49"/>
    </row>
    <row r="58" spans="1:11" ht="15.6">
      <c r="A58" s="25" t="str">
        <v>Route 22</v>
      </c>
      <c r="B58" s="26" t="str">
        <v>NJ</v>
      </c>
      <c r="C58" s="21">
        <v>2902</v>
      </c>
      <c r="D58" s="11">
        <v>3142</v>
      </c>
      <c r="E58" s="11">
        <f t="shared" si="0"/>
        <v>-240</v>
      </c>
      <c r="F58" s="12">
        <f t="shared" si="3"/>
        <v>-7.6384468491406746E-2</v>
      </c>
      <c r="G58" s="13">
        <v>3042</v>
      </c>
      <c r="H58" s="13">
        <f t="shared" si="1"/>
        <v>-140</v>
      </c>
      <c r="I58" s="14">
        <f t="shared" si="2"/>
        <v>-4.6022353714661408E-2</v>
      </c>
      <c r="J58" s="60"/>
      <c r="K58" s="60"/>
    </row>
    <row r="59" spans="1:11" ht="28.9">
      <c r="A59" s="27" t="str">
        <v>Laurelton</v>
      </c>
      <c r="B59" s="28" t="str">
        <v>NJ</v>
      </c>
      <c r="C59" s="10">
        <v>1749</v>
      </c>
      <c r="D59" s="15">
        <v>2830</v>
      </c>
      <c r="E59" s="15">
        <f t="shared" si="0"/>
        <v>-1081</v>
      </c>
      <c r="F59" s="16">
        <f t="shared" si="3"/>
        <v>-0.38197879858657247</v>
      </c>
      <c r="G59" s="17">
        <v>2902</v>
      </c>
      <c r="H59" s="17">
        <f t="shared" si="1"/>
        <v>-1153</v>
      </c>
      <c r="I59" s="16">
        <f t="shared" si="2"/>
        <v>-0.39731219848380428</v>
      </c>
      <c r="J59" s="49" t="s">
        <v>223</v>
      </c>
      <c r="K59" s="49" t="s">
        <v>224</v>
      </c>
    </row>
    <row r="60" spans="1:11" ht="43.15">
      <c r="A60" s="25" t="str">
        <v>Mahwah</v>
      </c>
      <c r="B60" s="26" t="str">
        <v>NJ</v>
      </c>
      <c r="C60" s="21">
        <v>2469</v>
      </c>
      <c r="D60" s="11">
        <v>280</v>
      </c>
      <c r="E60" s="11">
        <f t="shared" si="0"/>
        <v>2189</v>
      </c>
      <c r="F60" s="12">
        <f t="shared" si="3"/>
        <v>7.8178571428571431</v>
      </c>
      <c r="G60" s="13">
        <v>2689</v>
      </c>
      <c r="H60" s="13">
        <f t="shared" si="1"/>
        <v>-220</v>
      </c>
      <c r="I60" s="14">
        <f t="shared" si="2"/>
        <v>-8.1814801041279292E-2</v>
      </c>
      <c r="J60" s="60" t="s">
        <v>187</v>
      </c>
      <c r="K60" s="60" t="s">
        <v>152</v>
      </c>
    </row>
    <row r="61" spans="1:11" ht="28.9">
      <c r="A61" s="27" t="str">
        <v>Franklin Township WF</v>
      </c>
      <c r="B61" s="28" t="str">
        <v>NJ</v>
      </c>
      <c r="C61" s="10">
        <v>2765</v>
      </c>
      <c r="D61" s="15">
        <v>2769</v>
      </c>
      <c r="E61" s="15">
        <f t="shared" si="0"/>
        <v>-4</v>
      </c>
      <c r="F61" s="16">
        <f t="shared" si="3"/>
        <v>-1.4445648248465151E-3</v>
      </c>
      <c r="G61" s="17">
        <v>3329</v>
      </c>
      <c r="H61" s="17">
        <f t="shared" si="1"/>
        <v>-564</v>
      </c>
      <c r="I61" s="16">
        <f t="shared" si="2"/>
        <v>-0.16942024632021629</v>
      </c>
      <c r="J61" s="49" t="s">
        <v>100</v>
      </c>
      <c r="K61" s="49"/>
    </row>
    <row r="62" spans="1:11" ht="15.6">
      <c r="A62" s="25" t="str">
        <v>Bordentown</v>
      </c>
      <c r="B62" s="26" t="str">
        <v>NJ</v>
      </c>
      <c r="C62" s="21">
        <v>2109</v>
      </c>
      <c r="D62" s="11">
        <v>1980</v>
      </c>
      <c r="E62" s="11">
        <f t="shared" si="0"/>
        <v>129</v>
      </c>
      <c r="F62" s="12">
        <f t="shared" si="3"/>
        <v>6.5151515151515155E-2</v>
      </c>
      <c r="G62" s="13">
        <v>2070</v>
      </c>
      <c r="H62" s="13">
        <f t="shared" si="1"/>
        <v>39</v>
      </c>
      <c r="I62" s="14">
        <f t="shared" si="2"/>
        <v>1.8840579710144929E-2</v>
      </c>
      <c r="J62" s="60"/>
      <c r="K62" s="60"/>
    </row>
    <row r="63" spans="1:11" ht="15.6">
      <c r="A63" s="27" t="str">
        <v>South Plainfield</v>
      </c>
      <c r="B63" s="28" t="str">
        <v>NJ</v>
      </c>
      <c r="C63" s="10">
        <v>1526</v>
      </c>
      <c r="D63" s="15">
        <v>1550</v>
      </c>
      <c r="E63" s="15">
        <f t="shared" si="0"/>
        <v>-24</v>
      </c>
      <c r="F63" s="16">
        <f t="shared" si="3"/>
        <v>-1.5483870967741935E-2</v>
      </c>
      <c r="G63" s="17">
        <v>1529</v>
      </c>
      <c r="H63" s="17">
        <f t="shared" si="1"/>
        <v>-3</v>
      </c>
      <c r="I63" s="16">
        <f t="shared" si="2"/>
        <v>-1.9620667102681491E-3</v>
      </c>
      <c r="J63" s="49"/>
      <c r="K63" s="49"/>
    </row>
    <row r="64" spans="1:11" ht="15.6">
      <c r="A64" s="25" t="str">
        <v>Somerset</v>
      </c>
      <c r="B64" s="26" t="str">
        <v>NJ</v>
      </c>
      <c r="C64" s="21">
        <v>2531</v>
      </c>
      <c r="D64" s="11">
        <v>2376</v>
      </c>
      <c r="E64" s="11">
        <f t="shared" si="0"/>
        <v>155</v>
      </c>
      <c r="F64" s="12">
        <f t="shared" si="3"/>
        <v>6.523569023569023E-2</v>
      </c>
      <c r="G64" s="13">
        <v>2548</v>
      </c>
      <c r="H64" s="13">
        <f t="shared" si="1"/>
        <v>-17</v>
      </c>
      <c r="I64" s="14">
        <f t="shared" si="2"/>
        <v>-6.6718995290423865E-3</v>
      </c>
      <c r="J64" s="60"/>
      <c r="K64" s="60"/>
    </row>
    <row r="65" spans="1:11" ht="15.6">
      <c r="A65" s="27" t="str">
        <v>Clinton Main Relo</v>
      </c>
      <c r="B65" s="28" t="str">
        <v>NJ</v>
      </c>
      <c r="C65" s="10">
        <v>3000</v>
      </c>
      <c r="D65" s="15">
        <v>2994</v>
      </c>
      <c r="E65" s="15">
        <f t="shared" si="0"/>
        <v>6</v>
      </c>
      <c r="F65" s="16">
        <f t="shared" si="3"/>
        <v>2.004008016032064E-3</v>
      </c>
      <c r="G65" s="17">
        <v>3072</v>
      </c>
      <c r="H65" s="17">
        <f t="shared" si="1"/>
        <v>-72</v>
      </c>
      <c r="I65" s="16">
        <f t="shared" si="2"/>
        <v>-2.34375E-2</v>
      </c>
      <c r="J65" s="49"/>
      <c r="K65" s="49"/>
    </row>
    <row r="66" spans="1:11" ht="15.6">
      <c r="A66" s="25" t="str">
        <v>North Brunswick</v>
      </c>
      <c r="B66" s="26" t="str">
        <v>NJ</v>
      </c>
      <c r="C66" s="21">
        <v>3047</v>
      </c>
      <c r="D66" s="11">
        <v>2832</v>
      </c>
      <c r="E66" s="11">
        <f t="shared" si="0"/>
        <v>215</v>
      </c>
      <c r="F66" s="12">
        <f t="shared" si="3"/>
        <v>7.5918079096045199E-2</v>
      </c>
      <c r="G66" s="13">
        <v>3311</v>
      </c>
      <c r="H66" s="13">
        <f t="shared" si="1"/>
        <v>-264</v>
      </c>
      <c r="I66" s="14">
        <f t="shared" si="2"/>
        <v>-7.9734219269102985E-2</v>
      </c>
      <c r="J66" s="60"/>
      <c r="K66" s="60"/>
    </row>
    <row r="67" spans="1:11" ht="15.6">
      <c r="A67" s="27" t="str">
        <v>Cherry Hill</v>
      </c>
      <c r="B67" s="28" t="str">
        <v>NJ</v>
      </c>
      <c r="C67" s="10">
        <v>2089</v>
      </c>
      <c r="D67" s="15">
        <v>2001</v>
      </c>
      <c r="E67" s="15">
        <f t="shared" si="0"/>
        <v>88</v>
      </c>
      <c r="F67" s="16">
        <f t="shared" si="3"/>
        <v>4.3978010994502749E-2</v>
      </c>
      <c r="G67" s="17">
        <v>2189</v>
      </c>
      <c r="H67" s="17">
        <f t="shared" si="1"/>
        <v>-100</v>
      </c>
      <c r="I67" s="16">
        <f t="shared" si="2"/>
        <v>-4.5682960255824578E-2</v>
      </c>
      <c r="J67" s="49"/>
      <c r="K67" s="80"/>
    </row>
    <row r="68" spans="1:11" ht="15.6">
      <c r="A68" s="25" t="str">
        <v>Hainesport</v>
      </c>
      <c r="B68" s="26" t="str">
        <v>NJ</v>
      </c>
      <c r="C68" s="21">
        <v>2096</v>
      </c>
      <c r="D68" s="11">
        <v>2476</v>
      </c>
      <c r="E68" s="11">
        <f t="shared" si="0"/>
        <v>-380</v>
      </c>
      <c r="F68" s="12">
        <f t="shared" si="3"/>
        <v>-0.15347334410339256</v>
      </c>
      <c r="G68" s="13">
        <v>2131</v>
      </c>
      <c r="H68" s="13">
        <f t="shared" si="1"/>
        <v>-35</v>
      </c>
      <c r="I68" s="14">
        <f t="shared" si="2"/>
        <v>-1.642421398404505E-2</v>
      </c>
      <c r="J68" s="60" t="s">
        <v>225</v>
      </c>
      <c r="K68" s="60"/>
    </row>
    <row r="69" spans="1:11" ht="28.9">
      <c r="A69" s="27" t="str">
        <v>San Antonio - Ops Ctr (Bldg 106)</v>
      </c>
      <c r="B69" s="28" t="str">
        <v>TX</v>
      </c>
      <c r="C69" s="10">
        <v>57144</v>
      </c>
      <c r="D69" s="15">
        <v>36923</v>
      </c>
      <c r="E69" s="15">
        <f t="shared" ref="E69:E84" si="4">IF(AND(ISNUMBER(C69),ISNUMBER(D69)), C69-D69, "")</f>
        <v>20221</v>
      </c>
      <c r="F69" s="16">
        <f t="shared" si="3"/>
        <v>0.54765322427755059</v>
      </c>
      <c r="G69" s="17">
        <v>60352</v>
      </c>
      <c r="H69" s="17">
        <f t="shared" ref="H69:H84" si="5">IF(AND(ISNUMBER(C69),ISNUMBER(G69)), C69-G69, "")</f>
        <v>-3208</v>
      </c>
      <c r="I69" s="16">
        <f t="shared" ref="I69:I84" si="6">IFERROR(H69/G69, "")</f>
        <v>-5.3154825026511136E-2</v>
      </c>
      <c r="J69" s="49" t="s">
        <v>188</v>
      </c>
      <c r="K69" s="49" t="s">
        <v>189</v>
      </c>
    </row>
    <row r="70" spans="1:11" ht="43.15">
      <c r="A70" s="25" t="str">
        <v>San Antonio - Ops Ctr GM</v>
      </c>
      <c r="B70" s="26" t="str">
        <v>TX</v>
      </c>
      <c r="C70" s="21">
        <v>364099</v>
      </c>
      <c r="D70" s="11">
        <v>414699</v>
      </c>
      <c r="E70" s="11">
        <f t="shared" si="4"/>
        <v>-50600</v>
      </c>
      <c r="F70" s="12">
        <f t="shared" ref="F70:F84" si="7">IFERROR(E70/D70, "")</f>
        <v>-0.12201620934702037</v>
      </c>
      <c r="G70" s="13">
        <v>435826</v>
      </c>
      <c r="H70" s="13">
        <f t="shared" si="5"/>
        <v>-71727</v>
      </c>
      <c r="I70" s="14">
        <f t="shared" si="6"/>
        <v>-0.16457714776080362</v>
      </c>
      <c r="J70" s="60" t="s">
        <v>226</v>
      </c>
      <c r="K70" s="60"/>
    </row>
    <row r="71" spans="1:11" ht="57.6">
      <c r="A71" s="27" t="str">
        <v>San Antonio - Ctr (Bldg 201)</v>
      </c>
      <c r="B71" s="28" t="str">
        <v>TX</v>
      </c>
      <c r="C71" s="10">
        <v>56116</v>
      </c>
      <c r="D71" s="15">
        <v>36662</v>
      </c>
      <c r="E71" s="15">
        <f t="shared" si="4"/>
        <v>19454</v>
      </c>
      <c r="F71" s="16">
        <f t="shared" si="7"/>
        <v>0.53063117123997605</v>
      </c>
      <c r="G71" s="17">
        <v>59408</v>
      </c>
      <c r="H71" s="17">
        <f t="shared" si="5"/>
        <v>-3292</v>
      </c>
      <c r="I71" s="16">
        <f t="shared" si="6"/>
        <v>-5.5413412335039054E-2</v>
      </c>
      <c r="J71" s="49" t="s">
        <v>227</v>
      </c>
      <c r="K71" s="49"/>
    </row>
    <row r="72" spans="1:11" ht="15.6">
      <c r="A72" s="25" t="str">
        <v>San Antonio - Ops Ctr (Bldg 203)</v>
      </c>
      <c r="B72" s="26" t="str">
        <v>TX</v>
      </c>
      <c r="C72" s="21">
        <v>56352</v>
      </c>
      <c r="D72" s="11">
        <v>55054</v>
      </c>
      <c r="E72" s="11">
        <f t="shared" si="4"/>
        <v>1298</v>
      </c>
      <c r="F72" s="12">
        <f t="shared" si="7"/>
        <v>2.3576851818214842E-2</v>
      </c>
      <c r="G72" s="13">
        <v>59706</v>
      </c>
      <c r="H72" s="13">
        <f t="shared" si="5"/>
        <v>-3354</v>
      </c>
      <c r="I72" s="14">
        <f t="shared" si="6"/>
        <v>-5.6175258767963018E-2</v>
      </c>
      <c r="J72" s="60"/>
      <c r="K72" s="60"/>
    </row>
    <row r="73" spans="1:11" ht="57.6">
      <c r="A73" s="27" t="str">
        <v>San Antonio - Ops Ctr (Bldg 205)</v>
      </c>
      <c r="B73" s="28" t="str">
        <v>TX</v>
      </c>
      <c r="C73" s="10">
        <v>53064</v>
      </c>
      <c r="D73" s="15">
        <v>33415</v>
      </c>
      <c r="E73" s="15">
        <f t="shared" si="4"/>
        <v>19649</v>
      </c>
      <c r="F73" s="16">
        <f t="shared" si="7"/>
        <v>0.58802932814604225</v>
      </c>
      <c r="G73" s="17">
        <v>57104</v>
      </c>
      <c r="H73" s="17">
        <f t="shared" si="5"/>
        <v>-4040</v>
      </c>
      <c r="I73" s="16">
        <f t="shared" si="6"/>
        <v>-7.0748108713925464E-2</v>
      </c>
      <c r="J73" s="49" t="s">
        <v>227</v>
      </c>
      <c r="K73" s="49"/>
    </row>
    <row r="74" spans="1:11" ht="57.6">
      <c r="A74" s="25" t="str">
        <v>San Antonio - Ops Ctr (Bldg 307)</v>
      </c>
      <c r="B74" s="26" t="str">
        <v>TX</v>
      </c>
      <c r="C74" s="21">
        <v>55200</v>
      </c>
      <c r="D74" s="11">
        <v>36347</v>
      </c>
      <c r="E74" s="11">
        <f t="shared" si="4"/>
        <v>18853</v>
      </c>
      <c r="F74" s="12">
        <f t="shared" si="7"/>
        <v>0.51869480287231406</v>
      </c>
      <c r="G74" s="13">
        <v>57923</v>
      </c>
      <c r="H74" s="13">
        <f t="shared" si="5"/>
        <v>-2723</v>
      </c>
      <c r="I74" s="14">
        <f t="shared" si="6"/>
        <v>-4.7010686601177423E-2</v>
      </c>
      <c r="J74" s="60" t="s">
        <v>227</v>
      </c>
      <c r="K74" s="60"/>
    </row>
    <row r="75" spans="1:11" ht="57.6">
      <c r="A75" s="27" t="str">
        <v>San Antonio - Ctr (Bldg 308)</v>
      </c>
      <c r="B75" s="28" t="str">
        <v>TX</v>
      </c>
      <c r="C75" s="10">
        <v>53178</v>
      </c>
      <c r="D75" s="15">
        <v>35480</v>
      </c>
      <c r="E75" s="15">
        <f t="shared" si="4"/>
        <v>17698</v>
      </c>
      <c r="F75" s="16">
        <f t="shared" si="7"/>
        <v>0.49881623449830892</v>
      </c>
      <c r="G75" s="17">
        <v>55158</v>
      </c>
      <c r="H75" s="17">
        <f t="shared" si="5"/>
        <v>-1980</v>
      </c>
      <c r="I75" s="16">
        <f t="shared" si="6"/>
        <v>-3.5896878059393018E-2</v>
      </c>
      <c r="J75" s="49" t="s">
        <v>227</v>
      </c>
      <c r="K75" s="80"/>
    </row>
    <row r="76" spans="1:11" ht="57.6">
      <c r="A76" s="25" t="str">
        <v>San Antonio - Ops Ctr (Bldg 104)</v>
      </c>
      <c r="B76" s="26" t="str">
        <v>TX</v>
      </c>
      <c r="C76" s="21">
        <v>15904</v>
      </c>
      <c r="D76" s="11">
        <v>11126</v>
      </c>
      <c r="E76" s="11">
        <f t="shared" si="4"/>
        <v>4778</v>
      </c>
      <c r="F76" s="12">
        <f t="shared" si="7"/>
        <v>0.42944454431062379</v>
      </c>
      <c r="G76" s="13">
        <v>17500</v>
      </c>
      <c r="H76" s="13">
        <f t="shared" si="5"/>
        <v>-1596</v>
      </c>
      <c r="I76" s="14">
        <f t="shared" si="6"/>
        <v>-9.1200000000000003E-2</v>
      </c>
      <c r="J76" s="60" t="s">
        <v>227</v>
      </c>
      <c r="K76" s="60"/>
    </row>
    <row r="77" spans="1:11" ht="15.6">
      <c r="A77" s="27" t="str">
        <v>San Antonio - Ops Ctr (Bldg 102)</v>
      </c>
      <c r="B77" s="28" t="str">
        <v>TX</v>
      </c>
      <c r="C77" s="10">
        <v>59520</v>
      </c>
      <c r="D77" s="15" t="s">
        <v>202</v>
      </c>
      <c r="E77" s="15" t="str">
        <f t="shared" si="4"/>
        <v/>
      </c>
      <c r="F77" s="16" t="str">
        <f t="shared" si="7"/>
        <v/>
      </c>
      <c r="G77" s="17">
        <v>61996</v>
      </c>
      <c r="H77" s="17">
        <f t="shared" si="5"/>
        <v>-2476</v>
      </c>
      <c r="I77" s="16">
        <f t="shared" si="6"/>
        <v>-3.9938060520033548E-2</v>
      </c>
      <c r="J77" s="49"/>
      <c r="K77" s="49"/>
    </row>
    <row r="78" spans="1:11" ht="15.6">
      <c r="A78" s="25" t="str">
        <v>N Black Canyon Hwy, Phoenix - North</v>
      </c>
      <c r="B78" s="26" t="str">
        <v>AZ</v>
      </c>
      <c r="C78" s="21">
        <v>105478</v>
      </c>
      <c r="D78" s="11">
        <v>88938</v>
      </c>
      <c r="E78" s="11">
        <f t="shared" si="4"/>
        <v>16540</v>
      </c>
      <c r="F78" s="12">
        <f t="shared" si="7"/>
        <v>0.18597225033169174</v>
      </c>
      <c r="G78" s="13">
        <v>103056</v>
      </c>
      <c r="H78" s="13">
        <f t="shared" si="5"/>
        <v>2422</v>
      </c>
      <c r="I78" s="14">
        <f t="shared" si="6"/>
        <v>2.3501785437043936E-2</v>
      </c>
      <c r="J78" s="60"/>
      <c r="K78" s="60"/>
    </row>
    <row r="79" spans="1:11" ht="15.6">
      <c r="A79" s="27" t="str">
        <v>N Black Canyon Hwy, Phoenix - South</v>
      </c>
      <c r="B79" s="28" t="str">
        <v>AZ</v>
      </c>
      <c r="C79" s="10">
        <v>102640</v>
      </c>
      <c r="D79" s="15">
        <v>97431</v>
      </c>
      <c r="E79" s="15">
        <f t="shared" si="4"/>
        <v>5209</v>
      </c>
      <c r="F79" s="16">
        <f t="shared" si="7"/>
        <v>5.3463476716856029E-2</v>
      </c>
      <c r="G79" s="17">
        <v>113359</v>
      </c>
      <c r="H79" s="17">
        <f t="shared" si="5"/>
        <v>-10719</v>
      </c>
      <c r="I79" s="16">
        <f t="shared" si="6"/>
        <v>-9.4557997159466833E-2</v>
      </c>
      <c r="J79" s="49"/>
      <c r="K79" s="49"/>
    </row>
    <row r="80" spans="1:11" ht="15.6">
      <c r="A80" s="25" t="str">
        <v xml:space="preserve"> Building 2222, Rose Garden Ln, Phoenix</v>
      </c>
      <c r="B80" s="26" t="str">
        <v>AZ</v>
      </c>
      <c r="C80" s="21">
        <v>146172</v>
      </c>
      <c r="D80" s="11">
        <v>138948</v>
      </c>
      <c r="E80" s="11">
        <f t="shared" si="4"/>
        <v>7224</v>
      </c>
      <c r="F80" s="12">
        <f t="shared" si="7"/>
        <v>5.1990672769669226E-2</v>
      </c>
      <c r="G80" s="13">
        <v>146011</v>
      </c>
      <c r="H80" s="13">
        <f t="shared" si="5"/>
        <v>161</v>
      </c>
      <c r="I80" s="14">
        <f t="shared" si="6"/>
        <v>1.1026566491565703E-3</v>
      </c>
      <c r="J80" s="60"/>
      <c r="K80" s="60"/>
    </row>
    <row r="81" spans="1:11" ht="15.6">
      <c r="A81" s="27" t="str">
        <v xml:space="preserve"> Building 2202, Rose Garden Ln, Phoenix</v>
      </c>
      <c r="B81" s="28" t="str">
        <v>AZ</v>
      </c>
      <c r="C81" s="10">
        <v>146183</v>
      </c>
      <c r="D81" s="15">
        <v>140917</v>
      </c>
      <c r="E81" s="15">
        <f t="shared" si="4"/>
        <v>5266</v>
      </c>
      <c r="F81" s="16">
        <f t="shared" si="7"/>
        <v>3.7369515388491099E-2</v>
      </c>
      <c r="G81" s="17">
        <v>113317</v>
      </c>
      <c r="H81" s="17">
        <f t="shared" si="5"/>
        <v>32866</v>
      </c>
      <c r="I81" s="16">
        <f t="shared" si="6"/>
        <v>0.29003591694097092</v>
      </c>
      <c r="J81" s="39"/>
      <c r="K81" s="80"/>
    </row>
    <row r="82" spans="1:11" ht="15.6">
      <c r="A82" s="25" t="str">
        <v xml:space="preserve"> 99TH Ave &amp; BELL</v>
      </c>
      <c r="B82" s="26" t="str">
        <v>AZ</v>
      </c>
      <c r="C82" s="21">
        <v>25488</v>
      </c>
      <c r="D82" s="11">
        <v>23304</v>
      </c>
      <c r="E82" s="11">
        <f t="shared" si="4"/>
        <v>2184</v>
      </c>
      <c r="F82" s="12">
        <f t="shared" si="7"/>
        <v>9.3717816683831098E-2</v>
      </c>
      <c r="G82" s="13">
        <v>24928</v>
      </c>
      <c r="H82" s="13">
        <f t="shared" si="5"/>
        <v>560</v>
      </c>
      <c r="I82" s="14">
        <f t="shared" si="6"/>
        <v>2.2464698331193838E-2</v>
      </c>
      <c r="J82" s="60" t="s">
        <v>196</v>
      </c>
      <c r="K82" s="60" t="s">
        <v>197</v>
      </c>
    </row>
    <row r="83" spans="1:11" ht="15.6">
      <c r="A83" s="27" t="str">
        <v>Rincon</v>
      </c>
      <c r="B83" s="28" t="str">
        <v>AZ</v>
      </c>
      <c r="C83" s="10">
        <v>9521</v>
      </c>
      <c r="D83" s="15">
        <v>8355</v>
      </c>
      <c r="E83" s="15">
        <f t="shared" si="4"/>
        <v>1166</v>
      </c>
      <c r="F83" s="16">
        <f t="shared" si="7"/>
        <v>0.1395571514063435</v>
      </c>
      <c r="G83" s="17">
        <v>9607</v>
      </c>
      <c r="H83" s="17">
        <f t="shared" si="5"/>
        <v>-86</v>
      </c>
      <c r="I83" s="16">
        <f t="shared" si="6"/>
        <v>-8.951805974810035E-3</v>
      </c>
      <c r="J83" s="49"/>
      <c r="K83" s="80"/>
    </row>
    <row r="84" spans="1:11" ht="28.9">
      <c r="A84" s="25" t="str">
        <v>Tucson Main Parking Garage</v>
      </c>
      <c r="B84" s="26" t="str">
        <v>AZ</v>
      </c>
      <c r="C84" s="57">
        <v>21892</v>
      </c>
      <c r="D84" s="11">
        <v>17026</v>
      </c>
      <c r="E84" s="11">
        <f t="shared" si="4"/>
        <v>4866</v>
      </c>
      <c r="F84" s="12">
        <f t="shared" si="7"/>
        <v>0.28579819100199694</v>
      </c>
      <c r="G84" s="13">
        <v>12621</v>
      </c>
      <c r="H84" s="13">
        <f t="shared" si="5"/>
        <v>9271</v>
      </c>
      <c r="I84" s="14">
        <f t="shared" si="6"/>
        <v>0.73456936851279608</v>
      </c>
      <c r="J84" s="60" t="s">
        <v>228</v>
      </c>
      <c r="K84" s="60" t="s">
        <v>229</v>
      </c>
    </row>
    <row r="85" spans="1:11" ht="14.45">
      <c r="A85" s="66" t="str">
        <v>AZ: Chandler - Chandler Campus - Bldg A</v>
      </c>
      <c r="B85" s="64" t="str">
        <v>AZ</v>
      </c>
      <c r="C85" s="18"/>
      <c r="D85" s="18"/>
      <c r="E85" s="18"/>
      <c r="F85" s="19"/>
      <c r="G85" s="18"/>
      <c r="H85" s="18"/>
      <c r="I85" s="19"/>
      <c r="J85" s="62"/>
      <c r="K85" s="62"/>
    </row>
    <row r="86" spans="1:11" ht="14.45">
      <c r="A86" s="66" t="str">
        <v>AZ: Phoenix - Pinnacle Peak Ops</v>
      </c>
      <c r="B86" s="64" t="str">
        <v>AZ</v>
      </c>
      <c r="C86" s="18"/>
      <c r="D86" s="18"/>
      <c r="E86" s="18"/>
      <c r="F86" s="19"/>
      <c r="G86" s="18"/>
      <c r="H86" s="18"/>
      <c r="I86" s="19"/>
      <c r="J86" s="62"/>
      <c r="K86" s="62"/>
    </row>
    <row r="87" spans="1:11" ht="14.45">
      <c r="A87" s="66" t="str">
        <v>CA: Alhambra - North Alhambra</v>
      </c>
      <c r="B87" s="64" t="str">
        <v>CA</v>
      </c>
      <c r="C87" s="18"/>
      <c r="D87" s="18"/>
      <c r="E87" s="18"/>
      <c r="F87" s="19"/>
      <c r="G87" s="18"/>
      <c r="H87" s="18"/>
      <c r="I87" s="19"/>
      <c r="J87" s="62"/>
      <c r="K87" s="62"/>
    </row>
    <row r="88" spans="1:11" ht="14.45">
      <c r="A88" s="66" t="str">
        <v>CA: La Canada - La Canada</v>
      </c>
      <c r="B88" s="64" t="str">
        <v>CA</v>
      </c>
      <c r="C88" s="18"/>
      <c r="D88" s="18"/>
      <c r="E88" s="18"/>
      <c r="F88" s="19"/>
      <c r="G88" s="18"/>
      <c r="H88" s="18"/>
      <c r="I88" s="19"/>
      <c r="J88" s="62"/>
      <c r="K88" s="62"/>
    </row>
    <row r="89" spans="1:11" ht="14.45">
      <c r="A89" s="66" t="str">
        <v>CA: Laguna Beach - LAGUNA BEACH</v>
      </c>
      <c r="B89" s="64" t="str">
        <v>CA</v>
      </c>
      <c r="C89" s="18"/>
      <c r="D89" s="18"/>
      <c r="E89" s="18"/>
      <c r="F89" s="19"/>
      <c r="G89" s="18"/>
      <c r="H89" s="18"/>
      <c r="I89" s="19"/>
      <c r="J89" s="62"/>
      <c r="K89" s="62"/>
    </row>
    <row r="90" spans="1:11" ht="14.45">
      <c r="A90" s="66" t="str">
        <v>CA: Newport Beach - MARINERS</v>
      </c>
      <c r="B90" s="64" t="str">
        <v>CA</v>
      </c>
      <c r="C90" s="18"/>
      <c r="D90" s="18"/>
      <c r="E90" s="18"/>
      <c r="F90" s="19"/>
      <c r="G90" s="18"/>
      <c r="H90" s="18"/>
      <c r="I90" s="19"/>
      <c r="J90" s="62"/>
      <c r="K90" s="62"/>
    </row>
    <row r="91" spans="1:11" ht="14.45">
      <c r="A91" s="66"/>
      <c r="B91" s="64"/>
      <c r="C91" s="18"/>
      <c r="D91" s="18"/>
      <c r="E91" s="18"/>
      <c r="F91" s="19"/>
      <c r="G91" s="18"/>
      <c r="H91" s="18"/>
      <c r="I91" s="19"/>
      <c r="J91" s="62"/>
      <c r="K91" s="62"/>
    </row>
    <row r="92" spans="1:11" ht="14.45">
      <c r="A92" s="66"/>
      <c r="B92" s="64"/>
      <c r="C92" s="18"/>
      <c r="D92" s="18"/>
      <c r="E92" s="18"/>
      <c r="F92" s="19"/>
      <c r="G92" s="18"/>
      <c r="H92" s="18"/>
      <c r="I92" s="19"/>
      <c r="J92" s="62"/>
      <c r="K92" s="62"/>
    </row>
    <row r="93" spans="1:11" ht="14.45">
      <c r="A93" s="66"/>
      <c r="B93" s="64"/>
      <c r="C93" s="18"/>
      <c r="D93" s="18"/>
      <c r="E93" s="18"/>
      <c r="F93" s="19"/>
      <c r="G93" s="18"/>
      <c r="H93" s="18"/>
      <c r="I93" s="19"/>
      <c r="J93" s="62"/>
      <c r="K93" s="62"/>
    </row>
    <row r="94" spans="1:11" ht="14.45">
      <c r="A94" s="66"/>
      <c r="B94" s="64"/>
      <c r="C94" s="18"/>
      <c r="D94" s="18"/>
      <c r="E94" s="18"/>
      <c r="F94" s="19"/>
      <c r="G94" s="18"/>
      <c r="H94" s="18"/>
      <c r="I94" s="19"/>
      <c r="J94" s="62"/>
      <c r="K94" s="62"/>
    </row>
    <row r="95" spans="1:11" ht="14.45">
      <c r="A95" s="66"/>
      <c r="B95" s="64"/>
      <c r="C95" s="18"/>
      <c r="D95" s="18"/>
      <c r="E95" s="18"/>
      <c r="F95" s="19"/>
      <c r="G95" s="18"/>
      <c r="H95" s="18"/>
      <c r="I95" s="19"/>
      <c r="J95" s="62"/>
      <c r="K95" s="62"/>
    </row>
    <row r="96" spans="1:11" ht="14.45">
      <c r="A96" s="66"/>
      <c r="B96" s="64"/>
      <c r="C96" s="18"/>
      <c r="D96" s="18"/>
      <c r="E96" s="18"/>
      <c r="F96" s="19"/>
      <c r="G96" s="18"/>
      <c r="H96" s="18"/>
      <c r="I96" s="19"/>
      <c r="J96" s="62"/>
      <c r="K96" s="62"/>
    </row>
    <row r="97" spans="1:11" ht="14.45">
      <c r="A97" s="66"/>
      <c r="B97" s="64"/>
      <c r="C97" s="18"/>
      <c r="D97" s="18"/>
      <c r="E97" s="18"/>
      <c r="F97" s="19"/>
      <c r="G97" s="18"/>
      <c r="H97" s="18"/>
      <c r="I97" s="19"/>
      <c r="J97" s="62"/>
      <c r="K97" s="62"/>
    </row>
    <row r="98" spans="1:11" ht="14.45">
      <c r="A98" s="66"/>
      <c r="B98" s="64"/>
      <c r="C98" s="18"/>
      <c r="D98" s="18"/>
      <c r="E98" s="18"/>
      <c r="F98" s="19"/>
      <c r="G98" s="18"/>
      <c r="H98" s="18"/>
      <c r="I98" s="19"/>
      <c r="J98" s="62"/>
      <c r="K98" s="62"/>
    </row>
    <row r="99" spans="1:11" ht="14.45">
      <c r="A99" s="66"/>
      <c r="B99" s="64"/>
      <c r="C99" s="18"/>
      <c r="D99" s="18"/>
      <c r="E99" s="18"/>
      <c r="F99" s="19"/>
      <c r="G99" s="18"/>
      <c r="H99" s="18"/>
      <c r="I99" s="19"/>
      <c r="J99" s="62"/>
      <c r="K99" s="62"/>
    </row>
    <row r="100" spans="1:11" ht="14.45">
      <c r="A100" s="66"/>
      <c r="B100" s="64"/>
      <c r="C100" s="18"/>
      <c r="D100" s="18"/>
      <c r="E100" s="18"/>
      <c r="F100" s="19"/>
      <c r="G100" s="18"/>
      <c r="H100" s="18"/>
      <c r="I100" s="19"/>
      <c r="J100" s="62"/>
      <c r="K100" s="62"/>
    </row>
    <row r="101" spans="1:11" ht="14.45">
      <c r="A101" s="66"/>
      <c r="B101" s="64"/>
      <c r="C101" s="18"/>
      <c r="D101" s="18"/>
      <c r="E101" s="18"/>
      <c r="F101" s="19"/>
      <c r="G101" s="18"/>
      <c r="H101" s="18"/>
      <c r="I101" s="19"/>
      <c r="J101" s="62"/>
      <c r="K101" s="62"/>
    </row>
    <row r="102" spans="1:11" ht="14.45">
      <c r="A102" s="66"/>
      <c r="B102" s="64"/>
      <c r="C102" s="18"/>
      <c r="D102" s="18"/>
      <c r="E102" s="18"/>
      <c r="F102" s="19"/>
      <c r="G102" s="18"/>
      <c r="H102" s="18"/>
      <c r="I102" s="19"/>
      <c r="J102" s="62"/>
      <c r="K102" s="62"/>
    </row>
    <row r="103" spans="1:11" ht="14.45">
      <c r="A103" s="66"/>
      <c r="B103" s="64"/>
      <c r="C103" s="18"/>
      <c r="D103" s="18"/>
      <c r="E103" s="18"/>
      <c r="F103" s="19"/>
      <c r="G103" s="18"/>
      <c r="H103" s="18"/>
      <c r="I103" s="19"/>
      <c r="J103" s="62"/>
      <c r="K103" s="62"/>
    </row>
    <row r="104" spans="1:11" ht="14.45">
      <c r="A104" s="66"/>
      <c r="B104" s="64"/>
      <c r="C104" s="18"/>
      <c r="D104" s="18"/>
      <c r="E104" s="18"/>
      <c r="F104" s="19"/>
      <c r="G104" s="18"/>
      <c r="H104" s="18"/>
      <c r="I104" s="19"/>
      <c r="J104" s="62"/>
      <c r="K104" s="62"/>
    </row>
    <row r="105" spans="1:11" ht="14.45">
      <c r="A105" s="66"/>
      <c r="B105" s="64"/>
      <c r="C105" s="18"/>
      <c r="D105" s="18"/>
      <c r="E105" s="18"/>
      <c r="F105" s="19"/>
      <c r="G105" s="18"/>
      <c r="H105" s="18"/>
      <c r="I105" s="19"/>
      <c r="J105" s="62"/>
      <c r="K105" s="62"/>
    </row>
    <row r="106" spans="1:11" ht="14.45">
      <c r="A106" s="66"/>
      <c r="B106" s="64"/>
      <c r="C106" s="18"/>
      <c r="D106" s="18"/>
      <c r="E106" s="18"/>
      <c r="F106" s="19"/>
      <c r="G106" s="18"/>
      <c r="H106" s="18"/>
      <c r="I106" s="19"/>
      <c r="J106" s="62"/>
      <c r="K106" s="62"/>
    </row>
    <row r="107" spans="1:11" ht="14.45">
      <c r="A107" s="66"/>
      <c r="B107" s="64"/>
      <c r="C107" s="18"/>
      <c r="D107" s="18"/>
      <c r="E107" s="18"/>
      <c r="F107" s="19"/>
      <c r="G107" s="18"/>
      <c r="H107" s="18"/>
      <c r="I107" s="19"/>
      <c r="J107" s="62"/>
      <c r="K107" s="62"/>
    </row>
    <row r="108" spans="1:11" ht="14.45">
      <c r="A108" s="66"/>
      <c r="B108" s="64"/>
      <c r="C108" s="18"/>
      <c r="D108" s="18"/>
      <c r="E108" s="18"/>
      <c r="F108" s="19"/>
      <c r="G108" s="18"/>
      <c r="H108" s="18"/>
      <c r="I108" s="19"/>
      <c r="J108" s="62"/>
      <c r="K108" s="62"/>
    </row>
    <row r="109" spans="1:11" ht="14.45">
      <c r="A109" s="66"/>
      <c r="B109" s="64"/>
      <c r="C109" s="18"/>
      <c r="D109" s="18"/>
      <c r="E109" s="18"/>
      <c r="F109" s="19"/>
      <c r="G109" s="18"/>
      <c r="H109" s="18"/>
      <c r="I109" s="19"/>
      <c r="J109" s="62"/>
      <c r="K109" s="62"/>
    </row>
    <row r="110" spans="1:11" ht="14.45">
      <c r="A110" s="66"/>
      <c r="B110" s="64"/>
      <c r="C110" s="18"/>
      <c r="D110" s="18"/>
      <c r="E110" s="18"/>
      <c r="F110" s="19"/>
      <c r="G110" s="18"/>
      <c r="H110" s="18"/>
      <c r="I110" s="19"/>
      <c r="J110" s="62"/>
      <c r="K110" s="62"/>
    </row>
    <row r="111" spans="1:11" ht="14.45">
      <c r="A111" s="66"/>
      <c r="B111" s="64"/>
      <c r="C111" s="18"/>
      <c r="D111" s="18"/>
      <c r="E111" s="18"/>
      <c r="F111" s="19"/>
      <c r="G111" s="18"/>
      <c r="H111" s="18"/>
      <c r="I111" s="19"/>
      <c r="J111" s="62"/>
      <c r="K111" s="62"/>
    </row>
    <row r="112" spans="1:11" ht="14.45">
      <c r="A112" s="66"/>
      <c r="B112" s="64"/>
      <c r="C112" s="18"/>
      <c r="D112" s="18"/>
      <c r="E112" s="18"/>
      <c r="F112" s="19"/>
      <c r="G112" s="18"/>
      <c r="H112" s="18"/>
      <c r="I112" s="19"/>
      <c r="J112" s="62"/>
      <c r="K112" s="62"/>
    </row>
    <row r="113" spans="1:11" ht="14.45">
      <c r="A113" s="66"/>
      <c r="B113" s="64"/>
      <c r="C113" s="18"/>
      <c r="D113" s="18"/>
      <c r="E113" s="18"/>
      <c r="F113" s="19"/>
      <c r="G113" s="18"/>
      <c r="H113" s="18"/>
      <c r="I113" s="19"/>
      <c r="J113" s="62"/>
      <c r="K113" s="62"/>
    </row>
    <row r="114" spans="1:11" ht="14.45">
      <c r="A114" s="66"/>
      <c r="B114" s="64"/>
      <c r="C114" s="18"/>
      <c r="D114" s="18"/>
      <c r="E114" s="18"/>
      <c r="F114" s="19"/>
      <c r="G114" s="18"/>
      <c r="H114" s="18"/>
      <c r="I114" s="19"/>
      <c r="J114" s="62"/>
      <c r="K114" s="62"/>
    </row>
    <row r="115" spans="1:11" ht="14.45">
      <c r="A115" s="66"/>
      <c r="B115" s="64"/>
      <c r="C115" s="18"/>
      <c r="D115" s="18"/>
      <c r="E115" s="18"/>
      <c r="F115" s="19"/>
      <c r="G115" s="18"/>
      <c r="H115" s="18"/>
      <c r="I115" s="19"/>
      <c r="J115" s="62"/>
      <c r="K115" s="62"/>
    </row>
    <row r="116" spans="1:11" ht="14.45">
      <c r="A116" s="66"/>
      <c r="B116" s="64"/>
      <c r="C116" s="18"/>
      <c r="D116" s="18"/>
      <c r="E116" s="18"/>
      <c r="F116" s="19"/>
      <c r="G116" s="18"/>
      <c r="H116" s="18"/>
      <c r="I116" s="19"/>
      <c r="J116" s="62"/>
      <c r="K116" s="62"/>
    </row>
    <row r="117" spans="1:11" ht="14.45">
      <c r="A117" s="66"/>
      <c r="B117" s="64"/>
      <c r="C117" s="18"/>
      <c r="D117" s="18"/>
      <c r="E117" s="18"/>
      <c r="F117" s="19"/>
      <c r="G117" s="18"/>
      <c r="H117" s="18"/>
      <c r="I117" s="19"/>
      <c r="J117" s="62"/>
      <c r="K117" s="62"/>
    </row>
    <row r="118" spans="1:11" ht="14.45">
      <c r="A118" s="66"/>
      <c r="B118" s="64"/>
      <c r="C118" s="18"/>
      <c r="D118" s="18"/>
      <c r="E118" s="18"/>
      <c r="F118" s="19"/>
      <c r="G118" s="18"/>
      <c r="H118" s="18"/>
      <c r="I118" s="19"/>
      <c r="J118" s="62"/>
      <c r="K118" s="62"/>
    </row>
    <row r="119" spans="1:11" ht="14.45">
      <c r="A119" s="66"/>
      <c r="B119" s="64"/>
      <c r="C119" s="18"/>
      <c r="D119" s="18"/>
      <c r="E119" s="18"/>
      <c r="F119" s="19"/>
      <c r="G119" s="18"/>
      <c r="H119" s="18"/>
      <c r="I119" s="19"/>
      <c r="J119" s="62"/>
      <c r="K119" s="62"/>
    </row>
    <row r="120" spans="1:11" ht="14.45">
      <c r="A120" s="66"/>
      <c r="B120" s="64"/>
      <c r="C120" s="18"/>
      <c r="D120" s="18"/>
      <c r="E120" s="18"/>
      <c r="F120" s="19"/>
      <c r="G120" s="18"/>
      <c r="H120" s="18"/>
      <c r="I120" s="19"/>
      <c r="J120" s="62"/>
      <c r="K120" s="62"/>
    </row>
    <row r="121" spans="1:11" ht="14.45">
      <c r="A121" s="66"/>
      <c r="B121" s="64"/>
      <c r="C121" s="18"/>
      <c r="D121" s="18"/>
      <c r="E121" s="18"/>
      <c r="F121" s="19"/>
      <c r="G121" s="18"/>
      <c r="H121" s="18"/>
      <c r="I121" s="19"/>
      <c r="J121" s="62"/>
      <c r="K121" s="62"/>
    </row>
    <row r="122" spans="1:11" ht="14.45">
      <c r="A122" s="66"/>
      <c r="B122" s="64"/>
      <c r="C122" s="18"/>
      <c r="D122" s="18"/>
      <c r="E122" s="18"/>
      <c r="F122" s="19"/>
      <c r="G122" s="18"/>
      <c r="H122" s="18"/>
      <c r="I122" s="19"/>
      <c r="J122" s="62"/>
      <c r="K122" s="62"/>
    </row>
    <row r="123" spans="1:11" ht="14.45">
      <c r="A123" s="66"/>
      <c r="B123" s="64"/>
      <c r="C123" s="18"/>
      <c r="D123" s="18"/>
      <c r="E123" s="18"/>
      <c r="F123" s="19"/>
      <c r="G123" s="18"/>
      <c r="H123" s="18"/>
      <c r="I123" s="19"/>
      <c r="J123" s="62"/>
      <c r="K123" s="62"/>
    </row>
    <row r="124" spans="1:11" ht="14.45">
      <c r="A124" s="66"/>
      <c r="B124" s="64"/>
      <c r="C124" s="18"/>
      <c r="D124" s="18"/>
      <c r="E124" s="18"/>
      <c r="F124" s="19"/>
      <c r="G124" s="18"/>
      <c r="H124" s="18"/>
      <c r="I124" s="19"/>
      <c r="J124" s="62"/>
      <c r="K124" s="62"/>
    </row>
    <row r="125" spans="1:11" ht="14.45">
      <c r="A125" s="66"/>
      <c r="B125" s="64"/>
      <c r="C125" s="18"/>
      <c r="D125" s="18"/>
      <c r="E125" s="18"/>
      <c r="F125" s="19"/>
      <c r="G125" s="18"/>
      <c r="H125" s="18"/>
      <c r="I125" s="19"/>
      <c r="J125" s="62"/>
      <c r="K125" s="62"/>
    </row>
    <row r="126" spans="1:11" ht="14.45">
      <c r="A126" s="66"/>
      <c r="B126" s="64"/>
      <c r="C126" s="18"/>
      <c r="D126" s="18"/>
      <c r="E126" s="18"/>
      <c r="F126" s="19"/>
      <c r="G126" s="18"/>
      <c r="H126" s="18"/>
      <c r="I126" s="19"/>
      <c r="J126" s="62"/>
      <c r="K126" s="62"/>
    </row>
    <row r="127" spans="1:11" ht="14.45">
      <c r="A127" s="66"/>
      <c r="B127" s="64"/>
      <c r="C127" s="18"/>
      <c r="D127" s="18"/>
      <c r="E127" s="18"/>
      <c r="F127" s="19"/>
      <c r="G127" s="18"/>
      <c r="H127" s="18"/>
      <c r="I127" s="19"/>
      <c r="J127" s="62"/>
      <c r="K127" s="62"/>
    </row>
    <row r="128" spans="1:11" ht="14.45">
      <c r="A128" s="66"/>
      <c r="B128" s="64"/>
      <c r="C128" s="18"/>
      <c r="D128" s="18"/>
      <c r="E128" s="18"/>
      <c r="F128" s="19"/>
      <c r="G128" s="18"/>
      <c r="H128" s="18"/>
      <c r="I128" s="19"/>
      <c r="J128" s="62"/>
      <c r="K128" s="62"/>
    </row>
    <row r="129" spans="1:11" ht="14.45">
      <c r="A129" s="66"/>
      <c r="B129" s="64"/>
      <c r="C129" s="18"/>
      <c r="D129" s="18"/>
      <c r="E129" s="18"/>
      <c r="F129" s="19"/>
      <c r="G129" s="18"/>
      <c r="H129" s="18"/>
      <c r="I129" s="19"/>
      <c r="J129" s="62"/>
      <c r="K129" s="62"/>
    </row>
    <row r="130" spans="1:11" ht="14.45">
      <c r="A130" s="66"/>
      <c r="B130" s="64"/>
      <c r="C130" s="18"/>
      <c r="D130" s="18"/>
      <c r="E130" s="18"/>
      <c r="F130" s="19"/>
      <c r="G130" s="18"/>
      <c r="H130" s="18"/>
      <c r="I130" s="19"/>
      <c r="J130" s="62"/>
      <c r="K130" s="62"/>
    </row>
    <row r="131" spans="1:11" ht="14.45">
      <c r="A131" s="66"/>
      <c r="B131" s="64"/>
      <c r="C131" s="18"/>
      <c r="D131" s="18"/>
      <c r="E131" s="18"/>
      <c r="F131" s="19"/>
      <c r="G131" s="18"/>
      <c r="H131" s="18"/>
      <c r="I131" s="19"/>
      <c r="J131" s="62"/>
      <c r="K131" s="62"/>
    </row>
    <row r="132" spans="1:11" ht="14.45">
      <c r="A132" s="66"/>
      <c r="B132" s="64"/>
      <c r="C132" s="18"/>
      <c r="D132" s="18"/>
      <c r="E132" s="18"/>
      <c r="F132" s="19"/>
      <c r="G132" s="18"/>
      <c r="H132" s="18"/>
      <c r="I132" s="19"/>
      <c r="J132" s="62"/>
      <c r="K132" s="62"/>
    </row>
    <row r="133" spans="1:11" ht="14.45">
      <c r="A133" s="66"/>
      <c r="B133" s="64"/>
      <c r="C133" s="18"/>
      <c r="D133" s="18"/>
      <c r="E133" s="18"/>
      <c r="F133" s="19"/>
      <c r="G133" s="18"/>
      <c r="H133" s="18"/>
      <c r="I133" s="19"/>
      <c r="J133" s="62"/>
      <c r="K133" s="62"/>
    </row>
    <row r="134" spans="1:11" ht="14.45">
      <c r="A134" s="66"/>
      <c r="B134" s="64"/>
      <c r="C134" s="18"/>
      <c r="D134" s="18"/>
      <c r="E134" s="18"/>
      <c r="F134" s="19"/>
      <c r="G134" s="18"/>
      <c r="H134" s="18"/>
      <c r="I134" s="19"/>
      <c r="J134" s="62"/>
      <c r="K134" s="62"/>
    </row>
    <row r="135" spans="1:11" ht="14.45">
      <c r="A135" s="66"/>
      <c r="B135" s="64"/>
      <c r="C135" s="18"/>
      <c r="D135" s="18"/>
      <c r="E135" s="18"/>
      <c r="F135" s="19"/>
      <c r="G135" s="18"/>
      <c r="H135" s="18"/>
      <c r="I135" s="19"/>
      <c r="J135" s="62"/>
      <c r="K135" s="62"/>
    </row>
    <row r="136" spans="1:11" ht="14.45">
      <c r="A136" s="66"/>
      <c r="B136" s="64"/>
      <c r="C136" s="18"/>
      <c r="D136" s="18"/>
      <c r="E136" s="18"/>
      <c r="F136" s="19"/>
      <c r="G136" s="18"/>
      <c r="H136" s="18"/>
      <c r="I136" s="19"/>
      <c r="J136" s="62"/>
      <c r="K136" s="62"/>
    </row>
    <row r="137" spans="1:11" ht="14.45">
      <c r="A137" s="66"/>
      <c r="B137" s="64"/>
      <c r="C137" s="18"/>
      <c r="D137" s="18"/>
      <c r="E137" s="18"/>
      <c r="F137" s="19"/>
      <c r="G137" s="18"/>
      <c r="H137" s="18"/>
      <c r="I137" s="19"/>
      <c r="J137" s="62"/>
      <c r="K137" s="62"/>
    </row>
    <row r="138" spans="1:11" ht="14.45">
      <c r="A138" s="66"/>
      <c r="B138" s="64"/>
      <c r="C138" s="18"/>
      <c r="D138" s="18"/>
      <c r="E138" s="18"/>
      <c r="F138" s="19"/>
      <c r="G138" s="18"/>
      <c r="H138" s="18"/>
      <c r="I138" s="19"/>
      <c r="J138" s="62"/>
      <c r="K138" s="62"/>
    </row>
    <row r="139" spans="1:11" ht="14.45">
      <c r="A139" s="66"/>
      <c r="B139" s="64"/>
      <c r="C139" s="18"/>
      <c r="D139" s="18"/>
      <c r="E139" s="18"/>
      <c r="F139" s="19"/>
      <c r="G139" s="18"/>
      <c r="H139" s="18"/>
      <c r="I139" s="19"/>
      <c r="J139" s="62"/>
      <c r="K139" s="62"/>
    </row>
    <row r="140" spans="1:11" ht="14.45">
      <c r="A140" s="66"/>
      <c r="B140" s="64"/>
      <c r="C140" s="18"/>
      <c r="D140" s="18"/>
      <c r="E140" s="18"/>
      <c r="F140" s="19"/>
      <c r="G140" s="18"/>
      <c r="H140" s="18"/>
      <c r="I140" s="19"/>
      <c r="J140" s="62"/>
      <c r="K140" s="62"/>
    </row>
    <row r="141" spans="1:11" ht="14.45">
      <c r="A141" s="66"/>
      <c r="B141" s="64"/>
      <c r="C141" s="18"/>
      <c r="D141" s="18"/>
      <c r="E141" s="18"/>
      <c r="F141" s="19"/>
      <c r="G141" s="18"/>
      <c r="H141" s="18"/>
      <c r="I141" s="19"/>
      <c r="J141" s="62"/>
      <c r="K141" s="62"/>
    </row>
    <row r="142" spans="1:11" ht="14.45">
      <c r="A142" s="66"/>
      <c r="B142" s="64"/>
      <c r="C142" s="18"/>
      <c r="D142" s="18"/>
      <c r="E142" s="18"/>
      <c r="F142" s="19"/>
      <c r="G142" s="18"/>
      <c r="H142" s="18"/>
      <c r="I142" s="19"/>
      <c r="J142" s="62"/>
      <c r="K142" s="62"/>
    </row>
    <row r="143" spans="1:11" ht="14.45">
      <c r="A143" s="66"/>
      <c r="B143" s="64"/>
      <c r="C143" s="18"/>
      <c r="D143" s="18"/>
      <c r="E143" s="18"/>
      <c r="F143" s="19"/>
      <c r="G143" s="18"/>
      <c r="H143" s="18"/>
      <c r="I143" s="19"/>
      <c r="J143" s="62"/>
      <c r="K143" s="62"/>
    </row>
    <row r="144" spans="1:11" ht="14.45">
      <c r="A144" s="66"/>
      <c r="B144" s="64"/>
      <c r="C144" s="18"/>
      <c r="D144" s="18"/>
      <c r="E144" s="18"/>
      <c r="F144" s="19"/>
      <c r="G144" s="18"/>
      <c r="H144" s="18"/>
      <c r="I144" s="19"/>
      <c r="J144" s="62"/>
      <c r="K144" s="62"/>
    </row>
    <row r="145" spans="1:11" ht="14.45">
      <c r="A145" s="66"/>
      <c r="B145" s="64"/>
      <c r="C145" s="18"/>
      <c r="D145" s="18"/>
      <c r="E145" s="18"/>
      <c r="F145" s="19"/>
      <c r="G145" s="18"/>
      <c r="H145" s="18"/>
      <c r="I145" s="19"/>
      <c r="J145" s="62"/>
      <c r="K145" s="62"/>
    </row>
    <row r="146" spans="1:11" ht="14.45">
      <c r="A146" s="66"/>
      <c r="B146" s="64"/>
      <c r="C146" s="18"/>
      <c r="D146" s="18"/>
      <c r="E146" s="18"/>
      <c r="F146" s="19"/>
      <c r="G146" s="18"/>
      <c r="H146" s="18"/>
      <c r="I146" s="19"/>
      <c r="J146" s="62"/>
      <c r="K146" s="62"/>
    </row>
    <row r="147" spans="1:11" ht="14.45">
      <c r="A147" s="66"/>
      <c r="B147" s="64"/>
      <c r="C147" s="18"/>
      <c r="D147" s="18"/>
      <c r="E147" s="18"/>
      <c r="F147" s="19"/>
      <c r="G147" s="18"/>
      <c r="H147" s="18"/>
      <c r="I147" s="19"/>
      <c r="J147" s="62"/>
      <c r="K147" s="62"/>
    </row>
    <row r="148" spans="1:11" ht="14.45">
      <c r="A148" s="66"/>
      <c r="B148" s="64"/>
      <c r="C148" s="18"/>
      <c r="D148" s="18"/>
      <c r="E148" s="18"/>
      <c r="F148" s="19"/>
      <c r="G148" s="18"/>
      <c r="H148" s="18"/>
      <c r="I148" s="19"/>
      <c r="J148" s="62"/>
      <c r="K148" s="62"/>
    </row>
    <row r="149" spans="1:11" ht="14.45">
      <c r="A149" s="66"/>
      <c r="B149" s="64"/>
      <c r="C149" s="18"/>
      <c r="D149" s="18"/>
      <c r="E149" s="18"/>
      <c r="F149" s="19"/>
      <c r="G149" s="18"/>
      <c r="H149" s="18"/>
      <c r="I149" s="19"/>
      <c r="J149" s="62"/>
      <c r="K149" s="62"/>
    </row>
    <row r="150" spans="1:11" ht="14.45">
      <c r="A150" s="66"/>
      <c r="B150" s="64"/>
      <c r="C150" s="18"/>
      <c r="D150" s="18"/>
      <c r="E150" s="18"/>
      <c r="F150" s="19"/>
      <c r="G150" s="18"/>
      <c r="H150" s="18"/>
      <c r="I150" s="19"/>
      <c r="J150" s="62"/>
      <c r="K150" s="62"/>
    </row>
    <row r="151" spans="1:11" ht="14.45">
      <c r="A151" s="66"/>
      <c r="B151" s="64"/>
      <c r="C151" s="18"/>
      <c r="D151" s="18"/>
      <c r="E151" s="18"/>
      <c r="F151" s="19"/>
      <c r="G151" s="18"/>
      <c r="H151" s="18"/>
      <c r="I151" s="19"/>
      <c r="J151" s="62"/>
      <c r="K151" s="62"/>
    </row>
    <row r="152" spans="1:11" ht="14.45">
      <c r="A152" s="66"/>
      <c r="B152" s="64"/>
      <c r="C152" s="18"/>
      <c r="D152" s="18"/>
      <c r="E152" s="18"/>
      <c r="F152" s="19"/>
      <c r="G152" s="18"/>
      <c r="H152" s="18"/>
      <c r="I152" s="19"/>
      <c r="J152" s="62"/>
      <c r="K152" s="62"/>
    </row>
    <row r="153" spans="1:11" ht="14.45">
      <c r="A153" s="66"/>
      <c r="B153" s="64"/>
      <c r="C153" s="18"/>
      <c r="D153" s="18"/>
      <c r="E153" s="18"/>
      <c r="F153" s="19"/>
      <c r="G153" s="18"/>
      <c r="H153" s="18"/>
      <c r="I153" s="19"/>
      <c r="J153" s="62"/>
      <c r="K153" s="62"/>
    </row>
    <row r="154" spans="1:11" ht="14.45">
      <c r="A154" s="66"/>
      <c r="B154" s="64"/>
      <c r="C154" s="18"/>
      <c r="D154" s="18"/>
      <c r="E154" s="18"/>
      <c r="F154" s="19"/>
      <c r="G154" s="18"/>
      <c r="H154" s="18"/>
      <c r="I154" s="19"/>
      <c r="J154" s="62"/>
      <c r="K154" s="62"/>
    </row>
    <row r="155" spans="1:11" ht="14.45">
      <c r="A155" s="66"/>
      <c r="B155" s="64"/>
      <c r="C155" s="18"/>
      <c r="D155" s="18"/>
      <c r="E155" s="18"/>
      <c r="F155" s="19"/>
      <c r="G155" s="18"/>
      <c r="H155" s="18"/>
      <c r="I155" s="19"/>
      <c r="J155" s="62"/>
      <c r="K155" s="62"/>
    </row>
    <row r="156" spans="1:11" ht="14.45">
      <c r="A156" s="66"/>
      <c r="B156" s="64"/>
      <c r="C156" s="18"/>
      <c r="D156" s="18"/>
      <c r="E156" s="18"/>
      <c r="F156" s="19"/>
      <c r="G156" s="18"/>
      <c r="H156" s="18"/>
      <c r="I156" s="19"/>
      <c r="J156" s="62"/>
      <c r="K156" s="62"/>
    </row>
    <row r="157" spans="1:11" ht="14.45">
      <c r="A157" s="66"/>
      <c r="B157" s="64"/>
      <c r="C157" s="18"/>
      <c r="D157" s="18"/>
      <c r="E157" s="18"/>
      <c r="F157" s="19"/>
      <c r="G157" s="18"/>
      <c r="H157" s="18"/>
      <c r="I157" s="19"/>
      <c r="J157" s="62"/>
      <c r="K157" s="62"/>
    </row>
    <row r="158" spans="1:11" ht="14.45">
      <c r="A158" s="66"/>
      <c r="B158" s="64"/>
      <c r="C158" s="18"/>
      <c r="D158" s="18"/>
      <c r="E158" s="18"/>
      <c r="F158" s="19"/>
      <c r="G158" s="18"/>
      <c r="H158" s="18"/>
      <c r="I158" s="19"/>
      <c r="J158" s="62"/>
      <c r="K158" s="62"/>
    </row>
    <row r="159" spans="1:11" ht="14.45">
      <c r="A159" s="66"/>
      <c r="B159" s="64"/>
      <c r="C159" s="18"/>
      <c r="D159" s="18"/>
      <c r="E159" s="18"/>
      <c r="F159" s="19"/>
      <c r="G159" s="18"/>
      <c r="H159" s="18"/>
      <c r="I159" s="19"/>
      <c r="J159" s="62"/>
      <c r="K159" s="62"/>
    </row>
    <row r="160" spans="1:11" ht="14.45">
      <c r="A160" s="66"/>
      <c r="B160" s="64"/>
      <c r="C160" s="18"/>
      <c r="D160" s="18"/>
      <c r="E160" s="18"/>
      <c r="F160" s="19"/>
      <c r="G160" s="18"/>
      <c r="H160" s="18"/>
      <c r="I160" s="19"/>
      <c r="J160" s="62"/>
      <c r="K160" s="62"/>
    </row>
    <row r="161" spans="1:11" ht="14.45">
      <c r="A161" s="66"/>
      <c r="B161" s="64"/>
      <c r="C161" s="18"/>
      <c r="D161" s="18"/>
      <c r="E161" s="18"/>
      <c r="F161" s="19"/>
      <c r="G161" s="18"/>
      <c r="H161" s="18"/>
      <c r="I161" s="19"/>
      <c r="J161" s="62"/>
      <c r="K161" s="62"/>
    </row>
    <row r="162" spans="1:11" ht="14.45">
      <c r="A162" s="66"/>
      <c r="B162" s="64"/>
      <c r="C162" s="18"/>
      <c r="D162" s="18"/>
      <c r="E162" s="18"/>
      <c r="F162" s="19"/>
      <c r="G162" s="18"/>
      <c r="H162" s="18"/>
      <c r="I162" s="19"/>
      <c r="J162" s="62"/>
      <c r="K162" s="62"/>
    </row>
    <row r="163" spans="1:11" ht="14.45">
      <c r="A163" s="66"/>
      <c r="B163" s="64"/>
      <c r="C163" s="18"/>
      <c r="D163" s="18"/>
      <c r="E163" s="18"/>
      <c r="F163" s="19"/>
      <c r="G163" s="18"/>
      <c r="H163" s="18"/>
      <c r="I163" s="19"/>
      <c r="J163" s="62"/>
      <c r="K163" s="62"/>
    </row>
    <row r="164" spans="1:11" ht="14.45">
      <c r="A164" s="66"/>
      <c r="B164" s="64"/>
      <c r="C164" s="18"/>
      <c r="D164" s="18"/>
      <c r="E164" s="18"/>
      <c r="F164" s="19"/>
      <c r="G164" s="18"/>
      <c r="H164" s="18"/>
      <c r="I164" s="19"/>
      <c r="J164" s="62"/>
      <c r="K164" s="62"/>
    </row>
    <row r="165" spans="1:11" ht="14.45">
      <c r="A165" s="66"/>
      <c r="B165" s="64"/>
      <c r="C165" s="18"/>
      <c r="D165" s="18"/>
      <c r="E165" s="18"/>
      <c r="F165" s="19"/>
      <c r="G165" s="18"/>
      <c r="H165" s="18"/>
      <c r="I165" s="19"/>
      <c r="J165" s="62"/>
      <c r="K165" s="62"/>
    </row>
    <row r="166" spans="1:11" ht="14.45">
      <c r="A166" s="66"/>
      <c r="B166" s="64"/>
      <c r="C166" s="18"/>
      <c r="D166" s="18"/>
      <c r="E166" s="18"/>
      <c r="F166" s="19"/>
      <c r="G166" s="18"/>
      <c r="H166" s="18"/>
      <c r="I166" s="19"/>
      <c r="J166" s="62"/>
      <c r="K166" s="62"/>
    </row>
    <row r="167" spans="1:11" ht="14.45">
      <c r="A167" s="66"/>
      <c r="B167" s="64"/>
      <c r="C167" s="18"/>
      <c r="D167" s="18"/>
      <c r="E167" s="18"/>
      <c r="F167" s="19"/>
      <c r="G167" s="18"/>
      <c r="H167" s="18"/>
      <c r="I167" s="19"/>
      <c r="J167" s="62"/>
      <c r="K167" s="62"/>
    </row>
    <row r="168" spans="1:11" ht="14.45">
      <c r="A168" s="66"/>
      <c r="B168" s="64"/>
      <c r="C168" s="18"/>
      <c r="D168" s="18"/>
      <c r="E168" s="18"/>
      <c r="F168" s="19"/>
      <c r="G168" s="18"/>
      <c r="H168" s="18"/>
      <c r="I168" s="19"/>
      <c r="J168" s="62"/>
      <c r="K168" s="62"/>
    </row>
    <row r="169" spans="1:11" ht="14.45">
      <c r="A169" s="66"/>
      <c r="B169" s="64"/>
      <c r="C169" s="18"/>
      <c r="D169" s="18"/>
      <c r="E169" s="18"/>
      <c r="F169" s="19"/>
      <c r="G169" s="18"/>
      <c r="H169" s="18"/>
      <c r="I169" s="19"/>
      <c r="J169" s="62"/>
      <c r="K169" s="62"/>
    </row>
    <row r="170" spans="1:11" ht="14.45">
      <c r="A170" s="66"/>
      <c r="B170" s="64"/>
      <c r="C170" s="18"/>
      <c r="D170" s="18"/>
      <c r="E170" s="18"/>
      <c r="F170" s="19"/>
      <c r="G170" s="18"/>
      <c r="H170" s="18"/>
      <c r="I170" s="19"/>
      <c r="J170" s="62"/>
      <c r="K170" s="62"/>
    </row>
    <row r="171" spans="1:11" ht="14.45">
      <c r="A171" s="66"/>
      <c r="B171" s="64"/>
      <c r="C171" s="18"/>
      <c r="D171" s="18"/>
      <c r="E171" s="18"/>
      <c r="F171" s="19"/>
      <c r="G171" s="18"/>
      <c r="H171" s="18"/>
      <c r="I171" s="19"/>
      <c r="J171" s="62"/>
      <c r="K171" s="62"/>
    </row>
    <row r="172" spans="1:11" ht="14.45">
      <c r="A172" s="66"/>
      <c r="B172" s="64"/>
      <c r="C172" s="18"/>
      <c r="D172" s="18"/>
      <c r="E172" s="18"/>
      <c r="F172" s="19"/>
      <c r="G172" s="18"/>
      <c r="H172" s="18"/>
      <c r="I172" s="19"/>
      <c r="J172" s="62"/>
      <c r="K172" s="62"/>
    </row>
    <row r="173" spans="1:11" ht="14.45">
      <c r="A173" s="66"/>
      <c r="B173" s="64"/>
      <c r="C173" s="18"/>
      <c r="D173" s="18"/>
      <c r="E173" s="18"/>
      <c r="F173" s="19"/>
      <c r="G173" s="18"/>
      <c r="H173" s="18"/>
      <c r="I173" s="19"/>
      <c r="J173" s="62"/>
      <c r="K173" s="62"/>
    </row>
    <row r="174" spans="1:11" ht="14.45">
      <c r="A174" s="66"/>
      <c r="B174" s="64"/>
      <c r="C174" s="18"/>
      <c r="D174" s="18"/>
      <c r="E174" s="18"/>
      <c r="F174" s="19"/>
      <c r="G174" s="18"/>
      <c r="H174" s="18"/>
      <c r="I174" s="19"/>
      <c r="J174" s="62"/>
      <c r="K174" s="62"/>
    </row>
    <row r="175" spans="1:11" ht="14.45">
      <c r="A175" s="66"/>
      <c r="B175" s="64"/>
      <c r="C175" s="18"/>
      <c r="D175" s="18"/>
      <c r="E175" s="18"/>
      <c r="F175" s="19"/>
      <c r="G175" s="18"/>
      <c r="H175" s="18"/>
      <c r="I175" s="19"/>
      <c r="J175" s="62"/>
      <c r="K175" s="62"/>
    </row>
    <row r="176" spans="1:11" ht="14.45">
      <c r="A176" s="66"/>
      <c r="B176" s="64"/>
      <c r="C176" s="18"/>
      <c r="D176" s="18"/>
      <c r="E176" s="18"/>
      <c r="F176" s="19"/>
      <c r="G176" s="18"/>
      <c r="H176" s="18"/>
      <c r="I176" s="19"/>
      <c r="J176" s="62"/>
      <c r="K176" s="62"/>
    </row>
    <row r="177" spans="1:11" ht="14.45">
      <c r="A177" s="66"/>
      <c r="B177" s="64"/>
      <c r="C177" s="18"/>
      <c r="D177" s="18"/>
      <c r="E177" s="18"/>
      <c r="F177" s="19"/>
      <c r="G177" s="18"/>
      <c r="H177" s="18"/>
      <c r="I177" s="19"/>
      <c r="J177" s="62"/>
      <c r="K177" s="62"/>
    </row>
    <row r="178" spans="1:11" ht="14.45">
      <c r="A178" s="66"/>
      <c r="B178" s="64"/>
      <c r="C178" s="18"/>
      <c r="D178" s="18"/>
      <c r="E178" s="18"/>
      <c r="F178" s="19"/>
      <c r="G178" s="18"/>
      <c r="H178" s="18"/>
      <c r="I178" s="19"/>
      <c r="J178" s="62"/>
      <c r="K178" s="62"/>
    </row>
    <row r="179" spans="1:11" ht="14.45">
      <c r="A179" s="66"/>
      <c r="B179" s="64"/>
      <c r="C179" s="18"/>
      <c r="D179" s="18"/>
      <c r="E179" s="18"/>
      <c r="F179" s="19"/>
      <c r="G179" s="18"/>
      <c r="H179" s="18"/>
      <c r="I179" s="19"/>
      <c r="J179" s="62"/>
      <c r="K179" s="62"/>
    </row>
    <row r="180" spans="1:11" ht="14.45">
      <c r="A180" s="66"/>
      <c r="B180" s="64"/>
      <c r="C180" s="18"/>
      <c r="D180" s="18"/>
      <c r="E180" s="18"/>
      <c r="F180" s="19"/>
      <c r="G180" s="18"/>
      <c r="H180" s="18"/>
      <c r="I180" s="19"/>
      <c r="J180" s="62"/>
      <c r="K180" s="62"/>
    </row>
    <row r="181" spans="1:11" ht="14.45">
      <c r="A181" s="66"/>
      <c r="B181" s="64"/>
      <c r="C181" s="18"/>
      <c r="D181" s="18"/>
      <c r="E181" s="18"/>
      <c r="F181" s="19"/>
      <c r="G181" s="18"/>
      <c r="H181" s="18"/>
      <c r="I181" s="19"/>
      <c r="J181" s="62"/>
      <c r="K181" s="62"/>
    </row>
    <row r="182" spans="1:11" ht="14.45">
      <c r="A182" s="66"/>
      <c r="B182" s="64"/>
      <c r="C182" s="18"/>
      <c r="D182" s="18"/>
      <c r="E182" s="18"/>
      <c r="F182" s="19"/>
      <c r="G182" s="18"/>
      <c r="H182" s="18"/>
      <c r="I182" s="19"/>
      <c r="J182" s="62"/>
      <c r="K182" s="62"/>
    </row>
    <row r="183" spans="1:11" ht="14.45">
      <c r="A183" s="66"/>
      <c r="B183" s="64"/>
      <c r="C183" s="18"/>
      <c r="D183" s="18"/>
      <c r="E183" s="18"/>
      <c r="F183" s="19"/>
      <c r="G183" s="18"/>
      <c r="H183" s="18"/>
      <c r="I183" s="19"/>
      <c r="J183" s="62"/>
      <c r="K183" s="62"/>
    </row>
    <row r="184" spans="1:11" ht="14.45">
      <c r="A184" s="66"/>
      <c r="B184" s="64"/>
      <c r="C184" s="18"/>
      <c r="D184" s="18"/>
      <c r="E184" s="18"/>
      <c r="F184" s="19"/>
      <c r="G184" s="18"/>
      <c r="H184" s="18"/>
      <c r="I184" s="19"/>
      <c r="J184" s="62"/>
      <c r="K184" s="62"/>
    </row>
    <row r="185" spans="1:11" ht="14.45">
      <c r="A185" s="66"/>
      <c r="B185" s="64"/>
      <c r="C185" s="18"/>
      <c r="D185" s="18"/>
      <c r="E185" s="18"/>
      <c r="F185" s="19"/>
      <c r="G185" s="18"/>
      <c r="H185" s="18"/>
      <c r="I185" s="19"/>
      <c r="J185" s="62"/>
      <c r="K185" s="62"/>
    </row>
    <row r="186" spans="1:11" ht="14.45">
      <c r="A186" s="66"/>
      <c r="B186" s="64"/>
      <c r="C186" s="18"/>
      <c r="D186" s="18"/>
      <c r="E186" s="18"/>
      <c r="F186" s="19"/>
      <c r="G186" s="18"/>
      <c r="H186" s="18"/>
      <c r="I186" s="19"/>
      <c r="J186" s="62"/>
      <c r="K186" s="62"/>
    </row>
    <row r="187" spans="1:11" ht="14.45">
      <c r="A187" s="66"/>
      <c r="B187" s="64"/>
      <c r="C187" s="18"/>
      <c r="D187" s="18"/>
      <c r="E187" s="18"/>
      <c r="F187" s="19"/>
      <c r="G187" s="18"/>
      <c r="H187" s="18"/>
      <c r="I187" s="19"/>
      <c r="J187" s="62"/>
      <c r="K187" s="62"/>
    </row>
    <row r="188" spans="1:11" ht="14.45">
      <c r="A188" s="66"/>
      <c r="B188" s="64"/>
      <c r="C188" s="18"/>
      <c r="D188" s="18"/>
      <c r="E188" s="18"/>
      <c r="F188" s="19"/>
      <c r="G188" s="18"/>
      <c r="H188" s="18"/>
      <c r="I188" s="19"/>
      <c r="J188" s="62"/>
      <c r="K188" s="62"/>
    </row>
    <row r="189" spans="1:11" ht="14.45">
      <c r="A189" s="66"/>
      <c r="B189" s="64"/>
      <c r="C189" s="18"/>
      <c r="D189" s="18"/>
      <c r="E189" s="18"/>
      <c r="F189" s="19"/>
      <c r="G189" s="18"/>
      <c r="H189" s="18"/>
      <c r="I189" s="19"/>
      <c r="J189" s="62"/>
      <c r="K189" s="62"/>
    </row>
    <row r="190" spans="1:11" ht="14.45">
      <c r="A190" s="66"/>
      <c r="B190" s="64"/>
      <c r="C190" s="18"/>
      <c r="D190" s="18"/>
      <c r="E190" s="18"/>
      <c r="F190" s="19"/>
      <c r="G190" s="18"/>
      <c r="H190" s="18"/>
      <c r="I190" s="19"/>
      <c r="J190" s="62"/>
      <c r="K190" s="62"/>
    </row>
    <row r="191" spans="1:11" ht="14.45">
      <c r="A191" s="66"/>
      <c r="B191" s="64"/>
      <c r="C191" s="18"/>
      <c r="D191" s="18"/>
      <c r="E191" s="18"/>
      <c r="F191" s="19"/>
      <c r="G191" s="18"/>
      <c r="H191" s="18"/>
      <c r="I191" s="19"/>
      <c r="J191" s="62"/>
      <c r="K191" s="62"/>
    </row>
    <row r="192" spans="1:11" ht="14.45">
      <c r="A192" s="66"/>
      <c r="B192" s="64"/>
      <c r="C192" s="18"/>
      <c r="D192" s="18"/>
      <c r="E192" s="18"/>
      <c r="F192" s="19"/>
      <c r="G192" s="18"/>
      <c r="H192" s="18"/>
      <c r="I192" s="19"/>
      <c r="J192" s="62"/>
      <c r="K192" s="62"/>
    </row>
    <row r="193" spans="1:11" ht="14.45">
      <c r="A193" s="66"/>
      <c r="B193" s="64"/>
      <c r="C193" s="18"/>
      <c r="D193" s="18"/>
      <c r="E193" s="18"/>
      <c r="F193" s="19"/>
      <c r="G193" s="18"/>
      <c r="H193" s="18"/>
      <c r="I193" s="19"/>
      <c r="J193" s="62"/>
      <c r="K193" s="62"/>
    </row>
    <row r="194" spans="1:11" ht="14.45">
      <c r="A194" s="66"/>
      <c r="B194" s="64"/>
      <c r="C194" s="18"/>
      <c r="D194" s="18"/>
      <c r="E194" s="18"/>
      <c r="F194" s="19"/>
      <c r="G194" s="18"/>
      <c r="H194" s="18"/>
      <c r="I194" s="19"/>
      <c r="J194" s="62"/>
      <c r="K194" s="62"/>
    </row>
    <row r="195" spans="1:11" ht="14.45">
      <c r="A195" s="66"/>
      <c r="B195" s="64"/>
      <c r="C195" s="18"/>
      <c r="D195" s="18"/>
      <c r="E195" s="18"/>
      <c r="F195" s="19"/>
      <c r="G195" s="18"/>
      <c r="H195" s="18"/>
      <c r="I195" s="19"/>
      <c r="J195" s="62"/>
      <c r="K195" s="62"/>
    </row>
    <row r="196" spans="1:11" ht="14.45">
      <c r="A196" s="66"/>
      <c r="B196" s="64"/>
      <c r="C196" s="18"/>
      <c r="D196" s="18"/>
      <c r="E196" s="18"/>
      <c r="F196" s="19"/>
      <c r="G196" s="18"/>
      <c r="H196" s="18"/>
      <c r="I196" s="19"/>
      <c r="J196" s="62"/>
      <c r="K196" s="62"/>
    </row>
    <row r="197" spans="1:11" ht="14.45">
      <c r="A197" s="66"/>
      <c r="B197" s="64"/>
      <c r="C197" s="18"/>
      <c r="D197" s="18"/>
      <c r="E197" s="18"/>
      <c r="F197" s="19"/>
      <c r="G197" s="18"/>
      <c r="H197" s="18"/>
      <c r="I197" s="19"/>
      <c r="J197" s="62"/>
      <c r="K197" s="62"/>
    </row>
    <row r="198" spans="1:11" ht="14.45">
      <c r="A198" s="66"/>
      <c r="B198" s="64"/>
      <c r="C198" s="18"/>
      <c r="D198" s="18"/>
      <c r="E198" s="18"/>
      <c r="F198" s="19"/>
      <c r="G198" s="18"/>
      <c r="H198" s="18"/>
      <c r="I198" s="19"/>
      <c r="J198" s="62"/>
      <c r="K198" s="62"/>
    </row>
    <row r="199" spans="1:11" ht="14.45">
      <c r="A199" s="66"/>
      <c r="B199" s="64"/>
      <c r="C199" s="18"/>
      <c r="D199" s="18"/>
      <c r="E199" s="18"/>
      <c r="F199" s="19"/>
      <c r="G199" s="18"/>
      <c r="H199" s="18"/>
      <c r="I199" s="19"/>
      <c r="J199" s="62"/>
      <c r="K199" s="62"/>
    </row>
    <row r="200" spans="1:11" ht="14.45">
      <c r="A200" s="66"/>
      <c r="B200" s="64"/>
      <c r="C200" s="18"/>
      <c r="D200" s="18"/>
      <c r="E200" s="18"/>
      <c r="F200" s="19"/>
      <c r="G200" s="18"/>
      <c r="H200" s="18"/>
      <c r="I200" s="19"/>
      <c r="J200" s="62"/>
      <c r="K200" s="62"/>
    </row>
    <row r="201" spans="1:11" ht="14.45">
      <c r="A201" s="66"/>
      <c r="B201" s="64"/>
      <c r="C201" s="18"/>
      <c r="D201" s="18"/>
      <c r="E201" s="18"/>
      <c r="F201" s="19"/>
      <c r="G201" s="18"/>
      <c r="H201" s="18"/>
      <c r="I201" s="19"/>
      <c r="J201" s="62"/>
      <c r="K201" s="62"/>
    </row>
    <row r="202" spans="1:11" ht="14.45">
      <c r="A202" s="66"/>
      <c r="B202" s="64"/>
      <c r="C202" s="18"/>
      <c r="D202" s="18"/>
      <c r="E202" s="18"/>
      <c r="F202" s="19"/>
      <c r="G202" s="18"/>
      <c r="H202" s="18"/>
      <c r="I202" s="19"/>
      <c r="J202" s="62"/>
      <c r="K202" s="62"/>
    </row>
    <row r="203" spans="1:11" ht="14.45">
      <c r="A203" s="66"/>
      <c r="B203" s="64"/>
      <c r="C203" s="18"/>
      <c r="D203" s="18"/>
      <c r="E203" s="18"/>
      <c r="F203" s="19"/>
      <c r="G203" s="18"/>
      <c r="H203" s="18"/>
      <c r="I203" s="19"/>
      <c r="J203" s="62"/>
      <c r="K203" s="62"/>
    </row>
    <row r="204" spans="1:11" ht="14.45">
      <c r="A204" s="66"/>
      <c r="B204" s="64"/>
      <c r="C204" s="18"/>
      <c r="D204" s="18"/>
      <c r="E204" s="18"/>
      <c r="F204" s="19"/>
      <c r="G204" s="18"/>
      <c r="H204" s="18"/>
      <c r="I204" s="19"/>
      <c r="J204" s="62"/>
      <c r="K204" s="62"/>
    </row>
    <row r="205" spans="1:11" ht="14.45">
      <c r="A205" s="66"/>
      <c r="B205" s="64"/>
      <c r="C205" s="18"/>
      <c r="D205" s="18"/>
      <c r="E205" s="18"/>
      <c r="F205" s="19"/>
      <c r="G205" s="18"/>
      <c r="H205" s="18"/>
      <c r="I205" s="19"/>
      <c r="J205" s="62"/>
      <c r="K205" s="62"/>
    </row>
    <row r="206" spans="1:11" ht="14.45">
      <c r="A206" s="66"/>
      <c r="B206" s="64"/>
      <c r="C206" s="18"/>
      <c r="D206" s="18"/>
      <c r="E206" s="18"/>
      <c r="F206" s="19"/>
      <c r="G206" s="18"/>
      <c r="H206" s="18"/>
      <c r="I206" s="19"/>
      <c r="J206" s="62"/>
      <c r="K206" s="62"/>
    </row>
    <row r="207" spans="1:11" ht="14.45">
      <c r="A207" s="66"/>
      <c r="B207" s="64"/>
      <c r="C207" s="18"/>
      <c r="D207" s="18"/>
      <c r="E207" s="18"/>
      <c r="F207" s="19"/>
      <c r="G207" s="18"/>
      <c r="H207" s="18"/>
      <c r="I207" s="19"/>
      <c r="J207" s="62"/>
      <c r="K207" s="62"/>
    </row>
    <row r="208" spans="1:11" ht="14.45">
      <c r="A208" s="66"/>
      <c r="B208" s="64"/>
      <c r="C208" s="18"/>
      <c r="D208" s="18"/>
      <c r="E208" s="18"/>
      <c r="F208" s="19"/>
      <c r="G208" s="18"/>
      <c r="H208" s="18"/>
      <c r="I208" s="19"/>
      <c r="J208" s="62"/>
      <c r="K208" s="62"/>
    </row>
    <row r="209" spans="1:11" ht="14.45">
      <c r="A209" s="66"/>
      <c r="B209" s="64"/>
      <c r="C209" s="18"/>
      <c r="D209" s="18"/>
      <c r="E209" s="18"/>
      <c r="F209" s="19"/>
      <c r="G209" s="18"/>
      <c r="H209" s="18"/>
      <c r="I209" s="19"/>
      <c r="J209" s="62"/>
      <c r="K209" s="62"/>
    </row>
    <row r="210" spans="1:11" ht="14.45">
      <c r="A210" s="66"/>
      <c r="B210" s="64"/>
      <c r="C210" s="18"/>
      <c r="D210" s="18"/>
      <c r="E210" s="18"/>
      <c r="F210" s="19"/>
      <c r="G210" s="18"/>
      <c r="H210" s="18"/>
      <c r="I210" s="19"/>
      <c r="J210" s="62"/>
      <c r="K210" s="62"/>
    </row>
    <row r="211" spans="1:11" ht="14.45">
      <c r="A211" s="66"/>
      <c r="B211" s="64"/>
      <c r="C211" s="18"/>
      <c r="D211" s="18"/>
      <c r="E211" s="18"/>
      <c r="F211" s="19"/>
      <c r="G211" s="18"/>
      <c r="H211" s="18"/>
      <c r="I211" s="19"/>
      <c r="J211" s="62"/>
      <c r="K211" s="62"/>
    </row>
    <row r="212" spans="1:11" ht="14.45">
      <c r="A212" s="66"/>
      <c r="B212" s="64"/>
      <c r="C212" s="18"/>
      <c r="D212" s="18"/>
      <c r="E212" s="18"/>
      <c r="F212" s="19"/>
      <c r="G212" s="18"/>
      <c r="H212" s="18"/>
      <c r="I212" s="19"/>
      <c r="J212" s="62"/>
      <c r="K212" s="62"/>
    </row>
    <row r="213" spans="1:11" ht="14.45">
      <c r="A213" s="66"/>
      <c r="B213" s="64"/>
      <c r="C213" s="18"/>
      <c r="D213" s="18"/>
      <c r="E213" s="18"/>
      <c r="F213" s="19"/>
      <c r="G213" s="18"/>
      <c r="H213" s="18"/>
      <c r="I213" s="19"/>
      <c r="J213" s="62"/>
      <c r="K213" s="62"/>
    </row>
    <row r="214" spans="1:11" ht="14.45">
      <c r="A214" s="66"/>
      <c r="B214" s="64"/>
      <c r="C214" s="18"/>
      <c r="D214" s="18"/>
      <c r="E214" s="18"/>
      <c r="F214" s="19"/>
      <c r="G214" s="18"/>
      <c r="H214" s="18"/>
      <c r="I214" s="19"/>
      <c r="J214" s="62"/>
      <c r="K214" s="62"/>
    </row>
    <row r="215" spans="1:11" ht="14.45">
      <c r="A215" s="66"/>
      <c r="B215" s="64"/>
      <c r="C215" s="18"/>
      <c r="D215" s="18"/>
      <c r="E215" s="18"/>
      <c r="F215" s="19"/>
      <c r="G215" s="18"/>
      <c r="H215" s="18"/>
      <c r="I215" s="19"/>
      <c r="J215" s="62"/>
      <c r="K215" s="62"/>
    </row>
    <row r="216" spans="1:11" ht="14.45">
      <c r="A216" s="66"/>
      <c r="B216" s="64"/>
      <c r="C216" s="18"/>
      <c r="D216" s="18"/>
      <c r="E216" s="18"/>
      <c r="F216" s="19"/>
      <c r="G216" s="18"/>
      <c r="H216" s="18"/>
      <c r="I216" s="19"/>
      <c r="J216" s="62"/>
      <c r="K216" s="62"/>
    </row>
    <row r="217" spans="1:11" ht="14.45">
      <c r="A217" s="66"/>
      <c r="B217" s="64"/>
      <c r="C217" s="18"/>
      <c r="D217" s="18"/>
      <c r="E217" s="18"/>
      <c r="F217" s="19"/>
      <c r="G217" s="18"/>
      <c r="H217" s="18"/>
      <c r="I217" s="19"/>
      <c r="J217" s="62"/>
      <c r="K217" s="62"/>
    </row>
    <row r="218" spans="1:11" ht="14.45">
      <c r="A218" s="66"/>
      <c r="B218" s="64"/>
      <c r="C218" s="18"/>
      <c r="D218" s="18"/>
      <c r="E218" s="18"/>
      <c r="F218" s="19"/>
      <c r="G218" s="18"/>
      <c r="H218" s="18"/>
      <c r="I218" s="19"/>
      <c r="J218" s="62"/>
      <c r="K218" s="62"/>
    </row>
    <row r="219" spans="1:11" ht="14.45">
      <c r="A219" s="66"/>
      <c r="B219" s="64"/>
      <c r="C219" s="18"/>
      <c r="D219" s="18"/>
      <c r="E219" s="18"/>
      <c r="F219" s="19"/>
      <c r="G219" s="18"/>
      <c r="H219" s="18"/>
      <c r="I219" s="19"/>
      <c r="J219" s="62"/>
      <c r="K219" s="62"/>
    </row>
    <row r="220" spans="1:11" ht="14.45">
      <c r="A220" s="66"/>
      <c r="B220" s="64"/>
      <c r="C220" s="18"/>
      <c r="D220" s="18"/>
      <c r="E220" s="18"/>
      <c r="F220" s="19"/>
      <c r="G220" s="18"/>
      <c r="H220" s="18"/>
      <c r="I220" s="19"/>
      <c r="J220" s="62"/>
      <c r="K220" s="62"/>
    </row>
    <row r="221" spans="1:11" ht="14.45">
      <c r="A221" s="66"/>
      <c r="B221" s="64"/>
      <c r="C221" s="18"/>
      <c r="D221" s="18"/>
      <c r="E221" s="18"/>
      <c r="F221" s="19"/>
      <c r="G221" s="18"/>
      <c r="H221" s="18"/>
      <c r="I221" s="19"/>
      <c r="J221" s="62"/>
      <c r="K221" s="62"/>
    </row>
    <row r="222" spans="1:11" ht="14.45">
      <c r="A222" s="66"/>
      <c r="B222" s="64"/>
      <c r="C222" s="18"/>
      <c r="D222" s="18"/>
      <c r="E222" s="18"/>
      <c r="F222" s="19"/>
      <c r="G222" s="18"/>
      <c r="H222" s="18"/>
      <c r="I222" s="19"/>
      <c r="J222" s="62"/>
      <c r="K222" s="62"/>
    </row>
    <row r="223" spans="1:11" ht="14.45">
      <c r="A223" s="66"/>
      <c r="B223" s="64"/>
      <c r="C223" s="18"/>
      <c r="D223" s="18"/>
      <c r="E223" s="18"/>
      <c r="F223" s="19"/>
      <c r="G223" s="18"/>
      <c r="H223" s="18"/>
      <c r="I223" s="19"/>
      <c r="J223" s="62"/>
      <c r="K223" s="62"/>
    </row>
    <row r="224" spans="1:11" ht="14.45">
      <c r="A224" s="66"/>
      <c r="B224" s="64"/>
      <c r="C224" s="18"/>
      <c r="D224" s="18"/>
      <c r="E224" s="18"/>
      <c r="F224" s="19"/>
      <c r="G224" s="18"/>
      <c r="H224" s="18"/>
      <c r="I224" s="19"/>
      <c r="J224" s="62"/>
      <c r="K224" s="62"/>
    </row>
    <row r="225" spans="1:11" ht="14.45">
      <c r="A225" s="66"/>
      <c r="B225" s="64"/>
      <c r="C225" s="18"/>
      <c r="D225" s="18"/>
      <c r="E225" s="18"/>
      <c r="F225" s="19"/>
      <c r="G225" s="18"/>
      <c r="H225" s="18"/>
      <c r="I225" s="19"/>
      <c r="J225" s="62"/>
      <c r="K225" s="62"/>
    </row>
    <row r="226" spans="1:11" ht="14.45">
      <c r="A226" s="66"/>
      <c r="B226" s="64"/>
      <c r="C226" s="18"/>
      <c r="D226" s="18"/>
      <c r="E226" s="18"/>
      <c r="F226" s="19"/>
      <c r="G226" s="18"/>
      <c r="H226" s="18"/>
      <c r="I226" s="19"/>
      <c r="J226" s="62"/>
      <c r="K226" s="62"/>
    </row>
    <row r="227" spans="1:11" ht="14.45">
      <c r="A227" s="66"/>
      <c r="B227" s="64"/>
      <c r="C227" s="18"/>
      <c r="D227" s="18"/>
      <c r="E227" s="18"/>
      <c r="F227" s="19"/>
      <c r="G227" s="18"/>
      <c r="H227" s="18"/>
      <c r="I227" s="19"/>
      <c r="J227" s="62"/>
      <c r="K227" s="62"/>
    </row>
    <row r="228" spans="1:11" ht="14.45">
      <c r="A228" s="66"/>
      <c r="B228" s="64"/>
      <c r="C228" s="18"/>
      <c r="D228" s="18"/>
      <c r="E228" s="18"/>
      <c r="F228" s="19"/>
      <c r="G228" s="18"/>
      <c r="H228" s="18"/>
      <c r="I228" s="19"/>
      <c r="J228" s="62"/>
      <c r="K228" s="62"/>
    </row>
    <row r="229" spans="1:11" ht="14.45">
      <c r="A229" s="66"/>
      <c r="B229" s="64"/>
      <c r="C229" s="18"/>
      <c r="D229" s="18"/>
      <c r="E229" s="18"/>
      <c r="F229" s="19"/>
      <c r="G229" s="18"/>
      <c r="H229" s="18"/>
      <c r="I229" s="19"/>
      <c r="J229" s="62"/>
      <c r="K229" s="62"/>
    </row>
    <row r="230" spans="1:11" ht="14.45">
      <c r="A230" s="66"/>
      <c r="B230" s="64"/>
      <c r="C230" s="18"/>
      <c r="D230" s="18"/>
      <c r="E230" s="18"/>
      <c r="F230" s="19"/>
      <c r="G230" s="18"/>
      <c r="H230" s="18"/>
      <c r="I230" s="19"/>
      <c r="J230" s="62"/>
      <c r="K230" s="62"/>
    </row>
    <row r="231" spans="1:11" ht="14.45">
      <c r="A231" s="66"/>
      <c r="B231" s="64"/>
      <c r="C231" s="18"/>
      <c r="D231" s="18"/>
      <c r="E231" s="18"/>
      <c r="F231" s="19"/>
      <c r="G231" s="18"/>
      <c r="H231" s="18"/>
      <c r="I231" s="19"/>
      <c r="J231" s="62"/>
      <c r="K231" s="62"/>
    </row>
    <row r="232" spans="1:11" ht="14.45">
      <c r="A232" s="66"/>
      <c r="B232" s="64"/>
      <c r="C232" s="18"/>
      <c r="D232" s="18"/>
      <c r="E232" s="18"/>
      <c r="F232" s="19"/>
      <c r="G232" s="18"/>
      <c r="H232" s="18"/>
      <c r="I232" s="19"/>
      <c r="J232" s="62"/>
      <c r="K232" s="62"/>
    </row>
    <row r="233" spans="1:11" ht="14.45">
      <c r="A233" s="66"/>
      <c r="B233" s="64"/>
      <c r="C233" s="18"/>
      <c r="D233" s="18"/>
      <c r="E233" s="18"/>
      <c r="F233" s="19"/>
      <c r="G233" s="18"/>
      <c r="H233" s="18"/>
      <c r="I233" s="19"/>
      <c r="J233" s="62"/>
      <c r="K233" s="62"/>
    </row>
    <row r="234" spans="1:11" ht="14.45">
      <c r="A234" s="66"/>
      <c r="B234" s="64"/>
      <c r="C234" s="18"/>
      <c r="D234" s="18"/>
      <c r="E234" s="18"/>
      <c r="F234" s="19"/>
      <c r="G234" s="18"/>
      <c r="H234" s="18"/>
      <c r="I234" s="19"/>
      <c r="J234" s="62"/>
      <c r="K234" s="62"/>
    </row>
    <row r="235" spans="1:11" ht="14.45">
      <c r="A235" s="66"/>
      <c r="B235" s="64"/>
      <c r="C235" s="18"/>
      <c r="D235" s="18"/>
      <c r="E235" s="18"/>
      <c r="F235" s="19"/>
      <c r="G235" s="18"/>
      <c r="H235" s="18"/>
      <c r="I235" s="19"/>
      <c r="J235" s="62"/>
      <c r="K235" s="62"/>
    </row>
    <row r="236" spans="1:11" ht="14.45">
      <c r="A236" s="66"/>
      <c r="B236" s="64"/>
      <c r="C236" s="18"/>
      <c r="D236" s="18"/>
      <c r="E236" s="18"/>
      <c r="F236" s="19"/>
      <c r="G236" s="18"/>
      <c r="H236" s="18"/>
      <c r="I236" s="19"/>
      <c r="J236" s="62"/>
      <c r="K236" s="62"/>
    </row>
    <row r="237" spans="1:11" ht="14.45">
      <c r="A237" s="66"/>
      <c r="B237" s="64"/>
      <c r="C237" s="18"/>
      <c r="D237" s="18"/>
      <c r="E237" s="18"/>
      <c r="F237" s="19"/>
      <c r="G237" s="18"/>
      <c r="H237" s="18"/>
      <c r="I237" s="19"/>
      <c r="J237" s="62"/>
      <c r="K237" s="62"/>
    </row>
    <row r="238" spans="1:11" ht="14.45">
      <c r="A238" s="66"/>
      <c r="B238" s="64"/>
      <c r="C238" s="18"/>
      <c r="D238" s="18"/>
      <c r="E238" s="18"/>
      <c r="F238" s="19"/>
      <c r="G238" s="18"/>
      <c r="H238" s="18"/>
      <c r="I238" s="19"/>
      <c r="J238" s="62"/>
      <c r="K238" s="62"/>
    </row>
    <row r="239" spans="1:11" ht="14.45">
      <c r="A239" s="66"/>
      <c r="B239" s="64"/>
      <c r="C239" s="18"/>
      <c r="D239" s="18"/>
      <c r="E239" s="18"/>
      <c r="F239" s="19"/>
      <c r="G239" s="18"/>
      <c r="H239" s="18"/>
      <c r="I239" s="19"/>
      <c r="J239" s="62"/>
      <c r="K239" s="62"/>
    </row>
    <row r="240" spans="1:11" ht="14.45">
      <c r="A240" s="66"/>
      <c r="B240" s="64"/>
      <c r="C240" s="18"/>
      <c r="D240" s="18"/>
      <c r="E240" s="18"/>
      <c r="F240" s="19"/>
      <c r="G240" s="18"/>
      <c r="H240" s="18"/>
      <c r="I240" s="19"/>
      <c r="J240" s="62"/>
      <c r="K240" s="62"/>
    </row>
    <row r="241" spans="1:11" ht="14.45">
      <c r="A241" s="66"/>
      <c r="B241" s="64"/>
      <c r="C241" s="18"/>
      <c r="D241" s="18"/>
      <c r="E241" s="18"/>
      <c r="F241" s="19"/>
      <c r="G241" s="18"/>
      <c r="H241" s="18"/>
      <c r="I241" s="19"/>
      <c r="J241" s="62"/>
      <c r="K241" s="62"/>
    </row>
    <row r="242" spans="1:11" ht="14.45">
      <c r="A242" s="66"/>
      <c r="B242" s="64"/>
      <c r="C242" s="18"/>
      <c r="D242" s="18"/>
      <c r="E242" s="18"/>
      <c r="F242" s="19"/>
      <c r="G242" s="18"/>
      <c r="H242" s="18"/>
      <c r="I242" s="19"/>
      <c r="J242" s="62"/>
      <c r="K242" s="62"/>
    </row>
    <row r="243" spans="1:11" ht="14.45">
      <c r="A243" s="66"/>
      <c r="B243" s="64"/>
      <c r="C243" s="18"/>
      <c r="D243" s="18"/>
      <c r="E243" s="18"/>
      <c r="F243" s="19"/>
      <c r="G243" s="18"/>
      <c r="H243" s="18"/>
      <c r="I243" s="19"/>
      <c r="J243" s="62"/>
      <c r="K243" s="62"/>
    </row>
    <row r="244" spans="1:11" ht="14.45">
      <c r="A244" s="66"/>
      <c r="B244" s="64"/>
      <c r="C244" s="18"/>
      <c r="D244" s="18"/>
      <c r="E244" s="18"/>
      <c r="F244" s="19"/>
      <c r="G244" s="18"/>
      <c r="H244" s="18"/>
      <c r="I244" s="19"/>
      <c r="J244" s="62"/>
      <c r="K244" s="62"/>
    </row>
    <row r="245" spans="1:11" ht="14.45">
      <c r="A245" s="66"/>
      <c r="B245" s="64"/>
      <c r="C245" s="18"/>
      <c r="D245" s="18"/>
      <c r="E245" s="18"/>
      <c r="F245" s="19"/>
      <c r="G245" s="18"/>
      <c r="H245" s="18"/>
      <c r="I245" s="19"/>
      <c r="J245" s="62"/>
      <c r="K245" s="62"/>
    </row>
    <row r="246" spans="1:11" ht="14.45">
      <c r="A246" s="66"/>
      <c r="B246" s="64"/>
      <c r="C246" s="18"/>
      <c r="D246" s="18"/>
      <c r="E246" s="18"/>
      <c r="F246" s="19"/>
      <c r="G246" s="18"/>
      <c r="H246" s="18"/>
      <c r="I246" s="19"/>
      <c r="J246" s="62"/>
      <c r="K246" s="62"/>
    </row>
    <row r="247" spans="1:11" ht="14.45">
      <c r="A247" s="66"/>
      <c r="B247" s="64"/>
      <c r="C247" s="18"/>
      <c r="D247" s="18"/>
      <c r="E247" s="18"/>
      <c r="F247" s="19"/>
      <c r="G247" s="18"/>
      <c r="H247" s="18"/>
      <c r="I247" s="19"/>
      <c r="J247" s="62"/>
      <c r="K247" s="62"/>
    </row>
    <row r="248" spans="1:11" ht="14.45">
      <c r="A248" s="66"/>
      <c r="B248" s="64"/>
      <c r="C248" s="18"/>
      <c r="D248" s="18"/>
      <c r="E248" s="18"/>
      <c r="F248" s="19"/>
      <c r="G248" s="18"/>
      <c r="H248" s="18"/>
      <c r="I248" s="19"/>
      <c r="J248" s="62"/>
      <c r="K248" s="62"/>
    </row>
    <row r="249" spans="1:11" ht="14.45">
      <c r="A249" s="66"/>
      <c r="B249" s="64"/>
      <c r="C249" s="18"/>
      <c r="D249" s="18"/>
      <c r="E249" s="18"/>
      <c r="F249" s="19"/>
      <c r="G249" s="18"/>
      <c r="H249" s="18"/>
      <c r="I249" s="19"/>
      <c r="J249" s="62"/>
      <c r="K249" s="62"/>
    </row>
    <row r="250" spans="1:11" ht="14.45">
      <c r="A250" s="66"/>
      <c r="B250" s="64"/>
      <c r="C250" s="18"/>
      <c r="D250" s="18"/>
      <c r="E250" s="18"/>
      <c r="F250" s="19"/>
      <c r="G250" s="18"/>
      <c r="H250" s="18"/>
      <c r="I250" s="19"/>
      <c r="J250" s="62"/>
      <c r="K250" s="62"/>
    </row>
    <row r="251" spans="1:11" ht="14.45">
      <c r="A251" s="66"/>
      <c r="B251" s="64"/>
      <c r="C251" s="18"/>
      <c r="D251" s="18"/>
      <c r="E251" s="18"/>
      <c r="F251" s="19"/>
      <c r="G251" s="18"/>
      <c r="H251" s="18"/>
      <c r="I251" s="19"/>
      <c r="J251" s="62"/>
      <c r="K251" s="62"/>
    </row>
    <row r="252" spans="1:11" ht="14.45">
      <c r="A252" s="66"/>
      <c r="B252" s="64"/>
      <c r="C252" s="18"/>
      <c r="D252" s="18"/>
      <c r="E252" s="18"/>
      <c r="F252" s="19"/>
      <c r="G252" s="18"/>
      <c r="H252" s="18"/>
      <c r="I252" s="19"/>
      <c r="J252" s="62"/>
      <c r="K252" s="62"/>
    </row>
    <row r="253" spans="1:11" ht="14.45">
      <c r="A253" s="66"/>
      <c r="B253" s="64"/>
      <c r="C253" s="18"/>
      <c r="D253" s="18"/>
      <c r="E253" s="18"/>
      <c r="F253" s="19"/>
      <c r="G253" s="18"/>
      <c r="H253" s="18"/>
      <c r="I253" s="19"/>
      <c r="J253" s="62"/>
      <c r="K253" s="62"/>
    </row>
    <row r="254" spans="1:11" ht="14.45">
      <c r="A254" s="66"/>
      <c r="B254" s="64"/>
      <c r="C254" s="18"/>
      <c r="D254" s="18"/>
      <c r="E254" s="18"/>
      <c r="F254" s="19"/>
      <c r="G254" s="18"/>
      <c r="H254" s="18"/>
      <c r="I254" s="19"/>
      <c r="J254" s="62"/>
      <c r="K254" s="62"/>
    </row>
    <row r="255" spans="1:11" ht="14.45">
      <c r="A255" s="66"/>
      <c r="B255" s="64"/>
      <c r="C255" s="18"/>
      <c r="D255" s="18"/>
      <c r="E255" s="18"/>
      <c r="F255" s="19"/>
      <c r="G255" s="18"/>
      <c r="H255" s="18"/>
      <c r="I255" s="19"/>
      <c r="J255" s="62"/>
      <c r="K255" s="62"/>
    </row>
    <row r="256" spans="1:11" ht="14.45">
      <c r="A256" s="66"/>
      <c r="B256" s="64"/>
      <c r="C256" s="18"/>
      <c r="D256" s="18"/>
      <c r="E256" s="18"/>
      <c r="F256" s="19"/>
      <c r="G256" s="18"/>
      <c r="H256" s="18"/>
      <c r="I256" s="19"/>
      <c r="J256" s="62"/>
      <c r="K256" s="62"/>
    </row>
    <row r="257" spans="1:11" ht="14.45">
      <c r="A257" s="66"/>
      <c r="B257" s="64"/>
      <c r="C257" s="18"/>
      <c r="D257" s="18"/>
      <c r="E257" s="18"/>
      <c r="F257" s="19"/>
      <c r="G257" s="18"/>
      <c r="H257" s="18"/>
      <c r="I257" s="19"/>
      <c r="J257" s="62"/>
      <c r="K257" s="62"/>
    </row>
    <row r="258" spans="1:11" ht="14.45">
      <c r="A258" s="66"/>
      <c r="B258" s="64"/>
      <c r="C258" s="18"/>
      <c r="D258" s="18"/>
      <c r="E258" s="18"/>
      <c r="F258" s="19"/>
      <c r="G258" s="18"/>
      <c r="H258" s="18"/>
      <c r="I258" s="19"/>
      <c r="J258" s="62"/>
      <c r="K258" s="62"/>
    </row>
    <row r="259" spans="1:11" ht="14.45">
      <c r="A259" s="66"/>
      <c r="B259" s="64"/>
      <c r="C259" s="18"/>
      <c r="D259" s="18"/>
      <c r="E259" s="18"/>
      <c r="F259" s="19"/>
      <c r="G259" s="18"/>
      <c r="H259" s="18"/>
      <c r="I259" s="19"/>
      <c r="J259" s="62"/>
      <c r="K259" s="62"/>
    </row>
    <row r="260" spans="1:11" ht="14.45">
      <c r="A260" s="66"/>
      <c r="B260" s="64"/>
      <c r="C260" s="18"/>
      <c r="D260" s="18"/>
      <c r="E260" s="18"/>
      <c r="F260" s="19"/>
      <c r="G260" s="18"/>
      <c r="H260" s="18"/>
      <c r="I260" s="19"/>
      <c r="J260" s="62"/>
      <c r="K260" s="62"/>
    </row>
    <row r="261" spans="1:11" ht="14.45">
      <c r="A261" s="66"/>
      <c r="B261" s="64"/>
      <c r="C261" s="18"/>
      <c r="D261" s="18"/>
      <c r="E261" s="18"/>
      <c r="F261" s="19"/>
      <c r="G261" s="18"/>
      <c r="H261" s="18"/>
      <c r="I261" s="19"/>
      <c r="J261" s="62"/>
      <c r="K261" s="62"/>
    </row>
    <row r="262" spans="1:11" ht="14.45">
      <c r="A262" s="66"/>
      <c r="B262" s="64"/>
      <c r="C262" s="18"/>
      <c r="D262" s="18"/>
      <c r="E262" s="18"/>
      <c r="F262" s="19"/>
      <c r="G262" s="18"/>
      <c r="H262" s="18"/>
      <c r="I262" s="19"/>
      <c r="J262" s="62"/>
      <c r="K262" s="62"/>
    </row>
    <row r="263" spans="1:11" ht="14.45">
      <c r="A263" s="66"/>
      <c r="B263" s="64"/>
      <c r="C263" s="18"/>
      <c r="D263" s="18"/>
      <c r="E263" s="18"/>
      <c r="F263" s="19"/>
      <c r="G263" s="18"/>
      <c r="H263" s="18"/>
      <c r="I263" s="19"/>
      <c r="J263" s="62"/>
      <c r="K263" s="62"/>
    </row>
    <row r="264" spans="1:11" ht="14.45">
      <c r="A264" s="66"/>
      <c r="B264" s="64"/>
      <c r="C264" s="18"/>
      <c r="D264" s="18"/>
      <c r="E264" s="18"/>
      <c r="F264" s="19"/>
      <c r="G264" s="18"/>
      <c r="H264" s="18"/>
      <c r="I264" s="19"/>
      <c r="J264" s="62"/>
      <c r="K264" s="62"/>
    </row>
    <row r="265" spans="1:11" ht="14.45">
      <c r="A265" s="66"/>
      <c r="B265" s="64"/>
      <c r="C265" s="18"/>
      <c r="D265" s="18"/>
      <c r="E265" s="18"/>
      <c r="F265" s="19"/>
      <c r="G265" s="18"/>
      <c r="H265" s="18"/>
      <c r="I265" s="19"/>
      <c r="J265" s="62"/>
      <c r="K265" s="62"/>
    </row>
    <row r="266" spans="1:11" ht="14.45">
      <c r="A266" s="66"/>
      <c r="B266" s="64"/>
      <c r="C266" s="18"/>
      <c r="D266" s="18"/>
      <c r="E266" s="18"/>
      <c r="F266" s="19"/>
      <c r="G266" s="18"/>
      <c r="H266" s="18"/>
      <c r="I266" s="19"/>
      <c r="J266" s="62"/>
      <c r="K266" s="62"/>
    </row>
    <row r="267" spans="1:11" ht="14.45">
      <c r="A267" s="66"/>
      <c r="B267" s="64"/>
      <c r="C267" s="18"/>
      <c r="D267" s="18"/>
      <c r="E267" s="18"/>
      <c r="F267" s="19"/>
      <c r="G267" s="18"/>
      <c r="H267" s="18"/>
      <c r="I267" s="19"/>
      <c r="J267" s="62"/>
      <c r="K267" s="62"/>
    </row>
    <row r="268" spans="1:11" ht="14.45">
      <c r="A268" s="66"/>
      <c r="B268" s="64"/>
      <c r="C268" s="18"/>
      <c r="D268" s="18"/>
      <c r="E268" s="18"/>
      <c r="F268" s="19"/>
      <c r="G268" s="18"/>
      <c r="H268" s="18"/>
      <c r="I268" s="19"/>
      <c r="J268" s="62"/>
      <c r="K268" s="62"/>
    </row>
    <row r="269" spans="1:11" ht="14.45">
      <c r="A269" s="66"/>
      <c r="B269" s="64"/>
      <c r="C269" s="18"/>
      <c r="D269" s="18"/>
      <c r="E269" s="18"/>
      <c r="F269" s="19"/>
      <c r="G269" s="18"/>
      <c r="H269" s="18"/>
      <c r="I269" s="19"/>
      <c r="J269" s="62"/>
      <c r="K269" s="62"/>
    </row>
    <row r="270" spans="1:11" ht="14.45">
      <c r="A270" s="66"/>
      <c r="B270" s="64"/>
      <c r="C270" s="18"/>
      <c r="D270" s="18"/>
      <c r="E270" s="18"/>
      <c r="F270" s="19"/>
      <c r="G270" s="18"/>
      <c r="H270" s="18"/>
      <c r="I270" s="19"/>
      <c r="J270" s="62"/>
      <c r="K270" s="62"/>
    </row>
    <row r="271" spans="1:11" ht="14.45">
      <c r="A271" s="66"/>
      <c r="B271" s="64"/>
      <c r="C271" s="18"/>
      <c r="D271" s="18"/>
      <c r="E271" s="18"/>
      <c r="F271" s="19"/>
      <c r="G271" s="18"/>
      <c r="H271" s="18"/>
      <c r="I271" s="19"/>
      <c r="J271" s="62"/>
      <c r="K271" s="62"/>
    </row>
    <row r="272" spans="1:11" ht="14.45">
      <c r="A272" s="66"/>
      <c r="B272" s="64"/>
      <c r="C272" s="18"/>
      <c r="D272" s="18"/>
      <c r="E272" s="18"/>
      <c r="F272" s="19"/>
      <c r="G272" s="18"/>
      <c r="H272" s="18"/>
      <c r="I272" s="19"/>
      <c r="J272" s="62"/>
      <c r="K272" s="62"/>
    </row>
    <row r="273" spans="1:11" ht="14.45">
      <c r="A273" s="66"/>
      <c r="B273" s="64"/>
      <c r="C273" s="18"/>
      <c r="D273" s="18"/>
      <c r="E273" s="18"/>
      <c r="F273" s="19"/>
      <c r="G273" s="18"/>
      <c r="H273" s="18"/>
      <c r="I273" s="19"/>
      <c r="J273" s="62"/>
      <c r="K273" s="62"/>
    </row>
    <row r="274" spans="1:11" ht="14.45">
      <c r="A274" s="66"/>
      <c r="B274" s="64"/>
      <c r="C274" s="18"/>
      <c r="D274" s="18"/>
      <c r="E274" s="18"/>
      <c r="F274" s="19"/>
      <c r="G274" s="18"/>
      <c r="H274" s="18"/>
      <c r="I274" s="19"/>
      <c r="J274" s="62"/>
      <c r="K274" s="62"/>
    </row>
    <row r="275" spans="1:11" ht="14.45">
      <c r="A275" s="66"/>
      <c r="B275" s="64"/>
      <c r="C275" s="18"/>
      <c r="D275" s="18"/>
      <c r="E275" s="18"/>
      <c r="F275" s="19"/>
      <c r="G275" s="18"/>
      <c r="H275" s="18"/>
      <c r="I275" s="19"/>
      <c r="J275" s="62"/>
      <c r="K275" s="62"/>
    </row>
    <row r="276" spans="1:11" ht="14.45">
      <c r="A276" s="66"/>
      <c r="B276" s="64"/>
      <c r="C276" s="18"/>
      <c r="D276" s="18"/>
      <c r="E276" s="18"/>
      <c r="F276" s="19"/>
      <c r="G276" s="18"/>
      <c r="H276" s="18"/>
      <c r="I276" s="19"/>
      <c r="J276" s="62"/>
      <c r="K276" s="62"/>
    </row>
    <row r="277" spans="1:11" ht="14.45">
      <c r="A277" s="66"/>
      <c r="B277" s="64"/>
      <c r="C277" s="18"/>
      <c r="D277" s="18"/>
      <c r="E277" s="18"/>
      <c r="F277" s="19"/>
      <c r="G277" s="18"/>
      <c r="H277" s="18"/>
      <c r="I277" s="19"/>
      <c r="J277" s="62"/>
      <c r="K277" s="62"/>
    </row>
    <row r="278" spans="1:11" ht="14.45">
      <c r="A278" s="66"/>
      <c r="B278" s="64"/>
      <c r="C278" s="18"/>
      <c r="D278" s="18"/>
      <c r="E278" s="18"/>
      <c r="F278" s="19"/>
      <c r="G278" s="18"/>
      <c r="H278" s="18"/>
      <c r="I278" s="19"/>
      <c r="J278" s="62"/>
      <c r="K278" s="62"/>
    </row>
    <row r="279" spans="1:11" ht="14.45">
      <c r="A279" s="66"/>
      <c r="B279" s="64"/>
      <c r="C279" s="18"/>
      <c r="D279" s="18"/>
      <c r="E279" s="18"/>
      <c r="F279" s="19"/>
      <c r="G279" s="18"/>
      <c r="H279" s="18"/>
      <c r="I279" s="19"/>
      <c r="J279" s="62"/>
      <c r="K279" s="62"/>
    </row>
    <row r="280" spans="1:11" ht="14.45">
      <c r="A280" s="66"/>
      <c r="B280" s="64"/>
      <c r="C280" s="18"/>
      <c r="D280" s="18"/>
      <c r="E280" s="18"/>
      <c r="F280" s="19"/>
      <c r="G280" s="18"/>
      <c r="H280" s="18"/>
      <c r="I280" s="19"/>
      <c r="J280" s="62"/>
      <c r="K280" s="62"/>
    </row>
    <row r="281" spans="1:11" ht="14.45">
      <c r="A281" s="66"/>
      <c r="B281" s="64"/>
      <c r="C281" s="18"/>
      <c r="D281" s="18"/>
      <c r="E281" s="18"/>
      <c r="F281" s="19"/>
      <c r="G281" s="18"/>
      <c r="H281" s="18"/>
      <c r="I281" s="19"/>
      <c r="J281" s="62"/>
      <c r="K281" s="62"/>
    </row>
    <row r="282" spans="1:11" ht="14.45">
      <c r="A282" s="66"/>
      <c r="B282" s="64"/>
      <c r="C282" s="18"/>
      <c r="D282" s="18"/>
      <c r="E282" s="18"/>
      <c r="F282" s="19"/>
      <c r="G282" s="18"/>
      <c r="H282" s="18"/>
      <c r="I282" s="19"/>
      <c r="J282" s="62"/>
      <c r="K282" s="62"/>
    </row>
    <row r="283" spans="1:11" ht="14.45">
      <c r="A283" s="66"/>
      <c r="B283" s="64"/>
      <c r="C283" s="18"/>
      <c r="D283" s="18"/>
      <c r="E283" s="18"/>
      <c r="F283" s="19"/>
      <c r="G283" s="18"/>
      <c r="H283" s="18"/>
      <c r="I283" s="19"/>
      <c r="J283" s="62"/>
      <c r="K283" s="62"/>
    </row>
    <row r="284" spans="1:11" ht="14.45">
      <c r="A284" s="66"/>
      <c r="B284" s="64"/>
      <c r="C284" s="18"/>
      <c r="D284" s="18"/>
      <c r="E284" s="18"/>
      <c r="F284" s="19"/>
      <c r="G284" s="18"/>
      <c r="H284" s="18"/>
      <c r="I284" s="19"/>
      <c r="J284" s="62"/>
      <c r="K284" s="62"/>
    </row>
    <row r="285" spans="1:11" ht="14.45">
      <c r="A285" s="66"/>
      <c r="B285" s="64"/>
      <c r="C285" s="18"/>
      <c r="D285" s="18"/>
      <c r="E285" s="18"/>
      <c r="F285" s="19"/>
      <c r="G285" s="18"/>
      <c r="H285" s="18"/>
      <c r="I285" s="19"/>
      <c r="J285" s="62"/>
      <c r="K285" s="62"/>
    </row>
    <row r="286" spans="1:11" ht="14.45">
      <c r="A286" s="66"/>
      <c r="B286" s="64"/>
      <c r="C286" s="18"/>
      <c r="D286" s="18"/>
      <c r="E286" s="18"/>
      <c r="F286" s="19"/>
      <c r="G286" s="18"/>
      <c r="H286" s="18"/>
      <c r="I286" s="19"/>
      <c r="J286" s="62"/>
      <c r="K286" s="62"/>
    </row>
    <row r="287" spans="1:11" ht="14.45">
      <c r="A287" s="66"/>
      <c r="B287" s="64"/>
      <c r="C287" s="18"/>
      <c r="D287" s="18"/>
      <c r="E287" s="18"/>
      <c r="F287" s="19"/>
      <c r="G287" s="18"/>
      <c r="H287" s="18"/>
      <c r="I287" s="19"/>
      <c r="J287" s="62"/>
      <c r="K287" s="62"/>
    </row>
    <row r="288" spans="1:11" ht="14.45">
      <c r="A288" s="66"/>
      <c r="B288" s="64"/>
      <c r="C288" s="18"/>
      <c r="D288" s="18"/>
      <c r="E288" s="18"/>
      <c r="F288" s="19"/>
      <c r="G288" s="18"/>
      <c r="H288" s="18"/>
      <c r="I288" s="19"/>
      <c r="J288" s="62"/>
      <c r="K288" s="62"/>
    </row>
    <row r="289" spans="1:11" ht="14.45">
      <c r="A289" s="66"/>
      <c r="B289" s="64"/>
      <c r="C289" s="18"/>
      <c r="D289" s="18"/>
      <c r="E289" s="18"/>
      <c r="F289" s="19"/>
      <c r="G289" s="18"/>
      <c r="H289" s="18"/>
      <c r="I289" s="19"/>
      <c r="J289" s="62"/>
      <c r="K289" s="62"/>
    </row>
    <row r="290" spans="1:11" ht="14.45">
      <c r="A290" s="66"/>
      <c r="B290" s="64"/>
      <c r="C290" s="18"/>
      <c r="D290" s="18"/>
      <c r="E290" s="18"/>
      <c r="F290" s="19"/>
      <c r="G290" s="18"/>
      <c r="H290" s="18"/>
      <c r="I290" s="19"/>
      <c r="J290" s="62"/>
      <c r="K290" s="62"/>
    </row>
    <row r="291" spans="1:11" ht="14.45">
      <c r="A291" s="66"/>
      <c r="B291" s="64"/>
      <c r="C291" s="18"/>
      <c r="D291" s="18"/>
      <c r="E291" s="18"/>
      <c r="F291" s="19"/>
      <c r="G291" s="18"/>
      <c r="H291" s="18"/>
      <c r="I291" s="19"/>
      <c r="J291" s="62"/>
      <c r="K291" s="62"/>
    </row>
    <row r="292" spans="1:11" ht="14.45">
      <c r="A292" s="66"/>
      <c r="B292" s="64"/>
      <c r="C292" s="18"/>
      <c r="D292" s="18"/>
      <c r="E292" s="18"/>
      <c r="F292" s="19"/>
      <c r="G292" s="18"/>
      <c r="H292" s="18"/>
      <c r="I292" s="19"/>
      <c r="J292" s="62"/>
      <c r="K292" s="62"/>
    </row>
    <row r="293" spans="1:11" ht="14.45">
      <c r="A293" s="66"/>
      <c r="B293" s="64"/>
      <c r="C293" s="18"/>
      <c r="D293" s="18"/>
      <c r="E293" s="18"/>
      <c r="F293" s="19"/>
      <c r="G293" s="18"/>
      <c r="H293" s="18"/>
      <c r="I293" s="19"/>
      <c r="J293" s="62"/>
      <c r="K293" s="62"/>
    </row>
    <row r="294" spans="1:11" ht="14.45">
      <c r="A294" s="66"/>
      <c r="B294" s="64"/>
      <c r="C294" s="18"/>
      <c r="D294" s="18"/>
      <c r="E294" s="18"/>
      <c r="F294" s="19"/>
      <c r="G294" s="18"/>
      <c r="H294" s="18"/>
      <c r="I294" s="19"/>
      <c r="J294" s="62"/>
      <c r="K294" s="62"/>
    </row>
    <row r="295" spans="1:11" ht="14.45">
      <c r="A295" s="66"/>
      <c r="B295" s="64"/>
      <c r="C295" s="18"/>
      <c r="D295" s="18"/>
      <c r="E295" s="18"/>
      <c r="F295" s="19"/>
      <c r="G295" s="18"/>
      <c r="H295" s="18"/>
      <c r="I295" s="19"/>
      <c r="J295" s="62"/>
      <c r="K295" s="62"/>
    </row>
    <row r="296" spans="1:11" ht="14.45">
      <c r="A296" s="66"/>
      <c r="B296" s="64"/>
      <c r="C296" s="18"/>
      <c r="D296" s="18"/>
      <c r="E296" s="18"/>
      <c r="F296" s="19"/>
      <c r="G296" s="18"/>
      <c r="H296" s="18"/>
      <c r="I296" s="19"/>
      <c r="J296" s="62"/>
      <c r="K296" s="62"/>
    </row>
    <row r="297" spans="1:11" ht="14.45">
      <c r="A297" s="66"/>
      <c r="B297" s="64"/>
      <c r="C297" s="18"/>
      <c r="D297" s="18"/>
      <c r="E297" s="18"/>
      <c r="F297" s="19"/>
      <c r="G297" s="18"/>
      <c r="H297" s="18"/>
      <c r="I297" s="19"/>
      <c r="J297" s="62"/>
      <c r="K297" s="62"/>
    </row>
    <row r="298" spans="1:11" ht="14.45">
      <c r="A298" s="66"/>
      <c r="B298" s="64"/>
      <c r="C298" s="18"/>
      <c r="D298" s="18"/>
      <c r="E298" s="18"/>
      <c r="F298" s="19"/>
      <c r="G298" s="18"/>
      <c r="H298" s="18"/>
      <c r="I298" s="19"/>
      <c r="J298" s="62"/>
      <c r="K298" s="62"/>
    </row>
    <row r="299" spans="1:11" ht="14.45">
      <c r="A299" s="66"/>
      <c r="B299" s="64"/>
      <c r="C299" s="18"/>
      <c r="D299" s="18"/>
      <c r="E299" s="18"/>
      <c r="F299" s="19"/>
      <c r="G299" s="18"/>
      <c r="H299" s="18"/>
      <c r="I299" s="19"/>
      <c r="J299" s="62"/>
      <c r="K299" s="62"/>
    </row>
    <row r="300" spans="1:11" ht="14.45">
      <c r="A300" s="66"/>
      <c r="B300" s="64"/>
      <c r="C300" s="18"/>
      <c r="D300" s="18"/>
      <c r="E300" s="18"/>
      <c r="F300" s="19"/>
      <c r="G300" s="18"/>
      <c r="H300" s="18"/>
      <c r="I300" s="19"/>
      <c r="J300" s="62"/>
      <c r="K300" s="62"/>
    </row>
    <row r="301" spans="1:11" ht="14.45">
      <c r="A301" s="66"/>
      <c r="B301" s="64"/>
      <c r="C301" s="18"/>
      <c r="D301" s="18"/>
      <c r="E301" s="18"/>
      <c r="F301" s="19"/>
      <c r="G301" s="18"/>
      <c r="H301" s="18"/>
      <c r="I301" s="19"/>
      <c r="J301" s="62"/>
      <c r="K301" s="62"/>
    </row>
    <row r="302" spans="1:11" ht="14.45">
      <c r="A302" s="66"/>
      <c r="B302" s="64"/>
      <c r="C302" s="18"/>
      <c r="D302" s="18"/>
      <c r="E302" s="18"/>
      <c r="F302" s="19"/>
      <c r="G302" s="18"/>
      <c r="H302" s="18"/>
      <c r="I302" s="19"/>
      <c r="J302" s="62"/>
      <c r="K302" s="62"/>
    </row>
    <row r="303" spans="1:11" ht="14.45">
      <c r="A303" s="66"/>
      <c r="B303" s="64"/>
      <c r="C303" s="18"/>
      <c r="D303" s="18"/>
      <c r="E303" s="18"/>
      <c r="F303" s="19"/>
      <c r="G303" s="18"/>
      <c r="H303" s="18"/>
      <c r="I303" s="19"/>
      <c r="J303" s="62"/>
      <c r="K303" s="62"/>
    </row>
    <row r="304" spans="1:11" ht="14.45">
      <c r="A304" s="66"/>
      <c r="B304" s="64"/>
      <c r="C304" s="18"/>
      <c r="D304" s="18"/>
      <c r="E304" s="18"/>
      <c r="F304" s="19"/>
      <c r="G304" s="18"/>
      <c r="H304" s="18"/>
      <c r="I304" s="19"/>
      <c r="J304" s="62"/>
      <c r="K304" s="62"/>
    </row>
    <row r="305" spans="1:11" ht="14.45">
      <c r="A305" s="66"/>
      <c r="B305" s="64"/>
      <c r="C305" s="18"/>
      <c r="D305" s="18"/>
      <c r="E305" s="18"/>
      <c r="F305" s="19"/>
      <c r="G305" s="18"/>
      <c r="H305" s="18"/>
      <c r="I305" s="19"/>
      <c r="J305" s="62"/>
      <c r="K305" s="62"/>
    </row>
    <row r="306" spans="1:11" ht="14.45">
      <c r="A306" s="66"/>
      <c r="B306" s="64"/>
      <c r="C306" s="18"/>
      <c r="D306" s="18"/>
      <c r="E306" s="18"/>
      <c r="F306" s="19"/>
      <c r="G306" s="18"/>
      <c r="H306" s="18"/>
      <c r="I306" s="19"/>
      <c r="J306" s="62"/>
      <c r="K306" s="62"/>
    </row>
    <row r="307" spans="1:11" ht="14.45">
      <c r="A307" s="66"/>
      <c r="B307" s="64"/>
      <c r="C307" s="18"/>
      <c r="D307" s="18"/>
      <c r="E307" s="18"/>
      <c r="F307" s="19"/>
      <c r="G307" s="18"/>
      <c r="H307" s="18"/>
      <c r="I307" s="19"/>
      <c r="J307" s="62"/>
      <c r="K307" s="62"/>
    </row>
    <row r="308" spans="1:11" ht="14.45">
      <c r="A308" s="66"/>
      <c r="B308" s="64"/>
      <c r="C308" s="18"/>
      <c r="D308" s="18"/>
      <c r="E308" s="18"/>
      <c r="F308" s="19"/>
      <c r="G308" s="18"/>
      <c r="H308" s="18"/>
      <c r="I308" s="19"/>
      <c r="J308" s="62"/>
      <c r="K308" s="62"/>
    </row>
    <row r="309" spans="1:11" ht="14.45">
      <c r="A309" s="66"/>
      <c r="B309" s="64"/>
      <c r="C309" s="18"/>
      <c r="D309" s="18"/>
      <c r="E309" s="18"/>
      <c r="F309" s="19"/>
      <c r="G309" s="18"/>
      <c r="H309" s="18"/>
      <c r="I309" s="19"/>
      <c r="J309" s="62"/>
      <c r="K309" s="62"/>
    </row>
    <row r="310" spans="1:11" ht="14.45">
      <c r="A310" s="66"/>
      <c r="B310" s="64"/>
      <c r="C310" s="18"/>
      <c r="D310" s="18"/>
      <c r="E310" s="18"/>
      <c r="F310" s="19"/>
      <c r="G310" s="18"/>
      <c r="H310" s="18"/>
      <c r="I310" s="19"/>
      <c r="J310" s="62"/>
      <c r="K310" s="62"/>
    </row>
    <row r="311" spans="1:11" ht="14.45">
      <c r="A311" s="66"/>
      <c r="B311" s="64"/>
      <c r="C311" s="18"/>
      <c r="D311" s="18"/>
      <c r="E311" s="18"/>
      <c r="F311" s="19"/>
      <c r="G311" s="18"/>
      <c r="H311" s="18"/>
      <c r="I311" s="19"/>
      <c r="J311" s="62"/>
      <c r="K311" s="62"/>
    </row>
    <row r="312" spans="1:11" ht="14.45">
      <c r="A312" s="66"/>
      <c r="B312" s="64"/>
      <c r="C312" s="18"/>
      <c r="D312" s="18"/>
      <c r="E312" s="18"/>
      <c r="F312" s="19"/>
      <c r="G312" s="18"/>
      <c r="H312" s="18"/>
      <c r="I312" s="19"/>
      <c r="J312" s="62"/>
      <c r="K312" s="62"/>
    </row>
    <row r="313" spans="1:11" ht="14.45">
      <c r="A313" s="66"/>
      <c r="B313" s="64"/>
      <c r="C313" s="18"/>
      <c r="D313" s="18"/>
      <c r="E313" s="18"/>
      <c r="F313" s="19"/>
      <c r="G313" s="18"/>
      <c r="H313" s="18"/>
      <c r="I313" s="19"/>
      <c r="J313" s="62"/>
      <c r="K313" s="62"/>
    </row>
    <row r="314" spans="1:11" ht="14.45">
      <c r="A314" s="66"/>
      <c r="B314" s="64"/>
      <c r="C314" s="18"/>
      <c r="D314" s="18"/>
      <c r="E314" s="18"/>
      <c r="F314" s="19"/>
      <c r="G314" s="18"/>
      <c r="H314" s="18"/>
      <c r="I314" s="19"/>
      <c r="J314" s="62"/>
      <c r="K314" s="62"/>
    </row>
    <row r="315" spans="1:11" ht="14.45">
      <c r="A315" s="66"/>
      <c r="B315" s="64"/>
      <c r="C315" s="18"/>
      <c r="D315" s="18"/>
      <c r="E315" s="18"/>
      <c r="F315" s="19"/>
      <c r="G315" s="18"/>
      <c r="H315" s="18"/>
      <c r="I315" s="19"/>
      <c r="J315" s="62"/>
      <c r="K315" s="62"/>
    </row>
    <row r="316" spans="1:11" ht="14.45">
      <c r="A316" s="66"/>
      <c r="B316" s="64"/>
      <c r="C316" s="18"/>
      <c r="D316" s="18"/>
      <c r="E316" s="18"/>
      <c r="F316" s="19"/>
      <c r="G316" s="18"/>
      <c r="H316" s="18"/>
      <c r="I316" s="19"/>
      <c r="J316" s="62"/>
      <c r="K316" s="62"/>
    </row>
    <row r="317" spans="1:11" ht="14.45">
      <c r="A317" s="66"/>
      <c r="B317" s="64"/>
      <c r="C317" s="18"/>
      <c r="D317" s="18"/>
      <c r="E317" s="18"/>
      <c r="F317" s="19"/>
      <c r="G317" s="18"/>
      <c r="H317" s="18"/>
      <c r="I317" s="19"/>
      <c r="J317" s="62"/>
      <c r="K317" s="62"/>
    </row>
    <row r="318" spans="1:11" ht="14.45">
      <c r="A318" s="66"/>
      <c r="B318" s="64"/>
      <c r="C318" s="18"/>
      <c r="D318" s="18"/>
      <c r="E318" s="18"/>
      <c r="F318" s="19"/>
      <c r="G318" s="18"/>
      <c r="H318" s="18"/>
      <c r="I318" s="19"/>
      <c r="J318" s="62"/>
      <c r="K318" s="62"/>
    </row>
    <row r="319" spans="1:11" ht="14.45">
      <c r="A319" s="66"/>
      <c r="B319" s="64"/>
      <c r="C319" s="18"/>
      <c r="D319" s="18"/>
      <c r="E319" s="18"/>
      <c r="F319" s="19"/>
      <c r="G319" s="18"/>
      <c r="H319" s="18"/>
      <c r="I319" s="19"/>
      <c r="J319" s="62"/>
      <c r="K319" s="62"/>
    </row>
    <row r="320" spans="1:11" ht="14.45">
      <c r="A320" s="66"/>
      <c r="B320" s="64"/>
      <c r="C320" s="18"/>
      <c r="D320" s="18"/>
      <c r="E320" s="18"/>
      <c r="F320" s="19"/>
      <c r="G320" s="18"/>
      <c r="H320" s="18"/>
      <c r="I320" s="19"/>
      <c r="J320" s="62"/>
      <c r="K320" s="62"/>
    </row>
    <row r="321" spans="1:11" ht="14.45">
      <c r="A321" s="66"/>
      <c r="B321" s="64"/>
      <c r="C321" s="18"/>
      <c r="D321" s="18"/>
      <c r="E321" s="18"/>
      <c r="F321" s="19"/>
      <c r="G321" s="18"/>
      <c r="H321" s="18"/>
      <c r="I321" s="19"/>
      <c r="J321" s="62"/>
      <c r="K321" s="62"/>
    </row>
    <row r="322" spans="1:11" ht="14.45">
      <c r="A322" s="66"/>
      <c r="B322" s="64"/>
      <c r="C322" s="18"/>
      <c r="D322" s="18"/>
      <c r="E322" s="18"/>
      <c r="F322" s="19"/>
      <c r="G322" s="18"/>
      <c r="H322" s="18"/>
      <c r="I322" s="19"/>
      <c r="J322" s="62"/>
      <c r="K322" s="62"/>
    </row>
    <row r="323" spans="1:11" ht="14.45">
      <c r="A323" s="66"/>
      <c r="B323" s="64"/>
      <c r="C323" s="18"/>
      <c r="D323" s="18"/>
      <c r="E323" s="18"/>
      <c r="F323" s="19"/>
      <c r="G323" s="18"/>
      <c r="H323" s="18"/>
      <c r="I323" s="19"/>
      <c r="J323" s="62"/>
      <c r="K323" s="62"/>
    </row>
    <row r="324" spans="1:11" ht="14.45">
      <c r="A324" s="66"/>
      <c r="B324" s="64"/>
      <c r="C324" s="18"/>
      <c r="D324" s="18"/>
      <c r="E324" s="18"/>
      <c r="F324" s="19"/>
      <c r="G324" s="18"/>
      <c r="H324" s="18"/>
      <c r="I324" s="19"/>
      <c r="J324" s="62"/>
      <c r="K324" s="62"/>
    </row>
    <row r="325" spans="1:11" ht="14.45">
      <c r="A325" s="66"/>
      <c r="B325" s="64"/>
      <c r="C325" s="18"/>
      <c r="D325" s="18"/>
      <c r="E325" s="18"/>
      <c r="F325" s="19"/>
      <c r="G325" s="18"/>
      <c r="H325" s="18"/>
      <c r="I325" s="19"/>
      <c r="J325" s="62"/>
      <c r="K325" s="62"/>
    </row>
    <row r="326" spans="1:11" ht="14.45">
      <c r="A326" s="66"/>
      <c r="B326" s="64"/>
      <c r="C326" s="18"/>
      <c r="D326" s="18"/>
      <c r="E326" s="18"/>
      <c r="F326" s="19"/>
      <c r="G326" s="18"/>
      <c r="H326" s="18"/>
      <c r="I326" s="19"/>
      <c r="J326" s="62"/>
      <c r="K326" s="62"/>
    </row>
    <row r="327" spans="1:11" ht="14.45">
      <c r="A327" s="66"/>
      <c r="B327" s="64"/>
      <c r="C327" s="18"/>
      <c r="D327" s="18"/>
      <c r="E327" s="18"/>
      <c r="F327" s="19"/>
      <c r="G327" s="18"/>
      <c r="H327" s="18"/>
      <c r="I327" s="19"/>
      <c r="J327" s="62"/>
      <c r="K327" s="62"/>
    </row>
    <row r="328" spans="1:11" ht="14.45">
      <c r="A328" s="66"/>
      <c r="B328" s="64"/>
      <c r="C328" s="18"/>
      <c r="D328" s="18"/>
      <c r="E328" s="18"/>
      <c r="F328" s="19"/>
      <c r="G328" s="18"/>
      <c r="H328" s="18"/>
      <c r="I328" s="19"/>
      <c r="J328" s="62"/>
      <c r="K328" s="62"/>
    </row>
    <row r="329" spans="1:11" ht="14.45">
      <c r="C329" s="18"/>
      <c r="D329" s="18"/>
      <c r="E329" s="18"/>
      <c r="F329" s="19"/>
      <c r="G329" s="18"/>
      <c r="H329" s="18"/>
      <c r="I329" s="19"/>
      <c r="J329" s="62"/>
      <c r="K329" s="62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hyperlinks>
    <hyperlink ref="K6" r:id="rId1" display="https://us3.assetplanner.com/service_request?ID=099548" xr:uid="{1976BFDD-2168-43C3-B74C-EDC586B057DE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S328"/>
  <sheetViews>
    <sheetView zoomScale="50" zoomScaleNormal="50" workbookViewId="0">
      <pane xSplit="2" ySplit="3" topLeftCell="C10" activePane="bottomRight" state="frozen"/>
      <selection pane="bottomRight" activeCell="J37" sqref="J37"/>
      <selection pane="bottomLeft" activeCell="H74" sqref="H74"/>
      <selection pane="topRight" activeCell="H74" sqref="H74"/>
    </sheetView>
  </sheetViews>
  <sheetFormatPr defaultColWidth="9.140625" defaultRowHeight="17.45"/>
  <cols>
    <col min="1" max="1" width="46.5703125" style="128" customWidth="1"/>
    <col min="2" max="2" width="8.42578125" style="128" customWidth="1"/>
    <col min="3" max="3" width="11.85546875" style="93" customWidth="1"/>
    <col min="4" max="4" width="16.5703125" style="93" customWidth="1"/>
    <col min="5" max="5" width="13.140625" style="93" customWidth="1"/>
    <col min="6" max="6" width="13.140625" style="129" customWidth="1"/>
    <col min="7" max="8" width="13.140625" style="93" customWidth="1"/>
    <col min="9" max="9" width="13.140625" style="129" customWidth="1"/>
    <col min="10" max="10" width="71.5703125" style="93" customWidth="1"/>
    <col min="11" max="11" width="25.140625" style="93" bestFit="1" customWidth="1"/>
    <col min="12" max="12" width="14.7109375" style="93" bestFit="1" customWidth="1"/>
    <col min="13" max="13" width="27.85546875" style="132" customWidth="1"/>
    <col min="14" max="14" width="61.42578125" style="93" bestFit="1" customWidth="1"/>
    <col min="15" max="18" width="9.140625" style="93"/>
    <col min="19" max="19" width="23.7109375" style="93" bestFit="1" customWidth="1"/>
    <col min="20" max="16384" width="9.140625" style="93"/>
  </cols>
  <sheetData>
    <row r="1" spans="1:14" ht="19.5" customHeight="1">
      <c r="A1" s="266" t="str" cm="1">
        <f t="array" ref="A1">portfolio</f>
        <v>Wells Fargo</v>
      </c>
      <c r="B1" s="266"/>
      <c r="C1" s="266"/>
      <c r="D1" s="267" t="s">
        <v>230</v>
      </c>
      <c r="E1" s="267"/>
      <c r="F1" s="267"/>
      <c r="G1" s="265" t="s">
        <v>231</v>
      </c>
      <c r="H1" s="265"/>
      <c r="I1" s="265"/>
      <c r="J1" s="92"/>
      <c r="K1" s="92"/>
    </row>
    <row r="2" spans="1:14" ht="34.9">
      <c r="A2" s="268" t="s">
        <v>2</v>
      </c>
      <c r="B2" s="268"/>
      <c r="C2" s="94">
        <f>SUM(C4:C86)</f>
        <v>2231473.1009999998</v>
      </c>
      <c r="D2" s="94">
        <f>SUM(D4:D86)</f>
        <v>2110475</v>
      </c>
      <c r="E2" s="94">
        <f>C2-D2</f>
        <v>120998.10099999979</v>
      </c>
      <c r="F2" s="95">
        <f>IFERROR(E2/D2, 0)</f>
        <v>5.733216503393776E-2</v>
      </c>
      <c r="G2" s="94">
        <f>SUM(G4:G86)</f>
        <v>2397902.2310000001</v>
      </c>
      <c r="H2" s="96">
        <f>C2-G2</f>
        <v>-166429.13000000035</v>
      </c>
      <c r="I2" s="95">
        <f>IFERROR(H2/G2, 0)</f>
        <v>-6.9406136684144207E-2</v>
      </c>
      <c r="J2" s="97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92"/>
      <c r="M2" s="135" t="s">
        <v>232</v>
      </c>
      <c r="N2" s="93" t="s">
        <v>48</v>
      </c>
    </row>
    <row r="3" spans="1:14" ht="14.25" customHeight="1">
      <c r="A3" s="91" t="s">
        <v>3</v>
      </c>
      <c r="B3" s="91" t="s">
        <v>39</v>
      </c>
      <c r="C3" s="98" t="s">
        <v>4</v>
      </c>
      <c r="D3" s="99" t="s">
        <v>5</v>
      </c>
      <c r="E3" s="99" t="s">
        <v>6</v>
      </c>
      <c r="F3" s="100" t="s">
        <v>7</v>
      </c>
      <c r="G3" s="101" t="s">
        <v>8</v>
      </c>
      <c r="H3" s="102" t="s">
        <v>6</v>
      </c>
      <c r="I3" s="103" t="s">
        <v>7</v>
      </c>
      <c r="J3" s="104" t="s">
        <v>48</v>
      </c>
      <c r="K3" s="104" t="s">
        <v>49</v>
      </c>
      <c r="M3" s="133" t="s">
        <v>233</v>
      </c>
    </row>
    <row r="4" spans="1:14" ht="18">
      <c r="A4" s="105" t="str" cm="1">
        <f t="array" ref="A4:A90">Sites[Site]</f>
        <v>Adams &amp; Broadway</v>
      </c>
      <c r="B4" s="106" t="str" cm="1">
        <f t="array" ref="B4:B90">Sites[State]</f>
        <v>CA</v>
      </c>
      <c r="C4" s="107">
        <v>1342.5</v>
      </c>
      <c r="D4" s="108" t="s">
        <v>202</v>
      </c>
      <c r="E4" s="108" t="str">
        <f>IF(AND(ISNUMBER(C4),ISNUMBER(D4)), C4-D4, "")</f>
        <v/>
      </c>
      <c r="F4" s="109" t="str">
        <f>IFERROR(E4/D4, "")</f>
        <v/>
      </c>
      <c r="G4" s="110">
        <v>1364</v>
      </c>
      <c r="H4" s="110">
        <f>IF(AND(ISNUMBER(C4),ISNUMBER(G4)), C4-G4, "")</f>
        <v>-21.5</v>
      </c>
      <c r="I4" s="111">
        <f>IFERROR(H4/G4, "")</f>
        <v>-1.5762463343108504E-2</v>
      </c>
      <c r="J4" s="112"/>
      <c r="K4" s="112"/>
      <c r="L4" s="269" t="s">
        <v>234</v>
      </c>
    </row>
    <row r="5" spans="1:14" ht="18">
      <c r="A5" s="113" t="str">
        <v>Otay Mesa</v>
      </c>
      <c r="B5" s="113" t="str">
        <v>CA</v>
      </c>
      <c r="C5" s="114">
        <v>39.301000000000002</v>
      </c>
      <c r="D5" s="115" t="s">
        <v>202</v>
      </c>
      <c r="E5" s="115" t="str">
        <f t="shared" ref="E5:E68" si="0">IF(AND(ISNUMBER(C5),ISNUMBER(D5)), C5-D5, "")</f>
        <v/>
      </c>
      <c r="F5" s="116" t="str">
        <f>IFERROR(E5/D5, "")</f>
        <v/>
      </c>
      <c r="G5" s="117" t="s">
        <v>202</v>
      </c>
      <c r="H5" s="118" t="str">
        <f t="shared" ref="H5:H68" si="1">IF(AND(ISNUMBER(C5),ISNUMBER(G5)), C5-G5, "")</f>
        <v/>
      </c>
      <c r="I5" s="116" t="str">
        <f t="shared" ref="I5:I68" si="2">IFERROR(H5/G5, "")</f>
        <v/>
      </c>
      <c r="J5" s="119" t="s">
        <v>51</v>
      </c>
      <c r="K5" s="120"/>
      <c r="L5" s="269"/>
    </row>
    <row r="6" spans="1:14" ht="28.35" customHeight="1">
      <c r="A6" s="106" t="str">
        <v>San Leandro</v>
      </c>
      <c r="B6" s="106" t="str">
        <v>CA</v>
      </c>
      <c r="C6" s="107">
        <v>0</v>
      </c>
      <c r="D6" s="108" t="s">
        <v>202</v>
      </c>
      <c r="E6" s="108" t="str">
        <f t="shared" si="0"/>
        <v/>
      </c>
      <c r="F6" s="109" t="str">
        <f t="shared" ref="F6:F69" si="3">IFERROR(E6/D6, "")</f>
        <v/>
      </c>
      <c r="G6" s="110">
        <v>0</v>
      </c>
      <c r="H6" s="110">
        <f t="shared" si="1"/>
        <v>0</v>
      </c>
      <c r="I6" s="111" t="str">
        <f t="shared" si="2"/>
        <v/>
      </c>
      <c r="J6" s="112" t="s">
        <v>203</v>
      </c>
      <c r="K6" s="121" t="s">
        <v>159</v>
      </c>
      <c r="L6" s="269"/>
    </row>
    <row r="7" spans="1:14" ht="54">
      <c r="A7" s="113" t="str">
        <v>Van Nuys</v>
      </c>
      <c r="B7" s="113" t="str">
        <v>CA</v>
      </c>
      <c r="C7" s="114">
        <v>2166.3000000000002</v>
      </c>
      <c r="D7" s="115" t="s">
        <v>202</v>
      </c>
      <c r="E7" s="115" t="str">
        <f t="shared" si="0"/>
        <v/>
      </c>
      <c r="F7" s="116" t="str">
        <f t="shared" si="3"/>
        <v/>
      </c>
      <c r="G7" s="118">
        <v>2735.2310000000002</v>
      </c>
      <c r="H7" s="118">
        <f t="shared" si="1"/>
        <v>-568.93100000000004</v>
      </c>
      <c r="I7" s="116">
        <f t="shared" si="2"/>
        <v>-0.20800107925071046</v>
      </c>
      <c r="J7" s="120" t="s">
        <v>100</v>
      </c>
      <c r="K7" s="120"/>
      <c r="L7" s="269"/>
    </row>
    <row r="8" spans="1:14" ht="18">
      <c r="A8" s="106" t="str">
        <v>Lodi - Lodi Vineyard</v>
      </c>
      <c r="B8" s="106" t="str">
        <v>CA</v>
      </c>
      <c r="C8" s="107">
        <v>51556</v>
      </c>
      <c r="D8" s="108">
        <v>46484</v>
      </c>
      <c r="E8" s="108">
        <f t="shared" si="0"/>
        <v>5072</v>
      </c>
      <c r="F8" s="109">
        <f t="shared" si="3"/>
        <v>0.1091128130109285</v>
      </c>
      <c r="G8" s="110">
        <v>44559</v>
      </c>
      <c r="H8" s="110">
        <f t="shared" si="1"/>
        <v>6997</v>
      </c>
      <c r="I8" s="111">
        <f t="shared" si="2"/>
        <v>0.15702776094616128</v>
      </c>
      <c r="J8" s="112"/>
      <c r="K8" s="112"/>
      <c r="L8" s="269"/>
    </row>
    <row r="9" spans="1:14" ht="18">
      <c r="A9" s="113" t="str">
        <v>Arden Fair Mall</v>
      </c>
      <c r="B9" s="113" t="str">
        <v>CA</v>
      </c>
      <c r="C9" s="114">
        <v>26900</v>
      </c>
      <c r="D9" s="115">
        <v>27313</v>
      </c>
      <c r="E9" s="115">
        <f t="shared" si="0"/>
        <v>-413</v>
      </c>
      <c r="F9" s="116">
        <f t="shared" si="3"/>
        <v>-1.5121004649800462E-2</v>
      </c>
      <c r="G9" s="118">
        <v>28718</v>
      </c>
      <c r="H9" s="118">
        <f t="shared" si="1"/>
        <v>-1818</v>
      </c>
      <c r="I9" s="116">
        <f t="shared" si="2"/>
        <v>-6.3305244097778393E-2</v>
      </c>
      <c r="J9" s="120"/>
      <c r="K9" s="122"/>
      <c r="L9" s="269"/>
      <c r="M9" s="132" t="s">
        <v>235</v>
      </c>
    </row>
    <row r="10" spans="1:14" ht="18">
      <c r="A10" s="106" t="str">
        <v>Modesto - Modesto Main</v>
      </c>
      <c r="B10" s="106" t="str">
        <v>CA</v>
      </c>
      <c r="C10" s="107">
        <v>20579</v>
      </c>
      <c r="D10" s="108">
        <v>22391</v>
      </c>
      <c r="E10" s="108">
        <f t="shared" si="0"/>
        <v>-1812</v>
      </c>
      <c r="F10" s="109">
        <f t="shared" si="3"/>
        <v>-8.0925371801170112E-2</v>
      </c>
      <c r="G10" s="110">
        <v>26304</v>
      </c>
      <c r="H10" s="110">
        <f t="shared" si="1"/>
        <v>-5725</v>
      </c>
      <c r="I10" s="111">
        <f t="shared" si="2"/>
        <v>-0.21764750608272507</v>
      </c>
      <c r="J10" s="112" t="s">
        <v>205</v>
      </c>
      <c r="K10" s="121" t="s">
        <v>236</v>
      </c>
      <c r="L10" s="269"/>
      <c r="M10" s="132" t="s">
        <v>235</v>
      </c>
    </row>
    <row r="11" spans="1:14" ht="126">
      <c r="A11" s="113" t="str">
        <v>Stevens Creek</v>
      </c>
      <c r="B11" s="113" t="str">
        <v>CA</v>
      </c>
      <c r="C11" s="114">
        <v>6675</v>
      </c>
      <c r="D11" s="115">
        <v>7096</v>
      </c>
      <c r="E11" s="115">
        <f t="shared" si="0"/>
        <v>-421</v>
      </c>
      <c r="F11" s="116">
        <f t="shared" si="3"/>
        <v>-5.9329199549041714E-2</v>
      </c>
      <c r="G11" s="118">
        <v>7887</v>
      </c>
      <c r="H11" s="118">
        <f t="shared" si="1"/>
        <v>-1212</v>
      </c>
      <c r="I11" s="116">
        <f t="shared" si="2"/>
        <v>-0.15367059718524154</v>
      </c>
      <c r="J11" s="120" t="s">
        <v>208</v>
      </c>
      <c r="K11" s="120"/>
      <c r="L11" s="269"/>
      <c r="M11" s="132" t="s">
        <v>237</v>
      </c>
    </row>
    <row r="12" spans="1:14" ht="18">
      <c r="A12" s="106" t="str">
        <v>Covina Main</v>
      </c>
      <c r="B12" s="106" t="str">
        <v>CA</v>
      </c>
      <c r="C12" s="107">
        <v>4616</v>
      </c>
      <c r="D12" s="108">
        <v>4541</v>
      </c>
      <c r="E12" s="108">
        <f t="shared" si="0"/>
        <v>75</v>
      </c>
      <c r="F12" s="109">
        <f t="shared" si="3"/>
        <v>1.6516185862144903E-2</v>
      </c>
      <c r="G12" s="110">
        <v>4147</v>
      </c>
      <c r="H12" s="110">
        <f t="shared" si="1"/>
        <v>469</v>
      </c>
      <c r="I12" s="111">
        <f t="shared" si="2"/>
        <v>0.11309380274897517</v>
      </c>
      <c r="J12" s="112"/>
      <c r="K12" s="112"/>
      <c r="L12" s="269"/>
    </row>
    <row r="13" spans="1:14" ht="126">
      <c r="A13" s="113" t="str">
        <v>Old Ranch Town Center</v>
      </c>
      <c r="B13" s="113" t="str">
        <v>CA</v>
      </c>
      <c r="C13" s="114">
        <v>1532</v>
      </c>
      <c r="D13" s="115" t="s">
        <v>202</v>
      </c>
      <c r="E13" s="115" t="str">
        <f t="shared" si="0"/>
        <v/>
      </c>
      <c r="F13" s="116" t="str">
        <f t="shared" si="3"/>
        <v/>
      </c>
      <c r="G13" s="118">
        <v>1742</v>
      </c>
      <c r="H13" s="118">
        <f t="shared" si="1"/>
        <v>-210</v>
      </c>
      <c r="I13" s="116">
        <f t="shared" si="2"/>
        <v>-0.12055109070034443</v>
      </c>
      <c r="J13" s="120" t="s">
        <v>208</v>
      </c>
      <c r="K13" s="122"/>
      <c r="L13" s="269"/>
    </row>
    <row r="14" spans="1:14" ht="18">
      <c r="A14" s="106" t="str">
        <v>Mountain Gate Plaza</v>
      </c>
      <c r="B14" s="106" t="str">
        <v>CA</v>
      </c>
      <c r="C14" s="107">
        <v>11390</v>
      </c>
      <c r="D14" s="108" t="s">
        <v>202</v>
      </c>
      <c r="E14" s="108" t="str">
        <f t="shared" si="0"/>
        <v/>
      </c>
      <c r="F14" s="109" t="str">
        <f t="shared" si="3"/>
        <v/>
      </c>
      <c r="G14" s="110">
        <v>11486</v>
      </c>
      <c r="H14" s="110">
        <f t="shared" si="1"/>
        <v>-96</v>
      </c>
      <c r="I14" s="111">
        <f t="shared" si="2"/>
        <v>-8.358001044750131E-3</v>
      </c>
      <c r="J14" s="112"/>
      <c r="K14" s="112"/>
      <c r="L14" s="269"/>
    </row>
    <row r="15" spans="1:14" ht="126">
      <c r="A15" s="113" t="str">
        <v>Arcadia Main</v>
      </c>
      <c r="B15" s="113" t="str">
        <v>CA</v>
      </c>
      <c r="C15" s="114">
        <v>5221</v>
      </c>
      <c r="D15" s="115" t="s">
        <v>202</v>
      </c>
      <c r="E15" s="115" t="str">
        <f t="shared" si="0"/>
        <v/>
      </c>
      <c r="F15" s="116" t="str">
        <f t="shared" si="3"/>
        <v/>
      </c>
      <c r="G15" s="118">
        <v>6209</v>
      </c>
      <c r="H15" s="118">
        <f t="shared" si="1"/>
        <v>-988</v>
      </c>
      <c r="I15" s="116">
        <f t="shared" si="2"/>
        <v>-0.15912385247221775</v>
      </c>
      <c r="J15" s="120" t="s">
        <v>208</v>
      </c>
      <c r="K15" s="120"/>
      <c r="L15" s="269"/>
    </row>
    <row r="16" spans="1:14" ht="18">
      <c r="A16" s="106" t="str">
        <v>Fairfield</v>
      </c>
      <c r="B16" s="106" t="str">
        <v>CA</v>
      </c>
      <c r="C16" s="107">
        <v>4973</v>
      </c>
      <c r="D16" s="108">
        <v>4885</v>
      </c>
      <c r="E16" s="108">
        <f t="shared" si="0"/>
        <v>88</v>
      </c>
      <c r="F16" s="109">
        <f t="shared" si="3"/>
        <v>1.8014329580348005E-2</v>
      </c>
      <c r="G16" s="110">
        <v>5311</v>
      </c>
      <c r="H16" s="110">
        <f t="shared" si="1"/>
        <v>-338</v>
      </c>
      <c r="I16" s="111">
        <f t="shared" si="2"/>
        <v>-6.364149877612503E-2</v>
      </c>
      <c r="J16" s="112"/>
      <c r="K16" s="121"/>
    </row>
    <row r="17" spans="1:19" ht="18">
      <c r="A17" s="113" t="str">
        <v>Los Gatos</v>
      </c>
      <c r="B17" s="113" t="str">
        <v>CA</v>
      </c>
      <c r="C17" s="114">
        <v>2733</v>
      </c>
      <c r="D17" s="115">
        <v>2795</v>
      </c>
      <c r="E17" s="115">
        <f t="shared" si="0"/>
        <v>-62</v>
      </c>
      <c r="F17" s="116">
        <f t="shared" si="3"/>
        <v>-2.21824686940966E-2</v>
      </c>
      <c r="G17" s="118">
        <v>0</v>
      </c>
      <c r="H17" s="118">
        <f t="shared" si="1"/>
        <v>2733</v>
      </c>
      <c r="I17" s="116" t="str">
        <f t="shared" si="2"/>
        <v/>
      </c>
      <c r="J17" s="120"/>
      <c r="K17" s="120"/>
      <c r="M17" s="132" t="s">
        <v>235</v>
      </c>
      <c r="N17" s="93" t="s">
        <v>238</v>
      </c>
    </row>
    <row r="18" spans="1:19" ht="16.5" customHeight="1">
      <c r="A18" s="106" t="str">
        <v>San Marino</v>
      </c>
      <c r="B18" s="106" t="str">
        <v>CA</v>
      </c>
      <c r="C18" s="107">
        <v>4254</v>
      </c>
      <c r="D18" s="108">
        <v>5790</v>
      </c>
      <c r="E18" s="108">
        <f t="shared" si="0"/>
        <v>-1536</v>
      </c>
      <c r="F18" s="109">
        <f t="shared" si="3"/>
        <v>-0.26528497409326424</v>
      </c>
      <c r="G18" s="110">
        <v>6929</v>
      </c>
      <c r="H18" s="110">
        <f t="shared" si="1"/>
        <v>-2675</v>
      </c>
      <c r="I18" s="111">
        <f t="shared" si="2"/>
        <v>-0.38605859431375378</v>
      </c>
      <c r="J18" s="112" t="s">
        <v>207</v>
      </c>
      <c r="K18" s="121" t="s">
        <v>239</v>
      </c>
      <c r="M18" s="132" t="s">
        <v>235</v>
      </c>
      <c r="N18" s="93" t="s">
        <v>240</v>
      </c>
    </row>
    <row r="19" spans="1:19" ht="18">
      <c r="A19" s="113" t="str">
        <v>Buenaventura</v>
      </c>
      <c r="B19" s="113" t="str">
        <v>CA</v>
      </c>
      <c r="C19" s="114">
        <v>5733</v>
      </c>
      <c r="D19" s="115">
        <v>4263</v>
      </c>
      <c r="E19" s="115">
        <f t="shared" si="0"/>
        <v>1470</v>
      </c>
      <c r="F19" s="109">
        <f t="shared" si="3"/>
        <v>0.34482758620689657</v>
      </c>
      <c r="G19" s="118">
        <v>6207</v>
      </c>
      <c r="H19" s="118">
        <f t="shared" si="1"/>
        <v>-474</v>
      </c>
      <c r="I19" s="116">
        <f t="shared" si="2"/>
        <v>-7.6365393910101498E-2</v>
      </c>
      <c r="J19" s="124"/>
      <c r="K19" s="122"/>
      <c r="L19" s="123"/>
      <c r="M19" s="132" t="s">
        <v>235</v>
      </c>
      <c r="N19" s="93" t="s">
        <v>29</v>
      </c>
      <c r="S19" s="134" t="s">
        <v>29</v>
      </c>
    </row>
    <row r="20" spans="1:19" ht="34.9">
      <c r="A20" s="106" t="str">
        <v>BE 199502 - Westgate</v>
      </c>
      <c r="B20" s="106" t="str">
        <v>CA</v>
      </c>
      <c r="C20" s="107">
        <v>2478</v>
      </c>
      <c r="D20" s="108">
        <v>0</v>
      </c>
      <c r="E20" s="108">
        <f t="shared" si="0"/>
        <v>2478</v>
      </c>
      <c r="F20" s="109" t="str">
        <f t="shared" si="3"/>
        <v/>
      </c>
      <c r="G20" s="110">
        <v>2634</v>
      </c>
      <c r="H20" s="110">
        <f t="shared" si="1"/>
        <v>-156</v>
      </c>
      <c r="I20" s="111">
        <f t="shared" si="2"/>
        <v>-5.9225512528473807E-2</v>
      </c>
      <c r="J20" s="112"/>
      <c r="K20" s="121"/>
      <c r="M20" s="132" t="s">
        <v>235</v>
      </c>
      <c r="N20" s="131" t="s">
        <v>241</v>
      </c>
    </row>
    <row r="21" spans="1:19" ht="18">
      <c r="A21" s="113" t="str">
        <v>98th &amp; Grant</v>
      </c>
      <c r="B21" s="113" t="str">
        <v>CO</v>
      </c>
      <c r="C21" s="114">
        <v>2432</v>
      </c>
      <c r="D21" s="115" t="s">
        <v>202</v>
      </c>
      <c r="E21" s="115" t="str">
        <f t="shared" si="0"/>
        <v/>
      </c>
      <c r="F21" s="116" t="str">
        <f t="shared" si="3"/>
        <v/>
      </c>
      <c r="G21" s="118">
        <v>2218</v>
      </c>
      <c r="H21" s="118">
        <f t="shared" si="1"/>
        <v>214</v>
      </c>
      <c r="I21" s="116">
        <f t="shared" si="2"/>
        <v>9.6483318304779075E-2</v>
      </c>
      <c r="J21" s="120"/>
      <c r="K21" s="120"/>
      <c r="M21" s="132" t="s">
        <v>237</v>
      </c>
    </row>
    <row r="22" spans="1:19" ht="36">
      <c r="A22" s="106" t="str">
        <v>Arapahoe Crossings</v>
      </c>
      <c r="B22" s="106" t="str">
        <v>CO</v>
      </c>
      <c r="C22" s="107">
        <v>3164</v>
      </c>
      <c r="D22" s="108" t="s">
        <v>202</v>
      </c>
      <c r="E22" s="108" t="str">
        <f t="shared" si="0"/>
        <v/>
      </c>
      <c r="F22" s="109" t="str">
        <f t="shared" si="3"/>
        <v/>
      </c>
      <c r="G22" s="110">
        <v>4185</v>
      </c>
      <c r="H22" s="110">
        <f t="shared" si="1"/>
        <v>-1021</v>
      </c>
      <c r="I22" s="111">
        <f t="shared" si="2"/>
        <v>-0.24396654719235364</v>
      </c>
      <c r="J22" s="112" t="s">
        <v>242</v>
      </c>
      <c r="K22" s="121" t="s">
        <v>243</v>
      </c>
      <c r="L22" s="123"/>
      <c r="M22" s="132" t="s">
        <v>235</v>
      </c>
      <c r="N22" s="93" t="s">
        <v>244</v>
      </c>
    </row>
    <row r="23" spans="1:19" ht="18">
      <c r="A23" s="113" t="str">
        <v>Aurora City Center</v>
      </c>
      <c r="B23" s="113" t="str">
        <v>CO</v>
      </c>
      <c r="C23" s="114">
        <v>632</v>
      </c>
      <c r="D23" s="115" t="s">
        <v>202</v>
      </c>
      <c r="E23" s="115" t="str">
        <f t="shared" si="0"/>
        <v/>
      </c>
      <c r="F23" s="116" t="str">
        <f t="shared" si="3"/>
        <v/>
      </c>
      <c r="G23" s="118">
        <v>1923</v>
      </c>
      <c r="H23" s="118">
        <f t="shared" si="1"/>
        <v>-1291</v>
      </c>
      <c r="I23" s="116">
        <f t="shared" si="2"/>
        <v>-0.67134685387415494</v>
      </c>
      <c r="J23" s="120" t="s">
        <v>245</v>
      </c>
      <c r="K23" s="120" t="s">
        <v>246</v>
      </c>
      <c r="M23" s="132" t="s">
        <v>237</v>
      </c>
    </row>
    <row r="24" spans="1:19" ht="18">
      <c r="A24" s="106" t="str">
        <v>Dry Creek</v>
      </c>
      <c r="B24" s="106" t="str">
        <v>CO</v>
      </c>
      <c r="C24" s="107">
        <v>2620</v>
      </c>
      <c r="D24" s="108" t="s">
        <v>202</v>
      </c>
      <c r="E24" s="108" t="str">
        <f t="shared" si="0"/>
        <v/>
      </c>
      <c r="F24" s="109" t="str">
        <f t="shared" si="3"/>
        <v/>
      </c>
      <c r="G24" s="110">
        <v>2426</v>
      </c>
      <c r="H24" s="110">
        <f t="shared" si="1"/>
        <v>194</v>
      </c>
      <c r="I24" s="111">
        <f t="shared" si="2"/>
        <v>7.996702390766694E-2</v>
      </c>
      <c r="J24" s="112"/>
      <c r="K24" s="121"/>
    </row>
    <row r="25" spans="1:19" ht="18">
      <c r="A25" s="113" t="str">
        <v>Highlands Ranch S.</v>
      </c>
      <c r="B25" s="113" t="str">
        <v>CO</v>
      </c>
      <c r="C25" s="114">
        <v>2185</v>
      </c>
      <c r="D25" s="115" t="s">
        <v>202</v>
      </c>
      <c r="E25" s="115" t="str">
        <f t="shared" si="0"/>
        <v/>
      </c>
      <c r="F25" s="116" t="str">
        <f t="shared" si="3"/>
        <v/>
      </c>
      <c r="G25" s="118">
        <v>2380</v>
      </c>
      <c r="H25" s="118">
        <f t="shared" si="1"/>
        <v>-195</v>
      </c>
      <c r="I25" s="116">
        <f t="shared" si="2"/>
        <v>-8.1932773109243698E-2</v>
      </c>
      <c r="J25" s="120"/>
      <c r="K25" s="120"/>
      <c r="M25" s="132" t="s">
        <v>237</v>
      </c>
      <c r="N25" s="93" t="s">
        <v>247</v>
      </c>
    </row>
    <row r="26" spans="1:19" ht="72">
      <c r="A26" s="106" t="str">
        <v>Lone Tree</v>
      </c>
      <c r="B26" s="106" t="str">
        <v>CO</v>
      </c>
      <c r="C26" s="107">
        <v>3439</v>
      </c>
      <c r="D26" s="108" t="s">
        <v>202</v>
      </c>
      <c r="E26" s="108" t="str">
        <f t="shared" si="0"/>
        <v/>
      </c>
      <c r="F26" s="109" t="str">
        <f t="shared" si="3"/>
        <v/>
      </c>
      <c r="G26" s="110">
        <v>5432</v>
      </c>
      <c r="H26" s="110">
        <f t="shared" si="1"/>
        <v>-1993</v>
      </c>
      <c r="I26" s="111">
        <f t="shared" si="2"/>
        <v>-0.36689985272459497</v>
      </c>
      <c r="J26" s="112" t="s">
        <v>248</v>
      </c>
      <c r="K26" s="112" t="s">
        <v>249</v>
      </c>
      <c r="M26" s="132" t="s">
        <v>237</v>
      </c>
    </row>
    <row r="27" spans="1:19" ht="18">
      <c r="A27" s="113" t="str">
        <v>Meridian</v>
      </c>
      <c r="B27" s="113" t="str">
        <v>CO</v>
      </c>
      <c r="C27" s="114">
        <v>3524</v>
      </c>
      <c r="D27" s="115" t="s">
        <v>202</v>
      </c>
      <c r="E27" s="115" t="str">
        <f t="shared" si="0"/>
        <v/>
      </c>
      <c r="F27" s="116" t="str">
        <f t="shared" si="3"/>
        <v/>
      </c>
      <c r="G27" s="118">
        <v>3145</v>
      </c>
      <c r="H27" s="118">
        <f t="shared" si="1"/>
        <v>379</v>
      </c>
      <c r="I27" s="116">
        <f t="shared" si="2"/>
        <v>0.1205087440381558</v>
      </c>
      <c r="J27" s="120"/>
      <c r="K27" s="120"/>
      <c r="M27" s="132" t="s">
        <v>237</v>
      </c>
    </row>
    <row r="28" spans="1:19" ht="18">
      <c r="A28" s="106" t="str">
        <v>Southglenn</v>
      </c>
      <c r="B28" s="106" t="str">
        <v>CO</v>
      </c>
      <c r="C28" s="107">
        <v>3464</v>
      </c>
      <c r="D28" s="108" t="s">
        <v>202</v>
      </c>
      <c r="E28" s="108" t="str">
        <f t="shared" si="0"/>
        <v/>
      </c>
      <c r="F28" s="109" t="str">
        <f t="shared" si="3"/>
        <v/>
      </c>
      <c r="G28" s="110">
        <v>3174</v>
      </c>
      <c r="H28" s="110">
        <f t="shared" si="1"/>
        <v>290</v>
      </c>
      <c r="I28" s="111">
        <f t="shared" si="2"/>
        <v>9.1367359798361691E-2</v>
      </c>
      <c r="J28" s="112"/>
      <c r="K28" s="112"/>
      <c r="M28" s="132" t="s">
        <v>235</v>
      </c>
      <c r="N28" s="93" t="s">
        <v>28</v>
      </c>
    </row>
    <row r="29" spans="1:19" ht="18">
      <c r="A29" s="113" t="str">
        <v>Standley Lake</v>
      </c>
      <c r="B29" s="113" t="str">
        <v>CO</v>
      </c>
      <c r="C29" s="114">
        <v>4110</v>
      </c>
      <c r="D29" s="115" t="s">
        <v>202</v>
      </c>
      <c r="E29" s="115" t="str">
        <f t="shared" si="0"/>
        <v/>
      </c>
      <c r="F29" s="116" t="str">
        <f t="shared" si="3"/>
        <v/>
      </c>
      <c r="G29" s="118">
        <v>4231</v>
      </c>
      <c r="H29" s="118">
        <f t="shared" si="1"/>
        <v>-121</v>
      </c>
      <c r="I29" s="116">
        <f t="shared" si="2"/>
        <v>-2.8598440085086267E-2</v>
      </c>
      <c r="J29" s="120" t="s">
        <v>250</v>
      </c>
      <c r="K29" s="120" t="s">
        <v>251</v>
      </c>
      <c r="M29" s="132" t="s">
        <v>237</v>
      </c>
      <c r="N29" s="93" t="s">
        <v>252</v>
      </c>
    </row>
    <row r="30" spans="1:19" ht="108">
      <c r="A30" s="106" t="str">
        <v>Havana Gardens</v>
      </c>
      <c r="B30" s="106" t="str">
        <v>CO</v>
      </c>
      <c r="C30" s="107">
        <v>4125</v>
      </c>
      <c r="D30" s="108" t="s">
        <v>202</v>
      </c>
      <c r="E30" s="108" t="str">
        <f t="shared" si="0"/>
        <v/>
      </c>
      <c r="F30" s="109" t="str">
        <f t="shared" si="3"/>
        <v/>
      </c>
      <c r="G30" s="110">
        <v>1646</v>
      </c>
      <c r="H30" s="110">
        <f t="shared" si="1"/>
        <v>2479</v>
      </c>
      <c r="I30" s="111">
        <f t="shared" si="2"/>
        <v>1.5060753341433779</v>
      </c>
      <c r="J30" s="112" t="s">
        <v>214</v>
      </c>
      <c r="K30" s="112"/>
      <c r="M30" s="132" t="s">
        <v>237</v>
      </c>
    </row>
    <row r="31" spans="1:19" ht="18">
      <c r="A31" s="113" t="str">
        <v>East Hartford</v>
      </c>
      <c r="B31" s="113" t="str">
        <v>CT</v>
      </c>
      <c r="C31" s="114">
        <v>895</v>
      </c>
      <c r="D31" s="115">
        <v>1945</v>
      </c>
      <c r="E31" s="115">
        <f t="shared" si="0"/>
        <v>-1050</v>
      </c>
      <c r="F31" s="116">
        <f t="shared" si="3"/>
        <v>-0.53984575835475579</v>
      </c>
      <c r="G31" s="118">
        <v>929</v>
      </c>
      <c r="H31" s="118">
        <f t="shared" si="1"/>
        <v>-34</v>
      </c>
      <c r="I31" s="116">
        <f t="shared" si="2"/>
        <v>-3.6598493003229281E-2</v>
      </c>
      <c r="J31" s="120" t="s">
        <v>253</v>
      </c>
      <c r="K31" s="120" t="s">
        <v>254</v>
      </c>
      <c r="M31" s="132" t="s">
        <v>237</v>
      </c>
      <c r="N31" s="93" t="s">
        <v>255</v>
      </c>
    </row>
    <row r="32" spans="1:19" ht="108">
      <c r="A32" s="106" t="str">
        <v>Norwalk</v>
      </c>
      <c r="B32" s="106" t="str">
        <v>CT</v>
      </c>
      <c r="C32" s="107">
        <v>1031</v>
      </c>
      <c r="D32" s="108">
        <v>0</v>
      </c>
      <c r="E32" s="108">
        <f t="shared" si="0"/>
        <v>1031</v>
      </c>
      <c r="F32" s="109" t="str">
        <f t="shared" si="3"/>
        <v/>
      </c>
      <c r="G32" s="110">
        <v>1142</v>
      </c>
      <c r="H32" s="110">
        <f t="shared" si="1"/>
        <v>-111</v>
      </c>
      <c r="I32" s="111">
        <f t="shared" si="2"/>
        <v>-9.7197898423817861E-2</v>
      </c>
      <c r="J32" s="112" t="s">
        <v>256</v>
      </c>
      <c r="K32" s="112" t="s">
        <v>61</v>
      </c>
      <c r="M32" s="132" t="s">
        <v>237</v>
      </c>
    </row>
    <row r="33" spans="1:14" ht="54">
      <c r="A33" s="113" t="str">
        <v>Hialeah Gardens</v>
      </c>
      <c r="B33" s="113" t="str">
        <v>FL</v>
      </c>
      <c r="C33" s="114">
        <v>833</v>
      </c>
      <c r="D33" s="115">
        <v>4925</v>
      </c>
      <c r="E33" s="115">
        <f t="shared" si="0"/>
        <v>-4092</v>
      </c>
      <c r="F33" s="116">
        <f t="shared" si="3"/>
        <v>-0.83086294416243656</v>
      </c>
      <c r="G33" s="118">
        <v>5675</v>
      </c>
      <c r="H33" s="118">
        <f t="shared" si="1"/>
        <v>-4842</v>
      </c>
      <c r="I33" s="116">
        <f t="shared" si="2"/>
        <v>-0.85321585903083697</v>
      </c>
      <c r="J33" s="120" t="s">
        <v>172</v>
      </c>
      <c r="K33" s="120" t="s">
        <v>109</v>
      </c>
      <c r="M33" s="132" t="s">
        <v>237</v>
      </c>
      <c r="N33" s="131" t="s">
        <v>257</v>
      </c>
    </row>
    <row r="34" spans="1:14" ht="34.9">
      <c r="A34" s="106" t="str">
        <v>W. Des Moines Campus EAST</v>
      </c>
      <c r="B34" s="106" t="str">
        <v>IA</v>
      </c>
      <c r="C34" s="107">
        <v>198640</v>
      </c>
      <c r="D34" s="108">
        <v>192284</v>
      </c>
      <c r="E34" s="108">
        <f t="shared" si="0"/>
        <v>6356</v>
      </c>
      <c r="F34" s="109">
        <f t="shared" si="3"/>
        <v>3.3055272409560861E-2</v>
      </c>
      <c r="G34" s="110">
        <v>204900</v>
      </c>
      <c r="H34" s="110">
        <f t="shared" si="1"/>
        <v>-6260</v>
      </c>
      <c r="I34" s="111">
        <f t="shared" si="2"/>
        <v>-3.0551488530990729E-2</v>
      </c>
      <c r="J34" s="112"/>
      <c r="K34" s="121"/>
      <c r="M34" s="132" t="s">
        <v>235</v>
      </c>
      <c r="N34" s="131" t="s">
        <v>258</v>
      </c>
    </row>
    <row r="35" spans="1:14" ht="56.45" customHeight="1">
      <c r="A35" s="113" t="str">
        <v>W. Des Moines Campus SW</v>
      </c>
      <c r="B35" s="113" t="str">
        <v>IA</v>
      </c>
      <c r="C35" s="114">
        <v>90104</v>
      </c>
      <c r="D35" s="115">
        <v>93694</v>
      </c>
      <c r="E35" s="115">
        <f t="shared" si="0"/>
        <v>-3590</v>
      </c>
      <c r="F35" s="116">
        <f t="shared" si="3"/>
        <v>-3.8316220889277865E-2</v>
      </c>
      <c r="G35" s="118">
        <v>100519</v>
      </c>
      <c r="H35" s="118">
        <f t="shared" si="1"/>
        <v>-10415</v>
      </c>
      <c r="I35" s="116">
        <f t="shared" si="2"/>
        <v>-0.10361225240999214</v>
      </c>
      <c r="J35" s="120" t="s">
        <v>259</v>
      </c>
      <c r="K35" s="120" t="s">
        <v>260</v>
      </c>
      <c r="M35" s="132" t="s">
        <v>237</v>
      </c>
      <c r="N35" s="93" t="s">
        <v>261</v>
      </c>
    </row>
    <row r="36" spans="1:14" ht="18">
      <c r="A36" s="106" t="str">
        <v>WF - CIC</v>
      </c>
      <c r="B36" s="106" t="str">
        <v>NC</v>
      </c>
      <c r="C36" s="107">
        <v>204468</v>
      </c>
      <c r="D36" s="108">
        <v>203434</v>
      </c>
      <c r="E36" s="108">
        <f t="shared" si="0"/>
        <v>1034</v>
      </c>
      <c r="F36" s="109">
        <f t="shared" si="3"/>
        <v>5.0827295339028874E-3</v>
      </c>
      <c r="G36" s="110">
        <v>210055</v>
      </c>
      <c r="H36" s="110">
        <f t="shared" si="1"/>
        <v>-5587</v>
      </c>
      <c r="I36" s="111">
        <f t="shared" si="2"/>
        <v>-2.6597795815381686E-2</v>
      </c>
      <c r="J36" s="112"/>
      <c r="K36" s="112"/>
      <c r="M36" s="132" t="s">
        <v>237</v>
      </c>
      <c r="N36" s="93" t="s">
        <v>262</v>
      </c>
    </row>
    <row r="37" spans="1:14" ht="36">
      <c r="A37" s="113" t="str">
        <v>Charlotte - Wells Fargo - DUC</v>
      </c>
      <c r="B37" s="113" t="str">
        <v>NC</v>
      </c>
      <c r="C37" s="114">
        <v>201246</v>
      </c>
      <c r="D37" s="115">
        <v>221443</v>
      </c>
      <c r="E37" s="115">
        <f t="shared" si="0"/>
        <v>-20197</v>
      </c>
      <c r="F37" s="116">
        <f t="shared" si="3"/>
        <v>-9.1206314943348854E-2</v>
      </c>
      <c r="G37" s="118">
        <v>179547</v>
      </c>
      <c r="H37" s="118">
        <f t="shared" si="1"/>
        <v>21699</v>
      </c>
      <c r="I37" s="116">
        <f t="shared" si="2"/>
        <v>0.12085414960985146</v>
      </c>
      <c r="J37" s="120" t="s">
        <v>263</v>
      </c>
      <c r="K37" s="120" t="s">
        <v>264</v>
      </c>
      <c r="M37" s="132" t="s">
        <v>237</v>
      </c>
      <c r="N37" s="93" t="s">
        <v>261</v>
      </c>
    </row>
    <row r="38" spans="1:14" ht="34.9">
      <c r="A38" s="106" t="str">
        <v>East Windsor</v>
      </c>
      <c r="B38" s="106" t="str">
        <v>NJ</v>
      </c>
      <c r="C38" s="107">
        <v>1198</v>
      </c>
      <c r="D38" s="108">
        <v>1054</v>
      </c>
      <c r="E38" s="108">
        <f t="shared" si="0"/>
        <v>144</v>
      </c>
      <c r="F38" s="109">
        <f t="shared" si="3"/>
        <v>0.13662239089184061</v>
      </c>
      <c r="G38" s="110">
        <v>1203</v>
      </c>
      <c r="H38" s="110">
        <f t="shared" si="1"/>
        <v>-5</v>
      </c>
      <c r="I38" s="111">
        <f t="shared" si="2"/>
        <v>-4.1562759767248547E-3</v>
      </c>
      <c r="J38" s="112"/>
      <c r="K38" s="121"/>
      <c r="N38" s="131" t="s">
        <v>265</v>
      </c>
    </row>
    <row r="39" spans="1:14" ht="18">
      <c r="A39" s="113" t="str">
        <v>Burlington</v>
      </c>
      <c r="B39" s="113" t="str">
        <v>NJ</v>
      </c>
      <c r="C39" s="114">
        <v>2957</v>
      </c>
      <c r="D39" s="115">
        <v>2853</v>
      </c>
      <c r="E39" s="115">
        <f t="shared" si="0"/>
        <v>104</v>
      </c>
      <c r="F39" s="116">
        <f t="shared" si="3"/>
        <v>3.645285664213109E-2</v>
      </c>
      <c r="G39" s="118">
        <v>3072</v>
      </c>
      <c r="H39" s="118">
        <f t="shared" si="1"/>
        <v>-115</v>
      </c>
      <c r="I39" s="116">
        <f t="shared" si="2"/>
        <v>-3.7434895833333336E-2</v>
      </c>
      <c r="J39" s="120"/>
      <c r="K39" s="120"/>
      <c r="M39" s="132" t="s">
        <v>266</v>
      </c>
    </row>
    <row r="40" spans="1:14" ht="18">
      <c r="A40" s="106" t="str">
        <v>Bayonne</v>
      </c>
      <c r="B40" s="106" t="str">
        <v>NJ</v>
      </c>
      <c r="C40" s="107">
        <v>3984</v>
      </c>
      <c r="D40" s="108">
        <v>3676</v>
      </c>
      <c r="E40" s="108">
        <f t="shared" si="0"/>
        <v>308</v>
      </c>
      <c r="F40" s="109">
        <f t="shared" si="3"/>
        <v>8.3786724700761692E-2</v>
      </c>
      <c r="G40" s="110">
        <v>3875</v>
      </c>
      <c r="H40" s="110">
        <f t="shared" si="1"/>
        <v>109</v>
      </c>
      <c r="I40" s="111">
        <f t="shared" si="2"/>
        <v>2.8129032258064516E-2</v>
      </c>
      <c r="J40" s="112"/>
      <c r="K40" s="112"/>
      <c r="M40" s="132" t="s">
        <v>237</v>
      </c>
    </row>
    <row r="41" spans="1:14" ht="108" customHeight="1">
      <c r="A41" s="113" t="str">
        <v>Clifton</v>
      </c>
      <c r="B41" s="113" t="str">
        <v>NJ</v>
      </c>
      <c r="C41" s="114">
        <v>4727</v>
      </c>
      <c r="D41" s="115">
        <v>4797</v>
      </c>
      <c r="E41" s="115">
        <f t="shared" si="0"/>
        <v>-70</v>
      </c>
      <c r="F41" s="116">
        <f t="shared" si="3"/>
        <v>-1.4592453616843861E-2</v>
      </c>
      <c r="G41" s="118">
        <v>5091</v>
      </c>
      <c r="H41" s="118">
        <f t="shared" si="1"/>
        <v>-364</v>
      </c>
      <c r="I41" s="116">
        <f t="shared" si="2"/>
        <v>-7.1498723237085046E-2</v>
      </c>
      <c r="J41" s="120"/>
      <c r="K41" s="120"/>
      <c r="M41" s="132" t="s">
        <v>235</v>
      </c>
      <c r="N41" s="93" t="s">
        <v>238</v>
      </c>
    </row>
    <row r="42" spans="1:14" ht="18">
      <c r="A42" s="106" t="str">
        <v>North Elizabeth</v>
      </c>
      <c r="B42" s="106" t="str">
        <v>NJ</v>
      </c>
      <c r="C42" s="107">
        <v>4079</v>
      </c>
      <c r="D42" s="108">
        <v>3757</v>
      </c>
      <c r="E42" s="108">
        <f t="shared" si="0"/>
        <v>322</v>
      </c>
      <c r="F42" s="109">
        <f t="shared" si="3"/>
        <v>8.5706680862390208E-2</v>
      </c>
      <c r="G42" s="110">
        <v>3903</v>
      </c>
      <c r="H42" s="110">
        <f t="shared" si="1"/>
        <v>176</v>
      </c>
      <c r="I42" s="111">
        <f t="shared" si="2"/>
        <v>4.5093517806815267E-2</v>
      </c>
      <c r="J42" s="112"/>
      <c r="K42" s="112"/>
      <c r="M42" s="132" t="s">
        <v>266</v>
      </c>
    </row>
    <row r="43" spans="1:14" ht="18">
      <c r="A43" s="113" t="str">
        <v>Haddon Westmont Plaza</v>
      </c>
      <c r="B43" s="113" t="str">
        <v>NJ</v>
      </c>
      <c r="C43" s="114">
        <v>2901</v>
      </c>
      <c r="D43" s="115">
        <v>2798</v>
      </c>
      <c r="E43" s="115">
        <f t="shared" si="0"/>
        <v>103</v>
      </c>
      <c r="F43" s="116">
        <f t="shared" si="3"/>
        <v>3.68120085775554E-2</v>
      </c>
      <c r="G43" s="118">
        <v>2876</v>
      </c>
      <c r="H43" s="118">
        <f t="shared" si="1"/>
        <v>25</v>
      </c>
      <c r="I43" s="116">
        <f t="shared" si="2"/>
        <v>8.6926286509040329E-3</v>
      </c>
      <c r="J43" s="120"/>
      <c r="K43" s="120"/>
      <c r="M43" s="132" t="s">
        <v>266</v>
      </c>
    </row>
    <row r="44" spans="1:14" ht="18">
      <c r="A44" s="106" t="str">
        <v>Parsippany</v>
      </c>
      <c r="B44" s="106" t="str">
        <v>NJ</v>
      </c>
      <c r="C44" s="107">
        <v>3548</v>
      </c>
      <c r="D44" s="108">
        <v>3275</v>
      </c>
      <c r="E44" s="108">
        <f t="shared" si="0"/>
        <v>273</v>
      </c>
      <c r="F44" s="109">
        <f t="shared" si="3"/>
        <v>8.33587786259542E-2</v>
      </c>
      <c r="G44" s="110">
        <v>3439</v>
      </c>
      <c r="H44" s="110">
        <f t="shared" si="1"/>
        <v>109</v>
      </c>
      <c r="I44" s="111">
        <f t="shared" si="2"/>
        <v>3.1695260250072695E-2</v>
      </c>
      <c r="J44" s="112"/>
      <c r="K44" s="112"/>
      <c r="M44" s="132" t="s">
        <v>266</v>
      </c>
    </row>
    <row r="45" spans="1:14" ht="18">
      <c r="A45" s="113" t="str">
        <v>Clark</v>
      </c>
      <c r="B45" s="113" t="str">
        <v>NJ</v>
      </c>
      <c r="C45" s="114">
        <v>2938</v>
      </c>
      <c r="D45" s="115">
        <v>2835</v>
      </c>
      <c r="E45" s="115">
        <f t="shared" si="0"/>
        <v>103</v>
      </c>
      <c r="F45" s="116">
        <f t="shared" si="3"/>
        <v>3.6331569664902995E-2</v>
      </c>
      <c r="G45" s="118">
        <v>2809</v>
      </c>
      <c r="H45" s="118">
        <f t="shared" si="1"/>
        <v>129</v>
      </c>
      <c r="I45" s="116">
        <f t="shared" si="2"/>
        <v>4.5923816304734778E-2</v>
      </c>
      <c r="J45" s="120"/>
      <c r="K45" s="122"/>
      <c r="M45" s="132" t="s">
        <v>235</v>
      </c>
    </row>
    <row r="46" spans="1:14" ht="126">
      <c r="A46" s="106" t="str">
        <v>Closter</v>
      </c>
      <c r="B46" s="106" t="str">
        <v>NJ</v>
      </c>
      <c r="C46" s="107">
        <v>1549</v>
      </c>
      <c r="D46" s="108">
        <v>1199</v>
      </c>
      <c r="E46" s="108">
        <f t="shared" si="0"/>
        <v>350</v>
      </c>
      <c r="F46" s="109">
        <f t="shared" si="3"/>
        <v>0.29190992493744788</v>
      </c>
      <c r="G46" s="110">
        <v>1739</v>
      </c>
      <c r="H46" s="110">
        <f t="shared" si="1"/>
        <v>-190</v>
      </c>
      <c r="I46" s="111">
        <f t="shared" si="2"/>
        <v>-0.10925819436457734</v>
      </c>
      <c r="J46" s="112" t="s">
        <v>208</v>
      </c>
      <c r="K46" s="121"/>
    </row>
    <row r="47" spans="1:14" ht="36">
      <c r="A47" s="113" t="str">
        <v>Holmdel</v>
      </c>
      <c r="B47" s="113" t="str">
        <v>NJ</v>
      </c>
      <c r="C47" s="114">
        <v>2513</v>
      </c>
      <c r="D47" s="115">
        <v>6085</v>
      </c>
      <c r="E47" s="115">
        <f t="shared" si="0"/>
        <v>-3572</v>
      </c>
      <c r="F47" s="116">
        <f t="shared" si="3"/>
        <v>-0.58701725554642559</v>
      </c>
      <c r="G47" s="118">
        <v>2332</v>
      </c>
      <c r="H47" s="118">
        <f t="shared" si="1"/>
        <v>181</v>
      </c>
      <c r="I47" s="116">
        <f t="shared" si="2"/>
        <v>7.7615780445969132E-2</v>
      </c>
      <c r="J47" s="120" t="s">
        <v>220</v>
      </c>
      <c r="K47" s="80" t="s">
        <v>181</v>
      </c>
      <c r="N47" s="131" t="s">
        <v>267</v>
      </c>
    </row>
    <row r="48" spans="1:14" ht="18">
      <c r="A48" s="106" t="str">
        <v>Ellisburg Circle Center</v>
      </c>
      <c r="B48" s="106" t="str">
        <v>NJ</v>
      </c>
      <c r="C48" s="107">
        <v>1325</v>
      </c>
      <c r="D48" s="108">
        <v>1274</v>
      </c>
      <c r="E48" s="108">
        <f t="shared" si="0"/>
        <v>51</v>
      </c>
      <c r="F48" s="109">
        <f t="shared" si="3"/>
        <v>4.0031397174254316E-2</v>
      </c>
      <c r="G48" s="110">
        <v>1332</v>
      </c>
      <c r="H48" s="110">
        <f t="shared" si="1"/>
        <v>-7</v>
      </c>
      <c r="I48" s="111">
        <f t="shared" si="2"/>
        <v>-5.2552552552552556E-3</v>
      </c>
      <c r="J48" s="112"/>
      <c r="K48" s="112"/>
    </row>
    <row r="49" spans="1:14" ht="18">
      <c r="A49" s="113" t="str">
        <v>Nutley</v>
      </c>
      <c r="B49" s="113" t="str">
        <v>NJ</v>
      </c>
      <c r="C49" s="114">
        <v>5189</v>
      </c>
      <c r="D49" s="115">
        <v>4003</v>
      </c>
      <c r="E49" s="115">
        <f t="shared" si="0"/>
        <v>1186</v>
      </c>
      <c r="F49" s="116">
        <f t="shared" si="3"/>
        <v>0.29627779165625778</v>
      </c>
      <c r="G49" s="118">
        <v>4918</v>
      </c>
      <c r="H49" s="118">
        <f t="shared" si="1"/>
        <v>271</v>
      </c>
      <c r="I49" s="116">
        <f t="shared" si="2"/>
        <v>5.5103700691337944E-2</v>
      </c>
      <c r="J49" s="120"/>
      <c r="K49" s="120"/>
    </row>
    <row r="50" spans="1:14" ht="18">
      <c r="A50" s="106" t="str">
        <v>Marlton</v>
      </c>
      <c r="B50" s="106" t="str">
        <v>NJ</v>
      </c>
      <c r="C50" s="107">
        <v>4549</v>
      </c>
      <c r="D50" s="108">
        <v>4095</v>
      </c>
      <c r="E50" s="108">
        <f t="shared" si="0"/>
        <v>454</v>
      </c>
      <c r="F50" s="109">
        <f t="shared" si="3"/>
        <v>0.11086691086691086</v>
      </c>
      <c r="G50" s="110">
        <v>4583</v>
      </c>
      <c r="H50" s="110">
        <f t="shared" si="1"/>
        <v>-34</v>
      </c>
      <c r="I50" s="111">
        <f t="shared" si="2"/>
        <v>-7.4187213615535671E-3</v>
      </c>
      <c r="J50" s="112"/>
      <c r="K50" s="112"/>
    </row>
    <row r="51" spans="1:14" ht="36">
      <c r="A51" s="113" t="str">
        <v>Middletown</v>
      </c>
      <c r="B51" s="113" t="str">
        <v>NJ</v>
      </c>
      <c r="C51" s="114">
        <v>3657</v>
      </c>
      <c r="D51" s="115">
        <v>1826</v>
      </c>
      <c r="E51" s="115">
        <f t="shared" si="0"/>
        <v>1831</v>
      </c>
      <c r="F51" s="116">
        <f t="shared" si="3"/>
        <v>1.0027382256297919</v>
      </c>
      <c r="G51" s="118">
        <v>3679</v>
      </c>
      <c r="H51" s="118">
        <f t="shared" si="1"/>
        <v>-22</v>
      </c>
      <c r="I51" s="116">
        <f t="shared" si="2"/>
        <v>-5.9798858385430821E-3</v>
      </c>
      <c r="J51" s="120" t="s">
        <v>268</v>
      </c>
      <c r="K51" s="120" t="s">
        <v>183</v>
      </c>
    </row>
    <row r="52" spans="1:14" ht="18">
      <c r="A52" s="106" t="str">
        <v>Whiting Crestwood</v>
      </c>
      <c r="B52" s="106" t="str">
        <v>NJ</v>
      </c>
      <c r="C52" s="107">
        <v>4614</v>
      </c>
      <c r="D52" s="108">
        <v>4551</v>
      </c>
      <c r="E52" s="108">
        <f t="shared" si="0"/>
        <v>63</v>
      </c>
      <c r="F52" s="109">
        <f t="shared" si="3"/>
        <v>1.3843111404087014E-2</v>
      </c>
      <c r="G52" s="110">
        <v>4974</v>
      </c>
      <c r="H52" s="110">
        <f t="shared" si="1"/>
        <v>-360</v>
      </c>
      <c r="I52" s="111">
        <f t="shared" si="2"/>
        <v>-7.2376357056694818E-2</v>
      </c>
      <c r="J52" s="112"/>
      <c r="K52" s="112"/>
    </row>
    <row r="53" spans="1:14" ht="18">
      <c r="A53" s="113" t="str">
        <v>Barnegat</v>
      </c>
      <c r="B53" s="113" t="str">
        <v>NJ</v>
      </c>
      <c r="C53" s="114">
        <v>6803</v>
      </c>
      <c r="D53" s="115">
        <v>6005</v>
      </c>
      <c r="E53" s="115">
        <f t="shared" si="0"/>
        <v>798</v>
      </c>
      <c r="F53" s="116">
        <f t="shared" si="3"/>
        <v>0.13288925895087428</v>
      </c>
      <c r="G53" s="118">
        <v>6872</v>
      </c>
      <c r="H53" s="118">
        <f t="shared" si="1"/>
        <v>-69</v>
      </c>
      <c r="I53" s="116">
        <f t="shared" si="2"/>
        <v>-1.0040745052386496E-2</v>
      </c>
      <c r="J53" s="120"/>
      <c r="K53" s="120"/>
    </row>
    <row r="54" spans="1:14" ht="126">
      <c r="A54" s="106" t="str">
        <v>Manchester</v>
      </c>
      <c r="B54" s="106" t="str">
        <v>NJ</v>
      </c>
      <c r="C54" s="107">
        <v>2590</v>
      </c>
      <c r="D54" s="108">
        <v>2825</v>
      </c>
      <c r="E54" s="108">
        <f t="shared" si="0"/>
        <v>-235</v>
      </c>
      <c r="F54" s="109">
        <f t="shared" si="3"/>
        <v>-8.3185840707964601E-2</v>
      </c>
      <c r="G54" s="110">
        <v>4195</v>
      </c>
      <c r="H54" s="110">
        <f t="shared" si="1"/>
        <v>-1605</v>
      </c>
      <c r="I54" s="111">
        <f t="shared" si="2"/>
        <v>-0.38259833134684146</v>
      </c>
      <c r="J54" s="112" t="s">
        <v>208</v>
      </c>
      <c r="K54" s="112"/>
    </row>
    <row r="55" spans="1:14" ht="18">
      <c r="A55" s="113" t="str">
        <v>West Deptford - Woodbury</v>
      </c>
      <c r="B55" s="113" t="str">
        <v>NJ</v>
      </c>
      <c r="C55" s="114">
        <v>4008</v>
      </c>
      <c r="D55" s="115">
        <v>4210</v>
      </c>
      <c r="E55" s="115">
        <f t="shared" si="0"/>
        <v>-202</v>
      </c>
      <c r="F55" s="116">
        <f t="shared" si="3"/>
        <v>-4.7980997624703085E-2</v>
      </c>
      <c r="G55" s="118">
        <v>3884</v>
      </c>
      <c r="H55" s="118">
        <f t="shared" si="1"/>
        <v>124</v>
      </c>
      <c r="I55" s="116">
        <f t="shared" si="2"/>
        <v>3.1925849639546859E-2</v>
      </c>
      <c r="J55" s="120"/>
      <c r="K55" s="120"/>
    </row>
    <row r="56" spans="1:14" ht="18">
      <c r="A56" s="106" t="str">
        <v>Edison</v>
      </c>
      <c r="B56" s="106" t="str">
        <v>NJ</v>
      </c>
      <c r="C56" s="107">
        <v>3650</v>
      </c>
      <c r="D56" s="108">
        <v>3666</v>
      </c>
      <c r="E56" s="108">
        <f t="shared" si="0"/>
        <v>-16</v>
      </c>
      <c r="F56" s="109">
        <f t="shared" si="3"/>
        <v>-4.3644298963447896E-3</v>
      </c>
      <c r="G56" s="110">
        <v>3608</v>
      </c>
      <c r="H56" s="110">
        <f t="shared" si="1"/>
        <v>42</v>
      </c>
      <c r="I56" s="111">
        <f t="shared" si="2"/>
        <v>1.164079822616408E-2</v>
      </c>
      <c r="J56" s="112"/>
      <c r="K56" s="121"/>
      <c r="M56" s="132" t="s">
        <v>237</v>
      </c>
      <c r="N56" s="93" t="s">
        <v>269</v>
      </c>
    </row>
    <row r="57" spans="1:14" ht="52.15">
      <c r="A57" s="113" t="str">
        <v>Flemington</v>
      </c>
      <c r="B57" s="113" t="str">
        <v>NJ</v>
      </c>
      <c r="C57" s="114">
        <v>3518</v>
      </c>
      <c r="D57" s="115">
        <v>3715</v>
      </c>
      <c r="E57" s="115">
        <f t="shared" si="0"/>
        <v>-197</v>
      </c>
      <c r="F57" s="116">
        <f t="shared" si="3"/>
        <v>-5.3028263795423955E-2</v>
      </c>
      <c r="G57" s="118">
        <v>3731</v>
      </c>
      <c r="H57" s="118">
        <f t="shared" si="1"/>
        <v>-213</v>
      </c>
      <c r="I57" s="116">
        <f t="shared" si="2"/>
        <v>-5.708925221120343E-2</v>
      </c>
      <c r="J57" s="120"/>
      <c r="K57" s="120"/>
      <c r="M57" s="132" t="s">
        <v>235</v>
      </c>
      <c r="N57" s="131" t="s">
        <v>270</v>
      </c>
    </row>
    <row r="58" spans="1:14" ht="18">
      <c r="A58" s="106" t="str">
        <v>Route 22</v>
      </c>
      <c r="B58" s="106" t="str">
        <v>NJ</v>
      </c>
      <c r="C58" s="107">
        <v>2982</v>
      </c>
      <c r="D58" s="108">
        <v>3286</v>
      </c>
      <c r="E58" s="108">
        <f t="shared" si="0"/>
        <v>-304</v>
      </c>
      <c r="F58" s="109">
        <f t="shared" si="3"/>
        <v>-9.2513694461351187E-2</v>
      </c>
      <c r="G58" s="110">
        <v>3517</v>
      </c>
      <c r="H58" s="110">
        <f t="shared" si="1"/>
        <v>-535</v>
      </c>
      <c r="I58" s="111">
        <f t="shared" si="2"/>
        <v>-0.15211828262723912</v>
      </c>
      <c r="J58" s="112" t="s">
        <v>271</v>
      </c>
      <c r="K58" s="112" t="s">
        <v>272</v>
      </c>
      <c r="M58" s="132" t="s">
        <v>237</v>
      </c>
      <c r="N58" s="93" t="s">
        <v>238</v>
      </c>
    </row>
    <row r="59" spans="1:14" ht="18">
      <c r="A59" s="113" t="str">
        <v>Laurelton</v>
      </c>
      <c r="B59" s="113" t="str">
        <v>NJ</v>
      </c>
      <c r="C59" s="114">
        <v>1985</v>
      </c>
      <c r="D59" s="115">
        <v>3045</v>
      </c>
      <c r="E59" s="115">
        <f t="shared" si="0"/>
        <v>-1060</v>
      </c>
      <c r="F59" s="116">
        <f t="shared" si="3"/>
        <v>-0.34811165845648606</v>
      </c>
      <c r="G59" s="118">
        <v>3103</v>
      </c>
      <c r="H59" s="118">
        <f t="shared" si="1"/>
        <v>-1118</v>
      </c>
      <c r="I59" s="116">
        <f t="shared" si="2"/>
        <v>-0.36029648727038349</v>
      </c>
      <c r="J59" s="120" t="s">
        <v>273</v>
      </c>
      <c r="K59" s="120" t="s">
        <v>274</v>
      </c>
      <c r="M59" s="132" t="s">
        <v>237</v>
      </c>
      <c r="N59" s="93" t="s">
        <v>238</v>
      </c>
    </row>
    <row r="60" spans="1:14" ht="54">
      <c r="A60" s="106" t="str">
        <v>Mahwah</v>
      </c>
      <c r="B60" s="106" t="str">
        <v>NJ</v>
      </c>
      <c r="C60" s="107">
        <v>2839</v>
      </c>
      <c r="D60" s="108">
        <v>347</v>
      </c>
      <c r="E60" s="108">
        <f t="shared" si="0"/>
        <v>2492</v>
      </c>
      <c r="F60" s="109">
        <f t="shared" si="3"/>
        <v>7.1815561959654177</v>
      </c>
      <c r="G60" s="110">
        <v>3083</v>
      </c>
      <c r="H60" s="110">
        <f t="shared" si="1"/>
        <v>-244</v>
      </c>
      <c r="I60" s="111">
        <f t="shared" si="2"/>
        <v>-7.914369120986052E-2</v>
      </c>
      <c r="J60" s="112" t="s">
        <v>187</v>
      </c>
      <c r="K60" s="112" t="s">
        <v>152</v>
      </c>
      <c r="M60" s="132" t="s">
        <v>237</v>
      </c>
      <c r="N60" s="93" t="s">
        <v>238</v>
      </c>
    </row>
    <row r="61" spans="1:14" ht="18">
      <c r="A61" s="113" t="str">
        <v>Franklin Township WF</v>
      </c>
      <c r="B61" s="113" t="str">
        <v>NJ</v>
      </c>
      <c r="C61" s="114">
        <v>3185</v>
      </c>
      <c r="D61" s="115">
        <v>3168</v>
      </c>
      <c r="E61" s="115">
        <f t="shared" si="0"/>
        <v>17</v>
      </c>
      <c r="F61" s="116">
        <f t="shared" si="3"/>
        <v>5.366161616161616E-3</v>
      </c>
      <c r="G61" s="118">
        <v>3453</v>
      </c>
      <c r="H61" s="118">
        <f t="shared" si="1"/>
        <v>-268</v>
      </c>
      <c r="I61" s="116">
        <f t="shared" si="2"/>
        <v>-7.7613669273095862E-2</v>
      </c>
      <c r="J61" s="120"/>
      <c r="K61" s="120"/>
      <c r="M61" s="132" t="s">
        <v>237</v>
      </c>
      <c r="N61" s="93" t="s">
        <v>238</v>
      </c>
    </row>
    <row r="62" spans="1:14" ht="18">
      <c r="A62" s="106" t="str">
        <v>Bordentown</v>
      </c>
      <c r="B62" s="106" t="str">
        <v>NJ</v>
      </c>
      <c r="C62" s="107">
        <v>2418</v>
      </c>
      <c r="D62" s="108">
        <v>2227</v>
      </c>
      <c r="E62" s="108">
        <f t="shared" si="0"/>
        <v>191</v>
      </c>
      <c r="F62" s="109">
        <f t="shared" si="3"/>
        <v>8.576560395150426E-2</v>
      </c>
      <c r="G62" s="110">
        <v>2340</v>
      </c>
      <c r="H62" s="110">
        <f t="shared" si="1"/>
        <v>78</v>
      </c>
      <c r="I62" s="111">
        <f t="shared" si="2"/>
        <v>3.3333333333333333E-2</v>
      </c>
      <c r="J62" s="112"/>
      <c r="K62" s="121"/>
      <c r="M62" s="132" t="s">
        <v>237</v>
      </c>
      <c r="N62" s="93" t="s">
        <v>238</v>
      </c>
    </row>
    <row r="63" spans="1:14" ht="18">
      <c r="A63" s="113" t="str">
        <v>South Plainfield</v>
      </c>
      <c r="B63" s="113" t="str">
        <v>NJ</v>
      </c>
      <c r="C63" s="114">
        <v>1796</v>
      </c>
      <c r="D63" s="115">
        <v>1772</v>
      </c>
      <c r="E63" s="115">
        <f t="shared" si="0"/>
        <v>24</v>
      </c>
      <c r="F63" s="116">
        <f t="shared" si="3"/>
        <v>1.3544018058690745E-2</v>
      </c>
      <c r="G63" s="118">
        <v>1698</v>
      </c>
      <c r="H63" s="118">
        <f t="shared" si="1"/>
        <v>98</v>
      </c>
      <c r="I63" s="116">
        <f t="shared" si="2"/>
        <v>5.7714958775029447E-2</v>
      </c>
      <c r="J63" s="120"/>
      <c r="K63" s="120"/>
      <c r="M63" s="132" t="s">
        <v>237</v>
      </c>
      <c r="N63" s="93" t="s">
        <v>238</v>
      </c>
    </row>
    <row r="64" spans="1:14" ht="18">
      <c r="A64" s="106" t="str">
        <v>Somerset</v>
      </c>
      <c r="B64" s="106" t="str">
        <v>NJ</v>
      </c>
      <c r="C64" s="107">
        <v>2945</v>
      </c>
      <c r="D64" s="108">
        <v>2752</v>
      </c>
      <c r="E64" s="108">
        <f t="shared" si="0"/>
        <v>193</v>
      </c>
      <c r="F64" s="109">
        <f t="shared" si="3"/>
        <v>7.0130813953488372E-2</v>
      </c>
      <c r="G64" s="110">
        <v>2908</v>
      </c>
      <c r="H64" s="110">
        <f t="shared" si="1"/>
        <v>37</v>
      </c>
      <c r="I64" s="111">
        <f t="shared" si="2"/>
        <v>1.2723521320495186E-2</v>
      </c>
      <c r="J64" s="112"/>
      <c r="K64" s="112"/>
      <c r="M64" s="132" t="s">
        <v>237</v>
      </c>
      <c r="N64" s="93" t="s">
        <v>238</v>
      </c>
    </row>
    <row r="65" spans="1:14" ht="18">
      <c r="A65" s="113" t="str">
        <v>Clinton Main Relo</v>
      </c>
      <c r="B65" s="113" t="str">
        <v>NJ</v>
      </c>
      <c r="C65" s="114">
        <v>3447</v>
      </c>
      <c r="D65" s="115">
        <v>3490</v>
      </c>
      <c r="E65" s="115">
        <f t="shared" si="0"/>
        <v>-43</v>
      </c>
      <c r="F65" s="116">
        <f t="shared" si="3"/>
        <v>-1.2320916905444125E-2</v>
      </c>
      <c r="G65" s="118">
        <v>3434</v>
      </c>
      <c r="H65" s="118">
        <f t="shared" si="1"/>
        <v>13</v>
      </c>
      <c r="I65" s="111">
        <f t="shared" si="2"/>
        <v>3.7856726849155504E-3</v>
      </c>
      <c r="J65" s="120"/>
      <c r="K65" s="120"/>
      <c r="M65" s="132" t="s">
        <v>237</v>
      </c>
    </row>
    <row r="66" spans="1:14" ht="18">
      <c r="A66" s="106" t="str">
        <v>North Brunswick</v>
      </c>
      <c r="B66" s="106" t="str">
        <v>NJ</v>
      </c>
      <c r="C66" s="107">
        <v>3501</v>
      </c>
      <c r="D66" s="108">
        <v>3177</v>
      </c>
      <c r="E66" s="108">
        <f t="shared" si="0"/>
        <v>324</v>
      </c>
      <c r="F66" s="109">
        <f t="shared" si="3"/>
        <v>0.10198300283286119</v>
      </c>
      <c r="G66" s="110">
        <v>3738</v>
      </c>
      <c r="H66" s="110">
        <f t="shared" si="1"/>
        <v>-237</v>
      </c>
      <c r="I66" s="111">
        <f t="shared" si="2"/>
        <v>-6.3402889245585875E-2</v>
      </c>
      <c r="J66" s="112"/>
      <c r="K66" s="112"/>
      <c r="M66" s="132" t="s">
        <v>235</v>
      </c>
    </row>
    <row r="67" spans="1:14" ht="18">
      <c r="A67" s="113" t="str">
        <v>Cherry Hill</v>
      </c>
      <c r="B67" s="113" t="str">
        <v>NJ</v>
      </c>
      <c r="C67" s="114">
        <v>2331</v>
      </c>
      <c r="D67" s="115">
        <v>2230</v>
      </c>
      <c r="E67" s="115">
        <f t="shared" si="0"/>
        <v>101</v>
      </c>
      <c r="F67" s="116">
        <f t="shared" si="3"/>
        <v>4.5291479820627804E-2</v>
      </c>
      <c r="G67" s="118">
        <v>2349</v>
      </c>
      <c r="H67" s="118">
        <f t="shared" si="1"/>
        <v>-18</v>
      </c>
      <c r="I67" s="111">
        <f t="shared" si="2"/>
        <v>-7.6628352490421452E-3</v>
      </c>
      <c r="J67" s="120"/>
      <c r="K67" s="122"/>
      <c r="M67" s="132" t="s">
        <v>235</v>
      </c>
    </row>
    <row r="68" spans="1:14" ht="18">
      <c r="A68" s="106" t="str">
        <v>Hainesport</v>
      </c>
      <c r="B68" s="106" t="str">
        <v>NJ</v>
      </c>
      <c r="C68" s="107">
        <v>2405</v>
      </c>
      <c r="D68" s="108">
        <v>2847</v>
      </c>
      <c r="E68" s="108">
        <f t="shared" si="0"/>
        <v>-442</v>
      </c>
      <c r="F68" s="109">
        <f t="shared" si="3"/>
        <v>-0.15525114155251141</v>
      </c>
      <c r="G68" s="110">
        <v>2309</v>
      </c>
      <c r="H68" s="110">
        <f t="shared" si="1"/>
        <v>96</v>
      </c>
      <c r="I68" s="111">
        <f t="shared" si="2"/>
        <v>4.1576440017323517E-2</v>
      </c>
      <c r="J68" s="112"/>
      <c r="K68" s="112"/>
      <c r="M68" s="132" t="s">
        <v>235</v>
      </c>
      <c r="N68" s="93" t="s">
        <v>238</v>
      </c>
    </row>
    <row r="69" spans="1:14" ht="20.45">
      <c r="A69" s="113" t="str">
        <v>San Antonio - Ops Ctr (Bldg 106)</v>
      </c>
      <c r="B69" s="113" t="str">
        <v>TX</v>
      </c>
      <c r="C69" s="114">
        <v>51871</v>
      </c>
      <c r="D69" s="115">
        <v>46883</v>
      </c>
      <c r="E69" s="115">
        <f t="shared" ref="E69:E84" si="4">IF(AND(ISNUMBER(C69),ISNUMBER(D69)), C69-D69, "")</f>
        <v>4988</v>
      </c>
      <c r="F69" s="116">
        <f t="shared" si="3"/>
        <v>0.10639250901179532</v>
      </c>
      <c r="G69" s="118">
        <v>63073</v>
      </c>
      <c r="H69" s="118">
        <f t="shared" ref="H69:H84" si="5">IF(AND(ISNUMBER(C69),ISNUMBER(G69)), C69-G69, "")</f>
        <v>-11202</v>
      </c>
      <c r="I69" s="111">
        <f t="shared" ref="I69:I84" si="6">IFERROR(H69/G69, "")</f>
        <v>-0.1776037290124142</v>
      </c>
      <c r="J69" s="120" t="s">
        <v>275</v>
      </c>
      <c r="K69" s="120" t="s">
        <v>189</v>
      </c>
      <c r="L69" s="130" t="s">
        <v>29</v>
      </c>
      <c r="M69" s="132" t="s">
        <v>237</v>
      </c>
    </row>
    <row r="70" spans="1:14" ht="108" customHeight="1">
      <c r="A70" s="106" t="str">
        <v>San Antonio - Ops Ctr GM</v>
      </c>
      <c r="B70" s="106" t="str">
        <v>TX</v>
      </c>
      <c r="C70" s="107">
        <v>349532</v>
      </c>
      <c r="D70" s="108">
        <v>388728</v>
      </c>
      <c r="E70" s="108">
        <f t="shared" si="4"/>
        <v>-39196</v>
      </c>
      <c r="F70" s="109">
        <f t="shared" ref="F70:F84" si="7">IFERROR(E70/D70, "")</f>
        <v>-0.10083142968862546</v>
      </c>
      <c r="G70" s="110">
        <v>461978</v>
      </c>
      <c r="H70" s="110">
        <f t="shared" si="5"/>
        <v>-112446</v>
      </c>
      <c r="I70" s="111">
        <f t="shared" si="6"/>
        <v>-0.24340120092298767</v>
      </c>
      <c r="J70" s="112" t="s">
        <v>29</v>
      </c>
      <c r="K70" s="112"/>
      <c r="N70" s="93" t="s">
        <v>238</v>
      </c>
    </row>
    <row r="71" spans="1:14" ht="18">
      <c r="A71" s="113" t="str">
        <v>San Antonio - Ctr (Bldg 201)</v>
      </c>
      <c r="B71" s="113" t="str">
        <v>TX</v>
      </c>
      <c r="C71" s="114">
        <v>52526</v>
      </c>
      <c r="D71" s="115">
        <v>46502</v>
      </c>
      <c r="E71" s="115">
        <f t="shared" si="4"/>
        <v>6024</v>
      </c>
      <c r="F71" s="116">
        <f t="shared" si="7"/>
        <v>0.12954281536278009</v>
      </c>
      <c r="G71" s="118">
        <v>62303</v>
      </c>
      <c r="H71" s="118">
        <f t="shared" si="5"/>
        <v>-9777</v>
      </c>
      <c r="I71" s="111">
        <f t="shared" si="6"/>
        <v>-0.15692663274641672</v>
      </c>
      <c r="J71" s="120" t="s">
        <v>29</v>
      </c>
      <c r="K71" s="120"/>
    </row>
    <row r="72" spans="1:14" ht="108" customHeight="1">
      <c r="A72" s="106" t="str">
        <v>San Antonio - Ops Ctr (Bldg 203)</v>
      </c>
      <c r="B72" s="106" t="str">
        <v>TX</v>
      </c>
      <c r="C72" s="107">
        <v>52306</v>
      </c>
      <c r="D72" s="108">
        <v>50501</v>
      </c>
      <c r="E72" s="108">
        <f t="shared" si="4"/>
        <v>1805</v>
      </c>
      <c r="F72" s="109">
        <f t="shared" si="7"/>
        <v>3.5741866497693113E-2</v>
      </c>
      <c r="G72" s="110">
        <v>62578</v>
      </c>
      <c r="H72" s="110">
        <f t="shared" si="5"/>
        <v>-10272</v>
      </c>
      <c r="I72" s="111">
        <f t="shared" si="6"/>
        <v>-0.16414714436383393</v>
      </c>
      <c r="J72" s="112" t="s">
        <v>29</v>
      </c>
      <c r="K72" s="112"/>
      <c r="N72" s="93" t="s">
        <v>238</v>
      </c>
    </row>
    <row r="73" spans="1:14" ht="18">
      <c r="A73" s="113" t="str">
        <v>San Antonio - Ops Ctr (Bldg 205)</v>
      </c>
      <c r="B73" s="113" t="str">
        <v>TX</v>
      </c>
      <c r="C73" s="114">
        <v>48677</v>
      </c>
      <c r="D73" s="115">
        <v>42369</v>
      </c>
      <c r="E73" s="115">
        <f t="shared" si="4"/>
        <v>6308</v>
      </c>
      <c r="F73" s="116">
        <f t="shared" si="7"/>
        <v>0.14888243763128703</v>
      </c>
      <c r="G73" s="118">
        <v>59706</v>
      </c>
      <c r="H73" s="118">
        <f t="shared" si="5"/>
        <v>-11029</v>
      </c>
      <c r="I73" s="111">
        <f t="shared" si="6"/>
        <v>-0.18472180350383546</v>
      </c>
      <c r="J73" s="120" t="s">
        <v>29</v>
      </c>
      <c r="K73" s="120"/>
    </row>
    <row r="74" spans="1:14" ht="18">
      <c r="A74" s="106" t="str">
        <v>San Antonio - Ops Ctr (Bldg 307)</v>
      </c>
      <c r="B74" s="106" t="str">
        <v>TX</v>
      </c>
      <c r="C74" s="107">
        <v>50988</v>
      </c>
      <c r="D74" s="108">
        <v>46074</v>
      </c>
      <c r="E74" s="108">
        <f t="shared" si="4"/>
        <v>4914</v>
      </c>
      <c r="F74" s="109">
        <f t="shared" si="7"/>
        <v>0.10665451230628988</v>
      </c>
      <c r="G74" s="110">
        <v>60626</v>
      </c>
      <c r="H74" s="110">
        <f t="shared" si="5"/>
        <v>-9638</v>
      </c>
      <c r="I74" s="111">
        <f t="shared" si="6"/>
        <v>-0.15897469732458022</v>
      </c>
      <c r="J74" s="112" t="s">
        <v>29</v>
      </c>
      <c r="K74" s="112"/>
    </row>
    <row r="75" spans="1:14" ht="36">
      <c r="A75" s="113" t="str">
        <v>San Antonio - Ctr (Bldg 308)</v>
      </c>
      <c r="B75" s="113" t="str">
        <v>TX</v>
      </c>
      <c r="C75" s="114">
        <v>48110</v>
      </c>
      <c r="D75" s="115">
        <v>45025</v>
      </c>
      <c r="E75" s="115">
        <f t="shared" si="4"/>
        <v>3085</v>
      </c>
      <c r="F75" s="116">
        <f t="shared" si="7"/>
        <v>6.8517490283176011E-2</v>
      </c>
      <c r="G75" s="118">
        <v>57851</v>
      </c>
      <c r="H75" s="118">
        <f t="shared" si="5"/>
        <v>-9741</v>
      </c>
      <c r="I75" s="111">
        <f t="shared" si="6"/>
        <v>-0.16838084043491036</v>
      </c>
      <c r="J75" s="120" t="s">
        <v>276</v>
      </c>
      <c r="K75" s="122" t="s">
        <v>277</v>
      </c>
      <c r="M75" s="132" t="s">
        <v>235</v>
      </c>
      <c r="N75" s="93" t="s">
        <v>238</v>
      </c>
    </row>
    <row r="76" spans="1:14" ht="18">
      <c r="A76" s="106" t="str">
        <v>San Antonio - Ops Ctr (Bldg 104)</v>
      </c>
      <c r="B76" s="106" t="str">
        <v>TX</v>
      </c>
      <c r="C76" s="107">
        <v>14452</v>
      </c>
      <c r="D76" s="108">
        <v>14120</v>
      </c>
      <c r="E76" s="108">
        <f t="shared" si="4"/>
        <v>332</v>
      </c>
      <c r="F76" s="109">
        <f t="shared" si="7"/>
        <v>2.3512747875354109E-2</v>
      </c>
      <c r="G76" s="110">
        <v>18302</v>
      </c>
      <c r="H76" s="110">
        <f t="shared" si="5"/>
        <v>-3850</v>
      </c>
      <c r="I76" s="111">
        <f t="shared" si="6"/>
        <v>-0.21035952354933887</v>
      </c>
      <c r="J76" s="112" t="s">
        <v>29</v>
      </c>
      <c r="K76" s="112"/>
      <c r="M76" s="132" t="s">
        <v>237</v>
      </c>
    </row>
    <row r="77" spans="1:14" ht="18">
      <c r="A77" s="113" t="str">
        <v>San Antonio - Ops Ctr (Bldg 102)</v>
      </c>
      <c r="B77" s="113" t="str">
        <v>TX</v>
      </c>
      <c r="C77" s="114">
        <v>54507</v>
      </c>
      <c r="D77" s="115" t="s">
        <v>202</v>
      </c>
      <c r="E77" s="115" t="str">
        <f t="shared" si="4"/>
        <v/>
      </c>
      <c r="F77" s="116" t="str">
        <f t="shared" si="7"/>
        <v/>
      </c>
      <c r="G77" s="118">
        <v>64945</v>
      </c>
      <c r="H77" s="118">
        <f t="shared" si="5"/>
        <v>-10438</v>
      </c>
      <c r="I77" s="111">
        <f t="shared" si="6"/>
        <v>-0.16072060974670876</v>
      </c>
      <c r="J77" s="120" t="s">
        <v>29</v>
      </c>
      <c r="K77" s="120"/>
      <c r="M77" s="132" t="s">
        <v>237</v>
      </c>
      <c r="N77" s="93" t="s">
        <v>278</v>
      </c>
    </row>
    <row r="78" spans="1:14" ht="18">
      <c r="A78" s="106" t="str">
        <v>N Black Canyon Hwy, Phoenix - North</v>
      </c>
      <c r="B78" s="106" t="str">
        <v>AZ</v>
      </c>
      <c r="C78" s="107">
        <v>101492</v>
      </c>
      <c r="D78" s="108">
        <v>83570</v>
      </c>
      <c r="E78" s="108">
        <f t="shared" si="4"/>
        <v>17922</v>
      </c>
      <c r="F78" s="109">
        <f t="shared" si="7"/>
        <v>0.21445494794782816</v>
      </c>
      <c r="G78" s="110">
        <v>98348</v>
      </c>
      <c r="H78" s="110">
        <f t="shared" si="5"/>
        <v>3144</v>
      </c>
      <c r="I78" s="111">
        <f t="shared" si="6"/>
        <v>3.1968113230569001E-2</v>
      </c>
      <c r="J78" s="112"/>
      <c r="K78" s="112"/>
      <c r="M78" s="132" t="s">
        <v>237</v>
      </c>
      <c r="N78" s="93" t="s">
        <v>278</v>
      </c>
    </row>
    <row r="79" spans="1:14" ht="18">
      <c r="A79" s="113" t="str">
        <v>N Black Canyon Hwy, Phoenix - South</v>
      </c>
      <c r="B79" s="113" t="str">
        <v>AZ</v>
      </c>
      <c r="C79" s="114">
        <v>104766</v>
      </c>
      <c r="D79" s="115">
        <v>91413</v>
      </c>
      <c r="E79" s="115">
        <f t="shared" si="4"/>
        <v>13353</v>
      </c>
      <c r="F79" s="116">
        <f t="shared" si="7"/>
        <v>0.14607331561156509</v>
      </c>
      <c r="G79" s="118">
        <v>108066</v>
      </c>
      <c r="H79" s="118">
        <f t="shared" si="5"/>
        <v>-3300</v>
      </c>
      <c r="I79" s="111">
        <f t="shared" si="6"/>
        <v>-3.0536894120259842E-2</v>
      </c>
      <c r="J79" s="120"/>
      <c r="K79" s="120"/>
      <c r="N79" s="93" t="s">
        <v>278</v>
      </c>
    </row>
    <row r="80" spans="1:14" ht="18">
      <c r="A80" s="106" t="str">
        <v xml:space="preserve"> Building 2222, Rose Garden Ln, Phoenix</v>
      </c>
      <c r="B80" s="106" t="str">
        <v>AZ</v>
      </c>
      <c r="C80" s="107">
        <v>137056</v>
      </c>
      <c r="D80" s="108">
        <v>134328</v>
      </c>
      <c r="E80" s="108">
        <f t="shared" si="4"/>
        <v>2728</v>
      </c>
      <c r="F80" s="109">
        <f t="shared" si="7"/>
        <v>2.0308498600440712E-2</v>
      </c>
      <c r="G80" s="110">
        <v>137881</v>
      </c>
      <c r="H80" s="110">
        <f t="shared" si="5"/>
        <v>-825</v>
      </c>
      <c r="I80" s="111">
        <f t="shared" si="6"/>
        <v>-5.983420485781217E-3</v>
      </c>
      <c r="J80" s="112"/>
      <c r="K80" s="112"/>
      <c r="M80" s="132" t="s">
        <v>237</v>
      </c>
      <c r="N80" s="93" t="s">
        <v>278</v>
      </c>
    </row>
    <row r="81" spans="1:14" ht="18">
      <c r="A81" s="113" t="str">
        <v xml:space="preserve"> Building 2202, Rose Garden Ln, Phoenix</v>
      </c>
      <c r="B81" s="113" t="str">
        <v>AZ</v>
      </c>
      <c r="C81" s="114">
        <v>136806</v>
      </c>
      <c r="D81" s="115">
        <v>134691</v>
      </c>
      <c r="E81" s="115">
        <f t="shared" si="4"/>
        <v>2115</v>
      </c>
      <c r="F81" s="116">
        <f t="shared" si="7"/>
        <v>1.5702608192084102E-2</v>
      </c>
      <c r="G81" s="118">
        <v>105149</v>
      </c>
      <c r="H81" s="118">
        <f t="shared" si="5"/>
        <v>31657</v>
      </c>
      <c r="I81" s="111">
        <f t="shared" si="6"/>
        <v>0.3010680082549525</v>
      </c>
      <c r="J81" s="120"/>
      <c r="K81" s="120"/>
      <c r="M81" s="132" t="s">
        <v>237</v>
      </c>
      <c r="N81" s="93" t="s">
        <v>278</v>
      </c>
    </row>
    <row r="82" spans="1:14" ht="18">
      <c r="A82" s="106" t="str">
        <v xml:space="preserve"> 99TH Ave &amp; BELL</v>
      </c>
      <c r="B82" s="106" t="str">
        <v>AZ</v>
      </c>
      <c r="C82" s="107">
        <v>24380</v>
      </c>
      <c r="D82" s="108">
        <v>23446</v>
      </c>
      <c r="E82" s="108">
        <f t="shared" si="4"/>
        <v>934</v>
      </c>
      <c r="F82" s="109">
        <f t="shared" si="7"/>
        <v>3.9836219397765077E-2</v>
      </c>
      <c r="G82" s="110">
        <v>23804</v>
      </c>
      <c r="H82" s="110">
        <f t="shared" si="5"/>
        <v>576</v>
      </c>
      <c r="I82" s="111">
        <f t="shared" si="6"/>
        <v>2.4197613846412367E-2</v>
      </c>
      <c r="J82" s="112"/>
      <c r="K82" s="112"/>
      <c r="M82" s="132" t="s">
        <v>237</v>
      </c>
      <c r="N82" s="93" t="s">
        <v>278</v>
      </c>
    </row>
    <row r="83" spans="1:14" ht="34.9">
      <c r="A83" s="113" t="str">
        <v>Rincon</v>
      </c>
      <c r="B83" s="113" t="str">
        <v>AZ</v>
      </c>
      <c r="C83" s="114">
        <v>8822</v>
      </c>
      <c r="D83" s="115">
        <v>7591</v>
      </c>
      <c r="E83" s="115">
        <f t="shared" si="4"/>
        <v>1231</v>
      </c>
      <c r="F83" s="116">
        <f t="shared" si="7"/>
        <v>0.16216572256619682</v>
      </c>
      <c r="G83" s="118">
        <v>8452</v>
      </c>
      <c r="H83" s="118">
        <f t="shared" si="5"/>
        <v>370</v>
      </c>
      <c r="I83" s="111">
        <f t="shared" si="6"/>
        <v>4.377662091812589E-2</v>
      </c>
      <c r="J83" s="120"/>
      <c r="K83" s="122"/>
      <c r="L83" s="123"/>
      <c r="M83" s="132" t="s">
        <v>237</v>
      </c>
      <c r="N83" s="131" t="s">
        <v>279</v>
      </c>
    </row>
    <row r="84" spans="1:14" ht="72">
      <c r="A84" s="106" t="str">
        <v>Tucson Main Parking Garage</v>
      </c>
      <c r="B84" s="106" t="str">
        <v>AZ</v>
      </c>
      <c r="C84" s="107">
        <v>15951</v>
      </c>
      <c r="D84" s="108">
        <v>15111</v>
      </c>
      <c r="E84" s="108">
        <f t="shared" si="4"/>
        <v>840</v>
      </c>
      <c r="F84" s="109">
        <f t="shared" si="7"/>
        <v>5.558864403414731E-2</v>
      </c>
      <c r="G84" s="110">
        <v>11034</v>
      </c>
      <c r="H84" s="110">
        <f t="shared" si="5"/>
        <v>4917</v>
      </c>
      <c r="I84" s="111">
        <f t="shared" si="6"/>
        <v>0.44562262098966832</v>
      </c>
      <c r="J84" s="112" t="s">
        <v>280</v>
      </c>
      <c r="K84" s="112" t="s">
        <v>281</v>
      </c>
    </row>
    <row r="85" spans="1:14" ht="18">
      <c r="A85" s="125" t="str">
        <v>AZ: Chandler - Chandler Campus - Bldg A</v>
      </c>
      <c r="B85" s="125" t="str">
        <v>AZ</v>
      </c>
      <c r="C85" s="126"/>
      <c r="D85" s="126"/>
      <c r="E85" s="126"/>
      <c r="F85" s="127"/>
      <c r="G85" s="126"/>
      <c r="H85" s="126"/>
      <c r="I85" s="127"/>
      <c r="J85" s="126"/>
      <c r="K85" s="126"/>
    </row>
    <row r="86" spans="1:14" ht="18">
      <c r="A86" s="125" t="str">
        <v>AZ: Phoenix - Pinnacle Peak Ops</v>
      </c>
      <c r="B86" s="125" t="str">
        <v>AZ</v>
      </c>
      <c r="C86" s="126"/>
      <c r="D86" s="126"/>
      <c r="E86" s="126"/>
      <c r="F86" s="127"/>
      <c r="G86" s="126"/>
      <c r="H86" s="126"/>
      <c r="I86" s="127"/>
      <c r="J86" s="126"/>
      <c r="K86" s="126"/>
    </row>
    <row r="87" spans="1:14" ht="18">
      <c r="A87" s="125" t="str">
        <v>CA: Alhambra - North Alhambra</v>
      </c>
      <c r="B87" s="125" t="str">
        <v>CA</v>
      </c>
      <c r="C87" s="126"/>
      <c r="D87" s="126"/>
      <c r="E87" s="126"/>
      <c r="F87" s="127"/>
      <c r="G87" s="126"/>
      <c r="H87" s="126"/>
      <c r="I87" s="127"/>
      <c r="J87" s="126"/>
      <c r="K87" s="126"/>
    </row>
    <row r="88" spans="1:14" ht="18">
      <c r="A88" s="125" t="str">
        <v>CA: La Canada - La Canada</v>
      </c>
      <c r="B88" s="125" t="str">
        <v>CA</v>
      </c>
      <c r="C88" s="126"/>
      <c r="D88" s="126"/>
      <c r="E88" s="126"/>
      <c r="F88" s="127"/>
      <c r="G88" s="126"/>
      <c r="H88" s="126"/>
      <c r="I88" s="127"/>
      <c r="J88" s="126"/>
      <c r="K88" s="126"/>
    </row>
    <row r="89" spans="1:14" ht="18">
      <c r="A89" s="125" t="str">
        <v>CA: Laguna Beach - LAGUNA BEACH</v>
      </c>
      <c r="B89" s="125" t="str">
        <v>CA</v>
      </c>
      <c r="C89" s="126"/>
      <c r="D89" s="126"/>
      <c r="E89" s="126"/>
      <c r="F89" s="127"/>
      <c r="G89" s="126"/>
      <c r="H89" s="126"/>
      <c r="I89" s="127"/>
      <c r="J89" s="126"/>
      <c r="K89" s="126"/>
    </row>
    <row r="90" spans="1:14" ht="18">
      <c r="A90" s="125" t="str">
        <v>CA: Newport Beach - MARINERS</v>
      </c>
      <c r="B90" s="125" t="str">
        <v>CA</v>
      </c>
      <c r="C90" s="126"/>
      <c r="D90" s="126"/>
      <c r="E90" s="126"/>
      <c r="F90" s="127"/>
      <c r="G90" s="126"/>
      <c r="H90" s="126"/>
      <c r="I90" s="127"/>
      <c r="J90" s="126"/>
      <c r="K90" s="126"/>
    </row>
    <row r="91" spans="1:14" ht="18">
      <c r="A91" s="125"/>
      <c r="B91" s="125"/>
      <c r="C91" s="126"/>
      <c r="D91" s="126"/>
      <c r="E91" s="126"/>
      <c r="F91" s="127"/>
      <c r="G91" s="126"/>
      <c r="H91" s="126"/>
      <c r="I91" s="127"/>
      <c r="J91" s="126"/>
      <c r="K91" s="126"/>
    </row>
    <row r="92" spans="1:14" ht="18">
      <c r="A92" s="125"/>
      <c r="B92" s="125"/>
      <c r="C92" s="126"/>
      <c r="D92" s="126"/>
      <c r="E92" s="126"/>
      <c r="F92" s="127"/>
      <c r="G92" s="126"/>
      <c r="H92" s="126"/>
      <c r="I92" s="127"/>
      <c r="J92" s="126"/>
      <c r="K92" s="126"/>
    </row>
    <row r="93" spans="1:14" ht="18">
      <c r="A93" s="125"/>
      <c r="B93" s="125"/>
      <c r="C93" s="126"/>
      <c r="D93" s="126"/>
      <c r="E93" s="126"/>
      <c r="F93" s="127"/>
      <c r="G93" s="126"/>
      <c r="H93" s="126"/>
      <c r="I93" s="127"/>
      <c r="J93" s="126"/>
      <c r="K93" s="126"/>
    </row>
    <row r="94" spans="1:14" ht="18">
      <c r="A94" s="125"/>
      <c r="B94" s="125"/>
      <c r="C94" s="126"/>
      <c r="D94" s="126"/>
      <c r="E94" s="126"/>
      <c r="F94" s="127"/>
      <c r="G94" s="126"/>
      <c r="H94" s="126"/>
      <c r="I94" s="127"/>
      <c r="J94" s="126"/>
      <c r="K94" s="126"/>
    </row>
    <row r="95" spans="1:14" ht="18">
      <c r="A95" s="125"/>
      <c r="B95" s="125"/>
      <c r="C95" s="126"/>
      <c r="D95" s="126"/>
      <c r="E95" s="126"/>
      <c r="F95" s="127"/>
      <c r="G95" s="126"/>
      <c r="H95" s="126"/>
      <c r="I95" s="127"/>
      <c r="J95" s="126"/>
      <c r="K95" s="126"/>
    </row>
    <row r="96" spans="1:14" ht="18">
      <c r="A96" s="125"/>
      <c r="B96" s="125"/>
      <c r="C96" s="126"/>
      <c r="D96" s="126"/>
      <c r="E96" s="126"/>
      <c r="F96" s="127"/>
      <c r="G96" s="126"/>
      <c r="H96" s="126"/>
      <c r="I96" s="127"/>
      <c r="J96" s="126"/>
      <c r="K96" s="126"/>
    </row>
    <row r="97" spans="1:11" ht="18">
      <c r="A97" s="125"/>
      <c r="B97" s="125"/>
      <c r="C97" s="126"/>
      <c r="D97" s="126"/>
      <c r="E97" s="126"/>
      <c r="F97" s="127"/>
      <c r="G97" s="126"/>
      <c r="H97" s="126"/>
      <c r="I97" s="127"/>
      <c r="J97" s="126"/>
      <c r="K97" s="126"/>
    </row>
    <row r="98" spans="1:11" ht="18">
      <c r="A98" s="125"/>
      <c r="B98" s="125"/>
      <c r="C98" s="126"/>
      <c r="D98" s="126"/>
      <c r="E98" s="126"/>
      <c r="F98" s="127"/>
      <c r="G98" s="126"/>
      <c r="H98" s="126"/>
      <c r="I98" s="127"/>
      <c r="J98" s="126"/>
      <c r="K98" s="126"/>
    </row>
    <row r="99" spans="1:11" ht="18">
      <c r="A99" s="125"/>
      <c r="B99" s="125"/>
      <c r="C99" s="126"/>
      <c r="D99" s="126"/>
      <c r="E99" s="126"/>
      <c r="F99" s="127"/>
      <c r="G99" s="126"/>
      <c r="H99" s="126"/>
      <c r="I99" s="127"/>
      <c r="J99" s="126"/>
      <c r="K99" s="126"/>
    </row>
    <row r="100" spans="1:11" ht="18">
      <c r="A100" s="125"/>
      <c r="B100" s="125"/>
      <c r="C100" s="126"/>
      <c r="D100" s="126"/>
      <c r="E100" s="126"/>
      <c r="F100" s="127"/>
      <c r="G100" s="126"/>
      <c r="H100" s="126"/>
      <c r="I100" s="127"/>
      <c r="J100" s="126"/>
      <c r="K100" s="126"/>
    </row>
    <row r="101" spans="1:11" ht="18">
      <c r="A101" s="125"/>
      <c r="B101" s="125"/>
      <c r="C101" s="126"/>
      <c r="D101" s="126"/>
      <c r="E101" s="126"/>
      <c r="F101" s="127"/>
      <c r="G101" s="126"/>
      <c r="H101" s="126"/>
      <c r="I101" s="127"/>
      <c r="J101" s="126"/>
      <c r="K101" s="126"/>
    </row>
    <row r="102" spans="1:11" ht="18">
      <c r="A102" s="125"/>
      <c r="B102" s="125"/>
      <c r="C102" s="126"/>
      <c r="D102" s="126"/>
      <c r="E102" s="126"/>
      <c r="F102" s="127"/>
      <c r="G102" s="126"/>
      <c r="H102" s="126"/>
      <c r="I102" s="127"/>
      <c r="J102" s="126"/>
      <c r="K102" s="126"/>
    </row>
    <row r="103" spans="1:11" ht="18">
      <c r="A103" s="125"/>
      <c r="B103" s="125"/>
      <c r="C103" s="126"/>
      <c r="D103" s="126"/>
      <c r="E103" s="126"/>
      <c r="F103" s="127"/>
      <c r="G103" s="126"/>
      <c r="H103" s="126"/>
      <c r="I103" s="127"/>
      <c r="J103" s="126"/>
      <c r="K103" s="126"/>
    </row>
    <row r="104" spans="1:11" ht="18">
      <c r="A104" s="125"/>
      <c r="B104" s="125"/>
      <c r="C104" s="126"/>
      <c r="D104" s="126"/>
      <c r="E104" s="126"/>
      <c r="F104" s="127"/>
      <c r="G104" s="126"/>
      <c r="H104" s="126"/>
      <c r="I104" s="127"/>
      <c r="J104" s="126"/>
      <c r="K104" s="126"/>
    </row>
    <row r="105" spans="1:11" ht="18">
      <c r="A105" s="125"/>
      <c r="B105" s="125"/>
      <c r="C105" s="126"/>
      <c r="D105" s="126"/>
      <c r="E105" s="126"/>
      <c r="F105" s="127"/>
      <c r="G105" s="126"/>
      <c r="H105" s="126"/>
      <c r="I105" s="127"/>
      <c r="J105" s="126"/>
      <c r="K105" s="126"/>
    </row>
    <row r="106" spans="1:11" ht="18">
      <c r="A106" s="125"/>
      <c r="B106" s="125"/>
      <c r="C106" s="126"/>
      <c r="D106" s="126"/>
      <c r="E106" s="126"/>
      <c r="F106" s="127"/>
      <c r="G106" s="126"/>
      <c r="H106" s="126"/>
      <c r="I106" s="127"/>
      <c r="J106" s="126"/>
      <c r="K106" s="126"/>
    </row>
    <row r="107" spans="1:11" ht="18">
      <c r="A107" s="125"/>
      <c r="B107" s="125"/>
      <c r="C107" s="126"/>
      <c r="D107" s="126"/>
      <c r="E107" s="126"/>
      <c r="F107" s="127"/>
      <c r="G107" s="126"/>
      <c r="H107" s="126"/>
      <c r="I107" s="127"/>
      <c r="J107" s="126"/>
      <c r="K107" s="126"/>
    </row>
    <row r="108" spans="1:11" ht="18">
      <c r="A108" s="125"/>
      <c r="B108" s="125"/>
      <c r="C108" s="126"/>
      <c r="D108" s="126"/>
      <c r="E108" s="126"/>
      <c r="F108" s="127"/>
      <c r="G108" s="126"/>
      <c r="H108" s="126"/>
      <c r="I108" s="127"/>
      <c r="J108" s="126"/>
      <c r="K108" s="126"/>
    </row>
    <row r="109" spans="1:11" ht="18">
      <c r="A109" s="125"/>
      <c r="B109" s="125"/>
      <c r="C109" s="126"/>
      <c r="D109" s="126"/>
      <c r="E109" s="126"/>
      <c r="F109" s="127"/>
      <c r="G109" s="126"/>
      <c r="H109" s="126"/>
      <c r="I109" s="127"/>
      <c r="J109" s="126"/>
      <c r="K109" s="126"/>
    </row>
    <row r="110" spans="1:11" ht="18">
      <c r="A110" s="125"/>
      <c r="B110" s="125"/>
      <c r="C110" s="126"/>
      <c r="D110" s="126"/>
      <c r="E110" s="126"/>
      <c r="F110" s="127"/>
      <c r="G110" s="126"/>
      <c r="H110" s="126"/>
      <c r="I110" s="127"/>
      <c r="J110" s="126"/>
      <c r="K110" s="126"/>
    </row>
    <row r="111" spans="1:11" ht="18">
      <c r="A111" s="125"/>
      <c r="B111" s="125"/>
      <c r="C111" s="126"/>
      <c r="D111" s="126"/>
      <c r="E111" s="126"/>
      <c r="F111" s="127"/>
      <c r="G111" s="126"/>
      <c r="H111" s="126"/>
      <c r="I111" s="127"/>
      <c r="J111" s="126"/>
      <c r="K111" s="126"/>
    </row>
    <row r="112" spans="1:11" ht="18">
      <c r="A112" s="125"/>
      <c r="B112" s="125"/>
      <c r="C112" s="126"/>
      <c r="D112" s="126"/>
      <c r="E112" s="126"/>
      <c r="F112" s="127"/>
      <c r="G112" s="126"/>
      <c r="H112" s="126"/>
      <c r="I112" s="127"/>
      <c r="J112" s="126"/>
      <c r="K112" s="126"/>
    </row>
    <row r="113" spans="1:11" ht="18">
      <c r="A113" s="125"/>
      <c r="B113" s="125"/>
      <c r="C113" s="126"/>
      <c r="D113" s="126"/>
      <c r="E113" s="126"/>
      <c r="F113" s="127"/>
      <c r="G113" s="126"/>
      <c r="H113" s="126"/>
      <c r="I113" s="127"/>
      <c r="J113" s="126"/>
      <c r="K113" s="126"/>
    </row>
    <row r="114" spans="1:11" ht="18">
      <c r="A114" s="125"/>
      <c r="B114" s="125"/>
      <c r="C114" s="126"/>
      <c r="D114" s="126"/>
      <c r="E114" s="126"/>
      <c r="F114" s="127"/>
      <c r="G114" s="126"/>
      <c r="H114" s="126"/>
      <c r="I114" s="127"/>
      <c r="J114" s="126"/>
      <c r="K114" s="126"/>
    </row>
    <row r="115" spans="1:11" ht="18">
      <c r="A115" s="125"/>
      <c r="B115" s="125"/>
      <c r="C115" s="126"/>
      <c r="D115" s="126"/>
      <c r="E115" s="126"/>
      <c r="F115" s="127"/>
      <c r="G115" s="126"/>
      <c r="H115" s="126"/>
      <c r="I115" s="127"/>
      <c r="J115" s="126"/>
      <c r="K115" s="126"/>
    </row>
    <row r="116" spans="1:11" ht="18">
      <c r="A116" s="125"/>
      <c r="B116" s="125"/>
      <c r="C116" s="126"/>
      <c r="D116" s="126"/>
      <c r="E116" s="126"/>
      <c r="F116" s="127"/>
      <c r="G116" s="126"/>
      <c r="H116" s="126"/>
      <c r="I116" s="127"/>
      <c r="J116" s="126"/>
      <c r="K116" s="126"/>
    </row>
    <row r="117" spans="1:11" ht="18">
      <c r="A117" s="125"/>
      <c r="B117" s="125"/>
      <c r="C117" s="126"/>
      <c r="D117" s="126"/>
      <c r="E117" s="126"/>
      <c r="F117" s="127"/>
      <c r="G117" s="126"/>
      <c r="H117" s="126"/>
      <c r="I117" s="127"/>
      <c r="J117" s="126"/>
      <c r="K117" s="126"/>
    </row>
    <row r="118" spans="1:11" ht="18">
      <c r="A118" s="125"/>
      <c r="B118" s="125"/>
      <c r="C118" s="126"/>
      <c r="D118" s="126"/>
      <c r="E118" s="126"/>
      <c r="F118" s="127"/>
      <c r="G118" s="126"/>
      <c r="H118" s="126"/>
      <c r="I118" s="127"/>
      <c r="J118" s="126"/>
      <c r="K118" s="126"/>
    </row>
    <row r="119" spans="1:11" ht="18">
      <c r="A119" s="125"/>
      <c r="B119" s="125"/>
      <c r="C119" s="126"/>
      <c r="D119" s="126"/>
      <c r="E119" s="126"/>
      <c r="F119" s="127"/>
      <c r="G119" s="126"/>
      <c r="H119" s="126"/>
      <c r="I119" s="127"/>
      <c r="J119" s="126"/>
      <c r="K119" s="126"/>
    </row>
    <row r="120" spans="1:11" ht="18">
      <c r="A120" s="125"/>
      <c r="B120" s="125"/>
      <c r="C120" s="126"/>
      <c r="D120" s="126"/>
      <c r="E120" s="126"/>
      <c r="F120" s="127"/>
      <c r="G120" s="126"/>
      <c r="H120" s="126"/>
      <c r="I120" s="127"/>
      <c r="J120" s="126"/>
      <c r="K120" s="126"/>
    </row>
    <row r="121" spans="1:11" ht="18">
      <c r="A121" s="125"/>
      <c r="B121" s="125"/>
      <c r="C121" s="126"/>
      <c r="D121" s="126"/>
      <c r="E121" s="126"/>
      <c r="F121" s="127"/>
      <c r="G121" s="126"/>
      <c r="H121" s="126"/>
      <c r="I121" s="127"/>
      <c r="J121" s="126"/>
      <c r="K121" s="126"/>
    </row>
    <row r="122" spans="1:11" ht="18">
      <c r="A122" s="125"/>
      <c r="B122" s="125"/>
      <c r="C122" s="126"/>
      <c r="D122" s="126"/>
      <c r="E122" s="126"/>
      <c r="F122" s="127"/>
      <c r="G122" s="126"/>
      <c r="H122" s="126"/>
      <c r="I122" s="127"/>
      <c r="J122" s="126"/>
      <c r="K122" s="126"/>
    </row>
    <row r="123" spans="1:11" ht="18">
      <c r="A123" s="125"/>
      <c r="B123" s="125"/>
      <c r="C123" s="126"/>
      <c r="D123" s="126"/>
      <c r="E123" s="126"/>
      <c r="F123" s="127"/>
      <c r="G123" s="126"/>
      <c r="H123" s="126"/>
      <c r="I123" s="127"/>
      <c r="J123" s="126"/>
      <c r="K123" s="126"/>
    </row>
    <row r="124" spans="1:11" ht="18">
      <c r="A124" s="125"/>
      <c r="B124" s="125"/>
      <c r="C124" s="126"/>
      <c r="D124" s="126"/>
      <c r="E124" s="126"/>
      <c r="F124" s="127"/>
      <c r="G124" s="126"/>
      <c r="H124" s="126"/>
      <c r="I124" s="127"/>
      <c r="J124" s="126"/>
      <c r="K124" s="126"/>
    </row>
    <row r="125" spans="1:11" ht="18">
      <c r="A125" s="125"/>
      <c r="B125" s="125"/>
      <c r="C125" s="126"/>
      <c r="D125" s="126"/>
      <c r="E125" s="126"/>
      <c r="F125" s="127"/>
      <c r="G125" s="126"/>
      <c r="H125" s="126"/>
      <c r="I125" s="127"/>
      <c r="J125" s="126"/>
      <c r="K125" s="126"/>
    </row>
    <row r="126" spans="1:11" ht="18">
      <c r="A126" s="125"/>
      <c r="B126" s="125"/>
      <c r="C126" s="126"/>
      <c r="D126" s="126"/>
      <c r="E126" s="126"/>
      <c r="F126" s="127"/>
      <c r="G126" s="126"/>
      <c r="H126" s="126"/>
      <c r="I126" s="127"/>
      <c r="J126" s="126"/>
      <c r="K126" s="126"/>
    </row>
    <row r="127" spans="1:11" ht="18">
      <c r="A127" s="125"/>
      <c r="B127" s="125"/>
      <c r="C127" s="126"/>
      <c r="D127" s="126"/>
      <c r="E127" s="126"/>
      <c r="F127" s="127"/>
      <c r="G127" s="126"/>
      <c r="H127" s="126"/>
      <c r="I127" s="127"/>
      <c r="J127" s="126"/>
      <c r="K127" s="126"/>
    </row>
    <row r="128" spans="1:11" ht="18">
      <c r="A128" s="125"/>
      <c r="B128" s="125"/>
      <c r="C128" s="126"/>
      <c r="D128" s="126"/>
      <c r="E128" s="126"/>
      <c r="F128" s="127"/>
      <c r="G128" s="126"/>
      <c r="H128" s="126"/>
      <c r="I128" s="127"/>
      <c r="J128" s="126"/>
      <c r="K128" s="126"/>
    </row>
    <row r="129" spans="1:11" ht="18">
      <c r="A129" s="125"/>
      <c r="B129" s="125"/>
      <c r="C129" s="126"/>
      <c r="D129" s="126"/>
      <c r="E129" s="126"/>
      <c r="F129" s="127"/>
      <c r="G129" s="126"/>
      <c r="H129" s="126"/>
      <c r="I129" s="127"/>
      <c r="J129" s="126"/>
      <c r="K129" s="126"/>
    </row>
    <row r="130" spans="1:11" ht="18">
      <c r="A130" s="125"/>
      <c r="B130" s="125"/>
      <c r="C130" s="126"/>
      <c r="D130" s="126"/>
      <c r="E130" s="126"/>
      <c r="F130" s="127"/>
      <c r="G130" s="126"/>
      <c r="H130" s="126"/>
      <c r="I130" s="127"/>
      <c r="J130" s="126"/>
      <c r="K130" s="126"/>
    </row>
    <row r="131" spans="1:11" ht="18">
      <c r="A131" s="125"/>
      <c r="B131" s="125"/>
      <c r="C131" s="126"/>
      <c r="D131" s="126"/>
      <c r="E131" s="126"/>
      <c r="F131" s="127"/>
      <c r="G131" s="126"/>
      <c r="H131" s="126"/>
      <c r="I131" s="127"/>
      <c r="J131" s="126"/>
      <c r="K131" s="126"/>
    </row>
    <row r="132" spans="1:11" ht="18">
      <c r="A132" s="125"/>
      <c r="B132" s="125"/>
      <c r="C132" s="126"/>
      <c r="D132" s="126"/>
      <c r="E132" s="126"/>
      <c r="F132" s="127"/>
      <c r="G132" s="126"/>
      <c r="H132" s="126"/>
      <c r="I132" s="127"/>
      <c r="J132" s="126"/>
      <c r="K132" s="126"/>
    </row>
    <row r="133" spans="1:11" ht="18">
      <c r="A133" s="125"/>
      <c r="B133" s="125"/>
      <c r="C133" s="126"/>
      <c r="D133" s="126"/>
      <c r="E133" s="126"/>
      <c r="F133" s="127"/>
      <c r="G133" s="126"/>
      <c r="H133" s="126"/>
      <c r="I133" s="127"/>
      <c r="J133" s="126"/>
      <c r="K133" s="126"/>
    </row>
    <row r="134" spans="1:11" ht="18">
      <c r="A134" s="125"/>
      <c r="B134" s="125"/>
      <c r="C134" s="126"/>
      <c r="D134" s="126"/>
      <c r="E134" s="126"/>
      <c r="F134" s="127"/>
      <c r="G134" s="126"/>
      <c r="H134" s="126"/>
      <c r="I134" s="127"/>
      <c r="J134" s="126"/>
      <c r="K134" s="126"/>
    </row>
    <row r="135" spans="1:11" ht="18">
      <c r="A135" s="125"/>
      <c r="B135" s="125"/>
      <c r="C135" s="126"/>
      <c r="D135" s="126"/>
      <c r="E135" s="126"/>
      <c r="F135" s="127"/>
      <c r="G135" s="126"/>
      <c r="H135" s="126"/>
      <c r="I135" s="127"/>
      <c r="J135" s="126"/>
      <c r="K135" s="126"/>
    </row>
    <row r="136" spans="1:11" ht="18">
      <c r="A136" s="125"/>
      <c r="B136" s="125"/>
      <c r="C136" s="126"/>
      <c r="D136" s="126"/>
      <c r="E136" s="126"/>
      <c r="F136" s="127"/>
      <c r="G136" s="126"/>
      <c r="H136" s="126"/>
      <c r="I136" s="127"/>
      <c r="J136" s="126"/>
      <c r="K136" s="126"/>
    </row>
    <row r="137" spans="1:11" ht="18">
      <c r="A137" s="125"/>
      <c r="B137" s="125"/>
      <c r="C137" s="126"/>
      <c r="D137" s="126"/>
      <c r="E137" s="126"/>
      <c r="F137" s="127"/>
      <c r="G137" s="126"/>
      <c r="H137" s="126"/>
      <c r="I137" s="127"/>
      <c r="J137" s="126"/>
      <c r="K137" s="126"/>
    </row>
    <row r="138" spans="1:11" ht="18">
      <c r="A138" s="125"/>
      <c r="B138" s="125"/>
      <c r="C138" s="126"/>
      <c r="D138" s="126"/>
      <c r="E138" s="126"/>
      <c r="F138" s="127"/>
      <c r="G138" s="126"/>
      <c r="H138" s="126"/>
      <c r="I138" s="127"/>
      <c r="J138" s="126"/>
      <c r="K138" s="126"/>
    </row>
    <row r="139" spans="1:11" ht="18">
      <c r="A139" s="125"/>
      <c r="B139" s="125"/>
      <c r="C139" s="126"/>
      <c r="D139" s="126"/>
      <c r="E139" s="126"/>
      <c r="F139" s="127"/>
      <c r="G139" s="126"/>
      <c r="H139" s="126"/>
      <c r="I139" s="127"/>
      <c r="J139" s="126"/>
      <c r="K139" s="126"/>
    </row>
    <row r="140" spans="1:11" ht="18">
      <c r="A140" s="125"/>
      <c r="B140" s="125"/>
      <c r="C140" s="126"/>
      <c r="D140" s="126"/>
      <c r="E140" s="126"/>
      <c r="F140" s="127"/>
      <c r="G140" s="126"/>
      <c r="H140" s="126"/>
      <c r="I140" s="127"/>
      <c r="J140" s="126"/>
      <c r="K140" s="126"/>
    </row>
    <row r="141" spans="1:11" ht="18">
      <c r="A141" s="125"/>
      <c r="B141" s="125"/>
      <c r="C141" s="126"/>
      <c r="D141" s="126"/>
      <c r="E141" s="126"/>
      <c r="F141" s="127"/>
      <c r="G141" s="126"/>
      <c r="H141" s="126"/>
      <c r="I141" s="127"/>
      <c r="J141" s="126"/>
      <c r="K141" s="126"/>
    </row>
    <row r="142" spans="1:11" ht="18">
      <c r="A142" s="125"/>
      <c r="B142" s="125"/>
      <c r="C142" s="126"/>
      <c r="D142" s="126"/>
      <c r="E142" s="126"/>
      <c r="F142" s="127"/>
      <c r="G142" s="126"/>
      <c r="H142" s="126"/>
      <c r="I142" s="127"/>
      <c r="J142" s="126"/>
      <c r="K142" s="126"/>
    </row>
    <row r="143" spans="1:11" ht="18">
      <c r="A143" s="125"/>
      <c r="B143" s="125"/>
      <c r="C143" s="126"/>
      <c r="D143" s="126"/>
      <c r="E143" s="126"/>
      <c r="F143" s="127"/>
      <c r="G143" s="126"/>
      <c r="H143" s="126"/>
      <c r="I143" s="127"/>
      <c r="J143" s="126"/>
      <c r="K143" s="126"/>
    </row>
    <row r="144" spans="1:11" ht="18">
      <c r="A144" s="125"/>
      <c r="B144" s="125"/>
      <c r="C144" s="126"/>
      <c r="D144" s="126"/>
      <c r="E144" s="126"/>
      <c r="F144" s="127"/>
      <c r="G144" s="126"/>
      <c r="H144" s="126"/>
      <c r="I144" s="127"/>
      <c r="J144" s="126"/>
      <c r="K144" s="126"/>
    </row>
    <row r="145" spans="1:11" ht="18">
      <c r="A145" s="125"/>
      <c r="B145" s="125"/>
      <c r="C145" s="126"/>
      <c r="D145" s="126"/>
      <c r="E145" s="126"/>
      <c r="F145" s="127"/>
      <c r="G145" s="126"/>
      <c r="H145" s="126"/>
      <c r="I145" s="127"/>
      <c r="J145" s="126"/>
      <c r="K145" s="126"/>
    </row>
    <row r="146" spans="1:11" ht="18">
      <c r="A146" s="125"/>
      <c r="B146" s="125"/>
      <c r="C146" s="126"/>
      <c r="D146" s="126"/>
      <c r="E146" s="126"/>
      <c r="F146" s="127"/>
      <c r="G146" s="126"/>
      <c r="H146" s="126"/>
      <c r="I146" s="127"/>
      <c r="J146" s="126"/>
      <c r="K146" s="126"/>
    </row>
    <row r="147" spans="1:11" ht="18">
      <c r="A147" s="125"/>
      <c r="B147" s="125"/>
      <c r="C147" s="126"/>
      <c r="D147" s="126"/>
      <c r="E147" s="126"/>
      <c r="F147" s="127"/>
      <c r="G147" s="126"/>
      <c r="H147" s="126"/>
      <c r="I147" s="127"/>
      <c r="J147" s="126"/>
      <c r="K147" s="126"/>
    </row>
    <row r="148" spans="1:11" ht="18">
      <c r="A148" s="125"/>
      <c r="B148" s="125"/>
      <c r="C148" s="126"/>
      <c r="D148" s="126"/>
      <c r="E148" s="126"/>
      <c r="F148" s="127"/>
      <c r="G148" s="126"/>
      <c r="H148" s="126"/>
      <c r="I148" s="127"/>
      <c r="J148" s="126"/>
      <c r="K148" s="126"/>
    </row>
    <row r="149" spans="1:11" ht="18">
      <c r="A149" s="125"/>
      <c r="B149" s="125"/>
      <c r="C149" s="126"/>
      <c r="D149" s="126"/>
      <c r="E149" s="126"/>
      <c r="F149" s="127"/>
      <c r="G149" s="126"/>
      <c r="H149" s="126"/>
      <c r="I149" s="127"/>
      <c r="J149" s="126"/>
      <c r="K149" s="126"/>
    </row>
    <row r="150" spans="1:11" ht="18">
      <c r="A150" s="125"/>
      <c r="B150" s="125"/>
      <c r="C150" s="126"/>
      <c r="D150" s="126"/>
      <c r="E150" s="126"/>
      <c r="F150" s="127"/>
      <c r="G150" s="126"/>
      <c r="H150" s="126"/>
      <c r="I150" s="127"/>
      <c r="J150" s="126"/>
      <c r="K150" s="126"/>
    </row>
    <row r="151" spans="1:11" ht="18">
      <c r="A151" s="125"/>
      <c r="B151" s="125"/>
      <c r="C151" s="126"/>
      <c r="D151" s="126"/>
      <c r="E151" s="126"/>
      <c r="F151" s="127"/>
      <c r="G151" s="126"/>
      <c r="H151" s="126"/>
      <c r="I151" s="127"/>
      <c r="J151" s="126"/>
      <c r="K151" s="126"/>
    </row>
    <row r="152" spans="1:11" ht="18">
      <c r="A152" s="125"/>
      <c r="B152" s="125"/>
      <c r="C152" s="126"/>
      <c r="D152" s="126"/>
      <c r="E152" s="126"/>
      <c r="F152" s="127"/>
      <c r="G152" s="126"/>
      <c r="H152" s="126"/>
      <c r="I152" s="127"/>
      <c r="J152" s="126"/>
      <c r="K152" s="126"/>
    </row>
    <row r="153" spans="1:11" ht="18">
      <c r="A153" s="125"/>
      <c r="B153" s="125"/>
      <c r="C153" s="126"/>
      <c r="D153" s="126"/>
      <c r="E153" s="126"/>
      <c r="F153" s="127"/>
      <c r="G153" s="126"/>
      <c r="H153" s="126"/>
      <c r="I153" s="127"/>
      <c r="J153" s="126"/>
      <c r="K153" s="126"/>
    </row>
    <row r="154" spans="1:11" ht="18">
      <c r="A154" s="125"/>
      <c r="B154" s="125"/>
      <c r="C154" s="126"/>
      <c r="D154" s="126"/>
      <c r="E154" s="126"/>
      <c r="F154" s="127"/>
      <c r="G154" s="126"/>
      <c r="H154" s="126"/>
      <c r="I154" s="127"/>
      <c r="J154" s="126"/>
      <c r="K154" s="126"/>
    </row>
    <row r="155" spans="1:11" ht="18">
      <c r="A155" s="125"/>
      <c r="B155" s="125"/>
      <c r="C155" s="126"/>
      <c r="D155" s="126"/>
      <c r="E155" s="126"/>
      <c r="F155" s="127"/>
      <c r="G155" s="126"/>
      <c r="H155" s="126"/>
      <c r="I155" s="127"/>
      <c r="J155" s="126"/>
      <c r="K155" s="126"/>
    </row>
    <row r="156" spans="1:11" ht="18">
      <c r="A156" s="125"/>
      <c r="B156" s="125"/>
      <c r="C156" s="126"/>
      <c r="D156" s="126"/>
      <c r="E156" s="126"/>
      <c r="F156" s="127"/>
      <c r="G156" s="126"/>
      <c r="H156" s="126"/>
      <c r="I156" s="127"/>
      <c r="J156" s="126"/>
      <c r="K156" s="126"/>
    </row>
    <row r="157" spans="1:11" ht="18">
      <c r="A157" s="125"/>
      <c r="B157" s="125"/>
      <c r="C157" s="126"/>
      <c r="D157" s="126"/>
      <c r="E157" s="126"/>
      <c r="F157" s="127"/>
      <c r="G157" s="126"/>
      <c r="H157" s="126"/>
      <c r="I157" s="127"/>
      <c r="J157" s="126"/>
      <c r="K157" s="126"/>
    </row>
    <row r="158" spans="1:11" ht="18">
      <c r="A158" s="125"/>
      <c r="B158" s="125"/>
      <c r="C158" s="126"/>
      <c r="D158" s="126"/>
      <c r="E158" s="126"/>
      <c r="F158" s="127"/>
      <c r="G158" s="126"/>
      <c r="H158" s="126"/>
      <c r="I158" s="127"/>
      <c r="J158" s="126"/>
      <c r="K158" s="126"/>
    </row>
    <row r="159" spans="1:11" ht="18">
      <c r="A159" s="125"/>
      <c r="B159" s="125"/>
      <c r="C159" s="126"/>
      <c r="D159" s="126"/>
      <c r="E159" s="126"/>
      <c r="F159" s="127"/>
      <c r="G159" s="126"/>
      <c r="H159" s="126"/>
      <c r="I159" s="127"/>
      <c r="J159" s="126"/>
      <c r="K159" s="126"/>
    </row>
    <row r="160" spans="1:11" ht="18">
      <c r="A160" s="125"/>
      <c r="B160" s="125"/>
      <c r="C160" s="126"/>
      <c r="D160" s="126"/>
      <c r="E160" s="126"/>
      <c r="F160" s="127"/>
      <c r="G160" s="126"/>
      <c r="H160" s="126"/>
      <c r="I160" s="127"/>
      <c r="J160" s="126"/>
      <c r="K160" s="126"/>
    </row>
    <row r="161" spans="1:11" ht="18">
      <c r="A161" s="125"/>
      <c r="B161" s="125"/>
      <c r="C161" s="126"/>
      <c r="D161" s="126"/>
      <c r="E161" s="126"/>
      <c r="F161" s="127"/>
      <c r="G161" s="126"/>
      <c r="H161" s="126"/>
      <c r="I161" s="127"/>
      <c r="J161" s="126"/>
      <c r="K161" s="126"/>
    </row>
    <row r="162" spans="1:11" ht="18">
      <c r="A162" s="125"/>
      <c r="B162" s="125"/>
      <c r="C162" s="126"/>
      <c r="D162" s="126"/>
      <c r="E162" s="126"/>
      <c r="F162" s="127"/>
      <c r="G162" s="126"/>
      <c r="H162" s="126"/>
      <c r="I162" s="127"/>
      <c r="J162" s="126"/>
      <c r="K162" s="126"/>
    </row>
    <row r="163" spans="1:11" ht="18">
      <c r="A163" s="125"/>
      <c r="B163" s="125"/>
      <c r="C163" s="126"/>
      <c r="D163" s="126"/>
      <c r="E163" s="126"/>
      <c r="F163" s="127"/>
      <c r="G163" s="126"/>
      <c r="H163" s="126"/>
      <c r="I163" s="127"/>
      <c r="J163" s="126"/>
      <c r="K163" s="126"/>
    </row>
    <row r="164" spans="1:11" ht="18">
      <c r="A164" s="125"/>
      <c r="B164" s="125"/>
      <c r="C164" s="126"/>
      <c r="D164" s="126"/>
      <c r="E164" s="126"/>
      <c r="F164" s="127"/>
      <c r="G164" s="126"/>
      <c r="H164" s="126"/>
      <c r="I164" s="127"/>
      <c r="J164" s="126"/>
      <c r="K164" s="126"/>
    </row>
    <row r="165" spans="1:11" ht="18">
      <c r="A165" s="125"/>
      <c r="B165" s="125"/>
      <c r="C165" s="126"/>
      <c r="D165" s="126"/>
      <c r="E165" s="126"/>
      <c r="F165" s="127"/>
      <c r="G165" s="126"/>
      <c r="H165" s="126"/>
      <c r="I165" s="127"/>
      <c r="J165" s="126"/>
      <c r="K165" s="126"/>
    </row>
    <row r="166" spans="1:11" ht="18">
      <c r="A166" s="125"/>
      <c r="B166" s="125"/>
      <c r="C166" s="126"/>
      <c r="D166" s="126"/>
      <c r="E166" s="126"/>
      <c r="F166" s="127"/>
      <c r="G166" s="126"/>
      <c r="H166" s="126"/>
      <c r="I166" s="127"/>
      <c r="J166" s="126"/>
      <c r="K166" s="126"/>
    </row>
    <row r="167" spans="1:11" ht="18">
      <c r="A167" s="125"/>
      <c r="B167" s="125"/>
      <c r="C167" s="126"/>
      <c r="D167" s="126"/>
      <c r="E167" s="126"/>
      <c r="F167" s="127"/>
      <c r="G167" s="126"/>
      <c r="H167" s="126"/>
      <c r="I167" s="127"/>
      <c r="J167" s="126"/>
      <c r="K167" s="126"/>
    </row>
    <row r="168" spans="1:11" ht="18">
      <c r="A168" s="125"/>
      <c r="B168" s="125"/>
      <c r="C168" s="126"/>
      <c r="D168" s="126"/>
      <c r="E168" s="126"/>
      <c r="F168" s="127"/>
      <c r="G168" s="126"/>
      <c r="H168" s="126"/>
      <c r="I168" s="127"/>
      <c r="J168" s="126"/>
      <c r="K168" s="126"/>
    </row>
    <row r="169" spans="1:11" ht="18">
      <c r="A169" s="125"/>
      <c r="B169" s="125"/>
      <c r="C169" s="126"/>
      <c r="D169" s="126"/>
      <c r="E169" s="126"/>
      <c r="F169" s="127"/>
      <c r="G169" s="126"/>
      <c r="H169" s="126"/>
      <c r="I169" s="127"/>
      <c r="J169" s="126"/>
      <c r="K169" s="126"/>
    </row>
    <row r="170" spans="1:11" ht="18">
      <c r="A170" s="125"/>
      <c r="B170" s="125"/>
      <c r="C170" s="126"/>
      <c r="D170" s="126"/>
      <c r="E170" s="126"/>
      <c r="F170" s="127"/>
      <c r="G170" s="126"/>
      <c r="H170" s="126"/>
      <c r="I170" s="127"/>
      <c r="J170" s="126"/>
      <c r="K170" s="126"/>
    </row>
    <row r="171" spans="1:11" ht="18">
      <c r="A171" s="125"/>
      <c r="B171" s="125"/>
      <c r="C171" s="126"/>
      <c r="D171" s="126"/>
      <c r="E171" s="126"/>
      <c r="F171" s="127"/>
      <c r="G171" s="126"/>
      <c r="H171" s="126"/>
      <c r="I171" s="127"/>
      <c r="J171" s="126"/>
      <c r="K171" s="126"/>
    </row>
    <row r="172" spans="1:11" ht="18">
      <c r="A172" s="125"/>
      <c r="B172" s="125"/>
      <c r="C172" s="126"/>
      <c r="D172" s="126"/>
      <c r="E172" s="126"/>
      <c r="F172" s="127"/>
      <c r="G172" s="126"/>
      <c r="H172" s="126"/>
      <c r="I172" s="127"/>
      <c r="J172" s="126"/>
      <c r="K172" s="126"/>
    </row>
    <row r="173" spans="1:11" ht="18">
      <c r="A173" s="125"/>
      <c r="B173" s="125"/>
      <c r="C173" s="126"/>
      <c r="D173" s="126"/>
      <c r="E173" s="126"/>
      <c r="F173" s="127"/>
      <c r="G173" s="126"/>
      <c r="H173" s="126"/>
      <c r="I173" s="127"/>
      <c r="J173" s="126"/>
      <c r="K173" s="126"/>
    </row>
    <row r="174" spans="1:11" ht="18">
      <c r="A174" s="125"/>
      <c r="B174" s="125"/>
      <c r="C174" s="126"/>
      <c r="D174" s="126"/>
      <c r="E174" s="126"/>
      <c r="F174" s="127"/>
      <c r="G174" s="126"/>
      <c r="H174" s="126"/>
      <c r="I174" s="127"/>
      <c r="J174" s="126"/>
      <c r="K174" s="126"/>
    </row>
    <row r="175" spans="1:11" ht="18">
      <c r="A175" s="125"/>
      <c r="B175" s="125"/>
      <c r="C175" s="126"/>
      <c r="D175" s="126"/>
      <c r="E175" s="126"/>
      <c r="F175" s="127"/>
      <c r="G175" s="126"/>
      <c r="H175" s="126"/>
      <c r="I175" s="127"/>
      <c r="J175" s="126"/>
      <c r="K175" s="126"/>
    </row>
    <row r="176" spans="1:11" ht="18">
      <c r="A176" s="125"/>
      <c r="B176" s="125"/>
      <c r="C176" s="126"/>
      <c r="D176" s="126"/>
      <c r="E176" s="126"/>
      <c r="F176" s="127"/>
      <c r="G176" s="126"/>
      <c r="H176" s="126"/>
      <c r="I176" s="127"/>
      <c r="J176" s="126"/>
      <c r="K176" s="126"/>
    </row>
    <row r="177" spans="1:11" ht="18">
      <c r="A177" s="125"/>
      <c r="B177" s="125"/>
      <c r="C177" s="126"/>
      <c r="D177" s="126"/>
      <c r="E177" s="126"/>
      <c r="F177" s="127"/>
      <c r="G177" s="126"/>
      <c r="H177" s="126"/>
      <c r="I177" s="127"/>
      <c r="J177" s="126"/>
      <c r="K177" s="126"/>
    </row>
    <row r="178" spans="1:11" ht="18">
      <c r="A178" s="125"/>
      <c r="B178" s="125"/>
      <c r="C178" s="126"/>
      <c r="D178" s="126"/>
      <c r="E178" s="126"/>
      <c r="F178" s="127"/>
      <c r="G178" s="126"/>
      <c r="H178" s="126"/>
      <c r="I178" s="127"/>
      <c r="J178" s="126"/>
      <c r="K178" s="126"/>
    </row>
    <row r="179" spans="1:11" ht="18">
      <c r="A179" s="125"/>
      <c r="B179" s="125"/>
      <c r="C179" s="126"/>
      <c r="D179" s="126"/>
      <c r="E179" s="126"/>
      <c r="F179" s="127"/>
      <c r="G179" s="126"/>
      <c r="H179" s="126"/>
      <c r="I179" s="127"/>
      <c r="J179" s="126"/>
      <c r="K179" s="126"/>
    </row>
    <row r="180" spans="1:11" ht="18">
      <c r="A180" s="125"/>
      <c r="B180" s="125"/>
      <c r="C180" s="126"/>
      <c r="D180" s="126"/>
      <c r="E180" s="126"/>
      <c r="F180" s="127"/>
      <c r="G180" s="126"/>
      <c r="H180" s="126"/>
      <c r="I180" s="127"/>
      <c r="J180" s="126"/>
      <c r="K180" s="126"/>
    </row>
    <row r="181" spans="1:11" ht="18">
      <c r="A181" s="125"/>
      <c r="B181" s="125"/>
      <c r="C181" s="126"/>
      <c r="D181" s="126"/>
      <c r="E181" s="126"/>
      <c r="F181" s="127"/>
      <c r="G181" s="126"/>
      <c r="H181" s="126"/>
      <c r="I181" s="127"/>
      <c r="J181" s="126"/>
      <c r="K181" s="126"/>
    </row>
    <row r="182" spans="1:11" ht="18">
      <c r="A182" s="125"/>
      <c r="B182" s="125"/>
      <c r="C182" s="126"/>
      <c r="D182" s="126"/>
      <c r="E182" s="126"/>
      <c r="F182" s="127"/>
      <c r="G182" s="126"/>
      <c r="H182" s="126"/>
      <c r="I182" s="127"/>
      <c r="J182" s="126"/>
      <c r="K182" s="126"/>
    </row>
    <row r="183" spans="1:11" ht="18">
      <c r="A183" s="125"/>
      <c r="B183" s="125"/>
      <c r="C183" s="126"/>
      <c r="D183" s="126"/>
      <c r="E183" s="126"/>
      <c r="F183" s="127"/>
      <c r="G183" s="126"/>
      <c r="H183" s="126"/>
      <c r="I183" s="127"/>
      <c r="J183" s="126"/>
      <c r="K183" s="126"/>
    </row>
    <row r="184" spans="1:11" ht="18">
      <c r="A184" s="125"/>
      <c r="B184" s="125"/>
      <c r="C184" s="126"/>
      <c r="D184" s="126"/>
      <c r="E184" s="126"/>
      <c r="F184" s="127"/>
      <c r="G184" s="126"/>
      <c r="H184" s="126"/>
      <c r="I184" s="127"/>
      <c r="J184" s="126"/>
      <c r="K184" s="126"/>
    </row>
    <row r="185" spans="1:11" ht="18">
      <c r="A185" s="125"/>
      <c r="B185" s="125"/>
      <c r="C185" s="126"/>
      <c r="D185" s="126"/>
      <c r="E185" s="126"/>
      <c r="F185" s="127"/>
      <c r="G185" s="126"/>
      <c r="H185" s="126"/>
      <c r="I185" s="127"/>
      <c r="J185" s="126"/>
      <c r="K185" s="126"/>
    </row>
    <row r="186" spans="1:11" ht="18">
      <c r="A186" s="125"/>
      <c r="B186" s="125"/>
      <c r="C186" s="126"/>
      <c r="D186" s="126"/>
      <c r="E186" s="126"/>
      <c r="F186" s="127"/>
      <c r="G186" s="126"/>
      <c r="H186" s="126"/>
      <c r="I186" s="127"/>
      <c r="J186" s="126"/>
      <c r="K186" s="126"/>
    </row>
    <row r="187" spans="1:11" ht="18">
      <c r="A187" s="125"/>
      <c r="B187" s="125"/>
      <c r="C187" s="126"/>
      <c r="D187" s="126"/>
      <c r="E187" s="126"/>
      <c r="F187" s="127"/>
      <c r="G187" s="126"/>
      <c r="H187" s="126"/>
      <c r="I187" s="127"/>
      <c r="J187" s="126"/>
      <c r="K187" s="126"/>
    </row>
    <row r="188" spans="1:11" ht="18">
      <c r="A188" s="125"/>
      <c r="B188" s="125"/>
      <c r="C188" s="126"/>
      <c r="D188" s="126"/>
      <c r="E188" s="126"/>
      <c r="F188" s="127"/>
      <c r="G188" s="126"/>
      <c r="H188" s="126"/>
      <c r="I188" s="127"/>
      <c r="J188" s="126"/>
      <c r="K188" s="126"/>
    </row>
    <row r="189" spans="1:11" ht="18">
      <c r="A189" s="125"/>
      <c r="B189" s="125"/>
      <c r="C189" s="126"/>
      <c r="D189" s="126"/>
      <c r="E189" s="126"/>
      <c r="F189" s="127"/>
      <c r="G189" s="126"/>
      <c r="H189" s="126"/>
      <c r="I189" s="127"/>
      <c r="J189" s="126"/>
      <c r="K189" s="126"/>
    </row>
    <row r="190" spans="1:11" ht="18">
      <c r="A190" s="125"/>
      <c r="B190" s="125"/>
      <c r="C190" s="126"/>
      <c r="D190" s="126"/>
      <c r="E190" s="126"/>
      <c r="F190" s="127"/>
      <c r="G190" s="126"/>
      <c r="H190" s="126"/>
      <c r="I190" s="127"/>
      <c r="J190" s="126"/>
      <c r="K190" s="126"/>
    </row>
    <row r="191" spans="1:11" ht="18">
      <c r="A191" s="125"/>
      <c r="B191" s="125"/>
      <c r="C191" s="126"/>
      <c r="D191" s="126"/>
      <c r="E191" s="126"/>
      <c r="F191" s="127"/>
      <c r="G191" s="126"/>
      <c r="H191" s="126"/>
      <c r="I191" s="127"/>
      <c r="J191" s="126"/>
      <c r="K191" s="126"/>
    </row>
    <row r="192" spans="1:11" ht="18">
      <c r="A192" s="125"/>
      <c r="B192" s="125"/>
      <c r="C192" s="126"/>
      <c r="D192" s="126"/>
      <c r="E192" s="126"/>
      <c r="F192" s="127"/>
      <c r="G192" s="126"/>
      <c r="H192" s="126"/>
      <c r="I192" s="127"/>
      <c r="J192" s="126"/>
      <c r="K192" s="126"/>
    </row>
    <row r="193" spans="1:11" ht="18">
      <c r="A193" s="125"/>
      <c r="B193" s="125"/>
      <c r="C193" s="126"/>
      <c r="D193" s="126"/>
      <c r="E193" s="126"/>
      <c r="F193" s="127"/>
      <c r="G193" s="126"/>
      <c r="H193" s="126"/>
      <c r="I193" s="127"/>
      <c r="J193" s="126"/>
      <c r="K193" s="126"/>
    </row>
    <row r="194" spans="1:11" ht="18">
      <c r="A194" s="125"/>
      <c r="B194" s="125"/>
      <c r="C194" s="126"/>
      <c r="D194" s="126"/>
      <c r="E194" s="126"/>
      <c r="F194" s="127"/>
      <c r="G194" s="126"/>
      <c r="H194" s="126"/>
      <c r="I194" s="127"/>
      <c r="J194" s="126"/>
      <c r="K194" s="126"/>
    </row>
    <row r="195" spans="1:11" ht="18">
      <c r="A195" s="125"/>
      <c r="B195" s="125"/>
      <c r="C195" s="126"/>
      <c r="D195" s="126"/>
      <c r="E195" s="126"/>
      <c r="F195" s="127"/>
      <c r="G195" s="126"/>
      <c r="H195" s="126"/>
      <c r="I195" s="127"/>
      <c r="J195" s="126"/>
      <c r="K195" s="126"/>
    </row>
    <row r="196" spans="1:11" ht="18">
      <c r="A196" s="125"/>
      <c r="B196" s="125"/>
      <c r="C196" s="126"/>
      <c r="D196" s="126"/>
      <c r="E196" s="126"/>
      <c r="F196" s="127"/>
      <c r="G196" s="126"/>
      <c r="H196" s="126"/>
      <c r="I196" s="127"/>
      <c r="J196" s="126"/>
      <c r="K196" s="126"/>
    </row>
    <row r="197" spans="1:11" ht="18">
      <c r="A197" s="125"/>
      <c r="B197" s="125"/>
      <c r="C197" s="126"/>
      <c r="D197" s="126"/>
      <c r="E197" s="126"/>
      <c r="F197" s="127"/>
      <c r="G197" s="126"/>
      <c r="H197" s="126"/>
      <c r="I197" s="127"/>
      <c r="J197" s="126"/>
      <c r="K197" s="126"/>
    </row>
    <row r="198" spans="1:11" ht="18">
      <c r="A198" s="125"/>
      <c r="B198" s="125"/>
      <c r="C198" s="126"/>
      <c r="D198" s="126"/>
      <c r="E198" s="126"/>
      <c r="F198" s="127"/>
      <c r="G198" s="126"/>
      <c r="H198" s="126"/>
      <c r="I198" s="127"/>
      <c r="J198" s="126"/>
      <c r="K198" s="126"/>
    </row>
    <row r="199" spans="1:11" ht="18">
      <c r="A199" s="125"/>
      <c r="B199" s="125"/>
      <c r="C199" s="126"/>
      <c r="D199" s="126"/>
      <c r="E199" s="126"/>
      <c r="F199" s="127"/>
      <c r="G199" s="126"/>
      <c r="H199" s="126"/>
      <c r="I199" s="127"/>
      <c r="J199" s="126"/>
      <c r="K199" s="126"/>
    </row>
    <row r="200" spans="1:11" ht="18">
      <c r="A200" s="125"/>
      <c r="B200" s="125"/>
      <c r="C200" s="126"/>
      <c r="D200" s="126"/>
      <c r="E200" s="126"/>
      <c r="F200" s="127"/>
      <c r="G200" s="126"/>
      <c r="H200" s="126"/>
      <c r="I200" s="127"/>
      <c r="J200" s="126"/>
      <c r="K200" s="126"/>
    </row>
    <row r="201" spans="1:11" ht="18">
      <c r="A201" s="125"/>
      <c r="B201" s="125"/>
      <c r="C201" s="126"/>
      <c r="D201" s="126"/>
      <c r="E201" s="126"/>
      <c r="F201" s="127"/>
      <c r="G201" s="126"/>
      <c r="H201" s="126"/>
      <c r="I201" s="127"/>
      <c r="J201" s="126"/>
      <c r="K201" s="126"/>
    </row>
    <row r="202" spans="1:11" ht="18">
      <c r="A202" s="125"/>
      <c r="B202" s="125"/>
      <c r="C202" s="126"/>
      <c r="D202" s="126"/>
      <c r="E202" s="126"/>
      <c r="F202" s="127"/>
      <c r="G202" s="126"/>
      <c r="H202" s="126"/>
      <c r="I202" s="127"/>
      <c r="J202" s="126"/>
      <c r="K202" s="126"/>
    </row>
    <row r="203" spans="1:11" ht="18">
      <c r="A203" s="125"/>
      <c r="B203" s="125"/>
      <c r="C203" s="126"/>
      <c r="D203" s="126"/>
      <c r="E203" s="126"/>
      <c r="F203" s="127"/>
      <c r="G203" s="126"/>
      <c r="H203" s="126"/>
      <c r="I203" s="127"/>
      <c r="J203" s="126"/>
      <c r="K203" s="126"/>
    </row>
    <row r="204" spans="1:11" ht="18">
      <c r="A204" s="125"/>
      <c r="B204" s="125"/>
      <c r="C204" s="126"/>
      <c r="D204" s="126"/>
      <c r="E204" s="126"/>
      <c r="F204" s="127"/>
      <c r="G204" s="126"/>
      <c r="H204" s="126"/>
      <c r="I204" s="127"/>
      <c r="J204" s="126"/>
      <c r="K204" s="126"/>
    </row>
    <row r="205" spans="1:11" ht="18">
      <c r="A205" s="125"/>
      <c r="B205" s="125"/>
      <c r="C205" s="126"/>
      <c r="D205" s="126"/>
      <c r="E205" s="126"/>
      <c r="F205" s="127"/>
      <c r="G205" s="126"/>
      <c r="H205" s="126"/>
      <c r="I205" s="127"/>
      <c r="J205" s="126"/>
      <c r="K205" s="126"/>
    </row>
    <row r="206" spans="1:11" ht="18">
      <c r="A206" s="125"/>
      <c r="B206" s="125"/>
      <c r="C206" s="126"/>
      <c r="D206" s="126"/>
      <c r="E206" s="126"/>
      <c r="F206" s="127"/>
      <c r="G206" s="126"/>
      <c r="H206" s="126"/>
      <c r="I206" s="127"/>
      <c r="J206" s="126"/>
      <c r="K206" s="126"/>
    </row>
    <row r="207" spans="1:11" ht="18">
      <c r="A207" s="125"/>
      <c r="B207" s="125"/>
      <c r="C207" s="126"/>
      <c r="D207" s="126"/>
      <c r="E207" s="126"/>
      <c r="F207" s="127"/>
      <c r="G207" s="126"/>
      <c r="H207" s="126"/>
      <c r="I207" s="127"/>
      <c r="J207" s="126"/>
      <c r="K207" s="126"/>
    </row>
    <row r="208" spans="1:11" ht="18">
      <c r="A208" s="125"/>
      <c r="B208" s="125"/>
      <c r="C208" s="126"/>
      <c r="D208" s="126"/>
      <c r="E208" s="126"/>
      <c r="F208" s="127"/>
      <c r="G208" s="126"/>
      <c r="H208" s="126"/>
      <c r="I208" s="127"/>
      <c r="J208" s="126"/>
      <c r="K208" s="126"/>
    </row>
    <row r="209" spans="1:11" ht="18">
      <c r="A209" s="125"/>
      <c r="B209" s="125"/>
      <c r="C209" s="126"/>
      <c r="D209" s="126"/>
      <c r="E209" s="126"/>
      <c r="F209" s="127"/>
      <c r="G209" s="126"/>
      <c r="H209" s="126"/>
      <c r="I209" s="127"/>
      <c r="J209" s="126"/>
      <c r="K209" s="126"/>
    </row>
    <row r="210" spans="1:11" ht="18">
      <c r="A210" s="125"/>
      <c r="B210" s="125"/>
      <c r="C210" s="126"/>
      <c r="D210" s="126"/>
      <c r="E210" s="126"/>
      <c r="F210" s="127"/>
      <c r="G210" s="126"/>
      <c r="H210" s="126"/>
      <c r="I210" s="127"/>
      <c r="J210" s="126"/>
      <c r="K210" s="126"/>
    </row>
    <row r="211" spans="1:11" ht="18">
      <c r="A211" s="125"/>
      <c r="B211" s="125"/>
      <c r="C211" s="126"/>
      <c r="D211" s="126"/>
      <c r="E211" s="126"/>
      <c r="F211" s="127"/>
      <c r="G211" s="126"/>
      <c r="H211" s="126"/>
      <c r="I211" s="127"/>
      <c r="J211" s="126"/>
      <c r="K211" s="126"/>
    </row>
    <row r="212" spans="1:11" ht="18">
      <c r="A212" s="125"/>
      <c r="B212" s="125"/>
      <c r="C212" s="126"/>
      <c r="D212" s="126"/>
      <c r="E212" s="126"/>
      <c r="F212" s="127"/>
      <c r="G212" s="126"/>
      <c r="H212" s="126"/>
      <c r="I212" s="127"/>
      <c r="J212" s="126"/>
      <c r="K212" s="126"/>
    </row>
    <row r="213" spans="1:11" ht="18">
      <c r="A213" s="125"/>
      <c r="B213" s="125"/>
      <c r="C213" s="126"/>
      <c r="D213" s="126"/>
      <c r="E213" s="126"/>
      <c r="F213" s="127"/>
      <c r="G213" s="126"/>
      <c r="H213" s="126"/>
      <c r="I213" s="127"/>
      <c r="J213" s="126"/>
      <c r="K213" s="126"/>
    </row>
    <row r="214" spans="1:11" ht="18">
      <c r="A214" s="125"/>
      <c r="B214" s="125"/>
      <c r="C214" s="126"/>
      <c r="D214" s="126"/>
      <c r="E214" s="126"/>
      <c r="F214" s="127"/>
      <c r="G214" s="126"/>
      <c r="H214" s="126"/>
      <c r="I214" s="127"/>
      <c r="J214" s="126"/>
      <c r="K214" s="126"/>
    </row>
    <row r="215" spans="1:11" ht="18">
      <c r="A215" s="125"/>
      <c r="B215" s="125"/>
      <c r="C215" s="126"/>
      <c r="D215" s="126"/>
      <c r="E215" s="126"/>
      <c r="F215" s="127"/>
      <c r="G215" s="126"/>
      <c r="H215" s="126"/>
      <c r="I215" s="127"/>
      <c r="J215" s="126"/>
      <c r="K215" s="126"/>
    </row>
    <row r="216" spans="1:11" ht="18">
      <c r="A216" s="125"/>
      <c r="B216" s="125"/>
      <c r="C216" s="126"/>
      <c r="D216" s="126"/>
      <c r="E216" s="126"/>
      <c r="F216" s="127"/>
      <c r="G216" s="126"/>
      <c r="H216" s="126"/>
      <c r="I216" s="127"/>
      <c r="J216" s="126"/>
      <c r="K216" s="126"/>
    </row>
    <row r="217" spans="1:11" ht="18">
      <c r="A217" s="125"/>
      <c r="B217" s="125"/>
      <c r="C217" s="126"/>
      <c r="D217" s="126"/>
      <c r="E217" s="126"/>
      <c r="F217" s="127"/>
      <c r="G217" s="126"/>
      <c r="H217" s="126"/>
      <c r="I217" s="127"/>
      <c r="J217" s="126"/>
      <c r="K217" s="126"/>
    </row>
    <row r="218" spans="1:11" ht="18">
      <c r="A218" s="125"/>
      <c r="B218" s="125"/>
      <c r="C218" s="126"/>
      <c r="D218" s="126"/>
      <c r="E218" s="126"/>
      <c r="F218" s="127"/>
      <c r="G218" s="126"/>
      <c r="H218" s="126"/>
      <c r="I218" s="127"/>
      <c r="J218" s="126"/>
      <c r="K218" s="126"/>
    </row>
    <row r="219" spans="1:11" ht="18">
      <c r="A219" s="125"/>
      <c r="B219" s="125"/>
      <c r="C219" s="126"/>
      <c r="D219" s="126"/>
      <c r="E219" s="126"/>
      <c r="F219" s="127"/>
      <c r="G219" s="126"/>
      <c r="H219" s="126"/>
      <c r="I219" s="127"/>
      <c r="J219" s="126"/>
      <c r="K219" s="126"/>
    </row>
    <row r="220" spans="1:11" ht="18">
      <c r="A220" s="125"/>
      <c r="B220" s="125"/>
      <c r="C220" s="126"/>
      <c r="D220" s="126"/>
      <c r="E220" s="126"/>
      <c r="F220" s="127"/>
      <c r="G220" s="126"/>
      <c r="H220" s="126"/>
      <c r="I220" s="127"/>
      <c r="J220" s="126"/>
      <c r="K220" s="126"/>
    </row>
    <row r="221" spans="1:11" ht="18">
      <c r="A221" s="125"/>
      <c r="B221" s="125"/>
      <c r="C221" s="126"/>
      <c r="D221" s="126"/>
      <c r="E221" s="126"/>
      <c r="F221" s="127"/>
      <c r="G221" s="126"/>
      <c r="H221" s="126"/>
      <c r="I221" s="127"/>
      <c r="J221" s="126"/>
      <c r="K221" s="126"/>
    </row>
    <row r="222" spans="1:11" ht="18">
      <c r="A222" s="125"/>
      <c r="B222" s="125"/>
      <c r="C222" s="126"/>
      <c r="D222" s="126"/>
      <c r="E222" s="126"/>
      <c r="F222" s="127"/>
      <c r="G222" s="126"/>
      <c r="H222" s="126"/>
      <c r="I222" s="127"/>
      <c r="J222" s="126"/>
      <c r="K222" s="126"/>
    </row>
    <row r="223" spans="1:11" ht="18">
      <c r="A223" s="125"/>
      <c r="B223" s="125"/>
      <c r="C223" s="126"/>
      <c r="D223" s="126"/>
      <c r="E223" s="126"/>
      <c r="F223" s="127"/>
      <c r="G223" s="126"/>
      <c r="H223" s="126"/>
      <c r="I223" s="127"/>
      <c r="J223" s="126"/>
      <c r="K223" s="126"/>
    </row>
    <row r="224" spans="1:11" ht="18">
      <c r="A224" s="125"/>
      <c r="B224" s="125"/>
      <c r="C224" s="126"/>
      <c r="D224" s="126"/>
      <c r="E224" s="126"/>
      <c r="F224" s="127"/>
      <c r="G224" s="126"/>
      <c r="H224" s="126"/>
      <c r="I224" s="127"/>
      <c r="J224" s="126"/>
      <c r="K224" s="126"/>
    </row>
    <row r="225" spans="1:11" ht="18">
      <c r="A225" s="125"/>
      <c r="B225" s="125"/>
      <c r="C225" s="126"/>
      <c r="D225" s="126"/>
      <c r="E225" s="126"/>
      <c r="F225" s="127"/>
      <c r="G225" s="126"/>
      <c r="H225" s="126"/>
      <c r="I225" s="127"/>
      <c r="J225" s="126"/>
      <c r="K225" s="126"/>
    </row>
    <row r="226" spans="1:11" ht="18">
      <c r="A226" s="125"/>
      <c r="B226" s="125"/>
      <c r="C226" s="126"/>
      <c r="D226" s="126"/>
      <c r="E226" s="126"/>
      <c r="F226" s="127"/>
      <c r="G226" s="126"/>
      <c r="H226" s="126"/>
      <c r="I226" s="127"/>
      <c r="J226" s="126"/>
      <c r="K226" s="126"/>
    </row>
    <row r="227" spans="1:11" ht="18">
      <c r="A227" s="125"/>
      <c r="B227" s="125"/>
      <c r="C227" s="126"/>
      <c r="D227" s="126"/>
      <c r="E227" s="126"/>
      <c r="F227" s="127"/>
      <c r="G227" s="126"/>
      <c r="H227" s="126"/>
      <c r="I227" s="127"/>
      <c r="J227" s="126"/>
      <c r="K227" s="126"/>
    </row>
    <row r="228" spans="1:11" ht="18">
      <c r="A228" s="125"/>
      <c r="B228" s="125"/>
      <c r="C228" s="126"/>
      <c r="D228" s="126"/>
      <c r="E228" s="126"/>
      <c r="F228" s="127"/>
      <c r="G228" s="126"/>
      <c r="H228" s="126"/>
      <c r="I228" s="127"/>
      <c r="J228" s="126"/>
      <c r="K228" s="126"/>
    </row>
    <row r="229" spans="1:11" ht="18">
      <c r="A229" s="125"/>
      <c r="B229" s="125"/>
      <c r="C229" s="126"/>
      <c r="D229" s="126"/>
      <c r="E229" s="126"/>
      <c r="F229" s="127"/>
      <c r="G229" s="126"/>
      <c r="H229" s="126"/>
      <c r="I229" s="127"/>
      <c r="J229" s="126"/>
      <c r="K229" s="126"/>
    </row>
    <row r="230" spans="1:11" ht="18">
      <c r="A230" s="125"/>
      <c r="B230" s="125"/>
      <c r="C230" s="126"/>
      <c r="D230" s="126"/>
      <c r="E230" s="126"/>
      <c r="F230" s="127"/>
      <c r="G230" s="126"/>
      <c r="H230" s="126"/>
      <c r="I230" s="127"/>
      <c r="J230" s="126"/>
      <c r="K230" s="126"/>
    </row>
    <row r="231" spans="1:11" ht="18">
      <c r="A231" s="125"/>
      <c r="B231" s="125"/>
      <c r="C231" s="126"/>
      <c r="D231" s="126"/>
      <c r="E231" s="126"/>
      <c r="F231" s="127"/>
      <c r="G231" s="126"/>
      <c r="H231" s="126"/>
      <c r="I231" s="127"/>
      <c r="J231" s="126"/>
      <c r="K231" s="126"/>
    </row>
    <row r="232" spans="1:11" ht="18">
      <c r="A232" s="125"/>
      <c r="B232" s="125"/>
      <c r="C232" s="126"/>
      <c r="D232" s="126"/>
      <c r="E232" s="126"/>
      <c r="F232" s="127"/>
      <c r="G232" s="126"/>
      <c r="H232" s="126"/>
      <c r="I232" s="127"/>
      <c r="J232" s="126"/>
      <c r="K232" s="126"/>
    </row>
    <row r="233" spans="1:11" ht="18">
      <c r="A233" s="125"/>
      <c r="B233" s="125"/>
      <c r="C233" s="126"/>
      <c r="D233" s="126"/>
      <c r="E233" s="126"/>
      <c r="F233" s="127"/>
      <c r="G233" s="126"/>
      <c r="H233" s="126"/>
      <c r="I233" s="127"/>
      <c r="J233" s="126"/>
      <c r="K233" s="126"/>
    </row>
    <row r="234" spans="1:11" ht="18">
      <c r="A234" s="125"/>
      <c r="B234" s="125"/>
      <c r="C234" s="126"/>
      <c r="D234" s="126"/>
      <c r="E234" s="126"/>
      <c r="F234" s="127"/>
      <c r="G234" s="126"/>
      <c r="H234" s="126"/>
      <c r="I234" s="127"/>
      <c r="J234" s="126"/>
      <c r="K234" s="126"/>
    </row>
    <row r="235" spans="1:11" ht="18">
      <c r="A235" s="125"/>
      <c r="B235" s="125"/>
      <c r="C235" s="126"/>
      <c r="D235" s="126"/>
      <c r="E235" s="126"/>
      <c r="F235" s="127"/>
      <c r="G235" s="126"/>
      <c r="H235" s="126"/>
      <c r="I235" s="127"/>
      <c r="J235" s="126"/>
      <c r="K235" s="126"/>
    </row>
    <row r="236" spans="1:11" ht="18">
      <c r="A236" s="125"/>
      <c r="B236" s="125"/>
      <c r="C236" s="126"/>
      <c r="D236" s="126"/>
      <c r="E236" s="126"/>
      <c r="F236" s="127"/>
      <c r="G236" s="126"/>
      <c r="H236" s="126"/>
      <c r="I236" s="127"/>
      <c r="J236" s="126"/>
      <c r="K236" s="126"/>
    </row>
    <row r="237" spans="1:11" ht="18">
      <c r="A237" s="125"/>
      <c r="B237" s="125"/>
      <c r="C237" s="126"/>
      <c r="D237" s="126"/>
      <c r="E237" s="126"/>
      <c r="F237" s="127"/>
      <c r="G237" s="126"/>
      <c r="H237" s="126"/>
      <c r="I237" s="127"/>
      <c r="J237" s="126"/>
      <c r="K237" s="126"/>
    </row>
    <row r="238" spans="1:11" ht="18">
      <c r="A238" s="125"/>
      <c r="B238" s="125"/>
      <c r="C238" s="126"/>
      <c r="D238" s="126"/>
      <c r="E238" s="126"/>
      <c r="F238" s="127"/>
      <c r="G238" s="126"/>
      <c r="H238" s="126"/>
      <c r="I238" s="127"/>
      <c r="J238" s="126"/>
      <c r="K238" s="126"/>
    </row>
    <row r="239" spans="1:11" ht="18">
      <c r="A239" s="125"/>
      <c r="B239" s="125"/>
      <c r="C239" s="126"/>
      <c r="D239" s="126"/>
      <c r="E239" s="126"/>
      <c r="F239" s="127"/>
      <c r="G239" s="126"/>
      <c r="H239" s="126"/>
      <c r="I239" s="127"/>
      <c r="J239" s="126"/>
      <c r="K239" s="126"/>
    </row>
    <row r="240" spans="1:11" ht="18">
      <c r="A240" s="125"/>
      <c r="B240" s="125"/>
      <c r="C240" s="126"/>
      <c r="D240" s="126"/>
      <c r="E240" s="126"/>
      <c r="F240" s="127"/>
      <c r="G240" s="126"/>
      <c r="H240" s="126"/>
      <c r="I240" s="127"/>
      <c r="J240" s="126"/>
      <c r="K240" s="126"/>
    </row>
    <row r="241" spans="1:11" ht="18">
      <c r="A241" s="125"/>
      <c r="B241" s="125"/>
      <c r="C241" s="126"/>
      <c r="D241" s="126"/>
      <c r="E241" s="126"/>
      <c r="F241" s="127"/>
      <c r="G241" s="126"/>
      <c r="H241" s="126"/>
      <c r="I241" s="127"/>
      <c r="J241" s="126"/>
      <c r="K241" s="126"/>
    </row>
    <row r="242" spans="1:11" ht="18">
      <c r="A242" s="125"/>
      <c r="B242" s="125"/>
      <c r="C242" s="126"/>
      <c r="D242" s="126"/>
      <c r="E242" s="126"/>
      <c r="F242" s="127"/>
      <c r="G242" s="126"/>
      <c r="H242" s="126"/>
      <c r="I242" s="127"/>
      <c r="J242" s="126"/>
      <c r="K242" s="126"/>
    </row>
    <row r="243" spans="1:11" ht="18">
      <c r="A243" s="125"/>
      <c r="B243" s="125"/>
      <c r="C243" s="126"/>
      <c r="D243" s="126"/>
      <c r="E243" s="126"/>
      <c r="F243" s="127"/>
      <c r="G243" s="126"/>
      <c r="H243" s="126"/>
      <c r="I243" s="127"/>
      <c r="J243" s="126"/>
      <c r="K243" s="126"/>
    </row>
    <row r="244" spans="1:11" ht="18">
      <c r="A244" s="125"/>
      <c r="B244" s="125"/>
      <c r="C244" s="126"/>
      <c r="D244" s="126"/>
      <c r="E244" s="126"/>
      <c r="F244" s="127"/>
      <c r="G244" s="126"/>
      <c r="H244" s="126"/>
      <c r="I244" s="127"/>
      <c r="J244" s="126"/>
      <c r="K244" s="126"/>
    </row>
    <row r="245" spans="1:11" ht="18">
      <c r="A245" s="125"/>
      <c r="B245" s="125"/>
      <c r="C245" s="126"/>
      <c r="D245" s="126"/>
      <c r="E245" s="126"/>
      <c r="F245" s="127"/>
      <c r="G245" s="126"/>
      <c r="H245" s="126"/>
      <c r="I245" s="127"/>
      <c r="J245" s="126"/>
      <c r="K245" s="126"/>
    </row>
    <row r="246" spans="1:11" ht="18">
      <c r="A246" s="125"/>
      <c r="B246" s="125"/>
      <c r="C246" s="126"/>
      <c r="D246" s="126"/>
      <c r="E246" s="126"/>
      <c r="F246" s="127"/>
      <c r="G246" s="126"/>
      <c r="H246" s="126"/>
      <c r="I246" s="127"/>
      <c r="J246" s="126"/>
      <c r="K246" s="126"/>
    </row>
    <row r="247" spans="1:11" ht="18">
      <c r="A247" s="125"/>
      <c r="B247" s="125"/>
      <c r="C247" s="126"/>
      <c r="D247" s="126"/>
      <c r="E247" s="126"/>
      <c r="F247" s="127"/>
      <c r="G247" s="126"/>
      <c r="H247" s="126"/>
      <c r="I247" s="127"/>
      <c r="J247" s="126"/>
      <c r="K247" s="126"/>
    </row>
    <row r="248" spans="1:11" ht="18">
      <c r="A248" s="125"/>
      <c r="B248" s="125"/>
      <c r="C248" s="126"/>
      <c r="D248" s="126"/>
      <c r="E248" s="126"/>
      <c r="F248" s="127"/>
      <c r="G248" s="126"/>
      <c r="H248" s="126"/>
      <c r="I248" s="127"/>
      <c r="J248" s="126"/>
      <c r="K248" s="126"/>
    </row>
    <row r="249" spans="1:11" ht="18">
      <c r="A249" s="125"/>
      <c r="B249" s="125"/>
      <c r="C249" s="126"/>
      <c r="D249" s="126"/>
      <c r="E249" s="126"/>
      <c r="F249" s="127"/>
      <c r="G249" s="126"/>
      <c r="H249" s="126"/>
      <c r="I249" s="127"/>
      <c r="J249" s="126"/>
      <c r="K249" s="126"/>
    </row>
    <row r="250" spans="1:11" ht="18">
      <c r="A250" s="125"/>
      <c r="B250" s="125"/>
      <c r="C250" s="126"/>
      <c r="D250" s="126"/>
      <c r="E250" s="126"/>
      <c r="F250" s="127"/>
      <c r="G250" s="126"/>
      <c r="H250" s="126"/>
      <c r="I250" s="127"/>
      <c r="J250" s="126"/>
      <c r="K250" s="126"/>
    </row>
    <row r="251" spans="1:11" ht="18">
      <c r="A251" s="125"/>
      <c r="B251" s="125"/>
      <c r="C251" s="126"/>
      <c r="D251" s="126"/>
      <c r="E251" s="126"/>
      <c r="F251" s="127"/>
      <c r="G251" s="126"/>
      <c r="H251" s="126"/>
      <c r="I251" s="127"/>
      <c r="J251" s="126"/>
      <c r="K251" s="126"/>
    </row>
    <row r="252" spans="1:11" ht="18">
      <c r="A252" s="125"/>
      <c r="B252" s="125"/>
      <c r="C252" s="126"/>
      <c r="D252" s="126"/>
      <c r="E252" s="126"/>
      <c r="F252" s="127"/>
      <c r="G252" s="126"/>
      <c r="H252" s="126"/>
      <c r="I252" s="127"/>
      <c r="J252" s="126"/>
      <c r="K252" s="126"/>
    </row>
    <row r="253" spans="1:11" ht="18">
      <c r="A253" s="125"/>
      <c r="B253" s="125"/>
      <c r="C253" s="126"/>
      <c r="D253" s="126"/>
      <c r="E253" s="126"/>
      <c r="F253" s="127"/>
      <c r="G253" s="126"/>
      <c r="H253" s="126"/>
      <c r="I253" s="127"/>
      <c r="J253" s="126"/>
      <c r="K253" s="126"/>
    </row>
    <row r="254" spans="1:11" ht="18">
      <c r="A254" s="125"/>
      <c r="B254" s="125"/>
      <c r="C254" s="126"/>
      <c r="D254" s="126"/>
      <c r="E254" s="126"/>
      <c r="F254" s="127"/>
      <c r="G254" s="126"/>
      <c r="H254" s="126"/>
      <c r="I254" s="127"/>
      <c r="J254" s="126"/>
      <c r="K254" s="126"/>
    </row>
    <row r="255" spans="1:11" ht="18">
      <c r="A255" s="125"/>
      <c r="B255" s="125"/>
      <c r="C255" s="126"/>
      <c r="D255" s="126"/>
      <c r="E255" s="126"/>
      <c r="F255" s="127"/>
      <c r="G255" s="126"/>
      <c r="H255" s="126"/>
      <c r="I255" s="127"/>
      <c r="J255" s="126"/>
      <c r="K255" s="126"/>
    </row>
    <row r="256" spans="1:11" ht="18">
      <c r="A256" s="125"/>
      <c r="B256" s="125"/>
      <c r="C256" s="126"/>
      <c r="D256" s="126"/>
      <c r="E256" s="126"/>
      <c r="F256" s="127"/>
      <c r="G256" s="126"/>
      <c r="H256" s="126"/>
      <c r="I256" s="127"/>
      <c r="J256" s="126"/>
      <c r="K256" s="126"/>
    </row>
    <row r="257" spans="1:11" ht="18">
      <c r="A257" s="125"/>
      <c r="B257" s="125"/>
      <c r="C257" s="126"/>
      <c r="D257" s="126"/>
      <c r="E257" s="126"/>
      <c r="F257" s="127"/>
      <c r="G257" s="126"/>
      <c r="H257" s="126"/>
      <c r="I257" s="127"/>
      <c r="J257" s="126"/>
      <c r="K257" s="126"/>
    </row>
    <row r="258" spans="1:11" ht="18">
      <c r="A258" s="125"/>
      <c r="B258" s="125"/>
      <c r="C258" s="126"/>
      <c r="D258" s="126"/>
      <c r="E258" s="126"/>
      <c r="F258" s="127"/>
      <c r="G258" s="126"/>
      <c r="H258" s="126"/>
      <c r="I258" s="127"/>
      <c r="J258" s="126"/>
      <c r="K258" s="126"/>
    </row>
    <row r="259" spans="1:11" ht="18">
      <c r="A259" s="125"/>
      <c r="B259" s="125"/>
      <c r="C259" s="126"/>
      <c r="D259" s="126"/>
      <c r="E259" s="126"/>
      <c r="F259" s="127"/>
      <c r="G259" s="126"/>
      <c r="H259" s="126"/>
      <c r="I259" s="127"/>
      <c r="J259" s="126"/>
      <c r="K259" s="126"/>
    </row>
    <row r="260" spans="1:11" ht="18">
      <c r="A260" s="125"/>
      <c r="B260" s="125"/>
      <c r="C260" s="126"/>
      <c r="D260" s="126"/>
      <c r="E260" s="126"/>
      <c r="F260" s="127"/>
      <c r="G260" s="126"/>
      <c r="H260" s="126"/>
      <c r="I260" s="127"/>
      <c r="J260" s="126"/>
      <c r="K260" s="126"/>
    </row>
    <row r="261" spans="1:11" ht="18">
      <c r="A261" s="125"/>
      <c r="B261" s="125"/>
      <c r="C261" s="126"/>
      <c r="D261" s="126"/>
      <c r="E261" s="126"/>
      <c r="F261" s="127"/>
      <c r="G261" s="126"/>
      <c r="H261" s="126"/>
      <c r="I261" s="127"/>
      <c r="J261" s="126"/>
      <c r="K261" s="126"/>
    </row>
    <row r="262" spans="1:11" ht="18">
      <c r="A262" s="125"/>
      <c r="B262" s="125"/>
      <c r="C262" s="126"/>
      <c r="D262" s="126"/>
      <c r="E262" s="126"/>
      <c r="F262" s="127"/>
      <c r="G262" s="126"/>
      <c r="H262" s="126"/>
      <c r="I262" s="127"/>
      <c r="J262" s="126"/>
      <c r="K262" s="126"/>
    </row>
    <row r="263" spans="1:11" ht="18">
      <c r="A263" s="125"/>
      <c r="B263" s="125"/>
      <c r="C263" s="126"/>
      <c r="D263" s="126"/>
      <c r="E263" s="126"/>
      <c r="F263" s="127"/>
      <c r="G263" s="126"/>
      <c r="H263" s="126"/>
      <c r="I263" s="127"/>
      <c r="J263" s="126"/>
      <c r="K263" s="126"/>
    </row>
    <row r="264" spans="1:11" ht="18">
      <c r="A264" s="125"/>
      <c r="B264" s="125"/>
      <c r="C264" s="126"/>
      <c r="D264" s="126"/>
      <c r="E264" s="126"/>
      <c r="F264" s="127"/>
      <c r="G264" s="126"/>
      <c r="H264" s="126"/>
      <c r="I264" s="127"/>
      <c r="J264" s="126"/>
      <c r="K264" s="126"/>
    </row>
    <row r="265" spans="1:11" ht="18">
      <c r="A265" s="125"/>
      <c r="B265" s="125"/>
      <c r="C265" s="126"/>
      <c r="D265" s="126"/>
      <c r="E265" s="126"/>
      <c r="F265" s="127"/>
      <c r="G265" s="126"/>
      <c r="H265" s="126"/>
      <c r="I265" s="127"/>
      <c r="J265" s="126"/>
      <c r="K265" s="126"/>
    </row>
    <row r="266" spans="1:11" ht="18">
      <c r="A266" s="125"/>
      <c r="B266" s="125"/>
      <c r="C266" s="126"/>
      <c r="D266" s="126"/>
      <c r="E266" s="126"/>
      <c r="F266" s="127"/>
      <c r="G266" s="126"/>
      <c r="H266" s="126"/>
      <c r="I266" s="127"/>
      <c r="J266" s="126"/>
      <c r="K266" s="126"/>
    </row>
    <row r="267" spans="1:11" ht="18">
      <c r="A267" s="125"/>
      <c r="B267" s="125"/>
      <c r="C267" s="126"/>
      <c r="D267" s="126"/>
      <c r="E267" s="126"/>
      <c r="F267" s="127"/>
      <c r="G267" s="126"/>
      <c r="H267" s="126"/>
      <c r="I267" s="127"/>
      <c r="J267" s="126"/>
      <c r="K267" s="126"/>
    </row>
    <row r="268" spans="1:11" ht="18">
      <c r="A268" s="125"/>
      <c r="B268" s="125"/>
      <c r="C268" s="126"/>
      <c r="D268" s="126"/>
      <c r="E268" s="126"/>
      <c r="F268" s="127"/>
      <c r="G268" s="126"/>
      <c r="H268" s="126"/>
      <c r="I268" s="127"/>
      <c r="J268" s="126"/>
      <c r="K268" s="126"/>
    </row>
    <row r="269" spans="1:11" ht="18">
      <c r="A269" s="125"/>
      <c r="B269" s="125"/>
      <c r="C269" s="126"/>
      <c r="D269" s="126"/>
      <c r="E269" s="126"/>
      <c r="F269" s="127"/>
      <c r="G269" s="126"/>
      <c r="H269" s="126"/>
      <c r="I269" s="127"/>
      <c r="J269" s="126"/>
      <c r="K269" s="126"/>
    </row>
    <row r="270" spans="1:11" ht="18">
      <c r="A270" s="125"/>
      <c r="B270" s="125"/>
      <c r="C270" s="126"/>
      <c r="D270" s="126"/>
      <c r="E270" s="126"/>
      <c r="F270" s="127"/>
      <c r="G270" s="126"/>
      <c r="H270" s="126"/>
      <c r="I270" s="127"/>
      <c r="J270" s="126"/>
      <c r="K270" s="126"/>
    </row>
    <row r="271" spans="1:11" ht="18">
      <c r="A271" s="125"/>
      <c r="B271" s="125"/>
      <c r="C271" s="126"/>
      <c r="D271" s="126"/>
      <c r="E271" s="126"/>
      <c r="F271" s="127"/>
      <c r="G271" s="126"/>
      <c r="H271" s="126"/>
      <c r="I271" s="127"/>
      <c r="J271" s="126"/>
      <c r="K271" s="126"/>
    </row>
    <row r="272" spans="1:11" ht="18">
      <c r="A272" s="125"/>
      <c r="B272" s="125"/>
      <c r="C272" s="126"/>
      <c r="D272" s="126"/>
      <c r="E272" s="126"/>
      <c r="F272" s="127"/>
      <c r="G272" s="126"/>
      <c r="H272" s="126"/>
      <c r="I272" s="127"/>
      <c r="J272" s="126"/>
      <c r="K272" s="126"/>
    </row>
    <row r="273" spans="1:11" ht="18">
      <c r="A273" s="125"/>
      <c r="B273" s="125"/>
      <c r="C273" s="126"/>
      <c r="D273" s="126"/>
      <c r="E273" s="126"/>
      <c r="F273" s="127"/>
      <c r="G273" s="126"/>
      <c r="H273" s="126"/>
      <c r="I273" s="127"/>
      <c r="J273" s="126"/>
      <c r="K273" s="126"/>
    </row>
    <row r="274" spans="1:11" ht="18">
      <c r="A274" s="125"/>
      <c r="B274" s="125"/>
      <c r="C274" s="126"/>
      <c r="D274" s="126"/>
      <c r="E274" s="126"/>
      <c r="F274" s="127"/>
      <c r="G274" s="126"/>
      <c r="H274" s="126"/>
      <c r="I274" s="127"/>
      <c r="J274" s="126"/>
      <c r="K274" s="126"/>
    </row>
    <row r="275" spans="1:11" ht="18">
      <c r="A275" s="125"/>
      <c r="B275" s="125"/>
      <c r="C275" s="126"/>
      <c r="D275" s="126"/>
      <c r="E275" s="126"/>
      <c r="F275" s="127"/>
      <c r="G275" s="126"/>
      <c r="H275" s="126"/>
      <c r="I275" s="127"/>
      <c r="J275" s="126"/>
      <c r="K275" s="126"/>
    </row>
    <row r="276" spans="1:11" ht="18">
      <c r="A276" s="125"/>
      <c r="B276" s="125"/>
      <c r="C276" s="126"/>
      <c r="D276" s="126"/>
      <c r="E276" s="126"/>
      <c r="F276" s="127"/>
      <c r="G276" s="126"/>
      <c r="H276" s="126"/>
      <c r="I276" s="127"/>
      <c r="J276" s="126"/>
      <c r="K276" s="126"/>
    </row>
    <row r="277" spans="1:11" ht="18">
      <c r="A277" s="125"/>
      <c r="B277" s="125"/>
      <c r="C277" s="126"/>
      <c r="D277" s="126"/>
      <c r="E277" s="126"/>
      <c r="F277" s="127"/>
      <c r="G277" s="126"/>
      <c r="H277" s="126"/>
      <c r="I277" s="127"/>
      <c r="J277" s="126"/>
      <c r="K277" s="126"/>
    </row>
    <row r="278" spans="1:11" ht="18">
      <c r="A278" s="125"/>
      <c r="B278" s="125"/>
      <c r="C278" s="126"/>
      <c r="D278" s="126"/>
      <c r="E278" s="126"/>
      <c r="F278" s="127"/>
      <c r="G278" s="126"/>
      <c r="H278" s="126"/>
      <c r="I278" s="127"/>
      <c r="J278" s="126"/>
      <c r="K278" s="126"/>
    </row>
    <row r="279" spans="1:11" ht="18">
      <c r="A279" s="125"/>
      <c r="B279" s="125"/>
      <c r="C279" s="126"/>
      <c r="D279" s="126"/>
      <c r="E279" s="126"/>
      <c r="F279" s="127"/>
      <c r="G279" s="126"/>
      <c r="H279" s="126"/>
      <c r="I279" s="127"/>
      <c r="J279" s="126"/>
      <c r="K279" s="126"/>
    </row>
    <row r="280" spans="1:11" ht="18">
      <c r="A280" s="125"/>
      <c r="B280" s="125"/>
      <c r="C280" s="126"/>
      <c r="D280" s="126"/>
      <c r="E280" s="126"/>
      <c r="F280" s="127"/>
      <c r="G280" s="126"/>
      <c r="H280" s="126"/>
      <c r="I280" s="127"/>
      <c r="J280" s="126"/>
      <c r="K280" s="126"/>
    </row>
    <row r="281" spans="1:11" ht="18">
      <c r="A281" s="125"/>
      <c r="B281" s="125"/>
      <c r="C281" s="126"/>
      <c r="D281" s="126"/>
      <c r="E281" s="126"/>
      <c r="F281" s="127"/>
      <c r="G281" s="126"/>
      <c r="H281" s="126"/>
      <c r="I281" s="127"/>
      <c r="J281" s="126"/>
      <c r="K281" s="126"/>
    </row>
    <row r="282" spans="1:11" ht="18">
      <c r="A282" s="125"/>
      <c r="B282" s="125"/>
      <c r="C282" s="126"/>
      <c r="D282" s="126"/>
      <c r="E282" s="126"/>
      <c r="F282" s="127"/>
      <c r="G282" s="126"/>
      <c r="H282" s="126"/>
      <c r="I282" s="127"/>
      <c r="J282" s="126"/>
      <c r="K282" s="126"/>
    </row>
    <row r="283" spans="1:11" ht="18">
      <c r="A283" s="125"/>
      <c r="B283" s="125"/>
      <c r="C283" s="126"/>
      <c r="D283" s="126"/>
      <c r="E283" s="126"/>
      <c r="F283" s="127"/>
      <c r="G283" s="126"/>
      <c r="H283" s="126"/>
      <c r="I283" s="127"/>
      <c r="J283" s="126"/>
      <c r="K283" s="126"/>
    </row>
    <row r="284" spans="1:11" ht="18">
      <c r="A284" s="125"/>
      <c r="B284" s="125"/>
      <c r="C284" s="126"/>
      <c r="D284" s="126"/>
      <c r="E284" s="126"/>
      <c r="F284" s="127"/>
      <c r="G284" s="126"/>
      <c r="H284" s="126"/>
      <c r="I284" s="127"/>
      <c r="J284" s="126"/>
      <c r="K284" s="126"/>
    </row>
    <row r="285" spans="1:11" ht="18">
      <c r="A285" s="125"/>
      <c r="B285" s="125"/>
      <c r="C285" s="126"/>
      <c r="D285" s="126"/>
      <c r="E285" s="126"/>
      <c r="F285" s="127"/>
      <c r="G285" s="126"/>
      <c r="H285" s="126"/>
      <c r="I285" s="127"/>
      <c r="J285" s="126"/>
      <c r="K285" s="126"/>
    </row>
    <row r="286" spans="1:11" ht="18">
      <c r="A286" s="125"/>
      <c r="B286" s="125"/>
      <c r="C286" s="126"/>
      <c r="D286" s="126"/>
      <c r="E286" s="126"/>
      <c r="F286" s="127"/>
      <c r="G286" s="126"/>
      <c r="H286" s="126"/>
      <c r="I286" s="127"/>
      <c r="J286" s="126"/>
      <c r="K286" s="126"/>
    </row>
    <row r="287" spans="1:11" ht="18">
      <c r="A287" s="125"/>
      <c r="B287" s="125"/>
      <c r="C287" s="126"/>
      <c r="D287" s="126"/>
      <c r="E287" s="126"/>
      <c r="F287" s="127"/>
      <c r="G287" s="126"/>
      <c r="H287" s="126"/>
      <c r="I287" s="127"/>
      <c r="J287" s="126"/>
      <c r="K287" s="126"/>
    </row>
    <row r="288" spans="1:11" ht="18">
      <c r="A288" s="125"/>
      <c r="B288" s="125"/>
      <c r="C288" s="126"/>
      <c r="D288" s="126"/>
      <c r="E288" s="126"/>
      <c r="F288" s="127"/>
      <c r="G288" s="126"/>
      <c r="H288" s="126"/>
      <c r="I288" s="127"/>
      <c r="J288" s="126"/>
      <c r="K288" s="126"/>
    </row>
    <row r="289" spans="1:11" ht="18">
      <c r="A289" s="125"/>
      <c r="B289" s="125"/>
      <c r="C289" s="126"/>
      <c r="D289" s="126"/>
      <c r="E289" s="126"/>
      <c r="F289" s="127"/>
      <c r="G289" s="126"/>
      <c r="H289" s="126"/>
      <c r="I289" s="127"/>
      <c r="J289" s="126"/>
      <c r="K289" s="126"/>
    </row>
    <row r="290" spans="1:11" ht="18">
      <c r="A290" s="125"/>
      <c r="B290" s="125"/>
      <c r="C290" s="126"/>
      <c r="D290" s="126"/>
      <c r="E290" s="126"/>
      <c r="F290" s="127"/>
      <c r="G290" s="126"/>
      <c r="H290" s="126"/>
      <c r="I290" s="127"/>
      <c r="J290" s="126"/>
      <c r="K290" s="126"/>
    </row>
    <row r="291" spans="1:11" ht="18">
      <c r="A291" s="125"/>
      <c r="B291" s="125"/>
      <c r="C291" s="126"/>
      <c r="D291" s="126"/>
      <c r="E291" s="126"/>
      <c r="F291" s="127"/>
      <c r="G291" s="126"/>
      <c r="H291" s="126"/>
      <c r="I291" s="127"/>
      <c r="J291" s="126"/>
      <c r="K291" s="126"/>
    </row>
    <row r="292" spans="1:11" ht="18">
      <c r="A292" s="125"/>
      <c r="B292" s="125"/>
      <c r="C292" s="126"/>
      <c r="D292" s="126"/>
      <c r="E292" s="126"/>
      <c r="F292" s="127"/>
      <c r="G292" s="126"/>
      <c r="H292" s="126"/>
      <c r="I292" s="127"/>
      <c r="J292" s="126"/>
      <c r="K292" s="126"/>
    </row>
    <row r="293" spans="1:11" ht="18">
      <c r="A293" s="125"/>
      <c r="B293" s="125"/>
      <c r="C293" s="126"/>
      <c r="D293" s="126"/>
      <c r="E293" s="126"/>
      <c r="F293" s="127"/>
      <c r="G293" s="126"/>
      <c r="H293" s="126"/>
      <c r="I293" s="127"/>
      <c r="J293" s="126"/>
      <c r="K293" s="126"/>
    </row>
    <row r="294" spans="1:11" ht="18">
      <c r="A294" s="125"/>
      <c r="B294" s="125"/>
      <c r="C294" s="126"/>
      <c r="D294" s="126"/>
      <c r="E294" s="126"/>
      <c r="F294" s="127"/>
      <c r="G294" s="126"/>
      <c r="H294" s="126"/>
      <c r="I294" s="127"/>
      <c r="J294" s="126"/>
      <c r="K294" s="126"/>
    </row>
    <row r="295" spans="1:11" ht="18">
      <c r="A295" s="125"/>
      <c r="B295" s="125"/>
      <c r="C295" s="126"/>
      <c r="D295" s="126"/>
      <c r="E295" s="126"/>
      <c r="F295" s="127"/>
      <c r="G295" s="126"/>
      <c r="H295" s="126"/>
      <c r="I295" s="127"/>
      <c r="J295" s="126"/>
      <c r="K295" s="126"/>
    </row>
    <row r="296" spans="1:11" ht="18">
      <c r="A296" s="125"/>
      <c r="B296" s="125"/>
      <c r="C296" s="126"/>
      <c r="D296" s="126"/>
      <c r="E296" s="126"/>
      <c r="F296" s="127"/>
      <c r="G296" s="126"/>
      <c r="H296" s="126"/>
      <c r="I296" s="127"/>
      <c r="J296" s="126"/>
      <c r="K296" s="126"/>
    </row>
    <row r="297" spans="1:11" ht="18">
      <c r="A297" s="125"/>
      <c r="B297" s="125"/>
      <c r="C297" s="126"/>
      <c r="D297" s="126"/>
      <c r="E297" s="126"/>
      <c r="F297" s="127"/>
      <c r="G297" s="126"/>
      <c r="H297" s="126"/>
      <c r="I297" s="127"/>
      <c r="J297" s="126"/>
      <c r="K297" s="126"/>
    </row>
    <row r="298" spans="1:11" ht="18">
      <c r="A298" s="125"/>
      <c r="B298" s="125"/>
      <c r="C298" s="126"/>
      <c r="D298" s="126"/>
      <c r="E298" s="126"/>
      <c r="F298" s="127"/>
      <c r="G298" s="126"/>
      <c r="H298" s="126"/>
      <c r="I298" s="127"/>
      <c r="J298" s="126"/>
      <c r="K298" s="126"/>
    </row>
    <row r="299" spans="1:11" ht="18">
      <c r="A299" s="125"/>
      <c r="B299" s="125"/>
      <c r="C299" s="126"/>
      <c r="D299" s="126"/>
      <c r="E299" s="126"/>
      <c r="F299" s="127"/>
      <c r="G299" s="126"/>
      <c r="H299" s="126"/>
      <c r="I299" s="127"/>
      <c r="J299" s="126"/>
      <c r="K299" s="126"/>
    </row>
    <row r="300" spans="1:11" ht="18">
      <c r="A300" s="125"/>
      <c r="B300" s="125"/>
      <c r="C300" s="126"/>
      <c r="D300" s="126"/>
      <c r="E300" s="126"/>
      <c r="F300" s="127"/>
      <c r="G300" s="126"/>
      <c r="H300" s="126"/>
      <c r="I300" s="127"/>
      <c r="J300" s="126"/>
      <c r="K300" s="126"/>
    </row>
    <row r="301" spans="1:11" ht="18">
      <c r="A301" s="125"/>
      <c r="B301" s="125"/>
      <c r="C301" s="126"/>
      <c r="D301" s="126"/>
      <c r="E301" s="126"/>
      <c r="F301" s="127"/>
      <c r="G301" s="126"/>
      <c r="H301" s="126"/>
      <c r="I301" s="127"/>
      <c r="J301" s="126"/>
      <c r="K301" s="126"/>
    </row>
    <row r="302" spans="1:11" ht="18">
      <c r="A302" s="125"/>
      <c r="B302" s="125"/>
      <c r="C302" s="126"/>
      <c r="D302" s="126"/>
      <c r="E302" s="126"/>
      <c r="F302" s="127"/>
      <c r="G302" s="126"/>
      <c r="H302" s="126"/>
      <c r="I302" s="127"/>
      <c r="J302" s="126"/>
      <c r="K302" s="126"/>
    </row>
    <row r="303" spans="1:11" ht="18">
      <c r="A303" s="125"/>
      <c r="B303" s="125"/>
      <c r="C303" s="126"/>
      <c r="D303" s="126"/>
      <c r="E303" s="126"/>
      <c r="F303" s="127"/>
      <c r="G303" s="126"/>
      <c r="H303" s="126"/>
      <c r="I303" s="127"/>
      <c r="J303" s="126"/>
      <c r="K303" s="126"/>
    </row>
    <row r="304" spans="1:11" ht="18">
      <c r="A304" s="125"/>
      <c r="B304" s="125"/>
      <c r="C304" s="126"/>
      <c r="D304" s="126"/>
      <c r="E304" s="126"/>
      <c r="F304" s="127"/>
      <c r="G304" s="126"/>
      <c r="H304" s="126"/>
      <c r="I304" s="127"/>
      <c r="J304" s="126"/>
      <c r="K304" s="126"/>
    </row>
    <row r="305" spans="1:11" ht="18">
      <c r="A305" s="125"/>
      <c r="B305" s="125"/>
      <c r="C305" s="126"/>
      <c r="D305" s="126"/>
      <c r="E305" s="126"/>
      <c r="F305" s="127"/>
      <c r="G305" s="126"/>
      <c r="H305" s="126"/>
      <c r="I305" s="127"/>
      <c r="J305" s="126"/>
      <c r="K305" s="126"/>
    </row>
    <row r="306" spans="1:11" ht="18">
      <c r="A306" s="125"/>
      <c r="B306" s="125"/>
      <c r="C306" s="126"/>
      <c r="D306" s="126"/>
      <c r="E306" s="126"/>
      <c r="F306" s="127"/>
      <c r="G306" s="126"/>
      <c r="H306" s="126"/>
      <c r="I306" s="127"/>
      <c r="J306" s="126"/>
      <c r="K306" s="126"/>
    </row>
    <row r="307" spans="1:11" ht="18">
      <c r="A307" s="125"/>
      <c r="B307" s="125"/>
      <c r="C307" s="126"/>
      <c r="D307" s="126"/>
      <c r="E307" s="126"/>
      <c r="F307" s="127"/>
      <c r="G307" s="126"/>
      <c r="H307" s="126"/>
      <c r="I307" s="127"/>
      <c r="J307" s="126"/>
      <c r="K307" s="126"/>
    </row>
    <row r="308" spans="1:11" ht="18">
      <c r="A308" s="125"/>
      <c r="B308" s="125"/>
      <c r="C308" s="126"/>
      <c r="D308" s="126"/>
      <c r="E308" s="126"/>
      <c r="F308" s="127"/>
      <c r="G308" s="126"/>
      <c r="H308" s="126"/>
      <c r="I308" s="127"/>
      <c r="J308" s="126"/>
      <c r="K308" s="126"/>
    </row>
    <row r="309" spans="1:11" ht="18">
      <c r="A309" s="125"/>
      <c r="B309" s="125"/>
      <c r="C309" s="126"/>
      <c r="D309" s="126"/>
      <c r="E309" s="126"/>
      <c r="F309" s="127"/>
      <c r="G309" s="126"/>
      <c r="H309" s="126"/>
      <c r="I309" s="127"/>
      <c r="J309" s="126"/>
      <c r="K309" s="126"/>
    </row>
    <row r="310" spans="1:11" ht="18">
      <c r="A310" s="125"/>
      <c r="B310" s="125"/>
      <c r="C310" s="126"/>
      <c r="D310" s="126"/>
      <c r="E310" s="126"/>
      <c r="F310" s="127"/>
      <c r="G310" s="126"/>
      <c r="H310" s="126"/>
      <c r="I310" s="127"/>
      <c r="J310" s="126"/>
      <c r="K310" s="126"/>
    </row>
    <row r="311" spans="1:11" ht="18">
      <c r="A311" s="125"/>
      <c r="B311" s="125"/>
      <c r="C311" s="126"/>
      <c r="D311" s="126"/>
      <c r="E311" s="126"/>
      <c r="F311" s="127"/>
      <c r="G311" s="126"/>
      <c r="H311" s="126"/>
      <c r="I311" s="127"/>
      <c r="J311" s="126"/>
      <c r="K311" s="126"/>
    </row>
    <row r="312" spans="1:11" ht="18">
      <c r="A312" s="125"/>
      <c r="B312" s="125"/>
      <c r="C312" s="126"/>
      <c r="D312" s="126"/>
      <c r="E312" s="126"/>
      <c r="F312" s="127"/>
      <c r="G312" s="126"/>
      <c r="H312" s="126"/>
      <c r="I312" s="127"/>
      <c r="J312" s="126"/>
      <c r="K312" s="126"/>
    </row>
    <row r="313" spans="1:11" ht="18">
      <c r="A313" s="125"/>
      <c r="B313" s="125"/>
      <c r="C313" s="126"/>
      <c r="D313" s="126"/>
      <c r="E313" s="126"/>
      <c r="F313" s="127"/>
      <c r="G313" s="126"/>
      <c r="H313" s="126"/>
      <c r="I313" s="127"/>
      <c r="J313" s="126"/>
      <c r="K313" s="126"/>
    </row>
    <row r="314" spans="1:11" ht="18">
      <c r="A314" s="125"/>
      <c r="B314" s="125"/>
      <c r="C314" s="126"/>
      <c r="D314" s="126"/>
      <c r="E314" s="126"/>
      <c r="F314" s="127"/>
      <c r="G314" s="126"/>
      <c r="H314" s="126"/>
      <c r="I314" s="127"/>
      <c r="J314" s="126"/>
      <c r="K314" s="126"/>
    </row>
    <row r="315" spans="1:11" ht="18">
      <c r="A315" s="125"/>
      <c r="B315" s="125"/>
      <c r="C315" s="126"/>
      <c r="D315" s="126"/>
      <c r="E315" s="126"/>
      <c r="F315" s="127"/>
      <c r="G315" s="126"/>
      <c r="H315" s="126"/>
      <c r="I315" s="127"/>
      <c r="J315" s="126"/>
      <c r="K315" s="126"/>
    </row>
    <row r="316" spans="1:11" ht="18">
      <c r="A316" s="125"/>
      <c r="B316" s="125"/>
      <c r="C316" s="126"/>
      <c r="D316" s="126"/>
      <c r="E316" s="126"/>
      <c r="F316" s="127"/>
      <c r="G316" s="126"/>
      <c r="H316" s="126"/>
      <c r="I316" s="127"/>
      <c r="J316" s="126"/>
      <c r="K316" s="126"/>
    </row>
    <row r="317" spans="1:11" ht="18">
      <c r="A317" s="125"/>
      <c r="B317" s="125"/>
      <c r="C317" s="126"/>
      <c r="D317" s="126"/>
      <c r="E317" s="126"/>
      <c r="F317" s="127"/>
      <c r="G317" s="126"/>
      <c r="H317" s="126"/>
      <c r="I317" s="127"/>
      <c r="J317" s="126"/>
      <c r="K317" s="126"/>
    </row>
    <row r="318" spans="1:11" ht="18">
      <c r="A318" s="125"/>
      <c r="B318" s="125"/>
      <c r="C318" s="126"/>
      <c r="D318" s="126"/>
      <c r="E318" s="126"/>
      <c r="F318" s="127"/>
      <c r="G318" s="126"/>
      <c r="H318" s="126"/>
      <c r="I318" s="127"/>
      <c r="J318" s="126"/>
      <c r="K318" s="126"/>
    </row>
    <row r="319" spans="1:11" ht="18">
      <c r="A319" s="125"/>
      <c r="B319" s="125"/>
      <c r="C319" s="126"/>
      <c r="D319" s="126"/>
      <c r="E319" s="126"/>
      <c r="F319" s="127"/>
      <c r="G319" s="126"/>
      <c r="H319" s="126"/>
      <c r="I319" s="127"/>
      <c r="J319" s="126"/>
      <c r="K319" s="126"/>
    </row>
    <row r="320" spans="1:11" ht="18">
      <c r="A320" s="125"/>
      <c r="B320" s="125"/>
      <c r="C320" s="126"/>
      <c r="D320" s="126"/>
      <c r="E320" s="126"/>
      <c r="F320" s="127"/>
      <c r="G320" s="126"/>
      <c r="H320" s="126"/>
      <c r="I320" s="127"/>
      <c r="J320" s="126"/>
      <c r="K320" s="126"/>
    </row>
    <row r="321" spans="1:11" ht="18">
      <c r="A321" s="125"/>
      <c r="B321" s="125"/>
      <c r="C321" s="126"/>
      <c r="D321" s="126"/>
      <c r="E321" s="126"/>
      <c r="F321" s="127"/>
      <c r="G321" s="126"/>
      <c r="H321" s="126"/>
      <c r="I321" s="127"/>
      <c r="J321" s="126"/>
      <c r="K321" s="126"/>
    </row>
    <row r="322" spans="1:11" ht="18">
      <c r="A322" s="125"/>
      <c r="B322" s="125"/>
      <c r="C322" s="126"/>
      <c r="D322" s="126"/>
      <c r="E322" s="126"/>
      <c r="F322" s="127"/>
      <c r="G322" s="126"/>
      <c r="H322" s="126"/>
      <c r="I322" s="127"/>
      <c r="J322" s="126"/>
      <c r="K322" s="126"/>
    </row>
    <row r="323" spans="1:11" ht="18">
      <c r="A323" s="125"/>
      <c r="B323" s="125"/>
      <c r="C323" s="126"/>
      <c r="D323" s="126"/>
      <c r="E323" s="126"/>
      <c r="F323" s="127"/>
      <c r="G323" s="126"/>
      <c r="H323" s="126"/>
      <c r="I323" s="127"/>
      <c r="J323" s="126"/>
      <c r="K323" s="126"/>
    </row>
    <row r="324" spans="1:11" ht="18">
      <c r="A324" s="125"/>
      <c r="B324" s="125"/>
      <c r="C324" s="126"/>
      <c r="D324" s="126"/>
      <c r="E324" s="126"/>
      <c r="F324" s="127"/>
      <c r="G324" s="126"/>
      <c r="H324" s="126"/>
      <c r="I324" s="127"/>
      <c r="J324" s="126"/>
      <c r="K324" s="126"/>
    </row>
    <row r="325" spans="1:11" ht="18">
      <c r="A325" s="125"/>
      <c r="B325" s="125"/>
      <c r="C325" s="126"/>
      <c r="D325" s="126"/>
      <c r="E325" s="126"/>
      <c r="F325" s="127"/>
      <c r="G325" s="126"/>
      <c r="H325" s="126"/>
      <c r="I325" s="127"/>
      <c r="J325" s="126"/>
      <c r="K325" s="126"/>
    </row>
    <row r="326" spans="1:11" ht="18">
      <c r="A326" s="125"/>
      <c r="B326" s="125"/>
      <c r="C326" s="126"/>
      <c r="D326" s="126"/>
      <c r="E326" s="126"/>
      <c r="F326" s="127"/>
      <c r="G326" s="126"/>
      <c r="H326" s="126"/>
      <c r="I326" s="127"/>
      <c r="J326" s="126"/>
      <c r="K326" s="126"/>
    </row>
    <row r="327" spans="1:11" ht="18">
      <c r="A327" s="125"/>
      <c r="B327" s="125"/>
      <c r="C327" s="126"/>
      <c r="D327" s="126"/>
      <c r="E327" s="126"/>
      <c r="F327" s="127"/>
      <c r="G327" s="126"/>
      <c r="H327" s="126"/>
      <c r="I327" s="127"/>
      <c r="J327" s="126"/>
      <c r="K327" s="126"/>
    </row>
    <row r="328" spans="1:11" ht="18">
      <c r="C328" s="126"/>
      <c r="D328" s="126"/>
      <c r="E328" s="126"/>
      <c r="F328" s="127"/>
      <c r="G328" s="126"/>
      <c r="H328" s="126"/>
      <c r="I328" s="127"/>
      <c r="J328" s="126"/>
      <c r="K328" s="126"/>
    </row>
  </sheetData>
  <sortState xmlns:xlrd2="http://schemas.microsoft.com/office/spreadsheetml/2017/richdata2" ref="A3:K15">
    <sortCondition ref="A3:A15"/>
  </sortState>
  <mergeCells count="5">
    <mergeCell ref="G1:I1"/>
    <mergeCell ref="A1:C1"/>
    <mergeCell ref="D1:F1"/>
    <mergeCell ref="A2:B2"/>
    <mergeCell ref="L4:L15"/>
  </mergeCells>
  <conditionalFormatting sqref="F2 I2 F4:F86 I4:I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hyperlinks>
    <hyperlink ref="K6" r:id="rId1" display="https://us3.assetplanner.com/service_request?ID=099548" xr:uid="{6CB98A0E-2331-438B-81C1-A5E30231516B}"/>
    <hyperlink ref="L4" r:id="rId2" display="https://us3.assetplanner.com/service_request?ID=101743" xr:uid="{4B00F580-FF04-4A2A-95C3-CD472DC56ABF}"/>
  </hyperlinks>
  <pageMargins left="0.4" right="0.7" top="0.25" bottom="0.25" header="0.3" footer="0.3"/>
  <pageSetup fitToHeight="99" orientation="landscape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T333"/>
  <sheetViews>
    <sheetView zoomScale="70" zoomScaleNormal="70" workbookViewId="0">
      <pane xSplit="3" ySplit="3" topLeftCell="D55" activePane="bottomRight" state="frozen"/>
      <selection pane="bottomRight" activeCell="A67" sqref="A67:XFD67"/>
      <selection pane="bottomLeft" activeCell="H74" sqref="H74"/>
      <selection pane="topRight" activeCell="H74" sqref="H74"/>
    </sheetView>
  </sheetViews>
  <sheetFormatPr defaultRowHeight="13.9"/>
  <cols>
    <col min="1" max="1" width="3.140625" bestFit="1" customWidth="1"/>
    <col min="2" max="2" width="35.85546875" bestFit="1" customWidth="1"/>
    <col min="3" max="3" width="8.42578125" style="31" customWidth="1"/>
    <col min="4" max="4" width="11.85546875" customWidth="1"/>
    <col min="5" max="6" width="13.140625" customWidth="1"/>
    <col min="7" max="7" width="13.140625" style="1" customWidth="1"/>
    <col min="8" max="9" width="13.140625" customWidth="1"/>
    <col min="10" max="10" width="13.140625" style="1" customWidth="1"/>
    <col min="11" max="11" width="83.7109375" customWidth="1"/>
    <col min="12" max="12" width="20.5703125" bestFit="1" customWidth="1"/>
  </cols>
  <sheetData>
    <row r="1" spans="1:20" ht="15.6">
      <c r="B1" s="254" t="str" cm="1">
        <f t="array" ref="B1">portfolio</f>
        <v>Wells Fargo</v>
      </c>
      <c r="C1" s="254"/>
      <c r="D1" s="254"/>
      <c r="E1" s="255" t="s">
        <v>282</v>
      </c>
      <c r="F1" s="255"/>
      <c r="G1" s="255"/>
      <c r="H1" s="253" t="s">
        <v>283</v>
      </c>
      <c r="I1" s="253"/>
      <c r="J1" s="253"/>
      <c r="K1" t="s">
        <v>29</v>
      </c>
      <c r="L1" s="3"/>
    </row>
    <row r="2" spans="1:20" ht="15.6">
      <c r="B2" s="264" t="s">
        <v>2</v>
      </c>
      <c r="C2" s="264"/>
      <c r="D2" s="4">
        <f>SUM(D4:D91)</f>
        <v>1866755.202</v>
      </c>
      <c r="E2" s="4">
        <f>SUM(E4:E91)</f>
        <v>1805891</v>
      </c>
      <c r="F2" s="4">
        <f>D2-E2</f>
        <v>60864.202000000048</v>
      </c>
      <c r="G2" s="5">
        <f>IFERROR(F2/E2, 0)</f>
        <v>3.3703142659219212E-2</v>
      </c>
      <c r="H2" s="4">
        <f>SUM(H4:H91)</f>
        <v>1982577.997</v>
      </c>
      <c r="I2" s="6">
        <f>D2-H2</f>
        <v>-115822.79499999993</v>
      </c>
      <c r="J2" s="5">
        <f>IFERROR(I2/H2, 0)</f>
        <v>-5.8420296792994181E-2</v>
      </c>
      <c r="K2" s="23" t="str">
        <f ca="1">IF(AND(TODAY()&gt;DATE(2024, 8,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3"/>
    </row>
    <row r="3" spans="1:20" ht="15.6">
      <c r="B3" s="24" t="s">
        <v>3</v>
      </c>
      <c r="C3" s="24" t="s">
        <v>39</v>
      </c>
      <c r="D3" s="199" t="s">
        <v>4</v>
      </c>
      <c r="E3" s="200" t="s">
        <v>5</v>
      </c>
      <c r="F3" s="200" t="s">
        <v>6</v>
      </c>
      <c r="G3" s="201" t="s">
        <v>7</v>
      </c>
      <c r="H3" s="202" t="s">
        <v>8</v>
      </c>
      <c r="I3" s="203" t="s">
        <v>6</v>
      </c>
      <c r="J3" s="204" t="s">
        <v>7</v>
      </c>
      <c r="K3" s="205" t="s">
        <v>48</v>
      </c>
      <c r="L3" s="205" t="s">
        <v>49</v>
      </c>
    </row>
    <row r="4" spans="1:20" ht="15.6">
      <c r="A4">
        <v>1</v>
      </c>
      <c r="B4" s="161" t="str" cm="1">
        <f t="array" ref="B4:B90">Sites[Site]</f>
        <v>Adams &amp; Broadway</v>
      </c>
      <c r="C4" s="162" t="str" cm="1">
        <f t="array" ref="C4:C90">Sites[State]</f>
        <v>CA</v>
      </c>
      <c r="D4" s="163">
        <v>1193.3</v>
      </c>
      <c r="E4" s="164" t="s">
        <v>202</v>
      </c>
      <c r="F4" s="164" t="str">
        <f t="shared" ref="F4:F35" si="0">IF(AND(ISNUMBER(D4),ISNUMBER(E4)), D4-E4, "")</f>
        <v/>
      </c>
      <c r="G4" s="165" t="str">
        <f t="shared" ref="G4:G35" si="1">IFERROR(F4/E4, "")</f>
        <v/>
      </c>
      <c r="H4" s="166">
        <v>1312</v>
      </c>
      <c r="I4" s="166">
        <f t="shared" ref="I4:I35" si="2">IF(AND(ISNUMBER(D4),ISNUMBER(H4)), D4-H4, "")</f>
        <v>-118.70000000000005</v>
      </c>
      <c r="J4" s="165">
        <f t="shared" ref="J4:J35" si="3">IFERROR(I4/H4, "")</f>
        <v>-9.0472560975609795E-2</v>
      </c>
      <c r="K4" s="167"/>
      <c r="L4" s="167"/>
      <c r="M4" s="168"/>
      <c r="N4" s="168"/>
      <c r="O4" s="63"/>
      <c r="P4" s="63"/>
      <c r="Q4" s="63"/>
      <c r="R4" s="63"/>
      <c r="S4" s="63"/>
      <c r="T4" s="63"/>
    </row>
    <row r="5" spans="1:20" ht="15.6">
      <c r="A5">
        <f>A4+1</f>
        <v>2</v>
      </c>
      <c r="B5" s="169" t="str">
        <v>Otay Mesa</v>
      </c>
      <c r="C5" s="162" t="str">
        <v>CA</v>
      </c>
      <c r="D5" s="163">
        <v>39.101999999999997</v>
      </c>
      <c r="E5" s="164" t="s">
        <v>202</v>
      </c>
      <c r="F5" s="164" t="str">
        <f t="shared" si="0"/>
        <v/>
      </c>
      <c r="G5" s="165" t="str">
        <f t="shared" si="1"/>
        <v/>
      </c>
      <c r="H5" s="170" t="s">
        <v>202</v>
      </c>
      <c r="I5" s="166" t="str">
        <f t="shared" si="2"/>
        <v/>
      </c>
      <c r="J5" s="165" t="str">
        <f t="shared" si="3"/>
        <v/>
      </c>
      <c r="K5" s="171" t="s">
        <v>51</v>
      </c>
      <c r="L5" s="172"/>
      <c r="M5" s="168"/>
      <c r="N5" s="168"/>
      <c r="O5" s="63"/>
      <c r="P5" s="63"/>
      <c r="Q5" s="63"/>
      <c r="R5" s="63"/>
      <c r="S5" s="63"/>
      <c r="T5" s="63"/>
    </row>
    <row r="6" spans="1:20" ht="15.6">
      <c r="A6">
        <f t="shared" ref="A6:A69" si="4">A5+1</f>
        <v>3</v>
      </c>
      <c r="B6" s="169" t="str">
        <v>San Leandro</v>
      </c>
      <c r="C6" s="162" t="str">
        <v>CA</v>
      </c>
      <c r="D6" s="163">
        <v>0</v>
      </c>
      <c r="E6" s="164" t="s">
        <v>202</v>
      </c>
      <c r="F6" s="164" t="str">
        <f t="shared" si="0"/>
        <v/>
      </c>
      <c r="G6" s="165" t="str">
        <f t="shared" si="1"/>
        <v/>
      </c>
      <c r="H6" s="166">
        <v>0</v>
      </c>
      <c r="I6" s="166">
        <f t="shared" si="2"/>
        <v>0</v>
      </c>
      <c r="J6" s="165" t="str">
        <f t="shared" si="3"/>
        <v/>
      </c>
      <c r="K6" s="173" t="s">
        <v>203</v>
      </c>
      <c r="L6" s="174" t="s">
        <v>159</v>
      </c>
      <c r="M6" s="168"/>
      <c r="N6" s="168"/>
      <c r="O6" s="63"/>
      <c r="P6" s="63"/>
      <c r="Q6" s="63"/>
      <c r="R6" s="63"/>
      <c r="S6" s="63"/>
      <c r="T6" s="63"/>
    </row>
    <row r="7" spans="1:20" ht="28.9">
      <c r="A7">
        <f t="shared" si="4"/>
        <v>4</v>
      </c>
      <c r="B7" s="169" t="str">
        <v>Van Nuys</v>
      </c>
      <c r="C7" s="162" t="str">
        <v>CA</v>
      </c>
      <c r="D7" s="163">
        <v>1834.8</v>
      </c>
      <c r="E7" s="164" t="s">
        <v>202</v>
      </c>
      <c r="F7" s="164" t="str">
        <f t="shared" si="0"/>
        <v/>
      </c>
      <c r="G7" s="165" t="str">
        <f t="shared" si="1"/>
        <v/>
      </c>
      <c r="H7" s="166">
        <v>2594.9969999999998</v>
      </c>
      <c r="I7" s="166">
        <f t="shared" si="2"/>
        <v>-760.19699999999989</v>
      </c>
      <c r="J7" s="165">
        <f t="shared" si="3"/>
        <v>-0.29294715947648492</v>
      </c>
      <c r="K7" s="172" t="s">
        <v>100</v>
      </c>
      <c r="L7" s="172"/>
      <c r="M7" s="168"/>
      <c r="N7" s="168"/>
      <c r="O7" s="63"/>
      <c r="P7" s="63"/>
      <c r="Q7" s="63"/>
      <c r="R7" s="63"/>
      <c r="S7" s="63"/>
      <c r="T7" s="63"/>
    </row>
    <row r="8" spans="1:20" ht="15.6">
      <c r="A8">
        <f t="shared" si="4"/>
        <v>5</v>
      </c>
      <c r="B8" s="169" t="str">
        <v>Lodi - Lodi Vineyard</v>
      </c>
      <c r="C8" s="162" t="str">
        <v>CA</v>
      </c>
      <c r="D8" s="163">
        <v>43768</v>
      </c>
      <c r="E8" s="164">
        <v>50160</v>
      </c>
      <c r="F8" s="164">
        <f t="shared" si="0"/>
        <v>-6392</v>
      </c>
      <c r="G8" s="165">
        <f t="shared" si="1"/>
        <v>-0.12743221690590112</v>
      </c>
      <c r="H8" s="166">
        <v>42061</v>
      </c>
      <c r="I8" s="166">
        <f t="shared" si="2"/>
        <v>1707</v>
      </c>
      <c r="J8" s="165">
        <f t="shared" si="3"/>
        <v>4.0583913839423696E-2</v>
      </c>
      <c r="K8" s="167" t="s">
        <v>284</v>
      </c>
      <c r="L8" s="167"/>
      <c r="M8" s="168"/>
      <c r="N8" s="168"/>
      <c r="O8" s="63"/>
      <c r="P8" s="63"/>
      <c r="Q8" s="63"/>
      <c r="R8" s="63"/>
      <c r="S8" s="63"/>
      <c r="T8" s="63"/>
    </row>
    <row r="9" spans="1:20" ht="57.6">
      <c r="A9">
        <f t="shared" si="4"/>
        <v>6</v>
      </c>
      <c r="B9" s="169" t="str">
        <v>Arden Fair Mall</v>
      </c>
      <c r="C9" s="162" t="str">
        <v>CA</v>
      </c>
      <c r="D9" s="163">
        <v>23270</v>
      </c>
      <c r="E9" s="164">
        <v>24626</v>
      </c>
      <c r="F9" s="164">
        <f t="shared" si="0"/>
        <v>-1356</v>
      </c>
      <c r="G9" s="165">
        <f t="shared" si="1"/>
        <v>-5.5063753756192643E-2</v>
      </c>
      <c r="H9" s="166">
        <v>27363</v>
      </c>
      <c r="I9" s="166">
        <f t="shared" si="2"/>
        <v>-4093</v>
      </c>
      <c r="J9" s="165">
        <f t="shared" si="3"/>
        <v>-0.14958155173043891</v>
      </c>
      <c r="K9" s="172" t="s">
        <v>208</v>
      </c>
      <c r="L9" s="174"/>
      <c r="M9" s="168"/>
      <c r="N9" s="168"/>
      <c r="O9" s="63"/>
      <c r="P9" s="63"/>
      <c r="Q9" s="63"/>
      <c r="R9" s="63"/>
      <c r="S9" s="63"/>
      <c r="T9" s="63"/>
    </row>
    <row r="10" spans="1:20" ht="28.9">
      <c r="A10">
        <f t="shared" si="4"/>
        <v>7</v>
      </c>
      <c r="B10" s="169" t="str">
        <v>Modesto - Modesto Main</v>
      </c>
      <c r="C10" s="162" t="str">
        <v>CA</v>
      </c>
      <c r="D10" s="163">
        <v>16281</v>
      </c>
      <c r="E10" s="164">
        <v>18634</v>
      </c>
      <c r="F10" s="164">
        <f t="shared" si="0"/>
        <v>-2353</v>
      </c>
      <c r="G10" s="165">
        <f t="shared" si="1"/>
        <v>-0.12627455189438661</v>
      </c>
      <c r="H10" s="166">
        <v>24713</v>
      </c>
      <c r="I10" s="166">
        <f t="shared" si="2"/>
        <v>-8432</v>
      </c>
      <c r="J10" s="165">
        <f t="shared" si="3"/>
        <v>-0.34119694088131752</v>
      </c>
      <c r="K10" s="167" t="s">
        <v>160</v>
      </c>
      <c r="L10" s="174" t="s">
        <v>285</v>
      </c>
      <c r="M10" s="168"/>
      <c r="N10" s="168"/>
      <c r="O10" s="63"/>
      <c r="P10" s="63"/>
      <c r="Q10" s="63"/>
      <c r="R10" s="63"/>
      <c r="S10" s="63"/>
      <c r="T10" s="63"/>
    </row>
    <row r="11" spans="1:20" ht="15.6">
      <c r="A11">
        <f t="shared" si="4"/>
        <v>8</v>
      </c>
      <c r="B11" s="169" t="str">
        <v>Stevens Creek</v>
      </c>
      <c r="C11" s="162" t="str">
        <v>CA</v>
      </c>
      <c r="D11" s="163">
        <v>5848</v>
      </c>
      <c r="E11" s="164">
        <v>6344</v>
      </c>
      <c r="F11" s="164">
        <f t="shared" si="0"/>
        <v>-496</v>
      </c>
      <c r="G11" s="165">
        <f t="shared" si="1"/>
        <v>-7.8184110970996215E-2</v>
      </c>
      <c r="H11" s="166">
        <v>7034</v>
      </c>
      <c r="I11" s="166">
        <f t="shared" si="2"/>
        <v>-1186</v>
      </c>
      <c r="J11" s="165">
        <f t="shared" si="3"/>
        <v>-0.16860961046346318</v>
      </c>
      <c r="K11" s="172" t="s">
        <v>286</v>
      </c>
      <c r="L11" s="172"/>
      <c r="M11" s="168"/>
      <c r="N11" s="168"/>
      <c r="O11" s="63"/>
      <c r="P11" s="63"/>
      <c r="Q11" s="63"/>
      <c r="R11" s="63"/>
      <c r="S11" s="63"/>
      <c r="T11" s="63"/>
    </row>
    <row r="12" spans="1:20" ht="57.6">
      <c r="A12">
        <f t="shared" si="4"/>
        <v>9</v>
      </c>
      <c r="B12" s="169" t="str">
        <v>Covina Main</v>
      </c>
      <c r="C12" s="162" t="str">
        <v>CA</v>
      </c>
      <c r="D12" s="163">
        <v>3966</v>
      </c>
      <c r="E12" s="164">
        <v>4035</v>
      </c>
      <c r="F12" s="164">
        <f t="shared" si="0"/>
        <v>-69</v>
      </c>
      <c r="G12" s="165">
        <f t="shared" si="1"/>
        <v>-1.7100371747211896E-2</v>
      </c>
      <c r="H12" s="166">
        <v>3959</v>
      </c>
      <c r="I12" s="166">
        <f t="shared" si="2"/>
        <v>7</v>
      </c>
      <c r="J12" s="165">
        <f t="shared" si="3"/>
        <v>1.7681232634503663E-3</v>
      </c>
      <c r="K12" s="167" t="s">
        <v>208</v>
      </c>
      <c r="L12" s="167"/>
      <c r="M12" s="168"/>
      <c r="N12" s="168"/>
      <c r="O12" s="63"/>
      <c r="P12" s="63"/>
      <c r="Q12" s="63"/>
      <c r="R12" s="63"/>
      <c r="S12" s="63"/>
      <c r="T12" s="63"/>
    </row>
    <row r="13" spans="1:20" ht="15.6">
      <c r="A13">
        <f t="shared" si="4"/>
        <v>10</v>
      </c>
      <c r="B13" s="169" t="str">
        <v>Old Ranch Town Center</v>
      </c>
      <c r="C13" s="162" t="str">
        <v>CA</v>
      </c>
      <c r="D13" s="163">
        <v>1450</v>
      </c>
      <c r="E13" s="164" t="s">
        <v>202</v>
      </c>
      <c r="F13" s="164" t="str">
        <f t="shared" si="0"/>
        <v/>
      </c>
      <c r="G13" s="165" t="str">
        <f t="shared" si="1"/>
        <v/>
      </c>
      <c r="H13" s="166">
        <v>1682</v>
      </c>
      <c r="I13" s="166">
        <f t="shared" si="2"/>
        <v>-232</v>
      </c>
      <c r="J13" s="165">
        <f t="shared" si="3"/>
        <v>-0.13793103448275862</v>
      </c>
      <c r="K13" s="172"/>
      <c r="L13" s="174"/>
      <c r="M13" s="168"/>
      <c r="N13" s="168"/>
      <c r="O13" s="63"/>
      <c r="P13" s="63"/>
      <c r="Q13" s="63"/>
      <c r="R13" s="63"/>
      <c r="S13" s="63"/>
      <c r="T13" s="63"/>
    </row>
    <row r="14" spans="1:20" ht="57.6">
      <c r="A14">
        <f t="shared" si="4"/>
        <v>11</v>
      </c>
      <c r="B14" s="169" t="str">
        <v>Mountain Gate Plaza</v>
      </c>
      <c r="C14" s="162" t="str">
        <v>CA</v>
      </c>
      <c r="D14" s="163">
        <v>9379</v>
      </c>
      <c r="E14" s="164" t="s">
        <v>202</v>
      </c>
      <c r="F14" s="164" t="str">
        <f t="shared" si="0"/>
        <v/>
      </c>
      <c r="G14" s="165" t="str">
        <f t="shared" si="1"/>
        <v/>
      </c>
      <c r="H14" s="166">
        <v>11380</v>
      </c>
      <c r="I14" s="166">
        <f t="shared" si="2"/>
        <v>-2001</v>
      </c>
      <c r="J14" s="165">
        <f t="shared" si="3"/>
        <v>-0.1758347978910369</v>
      </c>
      <c r="K14" s="167" t="s">
        <v>206</v>
      </c>
      <c r="L14" s="174"/>
      <c r="M14" s="168"/>
      <c r="N14" s="168"/>
      <c r="O14" s="63"/>
      <c r="P14" s="63"/>
      <c r="Q14" s="63"/>
      <c r="R14" s="63"/>
      <c r="S14" s="63"/>
      <c r="T14" s="63"/>
    </row>
    <row r="15" spans="1:20" ht="43.15">
      <c r="A15">
        <f t="shared" si="4"/>
        <v>12</v>
      </c>
      <c r="B15" s="169" t="str">
        <v>Arcadia Main</v>
      </c>
      <c r="C15" s="162" t="str">
        <v>CA</v>
      </c>
      <c r="D15" s="163">
        <v>4359</v>
      </c>
      <c r="E15" s="164" t="s">
        <v>202</v>
      </c>
      <c r="F15" s="164" t="str">
        <f t="shared" si="0"/>
        <v/>
      </c>
      <c r="G15" s="165" t="str">
        <f t="shared" si="1"/>
        <v/>
      </c>
      <c r="H15" s="166">
        <v>6193</v>
      </c>
      <c r="I15" s="166">
        <f t="shared" si="2"/>
        <v>-1834</v>
      </c>
      <c r="J15" s="165">
        <f t="shared" si="3"/>
        <v>-0.29614080413369936</v>
      </c>
      <c r="K15" s="172" t="s">
        <v>287</v>
      </c>
      <c r="L15" s="172"/>
      <c r="M15" s="168"/>
      <c r="N15" s="168"/>
      <c r="O15" s="63"/>
      <c r="P15" s="63"/>
      <c r="Q15" s="63"/>
      <c r="R15" s="63"/>
      <c r="S15" s="63"/>
      <c r="T15" s="63"/>
    </row>
    <row r="16" spans="1:20" ht="57.6">
      <c r="A16" s="156">
        <f t="shared" si="4"/>
        <v>13</v>
      </c>
      <c r="B16" s="175" t="str">
        <v>Fairfield</v>
      </c>
      <c r="C16" s="176" t="str">
        <v>CA</v>
      </c>
      <c r="D16" s="177">
        <v>4371</v>
      </c>
      <c r="E16" s="178">
        <v>4243</v>
      </c>
      <c r="F16" s="178">
        <f t="shared" si="0"/>
        <v>128</v>
      </c>
      <c r="G16" s="179">
        <f t="shared" si="1"/>
        <v>3.0167334433184069E-2</v>
      </c>
      <c r="H16" s="180">
        <v>4986</v>
      </c>
      <c r="I16" s="180">
        <f t="shared" si="2"/>
        <v>-615</v>
      </c>
      <c r="J16" s="179">
        <f t="shared" si="3"/>
        <v>-0.1233453670276775</v>
      </c>
      <c r="K16" s="181" t="s">
        <v>208</v>
      </c>
      <c r="L16" s="182"/>
      <c r="M16" s="168"/>
      <c r="N16" s="168"/>
      <c r="O16" s="63"/>
      <c r="P16" s="63"/>
      <c r="Q16" s="63"/>
      <c r="R16" s="63"/>
      <c r="S16" s="63"/>
      <c r="T16" s="63"/>
    </row>
    <row r="17" spans="1:20" ht="57.6">
      <c r="A17">
        <f t="shared" si="4"/>
        <v>14</v>
      </c>
      <c r="B17" s="169" t="str">
        <v>Los Gatos</v>
      </c>
      <c r="C17" s="162" t="str">
        <v>CA</v>
      </c>
      <c r="D17" s="163">
        <v>2393</v>
      </c>
      <c r="E17" s="164">
        <v>2502</v>
      </c>
      <c r="F17" s="164">
        <f t="shared" si="0"/>
        <v>-109</v>
      </c>
      <c r="G17" s="165">
        <f t="shared" si="1"/>
        <v>-4.3565147881694646E-2</v>
      </c>
      <c r="H17" s="166">
        <v>0</v>
      </c>
      <c r="I17" s="166">
        <f t="shared" si="2"/>
        <v>2393</v>
      </c>
      <c r="J17" s="165" t="str">
        <f t="shared" si="3"/>
        <v/>
      </c>
      <c r="K17" s="172" t="s">
        <v>208</v>
      </c>
      <c r="L17" s="172"/>
      <c r="M17" s="168"/>
      <c r="N17" s="168"/>
      <c r="O17" s="63"/>
      <c r="P17" s="63"/>
      <c r="Q17" s="63"/>
      <c r="R17" s="63"/>
      <c r="S17" s="63"/>
      <c r="T17" s="63"/>
    </row>
    <row r="18" spans="1:20" ht="15.6">
      <c r="A18">
        <f t="shared" si="4"/>
        <v>15</v>
      </c>
      <c r="B18" s="169" t="str">
        <v>San Marino</v>
      </c>
      <c r="C18" s="162" t="str">
        <v>CA</v>
      </c>
      <c r="D18" s="163">
        <v>3888</v>
      </c>
      <c r="E18" s="164">
        <v>5291</v>
      </c>
      <c r="F18" s="164">
        <f t="shared" si="0"/>
        <v>-1403</v>
      </c>
      <c r="G18" s="165">
        <f t="shared" si="1"/>
        <v>-0.26516726516726519</v>
      </c>
      <c r="H18" s="166">
        <v>6480</v>
      </c>
      <c r="I18" s="166">
        <f t="shared" si="2"/>
        <v>-2592</v>
      </c>
      <c r="J18" s="165">
        <f t="shared" si="3"/>
        <v>-0.4</v>
      </c>
      <c r="K18" s="167"/>
      <c r="L18" s="174"/>
      <c r="M18" s="168"/>
      <c r="N18" s="168"/>
      <c r="O18" s="63"/>
      <c r="P18" s="63"/>
      <c r="Q18" s="63"/>
      <c r="R18" s="63"/>
      <c r="S18" s="63"/>
      <c r="T18" s="63"/>
    </row>
    <row r="19" spans="1:20" ht="15.6">
      <c r="A19">
        <f t="shared" si="4"/>
        <v>16</v>
      </c>
      <c r="B19" s="169" t="str">
        <v>Buenaventura</v>
      </c>
      <c r="C19" s="162" t="str">
        <v>CA</v>
      </c>
      <c r="D19" s="163">
        <v>5384</v>
      </c>
      <c r="E19" s="164">
        <v>3897</v>
      </c>
      <c r="F19" s="164">
        <f t="shared" si="0"/>
        <v>1487</v>
      </c>
      <c r="G19" s="165">
        <f t="shared" si="1"/>
        <v>0.38157557095201439</v>
      </c>
      <c r="H19" s="166">
        <v>6070</v>
      </c>
      <c r="I19" s="166">
        <f t="shared" si="2"/>
        <v>-686</v>
      </c>
      <c r="J19" s="165">
        <f t="shared" si="3"/>
        <v>-0.11301482701812191</v>
      </c>
      <c r="K19" s="172" t="s">
        <v>207</v>
      </c>
      <c r="L19" s="174"/>
      <c r="M19" s="183"/>
      <c r="N19" s="168"/>
      <c r="O19" s="63"/>
      <c r="P19" s="63"/>
      <c r="Q19" s="63"/>
      <c r="R19" s="63"/>
      <c r="S19" s="63"/>
      <c r="T19" s="63"/>
    </row>
    <row r="20" spans="1:20" ht="57.6">
      <c r="A20" s="156">
        <f t="shared" si="4"/>
        <v>17</v>
      </c>
      <c r="B20" s="175" t="str">
        <v>BE 199502 - Westgate</v>
      </c>
      <c r="C20" s="176" t="str">
        <v>CA</v>
      </c>
      <c r="D20" s="177">
        <v>2103</v>
      </c>
      <c r="E20" s="178">
        <v>0</v>
      </c>
      <c r="F20" s="178">
        <f t="shared" si="0"/>
        <v>2103</v>
      </c>
      <c r="G20" s="179" t="str">
        <f t="shared" si="1"/>
        <v/>
      </c>
      <c r="H20" s="180">
        <v>2520</v>
      </c>
      <c r="I20" s="180">
        <f t="shared" si="2"/>
        <v>-417</v>
      </c>
      <c r="J20" s="179">
        <f t="shared" si="3"/>
        <v>-0.16547619047619047</v>
      </c>
      <c r="K20" s="181" t="s">
        <v>206</v>
      </c>
      <c r="L20" s="182"/>
      <c r="M20" s="183"/>
      <c r="N20" s="168"/>
      <c r="O20" s="63"/>
      <c r="P20" s="63"/>
      <c r="Q20" s="63"/>
      <c r="R20" s="63"/>
      <c r="S20" s="63"/>
      <c r="T20" s="63"/>
    </row>
    <row r="21" spans="1:20" ht="15.6">
      <c r="A21">
        <f t="shared" si="4"/>
        <v>18</v>
      </c>
      <c r="B21" s="169" t="str">
        <v>98th &amp; Grant</v>
      </c>
      <c r="C21" s="162" t="str">
        <v>CO</v>
      </c>
      <c r="D21" s="163">
        <v>2313</v>
      </c>
      <c r="E21" s="164" t="s">
        <v>202</v>
      </c>
      <c r="F21" s="164" t="str">
        <f t="shared" si="0"/>
        <v/>
      </c>
      <c r="G21" s="165" t="str">
        <f t="shared" si="1"/>
        <v/>
      </c>
      <c r="H21" s="166">
        <v>2124</v>
      </c>
      <c r="I21" s="166">
        <f t="shared" si="2"/>
        <v>189</v>
      </c>
      <c r="J21" s="165">
        <f t="shared" si="3"/>
        <v>8.8983050847457626E-2</v>
      </c>
      <c r="K21" s="172"/>
      <c r="L21" s="172"/>
      <c r="M21" s="168"/>
      <c r="N21" s="168"/>
      <c r="O21" s="63"/>
      <c r="P21" s="63"/>
      <c r="Q21" s="63"/>
      <c r="R21" s="63"/>
      <c r="S21" s="63"/>
      <c r="T21" s="63"/>
    </row>
    <row r="22" spans="1:20" ht="72" customHeight="1">
      <c r="A22" s="156">
        <f t="shared" si="4"/>
        <v>19</v>
      </c>
      <c r="B22" s="175" t="str">
        <v>Arapahoe Crossings</v>
      </c>
      <c r="C22" s="176" t="str">
        <v>CO</v>
      </c>
      <c r="D22" s="177">
        <v>3030</v>
      </c>
      <c r="E22" s="178" t="s">
        <v>202</v>
      </c>
      <c r="F22" s="178" t="str">
        <f t="shared" si="0"/>
        <v/>
      </c>
      <c r="G22" s="179" t="str">
        <f t="shared" si="1"/>
        <v/>
      </c>
      <c r="H22" s="180">
        <v>3982</v>
      </c>
      <c r="I22" s="180">
        <f t="shared" si="2"/>
        <v>-952</v>
      </c>
      <c r="J22" s="179">
        <f t="shared" si="3"/>
        <v>-0.23907584128578604</v>
      </c>
      <c r="K22" s="181" t="s">
        <v>288</v>
      </c>
      <c r="L22" s="182" t="s">
        <v>243</v>
      </c>
      <c r="M22" s="183"/>
      <c r="N22" s="168"/>
      <c r="O22" s="63"/>
      <c r="P22" s="63"/>
      <c r="Q22" s="63"/>
      <c r="R22" s="63"/>
      <c r="S22" s="63"/>
      <c r="T22" s="63"/>
    </row>
    <row r="23" spans="1:20" ht="15.6">
      <c r="A23">
        <f t="shared" si="4"/>
        <v>20</v>
      </c>
      <c r="B23" s="175" t="str">
        <v>Aurora City Center</v>
      </c>
      <c r="C23" s="176" t="str">
        <v>CO</v>
      </c>
      <c r="D23" s="177">
        <v>1840</v>
      </c>
      <c r="E23" s="178" t="s">
        <v>202</v>
      </c>
      <c r="F23" s="178" t="str">
        <f t="shared" si="0"/>
        <v/>
      </c>
      <c r="G23" s="179" t="str">
        <f t="shared" si="1"/>
        <v/>
      </c>
      <c r="H23" s="180">
        <v>1840</v>
      </c>
      <c r="I23" s="180">
        <f t="shared" si="2"/>
        <v>0</v>
      </c>
      <c r="J23" s="179">
        <f t="shared" si="3"/>
        <v>0</v>
      </c>
      <c r="K23" s="184" t="s">
        <v>289</v>
      </c>
      <c r="L23" s="182" t="s">
        <v>246</v>
      </c>
      <c r="M23" s="168"/>
      <c r="N23" s="168"/>
      <c r="O23" s="63"/>
      <c r="P23" s="63"/>
      <c r="Q23" s="63"/>
      <c r="R23" s="63"/>
      <c r="S23" s="63"/>
      <c r="T23" s="63"/>
    </row>
    <row r="24" spans="1:20" ht="15.6">
      <c r="A24">
        <f t="shared" si="4"/>
        <v>21</v>
      </c>
      <c r="B24" s="169" t="str">
        <v>Dry Creek</v>
      </c>
      <c r="C24" s="162" t="str">
        <v>CO</v>
      </c>
      <c r="D24" s="163">
        <v>2456</v>
      </c>
      <c r="E24" s="164">
        <v>0</v>
      </c>
      <c r="F24" s="164">
        <f t="shared" si="0"/>
        <v>2456</v>
      </c>
      <c r="G24" s="165" t="str">
        <f t="shared" si="1"/>
        <v/>
      </c>
      <c r="H24" s="166">
        <v>2319</v>
      </c>
      <c r="I24" s="166">
        <f t="shared" si="2"/>
        <v>137</v>
      </c>
      <c r="J24" s="165">
        <f t="shared" si="3"/>
        <v>5.9077188443294522E-2</v>
      </c>
      <c r="K24" s="167"/>
      <c r="L24" s="167"/>
      <c r="M24" s="168"/>
      <c r="N24" s="168"/>
      <c r="O24" s="63"/>
      <c r="P24" s="63"/>
      <c r="Q24" s="63"/>
      <c r="R24" s="63"/>
      <c r="S24" s="63"/>
      <c r="T24" s="63"/>
    </row>
    <row r="25" spans="1:20" ht="15.6">
      <c r="A25">
        <f t="shared" si="4"/>
        <v>22</v>
      </c>
      <c r="B25" s="169" t="str">
        <v>Highlands Ranch S.</v>
      </c>
      <c r="C25" s="162" t="str">
        <v>CO</v>
      </c>
      <c r="D25" s="163">
        <v>2055</v>
      </c>
      <c r="E25" s="164" t="s">
        <v>202</v>
      </c>
      <c r="F25" s="164" t="str">
        <f t="shared" si="0"/>
        <v/>
      </c>
      <c r="G25" s="165" t="str">
        <f t="shared" si="1"/>
        <v/>
      </c>
      <c r="H25" s="166">
        <v>2235</v>
      </c>
      <c r="I25" s="166">
        <f t="shared" si="2"/>
        <v>-180</v>
      </c>
      <c r="J25" s="165">
        <f t="shared" si="3"/>
        <v>-8.0536912751677847E-2</v>
      </c>
      <c r="K25" s="185"/>
      <c r="L25" s="185"/>
      <c r="M25" s="168"/>
      <c r="N25" s="168"/>
      <c r="O25" s="63"/>
      <c r="P25" s="63"/>
      <c r="Q25" s="63"/>
      <c r="R25" s="63"/>
      <c r="S25" s="63"/>
      <c r="T25" s="63"/>
    </row>
    <row r="26" spans="1:20" ht="15.6">
      <c r="A26">
        <f t="shared" si="4"/>
        <v>23</v>
      </c>
      <c r="B26" s="169" t="str">
        <v>Lone Tree</v>
      </c>
      <c r="C26" s="162" t="str">
        <v>CO</v>
      </c>
      <c r="D26" s="163" t="s">
        <v>290</v>
      </c>
      <c r="E26" s="164" t="s">
        <v>202</v>
      </c>
      <c r="F26" s="164" t="str">
        <f t="shared" si="0"/>
        <v/>
      </c>
      <c r="G26" s="165" t="str">
        <f t="shared" si="1"/>
        <v/>
      </c>
      <c r="H26" s="166">
        <v>5091</v>
      </c>
      <c r="I26" s="166" t="str">
        <f t="shared" si="2"/>
        <v/>
      </c>
      <c r="J26" s="165" t="str">
        <f t="shared" si="3"/>
        <v/>
      </c>
      <c r="K26" s="167" t="s">
        <v>291</v>
      </c>
      <c r="L26" s="167" t="s">
        <v>292</v>
      </c>
      <c r="M26" s="168"/>
      <c r="N26" s="168"/>
      <c r="O26" s="63"/>
      <c r="P26" s="63"/>
      <c r="Q26" s="63"/>
      <c r="R26" s="63"/>
      <c r="S26" s="63"/>
      <c r="T26" s="63"/>
    </row>
    <row r="27" spans="1:20" ht="15.6">
      <c r="A27">
        <f t="shared" si="4"/>
        <v>24</v>
      </c>
      <c r="B27" s="169" t="str">
        <v>Meridian</v>
      </c>
      <c r="C27" s="162" t="str">
        <v>CO</v>
      </c>
      <c r="D27" s="163" t="s">
        <v>290</v>
      </c>
      <c r="E27" s="164" t="s">
        <v>202</v>
      </c>
      <c r="F27" s="164" t="str">
        <f t="shared" si="0"/>
        <v/>
      </c>
      <c r="G27" s="165" t="str">
        <f t="shared" si="1"/>
        <v/>
      </c>
      <c r="H27" s="166">
        <v>2948</v>
      </c>
      <c r="I27" s="166" t="str">
        <f t="shared" si="2"/>
        <v/>
      </c>
      <c r="J27" s="165" t="str">
        <f t="shared" si="3"/>
        <v/>
      </c>
      <c r="K27" s="172" t="s">
        <v>291</v>
      </c>
      <c r="L27" s="172" t="s">
        <v>293</v>
      </c>
      <c r="M27" s="168"/>
      <c r="N27" s="168"/>
      <c r="O27" s="63"/>
      <c r="P27" s="63"/>
      <c r="Q27" s="63"/>
      <c r="R27" s="63"/>
      <c r="S27" s="63"/>
      <c r="T27" s="63"/>
    </row>
    <row r="28" spans="1:20" ht="15.6">
      <c r="A28">
        <f t="shared" si="4"/>
        <v>25</v>
      </c>
      <c r="B28" s="169" t="str">
        <v>Southglenn</v>
      </c>
      <c r="C28" s="162" t="str">
        <v>CO</v>
      </c>
      <c r="D28" s="163">
        <v>3255</v>
      </c>
      <c r="E28" s="164" t="s">
        <v>202</v>
      </c>
      <c r="F28" s="164" t="str">
        <f t="shared" si="0"/>
        <v/>
      </c>
      <c r="G28" s="165" t="str">
        <f t="shared" si="1"/>
        <v/>
      </c>
      <c r="H28" s="166">
        <v>3016</v>
      </c>
      <c r="I28" s="166">
        <f t="shared" si="2"/>
        <v>239</v>
      </c>
      <c r="J28" s="165">
        <f t="shared" si="3"/>
        <v>7.9244031830238731E-2</v>
      </c>
      <c r="K28" s="167"/>
      <c r="L28" s="167"/>
      <c r="M28" s="168"/>
      <c r="N28" s="168"/>
      <c r="O28" s="63"/>
      <c r="P28" s="63"/>
      <c r="Q28" s="63"/>
      <c r="R28" s="63"/>
      <c r="S28" s="63"/>
      <c r="T28" s="63"/>
    </row>
    <row r="29" spans="1:20" ht="15.6">
      <c r="A29">
        <f t="shared" si="4"/>
        <v>26</v>
      </c>
      <c r="B29" s="169" t="str">
        <v>Standley Lake</v>
      </c>
      <c r="C29" s="162" t="str">
        <v>CO</v>
      </c>
      <c r="D29" s="163">
        <v>4330</v>
      </c>
      <c r="E29" s="164" t="s">
        <v>202</v>
      </c>
      <c r="F29" s="164" t="str">
        <f t="shared" si="0"/>
        <v/>
      </c>
      <c r="G29" s="165" t="str">
        <f t="shared" si="1"/>
        <v/>
      </c>
      <c r="H29" s="166">
        <v>4022</v>
      </c>
      <c r="I29" s="166">
        <f t="shared" si="2"/>
        <v>308</v>
      </c>
      <c r="J29" s="165">
        <f t="shared" si="3"/>
        <v>7.6578816509199399E-2</v>
      </c>
      <c r="K29" s="172" t="s">
        <v>250</v>
      </c>
      <c r="L29" s="172"/>
      <c r="M29" s="168"/>
      <c r="N29" s="168"/>
      <c r="O29" s="63"/>
      <c r="P29" s="63"/>
      <c r="Q29" s="63"/>
      <c r="R29" s="63"/>
      <c r="S29" s="63"/>
      <c r="T29" s="63"/>
    </row>
    <row r="30" spans="1:20" ht="57.6">
      <c r="A30">
        <f t="shared" si="4"/>
        <v>27</v>
      </c>
      <c r="B30" s="169" t="str">
        <v>Havana Gardens</v>
      </c>
      <c r="C30" s="162" t="str">
        <v>CO</v>
      </c>
      <c r="D30" s="163">
        <v>3739</v>
      </c>
      <c r="E30" s="164" t="s">
        <v>202</v>
      </c>
      <c r="F30" s="164" t="str">
        <f t="shared" si="0"/>
        <v/>
      </c>
      <c r="G30" s="165" t="str">
        <f t="shared" si="1"/>
        <v/>
      </c>
      <c r="H30" s="166">
        <v>1565</v>
      </c>
      <c r="I30" s="166">
        <f t="shared" si="2"/>
        <v>2174</v>
      </c>
      <c r="J30" s="165">
        <f t="shared" si="3"/>
        <v>1.3891373801916933</v>
      </c>
      <c r="K30" s="167" t="s">
        <v>214</v>
      </c>
      <c r="L30" s="167"/>
      <c r="M30" s="168"/>
      <c r="N30" s="168"/>
      <c r="O30" s="63"/>
      <c r="P30" s="63"/>
      <c r="Q30" s="63"/>
      <c r="R30" s="63"/>
      <c r="S30" s="63"/>
      <c r="T30" s="63"/>
    </row>
    <row r="31" spans="1:20" ht="15.6">
      <c r="A31">
        <f t="shared" si="4"/>
        <v>28</v>
      </c>
      <c r="B31" s="169" t="str">
        <v>East Hartford</v>
      </c>
      <c r="C31" s="162" t="str">
        <v>CT</v>
      </c>
      <c r="D31" s="163">
        <v>878</v>
      </c>
      <c r="E31" s="164">
        <v>953</v>
      </c>
      <c r="F31" s="164">
        <f t="shared" si="0"/>
        <v>-75</v>
      </c>
      <c r="G31" s="165">
        <f t="shared" si="1"/>
        <v>-7.8698845750262328E-2</v>
      </c>
      <c r="H31" s="166">
        <v>957</v>
      </c>
      <c r="I31" s="166">
        <f t="shared" si="2"/>
        <v>-79</v>
      </c>
      <c r="J31" s="165">
        <f t="shared" si="3"/>
        <v>-8.254963427377221E-2</v>
      </c>
      <c r="L31" s="172"/>
      <c r="M31" s="168"/>
      <c r="N31" s="168"/>
      <c r="O31" s="63"/>
      <c r="P31" s="63"/>
      <c r="Q31" s="63"/>
      <c r="R31" s="63"/>
      <c r="S31" s="63"/>
      <c r="T31" s="63"/>
    </row>
    <row r="32" spans="1:20" ht="57.6">
      <c r="A32">
        <f t="shared" si="4"/>
        <v>29</v>
      </c>
      <c r="B32" s="169" t="str">
        <v>Norwalk</v>
      </c>
      <c r="C32" s="162" t="str">
        <v>CT</v>
      </c>
      <c r="D32" s="163">
        <v>985</v>
      </c>
      <c r="E32" s="164">
        <v>0</v>
      </c>
      <c r="F32" s="164">
        <f t="shared" si="0"/>
        <v>985</v>
      </c>
      <c r="G32" s="165" t="str">
        <f t="shared" si="1"/>
        <v/>
      </c>
      <c r="H32" s="166">
        <v>1224</v>
      </c>
      <c r="I32" s="166">
        <f t="shared" si="2"/>
        <v>-239</v>
      </c>
      <c r="J32" s="165">
        <f t="shared" si="3"/>
        <v>-0.19526143790849673</v>
      </c>
      <c r="K32" s="172" t="s">
        <v>256</v>
      </c>
      <c r="L32" s="167" t="s">
        <v>61</v>
      </c>
      <c r="M32" s="168"/>
      <c r="N32" s="168"/>
      <c r="O32" s="63"/>
      <c r="P32" s="63"/>
      <c r="Q32" s="63"/>
      <c r="R32" s="63"/>
      <c r="S32" s="63"/>
      <c r="T32" s="63"/>
    </row>
    <row r="33" spans="1:20" ht="43.15">
      <c r="A33">
        <f t="shared" si="4"/>
        <v>30</v>
      </c>
      <c r="B33" s="169" t="str">
        <v>Hialeah Gardens</v>
      </c>
      <c r="C33" s="162" t="str">
        <v>FL</v>
      </c>
      <c r="D33" s="163">
        <v>754</v>
      </c>
      <c r="E33" s="164">
        <v>4769</v>
      </c>
      <c r="F33" s="164">
        <f t="shared" si="0"/>
        <v>-4015</v>
      </c>
      <c r="G33" s="165">
        <f t="shared" si="1"/>
        <v>-0.84189557559236738</v>
      </c>
      <c r="H33" s="166">
        <v>5217</v>
      </c>
      <c r="I33" s="166">
        <f t="shared" si="2"/>
        <v>-4463</v>
      </c>
      <c r="J33" s="165">
        <f t="shared" si="3"/>
        <v>-0.85547249377036616</v>
      </c>
      <c r="K33" s="172" t="s">
        <v>294</v>
      </c>
      <c r="L33" s="172" t="s">
        <v>295</v>
      </c>
      <c r="M33" s="168"/>
      <c r="N33" s="168"/>
      <c r="O33" s="63"/>
      <c r="P33" s="63"/>
      <c r="Q33" s="63"/>
      <c r="R33" s="63"/>
      <c r="S33" s="63"/>
      <c r="T33" s="63"/>
    </row>
    <row r="34" spans="1:20" ht="15.6">
      <c r="A34">
        <f t="shared" si="4"/>
        <v>31</v>
      </c>
      <c r="B34" s="169" t="str">
        <v>W. Des Moines Campus EAST</v>
      </c>
      <c r="C34" s="162" t="str">
        <v>IA</v>
      </c>
      <c r="D34" s="163">
        <v>201998</v>
      </c>
      <c r="E34" s="164">
        <v>197228</v>
      </c>
      <c r="F34" s="164">
        <f t="shared" si="0"/>
        <v>4770</v>
      </c>
      <c r="G34" s="165">
        <f t="shared" si="1"/>
        <v>2.4185206968584581E-2</v>
      </c>
      <c r="H34" s="166">
        <v>197900</v>
      </c>
      <c r="I34" s="166">
        <f t="shared" si="2"/>
        <v>4098</v>
      </c>
      <c r="J34" s="165">
        <f t="shared" si="3"/>
        <v>2.0707427993936333E-2</v>
      </c>
      <c r="K34" s="167"/>
      <c r="L34" s="174"/>
      <c r="M34" s="168"/>
      <c r="N34" s="168"/>
      <c r="O34" s="63"/>
      <c r="P34" s="63"/>
      <c r="Q34" s="63"/>
      <c r="R34" s="63"/>
      <c r="S34" s="63"/>
      <c r="T34" s="63"/>
    </row>
    <row r="35" spans="1:20" ht="43.15">
      <c r="A35">
        <f t="shared" si="4"/>
        <v>32</v>
      </c>
      <c r="B35" s="169" t="str">
        <v>W. Des Moines Campus SW</v>
      </c>
      <c r="C35" s="162" t="str">
        <v>IA</v>
      </c>
      <c r="D35" s="163">
        <v>73065</v>
      </c>
      <c r="E35" s="164">
        <v>98477</v>
      </c>
      <c r="F35" s="164">
        <f t="shared" si="0"/>
        <v>-25412</v>
      </c>
      <c r="G35" s="165">
        <f t="shared" si="1"/>
        <v>-0.25805010306975235</v>
      </c>
      <c r="H35" s="166">
        <v>97149</v>
      </c>
      <c r="I35" s="166">
        <f t="shared" si="2"/>
        <v>-24084</v>
      </c>
      <c r="J35" s="165">
        <f t="shared" si="3"/>
        <v>-0.24790785288577341</v>
      </c>
      <c r="K35" s="172" t="s">
        <v>296</v>
      </c>
      <c r="L35" s="172" t="s">
        <v>260</v>
      </c>
      <c r="M35" s="168"/>
      <c r="N35" s="168"/>
      <c r="O35" s="63"/>
      <c r="P35" s="63"/>
      <c r="Q35" s="63"/>
      <c r="R35" s="63"/>
      <c r="S35" s="63"/>
      <c r="T35" s="63"/>
    </row>
    <row r="36" spans="1:20" ht="15.6">
      <c r="A36">
        <f t="shared" si="4"/>
        <v>33</v>
      </c>
      <c r="B36" s="169" t="str">
        <v>WF - CIC</v>
      </c>
      <c r="C36" s="162" t="str">
        <v>NC</v>
      </c>
      <c r="D36" s="163">
        <v>3966</v>
      </c>
      <c r="E36" s="164">
        <v>4035</v>
      </c>
      <c r="F36" s="164">
        <f t="shared" ref="F36:F67" si="5">IF(AND(ISNUMBER(D36),ISNUMBER(E36)), D36-E36, "")</f>
        <v>-69</v>
      </c>
      <c r="G36" s="165">
        <f t="shared" ref="G36:G67" si="6">IFERROR(F36/E36, "")</f>
        <v>-1.7100371747211896E-2</v>
      </c>
      <c r="H36" s="166">
        <v>3959</v>
      </c>
      <c r="I36" s="166">
        <f t="shared" ref="I36:I67" si="7">IF(AND(ISNUMBER(D36),ISNUMBER(H36)), D36-H36, "")</f>
        <v>7</v>
      </c>
      <c r="J36" s="165">
        <f t="shared" ref="J36:J67" si="8">IFERROR(I36/H36, "")</f>
        <v>1.7681232634503663E-3</v>
      </c>
      <c r="K36" s="167"/>
      <c r="L36" s="167"/>
      <c r="M36" s="168"/>
      <c r="N36" s="168"/>
      <c r="O36" s="63"/>
      <c r="P36" s="63"/>
      <c r="Q36" s="63"/>
      <c r="R36" s="63"/>
      <c r="S36" s="63"/>
      <c r="T36" s="63"/>
    </row>
    <row r="37" spans="1:20" ht="15.6">
      <c r="A37">
        <f t="shared" si="4"/>
        <v>34</v>
      </c>
      <c r="B37" s="169" t="str">
        <v>Charlotte - Wells Fargo - DUC</v>
      </c>
      <c r="C37" s="162" t="str">
        <v>NC</v>
      </c>
      <c r="D37" s="163">
        <v>1146</v>
      </c>
      <c r="E37" s="164">
        <v>1030</v>
      </c>
      <c r="F37" s="164">
        <f t="shared" si="5"/>
        <v>116</v>
      </c>
      <c r="G37" s="165">
        <f t="shared" si="6"/>
        <v>0.11262135922330097</v>
      </c>
      <c r="H37" s="166">
        <v>1251</v>
      </c>
      <c r="I37" s="166">
        <f t="shared" si="7"/>
        <v>-105</v>
      </c>
      <c r="J37" s="165">
        <f t="shared" si="8"/>
        <v>-8.3932853717026384E-2</v>
      </c>
      <c r="K37" s="172"/>
      <c r="L37" s="172"/>
      <c r="M37" s="168"/>
      <c r="N37" s="168"/>
      <c r="O37" s="63"/>
      <c r="P37" s="63"/>
      <c r="Q37" s="63"/>
      <c r="R37" s="63"/>
      <c r="S37" s="63"/>
      <c r="T37" s="63"/>
    </row>
    <row r="38" spans="1:20" ht="15.6">
      <c r="A38">
        <f t="shared" si="4"/>
        <v>35</v>
      </c>
      <c r="B38" s="169" t="str">
        <v>East Windsor</v>
      </c>
      <c r="C38" s="162" t="str">
        <v>NJ</v>
      </c>
      <c r="D38" s="163">
        <v>1146</v>
      </c>
      <c r="E38" s="164">
        <v>1030</v>
      </c>
      <c r="F38" s="164">
        <f t="shared" si="5"/>
        <v>116</v>
      </c>
      <c r="G38" s="165">
        <f t="shared" si="6"/>
        <v>0.11262135922330097</v>
      </c>
      <c r="H38" s="166">
        <v>1251</v>
      </c>
      <c r="I38" s="166">
        <f t="shared" si="7"/>
        <v>-105</v>
      </c>
      <c r="J38" s="165">
        <f t="shared" si="8"/>
        <v>-8.3932853717026384E-2</v>
      </c>
      <c r="K38" s="167"/>
      <c r="L38" s="174"/>
      <c r="M38" s="168"/>
      <c r="N38" s="168"/>
      <c r="O38" s="63"/>
      <c r="P38" s="63"/>
      <c r="Q38" s="63"/>
      <c r="R38" s="63"/>
      <c r="S38" s="63"/>
      <c r="T38" s="63"/>
    </row>
    <row r="39" spans="1:20" ht="57.6">
      <c r="A39">
        <f t="shared" si="4"/>
        <v>36</v>
      </c>
      <c r="B39" s="169" t="str">
        <v>Burlington</v>
      </c>
      <c r="C39" s="162" t="str">
        <v>NJ</v>
      </c>
      <c r="D39" s="163">
        <v>2802</v>
      </c>
      <c r="E39" s="164">
        <v>2609</v>
      </c>
      <c r="F39" s="164">
        <f t="shared" si="5"/>
        <v>193</v>
      </c>
      <c r="G39" s="165">
        <f t="shared" si="6"/>
        <v>7.3974702951322344E-2</v>
      </c>
      <c r="H39" s="166">
        <v>3195</v>
      </c>
      <c r="I39" s="166">
        <f t="shared" si="7"/>
        <v>-393</v>
      </c>
      <c r="J39" s="165">
        <f t="shared" si="8"/>
        <v>-0.12300469483568074</v>
      </c>
      <c r="K39" s="172" t="s">
        <v>208</v>
      </c>
      <c r="L39" s="172"/>
      <c r="M39" s="168"/>
      <c r="N39" s="168"/>
      <c r="O39" s="63"/>
      <c r="P39" s="63"/>
      <c r="Q39" s="63"/>
      <c r="R39" s="63"/>
      <c r="S39" s="63"/>
      <c r="T39" s="63"/>
    </row>
    <row r="40" spans="1:20" ht="15.6">
      <c r="A40">
        <f t="shared" si="4"/>
        <v>37</v>
      </c>
      <c r="B40" s="169" t="str">
        <v>Bayonne</v>
      </c>
      <c r="C40" s="162" t="str">
        <v>NJ</v>
      </c>
      <c r="D40" s="163">
        <v>3829</v>
      </c>
      <c r="E40" s="164">
        <v>3523</v>
      </c>
      <c r="F40" s="164">
        <f t="shared" si="5"/>
        <v>306</v>
      </c>
      <c r="G40" s="165">
        <f t="shared" si="6"/>
        <v>8.6857791654839631E-2</v>
      </c>
      <c r="H40" s="166">
        <v>3654</v>
      </c>
      <c r="I40" s="166">
        <f t="shared" si="7"/>
        <v>175</v>
      </c>
      <c r="J40" s="165">
        <f t="shared" si="8"/>
        <v>4.7892720306513412E-2</v>
      </c>
      <c r="K40" s="167"/>
      <c r="L40" s="167"/>
      <c r="M40" s="168"/>
      <c r="N40" s="168"/>
      <c r="O40" s="63"/>
      <c r="P40" s="63"/>
      <c r="Q40" s="63"/>
      <c r="R40" s="63"/>
      <c r="S40" s="63"/>
      <c r="T40" s="63"/>
    </row>
    <row r="41" spans="1:20" ht="15.6">
      <c r="A41">
        <f t="shared" si="4"/>
        <v>38</v>
      </c>
      <c r="B41" s="169" t="str">
        <v>Clifton</v>
      </c>
      <c r="C41" s="162" t="str">
        <v>NJ</v>
      </c>
      <c r="D41" s="163">
        <v>4745</v>
      </c>
      <c r="E41" s="164">
        <v>4825</v>
      </c>
      <c r="F41" s="164">
        <f t="shared" si="5"/>
        <v>-80</v>
      </c>
      <c r="G41" s="165">
        <f t="shared" si="6"/>
        <v>-1.6580310880829015E-2</v>
      </c>
      <c r="H41" s="166">
        <v>4539</v>
      </c>
      <c r="I41" s="166">
        <f t="shared" si="7"/>
        <v>206</v>
      </c>
      <c r="J41" s="165">
        <f t="shared" si="8"/>
        <v>4.5384445913196736E-2</v>
      </c>
      <c r="K41" s="172"/>
      <c r="L41" s="172"/>
      <c r="M41" s="168"/>
      <c r="N41" s="168"/>
      <c r="O41" s="63"/>
      <c r="P41" s="63"/>
      <c r="Q41" s="63"/>
      <c r="R41" s="63"/>
      <c r="S41" s="63"/>
      <c r="T41" s="63"/>
    </row>
    <row r="42" spans="1:20" ht="15.6">
      <c r="A42">
        <f t="shared" si="4"/>
        <v>39</v>
      </c>
      <c r="B42" s="169" t="str">
        <v>North Elizabeth</v>
      </c>
      <c r="C42" s="162" t="str">
        <v>NJ</v>
      </c>
      <c r="D42" s="163">
        <v>4012</v>
      </c>
      <c r="E42" s="164">
        <v>3426</v>
      </c>
      <c r="F42" s="164">
        <f t="shared" si="5"/>
        <v>586</v>
      </c>
      <c r="G42" s="165">
        <f t="shared" si="6"/>
        <v>0.17104495037945125</v>
      </c>
      <c r="H42" s="166">
        <v>4162</v>
      </c>
      <c r="I42" s="166">
        <f t="shared" si="7"/>
        <v>-150</v>
      </c>
      <c r="J42" s="165">
        <f t="shared" si="8"/>
        <v>-3.6040365209034121E-2</v>
      </c>
      <c r="K42" s="167" t="s">
        <v>297</v>
      </c>
      <c r="L42" s="167"/>
      <c r="M42" s="168"/>
      <c r="N42" s="168"/>
      <c r="O42" s="63"/>
      <c r="P42" s="63"/>
      <c r="Q42" s="63"/>
      <c r="R42" s="63"/>
      <c r="S42" s="63"/>
      <c r="T42" s="63"/>
    </row>
    <row r="43" spans="1:20" ht="15.6">
      <c r="A43">
        <f t="shared" si="4"/>
        <v>40</v>
      </c>
      <c r="B43" s="169" t="str">
        <v>Haddon Westmont Plaza</v>
      </c>
      <c r="C43" s="162" t="str">
        <v>NJ</v>
      </c>
      <c r="D43" s="163">
        <v>2740</v>
      </c>
      <c r="E43" s="164">
        <v>2637</v>
      </c>
      <c r="F43" s="164">
        <f t="shared" si="5"/>
        <v>103</v>
      </c>
      <c r="G43" s="165">
        <f t="shared" si="6"/>
        <v>3.905953735305271E-2</v>
      </c>
      <c r="H43" s="166">
        <v>2999</v>
      </c>
      <c r="I43" s="166">
        <f t="shared" si="7"/>
        <v>-259</v>
      </c>
      <c r="J43" s="165">
        <f t="shared" si="8"/>
        <v>-8.6362120706902301E-2</v>
      </c>
      <c r="K43" s="172"/>
      <c r="L43" s="172"/>
      <c r="M43" s="168"/>
      <c r="N43" s="168"/>
      <c r="O43" s="63"/>
      <c r="P43" s="63"/>
      <c r="Q43" s="63"/>
      <c r="R43" s="63"/>
      <c r="S43" s="63"/>
      <c r="T43" s="63"/>
    </row>
    <row r="44" spans="1:20" ht="15.6">
      <c r="A44">
        <f t="shared" si="4"/>
        <v>41</v>
      </c>
      <c r="B44" s="169" t="str">
        <v>Parsippany</v>
      </c>
      <c r="C44" s="162" t="str">
        <v>NJ</v>
      </c>
      <c r="D44" s="163">
        <v>3499</v>
      </c>
      <c r="E44" s="164">
        <v>3268</v>
      </c>
      <c r="F44" s="164">
        <f t="shared" si="5"/>
        <v>231</v>
      </c>
      <c r="G44" s="165">
        <f t="shared" si="6"/>
        <v>7.0685434516523871E-2</v>
      </c>
      <c r="H44" s="166">
        <v>3475</v>
      </c>
      <c r="I44" s="166">
        <f t="shared" si="7"/>
        <v>24</v>
      </c>
      <c r="J44" s="165">
        <f t="shared" si="8"/>
        <v>6.9064748201438852E-3</v>
      </c>
      <c r="K44" s="167"/>
      <c r="L44" s="167"/>
      <c r="M44" s="168"/>
      <c r="N44" s="168"/>
      <c r="O44" s="63"/>
      <c r="P44" s="63"/>
      <c r="Q44" s="63"/>
      <c r="R44" s="63"/>
      <c r="S44" s="63"/>
      <c r="T44" s="63"/>
    </row>
    <row r="45" spans="1:20" ht="15.6">
      <c r="A45">
        <f t="shared" si="4"/>
        <v>42</v>
      </c>
      <c r="B45" s="169" t="str">
        <v>Clark</v>
      </c>
      <c r="C45" s="162" t="str">
        <v>NJ</v>
      </c>
      <c r="D45" s="163">
        <v>2889</v>
      </c>
      <c r="E45" s="164">
        <v>2722</v>
      </c>
      <c r="F45" s="164">
        <f t="shared" si="5"/>
        <v>167</v>
      </c>
      <c r="G45" s="165">
        <f t="shared" si="6"/>
        <v>6.1351947097722265E-2</v>
      </c>
      <c r="H45" s="166">
        <v>2899</v>
      </c>
      <c r="I45" s="166">
        <f t="shared" si="7"/>
        <v>-10</v>
      </c>
      <c r="J45" s="165">
        <f t="shared" si="8"/>
        <v>-3.4494653328734047E-3</v>
      </c>
      <c r="K45" s="172"/>
      <c r="L45" s="172"/>
      <c r="M45" s="168"/>
      <c r="N45" s="168"/>
      <c r="O45" s="63"/>
      <c r="P45" s="63"/>
      <c r="Q45" s="63"/>
      <c r="R45" s="63"/>
      <c r="S45" s="63"/>
      <c r="T45" s="63"/>
    </row>
    <row r="46" spans="1:20" ht="57.6">
      <c r="A46">
        <f t="shared" si="4"/>
        <v>43</v>
      </c>
      <c r="B46" s="169" t="str">
        <v>Closter</v>
      </c>
      <c r="C46" s="162" t="str">
        <v>NJ</v>
      </c>
      <c r="D46" s="163">
        <v>1294</v>
      </c>
      <c r="E46" s="164">
        <v>1159</v>
      </c>
      <c r="F46" s="164">
        <f t="shared" si="5"/>
        <v>135</v>
      </c>
      <c r="G46" s="165">
        <f t="shared" si="6"/>
        <v>0.11647972389991372</v>
      </c>
      <c r="H46" s="166">
        <v>1818</v>
      </c>
      <c r="I46" s="166">
        <f t="shared" si="7"/>
        <v>-524</v>
      </c>
      <c r="J46" s="165">
        <f t="shared" si="8"/>
        <v>-0.28822882288228824</v>
      </c>
      <c r="K46" s="167" t="s">
        <v>208</v>
      </c>
      <c r="L46" s="174"/>
      <c r="M46" s="168"/>
      <c r="N46" s="168"/>
      <c r="O46" s="63"/>
      <c r="P46" s="63"/>
      <c r="Q46" s="63"/>
      <c r="R46" s="63"/>
      <c r="S46" s="63"/>
      <c r="T46" s="63"/>
    </row>
    <row r="47" spans="1:20" ht="28.9">
      <c r="A47">
        <f t="shared" si="4"/>
        <v>44</v>
      </c>
      <c r="B47" s="169" t="str">
        <v>Holmdel</v>
      </c>
      <c r="C47" s="162" t="str">
        <v>NJ</v>
      </c>
      <c r="D47" s="163">
        <v>2427</v>
      </c>
      <c r="E47" s="164">
        <v>4053</v>
      </c>
      <c r="F47" s="164">
        <f t="shared" si="5"/>
        <v>-1626</v>
      </c>
      <c r="G47" s="165">
        <f t="shared" si="6"/>
        <v>-0.40118430792005921</v>
      </c>
      <c r="H47" s="166">
        <v>2524</v>
      </c>
      <c r="I47" s="166">
        <f t="shared" si="7"/>
        <v>-97</v>
      </c>
      <c r="J47" s="165">
        <f t="shared" si="8"/>
        <v>-3.8431061806656099E-2</v>
      </c>
      <c r="K47" s="172" t="s">
        <v>220</v>
      </c>
      <c r="L47" s="174" t="s">
        <v>181</v>
      </c>
      <c r="M47" s="168"/>
      <c r="N47" s="168"/>
      <c r="O47" s="63"/>
      <c r="P47" s="63"/>
      <c r="Q47" s="63"/>
      <c r="R47" s="63"/>
      <c r="S47" s="63"/>
      <c r="T47" s="63"/>
    </row>
    <row r="48" spans="1:20" ht="15.6">
      <c r="A48">
        <f t="shared" si="4"/>
        <v>45</v>
      </c>
      <c r="B48" s="169" t="str">
        <v>Ellisburg Circle Center</v>
      </c>
      <c r="C48" s="162" t="str">
        <v>NJ</v>
      </c>
      <c r="D48" s="163">
        <v>1251</v>
      </c>
      <c r="E48" s="164">
        <v>1176</v>
      </c>
      <c r="F48" s="164">
        <f t="shared" si="5"/>
        <v>75</v>
      </c>
      <c r="G48" s="165">
        <f t="shared" si="6"/>
        <v>6.3775510204081634E-2</v>
      </c>
      <c r="H48" s="166">
        <v>1368</v>
      </c>
      <c r="I48" s="166">
        <f t="shared" si="7"/>
        <v>-117</v>
      </c>
      <c r="J48" s="165">
        <f t="shared" si="8"/>
        <v>-8.5526315789473686E-2</v>
      </c>
      <c r="K48" s="167"/>
      <c r="L48" s="167"/>
      <c r="M48" s="168"/>
      <c r="N48" s="168"/>
      <c r="O48" s="63"/>
      <c r="P48" s="63"/>
      <c r="Q48" s="63"/>
      <c r="R48" s="63"/>
      <c r="S48" s="63"/>
      <c r="T48" s="63"/>
    </row>
    <row r="49" spans="1:20" ht="15.6">
      <c r="A49">
        <f t="shared" si="4"/>
        <v>46</v>
      </c>
      <c r="B49" s="169" t="str">
        <v>Nutley</v>
      </c>
      <c r="C49" s="162" t="str">
        <v>NJ</v>
      </c>
      <c r="D49" s="163">
        <v>5101</v>
      </c>
      <c r="E49" s="164">
        <v>3902</v>
      </c>
      <c r="F49" s="164">
        <f t="shared" si="5"/>
        <v>1199</v>
      </c>
      <c r="G49" s="165">
        <f t="shared" si="6"/>
        <v>0.3072783188108662</v>
      </c>
      <c r="H49" s="166">
        <v>5068</v>
      </c>
      <c r="I49" s="166">
        <f t="shared" si="7"/>
        <v>33</v>
      </c>
      <c r="J49" s="165">
        <f t="shared" si="8"/>
        <v>6.5114443567482238E-3</v>
      </c>
      <c r="K49" s="172"/>
      <c r="L49" s="172"/>
      <c r="M49" s="168"/>
      <c r="N49" s="168"/>
      <c r="O49" s="63"/>
      <c r="P49" s="63"/>
      <c r="Q49" s="63"/>
      <c r="R49" s="63"/>
      <c r="S49" s="63"/>
      <c r="T49" s="63"/>
    </row>
    <row r="50" spans="1:20" ht="15.6">
      <c r="A50">
        <f t="shared" si="4"/>
        <v>47</v>
      </c>
      <c r="B50" s="169" t="str">
        <v>Marlton</v>
      </c>
      <c r="C50" s="162" t="str">
        <v>NJ</v>
      </c>
      <c r="D50" s="163">
        <v>4394</v>
      </c>
      <c r="E50" s="164">
        <v>3869</v>
      </c>
      <c r="F50" s="164">
        <f t="shared" si="5"/>
        <v>525</v>
      </c>
      <c r="G50" s="165">
        <f t="shared" si="6"/>
        <v>0.13569397777203412</v>
      </c>
      <c r="H50" s="166">
        <v>4750</v>
      </c>
      <c r="I50" s="166">
        <f t="shared" si="7"/>
        <v>-356</v>
      </c>
      <c r="J50" s="165">
        <f t="shared" si="8"/>
        <v>-7.4947368421052638E-2</v>
      </c>
      <c r="K50" s="167"/>
      <c r="L50" s="167"/>
      <c r="M50" s="168"/>
      <c r="N50" s="168"/>
      <c r="O50" s="63"/>
      <c r="P50" s="63"/>
      <c r="Q50" s="63"/>
      <c r="R50" s="63"/>
      <c r="S50" s="63"/>
      <c r="T50" s="63"/>
    </row>
    <row r="51" spans="1:20" ht="28.9">
      <c r="A51">
        <f t="shared" si="4"/>
        <v>48</v>
      </c>
      <c r="B51" s="169" t="str">
        <v>Middletown</v>
      </c>
      <c r="C51" s="162" t="str">
        <v>NJ</v>
      </c>
      <c r="D51" s="163">
        <v>3559</v>
      </c>
      <c r="E51" s="164">
        <v>2248</v>
      </c>
      <c r="F51" s="164">
        <f t="shared" si="5"/>
        <v>1311</v>
      </c>
      <c r="G51" s="165">
        <f t="shared" si="6"/>
        <v>0.58318505338078297</v>
      </c>
      <c r="H51" s="166">
        <v>3949</v>
      </c>
      <c r="I51" s="166">
        <f t="shared" si="7"/>
        <v>-390</v>
      </c>
      <c r="J51" s="165">
        <f t="shared" si="8"/>
        <v>-9.8759179539123831E-2</v>
      </c>
      <c r="K51" s="172" t="s">
        <v>182</v>
      </c>
      <c r="L51" s="172" t="s">
        <v>183</v>
      </c>
      <c r="M51" s="168"/>
      <c r="N51" s="168"/>
      <c r="O51" s="63"/>
      <c r="P51" s="63"/>
      <c r="Q51" s="63"/>
      <c r="R51" s="63"/>
      <c r="S51" s="63"/>
      <c r="T51" s="63"/>
    </row>
    <row r="52" spans="1:20" ht="28.9">
      <c r="A52">
        <f t="shared" si="4"/>
        <v>49</v>
      </c>
      <c r="B52" s="169" t="str">
        <v>Whiting Crestwood</v>
      </c>
      <c r="C52" s="162" t="str">
        <v>NJ</v>
      </c>
      <c r="D52" s="163">
        <v>4490</v>
      </c>
      <c r="E52" s="164">
        <v>4379</v>
      </c>
      <c r="F52" s="164">
        <f t="shared" si="5"/>
        <v>111</v>
      </c>
      <c r="G52" s="165">
        <f t="shared" si="6"/>
        <v>2.5348253025804977E-2</v>
      </c>
      <c r="H52" s="166">
        <v>5491</v>
      </c>
      <c r="I52" s="166">
        <f t="shared" si="7"/>
        <v>-1001</v>
      </c>
      <c r="J52" s="165">
        <f t="shared" si="8"/>
        <v>-0.18229830631943181</v>
      </c>
      <c r="K52" s="167" t="s">
        <v>100</v>
      </c>
      <c r="L52" s="167"/>
      <c r="M52" s="168"/>
      <c r="N52" s="168"/>
      <c r="O52" s="63"/>
      <c r="P52" s="63"/>
      <c r="Q52" s="63"/>
      <c r="R52" s="63"/>
      <c r="S52" s="63"/>
      <c r="T52" s="63"/>
    </row>
    <row r="53" spans="1:20" ht="15.6">
      <c r="A53">
        <f t="shared" si="4"/>
        <v>50</v>
      </c>
      <c r="B53" s="169" t="str">
        <v>Barnegat</v>
      </c>
      <c r="C53" s="162" t="str">
        <v>NJ</v>
      </c>
      <c r="D53" s="163">
        <v>6198</v>
      </c>
      <c r="E53" s="164">
        <v>5506</v>
      </c>
      <c r="F53" s="164">
        <f t="shared" si="5"/>
        <v>692</v>
      </c>
      <c r="G53" s="165">
        <f t="shared" si="6"/>
        <v>0.12568107519070104</v>
      </c>
      <c r="H53" s="166">
        <v>6840</v>
      </c>
      <c r="I53" s="166">
        <f t="shared" si="7"/>
        <v>-642</v>
      </c>
      <c r="J53" s="165">
        <f t="shared" si="8"/>
        <v>-9.3859649122807018E-2</v>
      </c>
      <c r="K53" s="172"/>
      <c r="L53" s="172"/>
      <c r="M53" s="168"/>
      <c r="N53" s="168"/>
      <c r="O53" s="63"/>
      <c r="P53" s="63"/>
      <c r="Q53" s="63"/>
      <c r="R53" s="63"/>
      <c r="S53" s="63"/>
      <c r="T53" s="63"/>
    </row>
    <row r="54" spans="1:20" ht="57.6">
      <c r="A54">
        <f t="shared" si="4"/>
        <v>51</v>
      </c>
      <c r="B54" s="169" t="str">
        <v>Manchester</v>
      </c>
      <c r="C54" s="162" t="str">
        <v>NJ</v>
      </c>
      <c r="D54" s="163">
        <v>2624</v>
      </c>
      <c r="E54" s="164">
        <v>2886</v>
      </c>
      <c r="F54" s="164">
        <f t="shared" si="5"/>
        <v>-262</v>
      </c>
      <c r="G54" s="165">
        <f t="shared" si="6"/>
        <v>-9.0783090783090784E-2</v>
      </c>
      <c r="H54" s="166">
        <v>4703</v>
      </c>
      <c r="I54" s="166">
        <f t="shared" si="7"/>
        <v>-2079</v>
      </c>
      <c r="J54" s="165">
        <f t="shared" si="8"/>
        <v>-0.44205826068466936</v>
      </c>
      <c r="K54" s="167" t="s">
        <v>208</v>
      </c>
      <c r="L54" s="167"/>
      <c r="M54" s="168"/>
      <c r="N54" s="168"/>
      <c r="O54" s="63"/>
      <c r="P54" s="63"/>
      <c r="Q54" s="63"/>
      <c r="R54" s="63"/>
      <c r="S54" s="63"/>
      <c r="T54" s="63"/>
    </row>
    <row r="55" spans="1:20" ht="15.6">
      <c r="A55">
        <f t="shared" si="4"/>
        <v>52</v>
      </c>
      <c r="B55" s="169" t="str">
        <v>West Deptford - Woodbury</v>
      </c>
      <c r="C55" s="162" t="str">
        <v>NJ</v>
      </c>
      <c r="D55" s="163">
        <v>3862</v>
      </c>
      <c r="E55" s="164">
        <v>3937</v>
      </c>
      <c r="F55" s="164">
        <f t="shared" si="5"/>
        <v>-75</v>
      </c>
      <c r="G55" s="165">
        <f t="shared" si="6"/>
        <v>-1.9050038100076199E-2</v>
      </c>
      <c r="H55" s="166">
        <v>4101</v>
      </c>
      <c r="I55" s="166">
        <f t="shared" si="7"/>
        <v>-239</v>
      </c>
      <c r="J55" s="165">
        <f t="shared" si="8"/>
        <v>-5.827846866617898E-2</v>
      </c>
      <c r="K55" s="172"/>
      <c r="L55" s="172"/>
      <c r="M55" s="168"/>
      <c r="N55" s="168"/>
      <c r="O55" s="63"/>
      <c r="P55" s="63"/>
      <c r="Q55" s="63"/>
      <c r="R55" s="63"/>
      <c r="S55" s="63"/>
      <c r="T55" s="63"/>
    </row>
    <row r="56" spans="1:20" ht="15.6">
      <c r="A56">
        <f t="shared" si="4"/>
        <v>53</v>
      </c>
      <c r="B56" s="169" t="str">
        <v>Edison</v>
      </c>
      <c r="C56" s="162" t="str">
        <v>NJ</v>
      </c>
      <c r="D56" s="163">
        <v>3610</v>
      </c>
      <c r="E56" s="164">
        <v>3454</v>
      </c>
      <c r="F56" s="164">
        <f t="shared" si="5"/>
        <v>156</v>
      </c>
      <c r="G56" s="165">
        <f t="shared" si="6"/>
        <v>4.51650260567458E-2</v>
      </c>
      <c r="H56" s="166">
        <v>3818</v>
      </c>
      <c r="I56" s="166">
        <f t="shared" si="7"/>
        <v>-208</v>
      </c>
      <c r="J56" s="165">
        <f t="shared" si="8"/>
        <v>-5.4478784704033528E-2</v>
      </c>
      <c r="K56" s="167"/>
      <c r="L56" s="174"/>
      <c r="M56" s="168"/>
      <c r="N56" s="168"/>
      <c r="O56" s="63"/>
      <c r="P56" s="63"/>
      <c r="Q56" s="63"/>
      <c r="R56" s="63"/>
      <c r="S56" s="63"/>
      <c r="T56" s="63"/>
    </row>
    <row r="57" spans="1:20" ht="57.6">
      <c r="A57">
        <f t="shared" si="4"/>
        <v>54</v>
      </c>
      <c r="B57" s="169" t="str">
        <v>Flemington</v>
      </c>
      <c r="C57" s="162" t="str">
        <v>NJ</v>
      </c>
      <c r="D57" s="163">
        <v>3430</v>
      </c>
      <c r="E57" s="164">
        <v>3216</v>
      </c>
      <c r="F57" s="164">
        <f t="shared" si="5"/>
        <v>214</v>
      </c>
      <c r="G57" s="165">
        <f t="shared" si="6"/>
        <v>6.6542288557213933E-2</v>
      </c>
      <c r="H57" s="166">
        <v>3911</v>
      </c>
      <c r="I57" s="166">
        <f t="shared" si="7"/>
        <v>-481</v>
      </c>
      <c r="J57" s="165">
        <f t="shared" si="8"/>
        <v>-0.12298644847864997</v>
      </c>
      <c r="K57" s="172" t="s">
        <v>208</v>
      </c>
      <c r="L57" s="172"/>
      <c r="M57" s="168"/>
      <c r="N57" s="168"/>
      <c r="O57" s="63"/>
      <c r="P57" s="63"/>
      <c r="Q57" s="63"/>
      <c r="R57" s="63"/>
      <c r="S57" s="63"/>
      <c r="T57" s="63"/>
    </row>
    <row r="58" spans="1:20" ht="15.6">
      <c r="A58">
        <f t="shared" si="4"/>
        <v>55</v>
      </c>
      <c r="B58" s="169" t="str">
        <v>Route 22</v>
      </c>
      <c r="C58" s="162" t="str">
        <v>NJ</v>
      </c>
      <c r="D58" s="163">
        <v>3469</v>
      </c>
      <c r="E58" s="164">
        <v>3507</v>
      </c>
      <c r="F58" s="164">
        <f t="shared" si="5"/>
        <v>-38</v>
      </c>
      <c r="G58" s="165">
        <f t="shared" si="6"/>
        <v>-1.0835471913316224E-2</v>
      </c>
      <c r="H58" s="166">
        <v>3644</v>
      </c>
      <c r="I58" s="166">
        <f t="shared" si="7"/>
        <v>-175</v>
      </c>
      <c r="J58" s="165">
        <f t="shared" si="8"/>
        <v>-4.8024149286498355E-2</v>
      </c>
      <c r="K58" s="173"/>
      <c r="L58" s="167"/>
      <c r="M58" s="168"/>
      <c r="N58" s="168"/>
      <c r="O58" s="63"/>
      <c r="P58" s="63"/>
      <c r="Q58" s="63"/>
      <c r="R58" s="63"/>
      <c r="S58" s="63"/>
      <c r="T58" s="63"/>
    </row>
    <row r="59" spans="1:20" ht="15.6">
      <c r="A59">
        <f t="shared" si="4"/>
        <v>56</v>
      </c>
      <c r="B59" s="169" t="str">
        <v>Laurelton</v>
      </c>
      <c r="C59" s="162" t="str">
        <v>NJ</v>
      </c>
      <c r="D59" s="163">
        <v>2015</v>
      </c>
      <c r="E59" s="164">
        <v>3005</v>
      </c>
      <c r="F59" s="164">
        <f t="shared" si="5"/>
        <v>-990</v>
      </c>
      <c r="G59" s="165">
        <f t="shared" si="6"/>
        <v>-0.32945091514143093</v>
      </c>
      <c r="H59" s="166">
        <v>3309</v>
      </c>
      <c r="I59" s="166">
        <f t="shared" si="7"/>
        <v>-1294</v>
      </c>
      <c r="J59" s="165">
        <f t="shared" si="8"/>
        <v>-0.39105469930492598</v>
      </c>
      <c r="K59" s="171" t="s">
        <v>273</v>
      </c>
      <c r="L59" s="172" t="s">
        <v>274</v>
      </c>
      <c r="M59" s="168"/>
      <c r="N59" s="168"/>
      <c r="O59" s="63"/>
      <c r="P59" s="63"/>
      <c r="Q59" s="63"/>
      <c r="R59" s="63"/>
      <c r="S59" s="63"/>
      <c r="T59" s="63"/>
    </row>
    <row r="60" spans="1:20" ht="28.9">
      <c r="A60">
        <f t="shared" si="4"/>
        <v>57</v>
      </c>
      <c r="B60" s="169" t="str">
        <v>Mahwah</v>
      </c>
      <c r="C60" s="162" t="str">
        <v>NJ</v>
      </c>
      <c r="D60" s="163">
        <v>2761</v>
      </c>
      <c r="E60" s="164">
        <v>734</v>
      </c>
      <c r="F60" s="164">
        <f t="shared" si="5"/>
        <v>2027</v>
      </c>
      <c r="G60" s="165">
        <f t="shared" si="6"/>
        <v>2.7615803814713895</v>
      </c>
      <c r="H60" s="166">
        <v>3131</v>
      </c>
      <c r="I60" s="166">
        <f t="shared" si="7"/>
        <v>-370</v>
      </c>
      <c r="J60" s="165">
        <f t="shared" si="8"/>
        <v>-0.11817310763334397</v>
      </c>
      <c r="K60" s="173" t="s">
        <v>187</v>
      </c>
      <c r="L60" s="167" t="s">
        <v>152</v>
      </c>
      <c r="M60" s="168"/>
      <c r="N60" s="168"/>
      <c r="O60" s="63"/>
      <c r="P60" s="63"/>
      <c r="Q60" s="63"/>
      <c r="R60" s="63"/>
      <c r="S60" s="63"/>
      <c r="T60" s="63"/>
    </row>
    <row r="61" spans="1:20" ht="15.6">
      <c r="A61">
        <f t="shared" si="4"/>
        <v>58</v>
      </c>
      <c r="B61" s="169" t="str">
        <v>Franklin Township WF</v>
      </c>
      <c r="C61" s="162" t="str">
        <v>NJ</v>
      </c>
      <c r="D61" s="163">
        <v>3051</v>
      </c>
      <c r="E61" s="164">
        <v>2966</v>
      </c>
      <c r="F61" s="164">
        <f t="shared" si="5"/>
        <v>85</v>
      </c>
      <c r="G61" s="165">
        <f t="shared" si="6"/>
        <v>2.8658125421443022E-2</v>
      </c>
      <c r="H61" s="166">
        <v>3195</v>
      </c>
      <c r="I61" s="166">
        <f t="shared" si="7"/>
        <v>-144</v>
      </c>
      <c r="J61" s="165">
        <f t="shared" si="8"/>
        <v>-4.507042253521127E-2</v>
      </c>
      <c r="K61" s="172"/>
      <c r="L61" s="172"/>
      <c r="M61" s="168"/>
      <c r="N61" s="168"/>
      <c r="O61" s="63"/>
      <c r="P61" s="63"/>
      <c r="Q61" s="63"/>
      <c r="R61" s="63"/>
      <c r="S61" s="63"/>
      <c r="T61" s="63"/>
    </row>
    <row r="62" spans="1:20" ht="15.6">
      <c r="A62">
        <f t="shared" si="4"/>
        <v>59</v>
      </c>
      <c r="B62" s="169" t="str">
        <v>Bordentown</v>
      </c>
      <c r="C62" s="162" t="str">
        <v>NJ</v>
      </c>
      <c r="D62" s="163">
        <v>2360</v>
      </c>
      <c r="E62" s="164">
        <v>2103</v>
      </c>
      <c r="F62" s="164">
        <f t="shared" si="5"/>
        <v>257</v>
      </c>
      <c r="G62" s="165">
        <f t="shared" si="6"/>
        <v>0.12220637184973847</v>
      </c>
      <c r="H62" s="166">
        <v>2528</v>
      </c>
      <c r="I62" s="166">
        <f t="shared" si="7"/>
        <v>-168</v>
      </c>
      <c r="J62" s="165">
        <f t="shared" si="8"/>
        <v>-6.6455696202531639E-2</v>
      </c>
      <c r="K62" s="167"/>
      <c r="L62" s="167"/>
      <c r="M62" s="168"/>
      <c r="N62" s="168"/>
      <c r="O62" s="63"/>
      <c r="P62" s="63"/>
      <c r="Q62" s="63"/>
      <c r="R62" s="63"/>
      <c r="S62" s="63"/>
      <c r="T62" s="63"/>
    </row>
    <row r="63" spans="1:20" ht="15.6">
      <c r="A63">
        <f t="shared" si="4"/>
        <v>60</v>
      </c>
      <c r="B63" s="169" t="str">
        <v>South Plainfield</v>
      </c>
      <c r="C63" s="162" t="str">
        <v>NJ</v>
      </c>
      <c r="D63" s="163">
        <v>1766</v>
      </c>
      <c r="E63" s="164">
        <v>1696</v>
      </c>
      <c r="F63" s="164">
        <f t="shared" si="5"/>
        <v>70</v>
      </c>
      <c r="G63" s="165">
        <f t="shared" si="6"/>
        <v>4.1273584905660375E-2</v>
      </c>
      <c r="H63" s="166">
        <v>1790</v>
      </c>
      <c r="I63" s="166">
        <f t="shared" si="7"/>
        <v>-24</v>
      </c>
      <c r="J63" s="165">
        <f t="shared" si="8"/>
        <v>-1.3407821229050279E-2</v>
      </c>
      <c r="K63" s="172"/>
      <c r="L63" s="172"/>
      <c r="M63" s="168"/>
      <c r="N63" s="168"/>
      <c r="O63" s="63"/>
      <c r="P63" s="63"/>
      <c r="Q63" s="63"/>
      <c r="R63" s="63"/>
      <c r="S63" s="63"/>
      <c r="T63" s="63"/>
    </row>
    <row r="64" spans="1:20" ht="15.6">
      <c r="A64">
        <f t="shared" si="4"/>
        <v>61</v>
      </c>
      <c r="B64" s="169" t="str">
        <v>Somerset</v>
      </c>
      <c r="C64" s="162" t="str">
        <v>NJ</v>
      </c>
      <c r="D64" s="163">
        <v>2822</v>
      </c>
      <c r="E64" s="164">
        <v>2731</v>
      </c>
      <c r="F64" s="164">
        <f t="shared" si="5"/>
        <v>91</v>
      </c>
      <c r="G64" s="165">
        <f t="shared" si="6"/>
        <v>3.3321127792017576E-2</v>
      </c>
      <c r="H64" s="166">
        <v>2990</v>
      </c>
      <c r="I64" s="166">
        <f t="shared" si="7"/>
        <v>-168</v>
      </c>
      <c r="J64" s="165">
        <f t="shared" si="8"/>
        <v>-5.6187290969899668E-2</v>
      </c>
      <c r="K64" s="167"/>
      <c r="L64" s="174"/>
      <c r="M64" s="168"/>
      <c r="N64" s="168"/>
      <c r="O64" s="63"/>
      <c r="P64" s="63"/>
      <c r="Q64" s="63"/>
      <c r="R64" s="63"/>
      <c r="S64" s="63"/>
      <c r="T64" s="63"/>
    </row>
    <row r="65" spans="1:20" ht="15.6">
      <c r="A65" s="156">
        <f t="shared" si="4"/>
        <v>62</v>
      </c>
      <c r="B65" s="175" t="str">
        <v>Clinton Main Relo</v>
      </c>
      <c r="C65" s="176" t="str">
        <v>NJ</v>
      </c>
      <c r="D65" s="177">
        <v>3298</v>
      </c>
      <c r="E65" s="178">
        <v>3329</v>
      </c>
      <c r="F65" s="178">
        <f t="shared" si="5"/>
        <v>-31</v>
      </c>
      <c r="G65" s="179">
        <f t="shared" si="6"/>
        <v>-9.3121057374586959E-3</v>
      </c>
      <c r="H65" s="180">
        <v>3450</v>
      </c>
      <c r="I65" s="180">
        <f t="shared" si="7"/>
        <v>-152</v>
      </c>
      <c r="J65" s="179">
        <f t="shared" si="8"/>
        <v>-4.4057971014492756E-2</v>
      </c>
      <c r="K65" s="184"/>
      <c r="L65" s="184"/>
      <c r="M65" s="168"/>
      <c r="N65" s="168"/>
      <c r="O65" s="63"/>
      <c r="P65" s="63"/>
      <c r="Q65" s="63"/>
      <c r="R65" s="63"/>
      <c r="S65" s="63"/>
      <c r="T65" s="63"/>
    </row>
    <row r="66" spans="1:20" ht="57.6">
      <c r="A66">
        <f t="shared" si="4"/>
        <v>63</v>
      </c>
      <c r="B66" s="169" t="str">
        <v>North Brunswick</v>
      </c>
      <c r="C66" s="162" t="str">
        <v>NJ</v>
      </c>
      <c r="D66" s="163">
        <v>3223</v>
      </c>
      <c r="E66" s="164">
        <v>2922</v>
      </c>
      <c r="F66" s="164">
        <f t="shared" si="5"/>
        <v>301</v>
      </c>
      <c r="G66" s="165">
        <f t="shared" si="6"/>
        <v>0.10301163586584532</v>
      </c>
      <c r="H66" s="166">
        <v>3856</v>
      </c>
      <c r="I66" s="166">
        <f t="shared" si="7"/>
        <v>-633</v>
      </c>
      <c r="J66" s="165">
        <f t="shared" si="8"/>
        <v>-0.1641597510373444</v>
      </c>
      <c r="K66" s="173" t="s">
        <v>208</v>
      </c>
      <c r="L66" s="173"/>
      <c r="M66" s="168"/>
      <c r="N66" s="168"/>
      <c r="O66" s="63"/>
      <c r="P66" s="63"/>
      <c r="Q66" s="63"/>
      <c r="R66" s="63"/>
      <c r="S66" s="63"/>
      <c r="T66" s="63"/>
    </row>
    <row r="67" spans="1:20" ht="15.6">
      <c r="A67">
        <f t="shared" si="4"/>
        <v>64</v>
      </c>
      <c r="B67" s="169" t="str">
        <v>Cherry Hill</v>
      </c>
      <c r="C67" s="162" t="str">
        <v>NJ</v>
      </c>
      <c r="D67" s="163">
        <v>2229</v>
      </c>
      <c r="E67" s="164">
        <v>2186</v>
      </c>
      <c r="F67" s="164">
        <f t="shared" si="5"/>
        <v>43</v>
      </c>
      <c r="G67" s="165">
        <f t="shared" si="6"/>
        <v>1.9670631290027447E-2</v>
      </c>
      <c r="H67" s="166">
        <v>2434</v>
      </c>
      <c r="I67" s="166">
        <f t="shared" si="7"/>
        <v>-205</v>
      </c>
      <c r="J67" s="165">
        <f t="shared" si="8"/>
        <v>-8.422350041084635E-2</v>
      </c>
      <c r="K67" s="185"/>
      <c r="L67" s="186"/>
      <c r="M67" s="183"/>
      <c r="N67" s="168"/>
      <c r="O67" s="63"/>
      <c r="P67" s="63"/>
      <c r="Q67" s="63"/>
      <c r="R67" s="63"/>
      <c r="S67" s="63"/>
      <c r="T67" s="63"/>
    </row>
    <row r="68" spans="1:20" ht="28.9">
      <c r="A68">
        <f t="shared" si="4"/>
        <v>65</v>
      </c>
      <c r="B68" s="169" t="str">
        <v>Hainesport</v>
      </c>
      <c r="C68" s="162" t="str">
        <v>NJ</v>
      </c>
      <c r="D68" s="163">
        <v>2306</v>
      </c>
      <c r="E68" s="164">
        <v>2570</v>
      </c>
      <c r="F68" s="164">
        <f t="shared" ref="F68:F84" si="9">IF(AND(ISNUMBER(D68),ISNUMBER(E68)), D68-E68, "")</f>
        <v>-264</v>
      </c>
      <c r="G68" s="165">
        <f t="shared" ref="G68:G84" si="10">IFERROR(F68/E68, "")</f>
        <v>-0.10272373540856031</v>
      </c>
      <c r="H68" s="166">
        <v>2471</v>
      </c>
      <c r="I68" s="166">
        <f t="shared" ref="I68:I84" si="11">IF(AND(ISNUMBER(D68),ISNUMBER(H68)), D68-H68, "")</f>
        <v>-165</v>
      </c>
      <c r="J68" s="165">
        <f t="shared" ref="J68:J84" si="12">IFERROR(I68/H68, "")</f>
        <v>-6.6774585188182925E-2</v>
      </c>
      <c r="K68" s="167" t="s">
        <v>298</v>
      </c>
      <c r="L68" s="167"/>
      <c r="M68" s="168"/>
      <c r="N68" s="168"/>
      <c r="O68" s="63"/>
      <c r="P68" s="63"/>
      <c r="Q68" s="63"/>
      <c r="R68" s="63"/>
      <c r="S68" s="63"/>
      <c r="T68" s="63"/>
    </row>
    <row r="69" spans="1:20" ht="15.6">
      <c r="A69">
        <f t="shared" si="4"/>
        <v>66</v>
      </c>
      <c r="B69" s="169" t="str">
        <v>San Antonio - Ops Ctr (Bldg 106)</v>
      </c>
      <c r="C69" s="162" t="str">
        <v>TX</v>
      </c>
      <c r="D69" s="163">
        <v>57417</v>
      </c>
      <c r="E69" s="164">
        <v>53442</v>
      </c>
      <c r="F69" s="164">
        <f t="shared" si="9"/>
        <v>3975</v>
      </c>
      <c r="G69" s="165">
        <f t="shared" si="10"/>
        <v>7.4379701358482098E-2</v>
      </c>
      <c r="H69" s="166">
        <v>64182</v>
      </c>
      <c r="I69" s="166">
        <f t="shared" si="11"/>
        <v>-6765</v>
      </c>
      <c r="J69" s="165">
        <f t="shared" si="12"/>
        <v>-0.10540338412639058</v>
      </c>
      <c r="K69" s="187" t="s">
        <v>275</v>
      </c>
      <c r="L69" s="188" t="s">
        <v>299</v>
      </c>
      <c r="M69" s="168"/>
      <c r="N69" s="168"/>
      <c r="O69" s="63"/>
      <c r="P69" s="63"/>
      <c r="Q69" s="63"/>
      <c r="R69" s="63"/>
      <c r="S69" s="63"/>
      <c r="T69" s="63"/>
    </row>
    <row r="70" spans="1:20" ht="15.6">
      <c r="A70">
        <f t="shared" ref="A70:A84" si="13">A69+1</f>
        <v>67</v>
      </c>
      <c r="B70" s="169" t="str">
        <v>San Antonio - Ops Ctr GM</v>
      </c>
      <c r="C70" s="162" t="str">
        <v>TX</v>
      </c>
      <c r="D70" s="163">
        <v>415928</v>
      </c>
      <c r="E70" s="164">
        <v>452363</v>
      </c>
      <c r="F70" s="164">
        <f t="shared" si="9"/>
        <v>-36435</v>
      </c>
      <c r="G70" s="165">
        <f t="shared" si="10"/>
        <v>-8.0543722629834891E-2</v>
      </c>
      <c r="H70" s="166">
        <v>460683</v>
      </c>
      <c r="I70" s="166">
        <f t="shared" si="11"/>
        <v>-44755</v>
      </c>
      <c r="J70" s="165">
        <f t="shared" si="12"/>
        <v>-9.7149232769605132E-2</v>
      </c>
      <c r="K70" s="173"/>
      <c r="L70" s="167"/>
      <c r="M70" s="168"/>
      <c r="N70" s="168"/>
      <c r="O70" s="63"/>
      <c r="P70" s="63"/>
      <c r="Q70" s="63"/>
      <c r="R70" s="63"/>
      <c r="S70" s="63"/>
      <c r="T70" s="63"/>
    </row>
    <row r="71" spans="1:20" ht="57.6">
      <c r="A71">
        <f t="shared" si="13"/>
        <v>68</v>
      </c>
      <c r="B71" s="169" t="str">
        <v>San Antonio - Ctr (Bldg 201)</v>
      </c>
      <c r="C71" s="162" t="str">
        <v>TX</v>
      </c>
      <c r="D71" s="163">
        <v>59555</v>
      </c>
      <c r="E71" s="164">
        <v>53047</v>
      </c>
      <c r="F71" s="164">
        <f t="shared" si="9"/>
        <v>6508</v>
      </c>
      <c r="G71" s="165">
        <f t="shared" si="10"/>
        <v>0.12268365788828775</v>
      </c>
      <c r="H71" s="166">
        <v>64017</v>
      </c>
      <c r="I71" s="166">
        <f t="shared" si="11"/>
        <v>-4462</v>
      </c>
      <c r="J71" s="165">
        <f t="shared" si="12"/>
        <v>-6.9700235874845751E-2</v>
      </c>
      <c r="K71" s="173" t="s">
        <v>227</v>
      </c>
      <c r="L71" s="188"/>
      <c r="M71" s="168"/>
      <c r="N71" s="168"/>
      <c r="O71" s="63"/>
      <c r="P71" s="63"/>
      <c r="Q71" s="63"/>
      <c r="R71" s="63"/>
      <c r="S71" s="63"/>
      <c r="T71" s="63"/>
    </row>
    <row r="72" spans="1:20" ht="28.9">
      <c r="A72">
        <f t="shared" si="13"/>
        <v>69</v>
      </c>
      <c r="B72" s="169" t="str">
        <v>San Antonio - Ops Ctr (Bldg 203)</v>
      </c>
      <c r="C72" s="162" t="str">
        <v>TX</v>
      </c>
      <c r="D72" s="163">
        <v>57716</v>
      </c>
      <c r="E72" s="164">
        <v>54820</v>
      </c>
      <c r="F72" s="164">
        <f t="shared" si="9"/>
        <v>2896</v>
      </c>
      <c r="G72" s="165">
        <f t="shared" si="10"/>
        <v>5.2827435242612186E-2</v>
      </c>
      <c r="H72" s="166">
        <v>64293</v>
      </c>
      <c r="I72" s="166">
        <f t="shared" si="11"/>
        <v>-6577</v>
      </c>
      <c r="J72" s="165">
        <f t="shared" si="12"/>
        <v>-0.1022972951954334</v>
      </c>
      <c r="K72" s="173" t="s">
        <v>100</v>
      </c>
      <c r="L72" s="167"/>
      <c r="M72" s="168"/>
      <c r="N72" s="168"/>
      <c r="O72" s="63"/>
      <c r="P72" s="63"/>
      <c r="Q72" s="63"/>
      <c r="R72" s="63"/>
      <c r="S72" s="63"/>
      <c r="T72" s="63"/>
    </row>
    <row r="73" spans="1:20" ht="28.9">
      <c r="A73">
        <f t="shared" si="13"/>
        <v>70</v>
      </c>
      <c r="B73" s="169" t="str">
        <v>San Antonio - Ops Ctr (Bldg 205)</v>
      </c>
      <c r="C73" s="162" t="str">
        <v>TX</v>
      </c>
      <c r="D73" s="163">
        <v>52705</v>
      </c>
      <c r="E73" s="164">
        <v>48341</v>
      </c>
      <c r="F73" s="164">
        <f t="shared" si="9"/>
        <v>4364</v>
      </c>
      <c r="G73" s="165">
        <f t="shared" si="10"/>
        <v>9.0275335636416293E-2</v>
      </c>
      <c r="H73" s="166">
        <v>60793</v>
      </c>
      <c r="I73" s="166">
        <f t="shared" si="11"/>
        <v>-8088</v>
      </c>
      <c r="J73" s="165">
        <f t="shared" si="12"/>
        <v>-0.13304163308275624</v>
      </c>
      <c r="K73" s="187" t="s">
        <v>100</v>
      </c>
      <c r="L73" s="188"/>
      <c r="M73" s="168"/>
      <c r="N73" s="168"/>
      <c r="O73" s="63"/>
      <c r="P73" s="63"/>
      <c r="Q73" s="63"/>
      <c r="R73" s="63"/>
      <c r="S73" s="63"/>
      <c r="T73" s="63"/>
    </row>
    <row r="74" spans="1:20" ht="15.6">
      <c r="A74">
        <f t="shared" si="13"/>
        <v>71</v>
      </c>
      <c r="B74" s="169" t="str">
        <v>San Antonio - Ops Ctr (Bldg 307)</v>
      </c>
      <c r="C74" s="162" t="str">
        <v>TX</v>
      </c>
      <c r="D74" s="163">
        <v>57100</v>
      </c>
      <c r="E74" s="164">
        <v>52570</v>
      </c>
      <c r="F74" s="164">
        <f t="shared" si="9"/>
        <v>4530</v>
      </c>
      <c r="G74" s="165">
        <f t="shared" si="10"/>
        <v>8.6170819859235304E-2</v>
      </c>
      <c r="H74" s="166">
        <v>61953</v>
      </c>
      <c r="I74" s="166">
        <f t="shared" si="11"/>
        <v>-4853</v>
      </c>
      <c r="J74" s="165">
        <f t="shared" si="12"/>
        <v>-7.8333575452359042E-2</v>
      </c>
      <c r="K74" s="167"/>
      <c r="L74" s="167"/>
      <c r="M74" s="168"/>
      <c r="N74" s="168"/>
      <c r="O74" s="63"/>
      <c r="P74" s="63"/>
      <c r="Q74" s="63"/>
      <c r="R74" s="63"/>
      <c r="S74" s="63"/>
      <c r="T74" s="63"/>
    </row>
    <row r="75" spans="1:20" ht="15.6">
      <c r="A75">
        <f t="shared" si="13"/>
        <v>72</v>
      </c>
      <c r="B75" s="169" t="str">
        <v>San Antonio - Ctr (Bldg 308)</v>
      </c>
      <c r="C75" s="162" t="str">
        <v>TX</v>
      </c>
      <c r="D75" s="163">
        <v>54252</v>
      </c>
      <c r="E75" s="164">
        <v>51367</v>
      </c>
      <c r="F75" s="164">
        <f t="shared" si="9"/>
        <v>2885</v>
      </c>
      <c r="G75" s="165">
        <f t="shared" si="10"/>
        <v>5.6164463566102753E-2</v>
      </c>
      <c r="H75" s="166">
        <v>59510</v>
      </c>
      <c r="I75" s="166">
        <f t="shared" si="11"/>
        <v>-5258</v>
      </c>
      <c r="J75" s="165">
        <f t="shared" si="12"/>
        <v>-8.8354898336414051E-2</v>
      </c>
      <c r="K75" s="187"/>
      <c r="L75" s="186"/>
      <c r="M75" s="168"/>
      <c r="N75" s="168"/>
      <c r="O75" s="63"/>
      <c r="P75" s="63"/>
      <c r="Q75" s="63"/>
      <c r="R75" s="63"/>
      <c r="S75" s="63"/>
      <c r="T75" s="63"/>
    </row>
    <row r="76" spans="1:20" ht="57.6">
      <c r="A76">
        <f t="shared" si="13"/>
        <v>73</v>
      </c>
      <c r="B76" s="169" t="str">
        <v>San Antonio - Ops Ctr (Bldg 104)</v>
      </c>
      <c r="C76" s="162" t="str">
        <v>TX</v>
      </c>
      <c r="D76" s="163">
        <v>15976</v>
      </c>
      <c r="E76" s="164">
        <v>16098</v>
      </c>
      <c r="F76" s="164">
        <f t="shared" si="9"/>
        <v>-122</v>
      </c>
      <c r="G76" s="165">
        <f t="shared" si="10"/>
        <v>-7.5785811902099641E-3</v>
      </c>
      <c r="H76" s="166">
        <v>18629</v>
      </c>
      <c r="I76" s="166">
        <f t="shared" si="11"/>
        <v>-2653</v>
      </c>
      <c r="J76" s="165">
        <f t="shared" si="12"/>
        <v>-0.14241236781362393</v>
      </c>
      <c r="K76" s="187" t="s">
        <v>208</v>
      </c>
      <c r="L76" s="167"/>
      <c r="M76" s="168"/>
      <c r="N76" s="168"/>
      <c r="O76" s="63"/>
      <c r="P76" s="63"/>
      <c r="Q76" s="63"/>
      <c r="R76" s="63"/>
      <c r="S76" s="63"/>
      <c r="T76" s="63"/>
    </row>
    <row r="77" spans="1:20" ht="28.9">
      <c r="A77" s="158">
        <f t="shared" si="13"/>
        <v>74</v>
      </c>
      <c r="B77" s="189" t="str">
        <v>San Antonio - Ops Ctr (Bldg 102)</v>
      </c>
      <c r="C77" s="190" t="str">
        <v>TX</v>
      </c>
      <c r="D77" s="191">
        <v>61403</v>
      </c>
      <c r="E77" s="192">
        <v>51225</v>
      </c>
      <c r="F77" s="192">
        <f t="shared" si="9"/>
        <v>10178</v>
      </c>
      <c r="G77" s="193">
        <f t="shared" si="10"/>
        <v>0.19869204489995121</v>
      </c>
      <c r="H77" s="194">
        <v>66658</v>
      </c>
      <c r="I77" s="194">
        <f t="shared" si="11"/>
        <v>-5255</v>
      </c>
      <c r="J77" s="193">
        <f t="shared" si="12"/>
        <v>-7.8835248582315706E-2</v>
      </c>
      <c r="K77" s="195" t="s">
        <v>300</v>
      </c>
      <c r="L77" s="196" t="s">
        <v>301</v>
      </c>
      <c r="M77" s="168"/>
      <c r="N77" s="168"/>
      <c r="O77" s="63"/>
      <c r="P77" s="63"/>
      <c r="Q77" s="63"/>
      <c r="R77" s="63"/>
      <c r="S77" s="63"/>
      <c r="T77" s="63"/>
    </row>
    <row r="78" spans="1:20" ht="15.6">
      <c r="A78" s="158">
        <f t="shared" si="13"/>
        <v>75</v>
      </c>
      <c r="B78" s="189" t="str">
        <v>N Black Canyon Hwy, Phoenix - North</v>
      </c>
      <c r="C78" s="190" t="str">
        <v>AZ</v>
      </c>
      <c r="D78" s="191">
        <v>97248</v>
      </c>
      <c r="E78" s="192">
        <v>79216</v>
      </c>
      <c r="F78" s="192">
        <f t="shared" si="9"/>
        <v>18032</v>
      </c>
      <c r="G78" s="193">
        <f t="shared" si="10"/>
        <v>0.22763078166027065</v>
      </c>
      <c r="H78" s="194">
        <v>95432</v>
      </c>
      <c r="I78" s="194">
        <f t="shared" si="11"/>
        <v>1816</v>
      </c>
      <c r="J78" s="193">
        <f t="shared" si="12"/>
        <v>1.902925643390058E-2</v>
      </c>
      <c r="K78" s="197"/>
      <c r="L78" s="198"/>
      <c r="M78" s="168"/>
      <c r="N78" s="168"/>
      <c r="O78" s="63"/>
      <c r="P78" s="63"/>
      <c r="Q78" s="63"/>
      <c r="R78" s="63"/>
      <c r="S78" s="63"/>
      <c r="T78" s="63"/>
    </row>
    <row r="79" spans="1:20" ht="15.6">
      <c r="A79">
        <f t="shared" si="13"/>
        <v>76</v>
      </c>
      <c r="B79" s="169" t="str">
        <v>N Black Canyon Hwy, Phoenix - South</v>
      </c>
      <c r="C79" s="162" t="str">
        <v>AZ</v>
      </c>
      <c r="D79" s="163">
        <v>103082</v>
      </c>
      <c r="E79" s="164">
        <v>86572</v>
      </c>
      <c r="F79" s="164">
        <f t="shared" si="9"/>
        <v>16510</v>
      </c>
      <c r="G79" s="165">
        <f t="shared" si="10"/>
        <v>0.19070831215635539</v>
      </c>
      <c r="H79" s="166">
        <v>105078</v>
      </c>
      <c r="I79" s="166">
        <f t="shared" si="11"/>
        <v>-1996</v>
      </c>
      <c r="J79" s="165">
        <f t="shared" si="12"/>
        <v>-1.8995412931346239E-2</v>
      </c>
      <c r="K79" s="187" t="s">
        <v>302</v>
      </c>
      <c r="L79" s="188" t="s">
        <v>303</v>
      </c>
      <c r="M79" s="168"/>
      <c r="N79" s="168"/>
      <c r="O79" s="63"/>
      <c r="P79" s="63"/>
      <c r="Q79" s="63"/>
      <c r="R79" s="63"/>
      <c r="S79" s="63"/>
      <c r="T79" s="63"/>
    </row>
    <row r="80" spans="1:20" ht="15.6">
      <c r="A80">
        <f t="shared" si="13"/>
        <v>77</v>
      </c>
      <c r="B80" s="169" t="str">
        <v xml:space="preserve"> Building 2222, Rose Garden Ln, Phoenix</v>
      </c>
      <c r="C80" s="162" t="str">
        <v>AZ</v>
      </c>
      <c r="D80" s="163">
        <v>128294</v>
      </c>
      <c r="E80" s="164">
        <v>124184</v>
      </c>
      <c r="F80" s="164">
        <f t="shared" si="9"/>
        <v>4110</v>
      </c>
      <c r="G80" s="165">
        <f t="shared" si="10"/>
        <v>3.3096051021065519E-2</v>
      </c>
      <c r="H80" s="166">
        <v>130682</v>
      </c>
      <c r="I80" s="166">
        <f t="shared" si="11"/>
        <v>-2388</v>
      </c>
      <c r="J80" s="165">
        <f t="shared" si="12"/>
        <v>-1.8273365880534426E-2</v>
      </c>
      <c r="K80" s="167"/>
      <c r="L80" s="167"/>
      <c r="M80" s="168"/>
      <c r="N80" s="168"/>
      <c r="O80" s="63"/>
      <c r="P80" s="63"/>
      <c r="Q80" s="63"/>
      <c r="R80" s="63"/>
      <c r="S80" s="63"/>
      <c r="T80" s="63"/>
    </row>
    <row r="81" spans="1:20" ht="15.6">
      <c r="A81">
        <f t="shared" si="13"/>
        <v>78</v>
      </c>
      <c r="B81" s="169" t="str">
        <v xml:space="preserve"> Building 2202, Rose Garden Ln, Phoenix</v>
      </c>
      <c r="C81" s="162" t="str">
        <v>AZ</v>
      </c>
      <c r="D81" s="163">
        <v>127759</v>
      </c>
      <c r="E81" s="164">
        <v>121462</v>
      </c>
      <c r="F81" s="164">
        <f t="shared" si="9"/>
        <v>6297</v>
      </c>
      <c r="G81" s="165">
        <f t="shared" si="10"/>
        <v>5.1843374882679358E-2</v>
      </c>
      <c r="H81" s="166">
        <v>96396</v>
      </c>
      <c r="I81" s="166">
        <f t="shared" si="11"/>
        <v>31363</v>
      </c>
      <c r="J81" s="165">
        <f t="shared" si="12"/>
        <v>0.32535582389310758</v>
      </c>
      <c r="K81" s="187"/>
      <c r="L81" s="188"/>
      <c r="M81" s="168"/>
      <c r="N81" s="168"/>
      <c r="O81" s="63"/>
      <c r="P81" s="63"/>
      <c r="Q81" s="63"/>
      <c r="R81" s="63"/>
      <c r="S81" s="63"/>
      <c r="T81" s="63"/>
    </row>
    <row r="82" spans="1:20" ht="15.6">
      <c r="A82" s="158">
        <f t="shared" si="13"/>
        <v>79</v>
      </c>
      <c r="B82" s="189" t="str">
        <v xml:space="preserve"> 99TH Ave &amp; BELL</v>
      </c>
      <c r="C82" s="190" t="str">
        <v>AZ</v>
      </c>
      <c r="D82" s="191">
        <v>22657</v>
      </c>
      <c r="E82" s="192">
        <v>22131</v>
      </c>
      <c r="F82" s="192">
        <f t="shared" si="9"/>
        <v>526</v>
      </c>
      <c r="G82" s="193">
        <f t="shared" si="10"/>
        <v>2.3767565857846461E-2</v>
      </c>
      <c r="H82" s="194">
        <v>22945</v>
      </c>
      <c r="I82" s="194">
        <f t="shared" si="11"/>
        <v>-288</v>
      </c>
      <c r="J82" s="193">
        <f t="shared" si="12"/>
        <v>-1.2551754194813684E-2</v>
      </c>
      <c r="K82" s="197"/>
      <c r="L82" s="197"/>
      <c r="M82" s="168"/>
      <c r="N82" s="168"/>
      <c r="O82" s="63"/>
      <c r="P82" s="63"/>
      <c r="Q82" s="63"/>
      <c r="R82" s="63"/>
      <c r="S82" s="63"/>
      <c r="T82" s="63"/>
    </row>
    <row r="83" spans="1:20" ht="15.6">
      <c r="A83">
        <f t="shared" si="13"/>
        <v>80</v>
      </c>
      <c r="B83" s="169" t="str">
        <v>Rincon</v>
      </c>
      <c r="C83" s="162" t="str">
        <v>AZ</v>
      </c>
      <c r="D83" s="163">
        <v>8356</v>
      </c>
      <c r="E83" s="164">
        <v>7038</v>
      </c>
      <c r="F83" s="164">
        <f t="shared" si="9"/>
        <v>1318</v>
      </c>
      <c r="G83" s="165">
        <f t="shared" si="10"/>
        <v>0.18726911054276782</v>
      </c>
      <c r="H83" s="166">
        <v>8019</v>
      </c>
      <c r="I83" s="166">
        <f t="shared" si="11"/>
        <v>337</v>
      </c>
      <c r="J83" s="165">
        <f t="shared" si="12"/>
        <v>4.202519017333832E-2</v>
      </c>
      <c r="K83" s="185"/>
      <c r="L83" s="186"/>
      <c r="M83" s="168"/>
      <c r="N83" s="168"/>
      <c r="O83" s="63"/>
      <c r="P83" s="63"/>
      <c r="Q83" s="63"/>
      <c r="R83" s="63"/>
      <c r="S83" s="63"/>
      <c r="T83" s="63"/>
    </row>
    <row r="84" spans="1:20" ht="43.15">
      <c r="A84">
        <f t="shared" si="13"/>
        <v>81</v>
      </c>
      <c r="B84" s="169" t="str">
        <v>Tucson Main Parking Garage</v>
      </c>
      <c r="C84" s="162" t="str">
        <v>AZ</v>
      </c>
      <c r="D84" s="163">
        <v>14768</v>
      </c>
      <c r="E84" s="164">
        <v>14217</v>
      </c>
      <c r="F84" s="164">
        <f t="shared" si="9"/>
        <v>551</v>
      </c>
      <c r="G84" s="165">
        <f t="shared" si="10"/>
        <v>3.8756418372371107E-2</v>
      </c>
      <c r="H84" s="166">
        <v>10848</v>
      </c>
      <c r="I84" s="166">
        <f t="shared" si="11"/>
        <v>3920</v>
      </c>
      <c r="J84" s="165">
        <f t="shared" si="12"/>
        <v>0.36135693215339232</v>
      </c>
      <c r="K84" s="167" t="s">
        <v>304</v>
      </c>
      <c r="L84" s="167" t="s">
        <v>305</v>
      </c>
      <c r="M84" s="168"/>
      <c r="N84" s="168"/>
      <c r="O84" s="63"/>
      <c r="P84" s="63"/>
      <c r="Q84" s="63"/>
      <c r="R84" s="63"/>
      <c r="S84" s="63"/>
      <c r="T84" s="63"/>
    </row>
    <row r="85" spans="1:20" ht="14.45">
      <c r="B85" s="18" t="str">
        <v>AZ: Chandler - Chandler Campus - Bldg A</v>
      </c>
      <c r="C85" s="30" t="str">
        <v>AZ</v>
      </c>
      <c r="D85" s="18"/>
      <c r="E85" s="18"/>
      <c r="F85" s="18"/>
      <c r="G85" s="157"/>
      <c r="H85" s="18"/>
      <c r="I85" s="18"/>
      <c r="J85" s="157"/>
      <c r="K85" s="18"/>
      <c r="L85" s="18"/>
    </row>
    <row r="86" spans="1:20" ht="14.45">
      <c r="B86" s="18" t="str">
        <v>AZ: Phoenix - Pinnacle Peak Ops</v>
      </c>
      <c r="C86" s="30" t="str">
        <v>AZ</v>
      </c>
      <c r="D86" s="18"/>
      <c r="E86" s="18"/>
      <c r="F86" s="18"/>
      <c r="G86" s="157"/>
      <c r="H86" s="18"/>
      <c r="I86" s="18"/>
      <c r="J86" s="157"/>
      <c r="K86" s="18"/>
      <c r="L86" s="18"/>
    </row>
    <row r="87" spans="1:20" ht="14.45">
      <c r="B87" s="18" t="str">
        <v>CA: Alhambra - North Alhambra</v>
      </c>
      <c r="C87" s="30" t="str">
        <v>CA</v>
      </c>
      <c r="D87" s="18"/>
      <c r="E87" s="18"/>
      <c r="F87" s="18"/>
      <c r="G87" s="157"/>
      <c r="H87" s="18"/>
      <c r="I87" s="18"/>
      <c r="J87" s="157"/>
      <c r="K87" s="18"/>
      <c r="L87" s="18"/>
    </row>
    <row r="88" spans="1:20" ht="14.45">
      <c r="B88" s="18" t="str">
        <v>CA: La Canada - La Canada</v>
      </c>
      <c r="C88" s="30" t="str">
        <v>CA</v>
      </c>
      <c r="D88" s="18"/>
      <c r="E88" s="18"/>
      <c r="F88" s="18"/>
      <c r="G88" s="157"/>
      <c r="H88" s="18"/>
      <c r="I88" s="18"/>
      <c r="J88" s="157"/>
      <c r="K88" s="18"/>
      <c r="L88" s="18"/>
    </row>
    <row r="89" spans="1:20" ht="14.45">
      <c r="B89" s="18" t="str">
        <v>CA: Laguna Beach - LAGUNA BEACH</v>
      </c>
      <c r="C89" s="30" t="str">
        <v>CA</v>
      </c>
      <c r="D89" s="18"/>
      <c r="E89" s="18"/>
      <c r="F89" s="18"/>
      <c r="G89" s="157"/>
      <c r="H89" s="18"/>
      <c r="I89" s="18"/>
      <c r="J89" s="157"/>
      <c r="K89" s="18"/>
      <c r="L89" s="18"/>
    </row>
    <row r="90" spans="1:20" ht="14.45">
      <c r="B90" s="18" t="str">
        <v>CA: Newport Beach - MARINERS</v>
      </c>
      <c r="C90" s="30" t="str">
        <v>CA</v>
      </c>
      <c r="D90" s="18"/>
      <c r="E90" s="18"/>
      <c r="F90" s="18"/>
      <c r="G90" s="157"/>
      <c r="H90" s="18"/>
      <c r="I90" s="18"/>
      <c r="J90" s="157"/>
      <c r="K90" s="18"/>
      <c r="L90" s="18"/>
    </row>
    <row r="91" spans="1:20" ht="14.45">
      <c r="B91" s="18"/>
      <c r="C91" s="30"/>
      <c r="D91" s="18"/>
      <c r="E91" s="18"/>
      <c r="F91" s="18"/>
      <c r="G91" s="157"/>
      <c r="H91" s="18"/>
      <c r="I91" s="18"/>
      <c r="J91" s="157"/>
      <c r="K91" s="18"/>
      <c r="L91" s="18"/>
    </row>
    <row r="92" spans="1:20" ht="14.45">
      <c r="B92" s="18"/>
      <c r="C92" s="30"/>
      <c r="D92" s="18"/>
      <c r="E92" s="18"/>
      <c r="F92" s="18"/>
      <c r="G92" s="157"/>
      <c r="H92" s="18"/>
      <c r="I92" s="18"/>
      <c r="J92" s="157"/>
      <c r="K92" s="18"/>
      <c r="L92" s="18"/>
    </row>
    <row r="93" spans="1:20" ht="14.45">
      <c r="B93" s="18"/>
      <c r="C93" s="30"/>
      <c r="D93" s="18"/>
      <c r="E93" s="18"/>
      <c r="F93" s="18"/>
      <c r="G93" s="157"/>
      <c r="H93" s="18"/>
      <c r="I93" s="18"/>
      <c r="J93" s="157"/>
      <c r="K93" s="18"/>
      <c r="L93" s="18"/>
    </row>
    <row r="94" spans="1:20" ht="14.45">
      <c r="B94" s="18"/>
      <c r="C94" s="30"/>
      <c r="D94" s="18"/>
      <c r="E94" s="18"/>
      <c r="F94" s="18"/>
      <c r="G94" s="157"/>
      <c r="H94" s="18"/>
      <c r="I94" s="18"/>
      <c r="J94" s="157"/>
      <c r="K94" s="18"/>
      <c r="L94" s="18"/>
    </row>
    <row r="95" spans="1:20" ht="14.45">
      <c r="B95" s="18"/>
      <c r="C95" s="30"/>
      <c r="D95" s="18"/>
      <c r="E95" s="18"/>
      <c r="F95" s="18"/>
      <c r="G95" s="157"/>
      <c r="H95" s="18"/>
      <c r="I95" s="18"/>
      <c r="J95" s="157"/>
      <c r="K95" s="18"/>
      <c r="L95" s="18"/>
    </row>
    <row r="96" spans="1:20" ht="14.45">
      <c r="B96" s="18"/>
      <c r="C96" s="30"/>
      <c r="D96" s="18"/>
      <c r="E96" s="18"/>
      <c r="F96" s="18"/>
      <c r="G96" s="19"/>
      <c r="H96" s="18"/>
      <c r="I96" s="18"/>
      <c r="J96" s="19"/>
      <c r="K96" s="18"/>
      <c r="L96" s="18"/>
    </row>
    <row r="97" spans="2:12" ht="14.45">
      <c r="B97" s="18"/>
      <c r="C97" s="30"/>
      <c r="D97" s="18"/>
      <c r="E97" s="18"/>
      <c r="F97" s="18"/>
      <c r="G97" s="19"/>
      <c r="H97" s="18"/>
      <c r="I97" s="18"/>
      <c r="J97" s="19"/>
      <c r="K97" s="18"/>
      <c r="L97" s="18"/>
    </row>
    <row r="98" spans="2:12" ht="14.45">
      <c r="B98" s="18"/>
      <c r="C98" s="30"/>
      <c r="D98" s="18"/>
      <c r="E98" s="18"/>
      <c r="F98" s="18"/>
      <c r="G98" s="19"/>
      <c r="H98" s="18"/>
      <c r="I98" s="18"/>
      <c r="J98" s="19"/>
      <c r="K98" s="18"/>
      <c r="L98" s="18"/>
    </row>
    <row r="99" spans="2:12" ht="14.45">
      <c r="B99" s="18"/>
      <c r="C99" s="30"/>
      <c r="D99" s="18"/>
      <c r="E99" s="18"/>
      <c r="F99" s="18"/>
      <c r="G99" s="19"/>
      <c r="H99" s="18"/>
      <c r="I99" s="18"/>
      <c r="J99" s="19"/>
      <c r="K99" s="18"/>
      <c r="L99" s="18"/>
    </row>
    <row r="100" spans="2:12" ht="14.45">
      <c r="B100" s="18"/>
      <c r="C100" s="30"/>
      <c r="D100" s="18"/>
      <c r="E100" s="18"/>
      <c r="F100" s="18"/>
      <c r="G100" s="19"/>
      <c r="H100" s="18"/>
      <c r="I100" s="18"/>
      <c r="J100" s="19"/>
      <c r="K100" s="18"/>
      <c r="L100" s="18"/>
    </row>
    <row r="101" spans="2:12" ht="14.45">
      <c r="B101" s="18"/>
      <c r="C101" s="30"/>
      <c r="D101" s="18"/>
      <c r="E101" s="18"/>
      <c r="F101" s="18"/>
      <c r="G101" s="19"/>
      <c r="H101" s="18"/>
      <c r="I101" s="18"/>
      <c r="J101" s="19"/>
      <c r="K101" s="18"/>
      <c r="L101" s="18"/>
    </row>
    <row r="102" spans="2:12" ht="14.45">
      <c r="B102" s="18"/>
      <c r="C102" s="30"/>
      <c r="D102" s="18"/>
      <c r="E102" s="18"/>
      <c r="F102" s="18"/>
      <c r="G102" s="19"/>
      <c r="H102" s="18"/>
      <c r="I102" s="18"/>
      <c r="J102" s="19"/>
      <c r="K102" s="18"/>
      <c r="L102" s="18"/>
    </row>
    <row r="103" spans="2:12" ht="14.45">
      <c r="B103" s="18"/>
      <c r="C103" s="30"/>
      <c r="D103" s="18"/>
      <c r="E103" s="18"/>
      <c r="F103" s="18"/>
      <c r="G103" s="19"/>
      <c r="H103" s="18"/>
      <c r="I103" s="18"/>
      <c r="J103" s="19"/>
      <c r="K103" s="18"/>
      <c r="L103" s="18"/>
    </row>
    <row r="104" spans="2:12" ht="14.45">
      <c r="B104" s="18"/>
      <c r="C104" s="30"/>
      <c r="D104" s="18"/>
      <c r="E104" s="18"/>
      <c r="F104" s="18"/>
      <c r="G104" s="19"/>
      <c r="H104" s="18"/>
      <c r="I104" s="18"/>
      <c r="J104" s="19"/>
      <c r="K104" s="18"/>
      <c r="L104" s="18"/>
    </row>
    <row r="105" spans="2:12" ht="14.45">
      <c r="B105" s="18"/>
      <c r="C105" s="30"/>
      <c r="D105" s="18"/>
      <c r="E105" s="18"/>
      <c r="F105" s="18"/>
      <c r="G105" s="19"/>
      <c r="H105" s="18"/>
      <c r="I105" s="18"/>
      <c r="J105" s="19"/>
      <c r="K105" s="18"/>
      <c r="L105" s="18"/>
    </row>
    <row r="106" spans="2:12" ht="14.45">
      <c r="B106" s="18"/>
      <c r="C106" s="30"/>
      <c r="D106" s="18"/>
      <c r="E106" s="18"/>
      <c r="F106" s="18"/>
      <c r="G106" s="19"/>
      <c r="H106" s="18"/>
      <c r="I106" s="18"/>
      <c r="J106" s="19"/>
      <c r="K106" s="18"/>
      <c r="L106" s="18"/>
    </row>
    <row r="107" spans="2:12" ht="14.45">
      <c r="B107" s="18"/>
      <c r="C107" s="30"/>
      <c r="D107" s="18"/>
      <c r="E107" s="18"/>
      <c r="F107" s="18"/>
      <c r="G107" s="19"/>
      <c r="H107" s="18"/>
      <c r="I107" s="18"/>
      <c r="J107" s="19"/>
      <c r="K107" s="18"/>
      <c r="L107" s="18"/>
    </row>
    <row r="108" spans="2:12" ht="14.45">
      <c r="B108" s="18"/>
      <c r="C108" s="30"/>
      <c r="D108" s="18"/>
      <c r="E108" s="18"/>
      <c r="F108" s="18"/>
      <c r="G108" s="19"/>
      <c r="H108" s="18"/>
      <c r="I108" s="18"/>
      <c r="J108" s="19"/>
      <c r="K108" s="18"/>
      <c r="L108" s="18"/>
    </row>
    <row r="109" spans="2:12" ht="14.45">
      <c r="B109" s="18"/>
      <c r="C109" s="30"/>
      <c r="D109" s="18"/>
      <c r="E109" s="18"/>
      <c r="F109" s="18"/>
      <c r="G109" s="19"/>
      <c r="H109" s="18"/>
      <c r="I109" s="18"/>
      <c r="J109" s="19"/>
      <c r="K109" s="18"/>
      <c r="L109" s="18"/>
    </row>
    <row r="110" spans="2:12" ht="14.45">
      <c r="B110" s="18"/>
      <c r="C110" s="30"/>
      <c r="D110" s="18"/>
      <c r="E110" s="18"/>
      <c r="F110" s="18"/>
      <c r="G110" s="19"/>
      <c r="H110" s="18"/>
      <c r="I110" s="18"/>
      <c r="J110" s="19"/>
      <c r="K110" s="18"/>
      <c r="L110" s="18"/>
    </row>
    <row r="111" spans="2:12" ht="14.45">
      <c r="B111" s="18"/>
      <c r="C111" s="30"/>
      <c r="D111" s="18"/>
      <c r="E111" s="18"/>
      <c r="F111" s="18"/>
      <c r="G111" s="19"/>
      <c r="H111" s="18"/>
      <c r="I111" s="18"/>
      <c r="J111" s="19"/>
      <c r="K111" s="18"/>
      <c r="L111" s="18"/>
    </row>
    <row r="112" spans="2:12" ht="14.45">
      <c r="B112" s="18"/>
      <c r="C112" s="30"/>
      <c r="D112" s="18"/>
      <c r="E112" s="18"/>
      <c r="F112" s="18"/>
      <c r="G112" s="19"/>
      <c r="H112" s="18"/>
      <c r="I112" s="18"/>
      <c r="J112" s="19"/>
      <c r="K112" s="18"/>
      <c r="L112" s="18"/>
    </row>
    <row r="113" spans="2:12" ht="14.45">
      <c r="B113" s="18"/>
      <c r="C113" s="30"/>
      <c r="D113" s="18"/>
      <c r="E113" s="18"/>
      <c r="F113" s="18"/>
      <c r="G113" s="19"/>
      <c r="H113" s="18"/>
      <c r="I113" s="18"/>
      <c r="J113" s="19"/>
      <c r="K113" s="18"/>
      <c r="L113" s="18"/>
    </row>
    <row r="114" spans="2:12" ht="14.45">
      <c r="B114" s="18"/>
      <c r="C114" s="30"/>
      <c r="D114" s="18"/>
      <c r="E114" s="18"/>
      <c r="F114" s="18"/>
      <c r="G114" s="19"/>
      <c r="H114" s="18"/>
      <c r="I114" s="18"/>
      <c r="J114" s="19"/>
      <c r="K114" s="18"/>
      <c r="L114" s="18"/>
    </row>
    <row r="115" spans="2:12" ht="14.45">
      <c r="B115" s="18"/>
      <c r="C115" s="30"/>
      <c r="D115" s="18"/>
      <c r="E115" s="18"/>
      <c r="F115" s="18"/>
      <c r="G115" s="19"/>
      <c r="H115" s="18"/>
      <c r="I115" s="18"/>
      <c r="J115" s="19"/>
      <c r="K115" s="18"/>
      <c r="L115" s="18"/>
    </row>
    <row r="116" spans="2:12" ht="14.45">
      <c r="B116" s="18"/>
      <c r="C116" s="30"/>
      <c r="D116" s="18"/>
      <c r="E116" s="18"/>
      <c r="F116" s="18"/>
      <c r="G116" s="19"/>
      <c r="H116" s="18"/>
      <c r="I116" s="18"/>
      <c r="J116" s="19"/>
      <c r="K116" s="18"/>
      <c r="L116" s="18"/>
    </row>
    <row r="117" spans="2:12" ht="14.45">
      <c r="B117" s="18"/>
      <c r="C117" s="30"/>
      <c r="D117" s="18"/>
      <c r="E117" s="18"/>
      <c r="F117" s="18"/>
      <c r="G117" s="19"/>
      <c r="H117" s="18"/>
      <c r="I117" s="18"/>
      <c r="J117" s="19"/>
      <c r="K117" s="18"/>
      <c r="L117" s="18"/>
    </row>
    <row r="118" spans="2:12" ht="14.45">
      <c r="B118" s="18"/>
      <c r="C118" s="30"/>
      <c r="D118" s="18"/>
      <c r="E118" s="18"/>
      <c r="F118" s="18"/>
      <c r="G118" s="19"/>
      <c r="H118" s="18"/>
      <c r="I118" s="18"/>
      <c r="J118" s="19"/>
      <c r="K118" s="18"/>
      <c r="L118" s="18"/>
    </row>
    <row r="119" spans="2:12" ht="14.45">
      <c r="B119" s="18"/>
      <c r="C119" s="30"/>
      <c r="D119" s="18"/>
      <c r="E119" s="18"/>
      <c r="F119" s="18"/>
      <c r="G119" s="19"/>
      <c r="H119" s="18"/>
      <c r="I119" s="18"/>
      <c r="J119" s="19"/>
      <c r="K119" s="18"/>
      <c r="L119" s="18"/>
    </row>
    <row r="120" spans="2:12" ht="14.45">
      <c r="B120" s="18"/>
      <c r="C120" s="30"/>
      <c r="D120" s="18"/>
      <c r="E120" s="18"/>
      <c r="F120" s="18"/>
      <c r="G120" s="19"/>
      <c r="H120" s="18"/>
      <c r="I120" s="18"/>
      <c r="J120" s="19"/>
      <c r="K120" s="18"/>
      <c r="L120" s="18"/>
    </row>
    <row r="121" spans="2:12" ht="14.45">
      <c r="B121" s="18"/>
      <c r="C121" s="30"/>
      <c r="D121" s="18"/>
      <c r="E121" s="18"/>
      <c r="F121" s="18"/>
      <c r="G121" s="19"/>
      <c r="H121" s="18"/>
      <c r="I121" s="18"/>
      <c r="J121" s="19"/>
      <c r="K121" s="18"/>
      <c r="L121" s="18"/>
    </row>
    <row r="122" spans="2:12" ht="14.45">
      <c r="B122" s="18"/>
      <c r="C122" s="30"/>
      <c r="D122" s="18"/>
      <c r="E122" s="18"/>
      <c r="F122" s="18"/>
      <c r="G122" s="19"/>
      <c r="H122" s="18"/>
      <c r="I122" s="18"/>
      <c r="J122" s="19"/>
      <c r="K122" s="18"/>
      <c r="L122" s="18"/>
    </row>
    <row r="123" spans="2:12" ht="14.45">
      <c r="B123" s="18"/>
      <c r="C123" s="30"/>
      <c r="D123" s="18"/>
      <c r="E123" s="18"/>
      <c r="F123" s="18"/>
      <c r="G123" s="19"/>
      <c r="H123" s="18"/>
      <c r="I123" s="18"/>
      <c r="J123" s="19"/>
      <c r="K123" s="18"/>
      <c r="L123" s="18"/>
    </row>
    <row r="124" spans="2:12" ht="14.45">
      <c r="B124" s="18"/>
      <c r="C124" s="30"/>
      <c r="D124" s="18"/>
      <c r="E124" s="18"/>
      <c r="F124" s="18"/>
      <c r="G124" s="19"/>
      <c r="H124" s="18"/>
      <c r="I124" s="18"/>
      <c r="J124" s="19"/>
      <c r="K124" s="18"/>
      <c r="L124" s="18"/>
    </row>
    <row r="125" spans="2:12" ht="14.45">
      <c r="B125" s="18"/>
      <c r="C125" s="30"/>
      <c r="D125" s="18"/>
      <c r="E125" s="18"/>
      <c r="F125" s="18"/>
      <c r="G125" s="19"/>
      <c r="H125" s="18"/>
      <c r="I125" s="18"/>
      <c r="J125" s="19"/>
      <c r="K125" s="18"/>
      <c r="L125" s="18"/>
    </row>
    <row r="126" spans="2:12" ht="14.45">
      <c r="B126" s="18"/>
      <c r="C126" s="30"/>
      <c r="D126" s="18"/>
      <c r="E126" s="18"/>
      <c r="F126" s="18"/>
      <c r="G126" s="19"/>
      <c r="H126" s="18"/>
      <c r="I126" s="18"/>
      <c r="J126" s="19"/>
      <c r="K126" s="18"/>
      <c r="L126" s="18"/>
    </row>
    <row r="127" spans="2:12" ht="14.45">
      <c r="B127" s="18"/>
      <c r="C127" s="30"/>
      <c r="D127" s="18"/>
      <c r="E127" s="18"/>
      <c r="F127" s="18"/>
      <c r="G127" s="19"/>
      <c r="H127" s="18"/>
      <c r="I127" s="18"/>
      <c r="J127" s="19"/>
      <c r="K127" s="18"/>
      <c r="L127" s="18"/>
    </row>
    <row r="128" spans="2:12" ht="14.45">
      <c r="B128" s="18"/>
      <c r="C128" s="30"/>
      <c r="D128" s="18"/>
      <c r="E128" s="18"/>
      <c r="F128" s="18"/>
      <c r="G128" s="19"/>
      <c r="H128" s="18"/>
      <c r="I128" s="18"/>
      <c r="J128" s="19"/>
      <c r="K128" s="18"/>
      <c r="L128" s="18"/>
    </row>
    <row r="129" spans="2:12" ht="14.45">
      <c r="B129" s="18"/>
      <c r="C129" s="30"/>
      <c r="D129" s="18"/>
      <c r="E129" s="18"/>
      <c r="F129" s="18"/>
      <c r="G129" s="19"/>
      <c r="H129" s="18"/>
      <c r="I129" s="18"/>
      <c r="J129" s="19"/>
      <c r="K129" s="18"/>
      <c r="L129" s="18"/>
    </row>
    <row r="130" spans="2:12" ht="14.45">
      <c r="B130" s="18"/>
      <c r="C130" s="30"/>
      <c r="D130" s="18"/>
      <c r="E130" s="18"/>
      <c r="F130" s="18"/>
      <c r="G130" s="19"/>
      <c r="H130" s="18"/>
      <c r="I130" s="18"/>
      <c r="J130" s="19"/>
      <c r="K130" s="18"/>
      <c r="L130" s="18"/>
    </row>
    <row r="131" spans="2:12" ht="14.45">
      <c r="B131" s="18"/>
      <c r="C131" s="30"/>
      <c r="D131" s="18"/>
      <c r="E131" s="18"/>
      <c r="F131" s="18"/>
      <c r="G131" s="19"/>
      <c r="H131" s="18"/>
      <c r="I131" s="18"/>
      <c r="J131" s="19"/>
      <c r="K131" s="18"/>
      <c r="L131" s="18"/>
    </row>
    <row r="132" spans="2:12" ht="14.45">
      <c r="B132" s="18"/>
      <c r="C132" s="30"/>
      <c r="D132" s="18"/>
      <c r="E132" s="18"/>
      <c r="F132" s="18"/>
      <c r="G132" s="19"/>
      <c r="H132" s="18"/>
      <c r="I132" s="18"/>
      <c r="J132" s="19"/>
      <c r="K132" s="18"/>
      <c r="L132" s="18"/>
    </row>
    <row r="133" spans="2:12" ht="14.45">
      <c r="B133" s="18"/>
      <c r="C133" s="30"/>
      <c r="D133" s="18"/>
      <c r="E133" s="18"/>
      <c r="F133" s="18"/>
      <c r="G133" s="19"/>
      <c r="H133" s="18"/>
      <c r="I133" s="18"/>
      <c r="J133" s="19"/>
      <c r="K133" s="18"/>
      <c r="L133" s="18"/>
    </row>
    <row r="134" spans="2:12" ht="14.45">
      <c r="B134" s="18"/>
      <c r="C134" s="30"/>
      <c r="D134" s="18"/>
      <c r="E134" s="18"/>
      <c r="F134" s="18"/>
      <c r="G134" s="19"/>
      <c r="H134" s="18"/>
      <c r="I134" s="18"/>
      <c r="J134" s="19"/>
      <c r="K134" s="18"/>
      <c r="L134" s="18"/>
    </row>
    <row r="135" spans="2:12" ht="14.45">
      <c r="B135" s="18"/>
      <c r="C135" s="30"/>
      <c r="D135" s="18"/>
      <c r="E135" s="18"/>
      <c r="F135" s="18"/>
      <c r="G135" s="19"/>
      <c r="H135" s="18"/>
      <c r="I135" s="18"/>
      <c r="J135" s="19"/>
      <c r="K135" s="18"/>
      <c r="L135" s="18"/>
    </row>
    <row r="136" spans="2:12" ht="14.45">
      <c r="B136" s="18"/>
      <c r="C136" s="30"/>
      <c r="D136" s="18"/>
      <c r="E136" s="18"/>
      <c r="F136" s="18"/>
      <c r="G136" s="19"/>
      <c r="H136" s="18"/>
      <c r="I136" s="18"/>
      <c r="J136" s="19"/>
      <c r="K136" s="18"/>
      <c r="L136" s="18"/>
    </row>
    <row r="137" spans="2:12" ht="14.45">
      <c r="B137" s="18"/>
      <c r="C137" s="30"/>
      <c r="D137" s="18"/>
      <c r="E137" s="18"/>
      <c r="F137" s="18"/>
      <c r="G137" s="19"/>
      <c r="H137" s="18"/>
      <c r="I137" s="18"/>
      <c r="J137" s="19"/>
      <c r="K137" s="18"/>
      <c r="L137" s="18"/>
    </row>
    <row r="138" spans="2:12" ht="14.45">
      <c r="B138" s="18"/>
      <c r="C138" s="30"/>
      <c r="D138" s="18"/>
      <c r="E138" s="18"/>
      <c r="F138" s="18"/>
      <c r="G138" s="19"/>
      <c r="H138" s="18"/>
      <c r="I138" s="18"/>
      <c r="J138" s="19"/>
      <c r="K138" s="18"/>
      <c r="L138" s="18"/>
    </row>
    <row r="139" spans="2:12" ht="14.45">
      <c r="B139" s="18"/>
      <c r="C139" s="30"/>
      <c r="D139" s="18"/>
      <c r="E139" s="18"/>
      <c r="F139" s="18"/>
      <c r="G139" s="19"/>
      <c r="H139" s="18"/>
      <c r="I139" s="18"/>
      <c r="J139" s="19"/>
      <c r="K139" s="18"/>
      <c r="L139" s="18"/>
    </row>
    <row r="140" spans="2:12" ht="14.45">
      <c r="B140" s="18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2:12" ht="14.45">
      <c r="B141" s="18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2:12" ht="14.45">
      <c r="B142" s="18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2:12" ht="14.45">
      <c r="B143" s="18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2:12" ht="14.45">
      <c r="B144" s="18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2:12" ht="14.45">
      <c r="B145" s="18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2:12" ht="14.45">
      <c r="B146" s="18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2:12" ht="14.45">
      <c r="B147" s="18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2:12" ht="14.45">
      <c r="B148" s="18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2:12" ht="14.45">
      <c r="B149" s="18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2:12" ht="14.45">
      <c r="B150" s="18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2:12" ht="14.45">
      <c r="B151" s="18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2:12" ht="14.45">
      <c r="B152" s="18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2:12" ht="14.45">
      <c r="B153" s="18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2:12" ht="14.45">
      <c r="B154" s="18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2:12" ht="14.45">
      <c r="B155" s="18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2:12" ht="14.45">
      <c r="B156" s="18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2:12" ht="14.45">
      <c r="B157" s="18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2:12" ht="14.45">
      <c r="B158" s="18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2:12" ht="14.45">
      <c r="B159" s="18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2:12" ht="14.45">
      <c r="B160" s="18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2:12" ht="14.45">
      <c r="B161" s="18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2:12" ht="14.45">
      <c r="B162" s="18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2:12" ht="14.45">
      <c r="B163" s="18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2:12" ht="14.45">
      <c r="B164" s="18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2:12" ht="14.45">
      <c r="B165" s="18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2:12" ht="14.45">
      <c r="B166" s="18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2:12" ht="14.45">
      <c r="B167" s="18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2:12" ht="14.45">
      <c r="B168" s="18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2:12" ht="14.45">
      <c r="B169" s="18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2:12" ht="14.45">
      <c r="B170" s="18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2:12" ht="14.45">
      <c r="B171" s="18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2:12" ht="14.45">
      <c r="B172" s="18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2:12" ht="14.45">
      <c r="B173" s="18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2:12" ht="14.45">
      <c r="B174" s="18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2:12" ht="14.45">
      <c r="B175" s="18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2:12" ht="14.45">
      <c r="B176" s="18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2:12" ht="14.45">
      <c r="B177" s="18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2:12" ht="14.45">
      <c r="B178" s="18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2:12" ht="14.45">
      <c r="B179" s="18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2:12" ht="14.45">
      <c r="B180" s="18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2:12" ht="14.45">
      <c r="B181" s="18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2:12" ht="14.45">
      <c r="B182" s="18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2:12" ht="14.45">
      <c r="B183" s="18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2:12" ht="14.45">
      <c r="B184" s="18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2:12" ht="14.45">
      <c r="B185" s="18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2:12" ht="14.45">
      <c r="B186" s="18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2:12" ht="14.45">
      <c r="B187" s="18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2:12" ht="14.45">
      <c r="B188" s="18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2:12" ht="14.45">
      <c r="B189" s="18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2:12" ht="14.45">
      <c r="B190" s="18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2:12" ht="14.45">
      <c r="B191" s="18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2:12" ht="14.45">
      <c r="B192" s="18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2:12" ht="14.45">
      <c r="B193" s="18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2:12" ht="14.45">
      <c r="B194" s="18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2:12" ht="14.45">
      <c r="B195" s="18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2:12" ht="14.45">
      <c r="B196" s="18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2:12" ht="14.45">
      <c r="B197" s="18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2:12" ht="14.45">
      <c r="B198" s="18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2:12" ht="14.45">
      <c r="B199" s="18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2:12" ht="14.45">
      <c r="B200" s="18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2:12" ht="14.45">
      <c r="B201" s="18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2:12" ht="14.45">
      <c r="B202" s="18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2:12" ht="14.45">
      <c r="B203" s="18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2:12" ht="14.45">
      <c r="B204" s="18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2:12" ht="14.45">
      <c r="B205" s="18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2:12" ht="14.45">
      <c r="B206" s="18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2:12" ht="14.45">
      <c r="B207" s="18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2:12" ht="14.45">
      <c r="B208" s="18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2:12" ht="14.45">
      <c r="B209" s="18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2:12" ht="14.45">
      <c r="B210" s="18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2:12" ht="14.45">
      <c r="B211" s="18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2:12" ht="14.45">
      <c r="B212" s="18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2:12" ht="14.45">
      <c r="B213" s="18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2:12" ht="14.45">
      <c r="B214" s="18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2:12" ht="14.45">
      <c r="B215" s="18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2:12" ht="14.45">
      <c r="B216" s="18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2:12" ht="14.45">
      <c r="B217" s="18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2:12" ht="14.45">
      <c r="B218" s="18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2:12" ht="14.45">
      <c r="B219" s="18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2:12" ht="14.45">
      <c r="B220" s="18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2:12" ht="14.45">
      <c r="B221" s="18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2:12" ht="14.45">
      <c r="B222" s="18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2:12" ht="14.45">
      <c r="B223" s="18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2:12" ht="14.45">
      <c r="B224" s="18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2:12" ht="14.45">
      <c r="B225" s="18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2:12" ht="14.45">
      <c r="B226" s="18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2:12" ht="14.45">
      <c r="B227" s="18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2:12" ht="14.45">
      <c r="B228" s="18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2:12" ht="14.45">
      <c r="B229" s="18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2:12" ht="14.45">
      <c r="B230" s="18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2:12" ht="14.45">
      <c r="B231" s="18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2:12" ht="14.45">
      <c r="B232" s="18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2:12" ht="14.45">
      <c r="B233" s="18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2:12" ht="14.45">
      <c r="B234" s="18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2:12" ht="14.45">
      <c r="B235" s="18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2:12" ht="14.45">
      <c r="B236" s="18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2:12" ht="14.45">
      <c r="B237" s="18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2:12" ht="14.45">
      <c r="B238" s="18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2:12" ht="14.45">
      <c r="B239" s="18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2:12" ht="14.45">
      <c r="B240" s="18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2:12" ht="14.45">
      <c r="B241" s="18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2:12" ht="14.45">
      <c r="B242" s="18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2:12" ht="14.45">
      <c r="B243" s="18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2:12" ht="14.45">
      <c r="B244" s="18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2:12" ht="14.45">
      <c r="B245" s="18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2:12" ht="14.45">
      <c r="B246" s="18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2:12" ht="14.45">
      <c r="B247" s="18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2:12" ht="14.45">
      <c r="B248" s="18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2:12" ht="14.45">
      <c r="B249" s="18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2:12" ht="14.45">
      <c r="B250" s="18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2:12" ht="14.45">
      <c r="B251" s="18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2:12" ht="14.45">
      <c r="B252" s="18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2:12" ht="14.45">
      <c r="B253" s="18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2:12" ht="14.45">
      <c r="B254" s="18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2:12" ht="14.45">
      <c r="B255" s="18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2:12" ht="14.45">
      <c r="B256" s="252" t="s">
        <v>306</v>
      </c>
      <c r="C256" s="252"/>
      <c r="D256" s="252"/>
      <c r="E256" s="18"/>
      <c r="F256" s="18"/>
      <c r="G256" s="19"/>
      <c r="H256" s="18"/>
      <c r="I256" s="18"/>
      <c r="J256" s="19"/>
      <c r="K256" s="18"/>
      <c r="L256" s="18"/>
    </row>
    <row r="257" spans="2:12" ht="14.45">
      <c r="B257" s="145" t="s">
        <v>307</v>
      </c>
      <c r="C257" s="145">
        <v>23</v>
      </c>
      <c r="D257" s="147">
        <v>0.28399999999999997</v>
      </c>
      <c r="E257" s="18"/>
      <c r="F257" s="18"/>
      <c r="G257" s="19"/>
      <c r="H257" s="18"/>
      <c r="I257" s="18"/>
      <c r="J257" s="19"/>
      <c r="K257" s="18"/>
      <c r="L257" s="18"/>
    </row>
    <row r="258" spans="2:12" ht="14.45">
      <c r="B258" s="145" t="s">
        <v>308</v>
      </c>
      <c r="C258" s="145">
        <v>18</v>
      </c>
      <c r="D258" s="147">
        <v>0.22220000000000001</v>
      </c>
      <c r="E258" s="18"/>
      <c r="F258" s="18"/>
      <c r="G258" s="19"/>
      <c r="H258" s="18"/>
      <c r="I258" s="18"/>
      <c r="J258" s="19"/>
      <c r="K258" s="18"/>
      <c r="L258" s="18"/>
    </row>
    <row r="259" spans="2:12" ht="14.45">
      <c r="B259" s="145" t="s">
        <v>309</v>
      </c>
      <c r="C259" s="145">
        <v>40</v>
      </c>
      <c r="D259" s="147">
        <v>0.49380000000000002</v>
      </c>
      <c r="E259" s="18"/>
      <c r="F259" s="18"/>
      <c r="G259" s="19"/>
      <c r="H259" s="18"/>
      <c r="I259" s="18"/>
      <c r="J259" s="19"/>
      <c r="K259" s="18"/>
      <c r="L259" s="18"/>
    </row>
    <row r="260" spans="2:12" ht="14.45">
      <c r="B260" s="145"/>
      <c r="C260" s="145"/>
      <c r="D260" s="145"/>
      <c r="E260" s="18"/>
      <c r="F260" s="18"/>
      <c r="G260" s="19"/>
      <c r="H260" s="18"/>
      <c r="I260" s="18"/>
      <c r="J260" s="19"/>
      <c r="K260" s="18"/>
      <c r="L260" s="18"/>
    </row>
    <row r="261" spans="2:12" ht="14.45">
      <c r="B261" s="145"/>
      <c r="C261" s="145"/>
      <c r="D261" s="145"/>
      <c r="E261" s="18"/>
      <c r="F261" s="18"/>
      <c r="G261" s="19"/>
      <c r="H261" s="18"/>
      <c r="I261" s="18"/>
      <c r="J261" s="19"/>
      <c r="K261" s="18"/>
      <c r="L261" s="18"/>
    </row>
    <row r="262" spans="2:12" ht="14.45">
      <c r="B262" s="252" t="s">
        <v>310</v>
      </c>
      <c r="C262" s="252"/>
      <c r="D262" s="252"/>
      <c r="E262" s="18"/>
      <c r="F262" s="18"/>
      <c r="G262" s="19"/>
      <c r="H262" s="18"/>
      <c r="I262" s="18"/>
      <c r="J262" s="19"/>
      <c r="K262" s="18"/>
      <c r="L262" s="18"/>
    </row>
    <row r="263" spans="2:12" ht="14.45">
      <c r="B263" s="145" t="s">
        <v>307</v>
      </c>
      <c r="C263" s="145">
        <v>58</v>
      </c>
      <c r="D263" s="147">
        <v>0.71599999999999997</v>
      </c>
      <c r="E263" s="18"/>
      <c r="F263" s="18"/>
      <c r="G263" s="19"/>
      <c r="H263" s="18"/>
      <c r="I263" s="18"/>
      <c r="J263" s="19"/>
      <c r="K263" s="18"/>
      <c r="L263" s="18"/>
    </row>
    <row r="264" spans="2:12" ht="14.45">
      <c r="B264" s="145" t="s">
        <v>308</v>
      </c>
      <c r="C264" s="145">
        <v>8</v>
      </c>
      <c r="D264" s="147">
        <v>9.8799999999999999E-2</v>
      </c>
      <c r="E264" s="18"/>
      <c r="F264" s="18"/>
      <c r="G264" s="19"/>
      <c r="H264" s="18"/>
      <c r="I264" s="18"/>
      <c r="J264" s="19"/>
      <c r="K264" s="18"/>
      <c r="L264" s="18"/>
    </row>
    <row r="265" spans="2:12" ht="14.45">
      <c r="B265" s="145" t="s">
        <v>309</v>
      </c>
      <c r="C265" s="145">
        <v>15</v>
      </c>
      <c r="D265" s="147">
        <v>0.1852</v>
      </c>
      <c r="E265" s="18"/>
      <c r="F265" s="18"/>
      <c r="G265" s="19"/>
      <c r="H265" s="18"/>
      <c r="I265" s="18"/>
      <c r="J265" s="19"/>
      <c r="K265" s="18"/>
      <c r="L265" s="18"/>
    </row>
    <row r="266" spans="2:12" ht="14.45">
      <c r="B266" s="18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2:12" ht="14.45">
      <c r="B267" s="18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2:12" ht="14.45">
      <c r="B268" s="18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2:12" ht="14.45">
      <c r="B269" s="18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2:12" ht="14.45">
      <c r="B270" s="18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2:12" ht="14.45">
      <c r="B271" s="18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2:12" ht="14.45">
      <c r="B272" s="18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2:12" ht="14.45">
      <c r="B273" s="18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2:12" ht="14.45">
      <c r="B274" s="18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2:12" ht="14.45">
      <c r="B275" s="18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2:12" ht="14.45">
      <c r="B276" s="18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2:12" ht="14.45">
      <c r="B277" s="18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2:12" ht="14.45">
      <c r="B278" s="18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2:12" ht="14.45">
      <c r="B279" s="18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2:12" ht="14.45">
      <c r="B280" s="18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2:12" ht="14.45">
      <c r="B281" s="18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2:12" ht="14.45">
      <c r="B282" s="18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2:12" ht="14.45">
      <c r="B283" s="18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2:12" ht="14.45">
      <c r="B284" s="18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2:12" ht="14.45">
      <c r="B285" s="18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2:12" ht="14.45">
      <c r="B286" s="18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2:12" ht="14.45">
      <c r="B287" s="18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2:12" ht="14.45">
      <c r="B288" s="18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2:12" ht="14.45">
      <c r="B289" s="18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2:12" ht="14.45">
      <c r="B290" s="18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2:12" ht="14.45">
      <c r="B291" s="18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2:12" ht="14.45">
      <c r="B292" s="18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2:12" ht="14.45">
      <c r="B293" s="18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2:12" ht="14.45">
      <c r="B294" s="18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2:12" ht="14.45">
      <c r="B295" s="18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2:12" ht="14.45">
      <c r="B296" s="18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2:12" ht="14.45">
      <c r="B297" s="18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2:12" ht="14.45">
      <c r="B298" s="18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2:12" ht="14.45">
      <c r="B299" s="18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2:12" ht="14.45">
      <c r="B300" s="18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2:12" ht="14.45">
      <c r="B301" s="18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2:12" ht="14.45">
      <c r="B302" s="18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2:12" ht="14.45">
      <c r="B303" s="18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2:12" ht="14.45">
      <c r="B304" s="18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2:12" ht="14.45">
      <c r="B305" s="18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2:12" ht="14.45">
      <c r="B306" s="18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2:12" ht="14.45">
      <c r="B307" s="18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2:12" ht="14.45">
      <c r="B308" s="18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2:12" ht="14.45">
      <c r="B309" s="18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2:12" ht="14.45">
      <c r="B310" s="18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2:12" ht="14.45">
      <c r="B311" s="18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2:12" ht="14.45">
      <c r="B312" s="18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2:12" ht="14.45">
      <c r="B313" s="18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2:12" ht="14.45">
      <c r="B314" s="18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2:12" ht="14.45">
      <c r="B315" s="18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2:12" ht="14.45">
      <c r="B316" s="18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2:12" ht="14.45">
      <c r="B317" s="18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2:12" ht="14.45">
      <c r="B318" s="18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2:12" ht="14.45">
      <c r="B319" s="18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2:12" ht="14.45">
      <c r="B320" s="18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2:12" ht="14.45">
      <c r="B321" s="18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2:12" ht="14.45">
      <c r="B322" s="18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2:12" ht="14.45">
      <c r="B323" s="18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2:12" ht="14.45">
      <c r="B324" s="18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2:12" ht="14.45">
      <c r="B325" s="18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2:12" ht="14.45">
      <c r="B326" s="18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2:12" ht="14.45">
      <c r="B327" s="18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2:12" ht="14.45">
      <c r="B328" s="18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2:12" ht="14.45">
      <c r="B329" s="18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2:12" ht="14.45">
      <c r="B330" s="18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2:12" ht="14.45">
      <c r="B331" s="18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2:12" ht="14.45">
      <c r="B332" s="18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2:12" ht="14.45">
      <c r="D333" s="18"/>
      <c r="E333" s="18"/>
      <c r="F333" s="18"/>
      <c r="G333" s="19"/>
      <c r="H333" s="18"/>
      <c r="I333" s="18"/>
      <c r="J333" s="19"/>
      <c r="K333" s="18"/>
      <c r="L333" s="18"/>
    </row>
  </sheetData>
  <autoFilter ref="B3:L3" xr:uid="{48D80AE8-42BF-4DAC-863F-113F77A3E00F}"/>
  <mergeCells count="6">
    <mergeCell ref="B262:D262"/>
    <mergeCell ref="H1:J1"/>
    <mergeCell ref="B1:D1"/>
    <mergeCell ref="E1:G1"/>
    <mergeCell ref="B2:C2"/>
    <mergeCell ref="B256:D256"/>
  </mergeCells>
  <phoneticPr fontId="41" type="noConversion"/>
  <conditionalFormatting sqref="G2 J2 G4:G91 J4:J91">
    <cfRule type="cellIs" dxfId="10" priority="11" stopIfTrue="1" operator="lessThanOrEqual">
      <formula>-0.1</formula>
    </cfRule>
    <cfRule type="expression" dxfId="9" priority="12">
      <formula>AND(ISNUMBER(G2), G2&gt;=0.1)</formula>
    </cfRule>
  </conditionalFormatting>
  <hyperlinks>
    <hyperlink ref="L6" r:id="rId1" display="https://us3.assetplanner.com/service_request?ID=099548" xr:uid="{B2282D3E-80B4-4023-823F-9DB5E14B1EF8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333"/>
  <sheetViews>
    <sheetView zoomScale="80" zoomScaleNormal="80" workbookViewId="0">
      <pane xSplit="2" ySplit="3" topLeftCell="J4" activePane="bottomRight" state="frozen"/>
      <selection pane="bottomRight" activeCell="J26" sqref="J26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3" customWidth="1"/>
    <col min="11" max="11" width="20.5703125" style="63" bestFit="1" customWidth="1"/>
    <col min="12" max="15" width="8.85546875" style="63"/>
  </cols>
  <sheetData>
    <row r="1" spans="1:11" ht="19.5" customHeight="1">
      <c r="A1" s="254" t="str" cm="1">
        <f t="array" ref="A1">portfolio</f>
        <v>Wells Fargo</v>
      </c>
      <c r="B1" s="254"/>
      <c r="C1" s="254"/>
      <c r="D1" s="255" t="s">
        <v>311</v>
      </c>
      <c r="E1" s="255"/>
      <c r="F1" s="255"/>
      <c r="G1" s="253" t="s">
        <v>312</v>
      </c>
      <c r="H1" s="253"/>
      <c r="I1" s="253"/>
      <c r="J1" s="207"/>
      <c r="K1" s="207"/>
    </row>
    <row r="2" spans="1:11" ht="19.5" customHeight="1">
      <c r="A2" s="264" t="s">
        <v>2</v>
      </c>
      <c r="B2" s="264"/>
      <c r="C2" s="4">
        <f>SUM(C4:C91)</f>
        <v>1889037.807</v>
      </c>
      <c r="D2" s="4">
        <f>SUM(D4:D91)</f>
        <v>1889128</v>
      </c>
      <c r="E2" s="4">
        <f>C2-D2</f>
        <v>-90.192999999970198</v>
      </c>
      <c r="F2" s="5">
        <f>IFERROR(E2/D2, 0)</f>
        <v>-4.7743191567734E-5</v>
      </c>
      <c r="G2" s="4">
        <f>SUM(G4:G91)</f>
        <v>2034397.4380000001</v>
      </c>
      <c r="H2" s="6">
        <f>C2-G2</f>
        <v>-145359.63100000005</v>
      </c>
      <c r="I2" s="5">
        <f>IFERROR(H2/G2, 0)</f>
        <v>-7.1450950677023048E-2</v>
      </c>
      <c r="J2" s="20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207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09" t="s">
        <v>48</v>
      </c>
      <c r="K3" s="209" t="s">
        <v>49</v>
      </c>
    </row>
    <row r="4" spans="1:11" ht="28.9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939.89999999999804</v>
      </c>
      <c r="D4" s="11" t="s">
        <v>202</v>
      </c>
      <c r="E4" s="11" t="str">
        <f>IF(AND(ISNUMBER(C4),ISNUMBER(D4)), C4-D4, "")</f>
        <v/>
      </c>
      <c r="F4" s="12" t="str">
        <f>IFERROR(E4/D4, "")</f>
        <v/>
      </c>
      <c r="G4" s="13">
        <v>1067</v>
      </c>
      <c r="H4" s="13">
        <f>IF(AND(ISNUMBER(C4),ISNUMBER(G4)), C4-G4, "")</f>
        <v>-127.10000000000196</v>
      </c>
      <c r="I4" s="14">
        <f>IFERROR(H4/G4, "")</f>
        <v>-0.11911902530459414</v>
      </c>
      <c r="J4" s="60" t="s">
        <v>100</v>
      </c>
      <c r="K4" s="60"/>
    </row>
    <row r="5" spans="1:11" ht="15.6">
      <c r="A5" s="27" t="str">
        <v>Otay Mesa</v>
      </c>
      <c r="B5" s="28" t="str">
        <v>CA</v>
      </c>
      <c r="C5" s="10">
        <v>37.906999999999996</v>
      </c>
      <c r="D5" s="15" t="s">
        <v>202</v>
      </c>
      <c r="E5" s="15" t="str">
        <f t="shared" ref="E5:E70" si="0">IF(AND(ISNUMBER(C5),ISNUMBER(D5)), C5-D5, "")</f>
        <v/>
      </c>
      <c r="F5" s="16" t="str">
        <f>IFERROR(E5/D5, "")</f>
        <v/>
      </c>
      <c r="G5" s="206" t="s">
        <v>202</v>
      </c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49" t="s">
        <v>51</v>
      </c>
      <c r="K5" s="49"/>
    </row>
    <row r="6" spans="1:11" ht="15.6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71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203</v>
      </c>
      <c r="K6" s="86" t="s">
        <v>159</v>
      </c>
    </row>
    <row r="7" spans="1:11" ht="28.9">
      <c r="A7" s="27" t="str">
        <v>Van Nuys</v>
      </c>
      <c r="B7" s="28" t="str">
        <v>CA</v>
      </c>
      <c r="C7" s="10">
        <v>1504</v>
      </c>
      <c r="D7" s="15" t="s">
        <v>202</v>
      </c>
      <c r="E7" s="15" t="str">
        <f t="shared" si="0"/>
        <v/>
      </c>
      <c r="F7" s="16" t="str">
        <f t="shared" si="3"/>
        <v/>
      </c>
      <c r="G7" s="17">
        <v>2136.4380000000001</v>
      </c>
      <c r="H7" s="17">
        <f t="shared" si="1"/>
        <v>-632.4380000000001</v>
      </c>
      <c r="I7" s="16">
        <f t="shared" si="2"/>
        <v>-0.29602450433852989</v>
      </c>
      <c r="J7" s="49" t="s">
        <v>100</v>
      </c>
      <c r="K7" s="55"/>
    </row>
    <row r="8" spans="1:11" ht="15.6">
      <c r="A8" s="25" t="str">
        <v>Lodi - Lodi Vineyard</v>
      </c>
      <c r="B8" s="26" t="str">
        <v>CA</v>
      </c>
      <c r="C8" s="21">
        <v>31166</v>
      </c>
      <c r="D8" s="11">
        <v>38966</v>
      </c>
      <c r="E8" s="11">
        <f t="shared" si="0"/>
        <v>-7800</v>
      </c>
      <c r="F8" s="12">
        <f t="shared" si="3"/>
        <v>-0.20017451111225171</v>
      </c>
      <c r="G8" s="13">
        <v>36116</v>
      </c>
      <c r="H8" s="13">
        <f t="shared" si="1"/>
        <v>-4950</v>
      </c>
      <c r="I8" s="14">
        <f t="shared" si="2"/>
        <v>-0.1370583674825562</v>
      </c>
      <c r="J8" s="60" t="s">
        <v>313</v>
      </c>
      <c r="K8" s="60"/>
    </row>
    <row r="9" spans="1:11" ht="27" customHeight="1">
      <c r="A9" s="27" t="str">
        <v>Arden Fair Mall</v>
      </c>
      <c r="B9" s="28" t="str">
        <v>CA</v>
      </c>
      <c r="C9" s="10">
        <v>15989</v>
      </c>
      <c r="D9" s="15">
        <v>18017</v>
      </c>
      <c r="E9" s="15">
        <f t="shared" si="0"/>
        <v>-2028</v>
      </c>
      <c r="F9" s="16">
        <f t="shared" si="3"/>
        <v>-0.11256035966032081</v>
      </c>
      <c r="G9" s="17">
        <v>22974</v>
      </c>
      <c r="H9" s="17">
        <f t="shared" si="1"/>
        <v>-6985</v>
      </c>
      <c r="I9" s="16">
        <f t="shared" si="2"/>
        <v>-0.30403934882911116</v>
      </c>
      <c r="J9" s="49" t="s">
        <v>314</v>
      </c>
      <c r="K9" s="80"/>
    </row>
    <row r="10" spans="1:11" ht="28.9">
      <c r="A10" s="25" t="str">
        <v>Modesto - Modesto Main</v>
      </c>
      <c r="B10" s="26" t="str">
        <v>CA</v>
      </c>
      <c r="C10" s="21">
        <v>11449</v>
      </c>
      <c r="D10" s="11">
        <v>15592</v>
      </c>
      <c r="E10" s="11">
        <f t="shared" si="0"/>
        <v>-4143</v>
      </c>
      <c r="F10" s="12">
        <f t="shared" si="3"/>
        <v>-0.26571318624935863</v>
      </c>
      <c r="G10" s="13">
        <v>21109</v>
      </c>
      <c r="H10" s="13">
        <f t="shared" si="1"/>
        <v>-9660</v>
      </c>
      <c r="I10" s="14">
        <f t="shared" si="2"/>
        <v>-0.45762470983940501</v>
      </c>
      <c r="J10" s="60" t="s">
        <v>160</v>
      </c>
      <c r="K10" s="60" t="s">
        <v>161</v>
      </c>
    </row>
    <row r="11" spans="1:11" ht="72">
      <c r="A11" s="27" t="str">
        <v>Stevens Creek</v>
      </c>
      <c r="B11" s="28" t="str">
        <v>CA</v>
      </c>
      <c r="C11" s="10">
        <v>4597</v>
      </c>
      <c r="D11" s="15">
        <v>4563</v>
      </c>
      <c r="E11" s="15">
        <f t="shared" si="0"/>
        <v>34</v>
      </c>
      <c r="F11" s="16">
        <f t="shared" si="3"/>
        <v>7.4512382204689901E-3</v>
      </c>
      <c r="G11" s="17">
        <v>5507</v>
      </c>
      <c r="H11" s="17">
        <f t="shared" si="1"/>
        <v>-910</v>
      </c>
      <c r="I11" s="16">
        <f t="shared" si="2"/>
        <v>-0.16524423461049573</v>
      </c>
      <c r="J11" s="49" t="s">
        <v>315</v>
      </c>
      <c r="K11" s="55"/>
    </row>
    <row r="12" spans="1:11" ht="15.6">
      <c r="A12" s="25" t="str">
        <v>Covina Main</v>
      </c>
      <c r="B12" s="26" t="str">
        <v>CA</v>
      </c>
      <c r="C12" s="21">
        <v>3233</v>
      </c>
      <c r="D12" s="11">
        <v>3058</v>
      </c>
      <c r="E12" s="11">
        <f t="shared" si="0"/>
        <v>175</v>
      </c>
      <c r="F12" s="12">
        <f t="shared" si="3"/>
        <v>5.7226945716154352E-2</v>
      </c>
      <c r="G12" s="13">
        <v>3348</v>
      </c>
      <c r="H12" s="13">
        <f t="shared" si="1"/>
        <v>-115</v>
      </c>
      <c r="I12" s="14">
        <f t="shared" si="2"/>
        <v>-3.4348864994026285E-2</v>
      </c>
      <c r="J12" s="60"/>
      <c r="K12" s="60"/>
    </row>
    <row r="13" spans="1:11" ht="72">
      <c r="A13" s="27" t="str">
        <v>Old Ranch Town Center</v>
      </c>
      <c r="B13" s="28" t="str">
        <v>CA</v>
      </c>
      <c r="C13" s="10">
        <v>1228</v>
      </c>
      <c r="D13" s="15" t="s">
        <v>202</v>
      </c>
      <c r="E13" s="15" t="str">
        <f t="shared" si="0"/>
        <v/>
      </c>
      <c r="F13" s="16" t="str">
        <f t="shared" si="3"/>
        <v/>
      </c>
      <c r="G13" s="17">
        <v>1389</v>
      </c>
      <c r="H13" s="17">
        <f t="shared" si="1"/>
        <v>-161</v>
      </c>
      <c r="I13" s="16">
        <f t="shared" si="2"/>
        <v>-0.11591072714182865</v>
      </c>
      <c r="J13" s="49" t="s">
        <v>316</v>
      </c>
      <c r="K13" s="80"/>
    </row>
    <row r="14" spans="1:11" ht="72">
      <c r="A14" s="25" t="str">
        <v>Mountain Gate Plaza</v>
      </c>
      <c r="B14" s="26" t="str">
        <v>CA</v>
      </c>
      <c r="C14" s="21">
        <v>7460</v>
      </c>
      <c r="D14" s="11" t="s">
        <v>202</v>
      </c>
      <c r="E14" s="11" t="str">
        <f t="shared" si="0"/>
        <v/>
      </c>
      <c r="F14" s="12" t="str">
        <f t="shared" si="3"/>
        <v/>
      </c>
      <c r="G14" s="13">
        <v>9596</v>
      </c>
      <c r="H14" s="13">
        <f t="shared" si="1"/>
        <v>-2136</v>
      </c>
      <c r="I14" s="14">
        <f t="shared" si="2"/>
        <v>-0.22259274697790746</v>
      </c>
      <c r="J14" s="60" t="s">
        <v>315</v>
      </c>
      <c r="K14" s="86"/>
    </row>
    <row r="15" spans="1:11" ht="72">
      <c r="A15" s="27" t="str">
        <v>Arcadia Main</v>
      </c>
      <c r="B15" s="28" t="str">
        <v>CA</v>
      </c>
      <c r="C15" s="10">
        <v>3412</v>
      </c>
      <c r="D15" s="15" t="s">
        <v>202</v>
      </c>
      <c r="E15" s="15" t="str">
        <f t="shared" si="0"/>
        <v/>
      </c>
      <c r="F15" s="16" t="str">
        <f t="shared" si="3"/>
        <v/>
      </c>
      <c r="G15" s="17">
        <v>5139</v>
      </c>
      <c r="H15" s="17">
        <f t="shared" si="1"/>
        <v>-1727</v>
      </c>
      <c r="I15" s="16">
        <f t="shared" si="2"/>
        <v>-0.33605759875462154</v>
      </c>
      <c r="J15" s="49" t="s">
        <v>315</v>
      </c>
      <c r="K15" s="55"/>
    </row>
    <row r="16" spans="1:11" ht="72">
      <c r="A16" s="25" t="str">
        <v>Fairfield</v>
      </c>
      <c r="B16" s="26" t="str">
        <v>CA</v>
      </c>
      <c r="C16" s="21">
        <v>3281</v>
      </c>
      <c r="D16" s="11">
        <v>3374</v>
      </c>
      <c r="E16" s="11">
        <f t="shared" si="0"/>
        <v>-93</v>
      </c>
      <c r="F16" s="12">
        <f t="shared" si="3"/>
        <v>-2.7563722584469472E-2</v>
      </c>
      <c r="G16" s="13">
        <v>4277</v>
      </c>
      <c r="H16" s="13">
        <f t="shared" si="1"/>
        <v>-996</v>
      </c>
      <c r="I16" s="14">
        <f t="shared" si="2"/>
        <v>-0.23287350946925414</v>
      </c>
      <c r="J16" s="60" t="s">
        <v>315</v>
      </c>
      <c r="K16" s="60"/>
    </row>
    <row r="17" spans="1:12" ht="15.6">
      <c r="A17" s="27" t="str">
        <v>Los Gatos</v>
      </c>
      <c r="B17" s="28" t="str">
        <v>CA</v>
      </c>
      <c r="C17" s="10">
        <v>1769</v>
      </c>
      <c r="D17" s="15">
        <v>1843</v>
      </c>
      <c r="E17" s="15">
        <f t="shared" si="0"/>
        <v>-74</v>
      </c>
      <c r="F17" s="16">
        <f t="shared" si="3"/>
        <v>-4.0151926207270754E-2</v>
      </c>
      <c r="G17" s="17">
        <v>0</v>
      </c>
      <c r="H17" s="17">
        <f t="shared" si="1"/>
        <v>1769</v>
      </c>
      <c r="I17" s="16" t="str">
        <f t="shared" si="2"/>
        <v/>
      </c>
      <c r="J17" s="185"/>
      <c r="K17" s="55"/>
    </row>
    <row r="18" spans="1:12" ht="27.75" customHeight="1">
      <c r="A18" s="25" t="str">
        <v>San Marino</v>
      </c>
      <c r="B18" s="26" t="str">
        <v>CA</v>
      </c>
      <c r="C18" s="21">
        <v>3093</v>
      </c>
      <c r="D18" s="11">
        <v>3886</v>
      </c>
      <c r="E18" s="11">
        <f t="shared" si="0"/>
        <v>-793</v>
      </c>
      <c r="F18" s="12">
        <f t="shared" si="3"/>
        <v>-0.2040658775090067</v>
      </c>
      <c r="G18" s="13">
        <v>5185</v>
      </c>
      <c r="H18" s="13">
        <f t="shared" si="1"/>
        <v>-2092</v>
      </c>
      <c r="I18" s="14">
        <f t="shared" si="2"/>
        <v>-0.40347155255544842</v>
      </c>
      <c r="J18" s="60" t="s">
        <v>207</v>
      </c>
      <c r="K18" s="60" t="s">
        <v>239</v>
      </c>
    </row>
    <row r="19" spans="1:12" ht="72">
      <c r="A19" s="27" t="str">
        <v>Buenaventura</v>
      </c>
      <c r="B19" s="28" t="str">
        <v>CA</v>
      </c>
      <c r="C19" s="10">
        <v>4318</v>
      </c>
      <c r="D19" s="15">
        <v>3135</v>
      </c>
      <c r="E19" s="15">
        <f t="shared" si="0"/>
        <v>1183</v>
      </c>
      <c r="F19" s="16">
        <f t="shared" si="3"/>
        <v>0.37735247208931422</v>
      </c>
      <c r="G19" s="17">
        <v>5391</v>
      </c>
      <c r="H19" s="17">
        <f t="shared" si="1"/>
        <v>-1073</v>
      </c>
      <c r="I19" s="16">
        <f t="shared" si="2"/>
        <v>-0.19903542941940272</v>
      </c>
      <c r="J19" s="138" t="s">
        <v>315</v>
      </c>
      <c r="K19" s="80"/>
      <c r="L19" s="85"/>
    </row>
    <row r="20" spans="1:12" ht="72">
      <c r="A20" s="25" t="str">
        <v>BE 199502 - Westgate</v>
      </c>
      <c r="B20" s="26" t="str">
        <v>CA</v>
      </c>
      <c r="C20" s="21">
        <v>1697</v>
      </c>
      <c r="D20" s="11">
        <v>0</v>
      </c>
      <c r="E20" s="11">
        <f t="shared" si="0"/>
        <v>1697</v>
      </c>
      <c r="F20" s="12" t="str">
        <f t="shared" si="3"/>
        <v/>
      </c>
      <c r="G20" s="13">
        <v>2114</v>
      </c>
      <c r="H20" s="13">
        <f t="shared" si="1"/>
        <v>-417</v>
      </c>
      <c r="I20" s="14">
        <f t="shared" si="2"/>
        <v>-0.19725638599810785</v>
      </c>
      <c r="J20" s="60" t="s">
        <v>316</v>
      </c>
      <c r="K20" s="86"/>
    </row>
    <row r="21" spans="1:12" ht="15.6">
      <c r="A21" s="27" t="str">
        <v>98th &amp; Grant</v>
      </c>
      <c r="B21" s="28" t="str">
        <v>CO</v>
      </c>
      <c r="C21" s="10">
        <v>1974</v>
      </c>
      <c r="D21" s="15" t="s">
        <v>202</v>
      </c>
      <c r="E21" s="15" t="str">
        <f t="shared" si="0"/>
        <v/>
      </c>
      <c r="F21" s="16" t="str">
        <f t="shared" si="3"/>
        <v/>
      </c>
      <c r="G21" s="17">
        <v>1914</v>
      </c>
      <c r="H21" s="17">
        <f t="shared" si="1"/>
        <v>60</v>
      </c>
      <c r="I21" s="16">
        <f t="shared" si="2"/>
        <v>3.1347962382445138E-2</v>
      </c>
      <c r="J21" s="49"/>
      <c r="K21" s="55"/>
    </row>
    <row r="22" spans="1:12" ht="28.9">
      <c r="A22" s="25" t="str">
        <v>Arapahoe Crossings</v>
      </c>
      <c r="B22" s="26" t="str">
        <v>CO</v>
      </c>
      <c r="C22" s="21">
        <v>2475</v>
      </c>
      <c r="D22" s="11" t="s">
        <v>202</v>
      </c>
      <c r="E22" s="11" t="str">
        <f t="shared" si="0"/>
        <v/>
      </c>
      <c r="F22" s="12" t="str">
        <f t="shared" si="3"/>
        <v/>
      </c>
      <c r="G22" s="13">
        <v>3508</v>
      </c>
      <c r="H22" s="13">
        <f t="shared" si="1"/>
        <v>-1033</v>
      </c>
      <c r="I22" s="14">
        <f t="shared" si="2"/>
        <v>-0.29446978335233753</v>
      </c>
      <c r="J22" s="60" t="s">
        <v>317</v>
      </c>
      <c r="K22" s="86" t="s">
        <v>243</v>
      </c>
      <c r="L22" s="85"/>
    </row>
    <row r="23" spans="1:12" ht="15.6">
      <c r="A23" s="27" t="str">
        <v>Aurora City Center</v>
      </c>
      <c r="B23" s="28" t="str">
        <v>CO</v>
      </c>
      <c r="C23" s="10">
        <v>1662</v>
      </c>
      <c r="D23" s="15" t="s">
        <v>202</v>
      </c>
      <c r="E23" s="15" t="str">
        <f t="shared" si="0"/>
        <v/>
      </c>
      <c r="F23" s="16" t="str">
        <f t="shared" si="3"/>
        <v/>
      </c>
      <c r="G23" s="17">
        <v>1642</v>
      </c>
      <c r="H23" s="17">
        <f t="shared" si="1"/>
        <v>20</v>
      </c>
      <c r="I23" s="16">
        <f t="shared" si="2"/>
        <v>1.2180267965895249E-2</v>
      </c>
      <c r="J23" s="49"/>
      <c r="K23" s="55"/>
    </row>
    <row r="24" spans="1:12" ht="15.6">
      <c r="A24" s="25" t="str">
        <v>Dry Creek</v>
      </c>
      <c r="B24" s="26" t="str">
        <v>CO</v>
      </c>
      <c r="C24" s="21">
        <v>2167</v>
      </c>
      <c r="D24" s="11">
        <v>0</v>
      </c>
      <c r="E24" s="11">
        <f t="shared" si="0"/>
        <v>2167</v>
      </c>
      <c r="F24" s="12" t="str">
        <f t="shared" si="3"/>
        <v/>
      </c>
      <c r="G24" s="13">
        <v>2079</v>
      </c>
      <c r="H24" s="13">
        <f t="shared" si="1"/>
        <v>88</v>
      </c>
      <c r="I24" s="14">
        <f t="shared" si="2"/>
        <v>4.2328042328042326E-2</v>
      </c>
      <c r="J24" s="60"/>
      <c r="K24" s="60"/>
    </row>
    <row r="25" spans="1:12" ht="15.6">
      <c r="A25" s="27" t="str">
        <v>Highlands Ranch S.</v>
      </c>
      <c r="B25" s="28" t="str">
        <v>CO</v>
      </c>
      <c r="C25" s="10">
        <v>1814</v>
      </c>
      <c r="D25" s="15" t="s">
        <v>202</v>
      </c>
      <c r="E25" s="15" t="str">
        <f t="shared" si="0"/>
        <v/>
      </c>
      <c r="F25" s="16" t="str">
        <f t="shared" si="3"/>
        <v/>
      </c>
      <c r="G25" s="17">
        <v>1934</v>
      </c>
      <c r="H25" s="17">
        <f t="shared" si="1"/>
        <v>-120</v>
      </c>
      <c r="I25" s="16">
        <f t="shared" si="2"/>
        <v>-6.2047569803516028E-2</v>
      </c>
      <c r="J25" s="49"/>
      <c r="K25" s="55"/>
    </row>
    <row r="26" spans="1:12" ht="15.6">
      <c r="A26" s="25" t="str">
        <v>Lone Tree</v>
      </c>
      <c r="B26" s="26" t="str">
        <v>CO</v>
      </c>
      <c r="C26" s="21">
        <v>5748</v>
      </c>
      <c r="D26" s="11" t="s">
        <v>202</v>
      </c>
      <c r="E26" s="11" t="str">
        <f t="shared" si="0"/>
        <v/>
      </c>
      <c r="F26" s="12" t="str">
        <f t="shared" si="3"/>
        <v/>
      </c>
      <c r="G26" s="13">
        <v>4395</v>
      </c>
      <c r="H26" s="13">
        <f t="shared" si="1"/>
        <v>1353</v>
      </c>
      <c r="I26" s="14">
        <f t="shared" si="2"/>
        <v>0.30784982935153582</v>
      </c>
      <c r="J26" s="60" t="s">
        <v>318</v>
      </c>
      <c r="K26" s="60" t="s">
        <v>292</v>
      </c>
    </row>
    <row r="27" spans="1:12" ht="15.6">
      <c r="A27" s="27" t="str">
        <v>Meridian</v>
      </c>
      <c r="B27" s="28" t="str">
        <v>CO</v>
      </c>
      <c r="C27" s="10">
        <v>6254</v>
      </c>
      <c r="D27" s="15" t="s">
        <v>202</v>
      </c>
      <c r="E27" s="15" t="str">
        <f t="shared" si="0"/>
        <v/>
      </c>
      <c r="F27" s="16" t="str">
        <f t="shared" si="3"/>
        <v/>
      </c>
      <c r="G27" s="17">
        <v>2534</v>
      </c>
      <c r="H27" s="17">
        <f t="shared" si="1"/>
        <v>3720</v>
      </c>
      <c r="I27" s="16">
        <f t="shared" si="2"/>
        <v>1.468034727703236</v>
      </c>
      <c r="J27" s="49" t="s">
        <v>319</v>
      </c>
      <c r="K27" s="55" t="s">
        <v>320</v>
      </c>
    </row>
    <row r="28" spans="1:12" ht="15.6">
      <c r="A28" s="25" t="str">
        <v>Southglenn</v>
      </c>
      <c r="B28" s="26" t="str">
        <v>CO</v>
      </c>
      <c r="C28" s="21">
        <v>2921</v>
      </c>
      <c r="D28" s="11" t="s">
        <v>202</v>
      </c>
      <c r="E28" s="11" t="str">
        <f t="shared" si="0"/>
        <v/>
      </c>
      <c r="F28" s="12" t="str">
        <f t="shared" si="3"/>
        <v/>
      </c>
      <c r="G28" s="13">
        <v>2652</v>
      </c>
      <c r="H28" s="13">
        <f t="shared" si="1"/>
        <v>269</v>
      </c>
      <c r="I28" s="14">
        <f t="shared" si="2"/>
        <v>0.10143288084464555</v>
      </c>
      <c r="J28" s="60"/>
      <c r="K28" s="60"/>
    </row>
    <row r="29" spans="1:12" ht="15.6">
      <c r="A29" s="27" t="str">
        <v>Standley Lake</v>
      </c>
      <c r="B29" s="28" t="str">
        <v>CO</v>
      </c>
      <c r="C29" s="10">
        <v>3822</v>
      </c>
      <c r="D29" s="15" t="s">
        <v>202</v>
      </c>
      <c r="E29" s="15" t="str">
        <f t="shared" si="0"/>
        <v/>
      </c>
      <c r="F29" s="16" t="str">
        <f t="shared" si="3"/>
        <v/>
      </c>
      <c r="G29" s="17">
        <v>3536</v>
      </c>
      <c r="H29" s="17">
        <f t="shared" si="1"/>
        <v>286</v>
      </c>
      <c r="I29" s="16">
        <f t="shared" si="2"/>
        <v>8.0882352941176475E-2</v>
      </c>
      <c r="J29" s="49"/>
      <c r="K29" s="55"/>
    </row>
    <row r="30" spans="1:12" ht="72">
      <c r="A30" s="25" t="str">
        <v>Havana Gardens</v>
      </c>
      <c r="B30" s="26" t="str">
        <v>CO</v>
      </c>
      <c r="C30" s="21">
        <v>3218</v>
      </c>
      <c r="D30" s="11" t="s">
        <v>202</v>
      </c>
      <c r="E30" s="11" t="str">
        <f t="shared" si="0"/>
        <v/>
      </c>
      <c r="F30" s="12" t="str">
        <f t="shared" si="3"/>
        <v/>
      </c>
      <c r="G30" s="13">
        <v>1378</v>
      </c>
      <c r="H30" s="13">
        <f t="shared" si="1"/>
        <v>1840</v>
      </c>
      <c r="I30" s="14">
        <f t="shared" si="2"/>
        <v>1.3352685050798259</v>
      </c>
      <c r="J30" s="60" t="s">
        <v>321</v>
      </c>
      <c r="K30" s="60"/>
    </row>
    <row r="31" spans="1:12" ht="28.9">
      <c r="A31" s="27" t="str">
        <v>East Hartford</v>
      </c>
      <c r="B31" s="28" t="str">
        <v>CT</v>
      </c>
      <c r="C31" s="10">
        <v>697</v>
      </c>
      <c r="D31" s="15">
        <v>772</v>
      </c>
      <c r="E31" s="15">
        <f t="shared" si="0"/>
        <v>-75</v>
      </c>
      <c r="F31" s="16">
        <f t="shared" si="3"/>
        <v>-9.7150259067357511E-2</v>
      </c>
      <c r="G31" s="17">
        <v>782</v>
      </c>
      <c r="H31" s="17">
        <f t="shared" si="1"/>
        <v>-85</v>
      </c>
      <c r="I31" s="16">
        <f t="shared" si="2"/>
        <v>-0.10869565217391304</v>
      </c>
      <c r="J31" s="49" t="s">
        <v>100</v>
      </c>
      <c r="K31" s="55"/>
    </row>
    <row r="32" spans="1:12" ht="72">
      <c r="A32" s="25" t="str">
        <v>Norwalk</v>
      </c>
      <c r="B32" s="26" t="str">
        <v>CT</v>
      </c>
      <c r="C32" s="21">
        <v>624</v>
      </c>
      <c r="D32" s="11">
        <v>0</v>
      </c>
      <c r="E32" s="11">
        <f t="shared" si="0"/>
        <v>624</v>
      </c>
      <c r="F32" s="12" t="str">
        <f t="shared" si="3"/>
        <v/>
      </c>
      <c r="G32" s="13">
        <v>929</v>
      </c>
      <c r="H32" s="13">
        <f t="shared" si="1"/>
        <v>-305</v>
      </c>
      <c r="I32" s="14">
        <f t="shared" si="2"/>
        <v>-0.32831001076426264</v>
      </c>
      <c r="J32" s="60" t="s">
        <v>256</v>
      </c>
      <c r="K32" s="60" t="s">
        <v>322</v>
      </c>
    </row>
    <row r="33" spans="1:11" ht="28.9">
      <c r="A33" s="27" t="str">
        <v>Hialeah Gardens</v>
      </c>
      <c r="B33" s="28" t="str">
        <v>FL</v>
      </c>
      <c r="C33" s="10">
        <v>623</v>
      </c>
      <c r="D33" s="15">
        <v>3889</v>
      </c>
      <c r="E33" s="15">
        <f t="shared" si="0"/>
        <v>-3266</v>
      </c>
      <c r="F33" s="16">
        <f t="shared" si="3"/>
        <v>-0.83980457701208533</v>
      </c>
      <c r="G33" s="17">
        <v>4497</v>
      </c>
      <c r="H33" s="17">
        <f t="shared" si="1"/>
        <v>-3874</v>
      </c>
      <c r="I33" s="16">
        <f t="shared" si="2"/>
        <v>-0.86146319768734714</v>
      </c>
      <c r="J33" s="49" t="s">
        <v>172</v>
      </c>
      <c r="K33" s="55" t="s">
        <v>109</v>
      </c>
    </row>
    <row r="34" spans="1:11" ht="15.6">
      <c r="A34" s="25" t="str">
        <v>W. Des Moines Campus EAST</v>
      </c>
      <c r="B34" s="26" t="str">
        <v>IA</v>
      </c>
      <c r="C34" s="21">
        <v>170618</v>
      </c>
      <c r="D34" s="11">
        <v>169170</v>
      </c>
      <c r="E34" s="11">
        <f t="shared" si="0"/>
        <v>1448</v>
      </c>
      <c r="F34" s="12">
        <f t="shared" si="3"/>
        <v>8.5594372524679316E-3</v>
      </c>
      <c r="G34" s="13">
        <v>182300</v>
      </c>
      <c r="H34" s="13">
        <f t="shared" si="1"/>
        <v>-11682</v>
      </c>
      <c r="I34" s="14">
        <f t="shared" si="2"/>
        <v>-6.4081184860120682E-2</v>
      </c>
      <c r="J34" s="60"/>
      <c r="K34" s="86"/>
    </row>
    <row r="35" spans="1:11" ht="57.6">
      <c r="A35" s="27" t="str">
        <v>W. Des Moines Campus SW</v>
      </c>
      <c r="B35" s="28" t="str">
        <v>IA</v>
      </c>
      <c r="C35" s="10">
        <v>60855</v>
      </c>
      <c r="D35" s="15">
        <v>87807</v>
      </c>
      <c r="E35" s="15">
        <f t="shared" si="0"/>
        <v>-26952</v>
      </c>
      <c r="F35" s="16">
        <f t="shared" si="3"/>
        <v>-0.30694591547370936</v>
      </c>
      <c r="G35" s="17">
        <v>89547</v>
      </c>
      <c r="H35" s="17">
        <f t="shared" si="1"/>
        <v>-28692</v>
      </c>
      <c r="I35" s="16">
        <f t="shared" si="2"/>
        <v>-0.3204127441455325</v>
      </c>
      <c r="J35" s="49" t="s">
        <v>323</v>
      </c>
      <c r="K35" s="55" t="s">
        <v>260</v>
      </c>
    </row>
    <row r="36" spans="1:11" ht="15.6">
      <c r="A36" s="25" t="str">
        <v>WF - CIC</v>
      </c>
      <c r="B36" s="26" t="str">
        <v>NC</v>
      </c>
      <c r="C36" s="21">
        <v>156184</v>
      </c>
      <c r="D36" s="11">
        <v>165962</v>
      </c>
      <c r="E36" s="11">
        <f t="shared" si="0"/>
        <v>-9778</v>
      </c>
      <c r="F36" s="12">
        <f t="shared" si="3"/>
        <v>-5.8917101505163834E-2</v>
      </c>
      <c r="G36" s="13">
        <v>165450</v>
      </c>
      <c r="H36" s="13">
        <f t="shared" si="1"/>
        <v>-9266</v>
      </c>
      <c r="I36" s="14">
        <f t="shared" si="2"/>
        <v>-5.6004835297673014E-2</v>
      </c>
      <c r="J36" s="60"/>
      <c r="K36" s="60"/>
    </row>
    <row r="37" spans="1:11" ht="15.6">
      <c r="A37" s="27" t="str">
        <v>Charlotte - Wells Fargo - DUC</v>
      </c>
      <c r="B37" s="28" t="str">
        <v>NC</v>
      </c>
      <c r="C37" s="10">
        <v>167619</v>
      </c>
      <c r="D37" s="15">
        <v>186923</v>
      </c>
      <c r="E37" s="15">
        <f t="shared" si="0"/>
        <v>-19304</v>
      </c>
      <c r="F37" s="16">
        <f t="shared" si="3"/>
        <v>-0.10327247048249814</v>
      </c>
      <c r="G37" s="17">
        <v>156833</v>
      </c>
      <c r="H37" s="17">
        <f t="shared" si="1"/>
        <v>10786</v>
      </c>
      <c r="I37" s="16">
        <f t="shared" si="2"/>
        <v>6.8773791230162015E-2</v>
      </c>
      <c r="J37" s="49" t="s">
        <v>324</v>
      </c>
      <c r="K37" s="55"/>
    </row>
    <row r="38" spans="1:11" ht="15.6">
      <c r="A38" s="25" t="str">
        <v>East Windsor</v>
      </c>
      <c r="B38" s="26" t="str">
        <v>NJ</v>
      </c>
      <c r="C38" s="21">
        <v>928</v>
      </c>
      <c r="D38" s="11">
        <v>876</v>
      </c>
      <c r="E38" s="11">
        <f t="shared" si="0"/>
        <v>52</v>
      </c>
      <c r="F38" s="12">
        <f t="shared" si="3"/>
        <v>5.9360730593607303E-2</v>
      </c>
      <c r="G38" s="13">
        <v>920</v>
      </c>
      <c r="H38" s="13">
        <f t="shared" si="1"/>
        <v>8</v>
      </c>
      <c r="I38" s="14">
        <f t="shared" si="2"/>
        <v>8.6956521739130436E-3</v>
      </c>
      <c r="J38" s="60"/>
      <c r="K38" s="86"/>
    </row>
    <row r="39" spans="1:11" ht="72">
      <c r="A39" s="27" t="str">
        <v>Burlington</v>
      </c>
      <c r="B39" s="28" t="str">
        <v>NJ</v>
      </c>
      <c r="C39" s="10">
        <v>2311</v>
      </c>
      <c r="D39" s="15">
        <v>2104</v>
      </c>
      <c r="E39" s="15">
        <f t="shared" si="0"/>
        <v>207</v>
      </c>
      <c r="F39" s="16">
        <f t="shared" si="3"/>
        <v>9.8384030418250945E-2</v>
      </c>
      <c r="G39" s="17">
        <v>2390</v>
      </c>
      <c r="H39" s="17">
        <f t="shared" si="1"/>
        <v>-79</v>
      </c>
      <c r="I39" s="16">
        <f t="shared" si="2"/>
        <v>-3.3054393305439328E-2</v>
      </c>
      <c r="J39" s="49" t="s">
        <v>315</v>
      </c>
      <c r="K39" s="55"/>
    </row>
    <row r="40" spans="1:11" ht="15.6">
      <c r="A40" s="25" t="str">
        <v>Bayonne</v>
      </c>
      <c r="B40" s="26" t="str">
        <v>NJ</v>
      </c>
      <c r="C40" s="21">
        <v>3131</v>
      </c>
      <c r="D40" s="11">
        <v>2949</v>
      </c>
      <c r="E40" s="11">
        <f t="shared" si="0"/>
        <v>182</v>
      </c>
      <c r="F40" s="12">
        <f t="shared" si="3"/>
        <v>6.1715835876568328E-2</v>
      </c>
      <c r="G40" s="13">
        <v>3027</v>
      </c>
      <c r="H40" s="13">
        <f t="shared" si="1"/>
        <v>104</v>
      </c>
      <c r="I40" s="14">
        <f t="shared" si="2"/>
        <v>3.4357449620085891E-2</v>
      </c>
      <c r="J40" s="60"/>
      <c r="K40" s="60"/>
    </row>
    <row r="41" spans="1:11" ht="15.6">
      <c r="A41" s="27" t="str">
        <v>Clifton</v>
      </c>
      <c r="B41" s="28" t="str">
        <v>NJ</v>
      </c>
      <c r="C41" s="10">
        <v>3730</v>
      </c>
      <c r="D41" s="15">
        <v>3756</v>
      </c>
      <c r="E41" s="15">
        <f t="shared" si="0"/>
        <v>-26</v>
      </c>
      <c r="F41" s="16">
        <f t="shared" si="3"/>
        <v>-6.9222577209797657E-3</v>
      </c>
      <c r="G41" s="17">
        <v>3932</v>
      </c>
      <c r="H41" s="17">
        <f t="shared" si="1"/>
        <v>-202</v>
      </c>
      <c r="I41" s="16">
        <f t="shared" si="2"/>
        <v>-5.1373346897253307E-2</v>
      </c>
      <c r="J41" s="49"/>
      <c r="K41" s="55"/>
    </row>
    <row r="42" spans="1:11" ht="28.9">
      <c r="A42" s="25" t="str">
        <v>North Elizabeth</v>
      </c>
      <c r="B42" s="26" t="str">
        <v>NJ</v>
      </c>
      <c r="C42" s="21">
        <v>3193</v>
      </c>
      <c r="D42" s="11">
        <v>2532</v>
      </c>
      <c r="E42" s="11">
        <f t="shared" si="0"/>
        <v>661</v>
      </c>
      <c r="F42" s="12">
        <f t="shared" si="3"/>
        <v>0.26105845181674564</v>
      </c>
      <c r="G42" s="13">
        <v>3185</v>
      </c>
      <c r="H42" s="13">
        <f t="shared" si="1"/>
        <v>8</v>
      </c>
      <c r="I42" s="14">
        <f t="shared" si="2"/>
        <v>2.511773940345369E-3</v>
      </c>
      <c r="J42" s="60" t="s">
        <v>325</v>
      </c>
      <c r="K42" s="60"/>
    </row>
    <row r="43" spans="1:11" ht="15.6">
      <c r="A43" s="27" t="str">
        <v>Haddon Westmont Plaza</v>
      </c>
      <c r="B43" s="28" t="str">
        <v>NJ</v>
      </c>
      <c r="C43" s="10">
        <v>2165</v>
      </c>
      <c r="D43" s="15">
        <v>2029</v>
      </c>
      <c r="E43" s="15">
        <f t="shared" si="0"/>
        <v>136</v>
      </c>
      <c r="F43" s="16">
        <f t="shared" si="3"/>
        <v>6.702809265648102E-2</v>
      </c>
      <c r="G43" s="17">
        <v>2253</v>
      </c>
      <c r="H43" s="17">
        <f t="shared" si="1"/>
        <v>-88</v>
      </c>
      <c r="I43" s="16">
        <f t="shared" si="2"/>
        <v>-3.9059032401242789E-2</v>
      </c>
      <c r="J43" s="49"/>
      <c r="K43" s="55"/>
    </row>
    <row r="44" spans="1:11" ht="15.6">
      <c r="A44" s="25" t="str">
        <v>Parsippany</v>
      </c>
      <c r="B44" s="26" t="str">
        <v>NJ</v>
      </c>
      <c r="C44" s="21">
        <v>2752</v>
      </c>
      <c r="D44" s="11">
        <v>2581</v>
      </c>
      <c r="E44" s="11">
        <f t="shared" si="0"/>
        <v>171</v>
      </c>
      <c r="F44" s="12">
        <f t="shared" si="3"/>
        <v>6.6253390158853162E-2</v>
      </c>
      <c r="G44" s="13">
        <v>2840</v>
      </c>
      <c r="H44" s="13">
        <f t="shared" si="1"/>
        <v>-88</v>
      </c>
      <c r="I44" s="14">
        <f t="shared" si="2"/>
        <v>-3.0985915492957747E-2</v>
      </c>
      <c r="J44" s="60"/>
      <c r="K44" s="60"/>
    </row>
    <row r="45" spans="1:11" ht="15.6">
      <c r="A45" s="27" t="str">
        <v>Clark</v>
      </c>
      <c r="B45" s="28" t="str">
        <v>NJ</v>
      </c>
      <c r="C45" s="10">
        <v>2284</v>
      </c>
      <c r="D45" s="15">
        <v>2097</v>
      </c>
      <c r="E45" s="15">
        <f t="shared" si="0"/>
        <v>187</v>
      </c>
      <c r="F45" s="16">
        <f t="shared" si="3"/>
        <v>8.9175011921793043E-2</v>
      </c>
      <c r="G45" s="17">
        <v>2220</v>
      </c>
      <c r="H45" s="17">
        <f t="shared" si="1"/>
        <v>64</v>
      </c>
      <c r="I45" s="16">
        <f t="shared" si="2"/>
        <v>2.8828828828828829E-2</v>
      </c>
      <c r="J45" s="49"/>
      <c r="K45" s="55"/>
    </row>
    <row r="46" spans="1:11" ht="72">
      <c r="A46" s="25" t="str">
        <v>Closter</v>
      </c>
      <c r="B46" s="26" t="str">
        <v>NJ</v>
      </c>
      <c r="C46" s="21">
        <v>780</v>
      </c>
      <c r="D46" s="11">
        <v>844</v>
      </c>
      <c r="E46" s="11">
        <f t="shared" si="0"/>
        <v>-64</v>
      </c>
      <c r="F46" s="12">
        <f t="shared" si="3"/>
        <v>-7.582938388625593E-2</v>
      </c>
      <c r="G46" s="13">
        <v>1434</v>
      </c>
      <c r="H46" s="13">
        <f t="shared" si="1"/>
        <v>-654</v>
      </c>
      <c r="I46" s="14">
        <f t="shared" si="2"/>
        <v>-0.45606694560669458</v>
      </c>
      <c r="J46" s="60" t="s">
        <v>315</v>
      </c>
      <c r="K46" s="86"/>
    </row>
    <row r="47" spans="1:11" ht="43.15">
      <c r="A47" s="27" t="str">
        <v>Holmdel</v>
      </c>
      <c r="B47" s="28" t="str">
        <v>NJ</v>
      </c>
      <c r="C47" s="10">
        <v>1976</v>
      </c>
      <c r="D47" s="15">
        <v>2725</v>
      </c>
      <c r="E47" s="15">
        <f t="shared" si="0"/>
        <v>-749</v>
      </c>
      <c r="F47" s="16">
        <f t="shared" si="3"/>
        <v>-0.27486238532110091</v>
      </c>
      <c r="G47" s="17">
        <v>1943</v>
      </c>
      <c r="H47" s="17">
        <f t="shared" si="1"/>
        <v>33</v>
      </c>
      <c r="I47" s="16">
        <f t="shared" si="2"/>
        <v>1.6984045290787442E-2</v>
      </c>
      <c r="J47" s="49" t="s">
        <v>326</v>
      </c>
      <c r="K47" s="80" t="s">
        <v>141</v>
      </c>
    </row>
    <row r="48" spans="1:11" ht="15.6">
      <c r="A48" s="25" t="str">
        <v>Ellisburg Circle Center</v>
      </c>
      <c r="B48" s="26" t="str">
        <v>NJ</v>
      </c>
      <c r="C48" s="21">
        <v>980</v>
      </c>
      <c r="D48" s="11">
        <v>938</v>
      </c>
      <c r="E48" s="11">
        <f t="shared" si="0"/>
        <v>42</v>
      </c>
      <c r="F48" s="12">
        <f t="shared" si="3"/>
        <v>4.4776119402985072E-2</v>
      </c>
      <c r="G48" s="13">
        <v>1040</v>
      </c>
      <c r="H48" s="13">
        <f t="shared" si="1"/>
        <v>-60</v>
      </c>
      <c r="I48" s="14">
        <f t="shared" si="2"/>
        <v>-5.7692307692307696E-2</v>
      </c>
      <c r="J48" s="60"/>
      <c r="K48" s="60"/>
    </row>
    <row r="49" spans="1:12" ht="15.6">
      <c r="A49" s="27" t="str">
        <v>Nutley</v>
      </c>
      <c r="B49" s="28" t="str">
        <v>NJ</v>
      </c>
      <c r="C49" s="10">
        <v>4057</v>
      </c>
      <c r="D49" s="15">
        <v>3011</v>
      </c>
      <c r="E49" s="15">
        <f t="shared" si="0"/>
        <v>1046</v>
      </c>
      <c r="F49" s="16">
        <f t="shared" si="3"/>
        <v>0.3473928927266689</v>
      </c>
      <c r="G49" s="17">
        <v>4022</v>
      </c>
      <c r="H49" s="17">
        <f t="shared" si="1"/>
        <v>35</v>
      </c>
      <c r="I49" s="16">
        <f t="shared" si="2"/>
        <v>8.70213823968175E-3</v>
      </c>
      <c r="J49" s="49"/>
      <c r="K49" s="55"/>
    </row>
    <row r="50" spans="1:12" ht="15.6">
      <c r="A50" s="25" t="str">
        <v>Marlton</v>
      </c>
      <c r="B50" s="26" t="str">
        <v>NJ</v>
      </c>
      <c r="C50" s="21">
        <v>3552</v>
      </c>
      <c r="D50" s="11">
        <v>3014</v>
      </c>
      <c r="E50" s="11">
        <f t="shared" si="0"/>
        <v>538</v>
      </c>
      <c r="F50" s="12">
        <f t="shared" si="3"/>
        <v>0.17850033178500332</v>
      </c>
      <c r="G50" s="13">
        <v>3601</v>
      </c>
      <c r="H50" s="13">
        <f t="shared" si="1"/>
        <v>-49</v>
      </c>
      <c r="I50" s="14">
        <f t="shared" si="2"/>
        <v>-1.3607331296861983E-2</v>
      </c>
      <c r="J50" s="60"/>
      <c r="K50" s="60"/>
    </row>
    <row r="51" spans="1:12" ht="28.9">
      <c r="A51" s="27" t="str">
        <v>Middletown</v>
      </c>
      <c r="B51" s="28" t="str">
        <v>NJ</v>
      </c>
      <c r="C51" s="10">
        <v>3035</v>
      </c>
      <c r="D51" s="15">
        <v>1818</v>
      </c>
      <c r="E51" s="15">
        <f t="shared" si="0"/>
        <v>1217</v>
      </c>
      <c r="F51" s="16">
        <f t="shared" si="3"/>
        <v>0.66941694169416943</v>
      </c>
      <c r="G51" s="17">
        <v>3131</v>
      </c>
      <c r="H51" s="17">
        <f t="shared" si="1"/>
        <v>-96</v>
      </c>
      <c r="I51" s="16">
        <f t="shared" si="2"/>
        <v>-3.066113062919195E-2</v>
      </c>
      <c r="J51" s="49" t="s">
        <v>182</v>
      </c>
      <c r="K51" s="55" t="s">
        <v>143</v>
      </c>
    </row>
    <row r="52" spans="1:12" ht="28.9">
      <c r="A52" s="25" t="str">
        <v>Whiting Crestwood</v>
      </c>
      <c r="B52" s="26" t="str">
        <v>NJ</v>
      </c>
      <c r="C52" s="21">
        <v>3878</v>
      </c>
      <c r="D52" s="11">
        <v>3792</v>
      </c>
      <c r="E52" s="11">
        <f t="shared" si="0"/>
        <v>86</v>
      </c>
      <c r="F52" s="12">
        <f t="shared" si="3"/>
        <v>2.2679324894514769E-2</v>
      </c>
      <c r="G52" s="13">
        <v>4176</v>
      </c>
      <c r="H52" s="13">
        <f t="shared" si="1"/>
        <v>-298</v>
      </c>
      <c r="I52" s="14">
        <f t="shared" si="2"/>
        <v>-7.1360153256704986E-2</v>
      </c>
      <c r="J52" s="60" t="s">
        <v>100</v>
      </c>
      <c r="K52" s="60"/>
    </row>
    <row r="53" spans="1:12" ht="15.6">
      <c r="A53" s="27" t="str">
        <v>Barnegat</v>
      </c>
      <c r="B53" s="28" t="str">
        <v>NJ</v>
      </c>
      <c r="C53" s="10">
        <v>4856</v>
      </c>
      <c r="D53" s="15">
        <v>4262</v>
      </c>
      <c r="E53" s="15">
        <f t="shared" si="0"/>
        <v>594</v>
      </c>
      <c r="F53" s="16">
        <f t="shared" si="3"/>
        <v>0.13937118723603942</v>
      </c>
      <c r="G53" s="17">
        <v>5003</v>
      </c>
      <c r="H53" s="17">
        <f t="shared" si="1"/>
        <v>-147</v>
      </c>
      <c r="I53" s="16">
        <f t="shared" si="2"/>
        <v>-2.9382370577653409E-2</v>
      </c>
      <c r="J53" s="49"/>
      <c r="K53" s="55"/>
    </row>
    <row r="54" spans="1:12" ht="72">
      <c r="A54" s="25" t="str">
        <v>Manchester</v>
      </c>
      <c r="B54" s="26" t="str">
        <v>NJ</v>
      </c>
      <c r="C54" s="21">
        <v>2265</v>
      </c>
      <c r="D54" s="11">
        <v>2469</v>
      </c>
      <c r="E54" s="11">
        <f t="shared" si="0"/>
        <v>-204</v>
      </c>
      <c r="F54" s="12">
        <f t="shared" si="3"/>
        <v>-8.2624544349939252E-2</v>
      </c>
      <c r="G54" s="13">
        <v>3603</v>
      </c>
      <c r="H54" s="13">
        <f t="shared" si="1"/>
        <v>-1338</v>
      </c>
      <c r="I54" s="14">
        <f t="shared" si="2"/>
        <v>-0.37135720233139052</v>
      </c>
      <c r="J54" s="60" t="s">
        <v>315</v>
      </c>
      <c r="K54" s="60"/>
    </row>
    <row r="55" spans="1:12" ht="15.6">
      <c r="A55" s="27" t="str">
        <v>West Deptford - Woodbury</v>
      </c>
      <c r="B55" s="28" t="str">
        <v>NJ</v>
      </c>
      <c r="C55" s="10">
        <v>3322</v>
      </c>
      <c r="D55" s="15">
        <v>3304</v>
      </c>
      <c r="E55" s="15">
        <f t="shared" si="0"/>
        <v>18</v>
      </c>
      <c r="F55" s="16">
        <f t="shared" si="3"/>
        <v>5.4479418886198543E-3</v>
      </c>
      <c r="G55" s="17">
        <v>3347</v>
      </c>
      <c r="H55" s="17">
        <f t="shared" si="1"/>
        <v>-25</v>
      </c>
      <c r="I55" s="16">
        <f t="shared" si="2"/>
        <v>-7.4693755602031672E-3</v>
      </c>
      <c r="J55" s="49"/>
      <c r="K55" s="55"/>
    </row>
    <row r="56" spans="1:12" ht="15.6">
      <c r="A56" s="25" t="str">
        <v>Edison</v>
      </c>
      <c r="B56" s="26" t="str">
        <v>NJ</v>
      </c>
      <c r="C56" s="21">
        <v>3046</v>
      </c>
      <c r="D56" s="11">
        <v>2715</v>
      </c>
      <c r="E56" s="11">
        <f t="shared" si="0"/>
        <v>331</v>
      </c>
      <c r="F56" s="12">
        <f t="shared" si="3"/>
        <v>0.12191528545119705</v>
      </c>
      <c r="G56" s="13">
        <v>3072</v>
      </c>
      <c r="H56" s="13">
        <f t="shared" si="1"/>
        <v>-26</v>
      </c>
      <c r="I56" s="14">
        <f t="shared" si="2"/>
        <v>-8.4635416666666661E-3</v>
      </c>
      <c r="J56" s="60"/>
      <c r="K56" s="86"/>
    </row>
    <row r="57" spans="1:12" ht="15.6">
      <c r="A57" s="27" t="str">
        <v>Flemington</v>
      </c>
      <c r="B57" s="28" t="str">
        <v>NJ</v>
      </c>
      <c r="C57" s="10">
        <v>2772</v>
      </c>
      <c r="D57" s="15">
        <v>2406</v>
      </c>
      <c r="E57" s="15">
        <f t="shared" si="0"/>
        <v>366</v>
      </c>
      <c r="F57" s="16">
        <f t="shared" si="3"/>
        <v>0.15211970074812967</v>
      </c>
      <c r="G57" s="17">
        <v>2945</v>
      </c>
      <c r="H57" s="17">
        <f t="shared" si="1"/>
        <v>-173</v>
      </c>
      <c r="I57" s="16">
        <f t="shared" si="2"/>
        <v>-5.8743633276740238E-2</v>
      </c>
      <c r="J57" s="49"/>
      <c r="K57" s="80"/>
      <c r="L57" s="85"/>
    </row>
    <row r="58" spans="1:12" ht="19.5" customHeight="1">
      <c r="A58" s="25" t="str">
        <v>Route 22</v>
      </c>
      <c r="B58" s="26" t="str">
        <v>NJ</v>
      </c>
      <c r="C58" s="21">
        <v>2806</v>
      </c>
      <c r="D58" s="11">
        <v>2761</v>
      </c>
      <c r="E58" s="11">
        <f t="shared" si="0"/>
        <v>45</v>
      </c>
      <c r="F58" s="12">
        <f t="shared" si="3"/>
        <v>1.629844259326331E-2</v>
      </c>
      <c r="G58" s="13">
        <v>2807</v>
      </c>
      <c r="H58" s="13">
        <f t="shared" si="1"/>
        <v>-1</v>
      </c>
      <c r="I58" s="14">
        <f t="shared" si="2"/>
        <v>-3.5625222657641609E-4</v>
      </c>
      <c r="J58" s="60"/>
      <c r="K58" s="86"/>
    </row>
    <row r="59" spans="1:12" ht="17.25" customHeight="1">
      <c r="A59" s="27" t="str">
        <v>Laurelton</v>
      </c>
      <c r="B59" s="28" t="str">
        <v>NJ</v>
      </c>
      <c r="C59" s="10">
        <v>1558</v>
      </c>
      <c r="D59" s="15">
        <v>2261</v>
      </c>
      <c r="E59" s="15">
        <f t="shared" si="0"/>
        <v>-703</v>
      </c>
      <c r="F59" s="16">
        <f t="shared" si="3"/>
        <v>-0.31092436974789917</v>
      </c>
      <c r="G59" s="17">
        <v>2464</v>
      </c>
      <c r="H59" s="17">
        <f t="shared" si="1"/>
        <v>-906</v>
      </c>
      <c r="I59" s="16">
        <f t="shared" si="2"/>
        <v>-0.36769480519480519</v>
      </c>
      <c r="J59" s="49" t="s">
        <v>327</v>
      </c>
      <c r="K59" s="80" t="s">
        <v>328</v>
      </c>
    </row>
    <row r="60" spans="1:12" ht="43.15">
      <c r="A60" s="25" t="str">
        <v>Mahwah</v>
      </c>
      <c r="B60" s="26" t="str">
        <v>NJ</v>
      </c>
      <c r="C60" s="21">
        <v>2139</v>
      </c>
      <c r="D60" s="11">
        <v>577</v>
      </c>
      <c r="E60" s="11">
        <f t="shared" si="0"/>
        <v>1562</v>
      </c>
      <c r="F60" s="12">
        <f t="shared" si="3"/>
        <v>2.7071057192374348</v>
      </c>
      <c r="G60" s="13">
        <v>2397</v>
      </c>
      <c r="H60" s="13">
        <f t="shared" si="1"/>
        <v>-258</v>
      </c>
      <c r="I60" s="14">
        <f t="shared" si="2"/>
        <v>-0.10763454317897372</v>
      </c>
      <c r="J60" s="60" t="s">
        <v>187</v>
      </c>
      <c r="K60" s="86" t="s">
        <v>329</v>
      </c>
    </row>
    <row r="61" spans="1:12" ht="15.6">
      <c r="A61" s="27" t="str">
        <v>Franklin Township WF</v>
      </c>
      <c r="B61" s="28" t="str">
        <v>NJ</v>
      </c>
      <c r="C61" s="10">
        <v>2562</v>
      </c>
      <c r="D61" s="15">
        <v>2359</v>
      </c>
      <c r="E61" s="15">
        <f t="shared" si="0"/>
        <v>203</v>
      </c>
      <c r="F61" s="16">
        <f t="shared" si="3"/>
        <v>8.6053412462908013E-2</v>
      </c>
      <c r="G61" s="17">
        <v>2801</v>
      </c>
      <c r="H61" s="17">
        <f t="shared" si="1"/>
        <v>-239</v>
      </c>
      <c r="I61" s="16">
        <f t="shared" si="2"/>
        <v>-8.5326669046769013E-2</v>
      </c>
      <c r="J61" s="49"/>
      <c r="K61" s="55"/>
    </row>
    <row r="62" spans="1:12" ht="15.6">
      <c r="A62" s="25" t="str">
        <v>Bordentown</v>
      </c>
      <c r="B62" s="26" t="str">
        <v>NJ</v>
      </c>
      <c r="C62" s="21">
        <v>2039</v>
      </c>
      <c r="D62" s="11">
        <v>1704</v>
      </c>
      <c r="E62" s="11">
        <f t="shared" si="0"/>
        <v>335</v>
      </c>
      <c r="F62" s="12">
        <f t="shared" si="3"/>
        <v>0.19659624413145541</v>
      </c>
      <c r="G62" s="13">
        <v>2039</v>
      </c>
      <c r="H62" s="13">
        <f t="shared" si="1"/>
        <v>0</v>
      </c>
      <c r="I62" s="14">
        <f t="shared" si="2"/>
        <v>0</v>
      </c>
      <c r="J62" s="60"/>
      <c r="K62" s="86"/>
    </row>
    <row r="63" spans="1:12" ht="15.6">
      <c r="A63" s="27" t="str">
        <v>South Plainfield</v>
      </c>
      <c r="B63" s="28" t="str">
        <v>NJ</v>
      </c>
      <c r="C63" s="10">
        <v>1479</v>
      </c>
      <c r="D63" s="15">
        <v>1349</v>
      </c>
      <c r="E63" s="15">
        <f t="shared" si="0"/>
        <v>130</v>
      </c>
      <c r="F63" s="16">
        <f t="shared" si="3"/>
        <v>9.6367679762787248E-2</v>
      </c>
      <c r="G63" s="17">
        <v>1465</v>
      </c>
      <c r="H63" s="17">
        <f t="shared" si="1"/>
        <v>14</v>
      </c>
      <c r="I63" s="16">
        <f t="shared" si="2"/>
        <v>9.5563139931740607E-3</v>
      </c>
      <c r="J63" s="49"/>
      <c r="K63" s="55"/>
    </row>
    <row r="64" spans="1:12" ht="15.6">
      <c r="A64" s="25" t="str">
        <v>Somerset</v>
      </c>
      <c r="B64" s="26" t="str">
        <v>NJ</v>
      </c>
      <c r="C64" s="21">
        <v>2314</v>
      </c>
      <c r="D64" s="11">
        <v>2307</v>
      </c>
      <c r="E64" s="11">
        <f t="shared" si="0"/>
        <v>7</v>
      </c>
      <c r="F64" s="12">
        <f t="shared" si="3"/>
        <v>3.0342436064152581E-3</v>
      </c>
      <c r="G64" s="13">
        <v>2375</v>
      </c>
      <c r="H64" s="13">
        <f t="shared" si="1"/>
        <v>-61</v>
      </c>
      <c r="I64" s="14">
        <f t="shared" si="2"/>
        <v>-2.5684210526315789E-2</v>
      </c>
      <c r="J64" s="60"/>
      <c r="K64" s="60"/>
    </row>
    <row r="65" spans="1:13" ht="15.6">
      <c r="A65" s="27" t="str">
        <v>Clinton Main Relo</v>
      </c>
      <c r="B65" s="28" t="str">
        <v>NJ</v>
      </c>
      <c r="C65" s="10">
        <v>2657</v>
      </c>
      <c r="D65" s="15">
        <v>2686</v>
      </c>
      <c r="E65" s="15">
        <f t="shared" si="0"/>
        <v>-29</v>
      </c>
      <c r="F65" s="16">
        <f t="shared" si="3"/>
        <v>-1.0796723752792257E-2</v>
      </c>
      <c r="G65" s="17">
        <v>2729</v>
      </c>
      <c r="H65" s="17">
        <f t="shared" si="1"/>
        <v>-72</v>
      </c>
      <c r="I65" s="16">
        <f t="shared" si="2"/>
        <v>-2.6383290582630999E-2</v>
      </c>
      <c r="J65" s="49"/>
      <c r="K65" s="55"/>
    </row>
    <row r="66" spans="1:13" ht="72">
      <c r="A66" s="25" t="str">
        <v>North Brunswick</v>
      </c>
      <c r="B66" s="26" t="str">
        <v>NJ</v>
      </c>
      <c r="C66" s="21">
        <v>2626</v>
      </c>
      <c r="D66" s="11">
        <v>2328</v>
      </c>
      <c r="E66" s="11">
        <f t="shared" si="0"/>
        <v>298</v>
      </c>
      <c r="F66" s="12">
        <f t="shared" si="3"/>
        <v>0.12800687285223367</v>
      </c>
      <c r="G66" s="13">
        <v>2989</v>
      </c>
      <c r="H66" s="13">
        <f t="shared" si="1"/>
        <v>-363</v>
      </c>
      <c r="I66" s="14">
        <f t="shared" si="2"/>
        <v>-0.12144529943124791</v>
      </c>
      <c r="J66" s="60" t="s">
        <v>315</v>
      </c>
      <c r="K66" s="60"/>
    </row>
    <row r="67" spans="1:13" ht="15.6">
      <c r="A67" s="27" t="str">
        <v>Cherry Hill</v>
      </c>
      <c r="B67" s="28" t="str">
        <v>NJ</v>
      </c>
      <c r="C67" s="10">
        <v>1776</v>
      </c>
      <c r="D67" s="15">
        <v>1742</v>
      </c>
      <c r="E67" s="15">
        <f t="shared" si="0"/>
        <v>34</v>
      </c>
      <c r="F67" s="16">
        <f t="shared" si="3"/>
        <v>1.9517795637198621E-2</v>
      </c>
      <c r="G67" s="17">
        <v>1870</v>
      </c>
      <c r="H67" s="17">
        <f t="shared" si="1"/>
        <v>-94</v>
      </c>
      <c r="I67" s="16">
        <f t="shared" si="2"/>
        <v>-5.0267379679144387E-2</v>
      </c>
      <c r="J67" s="49"/>
      <c r="K67" s="80"/>
    </row>
    <row r="68" spans="1:13" ht="43.15">
      <c r="A68" s="25" t="str">
        <v>Hainesport</v>
      </c>
      <c r="B68" s="26" t="str">
        <v>NJ</v>
      </c>
      <c r="C68" s="21">
        <v>1880</v>
      </c>
      <c r="D68" s="11">
        <v>2103</v>
      </c>
      <c r="E68" s="11">
        <f t="shared" si="0"/>
        <v>-223</v>
      </c>
      <c r="F68" s="12">
        <f t="shared" si="3"/>
        <v>-0.10603899191631003</v>
      </c>
      <c r="G68" s="13">
        <v>1904</v>
      </c>
      <c r="H68" s="13">
        <f t="shared" si="1"/>
        <v>-24</v>
      </c>
      <c r="I68" s="14">
        <f t="shared" si="2"/>
        <v>-1.2605042016806723E-2</v>
      </c>
      <c r="J68" s="60" t="s">
        <v>330</v>
      </c>
      <c r="K68" s="60"/>
    </row>
    <row r="69" spans="1:13" ht="43.15">
      <c r="A69" s="27" t="str">
        <v>San Antonio - Ops Ctr (Bldg 106)</v>
      </c>
      <c r="B69" s="28" t="str">
        <v>TX</v>
      </c>
      <c r="C69" s="10">
        <v>50709</v>
      </c>
      <c r="D69" s="15">
        <v>47603</v>
      </c>
      <c r="E69" s="15">
        <f t="shared" ref="E69" si="4">IF(AND(ISNUMBER(C69),ISNUMBER(D69)), C69-D69, "")</f>
        <v>3106</v>
      </c>
      <c r="F69" s="16">
        <f t="shared" si="3"/>
        <v>6.5247988572148807E-2</v>
      </c>
      <c r="G69" s="17">
        <v>56068</v>
      </c>
      <c r="H69" s="17">
        <f t="shared" ref="H69" si="5">IF(AND(ISNUMBER(C69),ISNUMBER(G69)), C69-G69, "")</f>
        <v>-5359</v>
      </c>
      <c r="I69" s="16">
        <f t="shared" ref="I69" si="6">IFERROR(H69/G69, "")</f>
        <v>-9.5580366697581506E-2</v>
      </c>
      <c r="J69" s="49" t="s">
        <v>331</v>
      </c>
      <c r="K69" s="49" t="s">
        <v>332</v>
      </c>
    </row>
    <row r="70" spans="1:13" ht="43.15">
      <c r="A70" s="25" t="str">
        <v>San Antonio - Ops Ctr GM</v>
      </c>
      <c r="B70" s="26" t="str">
        <v>TX</v>
      </c>
      <c r="C70" s="57">
        <v>358065</v>
      </c>
      <c r="D70" s="11">
        <v>403955</v>
      </c>
      <c r="E70" s="11">
        <f t="shared" si="0"/>
        <v>-45890</v>
      </c>
      <c r="F70" s="12">
        <f t="shared" si="3"/>
        <v>-0.11360176257256377</v>
      </c>
      <c r="G70" s="73">
        <v>376464</v>
      </c>
      <c r="H70" s="13">
        <f t="shared" si="1"/>
        <v>-18399</v>
      </c>
      <c r="I70" s="14">
        <f t="shared" si="2"/>
        <v>-4.8873199030983042E-2</v>
      </c>
      <c r="J70" s="61" t="s">
        <v>333</v>
      </c>
      <c r="K70" s="61" t="s">
        <v>334</v>
      </c>
    </row>
    <row r="71" spans="1:13" ht="15.6">
      <c r="A71" s="27" t="str">
        <v>San Antonio - Ctr (Bldg 201)</v>
      </c>
      <c r="B71" s="28" t="str">
        <v>TX</v>
      </c>
      <c r="C71" s="71">
        <v>50635</v>
      </c>
      <c r="D71" s="15">
        <v>47255</v>
      </c>
      <c r="E71" s="15">
        <f t="shared" ref="E71:E84" si="7">IF(AND(ISNUMBER(C71),ISNUMBER(D71)), C71-D71, "")</f>
        <v>3380</v>
      </c>
      <c r="F71" s="16">
        <f t="shared" si="3"/>
        <v>7.1526822558459421E-2</v>
      </c>
      <c r="G71" s="72">
        <v>55560</v>
      </c>
      <c r="H71" s="17">
        <f t="shared" ref="H71:H84" si="8">IF(AND(ISNUMBER(C71),ISNUMBER(G71)), C71-G71, "")</f>
        <v>-4925</v>
      </c>
      <c r="I71" s="16">
        <f t="shared" ref="I71:I84" si="9">IFERROR(H71/G71, "")</f>
        <v>-8.8642908567314618E-2</v>
      </c>
      <c r="J71" s="49" t="s">
        <v>335</v>
      </c>
      <c r="K71" s="49" t="s">
        <v>336</v>
      </c>
    </row>
    <row r="72" spans="1:13" ht="15.6">
      <c r="A72" s="25" t="str">
        <v>San Antonio - Ops Ctr (Bldg 203)</v>
      </c>
      <c r="B72" s="26" t="str">
        <v>TX</v>
      </c>
      <c r="C72" s="57">
        <v>51537</v>
      </c>
      <c r="D72" s="11">
        <v>48846</v>
      </c>
      <c r="E72" s="11">
        <f t="shared" si="7"/>
        <v>2691</v>
      </c>
      <c r="F72" s="12">
        <f t="shared" ref="F72:F84" si="10">IFERROR(E72/D72, "")</f>
        <v>5.5091512099250707E-2</v>
      </c>
      <c r="G72" s="73">
        <v>56467</v>
      </c>
      <c r="H72" s="13">
        <f t="shared" si="8"/>
        <v>-4930</v>
      </c>
      <c r="I72" s="14">
        <f t="shared" si="9"/>
        <v>-8.7307631005720157E-2</v>
      </c>
      <c r="J72" s="61" t="s">
        <v>337</v>
      </c>
      <c r="K72" s="61" t="s">
        <v>338</v>
      </c>
    </row>
    <row r="73" spans="1:13" ht="28.9">
      <c r="A73" s="27" t="str">
        <v>San Antonio - Ops Ctr (Bldg 205)</v>
      </c>
      <c r="B73" s="28" t="str">
        <v>TX</v>
      </c>
      <c r="C73" s="71">
        <v>47692</v>
      </c>
      <c r="D73" s="15">
        <v>43060</v>
      </c>
      <c r="E73" s="15">
        <f t="shared" si="7"/>
        <v>4632</v>
      </c>
      <c r="F73" s="16">
        <f t="shared" si="10"/>
        <v>0.10757083139804924</v>
      </c>
      <c r="G73" s="72">
        <v>53097</v>
      </c>
      <c r="H73" s="17">
        <f t="shared" si="8"/>
        <v>-5405</v>
      </c>
      <c r="I73" s="16">
        <f t="shared" si="9"/>
        <v>-0.10179482833305083</v>
      </c>
      <c r="J73" s="49" t="s">
        <v>339</v>
      </c>
      <c r="K73" s="49" t="s">
        <v>340</v>
      </c>
    </row>
    <row r="74" spans="1:13" ht="15.6">
      <c r="A74" s="25" t="str">
        <v>San Antonio - Ops Ctr (Bldg 307)</v>
      </c>
      <c r="B74" s="26" t="str">
        <v>TX</v>
      </c>
      <c r="C74" s="57">
        <v>50239</v>
      </c>
      <c r="D74" s="11">
        <v>46830</v>
      </c>
      <c r="E74" s="11">
        <f t="shared" si="7"/>
        <v>3409</v>
      </c>
      <c r="F74" s="12">
        <f t="shared" si="10"/>
        <v>7.2795216741405086E-2</v>
      </c>
      <c r="G74" s="73">
        <v>54282</v>
      </c>
      <c r="H74" s="13">
        <f t="shared" si="8"/>
        <v>-4043</v>
      </c>
      <c r="I74" s="14">
        <f t="shared" si="9"/>
        <v>-7.4481411886076418E-2</v>
      </c>
      <c r="J74" s="61"/>
      <c r="K74" s="61"/>
    </row>
    <row r="75" spans="1:13" ht="28.9">
      <c r="A75" s="27" t="str">
        <v>San Antonio - Ctr (Bldg 308)</v>
      </c>
      <c r="B75" s="28" t="str">
        <v>TX</v>
      </c>
      <c r="C75" s="71">
        <v>48671</v>
      </c>
      <c r="D75" s="15">
        <v>45757</v>
      </c>
      <c r="E75" s="15">
        <f t="shared" si="7"/>
        <v>2914</v>
      </c>
      <c r="F75" s="16">
        <f t="shared" si="10"/>
        <v>6.3684245033546777E-2</v>
      </c>
      <c r="G75" s="72">
        <v>52330</v>
      </c>
      <c r="H75" s="17">
        <f t="shared" si="8"/>
        <v>-3659</v>
      </c>
      <c r="I75" s="16">
        <f t="shared" si="9"/>
        <v>-6.99216510605771E-2</v>
      </c>
      <c r="J75" s="49" t="s">
        <v>341</v>
      </c>
      <c r="K75" s="80" t="s">
        <v>342</v>
      </c>
    </row>
    <row r="76" spans="1:13" ht="72">
      <c r="A76" s="25" t="str">
        <v>San Antonio - Ops Ctr (Bldg 104)</v>
      </c>
      <c r="B76" s="26" t="str">
        <v>TX</v>
      </c>
      <c r="C76" s="57">
        <v>13988</v>
      </c>
      <c r="D76" s="11">
        <v>14341</v>
      </c>
      <c r="E76" s="11">
        <f t="shared" si="7"/>
        <v>-353</v>
      </c>
      <c r="F76" s="12">
        <f t="shared" si="10"/>
        <v>-2.4614740952513772E-2</v>
      </c>
      <c r="G76" s="73">
        <v>16267</v>
      </c>
      <c r="H76" s="13">
        <f t="shared" si="8"/>
        <v>-2279</v>
      </c>
      <c r="I76" s="14">
        <f t="shared" si="9"/>
        <v>-0.1400995881231942</v>
      </c>
      <c r="J76" s="61" t="s">
        <v>315</v>
      </c>
      <c r="K76" s="61"/>
    </row>
    <row r="77" spans="1:13" ht="15.6">
      <c r="A77" s="27" t="str">
        <v>San Antonio - Ops Ctr (Bldg 102)</v>
      </c>
      <c r="B77" s="28" t="str">
        <v>TX</v>
      </c>
      <c r="C77" s="71">
        <v>55066</v>
      </c>
      <c r="D77" s="15">
        <v>44612</v>
      </c>
      <c r="E77" s="15">
        <f t="shared" si="7"/>
        <v>10454</v>
      </c>
      <c r="F77" s="16">
        <f t="shared" si="10"/>
        <v>0.234331569981171</v>
      </c>
      <c r="G77" s="72">
        <v>58712</v>
      </c>
      <c r="H77" s="17">
        <f t="shared" si="8"/>
        <v>-3646</v>
      </c>
      <c r="I77" s="16">
        <f t="shared" si="9"/>
        <v>-6.2099741109142938E-2</v>
      </c>
      <c r="J77" s="49"/>
      <c r="K77" s="49"/>
    </row>
    <row r="78" spans="1:13" ht="15.6">
      <c r="A78" s="25" t="str">
        <v>N Black Canyon Hwy, Phoenix - North</v>
      </c>
      <c r="B78" s="26" t="str">
        <v>AZ</v>
      </c>
      <c r="C78" s="57">
        <v>81181</v>
      </c>
      <c r="D78" s="11">
        <v>67123</v>
      </c>
      <c r="E78" s="11">
        <f t="shared" si="7"/>
        <v>14058</v>
      </c>
      <c r="F78" s="12">
        <f t="shared" si="10"/>
        <v>0.20943640778868644</v>
      </c>
      <c r="G78" s="73">
        <v>87653</v>
      </c>
      <c r="H78" s="13">
        <f t="shared" si="8"/>
        <v>-6472</v>
      </c>
      <c r="I78" s="14">
        <f t="shared" si="9"/>
        <v>-7.3836605706593048E-2</v>
      </c>
      <c r="J78" s="61"/>
      <c r="K78" s="82"/>
      <c r="L78" s="85"/>
      <c r="M78" s="85"/>
    </row>
    <row r="79" spans="1:13" ht="45.75" customHeight="1">
      <c r="A79" s="27" t="str">
        <v>N Black Canyon Hwy, Phoenix - South</v>
      </c>
      <c r="B79" s="28" t="str">
        <v>AZ</v>
      </c>
      <c r="C79" s="71">
        <v>78052</v>
      </c>
      <c r="D79" s="15">
        <v>73387</v>
      </c>
      <c r="E79" s="15">
        <f t="shared" si="7"/>
        <v>4665</v>
      </c>
      <c r="F79" s="16">
        <f t="shared" si="10"/>
        <v>6.3567116791802367E-2</v>
      </c>
      <c r="G79" s="72">
        <v>96512</v>
      </c>
      <c r="H79" s="17">
        <f t="shared" si="8"/>
        <v>-18460</v>
      </c>
      <c r="I79" s="16">
        <f t="shared" si="9"/>
        <v>-0.19127155172413793</v>
      </c>
      <c r="J79" s="49" t="s">
        <v>343</v>
      </c>
      <c r="K79" s="49" t="s">
        <v>344</v>
      </c>
    </row>
    <row r="80" spans="1:13" ht="15.6">
      <c r="A80" s="25" t="str">
        <v xml:space="preserve"> Building 2222, Rose Garden Ln, Phoenix</v>
      </c>
      <c r="B80" s="26" t="str">
        <v>AZ</v>
      </c>
      <c r="C80" s="57">
        <v>101251</v>
      </c>
      <c r="D80" s="11">
        <v>98655</v>
      </c>
      <c r="E80" s="11">
        <f t="shared" si="7"/>
        <v>2596</v>
      </c>
      <c r="F80" s="12">
        <f t="shared" si="10"/>
        <v>2.6313922254320613E-2</v>
      </c>
      <c r="G80" s="73">
        <v>114270</v>
      </c>
      <c r="H80" s="13">
        <f t="shared" si="8"/>
        <v>-13019</v>
      </c>
      <c r="I80" s="14">
        <f t="shared" si="9"/>
        <v>-0.11393191563840029</v>
      </c>
      <c r="J80" s="61" t="s">
        <v>345</v>
      </c>
      <c r="K80" s="61"/>
    </row>
    <row r="81" spans="1:11" ht="15.6">
      <c r="A81" s="27" t="str">
        <v xml:space="preserve"> Building 2202, Rose Garden Ln, Phoenix</v>
      </c>
      <c r="B81" s="28" t="str">
        <v>AZ</v>
      </c>
      <c r="C81" s="71">
        <v>100873</v>
      </c>
      <c r="D81" s="15">
        <v>92623</v>
      </c>
      <c r="E81" s="15">
        <f t="shared" si="7"/>
        <v>8250</v>
      </c>
      <c r="F81" s="16">
        <f t="shared" si="10"/>
        <v>8.9070749165973892E-2</v>
      </c>
      <c r="G81" s="72">
        <v>83211</v>
      </c>
      <c r="H81" s="17">
        <f t="shared" si="8"/>
        <v>17662</v>
      </c>
      <c r="I81" s="16">
        <f t="shared" si="9"/>
        <v>0.2122555912078932</v>
      </c>
      <c r="J81" s="49"/>
      <c r="K81" s="49"/>
    </row>
    <row r="82" spans="1:11" ht="72">
      <c r="A82" s="25" t="str">
        <v xml:space="preserve"> 99TH Ave &amp; BELL</v>
      </c>
      <c r="B82" s="26" t="str">
        <v>AZ</v>
      </c>
      <c r="C82" s="57">
        <v>18191</v>
      </c>
      <c r="D82" s="11">
        <v>17783</v>
      </c>
      <c r="E82" s="11">
        <f t="shared" si="7"/>
        <v>408</v>
      </c>
      <c r="F82" s="12">
        <f t="shared" si="10"/>
        <v>2.2943260417252431E-2</v>
      </c>
      <c r="G82" s="73">
        <v>20866</v>
      </c>
      <c r="H82" s="13">
        <f t="shared" si="8"/>
        <v>-2675</v>
      </c>
      <c r="I82" s="14">
        <f t="shared" si="9"/>
        <v>-0.12819898399309881</v>
      </c>
      <c r="J82" s="61" t="s">
        <v>346</v>
      </c>
      <c r="K82" s="61"/>
    </row>
    <row r="83" spans="1:11" ht="15.6">
      <c r="A83" s="27" t="str">
        <v>Rincon</v>
      </c>
      <c r="B83" s="28" t="str">
        <v>AZ</v>
      </c>
      <c r="C83" s="71">
        <v>7294</v>
      </c>
      <c r="D83" s="15">
        <v>5799</v>
      </c>
      <c r="E83" s="15">
        <f t="shared" si="7"/>
        <v>1495</v>
      </c>
      <c r="F83" s="16">
        <f t="shared" si="10"/>
        <v>0.25780306949474047</v>
      </c>
      <c r="G83" s="72">
        <v>7064</v>
      </c>
      <c r="H83" s="17">
        <f t="shared" si="8"/>
        <v>230</v>
      </c>
      <c r="I83" s="16">
        <f t="shared" si="9"/>
        <v>3.2559456398640996E-2</v>
      </c>
      <c r="J83" s="49"/>
      <c r="K83" s="80"/>
    </row>
    <row r="84" spans="1:11" ht="57.6">
      <c r="A84" s="25" t="str">
        <v>Tucson Main Parking Garage</v>
      </c>
      <c r="B84" s="26" t="str">
        <v>AZ</v>
      </c>
      <c r="C84" s="57">
        <v>12296</v>
      </c>
      <c r="D84" s="11">
        <v>12143</v>
      </c>
      <c r="E84" s="11">
        <f t="shared" si="7"/>
        <v>153</v>
      </c>
      <c r="F84" s="12">
        <f t="shared" si="10"/>
        <v>1.2599851766449807E-2</v>
      </c>
      <c r="G84" s="73">
        <v>10392</v>
      </c>
      <c r="H84" s="13">
        <f t="shared" si="8"/>
        <v>1904</v>
      </c>
      <c r="I84" s="14">
        <f t="shared" si="9"/>
        <v>0.18321785989222478</v>
      </c>
      <c r="J84" s="61" t="s">
        <v>304</v>
      </c>
      <c r="K84" s="61" t="s">
        <v>347</v>
      </c>
    </row>
    <row r="85" spans="1:11" ht="14.4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  <c r="J85" s="62"/>
      <c r="K85" s="62"/>
    </row>
    <row r="86" spans="1:11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62"/>
      <c r="K86" s="62"/>
    </row>
    <row r="87" spans="1:11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62"/>
      <c r="K87" s="62"/>
    </row>
    <row r="88" spans="1:11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62"/>
      <c r="K88" s="62"/>
    </row>
    <row r="89" spans="1:11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62"/>
      <c r="K89" s="62"/>
    </row>
    <row r="90" spans="1:11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62"/>
      <c r="K90" s="62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62"/>
      <c r="K91" s="62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62"/>
      <c r="K92" s="62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62"/>
      <c r="K93" s="62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62"/>
      <c r="K94" s="62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62"/>
      <c r="K95" s="62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62"/>
      <c r="K96" s="62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62"/>
      <c r="K97" s="62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62"/>
      <c r="K98" s="62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62"/>
      <c r="K99" s="62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62"/>
      <c r="K100" s="62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62"/>
      <c r="K101" s="62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62"/>
      <c r="K102" s="62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62"/>
      <c r="K103" s="62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62"/>
      <c r="K104" s="62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62"/>
      <c r="K105" s="62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62"/>
      <c r="K106" s="62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62"/>
      <c r="K107" s="62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62"/>
      <c r="K108" s="62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62"/>
      <c r="K109" s="62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62"/>
      <c r="K110" s="62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62"/>
      <c r="K111" s="62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62"/>
      <c r="K112" s="62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62"/>
      <c r="K113" s="62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62"/>
      <c r="K114" s="62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62"/>
      <c r="K115" s="62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62"/>
      <c r="K116" s="62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62"/>
      <c r="K117" s="62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62"/>
      <c r="K118" s="62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62"/>
      <c r="K119" s="62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62"/>
      <c r="K120" s="62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62"/>
      <c r="K121" s="62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62"/>
      <c r="K122" s="62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62"/>
      <c r="K123" s="62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62"/>
      <c r="K124" s="62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62"/>
      <c r="K125" s="62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62"/>
      <c r="K126" s="62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62"/>
      <c r="K127" s="62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62"/>
      <c r="K128" s="62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62"/>
      <c r="K129" s="62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62"/>
      <c r="K130" s="62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62"/>
      <c r="K131" s="62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62"/>
      <c r="K132" s="62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62"/>
      <c r="K133" s="62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62"/>
      <c r="K134" s="62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62"/>
      <c r="K135" s="62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62"/>
      <c r="K136" s="62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62"/>
      <c r="K137" s="62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62"/>
      <c r="K138" s="62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62"/>
      <c r="K139" s="62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62"/>
      <c r="K140" s="62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62"/>
      <c r="K141" s="62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62"/>
      <c r="K142" s="62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62"/>
      <c r="K143" s="62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62"/>
      <c r="K144" s="62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62"/>
      <c r="K145" s="62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62"/>
      <c r="K146" s="62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62"/>
      <c r="K147" s="62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62"/>
      <c r="K148" s="62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62"/>
      <c r="K149" s="62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62"/>
      <c r="K150" s="62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62"/>
      <c r="K151" s="62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62"/>
      <c r="K152" s="62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62"/>
      <c r="K153" s="62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62"/>
      <c r="K154" s="62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62"/>
      <c r="K155" s="62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62"/>
      <c r="K156" s="62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62"/>
      <c r="K157" s="62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62"/>
      <c r="K158" s="62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62"/>
      <c r="K159" s="62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62"/>
      <c r="K160" s="62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62"/>
      <c r="K161" s="62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62"/>
      <c r="K162" s="62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62"/>
      <c r="K163" s="62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62"/>
      <c r="K164" s="62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62"/>
      <c r="K165" s="62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62"/>
      <c r="K166" s="62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62"/>
      <c r="K167" s="62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62"/>
      <c r="K168" s="62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62"/>
      <c r="K169" s="62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62"/>
      <c r="K170" s="62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62"/>
      <c r="K171" s="62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62"/>
      <c r="K172" s="62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62"/>
      <c r="K173" s="62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62"/>
      <c r="K174" s="62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62"/>
      <c r="K175" s="62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62"/>
      <c r="K176" s="62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62"/>
      <c r="K177" s="62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62"/>
      <c r="K178" s="62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62"/>
      <c r="K179" s="62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62"/>
      <c r="K180" s="62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62"/>
      <c r="K181" s="62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62"/>
      <c r="K182" s="62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62"/>
      <c r="K183" s="62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62"/>
      <c r="K184" s="62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62"/>
      <c r="K185" s="62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62"/>
      <c r="K186" s="62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62"/>
      <c r="K187" s="62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62"/>
      <c r="K188" s="62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62"/>
      <c r="K189" s="62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62"/>
      <c r="K190" s="62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62"/>
      <c r="K191" s="62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62"/>
      <c r="K192" s="62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62"/>
      <c r="K193" s="62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62"/>
      <c r="K194" s="62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62"/>
      <c r="K195" s="62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62"/>
      <c r="K196" s="62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62"/>
      <c r="K197" s="62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62"/>
      <c r="K198" s="62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62"/>
      <c r="K199" s="62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62"/>
      <c r="K200" s="62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62"/>
      <c r="K201" s="62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62"/>
      <c r="K202" s="62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62"/>
      <c r="K203" s="62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62"/>
      <c r="K204" s="62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62"/>
      <c r="K205" s="62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62"/>
      <c r="K206" s="62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62"/>
      <c r="K207" s="62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62"/>
      <c r="K208" s="62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62"/>
      <c r="K209" s="62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62"/>
      <c r="K210" s="62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62"/>
      <c r="K211" s="62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62"/>
      <c r="K212" s="62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62"/>
      <c r="K213" s="62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62"/>
      <c r="K214" s="62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62"/>
      <c r="K215" s="62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62"/>
      <c r="K216" s="62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62"/>
      <c r="K217" s="62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62"/>
      <c r="K218" s="62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62"/>
      <c r="K219" s="62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62"/>
      <c r="K220" s="62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62"/>
      <c r="K221" s="62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62"/>
      <c r="K222" s="62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62"/>
      <c r="K223" s="62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62"/>
      <c r="K224" s="62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62"/>
      <c r="K225" s="62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62"/>
      <c r="K226" s="62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62"/>
      <c r="K227" s="62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62"/>
      <c r="K228" s="62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62"/>
      <c r="K229" s="62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62"/>
      <c r="K230" s="62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62"/>
      <c r="K231" s="62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62"/>
      <c r="K232" s="62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62"/>
      <c r="K233" s="62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62"/>
      <c r="K234" s="62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62"/>
      <c r="K235" s="62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62"/>
      <c r="K236" s="62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62"/>
      <c r="K237" s="62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62"/>
      <c r="K238" s="62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62"/>
      <c r="K239" s="62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62"/>
      <c r="K240" s="62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62"/>
      <c r="K241" s="62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62"/>
      <c r="K242" s="62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62"/>
      <c r="K243" s="62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62"/>
      <c r="K244" s="62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62"/>
      <c r="K245" s="62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62"/>
      <c r="K246" s="62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62"/>
      <c r="K247" s="62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62"/>
      <c r="K248" s="62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62"/>
      <c r="K249" s="62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62"/>
      <c r="K250" s="62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62"/>
      <c r="K251" s="62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62"/>
      <c r="K252" s="62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62"/>
      <c r="K253" s="62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62"/>
      <c r="K254" s="62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62"/>
      <c r="K255" s="62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62"/>
      <c r="K256" s="62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62"/>
      <c r="K257" s="62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62"/>
      <c r="K258" s="62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62"/>
      <c r="K259" s="62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62"/>
      <c r="K260" s="62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62"/>
      <c r="K261" s="62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62"/>
      <c r="K262" s="62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62"/>
      <c r="K263" s="62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62"/>
      <c r="K264" s="62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62"/>
      <c r="K265" s="62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62"/>
      <c r="K266" s="62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62"/>
      <c r="K267" s="62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62"/>
      <c r="K268" s="62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62"/>
      <c r="K269" s="62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62"/>
      <c r="K270" s="62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62"/>
      <c r="K271" s="62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62"/>
      <c r="K272" s="62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62"/>
      <c r="K273" s="62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62"/>
      <c r="K274" s="62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62"/>
      <c r="K275" s="62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62"/>
      <c r="K276" s="62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62"/>
      <c r="K277" s="62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62"/>
      <c r="K278" s="62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62"/>
      <c r="K279" s="62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62"/>
      <c r="K280" s="62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62"/>
      <c r="K281" s="62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62"/>
      <c r="K282" s="62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62"/>
      <c r="K283" s="62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62"/>
      <c r="K284" s="62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62"/>
      <c r="K285" s="62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62"/>
      <c r="K286" s="62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62"/>
      <c r="K287" s="62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62"/>
      <c r="K288" s="62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62"/>
      <c r="K289" s="62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62"/>
      <c r="K290" s="62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62"/>
      <c r="K291" s="62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62"/>
      <c r="K292" s="62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62"/>
      <c r="K293" s="62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62"/>
      <c r="K294" s="62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62"/>
      <c r="K295" s="62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62"/>
      <c r="K296" s="62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62"/>
      <c r="K297" s="62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62"/>
      <c r="K298" s="62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62"/>
      <c r="K299" s="62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62"/>
      <c r="K300" s="62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62"/>
      <c r="K301" s="62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62"/>
      <c r="K302" s="62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62"/>
      <c r="K303" s="62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62"/>
      <c r="K304" s="62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62"/>
      <c r="K305" s="62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62"/>
      <c r="K306" s="62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62"/>
      <c r="K307" s="62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62"/>
      <c r="K308" s="62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62"/>
      <c r="K309" s="62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62"/>
      <c r="K310" s="62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62"/>
      <c r="K311" s="62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62"/>
      <c r="K312" s="62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62"/>
      <c r="K313" s="62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62"/>
      <c r="K314" s="62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62"/>
      <c r="K315" s="62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62"/>
      <c r="K316" s="62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62"/>
      <c r="K317" s="62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62"/>
      <c r="K318" s="62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62"/>
      <c r="K319" s="62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62"/>
      <c r="K320" s="62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62"/>
      <c r="K321" s="62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62"/>
      <c r="K322" s="62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62"/>
      <c r="K323" s="62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62"/>
      <c r="K324" s="62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62"/>
      <c r="K325" s="62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62"/>
      <c r="K326" s="62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62"/>
      <c r="K327" s="62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62"/>
      <c r="K328" s="62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62"/>
      <c r="K329" s="62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62"/>
      <c r="K330" s="62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62"/>
      <c r="K331" s="62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62"/>
      <c r="K332" s="62"/>
    </row>
    <row r="333" spans="1:11" ht="14.45">
      <c r="C333" s="18"/>
      <c r="D333" s="18"/>
      <c r="E333" s="18"/>
      <c r="F333" s="19"/>
      <c r="G333" s="18"/>
      <c r="H333" s="18"/>
      <c r="I333" s="19"/>
      <c r="J333" s="62"/>
      <c r="K333" s="62"/>
    </row>
  </sheetData>
  <mergeCells count="4">
    <mergeCell ref="G1:I1"/>
    <mergeCell ref="A1:C1"/>
    <mergeCell ref="D1:F1"/>
    <mergeCell ref="A2:B2"/>
  </mergeCells>
  <phoneticPr fontId="41" type="noConversion"/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hyperlinks>
    <hyperlink ref="K6" r:id="rId1" display="https://us3.assetplanner.com/service_request?ID=099548" xr:uid="{C004A389-7DDB-4C1F-AF15-33CF069E0898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S332"/>
  <sheetViews>
    <sheetView tabSelected="1" zoomScale="80" zoomScaleNormal="80" workbookViewId="0">
      <pane xSplit="2" ySplit="3" topLeftCell="C19" activePane="bottomRight" state="frozen"/>
      <selection pane="bottomRight" activeCell="J22" sqref="J22"/>
      <selection pane="bottomLeft" activeCell="H74" sqref="H74"/>
      <selection pane="topRight" activeCell="H74" sqref="H74"/>
    </sheetView>
  </sheetViews>
  <sheetFormatPr defaultRowHeight="14.45"/>
  <cols>
    <col min="1" max="1" width="49.8554687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243" customWidth="1"/>
    <col min="11" max="11" width="20.5703125" style="243" bestFit="1" customWidth="1"/>
    <col min="12" max="13" width="8.85546875" style="244"/>
  </cols>
  <sheetData>
    <row r="1" spans="1:15" ht="19.5" customHeight="1">
      <c r="A1" s="254" t="str" cm="1">
        <f t="array" ref="A1">portfolio</f>
        <v>Wells Fargo</v>
      </c>
      <c r="B1" s="254"/>
      <c r="C1" s="254"/>
      <c r="D1" s="255" t="s">
        <v>348</v>
      </c>
      <c r="E1" s="255"/>
      <c r="F1" s="255"/>
      <c r="G1" s="253" t="s">
        <v>349</v>
      </c>
      <c r="H1" s="253"/>
      <c r="I1" s="253"/>
      <c r="J1" s="240"/>
      <c r="K1" s="240"/>
    </row>
    <row r="2" spans="1:15" ht="19.5" customHeight="1">
      <c r="A2" s="264" t="s">
        <v>2</v>
      </c>
      <c r="B2" s="264"/>
      <c r="C2" s="4">
        <f>SUM(C4:C90)</f>
        <v>1686631.3827312156</v>
      </c>
      <c r="D2" s="4">
        <f>SUM(D4:D90)</f>
        <v>1733245.5568000004</v>
      </c>
      <c r="E2" s="4">
        <f>C2-D2</f>
        <v>-46614.174068784807</v>
      </c>
      <c r="F2" s="5">
        <f>IFERROR(E2/D2, 0)</f>
        <v>-2.6894154660258348E-2</v>
      </c>
      <c r="G2" s="4">
        <f>SUM(G4:G90)</f>
        <v>1816089.0211</v>
      </c>
      <c r="H2" s="6">
        <f>C2-G2</f>
        <v>-129457.63836878445</v>
      </c>
      <c r="I2" s="5">
        <f>IFERROR(H2/G2, 0)</f>
        <v>-7.1283751437675846E-2</v>
      </c>
      <c r="J2" s="241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240"/>
    </row>
    <row r="3" spans="1:15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42" t="s">
        <v>48</v>
      </c>
      <c r="K3" s="242" t="s">
        <v>49</v>
      </c>
      <c r="L3" s="242" t="s">
        <v>350</v>
      </c>
      <c r="M3" s="242"/>
    </row>
    <row r="4" spans="1:15" ht="28.9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949.800000000007</v>
      </c>
      <c r="D4" s="11">
        <v>2452.4479999999999</v>
      </c>
      <c r="E4" s="11">
        <f>IF(AND(ISNUMBER(C4),ISNUMBER(D4)), C4-D4, "")</f>
        <v>-1502.6479999999929</v>
      </c>
      <c r="F4" s="12"/>
      <c r="G4" s="13">
        <v>864</v>
      </c>
      <c r="H4" s="13">
        <f>IF(AND(ISNUMBER(C4),ISNUMBER(G4)), C4-G4, "")</f>
        <v>85.800000000007003</v>
      </c>
      <c r="I4" s="14">
        <f>IFERROR(H4/G4, "")</f>
        <v>9.9305555555563654E-2</v>
      </c>
      <c r="J4" s="238" t="s">
        <v>100</v>
      </c>
      <c r="K4" s="238"/>
      <c r="L4" s="245"/>
      <c r="M4" s="245"/>
      <c r="N4" s="63"/>
      <c r="O4" s="63"/>
    </row>
    <row r="5" spans="1:15" ht="15.6">
      <c r="A5" s="27" t="str">
        <v>Otay Mesa</v>
      </c>
      <c r="B5" s="28" t="str">
        <v>CA</v>
      </c>
      <c r="C5" s="10">
        <v>39.296999999999997</v>
      </c>
      <c r="D5" s="15" t="s">
        <v>202</v>
      </c>
      <c r="E5" s="15" t="str">
        <f t="shared" ref="E5:E70" si="0">IF(AND(ISNUMBER(C5),ISNUMBER(D5)), C5-D5, "")</f>
        <v/>
      </c>
      <c r="F5" s="16" t="str">
        <f>IFERROR(E5/D5, "")</f>
        <v/>
      </c>
      <c r="G5" s="17" t="s">
        <v>202</v>
      </c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270" t="s">
        <v>51</v>
      </c>
      <c r="K5" s="270"/>
      <c r="L5" s="245"/>
      <c r="M5" s="245"/>
      <c r="N5" s="63"/>
      <c r="O5" s="63"/>
    </row>
    <row r="6" spans="1:15" ht="28.9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70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238" t="s">
        <v>203</v>
      </c>
      <c r="K6" s="77" t="s">
        <v>159</v>
      </c>
      <c r="L6" s="246" t="s">
        <v>351</v>
      </c>
      <c r="M6" s="246"/>
      <c r="N6" s="63"/>
      <c r="O6" s="63"/>
    </row>
    <row r="7" spans="1:15" ht="15.6">
      <c r="A7" s="27" t="str">
        <v>Van Nuys</v>
      </c>
      <c r="B7" s="28" t="str">
        <v>CA</v>
      </c>
      <c r="C7" s="10">
        <v>1552.0999999999899</v>
      </c>
      <c r="D7" s="15" t="s">
        <v>202</v>
      </c>
      <c r="E7" s="15" t="str">
        <f t="shared" si="0"/>
        <v/>
      </c>
      <c r="F7" s="16" t="str">
        <f t="shared" si="3"/>
        <v/>
      </c>
      <c r="G7" s="17">
        <v>1737.42</v>
      </c>
      <c r="H7" s="17">
        <f t="shared" si="1"/>
        <v>-185.32000000001017</v>
      </c>
      <c r="I7" s="16">
        <f t="shared" si="2"/>
        <v>-0.10666390394954021</v>
      </c>
      <c r="J7" s="270" t="s">
        <v>352</v>
      </c>
      <c r="K7" s="270"/>
      <c r="L7" s="245"/>
      <c r="M7" s="245"/>
      <c r="N7" s="63"/>
      <c r="O7" s="63"/>
    </row>
    <row r="8" spans="1:15" ht="15.6">
      <c r="A8" s="25" t="str">
        <v>Lodi - Lodi Vineyard</v>
      </c>
      <c r="B8" s="26" t="str">
        <v>CA</v>
      </c>
      <c r="C8" s="21">
        <v>28980.562499999902</v>
      </c>
      <c r="D8" s="11">
        <v>31654.06</v>
      </c>
      <c r="E8" s="11">
        <f t="shared" si="0"/>
        <v>-2673.4975000000995</v>
      </c>
      <c r="F8" s="12">
        <f t="shared" si="3"/>
        <v>-8.4459860757201424E-2</v>
      </c>
      <c r="G8" s="13">
        <v>30761</v>
      </c>
      <c r="H8" s="13">
        <f t="shared" si="1"/>
        <v>-1780.4375000000982</v>
      </c>
      <c r="I8" s="14">
        <f t="shared" si="2"/>
        <v>-5.7879701570173213E-2</v>
      </c>
      <c r="J8" s="238" t="s">
        <v>313</v>
      </c>
      <c r="K8" s="238"/>
      <c r="L8" s="245"/>
      <c r="M8" s="245"/>
      <c r="N8" s="63"/>
      <c r="O8" s="63"/>
    </row>
    <row r="9" spans="1:15" ht="15.6">
      <c r="A9" s="27" t="str">
        <v>Arden Fair Mall</v>
      </c>
      <c r="B9" s="28" t="str">
        <v>CA</v>
      </c>
      <c r="C9" s="10">
        <v>13992</v>
      </c>
      <c r="D9" s="15">
        <v>16086.09</v>
      </c>
      <c r="E9" s="15">
        <f t="shared" si="0"/>
        <v>-2094.09</v>
      </c>
      <c r="F9" s="16">
        <f t="shared" si="3"/>
        <v>-0.13018017429965892</v>
      </c>
      <c r="G9" s="17">
        <v>18570</v>
      </c>
      <c r="H9" s="17">
        <f t="shared" si="1"/>
        <v>-4578</v>
      </c>
      <c r="I9" s="16">
        <f t="shared" si="2"/>
        <v>-0.24652665589660744</v>
      </c>
      <c r="J9" s="270" t="s">
        <v>353</v>
      </c>
      <c r="K9" s="270"/>
      <c r="L9" s="245"/>
      <c r="M9" s="245"/>
      <c r="N9" s="63"/>
      <c r="O9" s="63"/>
    </row>
    <row r="10" spans="1:15" ht="28.9">
      <c r="A10" s="25" t="str">
        <v>Modesto - Modesto Main</v>
      </c>
      <c r="B10" s="26" t="str">
        <v>CA</v>
      </c>
      <c r="C10" s="21">
        <v>10120.90625</v>
      </c>
      <c r="D10" s="11">
        <v>13359</v>
      </c>
      <c r="E10" s="11">
        <f t="shared" si="0"/>
        <v>-3238.09375</v>
      </c>
      <c r="F10" s="12">
        <f t="shared" si="3"/>
        <v>-0.24239042967287971</v>
      </c>
      <c r="G10" s="13">
        <v>17922.64</v>
      </c>
      <c r="H10" s="13">
        <f t="shared" si="1"/>
        <v>-7801.7337499999994</v>
      </c>
      <c r="I10" s="14">
        <f t="shared" si="2"/>
        <v>-0.43530047749661877</v>
      </c>
      <c r="J10" s="238" t="s">
        <v>160</v>
      </c>
      <c r="K10" s="77" t="s">
        <v>161</v>
      </c>
      <c r="L10" s="245" t="s">
        <v>354</v>
      </c>
      <c r="M10" s="245"/>
      <c r="N10" s="63"/>
      <c r="O10" s="63"/>
    </row>
    <row r="11" spans="1:15" ht="72">
      <c r="A11" s="27" t="str">
        <v>Stevens Creek</v>
      </c>
      <c r="B11" s="28" t="str">
        <v>CA</v>
      </c>
      <c r="C11" s="10">
        <v>4163.2125192949597</v>
      </c>
      <c r="D11" s="15">
        <v>3733.6109999999999</v>
      </c>
      <c r="E11" s="15">
        <f t="shared" si="0"/>
        <v>429.60151929495987</v>
      </c>
      <c r="F11" s="16">
        <f t="shared" si="3"/>
        <v>0.11506327769415718</v>
      </c>
      <c r="G11" s="17">
        <v>4062</v>
      </c>
      <c r="H11" s="17">
        <f t="shared" si="1"/>
        <v>101.21251929495975</v>
      </c>
      <c r="I11" s="16">
        <f t="shared" si="2"/>
        <v>2.4916917600925591E-2</v>
      </c>
      <c r="J11" s="270" t="s">
        <v>315</v>
      </c>
      <c r="K11" s="270"/>
      <c r="L11" s="245"/>
      <c r="M11" s="245"/>
      <c r="N11" s="63"/>
      <c r="O11" s="63"/>
    </row>
    <row r="12" spans="1:15" ht="15.6">
      <c r="A12" s="25" t="str">
        <v>Covina Main</v>
      </c>
      <c r="B12" s="26" t="str">
        <v>CA</v>
      </c>
      <c r="C12" s="21">
        <v>3249.6</v>
      </c>
      <c r="D12" s="11">
        <v>2689.172</v>
      </c>
      <c r="E12" s="11">
        <f t="shared" si="0"/>
        <v>560.42799999999988</v>
      </c>
      <c r="F12" s="12">
        <f t="shared" si="3"/>
        <v>0.20840169390429467</v>
      </c>
      <c r="G12" s="13">
        <v>2815</v>
      </c>
      <c r="H12" s="13">
        <f t="shared" si="1"/>
        <v>434.59999999999991</v>
      </c>
      <c r="I12" s="14">
        <f t="shared" si="2"/>
        <v>0.15438721136767314</v>
      </c>
      <c r="J12" s="238"/>
      <c r="K12" s="238"/>
      <c r="L12" s="245"/>
      <c r="M12" s="245"/>
      <c r="N12" s="63"/>
      <c r="O12" s="63"/>
    </row>
    <row r="13" spans="1:15" ht="72">
      <c r="A13" s="27" t="str">
        <v>Old Ranch Town Center</v>
      </c>
      <c r="B13" s="28" t="str">
        <v>CA</v>
      </c>
      <c r="C13" s="10">
        <v>1088.85873535156</v>
      </c>
      <c r="D13" s="15" t="s">
        <v>202</v>
      </c>
      <c r="E13" s="15" t="str">
        <f t="shared" si="0"/>
        <v/>
      </c>
      <c r="F13" s="16" t="str">
        <f t="shared" si="3"/>
        <v/>
      </c>
      <c r="G13" s="17">
        <v>1179</v>
      </c>
      <c r="H13" s="17">
        <f t="shared" si="1"/>
        <v>-90.141264648440028</v>
      </c>
      <c r="I13" s="16">
        <f t="shared" si="2"/>
        <v>-7.6455695206480087E-2</v>
      </c>
      <c r="J13" s="270" t="s">
        <v>316</v>
      </c>
      <c r="K13" s="270"/>
      <c r="L13" s="245"/>
      <c r="M13" s="245"/>
      <c r="N13" s="63"/>
      <c r="O13" s="63"/>
    </row>
    <row r="14" spans="1:15" ht="72">
      <c r="A14" s="25" t="str">
        <v>Mountain Gate Plaza</v>
      </c>
      <c r="B14" s="26" t="str">
        <v>CA</v>
      </c>
      <c r="C14" s="21">
        <v>7579.8999999999896</v>
      </c>
      <c r="D14" s="11" t="s">
        <v>202</v>
      </c>
      <c r="E14" s="11" t="str">
        <f t="shared" si="0"/>
        <v/>
      </c>
      <c r="F14" s="12" t="str">
        <f t="shared" si="3"/>
        <v/>
      </c>
      <c r="G14" s="13">
        <v>8587</v>
      </c>
      <c r="H14" s="13">
        <f t="shared" si="1"/>
        <v>-1007.1000000000104</v>
      </c>
      <c r="I14" s="14">
        <f t="shared" si="2"/>
        <v>-0.1172819378129743</v>
      </c>
      <c r="J14" s="238" t="s">
        <v>315</v>
      </c>
      <c r="K14" s="238"/>
      <c r="L14" s="245"/>
      <c r="M14" s="245"/>
      <c r="N14" s="63"/>
      <c r="O14" s="63"/>
    </row>
    <row r="15" spans="1:15" ht="72">
      <c r="A15" s="27" t="str">
        <v>Arcadia Main</v>
      </c>
      <c r="B15" s="28" t="str">
        <v>CA</v>
      </c>
      <c r="C15" s="10">
        <v>3521.9006835937498</v>
      </c>
      <c r="D15" s="15" t="s">
        <v>202</v>
      </c>
      <c r="E15" s="15" t="str">
        <f t="shared" si="0"/>
        <v/>
      </c>
      <c r="F15" s="16" t="str">
        <f t="shared" si="3"/>
        <v/>
      </c>
      <c r="G15" s="17">
        <v>4489</v>
      </c>
      <c r="H15" s="17">
        <f t="shared" si="1"/>
        <v>-967.09931640625018</v>
      </c>
      <c r="I15" s="16">
        <f t="shared" si="2"/>
        <v>-0.2154375844077189</v>
      </c>
      <c r="J15" s="270" t="s">
        <v>315</v>
      </c>
      <c r="K15" s="270"/>
      <c r="L15" s="245"/>
      <c r="M15" s="245"/>
      <c r="N15" s="63"/>
      <c r="O15" s="63"/>
    </row>
    <row r="16" spans="1:15" ht="72">
      <c r="A16" s="25" t="str">
        <v>Fairfield</v>
      </c>
      <c r="B16" s="26" t="str">
        <v>CA</v>
      </c>
      <c r="C16" s="21">
        <v>2838.7173046875</v>
      </c>
      <c r="D16" s="11">
        <v>2978.2249999999999</v>
      </c>
      <c r="E16" s="11">
        <f t="shared" si="0"/>
        <v>-139.50769531249989</v>
      </c>
      <c r="F16" s="12">
        <f t="shared" si="3"/>
        <v>-4.6842564048216601E-2</v>
      </c>
      <c r="G16" s="13">
        <v>3466</v>
      </c>
      <c r="H16" s="13">
        <f t="shared" si="1"/>
        <v>-627.28269531249998</v>
      </c>
      <c r="I16" s="14">
        <f t="shared" si="2"/>
        <v>-0.18098173552005192</v>
      </c>
      <c r="J16" s="238" t="s">
        <v>355</v>
      </c>
      <c r="K16" s="238"/>
      <c r="L16" s="245"/>
      <c r="M16" s="245"/>
      <c r="N16" s="63"/>
      <c r="O16" s="63"/>
    </row>
    <row r="17" spans="1:15" ht="15.6">
      <c r="A17" s="27" t="str">
        <v>Los Gatos</v>
      </c>
      <c r="B17" s="28" t="str">
        <v>CA</v>
      </c>
      <c r="C17" s="10">
        <v>1506.3343359375001</v>
      </c>
      <c r="D17" s="15">
        <v>1461.6369999999999</v>
      </c>
      <c r="E17" s="15">
        <f t="shared" si="0"/>
        <v>44.697335937500156</v>
      </c>
      <c r="F17" s="16">
        <f t="shared" si="3"/>
        <v>3.0580325988942642E-2</v>
      </c>
      <c r="G17" s="17">
        <v>0</v>
      </c>
      <c r="H17" s="17">
        <f t="shared" si="1"/>
        <v>1506.3343359375001</v>
      </c>
      <c r="I17" s="16" t="str">
        <f t="shared" si="2"/>
        <v/>
      </c>
      <c r="J17" s="270"/>
      <c r="K17" s="270"/>
      <c r="L17" s="245"/>
      <c r="M17" s="245"/>
      <c r="N17" s="63"/>
      <c r="O17" s="63"/>
    </row>
    <row r="18" spans="1:15" ht="12.75" customHeight="1">
      <c r="A18" s="25" t="str">
        <v>San Marino</v>
      </c>
      <c r="B18" s="26" t="str">
        <v>CA</v>
      </c>
      <c r="C18" s="21">
        <v>3181.8</v>
      </c>
      <c r="D18" s="11">
        <v>3399.4140000000002</v>
      </c>
      <c r="E18" s="11">
        <f t="shared" si="0"/>
        <v>-217.61400000000003</v>
      </c>
      <c r="F18" s="12">
        <f t="shared" si="3"/>
        <v>-6.4015150846587099E-2</v>
      </c>
      <c r="G18" s="13">
        <v>4094.2730000000001</v>
      </c>
      <c r="H18" s="13">
        <f t="shared" si="1"/>
        <v>-912.47299999999996</v>
      </c>
      <c r="I18" s="14">
        <f t="shared" si="2"/>
        <v>-0.22286569557037353</v>
      </c>
      <c r="J18" s="238" t="s">
        <v>207</v>
      </c>
      <c r="K18" s="77" t="s">
        <v>239</v>
      </c>
      <c r="L18" s="246" t="s">
        <v>356</v>
      </c>
      <c r="M18" s="246"/>
      <c r="N18" s="63"/>
      <c r="O18" s="63"/>
    </row>
    <row r="19" spans="1:15" ht="72">
      <c r="A19" s="27" t="str">
        <v>Buenaventura</v>
      </c>
      <c r="B19" s="28" t="str">
        <v>CA</v>
      </c>
      <c r="C19" s="10">
        <v>4628.01562500001</v>
      </c>
      <c r="D19" s="15">
        <v>3414.8</v>
      </c>
      <c r="E19" s="15">
        <f t="shared" si="0"/>
        <v>1213.2156250000098</v>
      </c>
      <c r="F19" s="16">
        <f t="shared" si="3"/>
        <v>0.35528160507204221</v>
      </c>
      <c r="G19" s="17">
        <v>4846.482</v>
      </c>
      <c r="H19" s="17">
        <f t="shared" si="1"/>
        <v>-218.46637499998997</v>
      </c>
      <c r="I19" s="16">
        <f t="shared" si="2"/>
        <v>-4.5077310717338878E-2</v>
      </c>
      <c r="J19" s="270" t="s">
        <v>315</v>
      </c>
      <c r="K19" s="270"/>
      <c r="L19" s="245"/>
      <c r="M19" s="245"/>
      <c r="N19" s="63"/>
      <c r="O19" s="63"/>
    </row>
    <row r="20" spans="1:15" ht="72">
      <c r="A20" s="25" t="str">
        <v>BE 199502 - Westgate</v>
      </c>
      <c r="B20" s="26" t="str">
        <v>CA</v>
      </c>
      <c r="C20" s="21">
        <v>1492.9</v>
      </c>
      <c r="D20" s="11" t="s">
        <v>202</v>
      </c>
      <c r="E20" s="11" t="str">
        <f t="shared" si="0"/>
        <v/>
      </c>
      <c r="F20" s="12" t="str">
        <f t="shared" si="3"/>
        <v/>
      </c>
      <c r="G20" s="13">
        <v>1771.355</v>
      </c>
      <c r="H20" s="13">
        <f t="shared" si="1"/>
        <v>-278.45499999999993</v>
      </c>
      <c r="I20" s="14">
        <f t="shared" si="2"/>
        <v>-0.15719886753361123</v>
      </c>
      <c r="J20" s="238" t="s">
        <v>316</v>
      </c>
      <c r="K20" s="238"/>
      <c r="L20" s="245"/>
      <c r="M20" s="245"/>
      <c r="N20" s="63"/>
      <c r="O20" s="63"/>
    </row>
    <row r="21" spans="1:15" ht="15.6">
      <c r="A21" s="27" t="str">
        <v>98th &amp; Grant</v>
      </c>
      <c r="B21" s="28" t="str">
        <v>CO</v>
      </c>
      <c r="C21" s="10">
        <v>1830</v>
      </c>
      <c r="D21" s="15" t="s">
        <v>202</v>
      </c>
      <c r="E21" s="15" t="str">
        <f t="shared" si="0"/>
        <v/>
      </c>
      <c r="F21" s="16" t="str">
        <f t="shared" si="3"/>
        <v/>
      </c>
      <c r="G21" s="17">
        <v>1610</v>
      </c>
      <c r="H21" s="17">
        <f t="shared" si="1"/>
        <v>220</v>
      </c>
      <c r="I21" s="16">
        <f t="shared" si="2"/>
        <v>0.13664596273291926</v>
      </c>
      <c r="J21" s="270"/>
      <c r="K21" s="270"/>
      <c r="L21" s="245"/>
      <c r="M21" s="245"/>
      <c r="N21" s="63"/>
      <c r="O21" s="63"/>
    </row>
    <row r="22" spans="1:15" ht="28.9">
      <c r="A22" s="25" t="str">
        <v>Arapahoe Crossings</v>
      </c>
      <c r="B22" s="26" t="str">
        <v>CO</v>
      </c>
      <c r="C22" s="21">
        <v>2227.0006916357802</v>
      </c>
      <c r="D22" s="11" t="s">
        <v>202</v>
      </c>
      <c r="E22" s="11" t="str">
        <f t="shared" si="0"/>
        <v/>
      </c>
      <c r="F22" s="12" t="str">
        <f t="shared" si="3"/>
        <v/>
      </c>
      <c r="G22" s="13">
        <v>2969.0729999999999</v>
      </c>
      <c r="H22" s="13">
        <f t="shared" si="1"/>
        <v>-742.07230836421968</v>
      </c>
      <c r="I22" s="14">
        <f t="shared" si="2"/>
        <v>-0.24993400578706543</v>
      </c>
      <c r="J22" s="238" t="s">
        <v>317</v>
      </c>
      <c r="K22" s="77" t="s">
        <v>243</v>
      </c>
      <c r="L22" s="245" t="s">
        <v>354</v>
      </c>
      <c r="M22" s="245"/>
      <c r="N22" s="63"/>
      <c r="O22" s="63"/>
    </row>
    <row r="23" spans="1:15" ht="15.6">
      <c r="A23" s="27" t="str">
        <v>Aurora City Center</v>
      </c>
      <c r="B23" s="28" t="str">
        <v>CO</v>
      </c>
      <c r="C23" s="10">
        <v>1357.5999999999899</v>
      </c>
      <c r="D23" s="15" t="s">
        <v>202</v>
      </c>
      <c r="E23" s="15" t="str">
        <f t="shared" si="0"/>
        <v/>
      </c>
      <c r="F23" s="16" t="str">
        <f t="shared" si="3"/>
        <v/>
      </c>
      <c r="G23" s="17">
        <v>1424</v>
      </c>
      <c r="H23" s="17">
        <f t="shared" si="1"/>
        <v>-66.400000000010095</v>
      </c>
      <c r="I23" s="16">
        <f t="shared" si="2"/>
        <v>-4.6629213483153159E-2</v>
      </c>
      <c r="J23" s="270"/>
      <c r="K23" s="271"/>
      <c r="L23" s="245"/>
      <c r="M23" s="245"/>
      <c r="N23" s="63"/>
      <c r="O23" s="63"/>
    </row>
    <row r="24" spans="1:15" ht="15.6">
      <c r="A24" s="25" t="str">
        <v>Dry Creek</v>
      </c>
      <c r="B24" s="26" t="str">
        <v>CO</v>
      </c>
      <c r="C24" s="21">
        <v>1477.1000000000099</v>
      </c>
      <c r="D24" s="11">
        <v>0</v>
      </c>
      <c r="E24" s="11">
        <f t="shared" si="0"/>
        <v>1477.1000000000099</v>
      </c>
      <c r="F24" s="12" t="str">
        <f t="shared" si="3"/>
        <v/>
      </c>
      <c r="G24" s="13">
        <v>1742</v>
      </c>
      <c r="H24" s="13">
        <f t="shared" si="1"/>
        <v>-264.89999999999009</v>
      </c>
      <c r="I24" s="14">
        <f t="shared" si="2"/>
        <v>-0.15206659012628593</v>
      </c>
      <c r="J24" s="239" t="s">
        <v>357</v>
      </c>
      <c r="K24" s="77" t="s">
        <v>358</v>
      </c>
      <c r="L24" s="245" t="s">
        <v>359</v>
      </c>
      <c r="M24" s="245"/>
      <c r="N24" s="63"/>
      <c r="O24" s="63"/>
    </row>
    <row r="25" spans="1:15" ht="15.6">
      <c r="A25" s="27" t="str">
        <v>Highlands Ranch S.</v>
      </c>
      <c r="B25" s="28" t="str">
        <v>CO</v>
      </c>
      <c r="C25" s="10">
        <v>1617</v>
      </c>
      <c r="D25" s="15" t="s">
        <v>202</v>
      </c>
      <c r="E25" s="15" t="str">
        <f t="shared" si="0"/>
        <v/>
      </c>
      <c r="F25" s="16" t="str">
        <f t="shared" si="3"/>
        <v/>
      </c>
      <c r="G25" s="17">
        <v>1605</v>
      </c>
      <c r="H25" s="17">
        <f t="shared" si="1"/>
        <v>12</v>
      </c>
      <c r="I25" s="16">
        <f t="shared" si="2"/>
        <v>7.4766355140186919E-3</v>
      </c>
      <c r="K25" s="270"/>
      <c r="L25" s="245"/>
      <c r="M25" s="245"/>
      <c r="N25" s="63"/>
      <c r="O25" s="63"/>
    </row>
    <row r="26" spans="1:15" ht="15.6">
      <c r="A26" s="25" t="str">
        <v>Lone Tree</v>
      </c>
      <c r="B26" s="26" t="str">
        <v>CO</v>
      </c>
      <c r="C26" s="21">
        <v>2170.6999999999798</v>
      </c>
      <c r="D26" s="11" t="s">
        <v>202</v>
      </c>
      <c r="E26" s="11" t="str">
        <f t="shared" si="0"/>
        <v/>
      </c>
      <c r="F26" s="12" t="str">
        <f t="shared" si="3"/>
        <v/>
      </c>
      <c r="G26" s="13">
        <v>3663</v>
      </c>
      <c r="H26" s="13">
        <f t="shared" si="1"/>
        <v>-1492.3000000000202</v>
      </c>
      <c r="I26" s="14">
        <f t="shared" si="2"/>
        <v>-0.4073983073983129</v>
      </c>
      <c r="J26" s="238" t="s">
        <v>210</v>
      </c>
      <c r="K26" s="77" t="s">
        <v>211</v>
      </c>
      <c r="L26" s="245" t="s">
        <v>360</v>
      </c>
      <c r="M26" s="245"/>
      <c r="N26" s="63"/>
      <c r="O26" s="63"/>
    </row>
    <row r="27" spans="1:15" ht="15.6">
      <c r="A27" s="27" t="str">
        <v>Meridian</v>
      </c>
      <c r="B27" s="28" t="str">
        <v>CO</v>
      </c>
      <c r="C27" s="10">
        <v>2554</v>
      </c>
      <c r="D27" s="15" t="s">
        <v>202</v>
      </c>
      <c r="E27" s="15" t="str">
        <f t="shared" si="0"/>
        <v/>
      </c>
      <c r="F27" s="16" t="str">
        <f t="shared" si="3"/>
        <v/>
      </c>
      <c r="G27" s="17">
        <v>2150</v>
      </c>
      <c r="H27" s="17">
        <f t="shared" si="1"/>
        <v>404</v>
      </c>
      <c r="I27" s="16">
        <f t="shared" si="2"/>
        <v>0.18790697674418605</v>
      </c>
      <c r="J27" s="270"/>
      <c r="K27" s="270"/>
      <c r="L27" s="245"/>
      <c r="M27" s="245"/>
      <c r="N27" s="63"/>
      <c r="O27" s="63"/>
    </row>
    <row r="28" spans="1:15" ht="15.6">
      <c r="A28" s="25" t="str">
        <v>Southglenn</v>
      </c>
      <c r="B28" s="26" t="str">
        <v>CO</v>
      </c>
      <c r="C28" s="21">
        <v>2639.8</v>
      </c>
      <c r="D28" s="11" t="s">
        <v>202</v>
      </c>
      <c r="E28" s="11" t="str">
        <f t="shared" si="0"/>
        <v/>
      </c>
      <c r="F28" s="12" t="str">
        <f t="shared" si="3"/>
        <v/>
      </c>
      <c r="G28" s="13">
        <v>2239</v>
      </c>
      <c r="H28" s="13">
        <f t="shared" si="1"/>
        <v>400.80000000000018</v>
      </c>
      <c r="I28" s="14">
        <f t="shared" si="2"/>
        <v>0.17900848593121937</v>
      </c>
      <c r="J28" s="238"/>
      <c r="K28" s="238"/>
      <c r="L28" s="245"/>
      <c r="M28" s="245"/>
      <c r="N28" s="63"/>
      <c r="O28" s="63"/>
    </row>
    <row r="29" spans="1:15" ht="15.6">
      <c r="A29" s="27" t="str">
        <v>Standley Lake</v>
      </c>
      <c r="B29" s="28" t="str">
        <v>CO</v>
      </c>
      <c r="C29" s="10">
        <v>3378.8999999999901</v>
      </c>
      <c r="D29" s="15" t="s">
        <v>202</v>
      </c>
      <c r="E29" s="15" t="str">
        <f t="shared" si="0"/>
        <v/>
      </c>
      <c r="F29" s="16" t="str">
        <f t="shared" si="3"/>
        <v/>
      </c>
      <c r="G29" s="17">
        <v>2986</v>
      </c>
      <c r="H29" s="17">
        <f t="shared" si="1"/>
        <v>392.89999999999009</v>
      </c>
      <c r="I29" s="16">
        <f t="shared" si="2"/>
        <v>0.1315807099799029</v>
      </c>
      <c r="J29" s="270"/>
      <c r="K29" s="270"/>
      <c r="L29" s="245"/>
      <c r="M29" s="245"/>
      <c r="N29" s="63"/>
      <c r="O29" s="63"/>
    </row>
    <row r="30" spans="1:15" ht="15.6">
      <c r="A30" s="25" t="str">
        <v>Havana Gardens</v>
      </c>
      <c r="B30" s="26" t="str">
        <v>CO</v>
      </c>
      <c r="C30" s="21">
        <v>2846.7999999999902</v>
      </c>
      <c r="D30" s="11" t="s">
        <v>202</v>
      </c>
      <c r="E30" s="11" t="str">
        <f t="shared" si="0"/>
        <v/>
      </c>
      <c r="F30" s="12" t="str">
        <f t="shared" si="3"/>
        <v/>
      </c>
      <c r="G30" s="13">
        <v>1166</v>
      </c>
      <c r="H30" s="13">
        <f t="shared" si="1"/>
        <v>1680.7999999999902</v>
      </c>
      <c r="I30" s="14">
        <f t="shared" si="2"/>
        <v>1.4415094339622558</v>
      </c>
      <c r="J30" s="238"/>
      <c r="K30" s="238"/>
      <c r="L30" s="245"/>
      <c r="M30" s="245"/>
      <c r="N30" s="63"/>
      <c r="O30" s="63"/>
    </row>
    <row r="31" spans="1:15" ht="28.9">
      <c r="A31" s="27" t="str">
        <v>East Hartford</v>
      </c>
      <c r="B31" s="28" t="str">
        <v>CT</v>
      </c>
      <c r="C31" s="10">
        <v>495.70000000000101</v>
      </c>
      <c r="D31" s="15">
        <v>577</v>
      </c>
      <c r="E31" s="15">
        <f t="shared" si="0"/>
        <v>-81.299999999998988</v>
      </c>
      <c r="F31" s="16">
        <f t="shared" si="3"/>
        <v>-0.14090121317157536</v>
      </c>
      <c r="G31" s="17">
        <v>600.79679999999996</v>
      </c>
      <c r="H31" s="17">
        <f t="shared" si="1"/>
        <v>-105.09679999999895</v>
      </c>
      <c r="I31" s="16">
        <f t="shared" si="2"/>
        <v>-0.17492902758469911</v>
      </c>
      <c r="J31" s="270" t="s">
        <v>100</v>
      </c>
      <c r="K31" s="270"/>
      <c r="L31" s="245"/>
      <c r="M31" s="245"/>
      <c r="N31" s="63"/>
      <c r="O31" s="63"/>
    </row>
    <row r="32" spans="1:15" ht="72">
      <c r="A32" s="25" t="str">
        <v>Norwalk</v>
      </c>
      <c r="B32" s="26" t="str">
        <v>CT</v>
      </c>
      <c r="C32" s="21">
        <v>231.73969912191001</v>
      </c>
      <c r="D32" s="11">
        <v>0</v>
      </c>
      <c r="E32" s="11">
        <f t="shared" si="0"/>
        <v>231.73969912191001</v>
      </c>
      <c r="F32" s="12" t="str">
        <f t="shared" si="3"/>
        <v/>
      </c>
      <c r="G32" s="13">
        <v>714.30240000000003</v>
      </c>
      <c r="H32" s="13">
        <f t="shared" si="1"/>
        <v>-482.56270087809003</v>
      </c>
      <c r="I32" s="14">
        <f t="shared" si="2"/>
        <v>-0.67557199986740912</v>
      </c>
      <c r="J32" s="238" t="s">
        <v>256</v>
      </c>
      <c r="K32" s="77" t="s">
        <v>322</v>
      </c>
      <c r="L32" s="246" t="s">
        <v>361</v>
      </c>
      <c r="M32" s="237" t="s">
        <v>362</v>
      </c>
      <c r="N32" s="63"/>
      <c r="O32" s="63"/>
    </row>
    <row r="33" spans="1:19" ht="28.9">
      <c r="A33" s="27" t="str">
        <v>Hialeah Gardens</v>
      </c>
      <c r="B33" s="28" t="str">
        <v>FL</v>
      </c>
      <c r="C33" s="10">
        <v>671.99640434980404</v>
      </c>
      <c r="D33" s="15">
        <v>4958.9229999999998</v>
      </c>
      <c r="E33" s="15">
        <f t="shared" si="0"/>
        <v>-4286.9265956501958</v>
      </c>
      <c r="F33" s="16">
        <f t="shared" si="3"/>
        <v>-0.86448742915552346</v>
      </c>
      <c r="G33" s="17">
        <v>4137</v>
      </c>
      <c r="H33" s="17">
        <f t="shared" si="1"/>
        <v>-3465.0035956501961</v>
      </c>
      <c r="I33" s="16">
        <f t="shared" si="2"/>
        <v>-0.83756432092100463</v>
      </c>
      <c r="J33" s="270" t="s">
        <v>172</v>
      </c>
      <c r="K33" s="80" t="s">
        <v>109</v>
      </c>
      <c r="L33" s="246" t="s">
        <v>351</v>
      </c>
      <c r="M33" s="246"/>
      <c r="N33" s="63"/>
      <c r="O33" s="63"/>
    </row>
    <row r="34" spans="1:19" ht="15.6">
      <c r="A34" s="25" t="str">
        <v>W. Des Moines Campus EAST</v>
      </c>
      <c r="B34" s="26" t="str">
        <v>IA</v>
      </c>
      <c r="C34" s="21">
        <v>143195.99999999901</v>
      </c>
      <c r="D34" s="11">
        <v>146853.29999999999</v>
      </c>
      <c r="E34" s="11">
        <f t="shared" si="0"/>
        <v>-3657.3000000009779</v>
      </c>
      <c r="F34" s="12">
        <f t="shared" si="3"/>
        <v>-2.4904445456799255E-2</v>
      </c>
      <c r="G34" s="13">
        <v>154900</v>
      </c>
      <c r="H34" s="13">
        <f t="shared" si="1"/>
        <v>-11704.00000000099</v>
      </c>
      <c r="I34" s="14">
        <f t="shared" si="2"/>
        <v>-7.5558424790193604E-2</v>
      </c>
      <c r="J34" s="238" t="s">
        <v>363</v>
      </c>
      <c r="K34" s="77" t="s">
        <v>364</v>
      </c>
      <c r="L34" s="245" t="s">
        <v>354</v>
      </c>
      <c r="M34" s="245"/>
      <c r="N34" s="63"/>
      <c r="O34" s="63"/>
    </row>
    <row r="35" spans="1:19" ht="57.6">
      <c r="A35" s="27" t="str">
        <v>W. Des Moines Campus SW</v>
      </c>
      <c r="B35" s="28" t="str">
        <v>IA</v>
      </c>
      <c r="C35" s="10">
        <v>51760</v>
      </c>
      <c r="D35" s="15">
        <v>79675.070000000007</v>
      </c>
      <c r="E35" s="15">
        <f t="shared" si="0"/>
        <v>-27915.070000000007</v>
      </c>
      <c r="F35" s="16">
        <f t="shared" si="3"/>
        <v>-0.3503614116686688</v>
      </c>
      <c r="G35" s="17">
        <v>76627.94</v>
      </c>
      <c r="H35" s="17">
        <f t="shared" si="1"/>
        <v>-24867.940000000002</v>
      </c>
      <c r="I35" s="16">
        <f t="shared" si="2"/>
        <v>-0.32452836393618306</v>
      </c>
      <c r="J35" s="270" t="s">
        <v>365</v>
      </c>
      <c r="K35" s="80" t="s">
        <v>260</v>
      </c>
      <c r="L35" s="246" t="s">
        <v>361</v>
      </c>
      <c r="M35" s="237" t="s">
        <v>366</v>
      </c>
      <c r="N35" s="63"/>
      <c r="O35" s="63"/>
    </row>
    <row r="36" spans="1:19" s="156" customFormat="1" ht="28.9">
      <c r="A36" s="25" t="str">
        <v>WF - CIC</v>
      </c>
      <c r="B36" s="26" t="str">
        <v>NC</v>
      </c>
      <c r="C36" s="21">
        <v>135077</v>
      </c>
      <c r="D36" s="11">
        <v>141173.652</v>
      </c>
      <c r="E36" s="11">
        <f t="shared" si="0"/>
        <v>-6096.6520000000019</v>
      </c>
      <c r="F36" s="12">
        <f t="shared" si="3"/>
        <v>-4.3185480531452158E-2</v>
      </c>
      <c r="G36" s="13">
        <v>158525.41800000001</v>
      </c>
      <c r="H36" s="13">
        <f t="shared" si="1"/>
        <v>-23448.418000000005</v>
      </c>
      <c r="I36" s="14">
        <f t="shared" si="2"/>
        <v>-0.14791582508238524</v>
      </c>
      <c r="J36" s="238" t="s">
        <v>367</v>
      </c>
      <c r="K36" s="77" t="s">
        <v>368</v>
      </c>
      <c r="L36" s="245" t="s">
        <v>354</v>
      </c>
      <c r="M36" s="245"/>
      <c r="N36" s="63"/>
      <c r="O36" s="63"/>
      <c r="P36"/>
      <c r="Q36"/>
      <c r="R36"/>
      <c r="S36"/>
    </row>
    <row r="37" spans="1:19" ht="15.6">
      <c r="A37" s="27" t="str">
        <v>Charlotte - Wells Fargo - DUC</v>
      </c>
      <c r="B37" s="28" t="str">
        <v>NC</v>
      </c>
      <c r="C37" s="10">
        <v>135654</v>
      </c>
      <c r="D37" s="15">
        <v>156156</v>
      </c>
      <c r="E37" s="15">
        <f t="shared" si="0"/>
        <v>-20502</v>
      </c>
      <c r="F37" s="16">
        <f t="shared" si="3"/>
        <v>-0.13129178513793899</v>
      </c>
      <c r="G37" s="17">
        <v>150295.5</v>
      </c>
      <c r="H37" s="17">
        <f t="shared" si="1"/>
        <v>-14641.5</v>
      </c>
      <c r="I37" s="16">
        <f t="shared" si="2"/>
        <v>-9.7418086369851387E-2</v>
      </c>
      <c r="J37" s="270"/>
      <c r="K37" s="84" t="s">
        <v>369</v>
      </c>
      <c r="L37" s="245" t="s">
        <v>354</v>
      </c>
      <c r="M37" s="245"/>
      <c r="N37" s="63"/>
      <c r="O37" s="63"/>
    </row>
    <row r="38" spans="1:19" ht="15.6">
      <c r="A38" s="25" t="str">
        <v>East Windsor</v>
      </c>
      <c r="B38" s="26" t="str">
        <v>NJ</v>
      </c>
      <c r="C38" s="21">
        <v>740.00000000000705</v>
      </c>
      <c r="D38" s="11">
        <v>737.31349999999998</v>
      </c>
      <c r="E38" s="11">
        <f t="shared" si="0"/>
        <v>2.6865000000070722</v>
      </c>
      <c r="F38" s="12">
        <f t="shared" si="3"/>
        <v>3.6436332713385452E-3</v>
      </c>
      <c r="G38" s="13">
        <v>765.64559999999994</v>
      </c>
      <c r="H38" s="13">
        <f t="shared" si="1"/>
        <v>-25.645599999992896</v>
      </c>
      <c r="I38" s="14">
        <f t="shared" si="2"/>
        <v>-3.3495392646405726E-2</v>
      </c>
      <c r="J38" s="238"/>
      <c r="K38" s="238"/>
      <c r="L38" s="245"/>
      <c r="M38" s="245"/>
      <c r="N38" s="63"/>
      <c r="O38" s="63"/>
    </row>
    <row r="39" spans="1:19" ht="15.6">
      <c r="A39" s="27" t="str">
        <v>Burlington</v>
      </c>
      <c r="B39" s="28" t="str">
        <v>NJ</v>
      </c>
      <c r="C39" s="10">
        <v>1979.3</v>
      </c>
      <c r="D39" s="15">
        <v>1688.337</v>
      </c>
      <c r="E39" s="15">
        <f t="shared" si="0"/>
        <v>290.96299999999997</v>
      </c>
      <c r="F39" s="16">
        <f t="shared" si="3"/>
        <v>0.1723370393470024</v>
      </c>
      <c r="G39" s="17">
        <v>1938.693</v>
      </c>
      <c r="H39" s="17">
        <f t="shared" si="1"/>
        <v>40.606999999999971</v>
      </c>
      <c r="I39" s="16">
        <f t="shared" si="2"/>
        <v>2.0945554556600746E-2</v>
      </c>
      <c r="J39" s="270"/>
      <c r="K39" s="270"/>
      <c r="L39" s="245"/>
      <c r="M39" s="245"/>
      <c r="N39" s="63"/>
      <c r="O39" s="63"/>
    </row>
    <row r="40" spans="1:19" ht="15.6">
      <c r="A40" s="25" t="str">
        <v>Bayonne</v>
      </c>
      <c r="B40" s="26" t="str">
        <v>NJ</v>
      </c>
      <c r="C40" s="21">
        <v>2462.8999999999901</v>
      </c>
      <c r="D40" s="11">
        <v>2356.127</v>
      </c>
      <c r="E40" s="11">
        <f t="shared" si="0"/>
        <v>106.77299999999013</v>
      </c>
      <c r="F40" s="12">
        <f t="shared" si="3"/>
        <v>4.5317166689227757E-2</v>
      </c>
      <c r="G40" s="13">
        <v>2496.777</v>
      </c>
      <c r="H40" s="13">
        <f t="shared" si="1"/>
        <v>-33.877000000009957</v>
      </c>
      <c r="I40" s="14">
        <f t="shared" si="2"/>
        <v>-1.3568292242362837E-2</v>
      </c>
      <c r="J40" s="238"/>
      <c r="K40" s="238"/>
      <c r="L40" s="245"/>
      <c r="M40" s="245"/>
      <c r="N40" s="63"/>
      <c r="O40" s="63"/>
    </row>
    <row r="41" spans="1:19" ht="15.6">
      <c r="A41" s="27" t="str">
        <v>Clifton</v>
      </c>
      <c r="B41" s="28" t="str">
        <v>NJ</v>
      </c>
      <c r="C41" s="10">
        <v>3000.875</v>
      </c>
      <c r="D41" s="15">
        <v>3035.5520000000001</v>
      </c>
      <c r="E41" s="15">
        <f t="shared" si="0"/>
        <v>-34.677000000000135</v>
      </c>
      <c r="F41" s="16">
        <f t="shared" si="3"/>
        <v>-1.1423622458122982E-2</v>
      </c>
      <c r="G41" s="17">
        <v>3260.625</v>
      </c>
      <c r="H41" s="17">
        <f t="shared" si="1"/>
        <v>-259.75</v>
      </c>
      <c r="I41" s="16">
        <f t="shared" si="2"/>
        <v>-7.9662641364769027E-2</v>
      </c>
      <c r="J41" s="270"/>
      <c r="K41" s="270"/>
      <c r="L41" s="245"/>
      <c r="M41" s="245"/>
      <c r="N41" s="63"/>
      <c r="O41" s="63"/>
    </row>
    <row r="42" spans="1:19" ht="72">
      <c r="A42" s="25" t="str">
        <v>North Elizabeth</v>
      </c>
      <c r="B42" s="26" t="str">
        <v>NJ</v>
      </c>
      <c r="C42" s="21">
        <v>2351.5</v>
      </c>
      <c r="D42" s="11">
        <v>1946.626</v>
      </c>
      <c r="E42" s="11">
        <f t="shared" si="0"/>
        <v>404.87400000000002</v>
      </c>
      <c r="F42" s="12">
        <f t="shared" si="3"/>
        <v>0.20798756412377109</v>
      </c>
      <c r="G42" s="13">
        <v>2666.9609999999998</v>
      </c>
      <c r="H42" s="13">
        <f t="shared" si="1"/>
        <v>-315.46099999999979</v>
      </c>
      <c r="I42" s="14">
        <f t="shared" si="2"/>
        <v>-0.11828481931306825</v>
      </c>
      <c r="J42" s="238" t="s">
        <v>315</v>
      </c>
      <c r="K42" s="238"/>
      <c r="L42" s="245"/>
      <c r="M42" s="245"/>
      <c r="N42" s="63"/>
      <c r="O42" s="63"/>
    </row>
    <row r="43" spans="1:19" ht="15.6">
      <c r="A43" s="27" t="str">
        <v>Haddon Westmont Plaza</v>
      </c>
      <c r="B43" s="28" t="str">
        <v>NJ</v>
      </c>
      <c r="C43" s="10">
        <v>1776.3999999999901</v>
      </c>
      <c r="D43" s="15">
        <v>1651.9770000000001</v>
      </c>
      <c r="E43" s="15">
        <f t="shared" si="0"/>
        <v>124.42299999999</v>
      </c>
      <c r="F43" s="16">
        <f t="shared" si="3"/>
        <v>7.5317634567545422E-2</v>
      </c>
      <c r="G43" s="17">
        <v>1860.6880000000001</v>
      </c>
      <c r="H43" s="17">
        <f t="shared" si="1"/>
        <v>-84.288000000010015</v>
      </c>
      <c r="I43" s="16">
        <f t="shared" si="2"/>
        <v>-4.5299373135103793E-2</v>
      </c>
      <c r="J43" s="270"/>
      <c r="K43" s="270"/>
      <c r="L43" s="245"/>
      <c r="M43" s="245"/>
      <c r="N43" s="63"/>
      <c r="O43" s="63"/>
    </row>
    <row r="44" spans="1:19" ht="15.6">
      <c r="A44" s="25" t="str">
        <v>Parsippany</v>
      </c>
      <c r="B44" s="26" t="str">
        <v>NJ</v>
      </c>
      <c r="C44" s="21">
        <v>2261.3000000000202</v>
      </c>
      <c r="D44" s="11">
        <v>2185.1550000000002</v>
      </c>
      <c r="E44" s="11">
        <f t="shared" si="0"/>
        <v>76.145000000019991</v>
      </c>
      <c r="F44" s="12">
        <f t="shared" si="3"/>
        <v>3.4846498303333168E-2</v>
      </c>
      <c r="G44" s="13">
        <v>2221.2570000000001</v>
      </c>
      <c r="H44" s="13">
        <f t="shared" si="1"/>
        <v>40.043000000020129</v>
      </c>
      <c r="I44" s="14">
        <f t="shared" si="2"/>
        <v>1.8027180105687962E-2</v>
      </c>
      <c r="J44" s="238"/>
      <c r="K44" s="238"/>
      <c r="L44" s="245"/>
      <c r="M44" s="245"/>
      <c r="N44" s="63"/>
      <c r="O44" s="63"/>
    </row>
    <row r="45" spans="1:19" ht="15.6">
      <c r="A45" s="27" t="str">
        <v>Clark</v>
      </c>
      <c r="B45" s="28" t="str">
        <v>NJ</v>
      </c>
      <c r="C45" s="10">
        <v>1812.8999999999901</v>
      </c>
      <c r="D45" s="15">
        <v>1611.941</v>
      </c>
      <c r="E45" s="15">
        <f t="shared" si="0"/>
        <v>200.95899999999006</v>
      </c>
      <c r="F45" s="16">
        <f t="shared" si="3"/>
        <v>0.12466895500517082</v>
      </c>
      <c r="G45" s="17">
        <v>1809.492</v>
      </c>
      <c r="H45" s="17">
        <f t="shared" si="1"/>
        <v>3.4079999999901247</v>
      </c>
      <c r="I45" s="16">
        <f t="shared" si="2"/>
        <v>1.8834015292635308E-3</v>
      </c>
      <c r="J45" s="270"/>
      <c r="K45" s="270"/>
      <c r="L45" s="245"/>
      <c r="M45" s="245"/>
      <c r="N45" s="63"/>
      <c r="O45" s="63"/>
    </row>
    <row r="46" spans="1:19" ht="15.6">
      <c r="A46" s="25" t="str">
        <v>Closter</v>
      </c>
      <c r="B46" s="26" t="str">
        <v>NJ</v>
      </c>
      <c r="C46" s="21">
        <v>439.79999999999598</v>
      </c>
      <c r="D46" s="11">
        <v>490.94979999999998</v>
      </c>
      <c r="E46" s="11">
        <f t="shared" si="0"/>
        <v>-51.149800000004007</v>
      </c>
      <c r="F46" s="12">
        <f t="shared" si="3"/>
        <v>-0.10418539736650062</v>
      </c>
      <c r="G46" s="13">
        <v>1044.885</v>
      </c>
      <c r="H46" s="13">
        <f t="shared" si="1"/>
        <v>-605.08500000000402</v>
      </c>
      <c r="I46" s="14">
        <f t="shared" si="2"/>
        <v>-0.57909243600970828</v>
      </c>
      <c r="J46" s="238" t="s">
        <v>370</v>
      </c>
      <c r="K46" s="77" t="s">
        <v>371</v>
      </c>
      <c r="L46" s="245" t="s">
        <v>354</v>
      </c>
      <c r="M46" s="245"/>
      <c r="N46" s="63"/>
      <c r="O46" s="63"/>
    </row>
    <row r="47" spans="1:19" ht="15.6">
      <c r="A47" s="27" t="str">
        <v>Holmdel</v>
      </c>
      <c r="B47" s="28" t="str">
        <v>NJ</v>
      </c>
      <c r="C47" s="10">
        <v>1031</v>
      </c>
      <c r="D47" s="15">
        <v>1848.52</v>
      </c>
      <c r="E47" s="15">
        <f t="shared" si="0"/>
        <v>-817.52</v>
      </c>
      <c r="F47" s="16">
        <f t="shared" si="3"/>
        <v>-0.44225650790902993</v>
      </c>
      <c r="G47" s="17">
        <v>1532.415</v>
      </c>
      <c r="H47" s="17">
        <f t="shared" si="1"/>
        <v>-501.41499999999996</v>
      </c>
      <c r="I47" s="16">
        <f t="shared" si="2"/>
        <v>-0.32720575040051159</v>
      </c>
      <c r="J47" s="270" t="s">
        <v>372</v>
      </c>
      <c r="K47" s="79" t="s">
        <v>373</v>
      </c>
      <c r="L47" s="245" t="s">
        <v>354</v>
      </c>
      <c r="M47" s="245"/>
      <c r="N47" s="63"/>
      <c r="O47" s="63"/>
    </row>
    <row r="48" spans="1:19" ht="15.6">
      <c r="A48" s="25" t="str">
        <v>Ellisburg Circle Center</v>
      </c>
      <c r="B48" s="26" t="str">
        <v>NJ</v>
      </c>
      <c r="C48" s="21">
        <v>782</v>
      </c>
      <c r="D48" s="11">
        <v>764.75350000000003</v>
      </c>
      <c r="E48" s="11">
        <f t="shared" si="0"/>
        <v>17.246499999999969</v>
      </c>
      <c r="F48" s="12">
        <f t="shared" si="3"/>
        <v>2.2551711106912186E-2</v>
      </c>
      <c r="G48" s="13">
        <v>852.97929999999997</v>
      </c>
      <c r="H48" s="13">
        <f t="shared" si="1"/>
        <v>-70.979299999999967</v>
      </c>
      <c r="I48" s="14">
        <f t="shared" si="2"/>
        <v>-8.3213390993192887E-2</v>
      </c>
      <c r="J48" s="238"/>
      <c r="K48" s="238"/>
      <c r="L48" s="245"/>
      <c r="M48" s="245"/>
      <c r="N48" s="63"/>
      <c r="O48" s="63"/>
    </row>
    <row r="49" spans="1:15" ht="16.5" customHeight="1">
      <c r="A49" s="27" t="str">
        <v>Nutley</v>
      </c>
      <c r="B49" s="28" t="str">
        <v>NJ</v>
      </c>
      <c r="C49" s="10">
        <v>3162.8000000000202</v>
      </c>
      <c r="D49" s="15">
        <v>2329.2049999999999</v>
      </c>
      <c r="E49" s="15">
        <f t="shared" si="0"/>
        <v>833.59500000002026</v>
      </c>
      <c r="F49" s="16">
        <f t="shared" si="3"/>
        <v>0.35788820649106468</v>
      </c>
      <c r="G49" s="17">
        <v>3225.886</v>
      </c>
      <c r="H49" s="17">
        <f t="shared" si="1"/>
        <v>-63.085999999979776</v>
      </c>
      <c r="I49" s="16">
        <f t="shared" si="2"/>
        <v>-1.9556177744650547E-2</v>
      </c>
      <c r="J49" s="270"/>
      <c r="K49" s="270"/>
      <c r="L49" s="245"/>
      <c r="M49" s="245"/>
      <c r="N49" s="63"/>
      <c r="O49" s="63"/>
    </row>
    <row r="50" spans="1:15" ht="15.6">
      <c r="A50" s="25" t="str">
        <v>Marlton</v>
      </c>
      <c r="B50" s="26" t="str">
        <v>NJ</v>
      </c>
      <c r="C50" s="21">
        <v>2943</v>
      </c>
      <c r="D50" s="11">
        <v>2213.65</v>
      </c>
      <c r="E50" s="11">
        <f t="shared" si="0"/>
        <v>729.34999999999991</v>
      </c>
      <c r="F50" s="12">
        <f t="shared" si="3"/>
        <v>0.32947846317168472</v>
      </c>
      <c r="G50" s="13">
        <v>3004.8530000000001</v>
      </c>
      <c r="H50" s="13">
        <f t="shared" si="1"/>
        <v>-61.853000000000065</v>
      </c>
      <c r="I50" s="14">
        <f t="shared" si="2"/>
        <v>-2.058436802066526E-2</v>
      </c>
      <c r="J50" s="238"/>
      <c r="K50" s="238"/>
      <c r="L50" s="245"/>
      <c r="M50" s="245"/>
      <c r="N50" s="63"/>
      <c r="O50" s="63"/>
    </row>
    <row r="51" spans="1:15" ht="28.9">
      <c r="A51" s="27" t="str">
        <v>Middletown</v>
      </c>
      <c r="B51" s="28" t="str">
        <v>NJ</v>
      </c>
      <c r="C51" s="10">
        <v>2572.8000000000002</v>
      </c>
      <c r="D51" s="15">
        <v>1594.817</v>
      </c>
      <c r="E51" s="15">
        <f t="shared" si="0"/>
        <v>977.98300000000017</v>
      </c>
      <c r="F51" s="16">
        <f t="shared" si="3"/>
        <v>0.61322584346667997</v>
      </c>
      <c r="G51" s="17">
        <v>2619.0610000000001</v>
      </c>
      <c r="H51" s="17">
        <f t="shared" si="1"/>
        <v>-46.260999999999967</v>
      </c>
      <c r="I51" s="16">
        <f t="shared" si="2"/>
        <v>-1.7663200666192945E-2</v>
      </c>
      <c r="J51" s="270" t="s">
        <v>374</v>
      </c>
      <c r="K51" s="79" t="s">
        <v>143</v>
      </c>
      <c r="L51" s="245" t="s">
        <v>360</v>
      </c>
      <c r="M51" s="245"/>
      <c r="N51" s="63"/>
      <c r="O51" s="63"/>
    </row>
    <row r="52" spans="1:15" ht="28.9">
      <c r="A52" s="25" t="str">
        <v>Whiting Crestwood</v>
      </c>
      <c r="B52" s="26" t="str">
        <v>NJ</v>
      </c>
      <c r="C52" s="21">
        <v>3453.8000000000202</v>
      </c>
      <c r="D52" s="11">
        <v>3486.616</v>
      </c>
      <c r="E52" s="11">
        <f t="shared" si="0"/>
        <v>-32.815999999979795</v>
      </c>
      <c r="F52" s="12">
        <f t="shared" si="3"/>
        <v>-9.4119914553193688E-3</v>
      </c>
      <c r="G52" s="13">
        <v>3759.585</v>
      </c>
      <c r="H52" s="13">
        <f t="shared" si="1"/>
        <v>-305.78499999997985</v>
      </c>
      <c r="I52" s="14">
        <f t="shared" si="2"/>
        <v>-8.1334774981807786E-2</v>
      </c>
      <c r="J52" s="238" t="s">
        <v>100</v>
      </c>
      <c r="K52" s="238"/>
      <c r="L52" s="245"/>
      <c r="M52" s="245"/>
      <c r="N52" s="63"/>
      <c r="O52" s="63"/>
    </row>
    <row r="53" spans="1:15" ht="15.6">
      <c r="A53" s="27" t="str">
        <v>Barnegat</v>
      </c>
      <c r="B53" s="28" t="str">
        <v>NJ</v>
      </c>
      <c r="C53" s="10">
        <v>3903.671875</v>
      </c>
      <c r="D53" s="15">
        <v>3198.4270000000001</v>
      </c>
      <c r="E53" s="15">
        <f t="shared" si="0"/>
        <v>705.24487499999987</v>
      </c>
      <c r="F53" s="16">
        <f t="shared" si="3"/>
        <v>0.22049741169643697</v>
      </c>
      <c r="G53" s="17">
        <v>3887.1280000000002</v>
      </c>
      <c r="H53" s="17">
        <f t="shared" si="1"/>
        <v>16.543874999999844</v>
      </c>
      <c r="I53" s="16">
        <f t="shared" si="2"/>
        <v>4.2560664325949245E-3</v>
      </c>
      <c r="J53" s="270"/>
      <c r="K53" s="270"/>
      <c r="L53" s="245"/>
      <c r="M53" s="245"/>
      <c r="N53" s="63"/>
      <c r="O53" s="63"/>
    </row>
    <row r="54" spans="1:15" ht="81.75" customHeight="1">
      <c r="A54" s="25" t="str">
        <v>Manchester</v>
      </c>
      <c r="B54" s="26" t="str">
        <v>NJ</v>
      </c>
      <c r="C54" s="21">
        <v>1920.1000000000199</v>
      </c>
      <c r="D54" s="11">
        <v>2154.5450000000001</v>
      </c>
      <c r="E54" s="11">
        <f t="shared" si="0"/>
        <v>-234.44499999998015</v>
      </c>
      <c r="F54" s="12">
        <f t="shared" si="3"/>
        <v>-0.10881415797766124</v>
      </c>
      <c r="G54" s="13">
        <v>3351.4670000000001</v>
      </c>
      <c r="H54" s="13">
        <f t="shared" si="1"/>
        <v>-1431.3669999999802</v>
      </c>
      <c r="I54" s="14">
        <f t="shared" si="2"/>
        <v>-0.42708670561278989</v>
      </c>
      <c r="J54" s="238" t="s">
        <v>315</v>
      </c>
      <c r="K54" s="238"/>
      <c r="L54" s="245"/>
      <c r="M54" s="245"/>
      <c r="N54" s="63"/>
      <c r="O54" s="63"/>
    </row>
    <row r="55" spans="1:15" ht="15.6">
      <c r="A55" s="27" t="str">
        <v>West Deptford - Woodbury</v>
      </c>
      <c r="B55" s="28" t="str">
        <v>NJ</v>
      </c>
      <c r="C55" s="10">
        <v>3153.8999999999901</v>
      </c>
      <c r="D55" s="15">
        <v>2900.748</v>
      </c>
      <c r="E55" s="15">
        <f t="shared" si="0"/>
        <v>253.15199999999004</v>
      </c>
      <c r="F55" s="16">
        <f t="shared" si="3"/>
        <v>8.72712831311062E-2</v>
      </c>
      <c r="G55" s="17">
        <v>3087.319</v>
      </c>
      <c r="H55" s="17">
        <f t="shared" si="1"/>
        <v>66.580999999990127</v>
      </c>
      <c r="I55" s="16">
        <f t="shared" si="2"/>
        <v>2.1565960627972079E-2</v>
      </c>
      <c r="J55" s="270"/>
      <c r="K55" s="271"/>
      <c r="L55" s="245"/>
      <c r="M55" s="245"/>
      <c r="N55" s="63"/>
      <c r="O55" s="63"/>
    </row>
    <row r="56" spans="1:15" ht="15.6">
      <c r="A56" s="25" t="str">
        <v>Edison</v>
      </c>
      <c r="B56" s="26" t="str">
        <v>NJ</v>
      </c>
      <c r="C56" s="21">
        <v>2658.00000000001</v>
      </c>
      <c r="D56" s="11">
        <v>2134.7370000000001</v>
      </c>
      <c r="E56" s="11">
        <f t="shared" si="0"/>
        <v>523.26300000000992</v>
      </c>
      <c r="F56" s="12">
        <f t="shared" si="3"/>
        <v>0.24511825110072571</v>
      </c>
      <c r="G56" s="13">
        <v>2702.634</v>
      </c>
      <c r="H56" s="13">
        <f t="shared" si="1"/>
        <v>-44.63399999999001</v>
      </c>
      <c r="I56" s="14">
        <f t="shared" si="2"/>
        <v>-1.6514999811291505E-2</v>
      </c>
      <c r="J56" s="238"/>
      <c r="K56" s="238"/>
      <c r="L56" s="245"/>
      <c r="M56" s="245"/>
      <c r="N56" s="63"/>
      <c r="O56" s="63"/>
    </row>
    <row r="57" spans="1:15" ht="15.6">
      <c r="A57" s="27" t="str">
        <v>Flemington</v>
      </c>
      <c r="B57" s="28" t="str">
        <v>NJ</v>
      </c>
      <c r="C57" s="10">
        <v>2276.5999999999799</v>
      </c>
      <c r="D57" s="15">
        <v>1915.962</v>
      </c>
      <c r="E57" s="15">
        <f t="shared" si="0"/>
        <v>360.63799999997991</v>
      </c>
      <c r="F57" s="16">
        <f t="shared" si="3"/>
        <v>0.18822815901358164</v>
      </c>
      <c r="G57" s="17">
        <v>2436.8620000000001</v>
      </c>
      <c r="H57" s="17">
        <f t="shared" si="1"/>
        <v>-160.26200000002018</v>
      </c>
      <c r="I57" s="16">
        <f t="shared" si="2"/>
        <v>-6.5765726577877687E-2</v>
      </c>
      <c r="J57" s="270"/>
      <c r="K57" s="270"/>
      <c r="L57" s="245"/>
      <c r="M57" s="245"/>
      <c r="N57" s="63"/>
      <c r="O57" s="63"/>
    </row>
    <row r="58" spans="1:15" ht="15.6">
      <c r="A58" s="25" t="str">
        <v>Route 22</v>
      </c>
      <c r="B58" s="26" t="str">
        <v>NJ</v>
      </c>
      <c r="C58" s="21">
        <v>2384.6999999999998</v>
      </c>
      <c r="D58" s="11">
        <v>2208.4650000000001</v>
      </c>
      <c r="E58" s="11">
        <f t="shared" si="0"/>
        <v>176.23499999999967</v>
      </c>
      <c r="F58" s="12">
        <f t="shared" si="3"/>
        <v>7.9799770428781835E-2</v>
      </c>
      <c r="G58" s="13">
        <v>2397.6439999999998</v>
      </c>
      <c r="H58" s="13">
        <f t="shared" si="1"/>
        <v>-12.94399999999996</v>
      </c>
      <c r="I58" s="14">
        <f t="shared" si="2"/>
        <v>-5.398632991386528E-3</v>
      </c>
      <c r="J58" s="238"/>
      <c r="K58" s="238"/>
      <c r="L58" s="245"/>
      <c r="M58" s="245"/>
      <c r="N58" s="63"/>
      <c r="O58" s="63"/>
    </row>
    <row r="59" spans="1:15" ht="15.6">
      <c r="A59" s="27" t="str">
        <v>Laurelton</v>
      </c>
      <c r="B59" s="28" t="str">
        <v>NJ</v>
      </c>
      <c r="C59" s="10" t="s">
        <v>202</v>
      </c>
      <c r="D59" s="10" t="s">
        <v>202</v>
      </c>
      <c r="E59" s="15" t="str">
        <f t="shared" si="0"/>
        <v/>
      </c>
      <c r="F59" s="16" t="str">
        <f t="shared" si="3"/>
        <v/>
      </c>
      <c r="G59" s="10" t="s">
        <v>202</v>
      </c>
      <c r="H59" s="17" t="str">
        <f t="shared" si="1"/>
        <v/>
      </c>
      <c r="I59" s="16" t="str">
        <f t="shared" si="2"/>
        <v/>
      </c>
      <c r="J59" s="270" t="s">
        <v>375</v>
      </c>
      <c r="K59" s="84" t="s">
        <v>376</v>
      </c>
      <c r="L59" s="245" t="s">
        <v>360</v>
      </c>
      <c r="M59" s="245"/>
      <c r="N59" s="63"/>
      <c r="O59" s="63"/>
    </row>
    <row r="60" spans="1:15" ht="43.15">
      <c r="A60" s="25" t="str">
        <v>Mahwah</v>
      </c>
      <c r="B60" s="26" t="str">
        <v>NJ</v>
      </c>
      <c r="C60" s="21">
        <v>1704.8</v>
      </c>
      <c r="D60" s="11">
        <v>176.602</v>
      </c>
      <c r="E60" s="11">
        <f t="shared" si="0"/>
        <v>1528.1979999999999</v>
      </c>
      <c r="F60" s="12">
        <f t="shared" si="3"/>
        <v>8.653344809232058</v>
      </c>
      <c r="G60" s="13">
        <v>1906.1289999999999</v>
      </c>
      <c r="H60" s="13">
        <f t="shared" si="1"/>
        <v>-201.32899999999995</v>
      </c>
      <c r="I60" s="14">
        <f t="shared" si="2"/>
        <v>-0.10562191750925565</v>
      </c>
      <c r="J60" s="238" t="s">
        <v>187</v>
      </c>
      <c r="K60" s="77" t="s">
        <v>329</v>
      </c>
      <c r="L60" s="245" t="s">
        <v>360</v>
      </c>
      <c r="M60" s="245"/>
      <c r="N60" s="63"/>
      <c r="O60" s="63"/>
    </row>
    <row r="61" spans="1:15" ht="15.6">
      <c r="A61" s="27" t="str">
        <v>Franklin Township WF</v>
      </c>
      <c r="B61" s="28" t="str">
        <v>NJ</v>
      </c>
      <c r="C61" s="10">
        <v>2018.8</v>
      </c>
      <c r="D61" s="15">
        <v>1799.627</v>
      </c>
      <c r="E61" s="15">
        <f t="shared" si="0"/>
        <v>219.173</v>
      </c>
      <c r="F61" s="16">
        <f t="shared" si="3"/>
        <v>0.121788014960878</v>
      </c>
      <c r="G61" s="17">
        <v>2186.652</v>
      </c>
      <c r="H61" s="17">
        <f t="shared" si="1"/>
        <v>-167.85200000000009</v>
      </c>
      <c r="I61" s="16">
        <f t="shared" si="2"/>
        <v>-7.6762100233599168E-2</v>
      </c>
      <c r="J61" s="270"/>
      <c r="K61" s="270"/>
      <c r="L61" s="245"/>
      <c r="M61" s="245"/>
      <c r="N61" s="63"/>
      <c r="O61" s="63"/>
    </row>
    <row r="62" spans="1:15" ht="15.6">
      <c r="A62" s="25" t="str">
        <v>Bordentown</v>
      </c>
      <c r="B62" s="26" t="str">
        <v>NJ</v>
      </c>
      <c r="C62" s="21">
        <v>1799.6000000000199</v>
      </c>
      <c r="D62" s="11">
        <v>1390.057</v>
      </c>
      <c r="E62" s="11">
        <f t="shared" si="0"/>
        <v>409.5430000000199</v>
      </c>
      <c r="F62" s="12">
        <f t="shared" si="3"/>
        <v>0.29462317012900902</v>
      </c>
      <c r="G62" s="13">
        <v>1804.9259999999999</v>
      </c>
      <c r="H62" s="13">
        <f t="shared" si="1"/>
        <v>-5.3259999999800129</v>
      </c>
      <c r="I62" s="14">
        <f t="shared" si="2"/>
        <v>-2.9508134959438854E-3</v>
      </c>
      <c r="J62" s="238"/>
      <c r="K62" s="238"/>
      <c r="L62" s="245"/>
      <c r="M62" s="245"/>
      <c r="N62" s="63"/>
      <c r="O62" s="63"/>
    </row>
    <row r="63" spans="1:15" ht="15.6">
      <c r="A63" s="27" t="str">
        <v>South Plainfield</v>
      </c>
      <c r="B63" s="28" t="str">
        <v>NJ</v>
      </c>
      <c r="C63" s="10">
        <v>1253.70000000001</v>
      </c>
      <c r="D63" s="15">
        <v>1034.241</v>
      </c>
      <c r="E63" s="15">
        <f t="shared" si="0"/>
        <v>219.45900000001006</v>
      </c>
      <c r="F63" s="16">
        <f t="shared" si="3"/>
        <v>0.21219328957178266</v>
      </c>
      <c r="G63" s="17">
        <v>1240.202</v>
      </c>
      <c r="H63" s="17">
        <f t="shared" si="1"/>
        <v>13.498000000010052</v>
      </c>
      <c r="I63" s="16">
        <f t="shared" si="2"/>
        <v>1.0883710879364855E-2</v>
      </c>
      <c r="J63" s="270"/>
      <c r="K63" s="270"/>
      <c r="L63" s="245"/>
      <c r="M63" s="245"/>
      <c r="N63" s="63"/>
      <c r="O63" s="63"/>
    </row>
    <row r="64" spans="1:15" ht="15.6">
      <c r="A64" s="25" t="str">
        <v>Somerset</v>
      </c>
      <c r="B64" s="26" t="str">
        <v>NJ</v>
      </c>
      <c r="C64" s="21">
        <v>1867.8999999999901</v>
      </c>
      <c r="D64" s="11">
        <v>1916.47</v>
      </c>
      <c r="E64" s="11">
        <f t="shared" si="0"/>
        <v>-48.570000000009941</v>
      </c>
      <c r="F64" s="12">
        <f t="shared" si="3"/>
        <v>-2.5343470025625207E-2</v>
      </c>
      <c r="G64" s="13">
        <v>1996.133</v>
      </c>
      <c r="H64" s="13">
        <f t="shared" si="1"/>
        <v>-128.23300000000995</v>
      </c>
      <c r="I64" s="14">
        <f t="shared" si="2"/>
        <v>-6.42407094116524E-2</v>
      </c>
      <c r="J64" s="238"/>
      <c r="K64" s="238"/>
      <c r="L64" s="245"/>
      <c r="M64" s="245"/>
      <c r="N64" s="63"/>
      <c r="O64" s="63"/>
    </row>
    <row r="65" spans="1:15" ht="15.6">
      <c r="A65" s="27" t="str">
        <v>Clinton Main Relo</v>
      </c>
      <c r="B65" s="28" t="str">
        <v>NJ</v>
      </c>
      <c r="C65" s="10">
        <v>2171.5859380000002</v>
      </c>
      <c r="D65" s="15">
        <v>2261.3290000000002</v>
      </c>
      <c r="E65" s="15">
        <f t="shared" si="0"/>
        <v>-89.743062000000009</v>
      </c>
      <c r="F65" s="16">
        <f t="shared" si="3"/>
        <v>-3.9685982004387686E-2</v>
      </c>
      <c r="G65" s="17">
        <v>2200.6379999999999</v>
      </c>
      <c r="H65" s="17">
        <f t="shared" si="1"/>
        <v>-29.052061999999751</v>
      </c>
      <c r="I65" s="16">
        <f t="shared" si="2"/>
        <v>-1.3201654247540828E-2</v>
      </c>
      <c r="J65" s="270"/>
      <c r="K65" s="270"/>
      <c r="L65" s="245"/>
      <c r="M65" s="245"/>
      <c r="N65" s="63"/>
      <c r="O65" s="63"/>
    </row>
    <row r="66" spans="1:15" ht="72">
      <c r="A66" s="25" t="str">
        <v>North Brunswick</v>
      </c>
      <c r="B66" s="26" t="str">
        <v>NJ</v>
      </c>
      <c r="C66" s="21">
        <v>2062.00000000001</v>
      </c>
      <c r="D66" s="11">
        <v>1803.528</v>
      </c>
      <c r="E66" s="11">
        <f t="shared" si="0"/>
        <v>258.47200000000998</v>
      </c>
      <c r="F66" s="12">
        <f t="shared" si="3"/>
        <v>0.14331465882426553</v>
      </c>
      <c r="G66" s="13">
        <v>2460.0740000000001</v>
      </c>
      <c r="H66" s="13">
        <f t="shared" si="1"/>
        <v>-398.07399999999006</v>
      </c>
      <c r="I66" s="14">
        <f t="shared" si="2"/>
        <v>-0.16181383161644328</v>
      </c>
      <c r="J66" s="238" t="s">
        <v>315</v>
      </c>
      <c r="K66" s="238"/>
      <c r="L66" s="245"/>
      <c r="M66" s="245"/>
      <c r="N66" s="63"/>
      <c r="O66" s="63"/>
    </row>
    <row r="67" spans="1:15" ht="15.6">
      <c r="A67" s="27" t="str">
        <v>Cherry Hill</v>
      </c>
      <c r="B67" s="28" t="str">
        <v>NJ</v>
      </c>
      <c r="C67" s="10">
        <v>1527.1640625</v>
      </c>
      <c r="D67" s="15">
        <v>1575.692</v>
      </c>
      <c r="E67" s="15">
        <f t="shared" si="0"/>
        <v>-48.527937500000007</v>
      </c>
      <c r="F67" s="16">
        <f t="shared" si="3"/>
        <v>-3.0797857385834293E-2</v>
      </c>
      <c r="G67" s="17">
        <v>1587.492</v>
      </c>
      <c r="H67" s="17">
        <f t="shared" si="1"/>
        <v>-60.327937499999962</v>
      </c>
      <c r="I67" s="16">
        <f t="shared" si="2"/>
        <v>-3.8002041900053643E-2</v>
      </c>
      <c r="J67" s="270"/>
      <c r="K67" s="270"/>
      <c r="L67" s="245"/>
      <c r="M67" s="245"/>
      <c r="N67" s="63"/>
      <c r="O67" s="63"/>
    </row>
    <row r="68" spans="1:15" ht="15.6">
      <c r="A68" s="25" t="str">
        <v>Hainesport</v>
      </c>
      <c r="B68" s="26" t="str">
        <v>NJ</v>
      </c>
      <c r="C68" s="21">
        <v>1696.79999999999</v>
      </c>
      <c r="D68" s="11">
        <v>1745.18</v>
      </c>
      <c r="E68" s="11">
        <f t="shared" si="0"/>
        <v>-48.380000000010114</v>
      </c>
      <c r="F68" s="12">
        <f t="shared" si="3"/>
        <v>-2.7722068783741571E-2</v>
      </c>
      <c r="G68" s="13">
        <v>1693.048</v>
      </c>
      <c r="H68" s="13">
        <f t="shared" si="1"/>
        <v>3.7519999999899483</v>
      </c>
      <c r="I68" s="14">
        <f t="shared" si="2"/>
        <v>2.2161214566804653E-3</v>
      </c>
      <c r="J68" s="238"/>
      <c r="K68" s="238"/>
      <c r="L68" s="245"/>
      <c r="M68" s="245"/>
      <c r="N68" s="63"/>
      <c r="O68" s="63"/>
    </row>
    <row r="69" spans="1:15" ht="15.6">
      <c r="A69" s="27" t="str">
        <v>San Antonio - Ops Ctr (Bldg 106)</v>
      </c>
      <c r="B69" s="28" t="str">
        <v>TX</v>
      </c>
      <c r="C69" s="10">
        <v>46185.904369999997</v>
      </c>
      <c r="D69" s="15">
        <v>45158.36</v>
      </c>
      <c r="E69" s="15">
        <f t="shared" ref="E69" si="4">IF(AND(ISNUMBER(C69),ISNUMBER(D69)), C69-D69, "")</f>
        <v>1027.544369999996</v>
      </c>
      <c r="F69" s="16">
        <f t="shared" si="3"/>
        <v>2.2754244618272142E-2</v>
      </c>
      <c r="G69" s="17">
        <v>48748.86</v>
      </c>
      <c r="H69" s="17">
        <f t="shared" ref="H69" si="5">IF(AND(ISNUMBER(C69),ISNUMBER(G69)), C69-G69, "")</f>
        <v>-2562.955630000004</v>
      </c>
      <c r="I69" s="16">
        <f t="shared" ref="I69" si="6">IFERROR(H69/G69, "")</f>
        <v>-5.2574678259142964E-2</v>
      </c>
      <c r="J69" s="270" t="s">
        <v>377</v>
      </c>
      <c r="K69" s="84" t="s">
        <v>378</v>
      </c>
      <c r="L69" s="245" t="s">
        <v>360</v>
      </c>
      <c r="M69" s="245"/>
      <c r="N69" s="63"/>
      <c r="O69" s="63"/>
    </row>
    <row r="70" spans="1:15" ht="15.6">
      <c r="A70" s="25" t="str">
        <v>San Antonio - Ops Ctr GM</v>
      </c>
      <c r="B70" s="26" t="str">
        <v>TX</v>
      </c>
      <c r="C70" s="57">
        <v>346847.25</v>
      </c>
      <c r="D70" s="11">
        <v>413522.1</v>
      </c>
      <c r="E70" s="11">
        <f t="shared" si="0"/>
        <v>-66674.849999999977</v>
      </c>
      <c r="F70" s="12">
        <f t="shared" si="3"/>
        <v>-0.16123648530513843</v>
      </c>
      <c r="G70" s="73">
        <v>368570</v>
      </c>
      <c r="H70" s="13">
        <f t="shared" si="1"/>
        <v>-21722.75</v>
      </c>
      <c r="I70" s="14">
        <f t="shared" si="2"/>
        <v>-5.8937922240008683E-2</v>
      </c>
      <c r="J70" s="239" t="s">
        <v>379</v>
      </c>
      <c r="K70" s="247" t="s">
        <v>380</v>
      </c>
      <c r="L70" s="245" t="s">
        <v>360</v>
      </c>
      <c r="M70" s="245"/>
      <c r="N70" s="63"/>
      <c r="O70" s="63"/>
    </row>
    <row r="71" spans="1:15" ht="15.6">
      <c r="A71" s="27" t="str">
        <v>San Antonio - Ctr (Bldg 201)</v>
      </c>
      <c r="B71" s="28" t="str">
        <v>TX</v>
      </c>
      <c r="C71" s="71">
        <v>47705.75</v>
      </c>
      <c r="D71" s="15">
        <v>44828.56</v>
      </c>
      <c r="E71" s="15">
        <f t="shared" ref="E71:E84" si="7">IF(AND(ISNUMBER(C71),ISNUMBER(D71)), C71-D71, "")</f>
        <v>2877.1900000000023</v>
      </c>
      <c r="F71" s="16">
        <f t="shared" ref="F71:F84" si="8">IFERROR(E71/D71, "")</f>
        <v>6.4182074998617014E-2</v>
      </c>
      <c r="G71" s="72">
        <v>48754.78</v>
      </c>
      <c r="H71" s="17">
        <f t="shared" ref="H71:H84" si="9">IF(AND(ISNUMBER(C71),ISNUMBER(G71)), C71-G71, "")</f>
        <v>-1049.0299999999988</v>
      </c>
      <c r="I71" s="16">
        <f t="shared" ref="I71:I84" si="10">IFERROR(H71/G71, "")</f>
        <v>-2.1516454386626273E-2</v>
      </c>
      <c r="J71" s="270"/>
      <c r="K71" s="270"/>
      <c r="L71" s="245"/>
      <c r="M71" s="245"/>
      <c r="N71" s="63"/>
      <c r="O71" s="63"/>
    </row>
    <row r="72" spans="1:15" ht="15.6">
      <c r="A72" s="25" t="str">
        <v>San Antonio - Ops Ctr (Bldg 203)</v>
      </c>
      <c r="B72" s="26" t="str">
        <v>TX</v>
      </c>
      <c r="C72" s="57">
        <v>48653.625</v>
      </c>
      <c r="D72" s="11">
        <v>46344.69</v>
      </c>
      <c r="E72" s="11">
        <f t="shared" si="7"/>
        <v>2308.9349999999977</v>
      </c>
      <c r="F72" s="12">
        <f t="shared" si="8"/>
        <v>4.9820917995135959E-2</v>
      </c>
      <c r="G72" s="73">
        <v>50121.03</v>
      </c>
      <c r="H72" s="13">
        <f t="shared" si="9"/>
        <v>-1467.4049999999988</v>
      </c>
      <c r="I72" s="14">
        <f t="shared" si="10"/>
        <v>-2.9277231533350351E-2</v>
      </c>
      <c r="J72" s="239"/>
      <c r="K72" s="239"/>
      <c r="L72" s="245"/>
      <c r="M72" s="245"/>
      <c r="N72" s="63"/>
      <c r="O72" s="63"/>
    </row>
    <row r="73" spans="1:15" ht="28.9">
      <c r="A73" s="27" t="str">
        <v>San Antonio - Ops Ctr (Bldg 205)</v>
      </c>
      <c r="B73" s="28" t="str">
        <v>TX</v>
      </c>
      <c r="C73" s="71">
        <v>43763.4375</v>
      </c>
      <c r="D73" s="15">
        <v>40848.730000000003</v>
      </c>
      <c r="E73" s="15">
        <f t="shared" si="7"/>
        <v>2914.7074999999968</v>
      </c>
      <c r="F73" s="16">
        <f t="shared" si="8"/>
        <v>7.1353687128094229E-2</v>
      </c>
      <c r="G73" s="72">
        <v>46312.85</v>
      </c>
      <c r="H73" s="17">
        <f t="shared" si="9"/>
        <v>-2549.4124999999985</v>
      </c>
      <c r="I73" s="16">
        <f t="shared" si="10"/>
        <v>-5.5047627170428909E-2</v>
      </c>
      <c r="J73" s="270" t="s">
        <v>339</v>
      </c>
      <c r="K73" s="84" t="s">
        <v>381</v>
      </c>
      <c r="L73" s="245" t="s">
        <v>360</v>
      </c>
      <c r="M73" s="245"/>
      <c r="N73" s="63"/>
      <c r="O73" s="63"/>
    </row>
    <row r="74" spans="1:15" ht="15.6">
      <c r="A74" s="25" t="str">
        <v>San Antonio - Ops Ctr (Bldg 307)</v>
      </c>
      <c r="B74" s="26" t="str">
        <v>TX</v>
      </c>
      <c r="C74" s="57">
        <v>46724.978750000002</v>
      </c>
      <c r="D74" s="11">
        <v>44425.37</v>
      </c>
      <c r="E74" s="11">
        <f t="shared" si="7"/>
        <v>2299.6087499999994</v>
      </c>
      <c r="F74" s="12">
        <f t="shared" si="8"/>
        <v>5.1763412437532859E-2</v>
      </c>
      <c r="G74" s="73">
        <v>47644.63</v>
      </c>
      <c r="H74" s="13">
        <f t="shared" si="9"/>
        <v>-919.65124999999534</v>
      </c>
      <c r="I74" s="14">
        <f t="shared" si="10"/>
        <v>-1.9302306471894008E-2</v>
      </c>
      <c r="J74" s="239"/>
      <c r="K74" s="239"/>
      <c r="L74" s="245"/>
      <c r="M74" s="245"/>
      <c r="N74" s="63"/>
      <c r="O74" s="63"/>
    </row>
    <row r="75" spans="1:15" ht="28.9">
      <c r="A75" s="27" t="str">
        <v>San Antonio - Ctr (Bldg 308)</v>
      </c>
      <c r="B75" s="28" t="str">
        <v>TX</v>
      </c>
      <c r="C75" s="71">
        <v>46002</v>
      </c>
      <c r="D75" s="15">
        <v>43407.57</v>
      </c>
      <c r="E75" s="15">
        <f t="shared" si="7"/>
        <v>2594.4300000000003</v>
      </c>
      <c r="F75" s="16">
        <f t="shared" si="8"/>
        <v>5.9769067929856479E-2</v>
      </c>
      <c r="G75" s="72">
        <v>46317.78</v>
      </c>
      <c r="H75" s="17">
        <f t="shared" si="9"/>
        <v>-315.77999999999884</v>
      </c>
      <c r="I75" s="16">
        <f t="shared" si="10"/>
        <v>-6.8176842672511258E-3</v>
      </c>
      <c r="J75" s="270" t="s">
        <v>382</v>
      </c>
      <c r="K75" s="80" t="s">
        <v>342</v>
      </c>
      <c r="L75" s="245" t="s">
        <v>360</v>
      </c>
      <c r="M75" s="245"/>
      <c r="N75" s="63"/>
      <c r="O75" s="63"/>
    </row>
    <row r="76" spans="1:15" ht="72">
      <c r="A76" s="25" t="str">
        <v>San Antonio - Ops Ctr (Bldg 104)</v>
      </c>
      <c r="B76" s="26" t="str">
        <v>TX</v>
      </c>
      <c r="C76" s="57">
        <v>12675.10938</v>
      </c>
      <c r="D76" s="11">
        <v>13604.88</v>
      </c>
      <c r="E76" s="11">
        <f t="shared" si="7"/>
        <v>-929.77061999999933</v>
      </c>
      <c r="F76" s="12">
        <f t="shared" si="8"/>
        <v>-6.834096441864973E-2</v>
      </c>
      <c r="G76" s="73">
        <v>14177.75</v>
      </c>
      <c r="H76" s="13">
        <f t="shared" si="9"/>
        <v>-1502.6406200000001</v>
      </c>
      <c r="I76" s="14">
        <f t="shared" si="10"/>
        <v>-0.10598583132020244</v>
      </c>
      <c r="J76" s="239" t="s">
        <v>315</v>
      </c>
      <c r="K76" s="239"/>
      <c r="L76" s="245"/>
      <c r="M76" s="245"/>
      <c r="N76" s="63"/>
      <c r="O76" s="63"/>
    </row>
    <row r="77" spans="1:15" ht="15.6">
      <c r="A77" s="27" t="str">
        <v>San Antonio - Ops Ctr (Bldg 102)</v>
      </c>
      <c r="B77" s="28" t="str">
        <v>TX</v>
      </c>
      <c r="C77" s="71">
        <v>51037.987500000003</v>
      </c>
      <c r="D77" s="15">
        <v>41188.410000000003</v>
      </c>
      <c r="E77" s="15">
        <f t="shared" si="7"/>
        <v>9849.5774999999994</v>
      </c>
      <c r="F77" s="16">
        <f t="shared" si="8"/>
        <v>0.23913468618963438</v>
      </c>
      <c r="G77" s="72">
        <v>51758.89</v>
      </c>
      <c r="H77" s="17">
        <f t="shared" si="9"/>
        <v>-720.90249999999651</v>
      </c>
      <c r="I77" s="16">
        <f t="shared" si="10"/>
        <v>-1.3928090420795278E-2</v>
      </c>
      <c r="J77" s="270"/>
      <c r="K77" s="270"/>
      <c r="L77" s="245"/>
      <c r="M77" s="245"/>
      <c r="N77" s="63"/>
      <c r="O77" s="63"/>
    </row>
    <row r="78" spans="1:15" ht="15.6">
      <c r="A78" s="25" t="str">
        <v>N Black Canyon Hwy, Phoenix - North</v>
      </c>
      <c r="B78" s="26" t="str">
        <v>AZ</v>
      </c>
      <c r="C78" s="57">
        <v>74729.875</v>
      </c>
      <c r="D78" s="11">
        <v>65802.38</v>
      </c>
      <c r="E78" s="11">
        <f t="shared" si="7"/>
        <v>8927.4949999999953</v>
      </c>
      <c r="F78" s="12">
        <f t="shared" si="8"/>
        <v>0.13567130854537474</v>
      </c>
      <c r="G78" s="73">
        <v>74636</v>
      </c>
      <c r="H78" s="13">
        <f t="shared" si="9"/>
        <v>93.875</v>
      </c>
      <c r="I78" s="14">
        <f t="shared" si="10"/>
        <v>1.2577710488236239E-3</v>
      </c>
      <c r="J78" s="239"/>
      <c r="K78" s="239"/>
      <c r="L78" s="245"/>
      <c r="M78" s="245"/>
      <c r="N78" s="63"/>
      <c r="O78" s="63"/>
    </row>
    <row r="79" spans="1:15" ht="52.5" customHeight="1">
      <c r="A79" s="27" t="str">
        <v>N Black Canyon Hwy, Phoenix - South</v>
      </c>
      <c r="B79" s="28" t="str">
        <v>AZ</v>
      </c>
      <c r="C79" s="71">
        <v>70678.624999999796</v>
      </c>
      <c r="D79" s="15">
        <v>71957.95</v>
      </c>
      <c r="E79" s="15">
        <f t="shared" si="7"/>
        <v>-1279.3250000002008</v>
      </c>
      <c r="F79" s="16">
        <f t="shared" si="8"/>
        <v>-1.777878608270804E-2</v>
      </c>
      <c r="G79" s="72">
        <v>82568</v>
      </c>
      <c r="H79" s="17">
        <f t="shared" si="9"/>
        <v>-11889.375000000204</v>
      </c>
      <c r="I79" s="16">
        <f t="shared" si="10"/>
        <v>-0.14399494961728762</v>
      </c>
      <c r="J79" s="270" t="s">
        <v>343</v>
      </c>
      <c r="K79" s="84" t="s">
        <v>344</v>
      </c>
      <c r="L79" s="246" t="s">
        <v>356</v>
      </c>
      <c r="M79" s="237" t="s">
        <v>383</v>
      </c>
      <c r="N79" s="85" t="s">
        <v>384</v>
      </c>
      <c r="O79" s="63"/>
    </row>
    <row r="80" spans="1:15" ht="15.6">
      <c r="A80" s="25" t="str">
        <v xml:space="preserve"> Building 2222, Rose Garden Ln, Phoenix</v>
      </c>
      <c r="B80" s="26" t="str">
        <v>AZ</v>
      </c>
      <c r="C80" s="57">
        <v>88407.75</v>
      </c>
      <c r="D80" s="11">
        <v>86976.69</v>
      </c>
      <c r="E80" s="11">
        <f t="shared" si="7"/>
        <v>1431.0599999999977</v>
      </c>
      <c r="F80" s="12">
        <f t="shared" si="8"/>
        <v>1.6453373886727556E-2</v>
      </c>
      <c r="G80" s="73">
        <v>90982</v>
      </c>
      <c r="H80" s="13">
        <f t="shared" si="9"/>
        <v>-2574.25</v>
      </c>
      <c r="I80" s="14">
        <f t="shared" si="10"/>
        <v>-2.8294058165351389E-2</v>
      </c>
      <c r="J80" s="239"/>
      <c r="K80" s="239"/>
      <c r="L80" s="245"/>
      <c r="M80" s="245"/>
      <c r="N80" s="63"/>
      <c r="O80" s="63"/>
    </row>
    <row r="81" spans="1:15" ht="15.6">
      <c r="A81" s="27" t="str">
        <v xml:space="preserve"> Building 2202, Rose Garden Ln, Phoenix</v>
      </c>
      <c r="B81" s="28" t="str">
        <v>AZ</v>
      </c>
      <c r="C81" s="71">
        <v>88457</v>
      </c>
      <c r="D81" s="15">
        <v>77264.710000000006</v>
      </c>
      <c r="E81" s="15">
        <f t="shared" si="7"/>
        <v>11192.289999999994</v>
      </c>
      <c r="F81" s="16">
        <f t="shared" si="8"/>
        <v>0.14485642928058609</v>
      </c>
      <c r="G81" s="72">
        <v>71027.100000000006</v>
      </c>
      <c r="H81" s="17">
        <f t="shared" si="9"/>
        <v>17429.899999999994</v>
      </c>
      <c r="I81" s="16">
        <f t="shared" si="10"/>
        <v>0.24539788334311824</v>
      </c>
      <c r="J81" s="270"/>
      <c r="K81" s="270"/>
      <c r="L81" s="245"/>
      <c r="M81" s="245"/>
      <c r="N81" s="63"/>
      <c r="O81" s="63"/>
    </row>
    <row r="82" spans="1:15" ht="72">
      <c r="A82" s="25" t="str">
        <v xml:space="preserve"> 99TH Ave &amp; BELL</v>
      </c>
      <c r="B82" s="26" t="str">
        <v>AZ</v>
      </c>
      <c r="C82" s="57">
        <v>15531.6984817436</v>
      </c>
      <c r="D82" s="11">
        <v>14976.55</v>
      </c>
      <c r="E82" s="11">
        <f t="shared" si="7"/>
        <v>555.14848174360122</v>
      </c>
      <c r="F82" s="12">
        <f t="shared" si="8"/>
        <v>3.7067848185570192E-2</v>
      </c>
      <c r="G82" s="73">
        <v>17695</v>
      </c>
      <c r="H82" s="13">
        <f t="shared" si="9"/>
        <v>-2163.3015182563995</v>
      </c>
      <c r="I82" s="14">
        <f t="shared" si="10"/>
        <v>-0.12225496005970045</v>
      </c>
      <c r="J82" s="239" t="s">
        <v>315</v>
      </c>
      <c r="K82" s="239"/>
      <c r="L82" s="245"/>
      <c r="M82" s="245"/>
      <c r="N82" s="63"/>
      <c r="O82" s="63"/>
    </row>
    <row r="83" spans="1:15" ht="15.6">
      <c r="A83" s="27" t="str">
        <v>Rincon</v>
      </c>
      <c r="B83" s="28" t="str">
        <v>AZ</v>
      </c>
      <c r="C83" s="71">
        <v>6804.45312500003</v>
      </c>
      <c r="D83" s="15">
        <v>5092.4350000000004</v>
      </c>
      <c r="E83" s="15">
        <f t="shared" si="7"/>
        <v>1712.0181250000296</v>
      </c>
      <c r="F83" s="16">
        <f t="shared" si="8"/>
        <v>0.33618850805165496</v>
      </c>
      <c r="G83" s="72">
        <v>6194</v>
      </c>
      <c r="H83" s="17">
        <f t="shared" si="9"/>
        <v>610.45312500003001</v>
      </c>
      <c r="I83" s="16">
        <f t="shared" si="10"/>
        <v>9.8555557797873755E-2</v>
      </c>
      <c r="J83" s="270" t="s">
        <v>385</v>
      </c>
      <c r="K83" s="270"/>
      <c r="L83" s="245"/>
      <c r="M83" s="245"/>
      <c r="N83" s="63"/>
      <c r="O83" s="63"/>
    </row>
    <row r="84" spans="1:15" ht="62.25" customHeight="1">
      <c r="A84" s="25" t="str">
        <v>Tucson Main Parking Garage</v>
      </c>
      <c r="B84" s="26" t="str">
        <v>AZ</v>
      </c>
      <c r="C84" s="57">
        <v>11185</v>
      </c>
      <c r="D84" s="11">
        <v>11066.62</v>
      </c>
      <c r="E84" s="11">
        <f t="shared" si="7"/>
        <v>118.3799999999992</v>
      </c>
      <c r="F84" s="12">
        <f t="shared" si="8"/>
        <v>1.0697033059777889E-2</v>
      </c>
      <c r="G84" s="73">
        <v>10062</v>
      </c>
      <c r="H84" s="13">
        <f t="shared" si="9"/>
        <v>1123</v>
      </c>
      <c r="I84" s="14">
        <f t="shared" si="10"/>
        <v>0.11160803021268137</v>
      </c>
      <c r="J84" s="239" t="s">
        <v>386</v>
      </c>
      <c r="K84" s="247" t="s">
        <v>347</v>
      </c>
      <c r="L84" s="245" t="s">
        <v>360</v>
      </c>
      <c r="M84" s="245"/>
      <c r="N84" s="63"/>
      <c r="O84" s="63"/>
    </row>
    <row r="85" spans="1:1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</row>
    <row r="86" spans="1:1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</row>
    <row r="87" spans="1:1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</row>
    <row r="88" spans="1:1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</row>
    <row r="89" spans="1:1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</row>
    <row r="90" spans="1:1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</row>
    <row r="91" spans="1:15">
      <c r="A91" s="18"/>
      <c r="B91" s="30"/>
      <c r="C91" s="18"/>
      <c r="D91" s="18"/>
      <c r="E91" s="18"/>
      <c r="F91" s="19"/>
      <c r="G91" s="18"/>
      <c r="H91" s="18"/>
      <c r="I91" s="19"/>
    </row>
    <row r="92" spans="1:15">
      <c r="A92" s="18"/>
      <c r="B92" s="30"/>
      <c r="C92" s="18"/>
      <c r="D92" s="18"/>
      <c r="E92" s="18"/>
      <c r="F92" s="19"/>
      <c r="G92" s="18"/>
      <c r="H92" s="18"/>
      <c r="I92" s="19"/>
    </row>
    <row r="93" spans="1:15">
      <c r="A93" s="18"/>
      <c r="B93" s="30"/>
      <c r="C93" s="18"/>
      <c r="D93" s="18"/>
      <c r="E93" s="18"/>
      <c r="F93" s="19"/>
      <c r="G93" s="18"/>
      <c r="H93" s="18"/>
      <c r="I93" s="19"/>
    </row>
    <row r="94" spans="1:15">
      <c r="A94" s="18"/>
      <c r="B94" s="30"/>
      <c r="C94" s="18"/>
      <c r="D94" s="18"/>
      <c r="E94" s="18"/>
      <c r="F94" s="19"/>
      <c r="G94" s="18"/>
      <c r="H94" s="18"/>
      <c r="I94" s="19"/>
    </row>
    <row r="95" spans="1:15">
      <c r="A95" s="18"/>
      <c r="B95" s="30"/>
      <c r="C95" s="18"/>
      <c r="D95" s="18"/>
      <c r="E95" s="18"/>
      <c r="F95" s="19"/>
      <c r="G95" s="18"/>
      <c r="H95" s="18"/>
      <c r="I95" s="19"/>
    </row>
    <row r="96" spans="1:15">
      <c r="A96" s="18"/>
      <c r="B96" s="30"/>
      <c r="C96" s="18"/>
      <c r="D96" s="18"/>
      <c r="E96" s="18"/>
      <c r="F96" s="19"/>
      <c r="G96" s="18"/>
      <c r="H96" s="18"/>
      <c r="I96" s="19"/>
    </row>
    <row r="97" spans="1:9">
      <c r="A97" s="18"/>
      <c r="B97" s="30"/>
      <c r="C97" s="18"/>
      <c r="D97" s="18"/>
      <c r="E97" s="18"/>
      <c r="F97" s="19"/>
      <c r="G97" s="18"/>
      <c r="H97" s="18"/>
      <c r="I97" s="19"/>
    </row>
    <row r="98" spans="1:9">
      <c r="A98" s="18"/>
      <c r="B98" s="30"/>
      <c r="C98" s="18"/>
      <c r="D98" s="18"/>
      <c r="E98" s="18"/>
      <c r="F98" s="19"/>
      <c r="G98" s="18"/>
      <c r="H98" s="18"/>
      <c r="I98" s="19"/>
    </row>
    <row r="99" spans="1:9">
      <c r="A99" s="18"/>
      <c r="B99" s="30"/>
      <c r="C99" s="18"/>
      <c r="D99" s="18"/>
      <c r="E99" s="18"/>
      <c r="F99" s="19"/>
      <c r="G99" s="18"/>
      <c r="H99" s="18"/>
      <c r="I99" s="19"/>
    </row>
    <row r="100" spans="1:9">
      <c r="A100" s="18"/>
      <c r="B100" s="30"/>
      <c r="C100" s="18"/>
      <c r="D100" s="18"/>
      <c r="E100" s="18"/>
      <c r="F100" s="19"/>
      <c r="G100" s="18"/>
      <c r="H100" s="18"/>
      <c r="I100" s="19"/>
    </row>
    <row r="101" spans="1:9">
      <c r="A101" s="18"/>
      <c r="B101" s="30"/>
      <c r="C101" s="18"/>
      <c r="D101" s="18"/>
      <c r="E101" s="18"/>
      <c r="F101" s="19"/>
      <c r="G101" s="18"/>
      <c r="H101" s="18"/>
      <c r="I101" s="19"/>
    </row>
    <row r="102" spans="1:9">
      <c r="A102" s="18"/>
      <c r="B102" s="30"/>
      <c r="C102" s="18"/>
      <c r="D102" s="18"/>
      <c r="E102" s="18"/>
      <c r="F102" s="19"/>
      <c r="G102" s="18"/>
      <c r="H102" s="18"/>
      <c r="I102" s="19"/>
    </row>
    <row r="103" spans="1:9">
      <c r="A103" s="18"/>
      <c r="B103" s="30"/>
      <c r="C103" s="18"/>
      <c r="D103" s="18"/>
      <c r="E103" s="18"/>
      <c r="F103" s="19"/>
      <c r="G103" s="18"/>
      <c r="H103" s="18"/>
      <c r="I103" s="19"/>
    </row>
    <row r="104" spans="1:9">
      <c r="A104" s="18"/>
      <c r="B104" s="30"/>
      <c r="C104" s="18"/>
      <c r="D104" s="18"/>
      <c r="E104" s="18"/>
      <c r="F104" s="19"/>
      <c r="G104" s="18"/>
      <c r="H104" s="18"/>
      <c r="I104" s="19"/>
    </row>
    <row r="105" spans="1:9">
      <c r="A105" s="18"/>
      <c r="B105" s="30"/>
      <c r="C105" s="18"/>
      <c r="D105" s="18"/>
      <c r="E105" s="18"/>
      <c r="F105" s="19"/>
      <c r="G105" s="18"/>
      <c r="H105" s="18"/>
      <c r="I105" s="19"/>
    </row>
    <row r="106" spans="1:9">
      <c r="A106" s="18"/>
      <c r="B106" s="30"/>
      <c r="C106" s="18"/>
      <c r="D106" s="18"/>
      <c r="E106" s="18"/>
      <c r="F106" s="19"/>
      <c r="G106" s="18"/>
      <c r="H106" s="18"/>
      <c r="I106" s="19"/>
    </row>
    <row r="107" spans="1:9">
      <c r="A107" s="18"/>
      <c r="B107" s="30"/>
      <c r="C107" s="18"/>
      <c r="D107" s="18"/>
      <c r="E107" s="18"/>
      <c r="F107" s="19"/>
      <c r="G107" s="18"/>
      <c r="H107" s="18"/>
      <c r="I107" s="19"/>
    </row>
    <row r="108" spans="1:9">
      <c r="A108" s="18"/>
      <c r="B108" s="30"/>
      <c r="C108" s="18"/>
      <c r="D108" s="18"/>
      <c r="E108" s="18"/>
      <c r="F108" s="19"/>
      <c r="G108" s="18"/>
      <c r="H108" s="18"/>
      <c r="I108" s="19"/>
    </row>
    <row r="109" spans="1:9">
      <c r="A109" s="18"/>
      <c r="B109" s="30"/>
      <c r="C109" s="18"/>
      <c r="D109" s="18"/>
      <c r="E109" s="18"/>
      <c r="F109" s="19"/>
      <c r="G109" s="18"/>
      <c r="H109" s="18"/>
      <c r="I109" s="19"/>
    </row>
    <row r="110" spans="1:9">
      <c r="A110" s="18"/>
      <c r="B110" s="30"/>
      <c r="C110" s="18"/>
      <c r="D110" s="18"/>
      <c r="E110" s="18"/>
      <c r="F110" s="19"/>
      <c r="G110" s="18"/>
      <c r="H110" s="18"/>
      <c r="I110" s="19"/>
    </row>
    <row r="111" spans="1:9">
      <c r="A111" s="18"/>
      <c r="B111" s="30"/>
      <c r="C111" s="18"/>
      <c r="D111" s="18"/>
      <c r="E111" s="18"/>
      <c r="F111" s="19"/>
      <c r="G111" s="18"/>
      <c r="H111" s="18"/>
      <c r="I111" s="19"/>
    </row>
    <row r="112" spans="1:9">
      <c r="A112" s="18"/>
      <c r="B112" s="30"/>
      <c r="C112" s="18"/>
      <c r="D112" s="18"/>
      <c r="E112" s="18"/>
      <c r="F112" s="19"/>
      <c r="G112" s="18"/>
      <c r="H112" s="18"/>
      <c r="I112" s="19"/>
    </row>
    <row r="113" spans="1:9">
      <c r="A113" s="18"/>
      <c r="B113" s="30"/>
      <c r="C113" s="18"/>
      <c r="D113" s="18"/>
      <c r="E113" s="18"/>
      <c r="F113" s="19"/>
      <c r="G113" s="18"/>
      <c r="H113" s="18"/>
      <c r="I113" s="19"/>
    </row>
    <row r="114" spans="1:9">
      <c r="A114" s="18"/>
      <c r="B114" s="30"/>
      <c r="C114" s="18"/>
      <c r="D114" s="18"/>
      <c r="E114" s="18"/>
      <c r="F114" s="19"/>
      <c r="G114" s="18"/>
      <c r="H114" s="18"/>
      <c r="I114" s="19"/>
    </row>
    <row r="115" spans="1:9">
      <c r="A115" s="18"/>
      <c r="B115" s="30"/>
      <c r="C115" s="18"/>
      <c r="D115" s="18"/>
      <c r="E115" s="18"/>
      <c r="F115" s="19"/>
      <c r="G115" s="18"/>
      <c r="H115" s="18"/>
      <c r="I115" s="19"/>
    </row>
    <row r="116" spans="1:9">
      <c r="A116" s="18"/>
      <c r="B116" s="30"/>
      <c r="C116" s="18"/>
      <c r="D116" s="18"/>
      <c r="E116" s="18"/>
      <c r="F116" s="19"/>
      <c r="G116" s="18"/>
      <c r="H116" s="18"/>
      <c r="I116" s="19"/>
    </row>
    <row r="117" spans="1:9">
      <c r="A117" s="18"/>
      <c r="B117" s="30"/>
      <c r="C117" s="18"/>
      <c r="D117" s="18"/>
      <c r="E117" s="18"/>
      <c r="F117" s="19"/>
      <c r="G117" s="18"/>
      <c r="H117" s="18"/>
      <c r="I117" s="19"/>
    </row>
    <row r="118" spans="1:9">
      <c r="A118" s="18"/>
      <c r="B118" s="30"/>
      <c r="C118" s="18"/>
      <c r="D118" s="18"/>
      <c r="E118" s="18"/>
      <c r="F118" s="19"/>
      <c r="G118" s="18"/>
      <c r="H118" s="18"/>
      <c r="I118" s="19"/>
    </row>
    <row r="119" spans="1:9">
      <c r="A119" s="18"/>
      <c r="B119" s="30"/>
      <c r="C119" s="18"/>
      <c r="D119" s="18"/>
      <c r="E119" s="18"/>
      <c r="F119" s="19"/>
      <c r="G119" s="18"/>
      <c r="H119" s="18"/>
      <c r="I119" s="19"/>
    </row>
    <row r="120" spans="1:9">
      <c r="A120" s="18"/>
      <c r="B120" s="30"/>
      <c r="C120" s="18"/>
      <c r="D120" s="18"/>
      <c r="E120" s="18"/>
      <c r="F120" s="19"/>
      <c r="G120" s="18"/>
      <c r="H120" s="18"/>
      <c r="I120" s="19"/>
    </row>
    <row r="121" spans="1:9">
      <c r="A121" s="18"/>
      <c r="B121" s="30"/>
      <c r="C121" s="18"/>
      <c r="D121" s="18"/>
      <c r="E121" s="18"/>
      <c r="F121" s="19"/>
      <c r="G121" s="18"/>
      <c r="H121" s="18"/>
      <c r="I121" s="19"/>
    </row>
    <row r="122" spans="1:9">
      <c r="A122" s="18"/>
      <c r="B122" s="30"/>
      <c r="C122" s="18"/>
      <c r="D122" s="18"/>
      <c r="E122" s="18"/>
      <c r="F122" s="19"/>
      <c r="G122" s="18"/>
      <c r="H122" s="18"/>
      <c r="I122" s="19"/>
    </row>
    <row r="123" spans="1:9">
      <c r="A123" s="18"/>
      <c r="B123" s="30"/>
      <c r="C123" s="18"/>
      <c r="D123" s="18"/>
      <c r="E123" s="18"/>
      <c r="F123" s="19"/>
      <c r="G123" s="18"/>
      <c r="H123" s="18"/>
      <c r="I123" s="19"/>
    </row>
    <row r="124" spans="1:9">
      <c r="A124" s="18"/>
      <c r="B124" s="30"/>
      <c r="C124" s="18"/>
      <c r="D124" s="18"/>
      <c r="E124" s="18"/>
      <c r="F124" s="19"/>
      <c r="G124" s="18"/>
      <c r="H124" s="18"/>
      <c r="I124" s="19"/>
    </row>
    <row r="125" spans="1:9">
      <c r="A125" s="18"/>
      <c r="B125" s="30"/>
      <c r="C125" s="18"/>
      <c r="D125" s="18"/>
      <c r="E125" s="18"/>
      <c r="F125" s="19"/>
      <c r="G125" s="18"/>
      <c r="H125" s="18"/>
      <c r="I125" s="19"/>
    </row>
    <row r="126" spans="1:9">
      <c r="A126" s="18"/>
      <c r="B126" s="30"/>
      <c r="C126" s="18"/>
      <c r="D126" s="18"/>
      <c r="E126" s="18"/>
      <c r="F126" s="19"/>
      <c r="G126" s="18"/>
      <c r="H126" s="18"/>
      <c r="I126" s="19"/>
    </row>
    <row r="127" spans="1:9">
      <c r="A127" s="18"/>
      <c r="B127" s="30"/>
      <c r="C127" s="18"/>
      <c r="D127" s="18"/>
      <c r="E127" s="18"/>
      <c r="F127" s="19"/>
      <c r="G127" s="18"/>
      <c r="H127" s="18"/>
      <c r="I127" s="19"/>
    </row>
    <row r="128" spans="1:9">
      <c r="A128" s="18"/>
      <c r="B128" s="30"/>
      <c r="C128" s="18"/>
      <c r="D128" s="18"/>
      <c r="E128" s="18"/>
      <c r="F128" s="19"/>
      <c r="G128" s="18"/>
      <c r="H128" s="18"/>
      <c r="I128" s="19"/>
    </row>
    <row r="129" spans="1:9">
      <c r="A129" s="18"/>
      <c r="B129" s="30"/>
      <c r="C129" s="18"/>
      <c r="D129" s="18"/>
      <c r="E129" s="18"/>
      <c r="F129" s="19"/>
      <c r="G129" s="18"/>
      <c r="H129" s="18"/>
      <c r="I129" s="19"/>
    </row>
    <row r="130" spans="1:9">
      <c r="A130" s="18"/>
      <c r="B130" s="30"/>
      <c r="C130" s="18"/>
      <c r="D130" s="18"/>
      <c r="E130" s="18"/>
      <c r="F130" s="19"/>
      <c r="G130" s="18"/>
      <c r="H130" s="18"/>
      <c r="I130" s="19"/>
    </row>
    <row r="131" spans="1:9">
      <c r="A131" s="18"/>
      <c r="B131" s="30"/>
      <c r="C131" s="18"/>
      <c r="D131" s="18"/>
      <c r="E131" s="18"/>
      <c r="F131" s="19"/>
      <c r="G131" s="18"/>
      <c r="H131" s="18"/>
      <c r="I131" s="19"/>
    </row>
    <row r="132" spans="1:9">
      <c r="A132" s="18"/>
      <c r="B132" s="30"/>
      <c r="C132" s="18"/>
      <c r="D132" s="18"/>
      <c r="E132" s="18"/>
      <c r="F132" s="19"/>
      <c r="G132" s="18"/>
      <c r="H132" s="18"/>
      <c r="I132" s="19"/>
    </row>
    <row r="133" spans="1:9">
      <c r="A133" s="18"/>
      <c r="B133" s="30"/>
      <c r="C133" s="18"/>
      <c r="D133" s="18"/>
      <c r="E133" s="18"/>
      <c r="F133" s="19"/>
      <c r="G133" s="18"/>
      <c r="H133" s="18"/>
      <c r="I133" s="19"/>
    </row>
    <row r="134" spans="1:9">
      <c r="A134" s="18"/>
      <c r="B134" s="30"/>
      <c r="C134" s="18"/>
      <c r="D134" s="18"/>
      <c r="E134" s="18"/>
      <c r="F134" s="19"/>
      <c r="G134" s="18"/>
      <c r="H134" s="18"/>
      <c r="I134" s="19"/>
    </row>
    <row r="135" spans="1:9">
      <c r="A135" s="18"/>
      <c r="B135" s="30"/>
      <c r="C135" s="18"/>
      <c r="D135" s="18"/>
      <c r="E135" s="18"/>
      <c r="F135" s="19"/>
      <c r="G135" s="18"/>
      <c r="H135" s="18"/>
      <c r="I135" s="19"/>
    </row>
    <row r="136" spans="1:9">
      <c r="A136" s="18"/>
      <c r="B136" s="30"/>
      <c r="C136" s="18"/>
      <c r="D136" s="18"/>
      <c r="E136" s="18"/>
      <c r="F136" s="19"/>
      <c r="G136" s="18"/>
      <c r="H136" s="18"/>
      <c r="I136" s="19"/>
    </row>
    <row r="137" spans="1:9">
      <c r="A137" s="18"/>
      <c r="B137" s="30"/>
      <c r="C137" s="18"/>
      <c r="D137" s="18"/>
      <c r="E137" s="18"/>
      <c r="F137" s="19"/>
      <c r="G137" s="18"/>
      <c r="H137" s="18"/>
      <c r="I137" s="19"/>
    </row>
    <row r="138" spans="1:9">
      <c r="A138" s="18"/>
      <c r="B138" s="30"/>
      <c r="C138" s="18"/>
      <c r="D138" s="18"/>
      <c r="E138" s="18"/>
      <c r="F138" s="19"/>
      <c r="G138" s="18"/>
      <c r="H138" s="18"/>
      <c r="I138" s="19"/>
    </row>
    <row r="139" spans="1:9">
      <c r="A139" s="18"/>
      <c r="B139" s="30"/>
      <c r="C139" s="18"/>
      <c r="D139" s="18"/>
      <c r="E139" s="18"/>
      <c r="F139" s="19"/>
      <c r="G139" s="18"/>
      <c r="H139" s="18"/>
      <c r="I139" s="19"/>
    </row>
    <row r="140" spans="1:9">
      <c r="A140" s="18"/>
      <c r="B140" s="30"/>
      <c r="C140" s="18"/>
      <c r="D140" s="18"/>
      <c r="E140" s="18"/>
      <c r="F140" s="19"/>
      <c r="G140" s="18"/>
      <c r="H140" s="18"/>
      <c r="I140" s="19"/>
    </row>
    <row r="141" spans="1:9">
      <c r="A141" s="18"/>
      <c r="B141" s="30"/>
      <c r="C141" s="18"/>
      <c r="D141" s="18"/>
      <c r="E141" s="18"/>
      <c r="F141" s="19"/>
      <c r="G141" s="18"/>
      <c r="H141" s="18"/>
      <c r="I141" s="19"/>
    </row>
    <row r="142" spans="1:9">
      <c r="A142" s="18"/>
      <c r="B142" s="30"/>
      <c r="C142" s="18"/>
      <c r="D142" s="18"/>
      <c r="E142" s="18"/>
      <c r="F142" s="19"/>
      <c r="G142" s="18"/>
      <c r="H142" s="18"/>
      <c r="I142" s="19"/>
    </row>
    <row r="143" spans="1:9">
      <c r="A143" s="18"/>
      <c r="B143" s="30"/>
      <c r="C143" s="18"/>
      <c r="D143" s="18"/>
      <c r="E143" s="18"/>
      <c r="F143" s="19"/>
      <c r="G143" s="18"/>
      <c r="H143" s="18"/>
      <c r="I143" s="19"/>
    </row>
    <row r="144" spans="1:9">
      <c r="A144" s="18"/>
      <c r="B144" s="30"/>
      <c r="C144" s="18"/>
      <c r="D144" s="18"/>
      <c r="E144" s="18"/>
      <c r="F144" s="19"/>
      <c r="G144" s="18"/>
      <c r="H144" s="18"/>
      <c r="I144" s="19"/>
    </row>
    <row r="145" spans="1:9">
      <c r="A145" s="18"/>
      <c r="B145" s="30"/>
      <c r="C145" s="18"/>
      <c r="D145" s="18"/>
      <c r="E145" s="18"/>
      <c r="F145" s="19"/>
      <c r="G145" s="18"/>
      <c r="H145" s="18"/>
      <c r="I145" s="19"/>
    </row>
    <row r="146" spans="1:9">
      <c r="A146" s="18"/>
      <c r="B146" s="30"/>
      <c r="C146" s="18"/>
      <c r="D146" s="18"/>
      <c r="E146" s="18"/>
      <c r="F146" s="19"/>
      <c r="G146" s="18"/>
      <c r="H146" s="18"/>
      <c r="I146" s="19"/>
    </row>
    <row r="147" spans="1:9">
      <c r="A147" s="18"/>
      <c r="B147" s="30"/>
      <c r="C147" s="18"/>
      <c r="D147" s="18"/>
      <c r="E147" s="18"/>
      <c r="F147" s="19"/>
      <c r="G147" s="18"/>
      <c r="H147" s="18"/>
      <c r="I147" s="19"/>
    </row>
    <row r="148" spans="1:9">
      <c r="A148" s="18"/>
      <c r="B148" s="30"/>
      <c r="C148" s="18"/>
      <c r="D148" s="18"/>
      <c r="E148" s="18"/>
      <c r="F148" s="19"/>
      <c r="G148" s="18"/>
      <c r="H148" s="18"/>
      <c r="I148" s="19"/>
    </row>
    <row r="149" spans="1:9">
      <c r="A149" s="18"/>
      <c r="B149" s="30"/>
      <c r="C149" s="18"/>
      <c r="D149" s="18"/>
      <c r="E149" s="18"/>
      <c r="F149" s="19"/>
      <c r="G149" s="18"/>
      <c r="H149" s="18"/>
      <c r="I149" s="19"/>
    </row>
    <row r="150" spans="1:9">
      <c r="A150" s="18"/>
      <c r="B150" s="30"/>
      <c r="C150" s="18"/>
      <c r="D150" s="18"/>
      <c r="E150" s="18"/>
      <c r="F150" s="19"/>
      <c r="G150" s="18"/>
      <c r="H150" s="18"/>
      <c r="I150" s="19"/>
    </row>
    <row r="151" spans="1:9">
      <c r="A151" s="18"/>
      <c r="B151" s="30"/>
      <c r="C151" s="18"/>
      <c r="D151" s="18"/>
      <c r="E151" s="18"/>
      <c r="F151" s="19"/>
      <c r="G151" s="18"/>
      <c r="H151" s="18"/>
      <c r="I151" s="19"/>
    </row>
    <row r="152" spans="1:9">
      <c r="A152" s="18"/>
      <c r="B152" s="30"/>
      <c r="C152" s="18"/>
      <c r="D152" s="18"/>
      <c r="E152" s="18"/>
      <c r="F152" s="19"/>
      <c r="G152" s="18"/>
      <c r="H152" s="18"/>
      <c r="I152" s="19"/>
    </row>
    <row r="153" spans="1:9">
      <c r="A153" s="18"/>
      <c r="B153" s="30"/>
      <c r="C153" s="18"/>
      <c r="D153" s="18"/>
      <c r="E153" s="18"/>
      <c r="F153" s="19"/>
      <c r="G153" s="18"/>
      <c r="H153" s="18"/>
      <c r="I153" s="19"/>
    </row>
    <row r="154" spans="1:9">
      <c r="A154" s="18"/>
      <c r="B154" s="30"/>
      <c r="C154" s="18"/>
      <c r="D154" s="18"/>
      <c r="E154" s="18"/>
      <c r="F154" s="19"/>
      <c r="G154" s="18"/>
      <c r="H154" s="18"/>
      <c r="I154" s="19"/>
    </row>
    <row r="155" spans="1:9">
      <c r="A155" s="18"/>
      <c r="B155" s="30"/>
      <c r="C155" s="18"/>
      <c r="D155" s="18"/>
      <c r="E155" s="18"/>
      <c r="F155" s="19"/>
      <c r="G155" s="18"/>
      <c r="H155" s="18"/>
      <c r="I155" s="19"/>
    </row>
    <row r="156" spans="1:9">
      <c r="A156" s="18"/>
      <c r="B156" s="30"/>
      <c r="C156" s="18"/>
      <c r="D156" s="18"/>
      <c r="E156" s="18"/>
      <c r="F156" s="19"/>
      <c r="G156" s="18"/>
      <c r="H156" s="18"/>
      <c r="I156" s="19"/>
    </row>
    <row r="157" spans="1:9">
      <c r="A157" s="18"/>
      <c r="B157" s="30"/>
      <c r="C157" s="18"/>
      <c r="D157" s="18"/>
      <c r="E157" s="18"/>
      <c r="F157" s="19"/>
      <c r="G157" s="18"/>
      <c r="H157" s="18"/>
      <c r="I157" s="19"/>
    </row>
    <row r="158" spans="1:9">
      <c r="A158" s="18"/>
      <c r="B158" s="30"/>
      <c r="C158" s="18"/>
      <c r="D158" s="18"/>
      <c r="E158" s="18"/>
      <c r="F158" s="19"/>
      <c r="G158" s="18"/>
      <c r="H158" s="18"/>
      <c r="I158" s="19"/>
    </row>
    <row r="159" spans="1:9">
      <c r="A159" s="18"/>
      <c r="B159" s="30"/>
      <c r="C159" s="18"/>
      <c r="D159" s="18"/>
      <c r="E159" s="18"/>
      <c r="F159" s="19"/>
      <c r="G159" s="18"/>
      <c r="H159" s="18"/>
      <c r="I159" s="19"/>
    </row>
    <row r="160" spans="1:9">
      <c r="A160" s="18"/>
      <c r="B160" s="30"/>
      <c r="C160" s="18"/>
      <c r="D160" s="18"/>
      <c r="E160" s="18"/>
      <c r="F160" s="19"/>
      <c r="G160" s="18"/>
      <c r="H160" s="18"/>
      <c r="I160" s="19"/>
    </row>
    <row r="161" spans="1:9">
      <c r="A161" s="18"/>
      <c r="B161" s="30"/>
      <c r="C161" s="18"/>
      <c r="D161" s="18"/>
      <c r="E161" s="18"/>
      <c r="F161" s="19"/>
      <c r="G161" s="18"/>
      <c r="H161" s="18"/>
      <c r="I161" s="19"/>
    </row>
    <row r="162" spans="1:9">
      <c r="A162" s="18"/>
      <c r="B162" s="30"/>
      <c r="C162" s="18"/>
      <c r="D162" s="18"/>
      <c r="E162" s="18"/>
      <c r="F162" s="19"/>
      <c r="G162" s="18"/>
      <c r="H162" s="18"/>
      <c r="I162" s="19"/>
    </row>
    <row r="163" spans="1:9">
      <c r="A163" s="18"/>
      <c r="B163" s="30"/>
      <c r="C163" s="18"/>
      <c r="D163" s="18"/>
      <c r="E163" s="18"/>
      <c r="F163" s="19"/>
      <c r="G163" s="18"/>
      <c r="H163" s="18"/>
      <c r="I163" s="19"/>
    </row>
    <row r="164" spans="1:9">
      <c r="A164" s="18"/>
      <c r="B164" s="30"/>
      <c r="C164" s="18"/>
      <c r="D164" s="18"/>
      <c r="E164" s="18"/>
      <c r="F164" s="19"/>
      <c r="G164" s="18"/>
      <c r="H164" s="18"/>
      <c r="I164" s="19"/>
    </row>
    <row r="165" spans="1:9">
      <c r="A165" s="18"/>
      <c r="B165" s="30"/>
      <c r="C165" s="18"/>
      <c r="D165" s="18"/>
      <c r="E165" s="18"/>
      <c r="F165" s="19"/>
      <c r="G165" s="18"/>
      <c r="H165" s="18"/>
      <c r="I165" s="19"/>
    </row>
    <row r="166" spans="1:9">
      <c r="A166" s="18"/>
      <c r="B166" s="30"/>
      <c r="C166" s="18"/>
      <c r="D166" s="18"/>
      <c r="E166" s="18"/>
      <c r="F166" s="19"/>
      <c r="G166" s="18"/>
      <c r="H166" s="18"/>
      <c r="I166" s="19"/>
    </row>
    <row r="167" spans="1:9">
      <c r="A167" s="18"/>
      <c r="B167" s="30"/>
      <c r="C167" s="18"/>
      <c r="D167" s="18"/>
      <c r="E167" s="18"/>
      <c r="F167" s="19"/>
      <c r="G167" s="18"/>
      <c r="H167" s="18"/>
      <c r="I167" s="19"/>
    </row>
    <row r="168" spans="1:9">
      <c r="A168" s="18"/>
      <c r="B168" s="30"/>
      <c r="C168" s="18"/>
      <c r="D168" s="18"/>
      <c r="E168" s="18"/>
      <c r="F168" s="19"/>
      <c r="G168" s="18"/>
      <c r="H168" s="18"/>
      <c r="I168" s="19"/>
    </row>
    <row r="169" spans="1:9">
      <c r="A169" s="18"/>
      <c r="B169" s="30"/>
      <c r="C169" s="18"/>
      <c r="D169" s="18"/>
      <c r="E169" s="18"/>
      <c r="F169" s="19"/>
      <c r="G169" s="18"/>
      <c r="H169" s="18"/>
      <c r="I169" s="19"/>
    </row>
    <row r="170" spans="1:9">
      <c r="A170" s="18"/>
      <c r="B170" s="30"/>
      <c r="C170" s="18"/>
      <c r="D170" s="18"/>
      <c r="E170" s="18"/>
      <c r="F170" s="19"/>
      <c r="G170" s="18"/>
      <c r="H170" s="18"/>
      <c r="I170" s="19"/>
    </row>
    <row r="171" spans="1:9">
      <c r="A171" s="18"/>
      <c r="B171" s="30"/>
      <c r="C171" s="18"/>
      <c r="D171" s="18"/>
      <c r="E171" s="18"/>
      <c r="F171" s="19"/>
      <c r="G171" s="18"/>
      <c r="H171" s="18"/>
      <c r="I171" s="19"/>
    </row>
    <row r="172" spans="1:9">
      <c r="A172" s="18"/>
      <c r="B172" s="30"/>
      <c r="C172" s="18"/>
      <c r="D172" s="18"/>
      <c r="E172" s="18"/>
      <c r="F172" s="19"/>
      <c r="G172" s="18"/>
      <c r="H172" s="18"/>
      <c r="I172" s="19"/>
    </row>
    <row r="173" spans="1:9">
      <c r="A173" s="18"/>
      <c r="B173" s="30"/>
      <c r="C173" s="18"/>
      <c r="D173" s="18"/>
      <c r="E173" s="18"/>
      <c r="F173" s="19"/>
      <c r="G173" s="18"/>
      <c r="H173" s="18"/>
      <c r="I173" s="19"/>
    </row>
    <row r="174" spans="1:9">
      <c r="A174" s="18"/>
      <c r="B174" s="30"/>
      <c r="C174" s="18"/>
      <c r="D174" s="18"/>
      <c r="E174" s="18"/>
      <c r="F174" s="19"/>
      <c r="G174" s="18"/>
      <c r="H174" s="18"/>
      <c r="I174" s="19"/>
    </row>
    <row r="175" spans="1:9">
      <c r="A175" s="18"/>
      <c r="B175" s="30"/>
      <c r="C175" s="18"/>
      <c r="D175" s="18"/>
      <c r="E175" s="18"/>
      <c r="F175" s="19"/>
      <c r="G175" s="18"/>
      <c r="H175" s="18"/>
      <c r="I175" s="19"/>
    </row>
    <row r="176" spans="1:9">
      <c r="A176" s="18"/>
      <c r="B176" s="30"/>
      <c r="C176" s="18"/>
      <c r="D176" s="18"/>
      <c r="E176" s="18"/>
      <c r="F176" s="19"/>
      <c r="G176" s="18"/>
      <c r="H176" s="18"/>
      <c r="I176" s="19"/>
    </row>
    <row r="177" spans="1:9">
      <c r="A177" s="18"/>
      <c r="B177" s="30"/>
      <c r="C177" s="18"/>
      <c r="D177" s="18"/>
      <c r="E177" s="18"/>
      <c r="F177" s="19"/>
      <c r="G177" s="18"/>
      <c r="H177" s="18"/>
      <c r="I177" s="19"/>
    </row>
    <row r="178" spans="1:9">
      <c r="A178" s="18"/>
      <c r="B178" s="30"/>
      <c r="C178" s="18"/>
      <c r="D178" s="18"/>
      <c r="E178" s="18"/>
      <c r="F178" s="19"/>
      <c r="G178" s="18"/>
      <c r="H178" s="18"/>
      <c r="I178" s="19"/>
    </row>
    <row r="179" spans="1:9">
      <c r="A179" s="18"/>
      <c r="B179" s="30"/>
      <c r="C179" s="18"/>
      <c r="D179" s="18"/>
      <c r="E179" s="18"/>
      <c r="F179" s="19"/>
      <c r="G179" s="18"/>
      <c r="H179" s="18"/>
      <c r="I179" s="19"/>
    </row>
    <row r="180" spans="1:9">
      <c r="A180" s="18"/>
      <c r="B180" s="30"/>
      <c r="C180" s="18"/>
      <c r="D180" s="18"/>
      <c r="E180" s="18"/>
      <c r="F180" s="19"/>
      <c r="G180" s="18"/>
      <c r="H180" s="18"/>
      <c r="I180" s="19"/>
    </row>
    <row r="181" spans="1:9">
      <c r="A181" s="18"/>
      <c r="B181" s="30"/>
      <c r="C181" s="18"/>
      <c r="D181" s="18"/>
      <c r="E181" s="18"/>
      <c r="F181" s="19"/>
      <c r="G181" s="18"/>
      <c r="H181" s="18"/>
      <c r="I181" s="19"/>
    </row>
    <row r="182" spans="1:9">
      <c r="A182" s="18"/>
      <c r="B182" s="30"/>
      <c r="C182" s="18"/>
      <c r="D182" s="18"/>
      <c r="E182" s="18"/>
      <c r="F182" s="19"/>
      <c r="G182" s="18"/>
      <c r="H182" s="18"/>
      <c r="I182" s="19"/>
    </row>
    <row r="183" spans="1:9">
      <c r="A183" s="18"/>
      <c r="B183" s="30"/>
      <c r="C183" s="18"/>
      <c r="D183" s="18"/>
      <c r="E183" s="18"/>
      <c r="F183" s="19"/>
      <c r="G183" s="18"/>
      <c r="H183" s="18"/>
      <c r="I183" s="19"/>
    </row>
    <row r="184" spans="1:9">
      <c r="A184" s="18"/>
      <c r="B184" s="30"/>
      <c r="C184" s="18"/>
      <c r="D184" s="18"/>
      <c r="E184" s="18"/>
      <c r="F184" s="19"/>
      <c r="G184" s="18"/>
      <c r="H184" s="18"/>
      <c r="I184" s="19"/>
    </row>
    <row r="185" spans="1:9">
      <c r="A185" s="18"/>
      <c r="B185" s="30"/>
      <c r="C185" s="18"/>
      <c r="D185" s="18"/>
      <c r="E185" s="18"/>
      <c r="F185" s="19"/>
      <c r="G185" s="18"/>
      <c r="H185" s="18"/>
      <c r="I185" s="19"/>
    </row>
    <row r="186" spans="1:9">
      <c r="A186" s="18"/>
      <c r="B186" s="30"/>
      <c r="C186" s="18"/>
      <c r="D186" s="18"/>
      <c r="E186" s="18"/>
      <c r="F186" s="19"/>
      <c r="G186" s="18"/>
      <c r="H186" s="18"/>
      <c r="I186" s="19"/>
    </row>
    <row r="187" spans="1:9">
      <c r="A187" s="18"/>
      <c r="B187" s="30"/>
      <c r="C187" s="18"/>
      <c r="D187" s="18"/>
      <c r="E187" s="18"/>
      <c r="F187" s="19"/>
      <c r="G187" s="18"/>
      <c r="H187" s="18"/>
      <c r="I187" s="19"/>
    </row>
    <row r="188" spans="1:9">
      <c r="A188" s="18"/>
      <c r="B188" s="30"/>
      <c r="C188" s="18"/>
      <c r="D188" s="18"/>
      <c r="E188" s="18"/>
      <c r="F188" s="19"/>
      <c r="G188" s="18"/>
      <c r="H188" s="18"/>
      <c r="I188" s="19"/>
    </row>
    <row r="189" spans="1:9">
      <c r="A189" s="18"/>
      <c r="B189" s="30"/>
      <c r="C189" s="18"/>
      <c r="D189" s="18"/>
      <c r="E189" s="18"/>
      <c r="F189" s="19"/>
      <c r="G189" s="18"/>
      <c r="H189" s="18"/>
      <c r="I189" s="19"/>
    </row>
    <row r="190" spans="1:9">
      <c r="A190" s="18"/>
      <c r="B190" s="30"/>
      <c r="C190" s="18"/>
      <c r="D190" s="18"/>
      <c r="E190" s="18"/>
      <c r="F190" s="19"/>
      <c r="G190" s="18"/>
      <c r="H190" s="18"/>
      <c r="I190" s="19"/>
    </row>
    <row r="191" spans="1:9">
      <c r="A191" s="18"/>
      <c r="B191" s="30"/>
      <c r="C191" s="18"/>
      <c r="D191" s="18"/>
      <c r="E191" s="18"/>
      <c r="F191" s="19"/>
      <c r="G191" s="18"/>
      <c r="H191" s="18"/>
      <c r="I191" s="19"/>
    </row>
    <row r="192" spans="1:9">
      <c r="A192" s="18"/>
      <c r="B192" s="30"/>
      <c r="C192" s="18"/>
      <c r="D192" s="18"/>
      <c r="E192" s="18"/>
      <c r="F192" s="19"/>
      <c r="G192" s="18"/>
      <c r="H192" s="18"/>
      <c r="I192" s="19"/>
    </row>
    <row r="193" spans="1:9">
      <c r="A193" s="18"/>
      <c r="B193" s="30"/>
      <c r="C193" s="18"/>
      <c r="D193" s="18"/>
      <c r="E193" s="18"/>
      <c r="F193" s="19"/>
      <c r="G193" s="18"/>
      <c r="H193" s="18"/>
      <c r="I193" s="19"/>
    </row>
    <row r="194" spans="1:9">
      <c r="A194" s="18"/>
      <c r="B194" s="30"/>
      <c r="C194" s="18"/>
      <c r="D194" s="18"/>
      <c r="E194" s="18"/>
      <c r="F194" s="19"/>
      <c r="G194" s="18"/>
      <c r="H194" s="18"/>
      <c r="I194" s="19"/>
    </row>
    <row r="195" spans="1:9">
      <c r="A195" s="18"/>
      <c r="B195" s="30"/>
      <c r="C195" s="18"/>
      <c r="D195" s="18"/>
      <c r="E195" s="18"/>
      <c r="F195" s="19"/>
      <c r="G195" s="18"/>
      <c r="H195" s="18"/>
      <c r="I195" s="19"/>
    </row>
    <row r="196" spans="1:9">
      <c r="A196" s="18"/>
      <c r="B196" s="30"/>
      <c r="C196" s="18"/>
      <c r="D196" s="18"/>
      <c r="E196" s="18"/>
      <c r="F196" s="19"/>
      <c r="G196" s="18"/>
      <c r="H196" s="18"/>
      <c r="I196" s="19"/>
    </row>
    <row r="197" spans="1:9">
      <c r="A197" s="18"/>
      <c r="B197" s="30"/>
      <c r="C197" s="18"/>
      <c r="D197" s="18"/>
      <c r="E197" s="18"/>
      <c r="F197" s="19"/>
      <c r="G197" s="18"/>
      <c r="H197" s="18"/>
      <c r="I197" s="19"/>
    </row>
    <row r="198" spans="1:9">
      <c r="A198" s="18"/>
      <c r="B198" s="30"/>
      <c r="C198" s="18"/>
      <c r="D198" s="18"/>
      <c r="E198" s="18"/>
      <c r="F198" s="19"/>
      <c r="G198" s="18"/>
      <c r="H198" s="18"/>
      <c r="I198" s="19"/>
    </row>
    <row r="199" spans="1:9">
      <c r="A199" s="18"/>
      <c r="B199" s="30"/>
      <c r="C199" s="18"/>
      <c r="D199" s="18"/>
      <c r="E199" s="18"/>
      <c r="F199" s="19"/>
      <c r="G199" s="18"/>
      <c r="H199" s="18"/>
      <c r="I199" s="19"/>
    </row>
    <row r="200" spans="1:9">
      <c r="A200" s="18"/>
      <c r="B200" s="30"/>
      <c r="C200" s="18"/>
      <c r="D200" s="18"/>
      <c r="E200" s="18"/>
      <c r="F200" s="19"/>
      <c r="G200" s="18"/>
      <c r="H200" s="18"/>
      <c r="I200" s="19"/>
    </row>
    <row r="201" spans="1:9">
      <c r="A201" s="18"/>
      <c r="B201" s="30"/>
      <c r="C201" s="18"/>
      <c r="D201" s="18"/>
      <c r="E201" s="18"/>
      <c r="F201" s="19"/>
      <c r="G201" s="18"/>
      <c r="H201" s="18"/>
      <c r="I201" s="19"/>
    </row>
    <row r="202" spans="1:9">
      <c r="A202" s="18"/>
      <c r="B202" s="30"/>
      <c r="C202" s="18"/>
      <c r="D202" s="18"/>
      <c r="E202" s="18"/>
      <c r="F202" s="19"/>
      <c r="G202" s="18"/>
      <c r="H202" s="18"/>
      <c r="I202" s="19"/>
    </row>
    <row r="203" spans="1:9">
      <c r="A203" s="18"/>
      <c r="B203" s="30"/>
      <c r="C203" s="18"/>
      <c r="D203" s="18"/>
      <c r="E203" s="18"/>
      <c r="F203" s="19"/>
      <c r="G203" s="18"/>
      <c r="H203" s="18"/>
      <c r="I203" s="19"/>
    </row>
    <row r="204" spans="1:9">
      <c r="A204" s="18"/>
      <c r="B204" s="30"/>
      <c r="C204" s="18"/>
      <c r="D204" s="18"/>
      <c r="E204" s="18"/>
      <c r="F204" s="19"/>
      <c r="G204" s="18"/>
      <c r="H204" s="18"/>
      <c r="I204" s="19"/>
    </row>
    <row r="205" spans="1:9">
      <c r="A205" s="18"/>
      <c r="B205" s="30"/>
      <c r="C205" s="18"/>
      <c r="D205" s="18"/>
      <c r="E205" s="18"/>
      <c r="F205" s="19"/>
      <c r="G205" s="18"/>
      <c r="H205" s="18"/>
      <c r="I205" s="19"/>
    </row>
    <row r="206" spans="1:9">
      <c r="A206" s="18"/>
      <c r="B206" s="30"/>
      <c r="C206" s="18"/>
      <c r="D206" s="18"/>
      <c r="E206" s="18"/>
      <c r="F206" s="19"/>
      <c r="G206" s="18"/>
      <c r="H206" s="18"/>
      <c r="I206" s="19"/>
    </row>
    <row r="207" spans="1:9">
      <c r="A207" s="18"/>
      <c r="B207" s="30"/>
      <c r="C207" s="18"/>
      <c r="D207" s="18"/>
      <c r="E207" s="18"/>
      <c r="F207" s="19"/>
      <c r="G207" s="18"/>
      <c r="H207" s="18"/>
      <c r="I207" s="19"/>
    </row>
    <row r="208" spans="1:9">
      <c r="A208" s="18"/>
      <c r="B208" s="30"/>
      <c r="C208" s="18"/>
      <c r="D208" s="18"/>
      <c r="E208" s="18"/>
      <c r="F208" s="19"/>
      <c r="G208" s="18"/>
      <c r="H208" s="18"/>
      <c r="I208" s="19"/>
    </row>
    <row r="209" spans="1:9">
      <c r="A209" s="18"/>
      <c r="B209" s="30"/>
      <c r="C209" s="18"/>
      <c r="D209" s="18"/>
      <c r="E209" s="18"/>
      <c r="F209" s="19"/>
      <c r="G209" s="18"/>
      <c r="H209" s="18"/>
      <c r="I209" s="19"/>
    </row>
    <row r="210" spans="1:9">
      <c r="A210" s="18"/>
      <c r="B210" s="30"/>
      <c r="C210" s="18"/>
      <c r="D210" s="18"/>
      <c r="E210" s="18"/>
      <c r="F210" s="19"/>
      <c r="G210" s="18"/>
      <c r="H210" s="18"/>
      <c r="I210" s="19"/>
    </row>
    <row r="211" spans="1:9">
      <c r="A211" s="18"/>
      <c r="B211" s="30"/>
      <c r="C211" s="18"/>
      <c r="D211" s="18"/>
      <c r="E211" s="18"/>
      <c r="F211" s="19"/>
      <c r="G211" s="18"/>
      <c r="H211" s="18"/>
      <c r="I211" s="19"/>
    </row>
    <row r="212" spans="1:9">
      <c r="A212" s="18"/>
      <c r="B212" s="30"/>
      <c r="C212" s="18"/>
      <c r="D212" s="18"/>
      <c r="E212" s="18"/>
      <c r="F212" s="19"/>
      <c r="G212" s="18"/>
      <c r="H212" s="18"/>
      <c r="I212" s="19"/>
    </row>
    <row r="213" spans="1:9">
      <c r="A213" s="18"/>
      <c r="B213" s="30"/>
      <c r="C213" s="18"/>
      <c r="D213" s="18"/>
      <c r="E213" s="18"/>
      <c r="F213" s="19"/>
      <c r="G213" s="18"/>
      <c r="H213" s="18"/>
      <c r="I213" s="19"/>
    </row>
    <row r="214" spans="1:9">
      <c r="A214" s="18"/>
      <c r="B214" s="30"/>
      <c r="C214" s="18"/>
      <c r="D214" s="18"/>
      <c r="E214" s="18"/>
      <c r="F214" s="19"/>
      <c r="G214" s="18"/>
      <c r="H214" s="18"/>
      <c r="I214" s="19"/>
    </row>
    <row r="215" spans="1:9">
      <c r="A215" s="18"/>
      <c r="B215" s="30"/>
      <c r="C215" s="18"/>
      <c r="D215" s="18"/>
      <c r="E215" s="18"/>
      <c r="F215" s="19"/>
      <c r="G215" s="18"/>
      <c r="H215" s="18"/>
      <c r="I215" s="19"/>
    </row>
    <row r="216" spans="1:9">
      <c r="A216" s="18"/>
      <c r="B216" s="30"/>
      <c r="C216" s="18"/>
      <c r="D216" s="18"/>
      <c r="E216" s="18"/>
      <c r="F216" s="19"/>
      <c r="G216" s="18"/>
      <c r="H216" s="18"/>
      <c r="I216" s="19"/>
    </row>
    <row r="217" spans="1:9">
      <c r="A217" s="18"/>
      <c r="B217" s="30"/>
      <c r="C217" s="18"/>
      <c r="D217" s="18"/>
      <c r="E217" s="18"/>
      <c r="F217" s="19"/>
      <c r="G217" s="18"/>
      <c r="H217" s="18"/>
      <c r="I217" s="19"/>
    </row>
    <row r="218" spans="1:9">
      <c r="A218" s="18"/>
      <c r="B218" s="30"/>
      <c r="C218" s="18"/>
      <c r="D218" s="18"/>
      <c r="E218" s="18"/>
      <c r="F218" s="19"/>
      <c r="G218" s="18"/>
      <c r="H218" s="18"/>
      <c r="I218" s="19"/>
    </row>
    <row r="219" spans="1:9">
      <c r="A219" s="18"/>
      <c r="B219" s="30"/>
      <c r="C219" s="18"/>
      <c r="D219" s="18"/>
      <c r="E219" s="18"/>
      <c r="F219" s="19"/>
      <c r="G219" s="18"/>
      <c r="H219" s="18"/>
      <c r="I219" s="19"/>
    </row>
    <row r="220" spans="1:9">
      <c r="A220" s="18"/>
      <c r="B220" s="30"/>
      <c r="C220" s="18"/>
      <c r="D220" s="18"/>
      <c r="E220" s="18"/>
      <c r="F220" s="19"/>
      <c r="G220" s="18"/>
      <c r="H220" s="18"/>
      <c r="I220" s="19"/>
    </row>
    <row r="221" spans="1:9">
      <c r="A221" s="18"/>
      <c r="B221" s="30"/>
      <c r="C221" s="18"/>
      <c r="D221" s="18"/>
      <c r="E221" s="18"/>
      <c r="F221" s="19"/>
      <c r="G221" s="18"/>
      <c r="H221" s="18"/>
      <c r="I221" s="19"/>
    </row>
    <row r="222" spans="1:9">
      <c r="A222" s="18"/>
      <c r="B222" s="30"/>
      <c r="C222" s="18"/>
      <c r="D222" s="18"/>
      <c r="E222" s="18"/>
      <c r="F222" s="19"/>
      <c r="G222" s="18"/>
      <c r="H222" s="18"/>
      <c r="I222" s="19"/>
    </row>
    <row r="223" spans="1:9">
      <c r="A223" s="18"/>
      <c r="B223" s="30"/>
      <c r="C223" s="18"/>
      <c r="D223" s="18"/>
      <c r="E223" s="18"/>
      <c r="F223" s="19"/>
      <c r="G223" s="18"/>
      <c r="H223" s="18"/>
      <c r="I223" s="19"/>
    </row>
    <row r="224" spans="1:9">
      <c r="A224" s="18"/>
      <c r="B224" s="30"/>
      <c r="C224" s="18"/>
      <c r="D224" s="18"/>
      <c r="E224" s="18"/>
      <c r="F224" s="19"/>
      <c r="G224" s="18"/>
      <c r="H224" s="18"/>
      <c r="I224" s="19"/>
    </row>
    <row r="225" spans="1:9">
      <c r="A225" s="18"/>
      <c r="B225" s="30"/>
      <c r="C225" s="18"/>
      <c r="D225" s="18"/>
      <c r="E225" s="18"/>
      <c r="F225" s="19"/>
      <c r="G225" s="18"/>
      <c r="H225" s="18"/>
      <c r="I225" s="19"/>
    </row>
    <row r="226" spans="1:9">
      <c r="A226" s="18"/>
      <c r="B226" s="30"/>
      <c r="C226" s="18"/>
      <c r="D226" s="18"/>
      <c r="E226" s="18"/>
      <c r="F226" s="19"/>
      <c r="G226" s="18"/>
      <c r="H226" s="18"/>
      <c r="I226" s="19"/>
    </row>
    <row r="227" spans="1:9">
      <c r="A227" s="18"/>
      <c r="B227" s="30"/>
      <c r="C227" s="18"/>
      <c r="D227" s="18"/>
      <c r="E227" s="18"/>
      <c r="F227" s="19"/>
      <c r="G227" s="18"/>
      <c r="H227" s="18"/>
      <c r="I227" s="19"/>
    </row>
    <row r="228" spans="1:9">
      <c r="A228" s="18"/>
      <c r="B228" s="30"/>
      <c r="C228" s="18"/>
      <c r="D228" s="18"/>
      <c r="E228" s="18"/>
      <c r="F228" s="19"/>
      <c r="G228" s="18"/>
      <c r="H228" s="18"/>
      <c r="I228" s="19"/>
    </row>
    <row r="229" spans="1:9">
      <c r="A229" s="18"/>
      <c r="B229" s="30"/>
      <c r="C229" s="18"/>
      <c r="D229" s="18"/>
      <c r="E229" s="18"/>
      <c r="F229" s="19"/>
      <c r="G229" s="18"/>
      <c r="H229" s="18"/>
      <c r="I229" s="19"/>
    </row>
    <row r="230" spans="1:9">
      <c r="A230" s="18"/>
      <c r="B230" s="30"/>
      <c r="C230" s="18"/>
      <c r="D230" s="18"/>
      <c r="E230" s="18"/>
      <c r="F230" s="19"/>
      <c r="G230" s="18"/>
      <c r="H230" s="18"/>
      <c r="I230" s="19"/>
    </row>
    <row r="231" spans="1:9">
      <c r="A231" s="18"/>
      <c r="B231" s="30"/>
      <c r="C231" s="18"/>
      <c r="D231" s="18"/>
      <c r="E231" s="18"/>
      <c r="F231" s="19"/>
      <c r="G231" s="18"/>
      <c r="H231" s="18"/>
      <c r="I231" s="19"/>
    </row>
    <row r="232" spans="1:9">
      <c r="A232" s="18"/>
      <c r="B232" s="30"/>
      <c r="C232" s="18"/>
      <c r="D232" s="18"/>
      <c r="E232" s="18"/>
      <c r="F232" s="19"/>
      <c r="G232" s="18"/>
      <c r="H232" s="18"/>
      <c r="I232" s="19"/>
    </row>
    <row r="233" spans="1:9">
      <c r="A233" s="18"/>
      <c r="B233" s="30"/>
      <c r="C233" s="18"/>
      <c r="D233" s="18"/>
      <c r="E233" s="18"/>
      <c r="F233" s="19"/>
      <c r="G233" s="18"/>
      <c r="H233" s="18"/>
      <c r="I233" s="19"/>
    </row>
    <row r="234" spans="1:9">
      <c r="A234" s="18"/>
      <c r="B234" s="30"/>
      <c r="C234" s="18"/>
      <c r="D234" s="18"/>
      <c r="E234" s="18"/>
      <c r="F234" s="19"/>
      <c r="G234" s="18"/>
      <c r="H234" s="18"/>
      <c r="I234" s="19"/>
    </row>
    <row r="235" spans="1:9">
      <c r="A235" s="18"/>
      <c r="B235" s="30"/>
      <c r="C235" s="18"/>
      <c r="D235" s="18"/>
      <c r="E235" s="18"/>
      <c r="F235" s="19"/>
      <c r="G235" s="18"/>
      <c r="H235" s="18"/>
      <c r="I235" s="19"/>
    </row>
    <row r="236" spans="1:9">
      <c r="A236" s="18"/>
      <c r="B236" s="30"/>
      <c r="C236" s="18"/>
      <c r="D236" s="18"/>
      <c r="E236" s="18"/>
      <c r="F236" s="19"/>
      <c r="G236" s="18"/>
      <c r="H236" s="18"/>
      <c r="I236" s="19"/>
    </row>
    <row r="237" spans="1:9">
      <c r="A237" s="18"/>
      <c r="B237" s="30"/>
      <c r="C237" s="18"/>
      <c r="D237" s="18"/>
      <c r="E237" s="18"/>
      <c r="F237" s="19"/>
      <c r="G237" s="18"/>
      <c r="H237" s="18"/>
      <c r="I237" s="19"/>
    </row>
    <row r="238" spans="1:9">
      <c r="A238" s="18"/>
      <c r="B238" s="30"/>
      <c r="C238" s="18"/>
      <c r="D238" s="18"/>
      <c r="E238" s="18"/>
      <c r="F238" s="19"/>
      <c r="G238" s="18"/>
      <c r="H238" s="18"/>
      <c r="I238" s="19"/>
    </row>
    <row r="239" spans="1:9">
      <c r="A239" s="18"/>
      <c r="B239" s="30"/>
      <c r="C239" s="18"/>
      <c r="D239" s="18"/>
      <c r="E239" s="18"/>
      <c r="F239" s="19"/>
      <c r="G239" s="18"/>
      <c r="H239" s="18"/>
      <c r="I239" s="19"/>
    </row>
    <row r="240" spans="1:9">
      <c r="A240" s="18"/>
      <c r="B240" s="30"/>
      <c r="C240" s="18"/>
      <c r="D240" s="18"/>
      <c r="E240" s="18"/>
      <c r="F240" s="19"/>
      <c r="G240" s="18"/>
      <c r="H240" s="18"/>
      <c r="I240" s="19"/>
    </row>
    <row r="241" spans="1:9">
      <c r="A241" s="18"/>
      <c r="B241" s="30"/>
      <c r="C241" s="18"/>
      <c r="D241" s="18"/>
      <c r="E241" s="18"/>
      <c r="F241" s="19"/>
      <c r="G241" s="18"/>
      <c r="H241" s="18"/>
      <c r="I241" s="19"/>
    </row>
    <row r="242" spans="1:9">
      <c r="A242" s="18"/>
      <c r="B242" s="30"/>
      <c r="C242" s="18"/>
      <c r="D242" s="18"/>
      <c r="E242" s="18"/>
      <c r="F242" s="19"/>
      <c r="G242" s="18"/>
      <c r="H242" s="18"/>
      <c r="I242" s="19"/>
    </row>
    <row r="243" spans="1:9">
      <c r="A243" s="18"/>
      <c r="B243" s="30"/>
      <c r="C243" s="18"/>
      <c r="D243" s="18"/>
      <c r="E243" s="18"/>
      <c r="F243" s="19"/>
      <c r="G243" s="18"/>
      <c r="H243" s="18"/>
      <c r="I243" s="19"/>
    </row>
    <row r="244" spans="1:9">
      <c r="A244" s="18"/>
      <c r="B244" s="30"/>
      <c r="C244" s="18"/>
      <c r="D244" s="18"/>
      <c r="E244" s="18"/>
      <c r="F244" s="19"/>
      <c r="G244" s="18"/>
      <c r="H244" s="18"/>
      <c r="I244" s="19"/>
    </row>
    <row r="245" spans="1:9">
      <c r="A245" s="18"/>
      <c r="B245" s="30"/>
      <c r="C245" s="18"/>
      <c r="D245" s="18"/>
      <c r="E245" s="18"/>
      <c r="F245" s="19"/>
      <c r="G245" s="18"/>
      <c r="H245" s="18"/>
      <c r="I245" s="19"/>
    </row>
    <row r="246" spans="1:9">
      <c r="A246" s="18"/>
      <c r="B246" s="30"/>
      <c r="C246" s="18"/>
      <c r="D246" s="18"/>
      <c r="E246" s="18"/>
      <c r="F246" s="19"/>
      <c r="G246" s="18"/>
      <c r="H246" s="18"/>
      <c r="I246" s="19"/>
    </row>
    <row r="247" spans="1:9">
      <c r="A247" s="18"/>
      <c r="B247" s="30"/>
      <c r="C247" s="18"/>
      <c r="D247" s="18"/>
      <c r="E247" s="18"/>
      <c r="F247" s="19"/>
      <c r="G247" s="18"/>
      <c r="H247" s="18"/>
      <c r="I247" s="19"/>
    </row>
    <row r="248" spans="1:9">
      <c r="A248" s="18"/>
      <c r="B248" s="30"/>
      <c r="C248" s="18"/>
      <c r="D248" s="18"/>
      <c r="E248" s="18"/>
      <c r="F248" s="19"/>
      <c r="G248" s="18"/>
      <c r="H248" s="18"/>
      <c r="I248" s="19"/>
    </row>
    <row r="249" spans="1:9">
      <c r="A249" s="18"/>
      <c r="B249" s="30"/>
      <c r="C249" s="18"/>
      <c r="D249" s="18"/>
      <c r="E249" s="18"/>
      <c r="F249" s="19"/>
      <c r="G249" s="18"/>
      <c r="H249" s="18"/>
      <c r="I249" s="19"/>
    </row>
    <row r="250" spans="1:9">
      <c r="A250" s="18"/>
      <c r="B250" s="30"/>
      <c r="C250" s="18"/>
      <c r="D250" s="18"/>
      <c r="E250" s="18"/>
      <c r="F250" s="19"/>
      <c r="G250" s="18"/>
      <c r="H250" s="18"/>
      <c r="I250" s="19"/>
    </row>
    <row r="251" spans="1:9">
      <c r="A251" s="18"/>
      <c r="B251" s="30"/>
      <c r="C251" s="18"/>
      <c r="D251" s="18"/>
      <c r="E251" s="18"/>
      <c r="F251" s="19"/>
      <c r="G251" s="18"/>
      <c r="H251" s="18"/>
      <c r="I251" s="19"/>
    </row>
    <row r="252" spans="1:9">
      <c r="A252" s="18"/>
      <c r="B252" s="30"/>
      <c r="C252" s="18"/>
      <c r="D252" s="18"/>
      <c r="E252" s="18"/>
      <c r="F252" s="19"/>
      <c r="G252" s="18"/>
      <c r="H252" s="18"/>
      <c r="I252" s="19"/>
    </row>
    <row r="253" spans="1:9">
      <c r="A253" s="18"/>
      <c r="B253" s="30"/>
      <c r="C253" s="18"/>
      <c r="D253" s="18"/>
      <c r="E253" s="18"/>
      <c r="F253" s="19"/>
      <c r="G253" s="18"/>
      <c r="H253" s="18"/>
      <c r="I253" s="19"/>
    </row>
    <row r="254" spans="1:9">
      <c r="A254" s="18"/>
      <c r="B254" s="30"/>
      <c r="C254" s="18"/>
      <c r="D254" s="18"/>
      <c r="E254" s="18"/>
      <c r="F254" s="19"/>
      <c r="G254" s="18"/>
      <c r="H254" s="18"/>
      <c r="I254" s="19"/>
    </row>
    <row r="255" spans="1:9">
      <c r="A255" s="18"/>
      <c r="B255" s="30"/>
      <c r="C255" s="18"/>
      <c r="D255" s="18"/>
      <c r="E255" s="18"/>
      <c r="F255" s="19"/>
      <c r="G255" s="18"/>
      <c r="H255" s="18"/>
      <c r="I255" s="19"/>
    </row>
    <row r="256" spans="1:9">
      <c r="A256" s="18"/>
      <c r="B256" s="30"/>
      <c r="C256" s="18"/>
      <c r="D256" s="18"/>
      <c r="E256" s="18"/>
      <c r="F256" s="19"/>
      <c r="G256" s="18"/>
      <c r="H256" s="18"/>
      <c r="I256" s="19"/>
    </row>
    <row r="257" spans="1:9">
      <c r="A257" s="18"/>
      <c r="B257" s="30"/>
      <c r="C257" s="18"/>
      <c r="D257" s="18"/>
      <c r="E257" s="18"/>
      <c r="F257" s="19"/>
      <c r="G257" s="18"/>
      <c r="H257" s="18"/>
      <c r="I257" s="19"/>
    </row>
    <row r="258" spans="1:9">
      <c r="A258" s="18"/>
      <c r="B258" s="30"/>
      <c r="C258" s="18"/>
      <c r="D258" s="18"/>
      <c r="E258" s="18"/>
      <c r="F258" s="19"/>
      <c r="G258" s="18"/>
      <c r="H258" s="18"/>
      <c r="I258" s="19"/>
    </row>
    <row r="259" spans="1:9">
      <c r="A259" s="18"/>
      <c r="B259" s="30"/>
      <c r="C259" s="18"/>
      <c r="D259" s="18"/>
      <c r="E259" s="18"/>
      <c r="F259" s="19"/>
      <c r="G259" s="18"/>
      <c r="H259" s="18"/>
      <c r="I259" s="19"/>
    </row>
    <row r="260" spans="1:9">
      <c r="A260" s="18"/>
      <c r="B260" s="30"/>
      <c r="C260" s="18"/>
      <c r="D260" s="18"/>
      <c r="E260" s="18"/>
      <c r="F260" s="19"/>
      <c r="G260" s="18"/>
      <c r="H260" s="18"/>
      <c r="I260" s="19"/>
    </row>
    <row r="261" spans="1:9">
      <c r="A261" s="18"/>
      <c r="B261" s="30"/>
      <c r="C261" s="18"/>
      <c r="D261" s="18"/>
      <c r="E261" s="18"/>
      <c r="F261" s="19"/>
      <c r="G261" s="18"/>
      <c r="H261" s="18"/>
      <c r="I261" s="19"/>
    </row>
    <row r="262" spans="1:9">
      <c r="A262" s="18"/>
      <c r="B262" s="30"/>
      <c r="C262" s="18"/>
      <c r="D262" s="18"/>
      <c r="E262" s="18"/>
      <c r="F262" s="19"/>
      <c r="G262" s="18"/>
      <c r="H262" s="18"/>
      <c r="I262" s="19"/>
    </row>
    <row r="263" spans="1:9">
      <c r="A263" s="18"/>
      <c r="B263" s="30"/>
      <c r="C263" s="18"/>
      <c r="D263" s="18"/>
      <c r="E263" s="18"/>
      <c r="F263" s="19"/>
      <c r="G263" s="18"/>
      <c r="H263" s="18"/>
      <c r="I263" s="19"/>
    </row>
    <row r="264" spans="1:9">
      <c r="A264" s="18"/>
      <c r="B264" s="30"/>
      <c r="C264" s="18"/>
      <c r="D264" s="18"/>
      <c r="E264" s="18"/>
      <c r="F264" s="19"/>
      <c r="G264" s="18"/>
      <c r="H264" s="18"/>
      <c r="I264" s="19"/>
    </row>
    <row r="265" spans="1:9">
      <c r="A265" s="18"/>
      <c r="B265" s="30"/>
      <c r="C265" s="18"/>
      <c r="D265" s="18"/>
      <c r="E265" s="18"/>
      <c r="F265" s="19"/>
      <c r="G265" s="18"/>
      <c r="H265" s="18"/>
      <c r="I265" s="19"/>
    </row>
    <row r="266" spans="1:9">
      <c r="A266" s="18"/>
      <c r="B266" s="30"/>
      <c r="C266" s="18"/>
      <c r="D266" s="18"/>
      <c r="E266" s="18"/>
      <c r="F266" s="19"/>
      <c r="G266" s="18"/>
      <c r="H266" s="18"/>
      <c r="I266" s="19"/>
    </row>
    <row r="267" spans="1:9">
      <c r="A267" s="18"/>
      <c r="B267" s="30"/>
      <c r="C267" s="18"/>
      <c r="D267" s="18"/>
      <c r="E267" s="18"/>
      <c r="F267" s="19"/>
      <c r="G267" s="18"/>
      <c r="H267" s="18"/>
      <c r="I267" s="19"/>
    </row>
    <row r="268" spans="1:9">
      <c r="A268" s="18"/>
      <c r="B268" s="30"/>
      <c r="C268" s="18"/>
      <c r="D268" s="18"/>
      <c r="E268" s="18"/>
      <c r="F268" s="19"/>
      <c r="G268" s="18"/>
      <c r="H268" s="18"/>
      <c r="I268" s="19"/>
    </row>
    <row r="269" spans="1:9">
      <c r="A269" s="18"/>
      <c r="B269" s="30"/>
      <c r="C269" s="18"/>
      <c r="D269" s="18"/>
      <c r="E269" s="18"/>
      <c r="F269" s="19"/>
      <c r="G269" s="18"/>
      <c r="H269" s="18"/>
      <c r="I269" s="19"/>
    </row>
    <row r="270" spans="1:9">
      <c r="A270" s="18"/>
      <c r="B270" s="30"/>
      <c r="C270" s="18"/>
      <c r="D270" s="18"/>
      <c r="E270" s="18"/>
      <c r="F270" s="19"/>
      <c r="G270" s="18"/>
      <c r="H270" s="18"/>
      <c r="I270" s="19"/>
    </row>
    <row r="271" spans="1:9">
      <c r="A271" s="18"/>
      <c r="B271" s="30"/>
      <c r="C271" s="18"/>
      <c r="D271" s="18"/>
      <c r="E271" s="18"/>
      <c r="F271" s="19"/>
      <c r="G271" s="18"/>
      <c r="H271" s="18"/>
      <c r="I271" s="19"/>
    </row>
    <row r="272" spans="1:9">
      <c r="A272" s="18"/>
      <c r="B272" s="30"/>
      <c r="C272" s="18"/>
      <c r="D272" s="18"/>
      <c r="E272" s="18"/>
      <c r="F272" s="19"/>
      <c r="G272" s="18"/>
      <c r="H272" s="18"/>
      <c r="I272" s="19"/>
    </row>
    <row r="273" spans="1:9">
      <c r="A273" s="18"/>
      <c r="B273" s="30"/>
      <c r="C273" s="18"/>
      <c r="D273" s="18"/>
      <c r="E273" s="18"/>
      <c r="F273" s="19"/>
      <c r="G273" s="18"/>
      <c r="H273" s="18"/>
      <c r="I273" s="19"/>
    </row>
    <row r="274" spans="1:9">
      <c r="A274" s="18"/>
      <c r="B274" s="30"/>
      <c r="C274" s="18"/>
      <c r="D274" s="18"/>
      <c r="E274" s="18"/>
      <c r="F274" s="19"/>
      <c r="G274" s="18"/>
      <c r="H274" s="18"/>
      <c r="I274" s="19"/>
    </row>
    <row r="275" spans="1:9">
      <c r="A275" s="18"/>
      <c r="B275" s="30"/>
      <c r="C275" s="18"/>
      <c r="D275" s="18"/>
      <c r="E275" s="18"/>
      <c r="F275" s="19"/>
      <c r="G275" s="18"/>
      <c r="H275" s="18"/>
      <c r="I275" s="19"/>
    </row>
    <row r="276" spans="1:9">
      <c r="A276" s="18"/>
      <c r="B276" s="30"/>
      <c r="C276" s="18"/>
      <c r="D276" s="18"/>
      <c r="E276" s="18"/>
      <c r="F276" s="19"/>
      <c r="G276" s="18"/>
      <c r="H276" s="18"/>
      <c r="I276" s="19"/>
    </row>
    <row r="277" spans="1:9">
      <c r="A277" s="18"/>
      <c r="B277" s="30"/>
      <c r="C277" s="18"/>
      <c r="D277" s="18"/>
      <c r="E277" s="18"/>
      <c r="F277" s="19"/>
      <c r="G277" s="18"/>
      <c r="H277" s="18"/>
      <c r="I277" s="19"/>
    </row>
    <row r="278" spans="1:9">
      <c r="A278" s="18"/>
      <c r="B278" s="30"/>
      <c r="C278" s="18"/>
      <c r="D278" s="18"/>
      <c r="E278" s="18"/>
      <c r="F278" s="19"/>
      <c r="G278" s="18"/>
      <c r="H278" s="18"/>
      <c r="I278" s="19"/>
    </row>
    <row r="279" spans="1:9">
      <c r="A279" s="18"/>
      <c r="B279" s="30"/>
      <c r="C279" s="18"/>
      <c r="D279" s="18"/>
      <c r="E279" s="18"/>
      <c r="F279" s="19"/>
      <c r="G279" s="18"/>
      <c r="H279" s="18"/>
      <c r="I279" s="19"/>
    </row>
    <row r="280" spans="1:9">
      <c r="A280" s="18"/>
      <c r="B280" s="30"/>
      <c r="C280" s="18"/>
      <c r="D280" s="18"/>
      <c r="E280" s="18"/>
      <c r="F280" s="19"/>
      <c r="G280" s="18"/>
      <c r="H280" s="18"/>
      <c r="I280" s="19"/>
    </row>
    <row r="281" spans="1:9">
      <c r="A281" s="18"/>
      <c r="B281" s="30"/>
      <c r="C281" s="18"/>
      <c r="D281" s="18"/>
      <c r="E281" s="18"/>
      <c r="F281" s="19"/>
      <c r="G281" s="18"/>
      <c r="H281" s="18"/>
      <c r="I281" s="19"/>
    </row>
    <row r="282" spans="1:9">
      <c r="A282" s="18"/>
      <c r="B282" s="30"/>
      <c r="C282" s="18"/>
      <c r="D282" s="18"/>
      <c r="E282" s="18"/>
      <c r="F282" s="19"/>
      <c r="G282" s="18"/>
      <c r="H282" s="18"/>
      <c r="I282" s="19"/>
    </row>
    <row r="283" spans="1:9">
      <c r="A283" s="18"/>
      <c r="B283" s="30"/>
      <c r="C283" s="18"/>
      <c r="D283" s="18"/>
      <c r="E283" s="18"/>
      <c r="F283" s="19"/>
      <c r="G283" s="18"/>
      <c r="H283" s="18"/>
      <c r="I283" s="19"/>
    </row>
    <row r="284" spans="1:9">
      <c r="A284" s="18"/>
      <c r="B284" s="30"/>
      <c r="C284" s="18"/>
      <c r="D284" s="18"/>
      <c r="E284" s="18"/>
      <c r="F284" s="19"/>
      <c r="G284" s="18"/>
      <c r="H284" s="18"/>
      <c r="I284" s="19"/>
    </row>
    <row r="285" spans="1:9">
      <c r="A285" s="18"/>
      <c r="B285" s="30"/>
      <c r="C285" s="18"/>
      <c r="D285" s="18"/>
      <c r="E285" s="18"/>
      <c r="F285" s="19"/>
      <c r="G285" s="18"/>
      <c r="H285" s="18"/>
      <c r="I285" s="19"/>
    </row>
    <row r="286" spans="1:9">
      <c r="A286" s="18"/>
      <c r="B286" s="30"/>
      <c r="C286" s="18"/>
      <c r="D286" s="18"/>
      <c r="E286" s="18"/>
      <c r="F286" s="19"/>
      <c r="G286" s="18"/>
      <c r="H286" s="18"/>
      <c r="I286" s="19"/>
    </row>
    <row r="287" spans="1:9">
      <c r="A287" s="18"/>
      <c r="B287" s="30"/>
      <c r="C287" s="18"/>
      <c r="D287" s="18"/>
      <c r="E287" s="18"/>
      <c r="F287" s="19"/>
      <c r="G287" s="18"/>
      <c r="H287" s="18"/>
      <c r="I287" s="19"/>
    </row>
    <row r="288" spans="1:9">
      <c r="A288" s="18"/>
      <c r="B288" s="30"/>
      <c r="C288" s="18"/>
      <c r="D288" s="18"/>
      <c r="E288" s="18"/>
      <c r="F288" s="19"/>
      <c r="G288" s="18"/>
      <c r="H288" s="18"/>
      <c r="I288" s="19"/>
    </row>
    <row r="289" spans="1:9">
      <c r="A289" s="18"/>
      <c r="B289" s="30"/>
      <c r="C289" s="18"/>
      <c r="D289" s="18"/>
      <c r="E289" s="18"/>
      <c r="F289" s="19"/>
      <c r="G289" s="18"/>
      <c r="H289" s="18"/>
      <c r="I289" s="19"/>
    </row>
    <row r="290" spans="1:9">
      <c r="A290" s="18"/>
      <c r="B290" s="30"/>
      <c r="C290" s="18"/>
      <c r="D290" s="18"/>
      <c r="E290" s="18"/>
      <c r="F290" s="19"/>
      <c r="G290" s="18"/>
      <c r="H290" s="18"/>
      <c r="I290" s="19"/>
    </row>
    <row r="291" spans="1:9">
      <c r="A291" s="18"/>
      <c r="B291" s="30"/>
      <c r="C291" s="18"/>
      <c r="D291" s="18"/>
      <c r="E291" s="18"/>
      <c r="F291" s="19"/>
      <c r="G291" s="18"/>
      <c r="H291" s="18"/>
      <c r="I291" s="19"/>
    </row>
    <row r="292" spans="1:9">
      <c r="A292" s="18"/>
      <c r="B292" s="30"/>
      <c r="C292" s="18"/>
      <c r="D292" s="18"/>
      <c r="E292" s="18"/>
      <c r="F292" s="19"/>
      <c r="G292" s="18"/>
      <c r="H292" s="18"/>
      <c r="I292" s="19"/>
    </row>
    <row r="293" spans="1:9">
      <c r="A293" s="18"/>
      <c r="B293" s="30"/>
      <c r="C293" s="18"/>
      <c r="D293" s="18"/>
      <c r="E293" s="18"/>
      <c r="F293" s="19"/>
      <c r="G293" s="18"/>
      <c r="H293" s="18"/>
      <c r="I293" s="19"/>
    </row>
    <row r="294" spans="1:9">
      <c r="A294" s="18"/>
      <c r="B294" s="30"/>
      <c r="C294" s="18"/>
      <c r="D294" s="18"/>
      <c r="E294" s="18"/>
      <c r="F294" s="19"/>
      <c r="G294" s="18"/>
      <c r="H294" s="18"/>
      <c r="I294" s="19"/>
    </row>
    <row r="295" spans="1:9">
      <c r="A295" s="18"/>
      <c r="B295" s="30"/>
      <c r="C295" s="18"/>
      <c r="D295" s="18"/>
      <c r="E295" s="18"/>
      <c r="F295" s="19"/>
      <c r="G295" s="18"/>
      <c r="H295" s="18"/>
      <c r="I295" s="19"/>
    </row>
    <row r="296" spans="1:9">
      <c r="A296" s="18"/>
      <c r="B296" s="30"/>
      <c r="C296" s="18"/>
      <c r="D296" s="18"/>
      <c r="E296" s="18"/>
      <c r="F296" s="19"/>
      <c r="G296" s="18"/>
      <c r="H296" s="18"/>
      <c r="I296" s="19"/>
    </row>
    <row r="297" spans="1:9">
      <c r="A297" s="18"/>
      <c r="B297" s="30"/>
      <c r="C297" s="18"/>
      <c r="D297" s="18"/>
      <c r="E297" s="18"/>
      <c r="F297" s="19"/>
      <c r="G297" s="18"/>
      <c r="H297" s="18"/>
      <c r="I297" s="19"/>
    </row>
    <row r="298" spans="1:9">
      <c r="A298" s="18"/>
      <c r="B298" s="30"/>
      <c r="C298" s="18"/>
      <c r="D298" s="18"/>
      <c r="E298" s="18"/>
      <c r="F298" s="19"/>
      <c r="G298" s="18"/>
      <c r="H298" s="18"/>
      <c r="I298" s="19"/>
    </row>
    <row r="299" spans="1:9">
      <c r="A299" s="18"/>
      <c r="B299" s="30"/>
      <c r="C299" s="18"/>
      <c r="D299" s="18"/>
      <c r="E299" s="18"/>
      <c r="F299" s="19"/>
      <c r="G299" s="18"/>
      <c r="H299" s="18"/>
      <c r="I299" s="19"/>
    </row>
    <row r="300" spans="1:9">
      <c r="A300" s="18"/>
      <c r="B300" s="30"/>
      <c r="C300" s="18"/>
      <c r="D300" s="18"/>
      <c r="E300" s="18"/>
      <c r="F300" s="19"/>
      <c r="G300" s="18"/>
      <c r="H300" s="18"/>
      <c r="I300" s="19"/>
    </row>
    <row r="301" spans="1:9">
      <c r="A301" s="18"/>
      <c r="B301" s="30"/>
      <c r="C301" s="18"/>
      <c r="D301" s="18"/>
      <c r="E301" s="18"/>
      <c r="F301" s="19"/>
      <c r="G301" s="18"/>
      <c r="H301" s="18"/>
      <c r="I301" s="19"/>
    </row>
    <row r="302" spans="1:9">
      <c r="A302" s="18"/>
      <c r="B302" s="30"/>
      <c r="C302" s="18"/>
      <c r="D302" s="18"/>
      <c r="E302" s="18"/>
      <c r="F302" s="19"/>
      <c r="G302" s="18"/>
      <c r="H302" s="18"/>
      <c r="I302" s="19"/>
    </row>
    <row r="303" spans="1:9">
      <c r="A303" s="18"/>
      <c r="B303" s="30"/>
      <c r="C303" s="18"/>
      <c r="D303" s="18"/>
      <c r="E303" s="18"/>
      <c r="F303" s="19"/>
      <c r="G303" s="18"/>
      <c r="H303" s="18"/>
      <c r="I303" s="19"/>
    </row>
    <row r="304" spans="1:9">
      <c r="A304" s="18"/>
      <c r="B304" s="30"/>
      <c r="C304" s="18"/>
      <c r="D304" s="18"/>
      <c r="E304" s="18"/>
      <c r="F304" s="19"/>
      <c r="G304" s="18"/>
      <c r="H304" s="18"/>
      <c r="I304" s="19"/>
    </row>
    <row r="305" spans="1:9">
      <c r="A305" s="18"/>
      <c r="B305" s="30"/>
      <c r="C305" s="18"/>
      <c r="D305" s="18"/>
      <c r="E305" s="18"/>
      <c r="F305" s="19"/>
      <c r="G305" s="18"/>
      <c r="H305" s="18"/>
      <c r="I305" s="19"/>
    </row>
    <row r="306" spans="1:9">
      <c r="A306" s="18"/>
      <c r="B306" s="30"/>
      <c r="C306" s="18"/>
      <c r="D306" s="18"/>
      <c r="E306" s="18"/>
      <c r="F306" s="19"/>
      <c r="G306" s="18"/>
      <c r="H306" s="18"/>
      <c r="I306" s="19"/>
    </row>
    <row r="307" spans="1:9">
      <c r="A307" s="18"/>
      <c r="B307" s="30"/>
      <c r="C307" s="18"/>
      <c r="D307" s="18"/>
      <c r="E307" s="18"/>
      <c r="F307" s="19"/>
      <c r="G307" s="18"/>
      <c r="H307" s="18"/>
      <c r="I307" s="19"/>
    </row>
    <row r="308" spans="1:9">
      <c r="A308" s="18"/>
      <c r="B308" s="30"/>
      <c r="C308" s="18"/>
      <c r="D308" s="18"/>
      <c r="E308" s="18"/>
      <c r="F308" s="19"/>
      <c r="G308" s="18"/>
      <c r="H308" s="18"/>
      <c r="I308" s="19"/>
    </row>
    <row r="309" spans="1:9">
      <c r="A309" s="18"/>
      <c r="B309" s="30"/>
      <c r="C309" s="18"/>
      <c r="D309" s="18"/>
      <c r="E309" s="18"/>
      <c r="F309" s="19"/>
      <c r="G309" s="18"/>
      <c r="H309" s="18"/>
      <c r="I309" s="19"/>
    </row>
    <row r="310" spans="1:9">
      <c r="A310" s="18"/>
      <c r="B310" s="30"/>
      <c r="C310" s="18"/>
      <c r="D310" s="18"/>
      <c r="E310" s="18"/>
      <c r="F310" s="19"/>
      <c r="G310" s="18"/>
      <c r="H310" s="18"/>
      <c r="I310" s="19"/>
    </row>
    <row r="311" spans="1:9">
      <c r="A311" s="18"/>
      <c r="B311" s="30"/>
      <c r="C311" s="18"/>
      <c r="D311" s="18"/>
      <c r="E311" s="18"/>
      <c r="F311" s="19"/>
      <c r="G311" s="18"/>
      <c r="H311" s="18"/>
      <c r="I311" s="19"/>
    </row>
    <row r="312" spans="1:9">
      <c r="A312" s="18"/>
      <c r="B312" s="30"/>
      <c r="C312" s="18"/>
      <c r="D312" s="18"/>
      <c r="E312" s="18"/>
      <c r="F312" s="19"/>
      <c r="G312" s="18"/>
      <c r="H312" s="18"/>
      <c r="I312" s="19"/>
    </row>
    <row r="313" spans="1:9">
      <c r="A313" s="18"/>
      <c r="B313" s="30"/>
      <c r="C313" s="18"/>
      <c r="D313" s="18"/>
      <c r="E313" s="18"/>
      <c r="F313" s="19"/>
      <c r="G313" s="18"/>
      <c r="H313" s="18"/>
      <c r="I313" s="19"/>
    </row>
    <row r="314" spans="1:9">
      <c r="A314" s="18"/>
      <c r="B314" s="30"/>
      <c r="C314" s="18"/>
      <c r="D314" s="18"/>
      <c r="E314" s="18"/>
      <c r="F314" s="19"/>
      <c r="G314" s="18"/>
      <c r="H314" s="18"/>
      <c r="I314" s="19"/>
    </row>
    <row r="315" spans="1:9">
      <c r="A315" s="18"/>
      <c r="B315" s="30"/>
      <c r="C315" s="18"/>
      <c r="D315" s="18"/>
      <c r="E315" s="18"/>
      <c r="F315" s="19"/>
      <c r="G315" s="18"/>
      <c r="H315" s="18"/>
      <c r="I315" s="19"/>
    </row>
    <row r="316" spans="1:9">
      <c r="A316" s="18"/>
      <c r="B316" s="30"/>
      <c r="C316" s="18"/>
      <c r="D316" s="18"/>
      <c r="E316" s="18"/>
      <c r="F316" s="19"/>
      <c r="G316" s="18"/>
      <c r="H316" s="18"/>
      <c r="I316" s="19"/>
    </row>
    <row r="317" spans="1:9">
      <c r="A317" s="18"/>
      <c r="B317" s="30"/>
      <c r="C317" s="18"/>
      <c r="D317" s="18"/>
      <c r="E317" s="18"/>
      <c r="F317" s="19"/>
      <c r="G317" s="18"/>
      <c r="H317" s="18"/>
      <c r="I317" s="19"/>
    </row>
    <row r="318" spans="1:9">
      <c r="A318" s="18"/>
      <c r="B318" s="30"/>
      <c r="C318" s="18"/>
      <c r="D318" s="18"/>
      <c r="E318" s="18"/>
      <c r="F318" s="19"/>
      <c r="G318" s="18"/>
      <c r="H318" s="18"/>
      <c r="I318" s="19"/>
    </row>
    <row r="319" spans="1:9">
      <c r="A319" s="18"/>
      <c r="B319" s="30"/>
      <c r="C319" s="18"/>
      <c r="D319" s="18"/>
      <c r="E319" s="18"/>
      <c r="F319" s="19"/>
      <c r="G319" s="18"/>
      <c r="H319" s="18"/>
      <c r="I319" s="19"/>
    </row>
    <row r="320" spans="1:9">
      <c r="A320" s="18"/>
      <c r="B320" s="30"/>
      <c r="C320" s="18"/>
      <c r="D320" s="18"/>
      <c r="E320" s="18"/>
      <c r="F320" s="19"/>
      <c r="G320" s="18"/>
      <c r="H320" s="18"/>
      <c r="I320" s="19"/>
    </row>
    <row r="321" spans="1:9">
      <c r="A321" s="18"/>
      <c r="B321" s="30"/>
      <c r="C321" s="18"/>
      <c r="D321" s="18"/>
      <c r="E321" s="18"/>
      <c r="F321" s="19"/>
      <c r="G321" s="18"/>
      <c r="H321" s="18"/>
      <c r="I321" s="19"/>
    </row>
    <row r="322" spans="1:9">
      <c r="A322" s="18"/>
      <c r="B322" s="30"/>
      <c r="C322" s="18"/>
      <c r="D322" s="18"/>
      <c r="E322" s="18"/>
      <c r="F322" s="19"/>
      <c r="G322" s="18"/>
      <c r="H322" s="18"/>
      <c r="I322" s="19"/>
    </row>
    <row r="323" spans="1:9">
      <c r="A323" s="18"/>
      <c r="B323" s="30"/>
      <c r="C323" s="18"/>
      <c r="D323" s="18"/>
      <c r="E323" s="18"/>
      <c r="F323" s="19"/>
      <c r="G323" s="18"/>
      <c r="H323" s="18"/>
      <c r="I323" s="19"/>
    </row>
    <row r="324" spans="1:9">
      <c r="A324" s="18"/>
      <c r="B324" s="30"/>
      <c r="C324" s="18"/>
      <c r="D324" s="18"/>
      <c r="E324" s="18"/>
      <c r="F324" s="19"/>
      <c r="G324" s="18"/>
      <c r="H324" s="18"/>
      <c r="I324" s="19"/>
    </row>
    <row r="325" spans="1:9">
      <c r="A325" s="18"/>
      <c r="B325" s="30"/>
      <c r="C325" s="18"/>
      <c r="D325" s="18"/>
      <c r="E325" s="18"/>
      <c r="F325" s="19"/>
      <c r="G325" s="18"/>
      <c r="H325" s="18"/>
      <c r="I325" s="19"/>
    </row>
    <row r="326" spans="1:9">
      <c r="A326" s="18"/>
      <c r="B326" s="30"/>
      <c r="C326" s="18"/>
      <c r="D326" s="18"/>
      <c r="E326" s="18"/>
      <c r="F326" s="19"/>
      <c r="G326" s="18"/>
      <c r="H326" s="18"/>
      <c r="I326" s="19"/>
    </row>
    <row r="327" spans="1:9">
      <c r="A327" s="18"/>
      <c r="B327" s="30"/>
      <c r="C327" s="18"/>
      <c r="D327" s="18"/>
      <c r="E327" s="18"/>
      <c r="F327" s="19"/>
      <c r="G327" s="18"/>
      <c r="H327" s="18"/>
      <c r="I327" s="19"/>
    </row>
    <row r="328" spans="1:9">
      <c r="A328" s="18"/>
      <c r="B328" s="30"/>
      <c r="C328" s="18"/>
      <c r="D328" s="18"/>
      <c r="E328" s="18"/>
      <c r="F328" s="19"/>
      <c r="G328" s="18"/>
      <c r="H328" s="18"/>
      <c r="I328" s="19"/>
    </row>
    <row r="329" spans="1:9">
      <c r="A329" s="18"/>
      <c r="B329" s="30"/>
      <c r="C329" s="18"/>
      <c r="D329" s="18"/>
      <c r="E329" s="18"/>
      <c r="F329" s="19"/>
      <c r="G329" s="18"/>
      <c r="H329" s="18"/>
      <c r="I329" s="19"/>
    </row>
    <row r="330" spans="1:9">
      <c r="A330" s="18"/>
      <c r="B330" s="30"/>
      <c r="C330" s="18"/>
      <c r="D330" s="18"/>
      <c r="E330" s="18"/>
      <c r="F330" s="19"/>
      <c r="G330" s="18"/>
      <c r="H330" s="18"/>
      <c r="I330" s="19"/>
    </row>
    <row r="331" spans="1:9">
      <c r="A331" s="18"/>
      <c r="B331" s="30"/>
      <c r="C331" s="18"/>
      <c r="D331" s="18"/>
      <c r="E331" s="18"/>
      <c r="F331" s="19"/>
      <c r="G331" s="18"/>
      <c r="H331" s="18"/>
      <c r="I331" s="19"/>
    </row>
    <row r="332" spans="1:9">
      <c r="C332" s="18"/>
      <c r="D332" s="18"/>
      <c r="E332" s="18"/>
      <c r="F332" s="19"/>
      <c r="G332" s="18"/>
      <c r="H332" s="18"/>
      <c r="I332" s="19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hyperlinks>
    <hyperlink ref="K6" r:id="rId1" display="https://us3.assetplanner.com/service_request?ID=099548" xr:uid="{BA9016A9-3DB4-4BCE-9B72-0FDDA62BE02B}"/>
    <hyperlink ref="K10" r:id="rId2" display="https://us3.assetplanner.com/service_request?ID=101247" xr:uid="{A39F32E7-698C-4E20-A5C2-37B22A724A57}"/>
    <hyperlink ref="K18" r:id="rId3" display="https://us3.assetplanner.com/service_request?ID=104629" xr:uid="{2C353D48-2E7A-48DE-B2C8-466278437037}"/>
    <hyperlink ref="K22" r:id="rId4" display="https://us3.assetplanner.com/service_request?ID=105604" xr:uid="{D7FBDC05-4091-4B8F-9AFA-301628ADC67B}"/>
    <hyperlink ref="K24" r:id="rId5" display="https://us3.assetplanner.com/service_request?ID=110707" xr:uid="{AEE79FDF-0C4A-43C0-8402-04C655BA90B6}"/>
    <hyperlink ref="K26" r:id="rId6" display="https://us3.assetplanner.com/service_request?ID=101743" xr:uid="{871018BB-65B4-4948-884C-A403527B0FB6}"/>
    <hyperlink ref="K32" r:id="rId7" display="https://us3.assetplanner.com/service_request?ID=107668" xr:uid="{7145C9D9-741A-42A4-BEE7-AC3042F487FD}"/>
    <hyperlink ref="M32" r:id="rId8" display="https://us3.assetplanner.com/service_request?ID=077700" xr:uid="{6AF284E1-4BC1-4A60-993F-5088070E2B6D}"/>
    <hyperlink ref="K33" r:id="rId9" display="https://us3.assetplanner.com/service_request?ID=098782" xr:uid="{3AB5BA19-0C6F-40F8-B896-46D50A2792E7}"/>
    <hyperlink ref="K34" r:id="rId10" display="https://us3.assetplanner.com/service_request?ID=105331" xr:uid="{E763FBAC-CEA3-4EF8-892F-FA0A74B4C8F9}"/>
    <hyperlink ref="K35" r:id="rId11" display="https://us3.assetplanner.com/service_request?ID=105483" xr:uid="{1CDF8B06-27EA-45F9-AA3B-CB4D34F21542}"/>
    <hyperlink ref="M35" r:id="rId12" display="https://us3.assetplanner.com/service_request?ID=105331" xr:uid="{D13C4252-E783-45D8-81E5-CA1FB0DF5E36}"/>
    <hyperlink ref="K36" r:id="rId13" display="https://us3.assetplanner.com/service_request?ID=109637" xr:uid="{25CCB981-38C5-4053-BDA0-35C8CB9487A1}"/>
    <hyperlink ref="K37" r:id="rId14" display="https://us3.assetplanner.com/service_request?ID=088678" xr:uid="{8EB00E8F-3067-4DD9-BAE6-BF72F611F2E0}"/>
    <hyperlink ref="K46" r:id="rId15" display="https://us3.assetplanner.com/service_request?ID=091644" xr:uid="{B39D4222-C011-4CBD-BC6A-AEB56328F56A}"/>
    <hyperlink ref="K47" r:id="rId16" display="https://us3.assetplanner.com/service_request?ID=109804" xr:uid="{5CA5B977-0E64-4829-A43A-8F463D791616}"/>
    <hyperlink ref="K51" r:id="rId17" display="https://us3.assetplanner.com/service_request?ID=100592" xr:uid="{95E81025-7B35-44F4-B6D7-69D1E032A520}"/>
    <hyperlink ref="K59" r:id="rId18" display="https://us3.assetplanner.com/service_request?ID=108795" xr:uid="{4DE99659-5A80-4F51-ACDB-1605938DE7BC}"/>
    <hyperlink ref="K60" r:id="rId19" display="https://us3.assetplanner.com/service_request?ID=100593" xr:uid="{C57F14AF-46F8-4F86-99F7-83AF3BD4B60A}"/>
    <hyperlink ref="K69" r:id="rId20" display="https://us3.assetplanner.com/service_request?ID=109508" xr:uid="{CB70B4FF-C4C2-428D-9A09-6BE7AC93F084}"/>
    <hyperlink ref="K70" r:id="rId21" display="https://us3.assetplanner.com/service_request?ID=108243" xr:uid="{FC17FAB1-B49E-4710-8610-9F814111B776}"/>
    <hyperlink ref="K73" r:id="rId22" display="https://us3.assetplanner.com/service_request?ID=097581" xr:uid="{E31CBB06-2F85-4768-96D1-AFE86ECDE5A3}"/>
    <hyperlink ref="K75" r:id="rId23" display="https://us3.assetplanner.com/service_request?ID=106526" xr:uid="{664B6A7D-029A-4B1D-BEF6-0EE20E972B47}"/>
    <hyperlink ref="K79" r:id="rId24" display="https://us3.assetplanner.com/service_request?ID=104656" xr:uid="{9FCA3D69-3797-4736-B221-EACDD8829CC8}"/>
    <hyperlink ref="M79" r:id="rId25" display="https://us3.assetplanner.com/service_request?ID=107171" xr:uid="{AC14641E-FDCA-40ED-BAF1-07EED2F4B328}"/>
    <hyperlink ref="N79" r:id="rId26" display="https://us3.assetplanner.com/service_request?ID=107486" xr:uid="{7B067866-F8A4-4791-8A1D-6ECFAC672EC3}"/>
    <hyperlink ref="K84" r:id="rId27" display="https://us3.assetplanner.com/service_request?ID=104705" xr:uid="{3BD7995D-4526-44F6-802D-A905691A0409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N332"/>
  <sheetViews>
    <sheetView topLeftCell="A25" zoomScale="70" zoomScaleNormal="70" workbookViewId="0">
      <pane xSplit="2" topLeftCell="J85" activePane="topRight" state="frozen"/>
      <selection pane="topRight" activeCell="J85" sqref="J85"/>
      <selection activeCell="H74" sqref="H74"/>
    </sheetView>
  </sheetViews>
  <sheetFormatPr defaultRowHeight="13.9"/>
  <cols>
    <col min="1" max="1" width="40.710937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16.7109375" style="248" customWidth="1"/>
  </cols>
  <sheetData>
    <row r="1" spans="1:12" ht="19.5" customHeight="1">
      <c r="A1" s="254" t="str" cm="1">
        <f t="array" ref="A1">portfolio</f>
        <v>Wells Fargo</v>
      </c>
      <c r="B1" s="254"/>
      <c r="C1" s="254"/>
      <c r="D1" s="255" t="s">
        <v>387</v>
      </c>
      <c r="E1" s="255"/>
      <c r="F1" s="255"/>
      <c r="G1" s="253" t="s">
        <v>388</v>
      </c>
      <c r="H1" s="253"/>
      <c r="I1" s="253"/>
      <c r="J1" s="3"/>
      <c r="K1" s="3"/>
      <c r="L1" s="3"/>
    </row>
    <row r="2" spans="1:12" ht="19.5" customHeight="1">
      <c r="A2" s="264" t="s">
        <v>2</v>
      </c>
      <c r="B2" s="264"/>
      <c r="C2" s="4">
        <f>SUM(C4:C90)</f>
        <v>1146856.0694281594</v>
      </c>
      <c r="D2" s="4">
        <f>SUM(D4:D90)</f>
        <v>1170845.5553000001</v>
      </c>
      <c r="E2" s="4">
        <f>C2-D2</f>
        <v>-23989.485871840734</v>
      </c>
      <c r="F2" s="5">
        <f>IFERROR(E2/D2, 0)</f>
        <v>-2.0489026723677507E-2</v>
      </c>
      <c r="G2" s="4">
        <f>SUM(G4:G90)</f>
        <v>1470673.5521000004</v>
      </c>
      <c r="H2" s="6">
        <f>C2-G2</f>
        <v>-323817.48267184105</v>
      </c>
      <c r="I2" s="5">
        <f>IFERROR(H2/G2, 0)</f>
        <v>-0.22018311419924322</v>
      </c>
      <c r="J2" s="23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  <c r="L2" s="3"/>
    </row>
    <row r="3" spans="1:12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  <c r="L3" s="22" t="s">
        <v>350</v>
      </c>
    </row>
    <row r="4" spans="1:12" ht="28.9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611.99999999999602</v>
      </c>
      <c r="D4" s="11">
        <v>2277.4769999999999</v>
      </c>
      <c r="E4" s="11">
        <f>IF(AND(ISNUMBER(C4),ISNUMBER(D4)), C4-D4, "")</f>
        <v>-1665.477000000004</v>
      </c>
      <c r="F4" s="12">
        <f>IFERROR(E4/D4, "")</f>
        <v>-0.73128158923229702</v>
      </c>
      <c r="G4" s="13">
        <v>696</v>
      </c>
      <c r="H4" s="13">
        <f>IF(AND(ISNUMBER(C4),ISNUMBER(G4)), C4-G4, "")</f>
        <v>-84.000000000003979</v>
      </c>
      <c r="I4" s="14">
        <f>IFERROR(H4/G4, "")</f>
        <v>-0.12068965517241952</v>
      </c>
      <c r="J4" s="67" t="s">
        <v>100</v>
      </c>
      <c r="K4" s="67"/>
      <c r="L4" s="69"/>
    </row>
    <row r="5" spans="1:12" ht="28.9">
      <c r="A5" s="27" t="str">
        <v>Otay Mesa</v>
      </c>
      <c r="B5" s="28" t="str">
        <v>CA</v>
      </c>
      <c r="C5" s="10">
        <v>38.098999999999997</v>
      </c>
      <c r="D5" s="15" t="s">
        <v>202</v>
      </c>
      <c r="E5" s="15" t="str">
        <f t="shared" ref="E5:E70" si="0">IF(AND(ISNUMBER(C5),ISNUMBER(D5)), C5-D5, "")</f>
        <v/>
      </c>
      <c r="F5" s="16" t="str">
        <f>IFERROR(E5/D5, "")</f>
        <v/>
      </c>
      <c r="G5" s="206" t="s">
        <v>202</v>
      </c>
      <c r="H5" s="17">
        <v>0</v>
      </c>
      <c r="I5" s="16" t="str">
        <f t="shared" ref="I5:I70" si="1">IFERROR(H5/G5, "")</f>
        <v/>
      </c>
      <c r="J5" s="90" t="s">
        <v>389</v>
      </c>
      <c r="K5" s="79" t="s">
        <v>390</v>
      </c>
      <c r="L5" s="90" t="s">
        <v>391</v>
      </c>
    </row>
    <row r="6" spans="1:12" ht="28.9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70" si="2">IFERROR(E6/D6, "")</f>
        <v/>
      </c>
      <c r="G6" s="13">
        <v>0</v>
      </c>
      <c r="H6" s="13">
        <f t="shared" ref="H6:H70" si="3">IF(AND(ISNUMBER(C6),ISNUMBER(G6)), C6-G6, "")</f>
        <v>0</v>
      </c>
      <c r="I6" s="14" t="str">
        <f t="shared" si="1"/>
        <v/>
      </c>
      <c r="J6" s="67" t="s">
        <v>203</v>
      </c>
      <c r="K6" s="77" t="s">
        <v>204</v>
      </c>
      <c r="L6" s="69" t="s">
        <v>351</v>
      </c>
    </row>
    <row r="7" spans="1:12" ht="15.6">
      <c r="A7" s="27" t="str">
        <v>Van Nuys</v>
      </c>
      <c r="B7" s="28" t="str">
        <v>CA</v>
      </c>
      <c r="C7" s="10">
        <v>1055.9000000000101</v>
      </c>
      <c r="D7" s="15"/>
      <c r="E7" s="15" t="str">
        <f t="shared" si="0"/>
        <v/>
      </c>
      <c r="F7" s="16" t="str">
        <f t="shared" si="2"/>
        <v/>
      </c>
      <c r="G7" s="17">
        <v>1398.8019999999999</v>
      </c>
      <c r="H7" s="17">
        <f t="shared" si="3"/>
        <v>-342.90199999998981</v>
      </c>
      <c r="I7" s="16">
        <f t="shared" si="1"/>
        <v>-0.24513976960283859</v>
      </c>
      <c r="J7" s="90" t="s">
        <v>352</v>
      </c>
      <c r="K7" s="68"/>
      <c r="L7" s="68"/>
    </row>
    <row r="8" spans="1:12" ht="15.6">
      <c r="A8" s="25" t="str">
        <v>Lodi - Lodi Vineyard</v>
      </c>
      <c r="B8" s="26" t="str">
        <v>CA</v>
      </c>
      <c r="C8" s="21">
        <v>15042</v>
      </c>
      <c r="D8" s="11">
        <v>16000.08</v>
      </c>
      <c r="E8" s="11">
        <f t="shared" si="0"/>
        <v>-958.07999999999993</v>
      </c>
      <c r="F8" s="12">
        <f t="shared" si="2"/>
        <v>-5.9879700601496985E-2</v>
      </c>
      <c r="G8" s="13">
        <v>21024</v>
      </c>
      <c r="H8" s="13">
        <f t="shared" si="3"/>
        <v>-5982</v>
      </c>
      <c r="I8" s="14">
        <f t="shared" si="1"/>
        <v>-0.28453196347031962</v>
      </c>
      <c r="J8" s="67" t="s">
        <v>313</v>
      </c>
      <c r="K8" s="67"/>
      <c r="L8" s="69"/>
    </row>
    <row r="9" spans="1:12" ht="15.6">
      <c r="A9" s="27" t="str">
        <v>Arden Fair Mall</v>
      </c>
      <c r="B9" s="28" t="str">
        <v>CA</v>
      </c>
      <c r="C9" s="10">
        <v>7416.9375</v>
      </c>
      <c r="D9" s="15">
        <v>8604.857</v>
      </c>
      <c r="E9" s="15">
        <f t="shared" si="0"/>
        <v>-1187.9195</v>
      </c>
      <c r="F9" s="16">
        <f t="shared" si="2"/>
        <v>-0.13805220702679893</v>
      </c>
      <c r="G9" s="17">
        <v>12919</v>
      </c>
      <c r="H9" s="17">
        <f t="shared" si="3"/>
        <v>-5502.0625</v>
      </c>
      <c r="I9" s="16">
        <f t="shared" si="1"/>
        <v>-0.4258891942100782</v>
      </c>
      <c r="J9" s="90" t="s">
        <v>353</v>
      </c>
      <c r="K9" s="68"/>
      <c r="L9" s="68"/>
    </row>
    <row r="10" spans="1:12" ht="28.9">
      <c r="A10" s="25" t="str">
        <v>Modesto - Modesto Main</v>
      </c>
      <c r="B10" s="26" t="str">
        <v>CA</v>
      </c>
      <c r="C10" s="21">
        <v>5869.25</v>
      </c>
      <c r="D10" s="11">
        <v>7526.4989999999998</v>
      </c>
      <c r="E10" s="11">
        <f t="shared" si="0"/>
        <v>-1657.2489999999998</v>
      </c>
      <c r="F10" s="12">
        <f t="shared" si="2"/>
        <v>-0.22018856310218068</v>
      </c>
      <c r="G10" s="13">
        <v>12191.92</v>
      </c>
      <c r="H10" s="13">
        <f t="shared" si="3"/>
        <v>-6322.67</v>
      </c>
      <c r="I10" s="14">
        <f t="shared" si="1"/>
        <v>-0.51859510233006778</v>
      </c>
      <c r="J10" s="67" t="s">
        <v>160</v>
      </c>
      <c r="K10" s="77" t="s">
        <v>161</v>
      </c>
      <c r="L10" s="69" t="s">
        <v>351</v>
      </c>
    </row>
    <row r="11" spans="1:12" ht="72">
      <c r="A11" s="27" t="str">
        <v>Stevens Creek</v>
      </c>
      <c r="B11" s="28" t="str">
        <v>CA</v>
      </c>
      <c r="C11" s="10">
        <v>2821.6870835969498</v>
      </c>
      <c r="D11" s="15">
        <v>2451.96</v>
      </c>
      <c r="E11" s="15">
        <f t="shared" si="0"/>
        <v>369.7270835969498</v>
      </c>
      <c r="F11" s="16">
        <f t="shared" si="2"/>
        <v>0.15078838300663541</v>
      </c>
      <c r="G11" s="17">
        <v>2677</v>
      </c>
      <c r="H11" s="17">
        <f t="shared" si="3"/>
        <v>144.68708359694983</v>
      </c>
      <c r="I11" s="16">
        <f t="shared" si="1"/>
        <v>5.4048219498300271E-2</v>
      </c>
      <c r="J11" s="90" t="s">
        <v>315</v>
      </c>
      <c r="K11" s="68"/>
      <c r="L11" s="68"/>
    </row>
    <row r="12" spans="1:12" ht="15.6">
      <c r="A12" s="25" t="str">
        <v>Covina Main</v>
      </c>
      <c r="B12" s="26" t="str">
        <v>CA</v>
      </c>
      <c r="C12" s="21">
        <v>2218.4</v>
      </c>
      <c r="D12" s="11">
        <v>1809.3910000000001</v>
      </c>
      <c r="E12" s="11">
        <f t="shared" si="0"/>
        <v>409.00900000000001</v>
      </c>
      <c r="F12" s="12">
        <f t="shared" si="2"/>
        <v>0.22604788019836508</v>
      </c>
      <c r="G12" s="13">
        <v>2249</v>
      </c>
      <c r="H12" s="13">
        <f t="shared" si="3"/>
        <v>-30.599999999999909</v>
      </c>
      <c r="I12" s="14">
        <f t="shared" si="1"/>
        <v>-1.3606047132058652E-2</v>
      </c>
      <c r="J12" s="67"/>
      <c r="K12" s="67"/>
      <c r="L12" s="69"/>
    </row>
    <row r="13" spans="1:12" ht="48" customHeight="1">
      <c r="A13" s="27" t="str">
        <v>Old Ranch Town Center</v>
      </c>
      <c r="B13" s="28" t="str">
        <v>CA</v>
      </c>
      <c r="C13" s="10">
        <v>699.19799316406397</v>
      </c>
      <c r="D13" s="15" t="s">
        <v>202</v>
      </c>
      <c r="E13" s="15" t="str">
        <f t="shared" si="0"/>
        <v/>
      </c>
      <c r="F13" s="16" t="str">
        <f t="shared" si="2"/>
        <v/>
      </c>
      <c r="G13" s="17">
        <v>936</v>
      </c>
      <c r="H13" s="17">
        <f t="shared" si="3"/>
        <v>-236.80200683593603</v>
      </c>
      <c r="I13" s="16">
        <f t="shared" si="1"/>
        <v>-0.25299359704694019</v>
      </c>
      <c r="J13" s="90" t="s">
        <v>316</v>
      </c>
      <c r="K13" s="68"/>
      <c r="L13" s="68"/>
    </row>
    <row r="14" spans="1:12" ht="15.6">
      <c r="A14" s="25" t="str">
        <v>Mountain Gate Plaza</v>
      </c>
      <c r="B14" s="26" t="str">
        <v>CA</v>
      </c>
      <c r="C14" s="21">
        <v>4386.1000000000104</v>
      </c>
      <c r="D14" s="11" t="s">
        <v>202</v>
      </c>
      <c r="E14" s="11" t="str">
        <f t="shared" si="0"/>
        <v/>
      </c>
      <c r="F14" s="12" t="str">
        <f t="shared" si="2"/>
        <v/>
      </c>
      <c r="G14" s="13">
        <v>7003</v>
      </c>
      <c r="H14" s="13">
        <f t="shared" si="3"/>
        <v>-2616.8999999999896</v>
      </c>
      <c r="I14" s="14">
        <f t="shared" si="1"/>
        <v>-0.37368270741110804</v>
      </c>
      <c r="J14" s="69" t="s">
        <v>392</v>
      </c>
      <c r="K14" s="77" t="s">
        <v>393</v>
      </c>
      <c r="L14" s="69" t="s">
        <v>394</v>
      </c>
    </row>
    <row r="15" spans="1:12" ht="72">
      <c r="A15" s="27" t="str">
        <v>Arcadia Main</v>
      </c>
      <c r="B15" s="28" t="str">
        <v>CA</v>
      </c>
      <c r="C15" s="10">
        <v>2394.4341015625</v>
      </c>
      <c r="D15" s="15" t="s">
        <v>202</v>
      </c>
      <c r="E15" s="15" t="str">
        <f t="shared" si="0"/>
        <v/>
      </c>
      <c r="F15" s="16" t="str">
        <f t="shared" si="2"/>
        <v/>
      </c>
      <c r="G15" s="17">
        <v>3689</v>
      </c>
      <c r="H15" s="17">
        <f t="shared" si="3"/>
        <v>-1294.5658984375</v>
      </c>
      <c r="I15" s="16">
        <f t="shared" si="1"/>
        <v>-0.3509259686737598</v>
      </c>
      <c r="J15" s="90" t="s">
        <v>315</v>
      </c>
      <c r="K15" s="68"/>
      <c r="L15" s="68"/>
    </row>
    <row r="16" spans="1:12" ht="72">
      <c r="A16" s="25" t="str">
        <v>Fairfield</v>
      </c>
      <c r="B16" s="26" t="str">
        <v>CA</v>
      </c>
      <c r="C16" s="21">
        <v>1555.7592578125</v>
      </c>
      <c r="D16" s="11">
        <v>1750.6489999999999</v>
      </c>
      <c r="E16" s="11">
        <f t="shared" si="0"/>
        <v>-194.88974218749991</v>
      </c>
      <c r="F16" s="12">
        <f t="shared" si="2"/>
        <v>-0.11132428155929597</v>
      </c>
      <c r="G16" s="13">
        <v>2382</v>
      </c>
      <c r="H16" s="13">
        <f t="shared" si="3"/>
        <v>-826.24074218750002</v>
      </c>
      <c r="I16" s="14">
        <f t="shared" si="1"/>
        <v>-0.34686848958333333</v>
      </c>
      <c r="J16" s="67" t="s">
        <v>355</v>
      </c>
      <c r="K16" s="67"/>
      <c r="L16" s="69"/>
    </row>
    <row r="17" spans="1:14" ht="15.6">
      <c r="A17" s="27" t="str">
        <v>Los Gatos</v>
      </c>
      <c r="B17" s="28" t="str">
        <v>CA</v>
      </c>
      <c r="C17" s="10">
        <v>1003.7748437499999</v>
      </c>
      <c r="D17" s="15">
        <v>953.78219999999999</v>
      </c>
      <c r="E17" s="15">
        <f t="shared" si="0"/>
        <v>49.992643749999957</v>
      </c>
      <c r="F17" s="16">
        <f t="shared" si="2"/>
        <v>5.2415156992864781E-2</v>
      </c>
      <c r="G17" s="17">
        <v>0</v>
      </c>
      <c r="H17" s="17">
        <f t="shared" si="3"/>
        <v>1003.7748437499999</v>
      </c>
      <c r="I17" s="16" t="str">
        <f t="shared" si="1"/>
        <v/>
      </c>
      <c r="J17" s="90"/>
      <c r="K17" s="68"/>
      <c r="L17" s="68"/>
    </row>
    <row r="18" spans="1:14" ht="30" customHeight="1">
      <c r="A18" s="25" t="str">
        <v>San Marino</v>
      </c>
      <c r="B18" s="26" t="str">
        <v>CA</v>
      </c>
      <c r="C18" s="21">
        <v>2221.3970921250302</v>
      </c>
      <c r="D18" s="11">
        <v>2239.6640000000002</v>
      </c>
      <c r="E18" s="11">
        <f t="shared" si="0"/>
        <v>-18.266907874970002</v>
      </c>
      <c r="F18" s="12">
        <f t="shared" si="2"/>
        <v>-8.1560930009903273E-3</v>
      </c>
      <c r="G18" s="13">
        <v>3151.2</v>
      </c>
      <c r="H18" s="13">
        <f t="shared" si="3"/>
        <v>-929.80290787496961</v>
      </c>
      <c r="I18" s="14">
        <f t="shared" si="1"/>
        <v>-0.29506312131091955</v>
      </c>
      <c r="J18" s="67" t="s">
        <v>207</v>
      </c>
      <c r="K18" s="77" t="s">
        <v>239</v>
      </c>
      <c r="L18" s="69" t="s">
        <v>351</v>
      </c>
    </row>
    <row r="19" spans="1:14" ht="72">
      <c r="A19" s="27" t="str">
        <v>Buenaventura</v>
      </c>
      <c r="B19" s="28" t="str">
        <v>CA</v>
      </c>
      <c r="C19" s="10">
        <v>2672.6658115671498</v>
      </c>
      <c r="D19" s="15">
        <v>2001.075</v>
      </c>
      <c r="E19" s="15">
        <f t="shared" si="0"/>
        <v>671.59081156714979</v>
      </c>
      <c r="F19" s="16">
        <f t="shared" si="2"/>
        <v>0.33561501271424099</v>
      </c>
      <c r="G19" s="17">
        <v>4117.2659999999996</v>
      </c>
      <c r="H19" s="17">
        <f t="shared" si="3"/>
        <v>-1444.6001884328498</v>
      </c>
      <c r="I19" s="16">
        <f t="shared" si="1"/>
        <v>-0.35086394428556472</v>
      </c>
      <c r="J19" s="90" t="s">
        <v>315</v>
      </c>
      <c r="K19" s="90"/>
      <c r="L19" s="90"/>
    </row>
    <row r="20" spans="1:14" ht="72">
      <c r="A20" s="25" t="str">
        <v>BE 199502 - Westgate</v>
      </c>
      <c r="B20" s="26" t="str">
        <v>CA</v>
      </c>
      <c r="C20" s="21">
        <v>953.9</v>
      </c>
      <c r="D20" s="11" t="s">
        <v>202</v>
      </c>
      <c r="E20" s="11" t="str">
        <f t="shared" si="0"/>
        <v/>
      </c>
      <c r="F20" s="12" t="str">
        <f t="shared" si="2"/>
        <v/>
      </c>
      <c r="G20" s="13">
        <v>1251</v>
      </c>
      <c r="H20" s="13">
        <f t="shared" si="3"/>
        <v>-297.10000000000002</v>
      </c>
      <c r="I20" s="14">
        <f t="shared" si="1"/>
        <v>-0.23749000799360515</v>
      </c>
      <c r="J20" s="67" t="s">
        <v>316</v>
      </c>
      <c r="K20" s="67"/>
      <c r="L20" s="69"/>
    </row>
    <row r="21" spans="1:14" ht="15.6">
      <c r="A21" s="27" t="str">
        <v>98th &amp; Grant</v>
      </c>
      <c r="B21" s="28" t="str">
        <v>CO</v>
      </c>
      <c r="C21" s="10">
        <v>1278.4000000000101</v>
      </c>
      <c r="D21" s="15" t="s">
        <v>202</v>
      </c>
      <c r="E21" s="15" t="str">
        <f t="shared" si="0"/>
        <v/>
      </c>
      <c r="F21" s="16" t="str">
        <f t="shared" si="2"/>
        <v/>
      </c>
      <c r="G21" s="17">
        <v>1195</v>
      </c>
      <c r="H21" s="17">
        <f t="shared" si="3"/>
        <v>83.400000000010095</v>
      </c>
      <c r="I21" s="16">
        <f t="shared" si="1"/>
        <v>6.9790794979087953E-2</v>
      </c>
      <c r="J21" s="90"/>
      <c r="K21" s="68"/>
      <c r="L21" s="68"/>
    </row>
    <row r="22" spans="1:14" ht="57.6">
      <c r="A22" s="25" t="str">
        <v>Arapahoe Crossings</v>
      </c>
      <c r="B22" s="26" t="str">
        <v>CO</v>
      </c>
      <c r="C22" s="21">
        <v>69.004591531178406</v>
      </c>
      <c r="D22" s="11" t="s">
        <v>202</v>
      </c>
      <c r="E22" s="11" t="str">
        <f t="shared" si="0"/>
        <v/>
      </c>
      <c r="F22" s="12" t="str">
        <f t="shared" si="2"/>
        <v/>
      </c>
      <c r="G22" s="13">
        <v>2173.4870000000001</v>
      </c>
      <c r="H22" s="13">
        <f t="shared" si="3"/>
        <v>-2104.4824084688216</v>
      </c>
      <c r="I22" s="14">
        <f t="shared" si="1"/>
        <v>-0.96825166585713263</v>
      </c>
      <c r="J22" s="67" t="s">
        <v>395</v>
      </c>
      <c r="K22" s="77" t="s">
        <v>396</v>
      </c>
      <c r="L22" s="69" t="s">
        <v>397</v>
      </c>
      <c r="M22" s="78" t="s">
        <v>398</v>
      </c>
    </row>
    <row r="23" spans="1:14" ht="72">
      <c r="A23" s="27" t="str">
        <v>Aurora City Center</v>
      </c>
      <c r="B23" s="28" t="str">
        <v>CO</v>
      </c>
      <c r="C23" s="10">
        <v>831.80000000000302</v>
      </c>
      <c r="D23" s="15" t="s">
        <v>202</v>
      </c>
      <c r="E23" s="15" t="str">
        <f t="shared" si="0"/>
        <v/>
      </c>
      <c r="F23" s="16" t="str">
        <f t="shared" si="2"/>
        <v/>
      </c>
      <c r="G23" s="17">
        <v>1064</v>
      </c>
      <c r="H23" s="17">
        <f t="shared" si="3"/>
        <v>-232.19999999999698</v>
      </c>
      <c r="I23" s="16">
        <f t="shared" si="1"/>
        <v>-0.21823308270676409</v>
      </c>
      <c r="J23" s="90" t="s">
        <v>316</v>
      </c>
      <c r="K23" s="68"/>
      <c r="L23" s="68"/>
    </row>
    <row r="24" spans="1:14" ht="28.9">
      <c r="A24" s="25" t="str">
        <v>Dry Creek</v>
      </c>
      <c r="B24" s="26" t="str">
        <v>CO</v>
      </c>
      <c r="C24" s="21">
        <v>949.5</v>
      </c>
      <c r="D24" s="11">
        <v>0</v>
      </c>
      <c r="E24" s="11">
        <f t="shared" si="0"/>
        <v>949.5</v>
      </c>
      <c r="F24" s="12" t="str">
        <f t="shared" si="2"/>
        <v/>
      </c>
      <c r="G24" s="13">
        <v>1287</v>
      </c>
      <c r="H24" s="13">
        <f t="shared" si="3"/>
        <v>-337.5</v>
      </c>
      <c r="I24" s="14">
        <f t="shared" si="1"/>
        <v>-0.26223776223776224</v>
      </c>
      <c r="J24" s="67" t="s">
        <v>399</v>
      </c>
      <c r="K24" s="77" t="s">
        <v>358</v>
      </c>
      <c r="L24" s="69" t="s">
        <v>394</v>
      </c>
    </row>
    <row r="25" spans="1:14" ht="72">
      <c r="A25" s="27" t="str">
        <v>Highlands Ranch S.</v>
      </c>
      <c r="B25" s="28" t="str">
        <v>CO</v>
      </c>
      <c r="C25" s="10">
        <v>1170.69999999998</v>
      </c>
      <c r="D25" s="15" t="s">
        <v>202</v>
      </c>
      <c r="E25" s="15" t="str">
        <f t="shared" si="0"/>
        <v/>
      </c>
      <c r="F25" s="16" t="str">
        <f t="shared" si="2"/>
        <v/>
      </c>
      <c r="G25" s="17">
        <v>1141</v>
      </c>
      <c r="H25" s="17">
        <f t="shared" si="3"/>
        <v>29.699999999980037</v>
      </c>
      <c r="I25" s="16">
        <f t="shared" si="1"/>
        <v>2.6029798422418964E-2</v>
      </c>
      <c r="J25" s="90" t="s">
        <v>315</v>
      </c>
      <c r="K25" s="68"/>
      <c r="L25" s="68"/>
    </row>
    <row r="26" spans="1:14" ht="28.9">
      <c r="A26" s="25" t="str">
        <v>Lone Tree</v>
      </c>
      <c r="B26" s="26" t="str">
        <v>CO</v>
      </c>
      <c r="C26" s="21">
        <v>1579.30000000002</v>
      </c>
      <c r="D26" s="11" t="s">
        <v>202</v>
      </c>
      <c r="E26" s="11" t="str">
        <f t="shared" si="0"/>
        <v/>
      </c>
      <c r="F26" s="12" t="str">
        <f t="shared" si="2"/>
        <v/>
      </c>
      <c r="G26" s="13">
        <v>2625</v>
      </c>
      <c r="H26" s="13">
        <f t="shared" si="3"/>
        <v>-1045.69999999998</v>
      </c>
      <c r="I26" s="14">
        <f t="shared" si="1"/>
        <v>-0.39836190476189715</v>
      </c>
      <c r="J26" s="67" t="s">
        <v>210</v>
      </c>
      <c r="K26" s="77" t="s">
        <v>211</v>
      </c>
      <c r="L26" s="69" t="s">
        <v>351</v>
      </c>
    </row>
    <row r="27" spans="1:14" ht="15.6">
      <c r="A27" s="27" t="str">
        <v>Meridian</v>
      </c>
      <c r="B27" s="28" t="str">
        <v>CO</v>
      </c>
      <c r="C27" s="10">
        <v>1821</v>
      </c>
      <c r="D27" s="15" t="s">
        <v>202</v>
      </c>
      <c r="E27" s="15" t="str">
        <f t="shared" si="0"/>
        <v/>
      </c>
      <c r="F27" s="16" t="str">
        <f t="shared" si="2"/>
        <v/>
      </c>
      <c r="G27" s="17">
        <v>1548</v>
      </c>
      <c r="H27" s="17">
        <f t="shared" si="3"/>
        <v>273</v>
      </c>
      <c r="I27" s="16">
        <f t="shared" si="1"/>
        <v>0.17635658914728683</v>
      </c>
      <c r="J27" s="90"/>
      <c r="K27" s="68"/>
      <c r="L27" s="68"/>
    </row>
    <row r="28" spans="1:14" ht="15.6">
      <c r="A28" s="25" t="str">
        <v>Southglenn</v>
      </c>
      <c r="B28" s="26" t="str">
        <v>CO</v>
      </c>
      <c r="C28" s="21">
        <v>1859.2</v>
      </c>
      <c r="D28" s="11" t="s">
        <v>202</v>
      </c>
      <c r="E28" s="11" t="str">
        <f t="shared" si="0"/>
        <v/>
      </c>
      <c r="F28" s="12" t="str">
        <f t="shared" si="2"/>
        <v/>
      </c>
      <c r="G28" s="13">
        <v>1635</v>
      </c>
      <c r="H28" s="13">
        <f t="shared" si="3"/>
        <v>224.20000000000005</v>
      </c>
      <c r="I28" s="14">
        <f t="shared" si="1"/>
        <v>0.13712538226299698</v>
      </c>
      <c r="J28" s="67"/>
      <c r="K28" s="67"/>
      <c r="L28" s="69"/>
    </row>
    <row r="29" spans="1:14" ht="72">
      <c r="A29" s="27" t="str">
        <v>Standley Lake</v>
      </c>
      <c r="B29" s="28" t="str">
        <v>CO</v>
      </c>
      <c r="C29" s="10">
        <v>2382.7000000000098</v>
      </c>
      <c r="D29" s="15" t="s">
        <v>202</v>
      </c>
      <c r="E29" s="15" t="str">
        <f t="shared" si="0"/>
        <v/>
      </c>
      <c r="F29" s="16" t="str">
        <f t="shared" si="2"/>
        <v/>
      </c>
      <c r="G29" s="17">
        <v>2181</v>
      </c>
      <c r="H29" s="17">
        <f t="shared" si="3"/>
        <v>201.70000000000982</v>
      </c>
      <c r="I29" s="16">
        <f t="shared" si="1"/>
        <v>9.2480513525910052E-2</v>
      </c>
      <c r="J29" s="90" t="s">
        <v>316</v>
      </c>
      <c r="K29" s="68"/>
      <c r="L29" s="68"/>
    </row>
    <row r="30" spans="1:14" ht="15.6">
      <c r="A30" s="25" t="str">
        <v>Havana Gardens</v>
      </c>
      <c r="B30" s="26" t="str">
        <v>CO</v>
      </c>
      <c r="C30" s="21">
        <v>2003.6000000000099</v>
      </c>
      <c r="D30" s="11" t="s">
        <v>202</v>
      </c>
      <c r="E30" s="11" t="str">
        <f t="shared" si="0"/>
        <v/>
      </c>
      <c r="F30" s="12" t="str">
        <f t="shared" si="2"/>
        <v/>
      </c>
      <c r="G30" s="13">
        <v>853</v>
      </c>
      <c r="H30" s="13">
        <f t="shared" si="3"/>
        <v>1150.6000000000099</v>
      </c>
      <c r="I30" s="14">
        <f t="shared" si="1"/>
        <v>1.3488862837045836</v>
      </c>
      <c r="J30" s="67"/>
      <c r="K30" s="67"/>
      <c r="L30" s="69"/>
    </row>
    <row r="31" spans="1:14" ht="28.9">
      <c r="A31" s="27" t="str">
        <v>East Hartford</v>
      </c>
      <c r="B31" s="28" t="str">
        <v>CT</v>
      </c>
      <c r="C31" s="10">
        <v>271.599999999999</v>
      </c>
      <c r="D31" s="15">
        <v>347.21890000000002</v>
      </c>
      <c r="E31" s="15">
        <f t="shared" si="0"/>
        <v>-75.61890000000102</v>
      </c>
      <c r="F31" s="16">
        <f t="shared" si="2"/>
        <v>-0.21778451576224975</v>
      </c>
      <c r="G31" s="17">
        <v>379.49509999999998</v>
      </c>
      <c r="H31" s="17">
        <f t="shared" si="3"/>
        <v>-107.89510000000098</v>
      </c>
      <c r="I31" s="16">
        <f t="shared" si="1"/>
        <v>-0.28431223486153306</v>
      </c>
      <c r="J31" s="90" t="s">
        <v>100</v>
      </c>
      <c r="K31" s="68"/>
      <c r="L31" s="68"/>
    </row>
    <row r="32" spans="1:14" ht="72">
      <c r="A32" s="25" t="str">
        <v>Norwalk</v>
      </c>
      <c r="B32" s="26" t="str">
        <v>CT</v>
      </c>
      <c r="C32" s="21">
        <v>-195.87070848514099</v>
      </c>
      <c r="D32" s="11">
        <v>0</v>
      </c>
      <c r="E32" s="11">
        <f t="shared" si="0"/>
        <v>-195.87070848514099</v>
      </c>
      <c r="F32" s="12" t="str">
        <f t="shared" si="2"/>
        <v/>
      </c>
      <c r="G32" s="13">
        <v>448.93880000000001</v>
      </c>
      <c r="H32" s="13">
        <f t="shared" si="3"/>
        <v>-644.80950848514101</v>
      </c>
      <c r="I32" s="14">
        <f t="shared" si="1"/>
        <v>-1.436297126657667</v>
      </c>
      <c r="J32" s="67" t="s">
        <v>256</v>
      </c>
      <c r="K32" s="77" t="s">
        <v>400</v>
      </c>
      <c r="L32" s="69" t="s">
        <v>356</v>
      </c>
      <c r="M32" s="78" t="s">
        <v>401</v>
      </c>
      <c r="N32" s="78" t="s">
        <v>362</v>
      </c>
    </row>
    <row r="33" spans="1:13" ht="31.15">
      <c r="A33" s="27" t="str">
        <v>Hialeah Gardens</v>
      </c>
      <c r="B33" s="28" t="str">
        <v>FL</v>
      </c>
      <c r="C33" s="10">
        <v>616.50078034400894</v>
      </c>
      <c r="D33" s="15">
        <v>4600.9790000000003</v>
      </c>
      <c r="E33" s="15">
        <f t="shared" si="0"/>
        <v>-3984.4782196559913</v>
      </c>
      <c r="F33" s="16">
        <f t="shared" si="2"/>
        <v>-0.86600660851875022</v>
      </c>
      <c r="G33" s="17">
        <v>3330</v>
      </c>
      <c r="H33" s="17">
        <f t="shared" si="3"/>
        <v>-2713.4992196559911</v>
      </c>
      <c r="I33" s="16">
        <f t="shared" si="1"/>
        <v>-0.81486463052732461</v>
      </c>
      <c r="J33" s="90" t="s">
        <v>172</v>
      </c>
      <c r="K33" s="79" t="s">
        <v>402</v>
      </c>
      <c r="L33" s="68" t="s">
        <v>351</v>
      </c>
    </row>
    <row r="34" spans="1:13" ht="26.45">
      <c r="A34" s="25" t="str">
        <v>W. Des Moines Campus EAST</v>
      </c>
      <c r="B34" s="26" t="str">
        <v>IA</v>
      </c>
      <c r="C34" s="21">
        <v>106030.500000001</v>
      </c>
      <c r="D34" s="11">
        <v>114689.60000000001</v>
      </c>
      <c r="E34" s="11">
        <f t="shared" si="0"/>
        <v>-8659.0999999990017</v>
      </c>
      <c r="F34" s="12">
        <f t="shared" si="2"/>
        <v>-7.5500306915352408E-2</v>
      </c>
      <c r="G34" s="13">
        <v>109300</v>
      </c>
      <c r="H34" s="13">
        <f t="shared" si="3"/>
        <v>-3269.4999999989959</v>
      </c>
      <c r="I34" s="14">
        <f t="shared" si="1"/>
        <v>-2.9913083257081391E-2</v>
      </c>
      <c r="J34" s="67" t="s">
        <v>363</v>
      </c>
      <c r="K34" s="77" t="s">
        <v>403</v>
      </c>
      <c r="L34" s="69" t="s">
        <v>360</v>
      </c>
      <c r="M34" s="78" t="s">
        <v>366</v>
      </c>
    </row>
    <row r="35" spans="1:13" ht="57.6">
      <c r="A35" s="27" t="str">
        <v>W. Des Moines Campus SW</v>
      </c>
      <c r="B35" s="28" t="str">
        <v>IA</v>
      </c>
      <c r="C35" s="10">
        <v>39035.75</v>
      </c>
      <c r="D35" s="15">
        <v>65142.07</v>
      </c>
      <c r="E35" s="15">
        <f t="shared" si="0"/>
        <v>-26106.32</v>
      </c>
      <c r="F35" s="16">
        <f t="shared" si="2"/>
        <v>-0.40075975479440551</v>
      </c>
      <c r="G35" s="17">
        <v>55767.74</v>
      </c>
      <c r="H35" s="17">
        <f t="shared" si="3"/>
        <v>-16731.989999999998</v>
      </c>
      <c r="I35" s="16">
        <f t="shared" si="1"/>
        <v>-0.30002990976503618</v>
      </c>
      <c r="J35" s="90" t="s">
        <v>365</v>
      </c>
      <c r="K35" s="79" t="s">
        <v>404</v>
      </c>
      <c r="L35" s="68" t="s">
        <v>405</v>
      </c>
      <c r="M35" s="78" t="s">
        <v>366</v>
      </c>
    </row>
    <row r="36" spans="1:13" ht="15.6">
      <c r="A36" s="25" t="str">
        <v>WF - CIC</v>
      </c>
      <c r="B36" s="26" t="str">
        <v>NC</v>
      </c>
      <c r="C36" s="21">
        <v>125466</v>
      </c>
      <c r="D36" s="11">
        <v>123800.4</v>
      </c>
      <c r="E36" s="11">
        <f t="shared" si="0"/>
        <v>1665.6000000000058</v>
      </c>
      <c r="F36" s="12">
        <f t="shared" si="2"/>
        <v>1.345391452693211E-2</v>
      </c>
      <c r="G36" s="13">
        <v>116623</v>
      </c>
      <c r="H36" s="13">
        <f t="shared" si="3"/>
        <v>8843</v>
      </c>
      <c r="I36" s="14">
        <f t="shared" si="1"/>
        <v>7.5825523267280037E-2</v>
      </c>
      <c r="J36" s="67"/>
      <c r="K36" s="67"/>
      <c r="L36" s="69"/>
    </row>
    <row r="37" spans="1:13" ht="15.6">
      <c r="A37" s="27" t="str">
        <v>Charlotte - Wells Fargo - DUC</v>
      </c>
      <c r="B37" s="28" t="str">
        <v>NC</v>
      </c>
      <c r="C37" s="10">
        <v>117477</v>
      </c>
      <c r="D37" s="15">
        <v>137970.9</v>
      </c>
      <c r="E37" s="15">
        <f t="shared" si="0"/>
        <v>-20493.899999999994</v>
      </c>
      <c r="F37" s="16">
        <f t="shared" si="2"/>
        <v>-0.1485378438496813</v>
      </c>
      <c r="G37" s="17">
        <v>130458.6</v>
      </c>
      <c r="H37" s="17">
        <f t="shared" si="3"/>
        <v>-12981.600000000006</v>
      </c>
      <c r="I37" s="16">
        <f t="shared" si="1"/>
        <v>-9.9507429943292397E-2</v>
      </c>
      <c r="J37" s="90" t="s">
        <v>406</v>
      </c>
      <c r="K37" s="68"/>
      <c r="L37" s="68"/>
    </row>
    <row r="38" spans="1:13" ht="15.6">
      <c r="A38" s="25" t="str">
        <v>East Windsor</v>
      </c>
      <c r="B38" s="26" t="str">
        <v>NJ</v>
      </c>
      <c r="C38" s="21">
        <v>472.099999999999</v>
      </c>
      <c r="D38" s="11">
        <v>513.05939999999998</v>
      </c>
      <c r="E38" s="11">
        <f t="shared" si="0"/>
        <v>-40.959400000000983</v>
      </c>
      <c r="F38" s="12">
        <f t="shared" si="2"/>
        <v>-7.9833641094970653E-2</v>
      </c>
      <c r="G38" s="13">
        <v>513.81560000000002</v>
      </c>
      <c r="H38" s="13">
        <f t="shared" si="3"/>
        <v>-41.715600000001018</v>
      </c>
      <c r="I38" s="14">
        <f t="shared" si="1"/>
        <v>-8.1187881411154156E-2</v>
      </c>
      <c r="J38" s="67"/>
      <c r="K38" s="67"/>
      <c r="L38" s="69"/>
    </row>
    <row r="39" spans="1:13" ht="15.6">
      <c r="A39" s="27" t="str">
        <v>Burlington</v>
      </c>
      <c r="B39" s="28" t="str">
        <v>NJ</v>
      </c>
      <c r="C39" s="10">
        <v>1286.70000000001</v>
      </c>
      <c r="D39" s="15">
        <v>1062.463</v>
      </c>
      <c r="E39" s="15">
        <f t="shared" si="0"/>
        <v>224.23700000001008</v>
      </c>
      <c r="F39" s="16">
        <f t="shared" si="2"/>
        <v>0.21105393787831678</v>
      </c>
      <c r="G39" s="17">
        <v>1283.4090000000001</v>
      </c>
      <c r="H39" s="17">
        <f t="shared" si="3"/>
        <v>3.2910000000099444</v>
      </c>
      <c r="I39" s="16">
        <f t="shared" si="1"/>
        <v>2.5642643927305669E-3</v>
      </c>
      <c r="J39" s="90"/>
      <c r="K39" s="68"/>
      <c r="L39" s="68"/>
    </row>
    <row r="40" spans="1:13" ht="28.9">
      <c r="A40" s="25" t="str">
        <v>Bayonne</v>
      </c>
      <c r="B40" s="26" t="str">
        <v>NJ</v>
      </c>
      <c r="C40" s="21">
        <v>727.60000000000605</v>
      </c>
      <c r="D40" s="11">
        <v>682.12660000000005</v>
      </c>
      <c r="E40" s="11">
        <f t="shared" si="0"/>
        <v>45.473400000005995</v>
      </c>
      <c r="F40" s="12">
        <f t="shared" si="2"/>
        <v>6.666416468732636E-2</v>
      </c>
      <c r="G40" s="13">
        <v>1878.1679999999999</v>
      </c>
      <c r="H40" s="13">
        <f t="shared" si="3"/>
        <v>-1150.5679999999938</v>
      </c>
      <c r="I40" s="14">
        <f t="shared" si="1"/>
        <v>-0.61260121565269665</v>
      </c>
      <c r="J40" s="67" t="s">
        <v>407</v>
      </c>
      <c r="K40" s="77" t="s">
        <v>408</v>
      </c>
      <c r="L40" s="69" t="s">
        <v>409</v>
      </c>
    </row>
    <row r="41" spans="1:13" ht="28.9">
      <c r="A41" s="27" t="str">
        <v>Clifton</v>
      </c>
      <c r="B41" s="28" t="str">
        <v>NJ</v>
      </c>
      <c r="C41" s="10">
        <v>1803.2852343749801</v>
      </c>
      <c r="D41" s="15">
        <v>1962.6659999999999</v>
      </c>
      <c r="E41" s="15">
        <f t="shared" si="0"/>
        <v>-159.38076562501988</v>
      </c>
      <c r="F41" s="16">
        <f t="shared" si="2"/>
        <v>-8.1206260069222116E-2</v>
      </c>
      <c r="G41" s="17">
        <v>2534.527</v>
      </c>
      <c r="H41" s="17">
        <f t="shared" si="3"/>
        <v>-731.24176562501998</v>
      </c>
      <c r="I41" s="16">
        <f t="shared" si="1"/>
        <v>-0.28851212302138424</v>
      </c>
      <c r="J41" s="90" t="s">
        <v>410</v>
      </c>
      <c r="K41" s="68"/>
      <c r="L41" s="68"/>
    </row>
    <row r="42" spans="1:13" ht="72">
      <c r="A42" s="25" t="str">
        <v>North Elizabeth</v>
      </c>
      <c r="B42" s="26" t="str">
        <v>NJ</v>
      </c>
      <c r="C42" s="21">
        <v>1458.5</v>
      </c>
      <c r="D42" s="11">
        <v>1148.5129999999999</v>
      </c>
      <c r="E42" s="11">
        <f t="shared" si="0"/>
        <v>309.98700000000008</v>
      </c>
      <c r="F42" s="12">
        <f t="shared" si="2"/>
        <v>0.26990290924003479</v>
      </c>
      <c r="G42" s="13">
        <v>1715.991</v>
      </c>
      <c r="H42" s="13">
        <f t="shared" si="3"/>
        <v>-257.49099999999999</v>
      </c>
      <c r="I42" s="14">
        <f t="shared" si="1"/>
        <v>-0.15005381729857556</v>
      </c>
      <c r="J42" s="67" t="s">
        <v>315</v>
      </c>
      <c r="K42" s="67"/>
      <c r="L42" s="69"/>
    </row>
    <row r="43" spans="1:13" ht="28.9">
      <c r="A43" s="27" t="str">
        <v>Haddon Westmont Plaza</v>
      </c>
      <c r="B43" s="28" t="str">
        <v>NJ</v>
      </c>
      <c r="C43" s="10">
        <v>982.20000000001198</v>
      </c>
      <c r="D43" s="15">
        <v>1019.0170000000001</v>
      </c>
      <c r="E43" s="15">
        <f t="shared" si="0"/>
        <v>-36.81699999998807</v>
      </c>
      <c r="F43" s="16">
        <f t="shared" si="2"/>
        <v>-3.6129917361523968E-2</v>
      </c>
      <c r="G43" s="17">
        <v>1218.655</v>
      </c>
      <c r="H43" s="17">
        <f t="shared" si="3"/>
        <v>-236.45499999998799</v>
      </c>
      <c r="I43" s="16">
        <f t="shared" si="1"/>
        <v>-0.19402948332381847</v>
      </c>
      <c r="J43" s="90" t="s">
        <v>411</v>
      </c>
      <c r="K43" s="68"/>
      <c r="L43" s="68"/>
    </row>
    <row r="44" spans="1:13" ht="15.6">
      <c r="A44" s="25" t="str">
        <v>Parsippany</v>
      </c>
      <c r="B44" s="26" t="str">
        <v>NJ</v>
      </c>
      <c r="C44" s="21">
        <v>1336.5</v>
      </c>
      <c r="D44" s="11">
        <v>1330.787</v>
      </c>
      <c r="E44" s="11">
        <f t="shared" si="0"/>
        <v>5.7129999999999654</v>
      </c>
      <c r="F44" s="12">
        <f t="shared" si="2"/>
        <v>4.2929484583182475E-3</v>
      </c>
      <c r="G44" s="13">
        <v>1482.5</v>
      </c>
      <c r="H44" s="13">
        <f t="shared" si="3"/>
        <v>-146</v>
      </c>
      <c r="I44" s="14">
        <f t="shared" si="1"/>
        <v>-9.84822934232715E-2</v>
      </c>
      <c r="J44" s="67"/>
      <c r="K44" s="67"/>
      <c r="L44" s="69"/>
    </row>
    <row r="45" spans="1:13" ht="15.6">
      <c r="A45" s="27" t="str">
        <v>Clark</v>
      </c>
      <c r="B45" s="28" t="str">
        <v>NJ</v>
      </c>
      <c r="C45" s="10">
        <v>1118.8999999999901</v>
      </c>
      <c r="D45" s="15">
        <v>1039.5340000000001</v>
      </c>
      <c r="E45" s="15">
        <f t="shared" si="0"/>
        <v>79.365999999989981</v>
      </c>
      <c r="F45" s="16">
        <f t="shared" si="2"/>
        <v>7.6347671168032955E-2</v>
      </c>
      <c r="G45" s="17">
        <v>1191.421</v>
      </c>
      <c r="H45" s="17">
        <f t="shared" si="3"/>
        <v>-72.521000000009963</v>
      </c>
      <c r="I45" s="16">
        <f t="shared" si="1"/>
        <v>-6.0869331663626847E-2</v>
      </c>
      <c r="J45" s="90"/>
      <c r="K45" s="68"/>
      <c r="L45" s="68"/>
    </row>
    <row r="46" spans="1:13" ht="28.9">
      <c r="A46" s="25" t="str">
        <v>Closter</v>
      </c>
      <c r="B46" s="26" t="str">
        <v>NJ</v>
      </c>
      <c r="C46" s="21">
        <v>257.40000000000902</v>
      </c>
      <c r="D46" s="11">
        <v>252.35489999999999</v>
      </c>
      <c r="E46" s="11">
        <f t="shared" si="0"/>
        <v>5.0451000000090289</v>
      </c>
      <c r="F46" s="12">
        <f t="shared" si="2"/>
        <v>1.9992082578975202E-2</v>
      </c>
      <c r="G46" s="13">
        <v>621.36339999999996</v>
      </c>
      <c r="H46" s="13">
        <f t="shared" si="3"/>
        <v>-363.96339999999094</v>
      </c>
      <c r="I46" s="14">
        <f t="shared" si="1"/>
        <v>-0.58574965953899272</v>
      </c>
      <c r="J46" s="67" t="s">
        <v>412</v>
      </c>
      <c r="K46" s="67"/>
      <c r="L46" s="69"/>
    </row>
    <row r="47" spans="1:13" ht="15.6">
      <c r="A47" s="27" t="str">
        <v>Holmdel</v>
      </c>
      <c r="B47" s="28" t="str">
        <v>NJ</v>
      </c>
      <c r="C47" s="10">
        <v>0</v>
      </c>
      <c r="D47" s="15">
        <v>0</v>
      </c>
      <c r="E47" s="15">
        <f t="shared" si="0"/>
        <v>0</v>
      </c>
      <c r="F47" s="16" t="str">
        <f t="shared" si="2"/>
        <v/>
      </c>
      <c r="G47" s="17">
        <v>0</v>
      </c>
      <c r="H47" s="17">
        <f t="shared" si="3"/>
        <v>0</v>
      </c>
      <c r="I47" s="16" t="str">
        <f t="shared" si="1"/>
        <v/>
      </c>
      <c r="J47" s="90" t="s">
        <v>413</v>
      </c>
      <c r="K47" s="79" t="s">
        <v>414</v>
      </c>
      <c r="L47" s="90" t="s">
        <v>360</v>
      </c>
    </row>
    <row r="48" spans="1:13" ht="28.9">
      <c r="A48" s="25" t="str">
        <v>Ellisburg Circle Center</v>
      </c>
      <c r="B48" s="26" t="str">
        <v>NJ</v>
      </c>
      <c r="C48" s="21">
        <v>463.099999999999</v>
      </c>
      <c r="D48" s="11">
        <v>491.21570000000003</v>
      </c>
      <c r="E48" s="11">
        <f t="shared" si="0"/>
        <v>-28.115700000001027</v>
      </c>
      <c r="F48" s="12">
        <f t="shared" si="2"/>
        <v>-5.7236973492502431E-2</v>
      </c>
      <c r="G48" s="13">
        <v>556.9511</v>
      </c>
      <c r="H48" s="13">
        <f t="shared" si="3"/>
        <v>-93.851100000000997</v>
      </c>
      <c r="I48" s="14">
        <f t="shared" si="1"/>
        <v>-0.16850868954204598</v>
      </c>
      <c r="J48" s="67" t="s">
        <v>100</v>
      </c>
      <c r="K48" s="67"/>
      <c r="L48" s="69"/>
    </row>
    <row r="49" spans="1:12" ht="72">
      <c r="A49" s="27" t="str">
        <v>Nutley</v>
      </c>
      <c r="B49" s="28" t="str">
        <v>NJ</v>
      </c>
      <c r="C49" s="10">
        <v>1850.69999999998</v>
      </c>
      <c r="D49" s="15">
        <v>1435.81</v>
      </c>
      <c r="E49" s="15">
        <f t="shared" si="0"/>
        <v>414.88999999998009</v>
      </c>
      <c r="F49" s="16">
        <f t="shared" si="2"/>
        <v>0.28895884552968715</v>
      </c>
      <c r="G49" s="17">
        <v>2114.9830000000002</v>
      </c>
      <c r="H49" s="17">
        <f t="shared" si="3"/>
        <v>-264.28300000002014</v>
      </c>
      <c r="I49" s="16">
        <f t="shared" si="1"/>
        <v>-0.1249575055686122</v>
      </c>
      <c r="J49" s="90" t="s">
        <v>315</v>
      </c>
      <c r="K49" s="68"/>
      <c r="L49" s="68"/>
    </row>
    <row r="50" spans="1:12" ht="15.6">
      <c r="A50" s="25" t="str">
        <v>Marlton</v>
      </c>
      <c r="B50" s="26" t="str">
        <v>NJ</v>
      </c>
      <c r="C50" s="21">
        <v>1854.5</v>
      </c>
      <c r="D50" s="11">
        <v>1373.0139999999999</v>
      </c>
      <c r="E50" s="11">
        <f t="shared" si="0"/>
        <v>481.4860000000001</v>
      </c>
      <c r="F50" s="12">
        <f t="shared" si="2"/>
        <v>0.35067814312162887</v>
      </c>
      <c r="G50" s="13">
        <v>2018.41</v>
      </c>
      <c r="H50" s="13">
        <f t="shared" si="3"/>
        <v>-163.91000000000008</v>
      </c>
      <c r="I50" s="14">
        <f t="shared" si="1"/>
        <v>-8.1207485099657695E-2</v>
      </c>
      <c r="J50" s="67"/>
      <c r="K50" s="67"/>
      <c r="L50" s="69"/>
    </row>
    <row r="51" spans="1:12" ht="15.6">
      <c r="A51" s="27" t="str">
        <v>Middletown</v>
      </c>
      <c r="B51" s="28" t="str">
        <v>NJ</v>
      </c>
      <c r="C51" s="10">
        <v>1781.7</v>
      </c>
      <c r="D51" s="15">
        <v>1265.1020000000001</v>
      </c>
      <c r="E51" s="15">
        <f t="shared" si="0"/>
        <v>516.59799999999996</v>
      </c>
      <c r="F51" s="16">
        <f t="shared" si="2"/>
        <v>0.40834493977560699</v>
      </c>
      <c r="G51" s="17">
        <v>1893.7919999999999</v>
      </c>
      <c r="H51" s="17">
        <f t="shared" si="3"/>
        <v>-112.09199999999987</v>
      </c>
      <c r="I51" s="16">
        <f t="shared" si="1"/>
        <v>-5.9189182338926276E-2</v>
      </c>
      <c r="J51" s="90"/>
      <c r="K51" s="68"/>
      <c r="L51" s="68"/>
    </row>
    <row r="52" spans="1:12" ht="15.6">
      <c r="A52" s="25" t="str">
        <v>Whiting Crestwood</v>
      </c>
      <c r="B52" s="26" t="str">
        <v>NJ</v>
      </c>
      <c r="C52" s="21">
        <v>2619.6999999999798</v>
      </c>
      <c r="D52" s="11">
        <v>2554.1979999999999</v>
      </c>
      <c r="E52" s="11">
        <f t="shared" si="0"/>
        <v>65.501999999979944</v>
      </c>
      <c r="F52" s="12">
        <f t="shared" si="2"/>
        <v>2.5644840376501724E-2</v>
      </c>
      <c r="G52" s="13">
        <v>2767.9050000000002</v>
      </c>
      <c r="H52" s="13">
        <f t="shared" si="3"/>
        <v>-148.20500000002039</v>
      </c>
      <c r="I52" s="14">
        <f t="shared" si="1"/>
        <v>-5.3544106463198841E-2</v>
      </c>
      <c r="J52" s="67"/>
      <c r="K52" s="67"/>
      <c r="L52" s="69"/>
    </row>
    <row r="53" spans="1:12" ht="15.6">
      <c r="A53" s="27" t="str">
        <v>Barnegat</v>
      </c>
      <c r="B53" s="28" t="str">
        <v>NJ</v>
      </c>
      <c r="C53" s="10">
        <v>2599.234375</v>
      </c>
      <c r="D53" s="15">
        <v>1996.425</v>
      </c>
      <c r="E53" s="15">
        <f t="shared" si="0"/>
        <v>602.80937500000005</v>
      </c>
      <c r="F53" s="16">
        <f t="shared" si="2"/>
        <v>0.30194441313848508</v>
      </c>
      <c r="G53" s="17">
        <v>2440.8119999999999</v>
      </c>
      <c r="H53" s="17">
        <f t="shared" si="3"/>
        <v>158.4223750000001</v>
      </c>
      <c r="I53" s="16">
        <f t="shared" si="1"/>
        <v>6.4905603135350085E-2</v>
      </c>
      <c r="J53" s="90"/>
      <c r="K53" s="68"/>
      <c r="L53" s="68"/>
    </row>
    <row r="54" spans="1:12" ht="28.9">
      <c r="A54" s="25" t="str">
        <v>Manchester</v>
      </c>
      <c r="B54" s="26" t="str">
        <v>NJ</v>
      </c>
      <c r="C54" s="21">
        <v>1358</v>
      </c>
      <c r="D54" s="11">
        <v>1549.3130000000001</v>
      </c>
      <c r="E54" s="11">
        <f t="shared" si="0"/>
        <v>-191.3130000000001</v>
      </c>
      <c r="F54" s="12">
        <f t="shared" si="2"/>
        <v>-0.1234824725539643</v>
      </c>
      <c r="G54" s="13">
        <v>2516.2139999999999</v>
      </c>
      <c r="H54" s="13">
        <f t="shared" si="3"/>
        <v>-1158.2139999999999</v>
      </c>
      <c r="I54" s="14">
        <f t="shared" si="1"/>
        <v>-0.46030027652655936</v>
      </c>
      <c r="J54" s="67" t="s">
        <v>100</v>
      </c>
      <c r="K54" s="67"/>
      <c r="L54" s="69"/>
    </row>
    <row r="55" spans="1:12" ht="41.25" customHeight="1">
      <c r="A55" s="27" t="str">
        <v>West Deptford - Woodbury</v>
      </c>
      <c r="B55" s="28" t="str">
        <v>NJ</v>
      </c>
      <c r="C55" s="10">
        <v>2088.5</v>
      </c>
      <c r="D55" s="15">
        <v>1902.5309999999999</v>
      </c>
      <c r="E55" s="15">
        <f t="shared" si="0"/>
        <v>185.96900000000005</v>
      </c>
      <c r="F55" s="16">
        <f t="shared" si="2"/>
        <v>9.7748210147429959E-2</v>
      </c>
      <c r="G55" s="17">
        <v>2284.5859999999998</v>
      </c>
      <c r="H55" s="17">
        <f t="shared" si="3"/>
        <v>-196.08599999999979</v>
      </c>
      <c r="I55" s="16">
        <f t="shared" si="1"/>
        <v>-8.5829992830210727E-2</v>
      </c>
      <c r="J55" s="90"/>
      <c r="K55" s="70"/>
      <c r="L55" s="70"/>
    </row>
    <row r="56" spans="1:12" ht="15.6">
      <c r="A56" s="25" t="str">
        <v>Edison</v>
      </c>
      <c r="B56" s="26" t="str">
        <v>NJ</v>
      </c>
      <c r="C56" s="21">
        <v>1773.3</v>
      </c>
      <c r="D56" s="11">
        <v>1348.6510000000001</v>
      </c>
      <c r="E56" s="11">
        <f t="shared" si="0"/>
        <v>424.64899999999989</v>
      </c>
      <c r="F56" s="12">
        <f t="shared" si="2"/>
        <v>0.31486945102921354</v>
      </c>
      <c r="G56" s="13">
        <v>1909.704</v>
      </c>
      <c r="H56" s="13">
        <f t="shared" si="3"/>
        <v>-136.404</v>
      </c>
      <c r="I56" s="14">
        <f t="shared" si="1"/>
        <v>-7.1426776086765273E-2</v>
      </c>
      <c r="J56" s="67"/>
      <c r="K56" s="67"/>
      <c r="L56" s="69"/>
    </row>
    <row r="57" spans="1:12" ht="28.9">
      <c r="A57" s="27" t="str">
        <v>Flemington</v>
      </c>
      <c r="B57" s="28" t="str">
        <v>NJ</v>
      </c>
      <c r="C57" s="10">
        <v>1469.5</v>
      </c>
      <c r="D57" s="15">
        <v>1363.454</v>
      </c>
      <c r="E57" s="15">
        <f t="shared" si="0"/>
        <v>106.04600000000005</v>
      </c>
      <c r="F57" s="16">
        <f t="shared" si="2"/>
        <v>7.7777468106734846E-2</v>
      </c>
      <c r="G57" s="17">
        <v>1709.3</v>
      </c>
      <c r="H57" s="17">
        <f t="shared" si="3"/>
        <v>-239.79999999999995</v>
      </c>
      <c r="I57" s="16">
        <f t="shared" si="1"/>
        <v>-0.14029134733516643</v>
      </c>
      <c r="J57" s="90" t="s">
        <v>100</v>
      </c>
      <c r="K57" s="68"/>
      <c r="L57" s="68"/>
    </row>
    <row r="58" spans="1:12" ht="15.6">
      <c r="A58" s="25" t="str">
        <v>Route 22</v>
      </c>
      <c r="B58" s="26" t="str">
        <v>NJ</v>
      </c>
      <c r="C58" s="21">
        <v>1568.3999999999901</v>
      </c>
      <c r="D58" s="11">
        <v>1737.4670000000001</v>
      </c>
      <c r="E58" s="11">
        <f t="shared" si="0"/>
        <v>-169.06700000001001</v>
      </c>
      <c r="F58" s="12">
        <f t="shared" si="2"/>
        <v>-9.7306596326727363E-2</v>
      </c>
      <c r="G58" s="13">
        <v>1680.5840000000001</v>
      </c>
      <c r="H58" s="13">
        <f t="shared" si="3"/>
        <v>-112.18400000000997</v>
      </c>
      <c r="I58" s="14">
        <f t="shared" si="1"/>
        <v>-6.6752985866823655E-2</v>
      </c>
      <c r="J58" s="67"/>
      <c r="K58" s="67"/>
      <c r="L58" s="69"/>
    </row>
    <row r="59" spans="1:12" ht="15.6">
      <c r="A59" s="27" t="str">
        <v>Laurelton</v>
      </c>
      <c r="B59" s="28" t="str">
        <v>NJ</v>
      </c>
      <c r="C59" s="249" t="s">
        <v>202</v>
      </c>
      <c r="D59" s="15" t="s">
        <v>202</v>
      </c>
      <c r="E59" s="15" t="str">
        <f t="shared" si="0"/>
        <v/>
      </c>
      <c r="F59" s="16" t="str">
        <f t="shared" si="2"/>
        <v/>
      </c>
      <c r="G59" s="206" t="s">
        <v>202</v>
      </c>
      <c r="H59" s="17" t="str">
        <f t="shared" si="3"/>
        <v/>
      </c>
      <c r="I59" s="16" t="str">
        <f t="shared" si="1"/>
        <v/>
      </c>
      <c r="J59" s="90" t="s">
        <v>375</v>
      </c>
      <c r="K59" s="79" t="s">
        <v>376</v>
      </c>
      <c r="L59" s="70" t="s">
        <v>360</v>
      </c>
    </row>
    <row r="60" spans="1:12" ht="52.5" customHeight="1">
      <c r="A60" s="25" t="str">
        <v>Mahwah</v>
      </c>
      <c r="B60" s="26" t="str">
        <v>NJ</v>
      </c>
      <c r="C60" s="21">
        <v>1015.60000000001</v>
      </c>
      <c r="D60" s="11">
        <v>298.12380000000002</v>
      </c>
      <c r="E60" s="11">
        <f t="shared" si="0"/>
        <v>717.47620000001007</v>
      </c>
      <c r="F60" s="12">
        <f t="shared" si="2"/>
        <v>2.4066384502009233</v>
      </c>
      <c r="G60" s="13">
        <v>1245.672</v>
      </c>
      <c r="H60" s="13">
        <f t="shared" si="3"/>
        <v>-230.07199999999</v>
      </c>
      <c r="I60" s="14">
        <f t="shared" si="1"/>
        <v>-0.18469709522249034</v>
      </c>
      <c r="J60" s="69" t="s">
        <v>187</v>
      </c>
      <c r="K60" s="77" t="s">
        <v>329</v>
      </c>
      <c r="L60" s="69" t="s">
        <v>360</v>
      </c>
    </row>
    <row r="61" spans="1:12" ht="49.5" customHeight="1">
      <c r="A61" s="27" t="str">
        <v>Franklin Township WF</v>
      </c>
      <c r="B61" s="28" t="str">
        <v>NJ</v>
      </c>
      <c r="C61" s="10">
        <v>1302</v>
      </c>
      <c r="D61" s="15">
        <v>1152.8879999999999</v>
      </c>
      <c r="E61" s="15">
        <f t="shared" si="0"/>
        <v>149.11200000000008</v>
      </c>
      <c r="F61" s="16">
        <f t="shared" si="2"/>
        <v>0.12933780211087295</v>
      </c>
      <c r="G61" s="17">
        <v>1773.692</v>
      </c>
      <c r="H61" s="17">
        <f t="shared" si="3"/>
        <v>-471.69200000000001</v>
      </c>
      <c r="I61" s="16">
        <f t="shared" si="1"/>
        <v>-0.26593794187491404</v>
      </c>
      <c r="J61" s="90" t="s">
        <v>315</v>
      </c>
      <c r="K61" s="68"/>
      <c r="L61" s="68"/>
    </row>
    <row r="62" spans="1:12" ht="15.6">
      <c r="A62" s="25" t="str">
        <v>Bordentown</v>
      </c>
      <c r="B62" s="26" t="str">
        <v>NJ</v>
      </c>
      <c r="C62" s="21">
        <v>1234.3999999999801</v>
      </c>
      <c r="D62" s="11">
        <v>921.07749999999999</v>
      </c>
      <c r="E62" s="11">
        <f t="shared" si="0"/>
        <v>313.3224999999801</v>
      </c>
      <c r="F62" s="12">
        <f t="shared" si="2"/>
        <v>0.34016952970839054</v>
      </c>
      <c r="G62" s="13">
        <v>1346.5039999999999</v>
      </c>
      <c r="H62" s="13">
        <f t="shared" si="3"/>
        <v>-112.10400000001982</v>
      </c>
      <c r="I62" s="14">
        <f t="shared" si="1"/>
        <v>-8.3255601171641394E-2</v>
      </c>
      <c r="J62" s="67"/>
      <c r="K62" s="67"/>
      <c r="L62" s="69"/>
    </row>
    <row r="63" spans="1:12" ht="72">
      <c r="A63" s="27" t="str">
        <v>South Plainfield</v>
      </c>
      <c r="B63" s="28" t="str">
        <v>NJ</v>
      </c>
      <c r="C63" s="10">
        <v>802.39999999999395</v>
      </c>
      <c r="D63" s="15">
        <v>660.01969999999994</v>
      </c>
      <c r="E63" s="15">
        <f t="shared" si="0"/>
        <v>142.38029999999401</v>
      </c>
      <c r="F63" s="16">
        <f t="shared" si="2"/>
        <v>0.21572128831911233</v>
      </c>
      <c r="G63" s="17">
        <v>912.10209999999995</v>
      </c>
      <c r="H63" s="17">
        <f t="shared" si="3"/>
        <v>-109.702100000006</v>
      </c>
      <c r="I63" s="16">
        <f t="shared" si="1"/>
        <v>-0.12027392547392009</v>
      </c>
      <c r="J63" s="90" t="s">
        <v>315</v>
      </c>
      <c r="K63" s="70"/>
      <c r="L63" s="70"/>
    </row>
    <row r="64" spans="1:12" ht="28.9">
      <c r="A64" s="25" t="str">
        <v>Somerset</v>
      </c>
      <c r="B64" s="26" t="str">
        <v>NJ</v>
      </c>
      <c r="C64" s="21">
        <v>1223.2</v>
      </c>
      <c r="D64" s="11">
        <v>1270.703</v>
      </c>
      <c r="E64" s="11">
        <f t="shared" si="0"/>
        <v>-47.502999999999929</v>
      </c>
      <c r="F64" s="12">
        <f t="shared" si="2"/>
        <v>-3.7383243763491496E-2</v>
      </c>
      <c r="G64" s="13">
        <v>1403.5450000000001</v>
      </c>
      <c r="H64" s="13">
        <f t="shared" si="3"/>
        <v>-180.34500000000003</v>
      </c>
      <c r="I64" s="14">
        <f t="shared" si="1"/>
        <v>-0.1284924957874525</v>
      </c>
      <c r="J64" s="67" t="s">
        <v>100</v>
      </c>
      <c r="K64" s="67"/>
      <c r="L64" s="69"/>
    </row>
    <row r="65" spans="1:12" ht="28.9">
      <c r="A65" s="27" t="str">
        <v>Clinton Main Relo</v>
      </c>
      <c r="B65" s="28" t="str">
        <v>NJ</v>
      </c>
      <c r="C65" s="10">
        <v>1262.4690000000001</v>
      </c>
      <c r="D65" s="15">
        <v>1329.4580000000001</v>
      </c>
      <c r="E65" s="15">
        <f t="shared" si="0"/>
        <v>-66.989000000000033</v>
      </c>
      <c r="F65" s="16">
        <f t="shared" si="2"/>
        <v>-5.038820331292905E-2</v>
      </c>
      <c r="G65" s="17">
        <v>1493.74</v>
      </c>
      <c r="H65" s="17">
        <f t="shared" si="3"/>
        <v>-231.27099999999996</v>
      </c>
      <c r="I65" s="16">
        <f t="shared" si="1"/>
        <v>-0.15482681055605391</v>
      </c>
      <c r="J65" s="90" t="s">
        <v>100</v>
      </c>
      <c r="K65" s="70"/>
      <c r="L65" s="70"/>
    </row>
    <row r="66" spans="1:12" ht="28.9">
      <c r="A66" s="25" t="str">
        <v>North Brunswick</v>
      </c>
      <c r="B66" s="26" t="str">
        <v>NJ</v>
      </c>
      <c r="C66" s="21">
        <v>1367.19999999998</v>
      </c>
      <c r="D66" s="11">
        <v>1159.8140000000001</v>
      </c>
      <c r="E66" s="11">
        <f t="shared" si="0"/>
        <v>207.38599999997996</v>
      </c>
      <c r="F66" s="12">
        <f t="shared" si="2"/>
        <v>0.17880970569417159</v>
      </c>
      <c r="G66" s="13">
        <v>1741.893</v>
      </c>
      <c r="H66" s="13">
        <f t="shared" si="3"/>
        <v>-374.69300000001999</v>
      </c>
      <c r="I66" s="14">
        <f t="shared" si="1"/>
        <v>-0.2151067832524845</v>
      </c>
      <c r="J66" s="67" t="s">
        <v>100</v>
      </c>
      <c r="K66" s="67"/>
      <c r="L66" s="69"/>
    </row>
    <row r="67" spans="1:12" ht="28.9">
      <c r="A67" s="27" t="str">
        <v>Cherry Hill</v>
      </c>
      <c r="B67" s="28" t="str">
        <v>NJ</v>
      </c>
      <c r="C67" s="10">
        <v>953.75</v>
      </c>
      <c r="D67" s="15">
        <v>993.06259999999997</v>
      </c>
      <c r="E67" s="15">
        <f t="shared" si="0"/>
        <v>-39.312599999999975</v>
      </c>
      <c r="F67" s="16">
        <f t="shared" si="2"/>
        <v>-3.9587232466513161E-2</v>
      </c>
      <c r="G67" s="17">
        <v>1104.001</v>
      </c>
      <c r="H67" s="17">
        <f t="shared" si="3"/>
        <v>-150.25099999999998</v>
      </c>
      <c r="I67" s="16">
        <f t="shared" si="1"/>
        <v>-0.13609679701377081</v>
      </c>
      <c r="J67" s="39" t="s">
        <v>100</v>
      </c>
      <c r="K67" s="68"/>
      <c r="L67" s="68"/>
    </row>
    <row r="68" spans="1:12" ht="15.6">
      <c r="A68" s="25" t="str">
        <v>Hainesport</v>
      </c>
      <c r="B68" s="26" t="str">
        <v>NJ</v>
      </c>
      <c r="C68" s="21">
        <v>1166</v>
      </c>
      <c r="D68" s="11">
        <v>1106.3340000000001</v>
      </c>
      <c r="E68" s="11">
        <f t="shared" si="0"/>
        <v>59.66599999999994</v>
      </c>
      <c r="F68" s="12">
        <f t="shared" si="2"/>
        <v>5.3931272111315334E-2</v>
      </c>
      <c r="G68" s="13">
        <v>1218.319</v>
      </c>
      <c r="H68" s="13">
        <f t="shared" si="3"/>
        <v>-52.31899999999996</v>
      </c>
      <c r="I68" s="14">
        <f t="shared" si="1"/>
        <v>-4.2943596874053483E-2</v>
      </c>
      <c r="J68" s="67"/>
      <c r="K68" s="67"/>
      <c r="L68" s="69"/>
    </row>
    <row r="69" spans="1:12" ht="15.6">
      <c r="A69" s="27" t="str">
        <v>San Antonio - Ops Ctr (Bldg 106)</v>
      </c>
      <c r="B69" s="28" t="str">
        <v>TX</v>
      </c>
      <c r="C69" s="10">
        <v>31693.625</v>
      </c>
      <c r="D69" s="15">
        <v>32651.26</v>
      </c>
      <c r="E69" s="15">
        <f t="shared" ref="E69" si="4">IF(AND(ISNUMBER(C69),ISNUMBER(D69)), C69-D69, "")</f>
        <v>-957.6349999999984</v>
      </c>
      <c r="F69" s="16">
        <f t="shared" si="2"/>
        <v>-2.9329189746429341E-2</v>
      </c>
      <c r="G69" s="17">
        <v>35044.79</v>
      </c>
      <c r="H69" s="17">
        <f t="shared" ref="H69" si="5">IF(AND(ISNUMBER(C69),ISNUMBER(G69)), C69-G69, "")</f>
        <v>-3351.1650000000009</v>
      </c>
      <c r="I69" s="16">
        <f t="shared" ref="I69" si="6">IFERROR(H69/G69, "")</f>
        <v>-9.5625198495981875E-2</v>
      </c>
      <c r="J69" s="49"/>
      <c r="K69" s="55"/>
      <c r="L69" s="55"/>
    </row>
    <row r="70" spans="1:12" ht="15.6">
      <c r="A70" s="25" t="str">
        <v>San Antonio - Ops Ctr GM</v>
      </c>
      <c r="B70" s="26" t="str">
        <v>TX</v>
      </c>
      <c r="C70" s="21">
        <v>80935.5</v>
      </c>
      <c r="D70" s="11">
        <v>96424.58</v>
      </c>
      <c r="E70" s="11">
        <f t="shared" si="0"/>
        <v>-15489.080000000002</v>
      </c>
      <c r="F70" s="12">
        <f t="shared" si="2"/>
        <v>-0.16063414536003165</v>
      </c>
      <c r="G70" s="13">
        <v>273080</v>
      </c>
      <c r="H70" s="13">
        <f t="shared" si="3"/>
        <v>-192144.5</v>
      </c>
      <c r="I70" s="14">
        <f t="shared" si="1"/>
        <v>-0.70361981836824372</v>
      </c>
      <c r="J70" s="67" t="s">
        <v>415</v>
      </c>
      <c r="K70" s="77" t="s">
        <v>416</v>
      </c>
      <c r="L70" s="69" t="s">
        <v>417</v>
      </c>
    </row>
    <row r="71" spans="1:12" ht="15.6">
      <c r="A71" s="27" t="str">
        <v>San Antonio - Ctr (Bldg 201)</v>
      </c>
      <c r="B71" s="28" t="str">
        <v>TX</v>
      </c>
      <c r="C71" s="10">
        <v>32934.875</v>
      </c>
      <c r="D71" s="15">
        <v>32412.76</v>
      </c>
      <c r="E71" s="15">
        <f t="shared" ref="E71:E84" si="7">IF(AND(ISNUMBER(C71),ISNUMBER(D71)), C71-D71, "")</f>
        <v>522.1150000000016</v>
      </c>
      <c r="F71" s="16">
        <f t="shared" ref="F71:F85" si="8">IFERROR(E71/D71, "")</f>
        <v>1.6108316601239809E-2</v>
      </c>
      <c r="G71" s="17">
        <v>35112.730000000003</v>
      </c>
      <c r="H71" s="17">
        <f t="shared" ref="H71:H84" si="9">IF(AND(ISNUMBER(C71),ISNUMBER(G71)), C71-G71, "")</f>
        <v>-2177.8550000000032</v>
      </c>
      <c r="I71" s="16">
        <f t="shared" ref="I71:I84" si="10">IFERROR(H71/G71, "")</f>
        <v>-6.2024656015069263E-2</v>
      </c>
      <c r="J71" s="90"/>
      <c r="K71" s="70"/>
      <c r="L71" s="70"/>
    </row>
    <row r="72" spans="1:12" ht="15.6">
      <c r="A72" s="25" t="str">
        <v>San Antonio - Ops Ctr (Bldg 203)</v>
      </c>
      <c r="B72" s="26" t="str">
        <v>TX</v>
      </c>
      <c r="C72" s="21">
        <v>35168.5</v>
      </c>
      <c r="D72" s="11">
        <v>33529.949999999997</v>
      </c>
      <c r="E72" s="11">
        <f t="shared" si="7"/>
        <v>1638.5500000000029</v>
      </c>
      <c r="F72" s="12">
        <f t="shared" si="8"/>
        <v>4.8868250623696222E-2</v>
      </c>
      <c r="G72" s="13">
        <v>36435.08</v>
      </c>
      <c r="H72" s="13">
        <f t="shared" si="9"/>
        <v>-1266.5800000000017</v>
      </c>
      <c r="I72" s="14">
        <f t="shared" si="10"/>
        <v>-3.4762651817973271E-2</v>
      </c>
      <c r="J72" s="67"/>
      <c r="K72" s="67"/>
      <c r="L72" s="69"/>
    </row>
    <row r="73" spans="1:12" ht="28.9">
      <c r="A73" s="27" t="str">
        <v>San Antonio - Ops Ctr (Bldg 205)</v>
      </c>
      <c r="B73" s="28" t="str">
        <v>TX</v>
      </c>
      <c r="C73" s="10">
        <v>29998.5</v>
      </c>
      <c r="D73" s="15">
        <v>29535.23</v>
      </c>
      <c r="E73" s="15">
        <f t="shared" si="7"/>
        <v>463.27000000000044</v>
      </c>
      <c r="F73" s="16">
        <f t="shared" si="8"/>
        <v>1.5685335783740314E-2</v>
      </c>
      <c r="G73" s="17">
        <v>32972.15</v>
      </c>
      <c r="H73" s="17">
        <f t="shared" si="9"/>
        <v>-2973.6500000000015</v>
      </c>
      <c r="I73" s="16">
        <f t="shared" si="10"/>
        <v>-9.0186718184892448E-2</v>
      </c>
      <c r="J73" s="90" t="s">
        <v>339</v>
      </c>
      <c r="K73" s="79" t="s">
        <v>381</v>
      </c>
      <c r="L73" s="68" t="s">
        <v>360</v>
      </c>
    </row>
    <row r="74" spans="1:12" ht="15.6">
      <c r="A74" s="25" t="str">
        <v>San Antonio - Ops Ctr (Bldg 307)</v>
      </c>
      <c r="B74" s="26" t="str">
        <v>TX</v>
      </c>
      <c r="C74" s="21">
        <v>32095.146250000002</v>
      </c>
      <c r="D74" s="11">
        <v>32121.279999999999</v>
      </c>
      <c r="E74" s="11">
        <f t="shared" si="7"/>
        <v>-26.133749999997235</v>
      </c>
      <c r="F74" s="12">
        <f t="shared" si="8"/>
        <v>-8.1359615806086299E-4</v>
      </c>
      <c r="G74" s="13">
        <v>34420.54</v>
      </c>
      <c r="H74" s="13">
        <f t="shared" si="9"/>
        <v>-2325.3937499999993</v>
      </c>
      <c r="I74" s="14">
        <f t="shared" si="10"/>
        <v>-6.7558316923557835E-2</v>
      </c>
      <c r="J74" s="67"/>
      <c r="K74" s="67"/>
      <c r="L74" s="69"/>
    </row>
    <row r="75" spans="1:12" ht="28.9">
      <c r="A75" s="27" t="str">
        <v>San Antonio - Ctr (Bldg 308)</v>
      </c>
      <c r="B75" s="28" t="str">
        <v>TX</v>
      </c>
      <c r="C75" s="10">
        <v>32285.5</v>
      </c>
      <c r="D75" s="15">
        <v>31385.37</v>
      </c>
      <c r="E75" s="15">
        <f t="shared" si="7"/>
        <v>900.13000000000102</v>
      </c>
      <c r="F75" s="16">
        <f t="shared" si="8"/>
        <v>2.8679923161651466E-2</v>
      </c>
      <c r="G75" s="17">
        <v>33643.67</v>
      </c>
      <c r="H75" s="17">
        <f t="shared" si="9"/>
        <v>-1358.1699999999983</v>
      </c>
      <c r="I75" s="16">
        <f t="shared" si="10"/>
        <v>-4.0369258169515941E-2</v>
      </c>
      <c r="J75" s="90" t="s">
        <v>382</v>
      </c>
      <c r="K75" s="79" t="s">
        <v>342</v>
      </c>
      <c r="L75" s="70" t="s">
        <v>360</v>
      </c>
    </row>
    <row r="76" spans="1:12" ht="15.6">
      <c r="A76" s="25" t="str">
        <v>San Antonio - Ops Ctr (Bldg 104)</v>
      </c>
      <c r="B76" s="26" t="str">
        <v>TX</v>
      </c>
      <c r="C76" s="21">
        <v>8512</v>
      </c>
      <c r="D76" s="11">
        <v>9836.7520000000004</v>
      </c>
      <c r="E76" s="11">
        <f t="shared" si="7"/>
        <v>-1324.7520000000004</v>
      </c>
      <c r="F76" s="12">
        <f t="shared" si="8"/>
        <v>-0.13467372156988408</v>
      </c>
      <c r="G76" s="13">
        <v>10199.74</v>
      </c>
      <c r="H76" s="13">
        <f t="shared" si="9"/>
        <v>-1687.7399999999998</v>
      </c>
      <c r="I76" s="14">
        <f t="shared" si="10"/>
        <v>-0.16546892371766336</v>
      </c>
      <c r="J76" s="67" t="s">
        <v>418</v>
      </c>
      <c r="K76" s="67"/>
      <c r="L76" s="69"/>
    </row>
    <row r="77" spans="1:12" ht="15.6">
      <c r="A77" s="27" t="str">
        <v>San Antonio - Ops Ctr (Bldg 102)</v>
      </c>
      <c r="B77" s="28" t="str">
        <v>TX</v>
      </c>
      <c r="C77" s="10">
        <v>35623.137499999997</v>
      </c>
      <c r="D77" s="15">
        <v>29210.06</v>
      </c>
      <c r="E77" s="15">
        <f t="shared" si="7"/>
        <v>6413.0774999999958</v>
      </c>
      <c r="F77" s="16">
        <f t="shared" si="8"/>
        <v>0.21955030219040958</v>
      </c>
      <c r="G77" s="17">
        <v>37538.160000000003</v>
      </c>
      <c r="H77" s="17">
        <f t="shared" si="9"/>
        <v>-1915.0225000000064</v>
      </c>
      <c r="I77" s="16">
        <f t="shared" si="10"/>
        <v>-5.1015353443003231E-2</v>
      </c>
      <c r="J77" s="90"/>
      <c r="K77" s="70"/>
      <c r="L77" s="70"/>
    </row>
    <row r="78" spans="1:12" ht="15.6">
      <c r="A78" s="25" t="str">
        <v>N Black Canyon Hwy, Phoenix - North</v>
      </c>
      <c r="B78" s="26" t="str">
        <v>AZ</v>
      </c>
      <c r="C78" s="21">
        <v>56037.125</v>
      </c>
      <c r="D78" s="11">
        <v>52280.84</v>
      </c>
      <c r="E78" s="11">
        <f t="shared" si="7"/>
        <v>3756.2850000000035</v>
      </c>
      <c r="F78" s="12">
        <f t="shared" si="8"/>
        <v>7.184821437452045E-2</v>
      </c>
      <c r="G78" s="13">
        <v>61904</v>
      </c>
      <c r="H78" s="13">
        <f t="shared" si="9"/>
        <v>-5866.875</v>
      </c>
      <c r="I78" s="14">
        <f t="shared" si="10"/>
        <v>-9.4773762600155076E-2</v>
      </c>
      <c r="J78" s="67"/>
      <c r="K78" s="67"/>
      <c r="L78" s="69"/>
    </row>
    <row r="79" spans="1:12" ht="28.9">
      <c r="A79" s="27" t="str">
        <v>N Black Canyon Hwy, Phoenix - South</v>
      </c>
      <c r="B79" s="28" t="str">
        <v>AZ</v>
      </c>
      <c r="C79" s="10">
        <v>53499.375000000196</v>
      </c>
      <c r="D79" s="15">
        <v>57202.559999999998</v>
      </c>
      <c r="E79" s="15">
        <f t="shared" si="7"/>
        <v>-3703.1849999998012</v>
      </c>
      <c r="F79" s="16">
        <f t="shared" si="8"/>
        <v>-6.4738099134021301E-2</v>
      </c>
      <c r="G79" s="17">
        <v>68655</v>
      </c>
      <c r="H79" s="17">
        <f t="shared" si="9"/>
        <v>-15155.624999999804</v>
      </c>
      <c r="I79" s="16">
        <f t="shared" si="10"/>
        <v>-0.22075049158837382</v>
      </c>
      <c r="J79" s="90" t="s">
        <v>419</v>
      </c>
      <c r="K79" s="79" t="s">
        <v>420</v>
      </c>
      <c r="L79" s="70" t="s">
        <v>354</v>
      </c>
    </row>
    <row r="80" spans="1:12" ht="15.6">
      <c r="A80" s="25" t="str">
        <v xml:space="preserve"> Building 2222, Rose Garden Ln, Phoenix</v>
      </c>
      <c r="B80" s="26" t="str">
        <v>AZ</v>
      </c>
      <c r="C80" s="21">
        <v>61187.25</v>
      </c>
      <c r="D80" s="11">
        <v>62032.36</v>
      </c>
      <c r="E80" s="11">
        <f t="shared" si="7"/>
        <v>-845.11000000000058</v>
      </c>
      <c r="F80" s="12">
        <f t="shared" si="8"/>
        <v>-1.3623695761373589E-2</v>
      </c>
      <c r="G80" s="13">
        <v>70820</v>
      </c>
      <c r="H80" s="13">
        <f t="shared" si="9"/>
        <v>-9632.75</v>
      </c>
      <c r="I80" s="14">
        <f t="shared" si="10"/>
        <v>-0.13601736797514827</v>
      </c>
      <c r="J80" s="67" t="s">
        <v>421</v>
      </c>
      <c r="K80" s="67"/>
      <c r="L80" s="69"/>
    </row>
    <row r="81" spans="1:12" ht="15.6">
      <c r="A81" s="27" t="str">
        <v xml:space="preserve"> Building 2202, Rose Garden Ln, Phoenix</v>
      </c>
      <c r="B81" s="28" t="str">
        <v>AZ</v>
      </c>
      <c r="C81" s="10">
        <v>61532</v>
      </c>
      <c r="D81" s="15">
        <v>52271.69</v>
      </c>
      <c r="E81" s="15">
        <f t="shared" si="7"/>
        <v>9260.3099999999977</v>
      </c>
      <c r="F81" s="16">
        <f t="shared" si="8"/>
        <v>0.17715727193821354</v>
      </c>
      <c r="G81" s="17">
        <v>52532.76</v>
      </c>
      <c r="H81" s="17">
        <f t="shared" si="9"/>
        <v>8999.239999999998</v>
      </c>
      <c r="I81" s="16">
        <f t="shared" si="10"/>
        <v>0.17130719954557874</v>
      </c>
      <c r="J81" s="90"/>
      <c r="K81" s="70"/>
      <c r="L81" s="70"/>
    </row>
    <row r="82" spans="1:12" ht="72">
      <c r="A82" s="25" t="str">
        <v xml:space="preserve"> 99TH Ave &amp; BELL</v>
      </c>
      <c r="B82" s="26" t="str">
        <v>AZ</v>
      </c>
      <c r="C82" s="21">
        <v>11081.8028468148</v>
      </c>
      <c r="D82" s="11">
        <v>7878.9719999999998</v>
      </c>
      <c r="E82" s="11">
        <f t="shared" si="7"/>
        <v>3202.8308468148007</v>
      </c>
      <c r="F82" s="12">
        <f t="shared" si="8"/>
        <v>0.40650364626436047</v>
      </c>
      <c r="G82" s="13">
        <v>14633</v>
      </c>
      <c r="H82" s="13">
        <f t="shared" si="9"/>
        <v>-3551.1971531851996</v>
      </c>
      <c r="I82" s="14">
        <f t="shared" si="10"/>
        <v>-0.24268414905933161</v>
      </c>
      <c r="J82" s="67" t="s">
        <v>315</v>
      </c>
      <c r="K82" s="67"/>
      <c r="L82" s="69"/>
    </row>
    <row r="83" spans="1:12" ht="15.6">
      <c r="A83" s="27" t="str">
        <v>Rincon</v>
      </c>
      <c r="B83" s="28" t="str">
        <v>AZ</v>
      </c>
      <c r="C83" s="10">
        <v>2953.546875</v>
      </c>
      <c r="D83" s="15">
        <v>2128.424</v>
      </c>
      <c r="E83" s="15">
        <f t="shared" si="7"/>
        <v>825.12287500000002</v>
      </c>
      <c r="F83" s="16">
        <f t="shared" si="8"/>
        <v>0.38766846972219821</v>
      </c>
      <c r="G83" s="17">
        <v>4821</v>
      </c>
      <c r="H83" s="17">
        <f t="shared" si="9"/>
        <v>-1867.453125</v>
      </c>
      <c r="I83" s="16">
        <f t="shared" si="10"/>
        <v>-0.38735804293714998</v>
      </c>
      <c r="J83" s="90" t="s">
        <v>422</v>
      </c>
      <c r="K83" s="79" t="s">
        <v>423</v>
      </c>
      <c r="L83" s="70" t="s">
        <v>417</v>
      </c>
    </row>
    <row r="84" spans="1:12" ht="57.6">
      <c r="A84" s="25" t="str">
        <v>Tucson Main Parking Garage</v>
      </c>
      <c r="B84" s="26" t="str">
        <v>AZ</v>
      </c>
      <c r="C84" s="21">
        <v>8363</v>
      </c>
      <c r="D84" s="11">
        <v>8486.3240000000005</v>
      </c>
      <c r="E84" s="11">
        <f t="shared" si="7"/>
        <v>-123.32400000000052</v>
      </c>
      <c r="F84" s="12">
        <f t="shared" si="8"/>
        <v>-1.4532087155757959E-2</v>
      </c>
      <c r="G84" s="13">
        <v>8592</v>
      </c>
      <c r="H84" s="13">
        <f t="shared" si="9"/>
        <v>-229</v>
      </c>
      <c r="I84" s="14">
        <f t="shared" si="10"/>
        <v>-2.6652700186219739E-2</v>
      </c>
      <c r="J84" s="67" t="s">
        <v>386</v>
      </c>
      <c r="K84" s="77" t="s">
        <v>347</v>
      </c>
      <c r="L84" s="69" t="s">
        <v>360</v>
      </c>
    </row>
    <row r="85" spans="1:12" ht="15.6">
      <c r="A85" s="27" t="str">
        <v>AZ: Chandler - Chandler Campus - Bldg A</v>
      </c>
      <c r="B85" s="28" t="str">
        <v>AZ</v>
      </c>
      <c r="C85" s="10">
        <v>5841.0159999999996</v>
      </c>
      <c r="D85" s="15">
        <v>13757.569</v>
      </c>
      <c r="E85" s="15">
        <f t="shared" ref="E85:E90" si="11">IF(AND(ISNUMBER(C85),ISNUMBER(D85)), C85-D85, "")</f>
        <v>-7916.5529999999999</v>
      </c>
      <c r="F85" s="16">
        <f t="shared" si="8"/>
        <v>-0.57543254916620812</v>
      </c>
      <c r="G85" s="17">
        <v>15034.5</v>
      </c>
      <c r="H85" s="17">
        <f t="shared" ref="H85:H90" si="12">IF(AND(ISNUMBER(C85),ISNUMBER(G85)), C85-G85, "")</f>
        <v>-9193.4840000000004</v>
      </c>
      <c r="I85" s="16">
        <f t="shared" ref="I85:I90" si="13">IFERROR(H85/G85, "")</f>
        <v>-0.61149250058199478</v>
      </c>
      <c r="J85" s="90" t="s">
        <v>424</v>
      </c>
      <c r="K85" s="79" t="s">
        <v>425</v>
      </c>
      <c r="L85" s="70" t="s">
        <v>359</v>
      </c>
    </row>
    <row r="86" spans="1:12" ht="15.6">
      <c r="A86" s="25" t="str">
        <v>AZ: Phoenix - Pinnacle Peak Ops</v>
      </c>
      <c r="B86" s="26" t="str">
        <v>AZ</v>
      </c>
      <c r="C86" s="21">
        <v>64784.313000000002</v>
      </c>
      <c r="D86" s="11">
        <v>50370.707000000002</v>
      </c>
      <c r="E86" s="11">
        <f t="shared" si="11"/>
        <v>14413.606</v>
      </c>
      <c r="F86" s="12">
        <f>IFERROR(E86/D86, "")</f>
        <v>0.28615055968938452</v>
      </c>
      <c r="G86" s="13">
        <v>74307</v>
      </c>
      <c r="H86" s="13">
        <f t="shared" si="12"/>
        <v>-9522.6869999999981</v>
      </c>
      <c r="I86" s="14">
        <f t="shared" si="13"/>
        <v>-0.12815329645928375</v>
      </c>
      <c r="J86" s="67" t="s">
        <v>426</v>
      </c>
      <c r="K86" s="77" t="s">
        <v>427</v>
      </c>
      <c r="L86" s="69" t="s">
        <v>359</v>
      </c>
    </row>
    <row r="87" spans="1:12" ht="28.9">
      <c r="A87" s="27" t="str">
        <v>CA: Alhambra - North Alhambra</v>
      </c>
      <c r="B87" s="28" t="str">
        <v>CA</v>
      </c>
      <c r="C87" s="10">
        <v>0</v>
      </c>
      <c r="D87" s="15"/>
      <c r="E87" s="15" t="str">
        <f t="shared" si="11"/>
        <v/>
      </c>
      <c r="F87" s="16" t="str">
        <f>IFERROR(E87/D87, "")</f>
        <v/>
      </c>
      <c r="G87" s="17">
        <v>6454</v>
      </c>
      <c r="H87" s="17">
        <f t="shared" si="12"/>
        <v>-6454</v>
      </c>
      <c r="I87" s="16">
        <f t="shared" si="13"/>
        <v>-1</v>
      </c>
      <c r="J87" s="90" t="s">
        <v>428</v>
      </c>
      <c r="K87" s="79" t="s">
        <v>429</v>
      </c>
      <c r="L87" s="70" t="s">
        <v>430</v>
      </c>
    </row>
    <row r="88" spans="1:12" ht="15.6">
      <c r="A88" s="25" t="str">
        <v>CA: La Canada - La Canada</v>
      </c>
      <c r="B88" s="26" t="str">
        <v>CA</v>
      </c>
      <c r="C88" s="21">
        <v>2841.0970000000002</v>
      </c>
      <c r="D88" s="11">
        <v>4079.8879999999999</v>
      </c>
      <c r="E88" s="11">
        <f t="shared" si="11"/>
        <v>-1238.7909999999997</v>
      </c>
      <c r="F88" s="12">
        <f>IFERROR(E88/D88, "")</f>
        <v>-0.30363358013749392</v>
      </c>
      <c r="G88" s="13">
        <v>2595.0500000000002</v>
      </c>
      <c r="H88" s="13">
        <f t="shared" si="12"/>
        <v>246.04700000000003</v>
      </c>
      <c r="I88" s="14">
        <f t="shared" si="13"/>
        <v>9.4813972755823595E-2</v>
      </c>
      <c r="J88" s="67" t="s">
        <v>431</v>
      </c>
      <c r="K88" s="67"/>
      <c r="L88" s="69"/>
    </row>
    <row r="89" spans="1:12" ht="15.6">
      <c r="A89" s="27" t="str">
        <v>CA: Laguna Beach - LAGUNA BEACH</v>
      </c>
      <c r="B89" s="28" t="str">
        <v>CA</v>
      </c>
      <c r="C89" s="10">
        <v>3796.8130000000001</v>
      </c>
      <c r="D89" s="15">
        <v>3211.489</v>
      </c>
      <c r="E89" s="15">
        <f t="shared" si="11"/>
        <v>585.32400000000007</v>
      </c>
      <c r="F89" s="16">
        <f>IFERROR(E89/D89, "")</f>
        <v>0.18225938186305482</v>
      </c>
      <c r="G89" s="17">
        <v>4553.9679999999998</v>
      </c>
      <c r="H89" s="17">
        <f t="shared" si="12"/>
        <v>-757.15499999999975</v>
      </c>
      <c r="I89" s="16">
        <f t="shared" si="13"/>
        <v>-0.16626269661973905</v>
      </c>
      <c r="J89" s="90" t="s">
        <v>432</v>
      </c>
      <c r="K89" s="70"/>
      <c r="L89" s="70"/>
    </row>
    <row r="90" spans="1:12" ht="15.6">
      <c r="A90" s="25" t="str">
        <v>CA: Newport Beach - MARINERS</v>
      </c>
      <c r="B90" s="26" t="str">
        <v>CA</v>
      </c>
      <c r="C90" s="21">
        <v>2886.9209999999998</v>
      </c>
      <c r="D90" s="11">
        <v>2951.7060000000001</v>
      </c>
      <c r="E90" s="11">
        <f t="shared" si="11"/>
        <v>-64.785000000000309</v>
      </c>
      <c r="F90" s="12">
        <f>IFERROR(E90/D90, "")</f>
        <v>-2.1948324121711413E-2</v>
      </c>
      <c r="G90" s="13">
        <v>3056.4059999999999</v>
      </c>
      <c r="H90" s="13">
        <f t="shared" si="12"/>
        <v>-169.48500000000013</v>
      </c>
      <c r="I90" s="14">
        <f t="shared" si="13"/>
        <v>-5.545238427093787E-2</v>
      </c>
      <c r="J90" s="67"/>
      <c r="K90" s="67"/>
      <c r="L90" s="69"/>
    </row>
    <row r="91" spans="1:12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  <c r="L91" s="18"/>
    </row>
    <row r="92" spans="1:12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  <c r="L92" s="18"/>
    </row>
    <row r="93" spans="1:12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  <c r="L93" s="18"/>
    </row>
    <row r="94" spans="1:12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  <c r="L94" s="18"/>
    </row>
    <row r="95" spans="1:12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  <c r="L95" s="18"/>
    </row>
    <row r="96" spans="1:12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  <c r="L96" s="18"/>
    </row>
    <row r="97" spans="1:12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  <c r="L97" s="18"/>
    </row>
    <row r="98" spans="1:12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  <c r="L98" s="18"/>
    </row>
    <row r="99" spans="1:12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  <c r="L99" s="18"/>
    </row>
    <row r="100" spans="1:12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  <c r="L100" s="18"/>
    </row>
    <row r="101" spans="1:12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  <c r="L101" s="18"/>
    </row>
    <row r="102" spans="1:12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  <c r="L102" s="18"/>
    </row>
    <row r="103" spans="1:12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  <c r="L103" s="18"/>
    </row>
    <row r="104" spans="1:12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  <c r="L104" s="18"/>
    </row>
    <row r="105" spans="1:12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  <c r="L105" s="18"/>
    </row>
    <row r="106" spans="1:12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  <c r="L106" s="18"/>
    </row>
    <row r="107" spans="1:12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  <c r="L107" s="18"/>
    </row>
    <row r="108" spans="1:12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  <c r="L108" s="18"/>
    </row>
    <row r="109" spans="1:12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  <c r="L109" s="18"/>
    </row>
    <row r="110" spans="1:12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  <c r="L110" s="18"/>
    </row>
    <row r="111" spans="1:12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  <c r="L111" s="18"/>
    </row>
    <row r="112" spans="1:12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  <c r="L112" s="18"/>
    </row>
    <row r="113" spans="1:12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  <c r="L113" s="18"/>
    </row>
    <row r="114" spans="1:12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  <c r="L114" s="18"/>
    </row>
    <row r="115" spans="1:12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  <c r="L115" s="18"/>
    </row>
    <row r="116" spans="1:12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  <c r="L116" s="18"/>
    </row>
    <row r="117" spans="1:12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  <c r="L117" s="18"/>
    </row>
    <row r="118" spans="1:12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  <c r="L118" s="18"/>
    </row>
    <row r="119" spans="1:12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  <c r="L119" s="18"/>
    </row>
    <row r="120" spans="1:12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  <c r="L120" s="18"/>
    </row>
    <row r="121" spans="1:12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  <c r="L121" s="18"/>
    </row>
    <row r="122" spans="1:12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  <c r="L122" s="18"/>
    </row>
    <row r="123" spans="1:12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  <c r="L123" s="18"/>
    </row>
    <row r="124" spans="1:12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  <c r="L124" s="18"/>
    </row>
    <row r="125" spans="1:12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  <c r="L125" s="18"/>
    </row>
    <row r="126" spans="1:12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  <c r="L126" s="18"/>
    </row>
    <row r="127" spans="1:12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  <c r="L127" s="18"/>
    </row>
    <row r="128" spans="1:12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  <c r="L128" s="18"/>
    </row>
    <row r="129" spans="1:12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  <c r="L129" s="18"/>
    </row>
    <row r="130" spans="1:12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  <c r="L130" s="18"/>
    </row>
    <row r="131" spans="1:12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  <c r="L131" s="18"/>
    </row>
    <row r="132" spans="1:12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  <c r="L132" s="18"/>
    </row>
    <row r="133" spans="1:12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  <c r="L133" s="18"/>
    </row>
    <row r="134" spans="1:12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  <c r="L134" s="18"/>
    </row>
    <row r="135" spans="1:12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  <c r="L135" s="18"/>
    </row>
    <row r="136" spans="1:12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  <c r="L136" s="18"/>
    </row>
    <row r="137" spans="1:12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  <c r="L137" s="18"/>
    </row>
    <row r="138" spans="1:12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  <c r="L138" s="18"/>
    </row>
    <row r="139" spans="1:12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  <c r="L139" s="18"/>
    </row>
    <row r="140" spans="1:12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  <c r="L140" s="18"/>
    </row>
    <row r="141" spans="1:12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  <c r="L141" s="18"/>
    </row>
    <row r="142" spans="1:12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  <c r="L142" s="18"/>
    </row>
    <row r="143" spans="1:12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  <c r="L143" s="18"/>
    </row>
    <row r="144" spans="1:12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  <c r="L144" s="18"/>
    </row>
    <row r="145" spans="1:12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  <c r="L145" s="18"/>
    </row>
    <row r="146" spans="1:12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  <c r="L146" s="18"/>
    </row>
    <row r="147" spans="1:12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  <c r="L147" s="18"/>
    </row>
    <row r="148" spans="1:12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  <c r="L148" s="18"/>
    </row>
    <row r="149" spans="1:12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  <c r="L149" s="18"/>
    </row>
    <row r="150" spans="1:12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  <c r="L150" s="18"/>
    </row>
    <row r="151" spans="1:12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  <c r="L151" s="18"/>
    </row>
    <row r="152" spans="1:12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  <c r="L152" s="18"/>
    </row>
    <row r="153" spans="1:12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  <c r="L153" s="18"/>
    </row>
    <row r="154" spans="1:12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  <c r="L154" s="18"/>
    </row>
    <row r="155" spans="1:12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  <c r="L155" s="18"/>
    </row>
    <row r="156" spans="1:12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  <c r="L156" s="18"/>
    </row>
    <row r="157" spans="1:12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  <c r="L157" s="18"/>
    </row>
    <row r="158" spans="1:12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  <c r="L158" s="18"/>
    </row>
    <row r="159" spans="1:12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  <c r="L159" s="18"/>
    </row>
    <row r="160" spans="1:12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  <c r="L160" s="18"/>
    </row>
    <row r="161" spans="1:12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  <c r="L161" s="18"/>
    </row>
    <row r="162" spans="1:12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  <c r="L162" s="18"/>
    </row>
    <row r="163" spans="1:12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  <c r="L163" s="18"/>
    </row>
    <row r="164" spans="1:12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  <c r="L164" s="18"/>
    </row>
    <row r="165" spans="1:12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  <c r="L165" s="18"/>
    </row>
    <row r="166" spans="1:12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  <c r="L166" s="18"/>
    </row>
    <row r="167" spans="1:12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  <c r="L167" s="18"/>
    </row>
    <row r="168" spans="1:12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  <c r="L168" s="18"/>
    </row>
    <row r="169" spans="1:12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  <c r="L169" s="18"/>
    </row>
    <row r="170" spans="1:12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  <c r="L170" s="18"/>
    </row>
    <row r="171" spans="1:12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  <c r="L171" s="18"/>
    </row>
    <row r="172" spans="1:12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  <c r="L172" s="18"/>
    </row>
    <row r="173" spans="1:12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  <c r="L173" s="18"/>
    </row>
    <row r="174" spans="1:12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  <c r="L174" s="18"/>
    </row>
    <row r="175" spans="1:12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  <c r="L175" s="18"/>
    </row>
    <row r="176" spans="1:12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  <c r="L176" s="18"/>
    </row>
    <row r="177" spans="1:12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  <c r="L177" s="18"/>
    </row>
    <row r="178" spans="1:12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  <c r="L178" s="18"/>
    </row>
    <row r="179" spans="1:12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  <c r="L179" s="18"/>
    </row>
    <row r="180" spans="1:12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  <c r="L180" s="18"/>
    </row>
    <row r="181" spans="1:12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  <c r="L181" s="18"/>
    </row>
    <row r="182" spans="1:12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  <c r="L182" s="18"/>
    </row>
    <row r="183" spans="1:12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  <c r="L183" s="18"/>
    </row>
    <row r="184" spans="1:12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  <c r="L184" s="18"/>
    </row>
    <row r="185" spans="1:12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  <c r="L185" s="18"/>
    </row>
    <row r="186" spans="1:12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  <c r="L186" s="18"/>
    </row>
    <row r="187" spans="1:12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  <c r="L187" s="18"/>
    </row>
    <row r="188" spans="1:12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  <c r="L188" s="18"/>
    </row>
    <row r="189" spans="1:12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  <c r="L189" s="18"/>
    </row>
    <row r="190" spans="1:12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  <c r="L190" s="18"/>
    </row>
    <row r="191" spans="1:12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  <c r="L191" s="18"/>
    </row>
    <row r="192" spans="1:12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  <c r="L192" s="18"/>
    </row>
    <row r="193" spans="1:12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  <c r="L193" s="18"/>
    </row>
    <row r="194" spans="1:12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  <c r="L194" s="18"/>
    </row>
    <row r="195" spans="1:12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  <c r="L195" s="18"/>
    </row>
    <row r="196" spans="1:12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  <c r="L196" s="18"/>
    </row>
    <row r="197" spans="1:12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  <c r="L197" s="18"/>
    </row>
    <row r="198" spans="1:12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  <c r="L198" s="18"/>
    </row>
    <row r="199" spans="1:12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  <c r="L199" s="18"/>
    </row>
    <row r="200" spans="1:12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  <c r="L200" s="18"/>
    </row>
    <row r="201" spans="1:12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  <c r="L201" s="18"/>
    </row>
    <row r="202" spans="1:12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  <c r="L202" s="18"/>
    </row>
    <row r="203" spans="1:12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  <c r="L203" s="18"/>
    </row>
    <row r="204" spans="1:12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  <c r="L204" s="18"/>
    </row>
    <row r="205" spans="1:12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  <c r="L205" s="18"/>
    </row>
    <row r="206" spans="1:12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  <c r="L206" s="18"/>
    </row>
    <row r="207" spans="1:12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  <c r="L207" s="18"/>
    </row>
    <row r="208" spans="1:12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  <c r="L208" s="18"/>
    </row>
    <row r="209" spans="1:12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  <c r="L209" s="18"/>
    </row>
    <row r="210" spans="1:12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  <c r="L210" s="18"/>
    </row>
    <row r="211" spans="1:12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  <c r="L211" s="18"/>
    </row>
    <row r="212" spans="1:12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  <c r="L212" s="18"/>
    </row>
    <row r="213" spans="1:12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  <c r="L213" s="18"/>
    </row>
    <row r="214" spans="1:12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  <c r="L214" s="18"/>
    </row>
    <row r="215" spans="1:12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  <c r="L215" s="18"/>
    </row>
    <row r="216" spans="1:12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  <c r="L216" s="18"/>
    </row>
    <row r="217" spans="1:12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  <c r="L217" s="18"/>
    </row>
    <row r="218" spans="1:12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  <c r="L218" s="18"/>
    </row>
    <row r="219" spans="1:12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  <c r="L219" s="18"/>
    </row>
    <row r="220" spans="1:12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  <c r="L220" s="18"/>
    </row>
    <row r="221" spans="1:12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  <c r="L221" s="18"/>
    </row>
    <row r="222" spans="1:12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  <c r="L222" s="18"/>
    </row>
    <row r="223" spans="1:12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  <c r="L223" s="18"/>
    </row>
    <row r="224" spans="1:12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  <c r="L224" s="18"/>
    </row>
    <row r="225" spans="1:12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  <c r="L225" s="18"/>
    </row>
    <row r="226" spans="1:12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  <c r="L226" s="18"/>
    </row>
    <row r="227" spans="1:12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  <c r="L227" s="18"/>
    </row>
    <row r="228" spans="1:12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  <c r="L228" s="18"/>
    </row>
    <row r="229" spans="1:12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  <c r="L229" s="18"/>
    </row>
    <row r="230" spans="1:12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  <c r="L230" s="18"/>
    </row>
    <row r="231" spans="1:12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  <c r="L231" s="18"/>
    </row>
    <row r="232" spans="1:12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  <c r="L232" s="18"/>
    </row>
    <row r="233" spans="1:12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  <c r="L233" s="18"/>
    </row>
    <row r="234" spans="1:12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  <c r="L234" s="18"/>
    </row>
    <row r="235" spans="1:12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  <c r="L235" s="18"/>
    </row>
    <row r="236" spans="1:12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  <c r="L236" s="18"/>
    </row>
    <row r="237" spans="1:12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  <c r="L237" s="18"/>
    </row>
    <row r="238" spans="1:12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  <c r="L238" s="18"/>
    </row>
    <row r="239" spans="1:12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  <c r="L239" s="18"/>
    </row>
    <row r="240" spans="1:12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  <c r="L240" s="18"/>
    </row>
    <row r="241" spans="1:12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  <c r="L241" s="18"/>
    </row>
    <row r="242" spans="1:12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  <c r="L242" s="18"/>
    </row>
    <row r="243" spans="1:12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  <c r="L243" s="18"/>
    </row>
    <row r="244" spans="1:12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  <c r="L244" s="18"/>
    </row>
    <row r="245" spans="1:12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  <c r="L245" s="18"/>
    </row>
    <row r="246" spans="1:12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  <c r="L246" s="18"/>
    </row>
    <row r="247" spans="1:12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  <c r="L247" s="18"/>
    </row>
    <row r="248" spans="1:12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  <c r="L248" s="18"/>
    </row>
    <row r="249" spans="1:12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  <c r="L249" s="18"/>
    </row>
    <row r="250" spans="1:12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  <c r="L250" s="18"/>
    </row>
    <row r="251" spans="1:12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  <c r="L251" s="18"/>
    </row>
    <row r="252" spans="1:12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  <c r="L252" s="18"/>
    </row>
    <row r="253" spans="1:12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  <c r="L253" s="18"/>
    </row>
    <row r="254" spans="1:12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  <c r="L254" s="18"/>
    </row>
    <row r="255" spans="1:12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  <c r="L255" s="18"/>
    </row>
    <row r="256" spans="1:12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  <c r="L256" s="18"/>
    </row>
    <row r="257" spans="1:12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  <c r="L257" s="18"/>
    </row>
    <row r="258" spans="1:12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  <c r="L258" s="18"/>
    </row>
    <row r="259" spans="1:12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  <c r="L259" s="18"/>
    </row>
    <row r="260" spans="1:12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  <c r="L260" s="18"/>
    </row>
    <row r="261" spans="1:12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  <c r="L261" s="18"/>
    </row>
    <row r="262" spans="1:12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  <c r="L262" s="18"/>
    </row>
    <row r="263" spans="1:12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  <c r="L263" s="18"/>
    </row>
    <row r="264" spans="1:12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  <c r="L264" s="18"/>
    </row>
    <row r="265" spans="1:12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  <c r="L265" s="18"/>
    </row>
    <row r="266" spans="1:12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  <c r="L266" s="18"/>
    </row>
    <row r="267" spans="1:12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  <c r="L267" s="18"/>
    </row>
    <row r="268" spans="1:12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  <c r="L268" s="18"/>
    </row>
    <row r="269" spans="1:12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  <c r="L269" s="18"/>
    </row>
    <row r="270" spans="1:12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  <c r="L270" s="18"/>
    </row>
    <row r="271" spans="1:12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  <c r="L271" s="18"/>
    </row>
    <row r="272" spans="1:12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  <c r="L272" s="18"/>
    </row>
    <row r="273" spans="1:12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  <c r="L273" s="18"/>
    </row>
    <row r="274" spans="1:12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  <c r="L274" s="18"/>
    </row>
    <row r="275" spans="1:12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  <c r="L275" s="18"/>
    </row>
    <row r="276" spans="1:12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  <c r="L276" s="18"/>
    </row>
    <row r="277" spans="1:12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  <c r="L277" s="18"/>
    </row>
    <row r="278" spans="1:12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  <c r="L278" s="18"/>
    </row>
    <row r="279" spans="1:12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  <c r="L279" s="18"/>
    </row>
    <row r="280" spans="1:12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  <c r="L280" s="18"/>
    </row>
    <row r="281" spans="1:12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  <c r="L281" s="18"/>
    </row>
    <row r="282" spans="1:12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  <c r="L282" s="18"/>
    </row>
    <row r="283" spans="1:12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  <c r="L283" s="18"/>
    </row>
    <row r="284" spans="1:12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  <c r="L284" s="18"/>
    </row>
    <row r="285" spans="1:12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  <c r="L285" s="18"/>
    </row>
    <row r="286" spans="1:12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  <c r="L286" s="18"/>
    </row>
    <row r="287" spans="1:12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  <c r="L287" s="18"/>
    </row>
    <row r="288" spans="1:12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  <c r="L288" s="18"/>
    </row>
    <row r="289" spans="1:12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  <c r="L289" s="18"/>
    </row>
    <row r="290" spans="1:12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  <c r="L290" s="18"/>
    </row>
    <row r="291" spans="1:12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  <c r="L291" s="18"/>
    </row>
    <row r="292" spans="1:12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  <c r="L292" s="18"/>
    </row>
    <row r="293" spans="1:12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  <c r="L293" s="18"/>
    </row>
    <row r="294" spans="1:12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  <c r="L294" s="18"/>
    </row>
    <row r="295" spans="1:12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  <c r="L295" s="18"/>
    </row>
    <row r="296" spans="1:12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  <c r="L296" s="18"/>
    </row>
    <row r="297" spans="1:12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  <c r="L297" s="18"/>
    </row>
    <row r="298" spans="1:12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  <c r="L298" s="18"/>
    </row>
    <row r="299" spans="1:12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  <c r="L299" s="18"/>
    </row>
    <row r="300" spans="1:12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  <c r="L300" s="18"/>
    </row>
    <row r="301" spans="1:12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  <c r="L301" s="18"/>
    </row>
    <row r="302" spans="1:12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  <c r="L302" s="18"/>
    </row>
    <row r="303" spans="1:12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  <c r="L303" s="18"/>
    </row>
    <row r="304" spans="1:12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  <c r="L304" s="18"/>
    </row>
    <row r="305" spans="1:12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  <c r="L305" s="18"/>
    </row>
    <row r="306" spans="1:12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  <c r="L306" s="18"/>
    </row>
    <row r="307" spans="1:12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  <c r="L307" s="18"/>
    </row>
    <row r="308" spans="1:12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  <c r="L308" s="18"/>
    </row>
    <row r="309" spans="1:12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  <c r="L309" s="18"/>
    </row>
    <row r="310" spans="1:12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  <c r="L310" s="18"/>
    </row>
    <row r="311" spans="1:12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  <c r="L311" s="18"/>
    </row>
    <row r="312" spans="1:12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  <c r="L312" s="18"/>
    </row>
    <row r="313" spans="1:12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  <c r="L313" s="18"/>
    </row>
    <row r="314" spans="1:12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  <c r="L314" s="18"/>
    </row>
    <row r="315" spans="1:12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  <c r="L315" s="18"/>
    </row>
    <row r="316" spans="1:12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  <c r="L316" s="18"/>
    </row>
    <row r="317" spans="1:12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  <c r="L317" s="18"/>
    </row>
    <row r="318" spans="1:12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  <c r="L318" s="18"/>
    </row>
    <row r="319" spans="1:12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  <c r="L319" s="18"/>
    </row>
    <row r="320" spans="1:12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  <c r="L320" s="18"/>
    </row>
    <row r="321" spans="1:12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  <c r="L321" s="18"/>
    </row>
    <row r="322" spans="1:12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  <c r="L322" s="18"/>
    </row>
    <row r="323" spans="1:12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  <c r="L323" s="18"/>
    </row>
    <row r="324" spans="1:12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  <c r="L324" s="18"/>
    </row>
    <row r="325" spans="1:12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  <c r="L325" s="18"/>
    </row>
    <row r="326" spans="1:12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  <c r="L326" s="18"/>
    </row>
    <row r="327" spans="1:12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  <c r="L327" s="18"/>
    </row>
    <row r="328" spans="1:12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  <c r="L328" s="18"/>
    </row>
    <row r="329" spans="1:12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  <c r="L329" s="18"/>
    </row>
    <row r="330" spans="1:12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  <c r="L330" s="18"/>
    </row>
    <row r="331" spans="1:12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  <c r="L331" s="18"/>
    </row>
    <row r="332" spans="1:12" ht="14.45">
      <c r="C332" s="18"/>
      <c r="D332" s="18"/>
      <c r="E332" s="18"/>
      <c r="F332" s="19"/>
      <c r="G332" s="18"/>
      <c r="H332" s="18"/>
      <c r="I332" s="19"/>
      <c r="J332" s="18"/>
      <c r="K332" s="18"/>
      <c r="L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hyperlinks>
    <hyperlink ref="K5" r:id="rId1" display="https://us3.assetplanner.com/service_request?ID=111329" xr:uid="{57E5149F-66CA-4E33-81E8-1D93B26DA8C0}"/>
    <hyperlink ref="K6" r:id="rId2" display="https://us3.assetplanner.com/service_request?ID=099548" xr:uid="{34993E36-78A3-435F-8A87-5FF2872DF4D3}"/>
    <hyperlink ref="K10" r:id="rId3" display="https://us3.assetplanner.com/service_request?ID=101247" xr:uid="{20F447B9-F022-4185-8D67-673C2573798B}"/>
    <hyperlink ref="K14" r:id="rId4" display="https://us3.assetplanner.com/service_request?ID=111981" xr:uid="{CB943EE3-DB0A-4E2B-B100-17FC133A422E}"/>
    <hyperlink ref="K18" r:id="rId5" display="https://us3.assetplanner.com/service_request?ID=104629" xr:uid="{BF534C6B-7D83-418F-92B7-6772C8F8AA3E}"/>
    <hyperlink ref="K22" r:id="rId6" display="https://us3.assetplanner.com/service_request?ID=105604" xr:uid="{E2C6B843-6D2D-4A9E-B2FE-2FA09D6DDCA3}"/>
    <hyperlink ref="M22" r:id="rId7" display="https://us3.assetplanner.com/service_request?ID=111494" xr:uid="{8D589EE8-9935-42F8-8952-F3EF93808A8A}"/>
    <hyperlink ref="K24" r:id="rId8" display="https://us3.assetplanner.com/service_request?ID=110707" xr:uid="{E60B62FA-35D4-417D-A677-1DC338F6AE0E}"/>
    <hyperlink ref="K26" r:id="rId9" display="https://us3.assetplanner.com/service_request?ID=101743" xr:uid="{0260C83F-3A26-4772-A12F-7AAF12E56BC9}"/>
    <hyperlink ref="K32" r:id="rId10" display="https://us3.assetplanner.com/service_request?ID=107668" xr:uid="{0D94B2B6-0B5F-42C3-B3B7-74B272374F01}"/>
    <hyperlink ref="M32" r:id="rId11" display="https://us3.assetplanner.com/service_request?ID=088667" xr:uid="{19A013CF-77AD-478E-ACF7-4EF6C72D35CA}"/>
    <hyperlink ref="N32" r:id="rId12" display="https://us3.assetplanner.com/service_request?ID=077700" xr:uid="{7B6211EC-D915-41D9-AE85-91967A4B84D6}"/>
    <hyperlink ref="K33" r:id="rId13" display="https://us3.assetplanner.com/service_request?ID=098782" xr:uid="{F140B174-4B6A-469D-B919-B69D7601BCC7}"/>
    <hyperlink ref="K34" r:id="rId14" display="https://us3.assetplanner.com/service_request?ID=105482" xr:uid="{A7B41014-EDF5-44B9-9B71-7EFEE546496B}"/>
    <hyperlink ref="M34" r:id="rId15" display="https://us3.assetplanner.com/service_request?ID=105331" xr:uid="{EE199B39-9729-4549-9ADD-59E4004B6319}"/>
    <hyperlink ref="K35" r:id="rId16" display="https://us3.assetplanner.com/service_request?ID=105483" xr:uid="{19789A0B-4ECD-4944-B01C-41A6309588FD}"/>
    <hyperlink ref="M35" r:id="rId17" display="https://us3.assetplanner.com/service_request?ID=105331" xr:uid="{1FA3A63E-A829-4D04-B59B-C5D3DF6FBEB6}"/>
    <hyperlink ref="K40" r:id="rId18" display="https://us3.assetplanner.com/service_request?ID=111319" xr:uid="{2FE6C656-537A-4A25-A9BC-FA641F980B78}"/>
    <hyperlink ref="K47" r:id="rId19" display="https://us3.assetplanner.com/service_request?ID=109804" xr:uid="{30629C16-0E7F-49EB-8E8F-850310C83ECA}"/>
    <hyperlink ref="K59" r:id="rId20" display="https://us3.assetplanner.com/service_request?ID=108795" xr:uid="{222254D7-AE50-40CA-BDA8-2C0A716B86A4}"/>
    <hyperlink ref="K60" r:id="rId21" display="https://us3.assetplanner.com/service_request?ID=100593" xr:uid="{592FCA4A-B02F-411F-B88F-D4C210E80196}"/>
    <hyperlink ref="K70" r:id="rId22" display="https://us3.assetplanner.com/service_request?ID=111323" xr:uid="{68B90E37-9617-4958-B5ED-1388D01CEF87}"/>
    <hyperlink ref="K73" r:id="rId23" display="https://us3.assetplanner.com/service_request?ID=097581" xr:uid="{3171318C-1D26-48DB-8E34-7B2094EA3A27}"/>
    <hyperlink ref="K75" r:id="rId24" display="https://us3.assetplanner.com/service_request?ID=106526" xr:uid="{E5225145-A460-4096-82EB-35CCB42E1E75}"/>
    <hyperlink ref="K79" r:id="rId25" display="https://us3.assetplanner.com/service_request?ID=107486" xr:uid="{C9EBE249-F55C-4C0A-A61C-4F017FB4CD3A}"/>
    <hyperlink ref="K83" r:id="rId26" display="https://us3.assetplanner.com/service_request?ID=111320" xr:uid="{437ED6E8-D75C-4F7C-8EDD-000A816905D3}"/>
    <hyperlink ref="K84" r:id="rId27" display="https://us3.assetplanner.com/service_request?ID=104705" xr:uid="{84742B22-BF19-489E-A75C-8EAE5A3CA7D0}"/>
    <hyperlink ref="K85" r:id="rId28" display="https://us3.assetplanner.com/service_request?ID=112285" xr:uid="{87C7CC0B-DE18-4EAF-9247-DA64399F4A78}"/>
    <hyperlink ref="K86" r:id="rId29" display="https://us3.assetplanner.com/service_request?ID=112289" xr:uid="{B4B8A89B-B579-46BB-9807-26473E17A2D6}"/>
    <hyperlink ref="K87" r:id="rId30" display="https://us3.assetplanner.com/service_request?ID=112290" xr:uid="{CB4658F5-2903-418A-9606-E3FB3C0003C9}"/>
  </hyperlinks>
  <pageMargins left="0.4" right="0.7" top="0.25" bottom="0.25" header="0.3" footer="0.3"/>
  <pageSetup fitToHeight="99" orientation="landscape" r:id="rId31"/>
  <legacyDrawing r:id="rId3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O332"/>
  <sheetViews>
    <sheetView zoomScale="70" zoomScaleNormal="70" workbookViewId="0">
      <pane xSplit="2" ySplit="3" topLeftCell="C16" activePane="bottomRight" state="frozen"/>
      <selection pane="bottomRight" activeCell="D22" sqref="D22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19.85546875" customWidth="1"/>
  </cols>
  <sheetData>
    <row r="1" spans="1:12" ht="19.5" customHeight="1">
      <c r="A1" s="254" t="str" cm="1">
        <f t="array" ref="A1">portfolio</f>
        <v>Wells Fargo</v>
      </c>
      <c r="B1" s="254"/>
      <c r="C1" s="254"/>
      <c r="D1" s="255" t="s">
        <v>433</v>
      </c>
      <c r="E1" s="255"/>
      <c r="F1" s="255"/>
      <c r="G1" s="253" t="s">
        <v>434</v>
      </c>
      <c r="H1" s="253"/>
      <c r="I1" s="253"/>
      <c r="J1" s="3"/>
      <c r="K1" s="3"/>
      <c r="L1" s="3"/>
    </row>
    <row r="2" spans="1:12" ht="19.5" customHeight="1">
      <c r="A2" s="264" t="s">
        <v>2</v>
      </c>
      <c r="B2" s="264"/>
      <c r="C2" s="4">
        <f>SUM(C4:C90)</f>
        <v>963992.70080774336</v>
      </c>
      <c r="D2" s="4">
        <f>SUM(D4:D90)</f>
        <v>1003024.4082000001</v>
      </c>
      <c r="E2" s="4">
        <f>C2-D2</f>
        <v>-39031.707392256707</v>
      </c>
      <c r="F2" s="5">
        <f>IFERROR(E2/D2, 0)</f>
        <v>-3.8914015524609151E-2</v>
      </c>
      <c r="G2" s="4">
        <f>SUM(G4:G90)</f>
        <v>1298861.1674999997</v>
      </c>
      <c r="H2" s="6">
        <f>C2-G2</f>
        <v>-334868.46669225639</v>
      </c>
      <c r="I2" s="5">
        <f>IFERROR(H2/G2, 0)</f>
        <v>-0.25781698234677297</v>
      </c>
      <c r="J2" s="23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  <c r="L2" s="3"/>
    </row>
    <row r="3" spans="1:12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  <c r="L3" s="22" t="s">
        <v>435</v>
      </c>
    </row>
    <row r="4" spans="1:12" ht="28.9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539.400000000001</v>
      </c>
      <c r="D4" s="11">
        <v>2297.2069999999999</v>
      </c>
      <c r="E4" s="11">
        <f>IF(AND(ISNUMBER(C4),ISNUMBER(D4)), C4-D4, "")</f>
        <v>-1757.8069999999989</v>
      </c>
      <c r="F4" s="12">
        <f>IFERROR(E4/D4, "")</f>
        <v>-0.76519312364971859</v>
      </c>
      <c r="G4" s="13">
        <v>590</v>
      </c>
      <c r="H4" s="13">
        <f>IF(AND(ISNUMBER(C4),ISNUMBER(G4)), C4-G4, "")</f>
        <v>-50.599999999999</v>
      </c>
      <c r="I4" s="14">
        <f>IFERROR(H4/G4, "")</f>
        <v>-8.5762711864405081E-2</v>
      </c>
      <c r="J4" s="38" t="s">
        <v>100</v>
      </c>
      <c r="K4" s="38"/>
      <c r="L4" s="38"/>
    </row>
    <row r="5" spans="1:12" ht="28.9">
      <c r="A5" s="27" t="str">
        <v>Otay Mesa</v>
      </c>
      <c r="B5" s="28" t="str">
        <v>CA</v>
      </c>
      <c r="C5" s="10">
        <v>39.505000000000003</v>
      </c>
      <c r="D5" s="15" t="s">
        <v>202</v>
      </c>
      <c r="E5" s="15" t="str">
        <f t="shared" ref="E5:E67" si="0">IF(AND(ISNUMBER(C5),ISNUMBER(D5)), C5-D5, "")</f>
        <v/>
      </c>
      <c r="F5" s="16" t="str">
        <f>IFERROR(E5/D5, "")</f>
        <v/>
      </c>
      <c r="G5" s="89" t="s">
        <v>202</v>
      </c>
      <c r="H5" s="17" t="str">
        <f t="shared" ref="H5:H67" si="1">IF(AND(ISNUMBER(C5),ISNUMBER(G5)), C5-G5, "")</f>
        <v/>
      </c>
      <c r="I5" s="16" t="str">
        <f t="shared" ref="I5:I67" si="2">IFERROR(H5/G5, "")</f>
        <v/>
      </c>
      <c r="J5" s="39" t="s">
        <v>436</v>
      </c>
      <c r="K5" s="39"/>
      <c r="L5" s="39"/>
    </row>
    <row r="6" spans="1:12" ht="28.9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67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38" t="s">
        <v>203</v>
      </c>
      <c r="K6" s="77" t="s">
        <v>204</v>
      </c>
      <c r="L6" s="69" t="s">
        <v>437</v>
      </c>
    </row>
    <row r="7" spans="1:12" ht="15.6">
      <c r="A7" s="27" t="str">
        <v>Van Nuys</v>
      </c>
      <c r="B7" s="28" t="str">
        <v>CA</v>
      </c>
      <c r="C7" s="10">
        <v>971</v>
      </c>
      <c r="D7" s="15" t="s">
        <v>202</v>
      </c>
      <c r="E7" s="15" t="str">
        <f t="shared" si="0"/>
        <v/>
      </c>
      <c r="F7" s="16" t="str">
        <f t="shared" si="3"/>
        <v/>
      </c>
      <c r="G7" s="17">
        <v>1189.4770000000001</v>
      </c>
      <c r="H7" s="17">
        <f t="shared" si="1"/>
        <v>-218.47700000000009</v>
      </c>
      <c r="I7" s="16">
        <f t="shared" si="2"/>
        <v>-0.18367484196836095</v>
      </c>
      <c r="J7" s="39" t="s">
        <v>352</v>
      </c>
      <c r="K7" s="40"/>
      <c r="L7" s="40"/>
    </row>
    <row r="8" spans="1:12" ht="15.6">
      <c r="A8" s="25" t="str">
        <v>Lodi - Lodi Vineyard</v>
      </c>
      <c r="B8" s="26" t="str">
        <v>CA</v>
      </c>
      <c r="C8" s="21">
        <v>8304</v>
      </c>
      <c r="D8" s="11">
        <v>8329.8119999999999</v>
      </c>
      <c r="E8" s="11">
        <f t="shared" si="0"/>
        <v>-25.811999999999898</v>
      </c>
      <c r="F8" s="12">
        <f t="shared" si="3"/>
        <v>-3.0987494075496421E-3</v>
      </c>
      <c r="G8" s="13">
        <v>17886</v>
      </c>
      <c r="H8" s="13">
        <f t="shared" si="1"/>
        <v>-9582</v>
      </c>
      <c r="I8" s="14">
        <f t="shared" si="2"/>
        <v>-0.53572626635357268</v>
      </c>
      <c r="J8" s="38" t="s">
        <v>313</v>
      </c>
      <c r="K8" s="38"/>
      <c r="L8" s="38"/>
    </row>
    <row r="9" spans="1:12" ht="15.6">
      <c r="A9" s="27" t="str">
        <v>Arden Fair Mall</v>
      </c>
      <c r="B9" s="28" t="str">
        <v>CA</v>
      </c>
      <c r="C9" s="10">
        <v>3752.40625</v>
      </c>
      <c r="D9" s="15">
        <v>4353.1899999999996</v>
      </c>
      <c r="E9" s="15">
        <f t="shared" si="0"/>
        <v>-600.7837499999996</v>
      </c>
      <c r="F9" s="16">
        <f t="shared" si="3"/>
        <v>-0.13800999956353838</v>
      </c>
      <c r="G9" s="17">
        <v>10428</v>
      </c>
      <c r="H9" s="17">
        <f t="shared" si="1"/>
        <v>-6675.59375</v>
      </c>
      <c r="I9" s="16">
        <f t="shared" si="2"/>
        <v>-0.64016050537015723</v>
      </c>
      <c r="J9" s="39" t="s">
        <v>353</v>
      </c>
      <c r="K9" s="40"/>
      <c r="L9" s="40"/>
    </row>
    <row r="10" spans="1:12" ht="43.15">
      <c r="A10" s="25" t="str">
        <v>Modesto - Modesto Main</v>
      </c>
      <c r="B10" s="26" t="str">
        <v>CA</v>
      </c>
      <c r="C10" s="21">
        <v>2713.03125</v>
      </c>
      <c r="D10" s="11">
        <v>3959.9029999999998</v>
      </c>
      <c r="E10" s="11">
        <f t="shared" si="0"/>
        <v>-1246.8717499999998</v>
      </c>
      <c r="F10" s="12">
        <f t="shared" si="3"/>
        <v>-0.31487431636583013</v>
      </c>
      <c r="G10" s="13">
        <v>10183.41</v>
      </c>
      <c r="H10" s="13">
        <f t="shared" si="1"/>
        <v>-7470.3787499999999</v>
      </c>
      <c r="I10" s="14">
        <f t="shared" si="2"/>
        <v>-0.7335832250690093</v>
      </c>
      <c r="J10" s="67" t="s">
        <v>438</v>
      </c>
      <c r="K10" s="77" t="s">
        <v>439</v>
      </c>
      <c r="L10" s="69" t="s">
        <v>440</v>
      </c>
    </row>
    <row r="11" spans="1:12" ht="72">
      <c r="A11" s="27" t="str">
        <v>Stevens Creek</v>
      </c>
      <c r="B11" s="28" t="str">
        <v>CA</v>
      </c>
      <c r="C11" s="10">
        <v>2287.3160314177499</v>
      </c>
      <c r="D11" s="15">
        <v>1962.9590000000001</v>
      </c>
      <c r="E11" s="15">
        <f t="shared" si="0"/>
        <v>324.35703141774979</v>
      </c>
      <c r="F11" s="16">
        <f t="shared" si="3"/>
        <v>0.16523882129873818</v>
      </c>
      <c r="G11" s="17">
        <v>2169</v>
      </c>
      <c r="H11" s="17">
        <f t="shared" si="1"/>
        <v>118.31603141774985</v>
      </c>
      <c r="I11" s="16">
        <f t="shared" si="2"/>
        <v>5.4548654411134094E-2</v>
      </c>
      <c r="J11" s="39" t="s">
        <v>315</v>
      </c>
      <c r="K11" s="40"/>
      <c r="L11" s="40"/>
    </row>
    <row r="12" spans="1:12" ht="15.6">
      <c r="A12" s="25" t="str">
        <v>Covina Main</v>
      </c>
      <c r="B12" s="26" t="str">
        <v>CA</v>
      </c>
      <c r="C12" s="21">
        <v>2035.5</v>
      </c>
      <c r="D12" s="11">
        <v>1646.7809999999999</v>
      </c>
      <c r="E12" s="11">
        <f t="shared" si="0"/>
        <v>388.71900000000005</v>
      </c>
      <c r="F12" s="12">
        <f t="shared" si="3"/>
        <v>0.23604778048811595</v>
      </c>
      <c r="G12" s="13">
        <v>1937</v>
      </c>
      <c r="H12" s="13">
        <f t="shared" si="1"/>
        <v>98.5</v>
      </c>
      <c r="I12" s="14">
        <f t="shared" si="2"/>
        <v>5.0851832731027363E-2</v>
      </c>
      <c r="J12" s="38"/>
      <c r="K12" s="38"/>
      <c r="L12" s="38"/>
    </row>
    <row r="13" spans="1:12" ht="72">
      <c r="A13" s="27" t="str">
        <v>Old Ranch Town Center</v>
      </c>
      <c r="B13" s="28" t="str">
        <v>CA</v>
      </c>
      <c r="C13" s="10">
        <v>565.111328125</v>
      </c>
      <c r="D13" s="15" t="s">
        <v>202</v>
      </c>
      <c r="E13" s="15" t="str">
        <f t="shared" si="0"/>
        <v/>
      </c>
      <c r="F13" s="16" t="str">
        <f t="shared" si="3"/>
        <v/>
      </c>
      <c r="G13" s="17">
        <v>824</v>
      </c>
      <c r="H13" s="17">
        <f t="shared" si="1"/>
        <v>-258.888671875</v>
      </c>
      <c r="I13" s="16">
        <f t="shared" si="2"/>
        <v>-0.31418528140169905</v>
      </c>
      <c r="J13" s="39" t="s">
        <v>316</v>
      </c>
      <c r="K13" s="40"/>
      <c r="L13" s="40"/>
    </row>
    <row r="14" spans="1:12" ht="72">
      <c r="A14" s="25" t="str">
        <v>Mountain Gate Plaza</v>
      </c>
      <c r="B14" s="26" t="str">
        <v>CA</v>
      </c>
      <c r="C14" s="21">
        <v>4510.5922369371701</v>
      </c>
      <c r="D14" s="11" t="s">
        <v>202</v>
      </c>
      <c r="E14" s="11" t="str">
        <f t="shared" si="0"/>
        <v/>
      </c>
      <c r="F14" s="12" t="str">
        <f t="shared" si="3"/>
        <v/>
      </c>
      <c r="G14" s="13">
        <v>5993</v>
      </c>
      <c r="H14" s="13">
        <f t="shared" si="1"/>
        <v>-1482.4077630628299</v>
      </c>
      <c r="I14" s="14">
        <f t="shared" si="2"/>
        <v>-0.2473565431441398</v>
      </c>
      <c r="J14" s="38" t="s">
        <v>315</v>
      </c>
      <c r="K14" s="38"/>
      <c r="L14" s="38"/>
    </row>
    <row r="15" spans="1:12" ht="72">
      <c r="A15" s="27" t="str">
        <v>Arcadia Main</v>
      </c>
      <c r="B15" s="28" t="str">
        <v>CA</v>
      </c>
      <c r="C15" s="10">
        <v>2054.0033984375</v>
      </c>
      <c r="D15" s="15" t="s">
        <v>202</v>
      </c>
      <c r="E15" s="15" t="str">
        <f t="shared" si="0"/>
        <v/>
      </c>
      <c r="F15" s="16" t="str">
        <f t="shared" si="3"/>
        <v/>
      </c>
      <c r="G15" s="17">
        <v>3029</v>
      </c>
      <c r="H15" s="17">
        <f t="shared" si="1"/>
        <v>-974.99660156250002</v>
      </c>
      <c r="I15" s="16">
        <f t="shared" si="2"/>
        <v>-0.32188729005034666</v>
      </c>
      <c r="J15" s="39" t="s">
        <v>315</v>
      </c>
      <c r="K15" s="40"/>
      <c r="L15" s="40"/>
    </row>
    <row r="16" spans="1:12" ht="72">
      <c r="A16" s="25" t="str">
        <v>Fairfield</v>
      </c>
      <c r="B16" s="26" t="str">
        <v>CA</v>
      </c>
      <c r="C16" s="21">
        <v>921.875</v>
      </c>
      <c r="D16" s="11">
        <v>1092.6310000000001</v>
      </c>
      <c r="E16" s="11">
        <f t="shared" si="0"/>
        <v>-170.75600000000009</v>
      </c>
      <c r="F16" s="12">
        <f t="shared" si="3"/>
        <v>-0.15627965891504092</v>
      </c>
      <c r="G16" s="13">
        <v>1910</v>
      </c>
      <c r="H16" s="13">
        <f t="shared" si="1"/>
        <v>-988.125</v>
      </c>
      <c r="I16" s="14">
        <f t="shared" si="2"/>
        <v>-0.51734293193717273</v>
      </c>
      <c r="J16" s="38" t="s">
        <v>315</v>
      </c>
      <c r="K16" s="38"/>
      <c r="L16" s="38"/>
    </row>
    <row r="17" spans="1:15" ht="15.6">
      <c r="A17" s="27" t="str">
        <v>Los Gatos</v>
      </c>
      <c r="B17" s="28" t="str">
        <v>CA</v>
      </c>
      <c r="C17" s="10">
        <v>856.11462743404297</v>
      </c>
      <c r="D17" s="15">
        <v>785.17650000000003</v>
      </c>
      <c r="E17" s="15">
        <f t="shared" si="0"/>
        <v>70.93812743404294</v>
      </c>
      <c r="F17" s="16">
        <f t="shared" si="3"/>
        <v>9.0346727689943521E-2</v>
      </c>
      <c r="G17" s="17">
        <v>0</v>
      </c>
      <c r="H17" s="17">
        <f t="shared" si="1"/>
        <v>856.11462743404297</v>
      </c>
      <c r="I17" s="16" t="str">
        <f t="shared" si="2"/>
        <v/>
      </c>
      <c r="J17" s="39"/>
      <c r="K17" s="40"/>
      <c r="L17" s="40"/>
    </row>
    <row r="18" spans="1:15" ht="31.5" customHeight="1">
      <c r="A18" s="25" t="str">
        <v>San Marino</v>
      </c>
      <c r="B18" s="26" t="str">
        <v>CA</v>
      </c>
      <c r="C18" s="21">
        <v>2057.1993695518499</v>
      </c>
      <c r="D18" s="11">
        <v>2019.827</v>
      </c>
      <c r="E18" s="11">
        <f t="shared" si="0"/>
        <v>37.372369551849943</v>
      </c>
      <c r="F18" s="12">
        <f t="shared" si="3"/>
        <v>1.8502757687589057E-2</v>
      </c>
      <c r="G18" s="13">
        <v>2585.14</v>
      </c>
      <c r="H18" s="13">
        <f t="shared" si="1"/>
        <v>-527.94063044814993</v>
      </c>
      <c r="I18" s="14">
        <f t="shared" si="2"/>
        <v>-0.20422129186355475</v>
      </c>
      <c r="J18" s="38" t="s">
        <v>207</v>
      </c>
      <c r="K18" s="77" t="s">
        <v>441</v>
      </c>
      <c r="L18" s="38" t="s">
        <v>360</v>
      </c>
    </row>
    <row r="19" spans="1:15" ht="72">
      <c r="A19" s="27" t="str">
        <v>Buenaventura</v>
      </c>
      <c r="B19" s="28" t="str">
        <v>CA</v>
      </c>
      <c r="C19" s="10">
        <v>2696.1310634328402</v>
      </c>
      <c r="D19" s="15">
        <v>2010.3309999999999</v>
      </c>
      <c r="E19" s="15">
        <f t="shared" si="0"/>
        <v>685.80006343284026</v>
      </c>
      <c r="F19" s="16">
        <f t="shared" si="3"/>
        <v>0.34113788397673833</v>
      </c>
      <c r="G19" s="17">
        <v>3624.453</v>
      </c>
      <c r="H19" s="17">
        <f t="shared" si="1"/>
        <v>-928.32193656715981</v>
      </c>
      <c r="I19" s="16">
        <f t="shared" si="2"/>
        <v>-0.25612745883783283</v>
      </c>
      <c r="J19" s="90" t="s">
        <v>315</v>
      </c>
      <c r="K19" s="90"/>
      <c r="L19" s="90"/>
    </row>
    <row r="20" spans="1:15" ht="72">
      <c r="A20" s="25" t="str">
        <v>BE 199502 - Westgate</v>
      </c>
      <c r="B20" s="26" t="str">
        <v>CA</v>
      </c>
      <c r="C20" s="21">
        <v>772.2</v>
      </c>
      <c r="D20" s="11" t="s">
        <v>202</v>
      </c>
      <c r="E20" s="11" t="str">
        <f t="shared" si="0"/>
        <v/>
      </c>
      <c r="F20" s="12" t="str">
        <f t="shared" si="3"/>
        <v/>
      </c>
      <c r="G20" s="13">
        <v>1047</v>
      </c>
      <c r="H20" s="13">
        <f t="shared" si="1"/>
        <v>-274.79999999999995</v>
      </c>
      <c r="I20" s="14">
        <f t="shared" si="2"/>
        <v>-0.26246418338108879</v>
      </c>
      <c r="J20" s="38" t="s">
        <v>316</v>
      </c>
      <c r="K20" s="38"/>
      <c r="L20" s="38"/>
    </row>
    <row r="21" spans="1:15" ht="15.6">
      <c r="A21" s="27" t="str">
        <v>98th &amp; Grant</v>
      </c>
      <c r="B21" s="28" t="str">
        <v>CO</v>
      </c>
      <c r="C21" s="10">
        <v>1043.99999999999</v>
      </c>
      <c r="D21" s="15" t="s">
        <v>202</v>
      </c>
      <c r="E21" s="15" t="str">
        <f t="shared" si="0"/>
        <v/>
      </c>
      <c r="F21" s="16" t="str">
        <f t="shared" si="3"/>
        <v/>
      </c>
      <c r="G21" s="17">
        <v>1080</v>
      </c>
      <c r="H21" s="17">
        <f t="shared" si="1"/>
        <v>-36.000000000010004</v>
      </c>
      <c r="I21" s="16">
        <f t="shared" si="2"/>
        <v>-3.3333333333342596E-2</v>
      </c>
      <c r="J21" s="39"/>
      <c r="K21" s="40"/>
      <c r="L21" s="40"/>
    </row>
    <row r="22" spans="1:15" ht="57.6">
      <c r="A22" s="25" t="str">
        <v>Arapahoe Crossings</v>
      </c>
      <c r="B22" s="26" t="str">
        <v>CO</v>
      </c>
      <c r="C22" s="21">
        <v>0</v>
      </c>
      <c r="D22" s="11" t="s">
        <v>202</v>
      </c>
      <c r="E22" s="11" t="str">
        <f t="shared" si="0"/>
        <v/>
      </c>
      <c r="F22" s="12" t="str">
        <f t="shared" si="3"/>
        <v/>
      </c>
      <c r="G22" s="13">
        <v>0</v>
      </c>
      <c r="H22" s="13">
        <f t="shared" si="1"/>
        <v>0</v>
      </c>
      <c r="I22" s="14" t="str">
        <f t="shared" si="2"/>
        <v/>
      </c>
      <c r="J22" s="38" t="s">
        <v>395</v>
      </c>
      <c r="K22" s="77" t="s">
        <v>396</v>
      </c>
      <c r="L22" s="38" t="s">
        <v>397</v>
      </c>
    </row>
    <row r="23" spans="1:15" ht="72">
      <c r="A23" s="27" t="str">
        <v>Aurora City Center</v>
      </c>
      <c r="B23" s="28" t="str">
        <v>CO</v>
      </c>
      <c r="C23" s="10">
        <v>569.10000000000605</v>
      </c>
      <c r="D23" s="15" t="s">
        <v>202</v>
      </c>
      <c r="E23" s="15" t="str">
        <f t="shared" si="0"/>
        <v/>
      </c>
      <c r="F23" s="16" t="str">
        <f t="shared" si="3"/>
        <v/>
      </c>
      <c r="G23" s="17">
        <v>990</v>
      </c>
      <c r="H23" s="17">
        <f t="shared" si="1"/>
        <v>-420.89999999999395</v>
      </c>
      <c r="I23" s="16">
        <f t="shared" si="2"/>
        <v>-0.42515151515150906</v>
      </c>
      <c r="J23" s="39" t="s">
        <v>316</v>
      </c>
      <c r="K23" s="40"/>
      <c r="L23" s="40"/>
    </row>
    <row r="24" spans="1:15" ht="28.9">
      <c r="A24" s="25" t="str">
        <v>Dry Creek</v>
      </c>
      <c r="B24" s="26" t="str">
        <v>CO</v>
      </c>
      <c r="C24" s="21">
        <v>749.80000000000302</v>
      </c>
      <c r="D24" s="11">
        <v>0</v>
      </c>
      <c r="E24" s="11">
        <f t="shared" si="0"/>
        <v>749.80000000000302</v>
      </c>
      <c r="F24" s="12" t="str">
        <f t="shared" si="3"/>
        <v/>
      </c>
      <c r="G24" s="13">
        <v>1163</v>
      </c>
      <c r="H24" s="13">
        <f t="shared" si="1"/>
        <v>-413.19999999999698</v>
      </c>
      <c r="I24" s="14">
        <f t="shared" si="2"/>
        <v>-0.35528804815133014</v>
      </c>
      <c r="J24" s="38" t="s">
        <v>399</v>
      </c>
      <c r="K24" s="77" t="s">
        <v>358</v>
      </c>
      <c r="L24" s="38" t="s">
        <v>394</v>
      </c>
    </row>
    <row r="25" spans="1:15" ht="72">
      <c r="A25" s="27" t="str">
        <v>Highlands Ranch S.</v>
      </c>
      <c r="B25" s="28" t="str">
        <v>CO</v>
      </c>
      <c r="C25" s="10">
        <v>896.90000000002306</v>
      </c>
      <c r="D25" s="15" t="s">
        <v>202</v>
      </c>
      <c r="E25" s="15" t="str">
        <f t="shared" si="0"/>
        <v/>
      </c>
      <c r="F25" s="16" t="str">
        <f t="shared" si="3"/>
        <v/>
      </c>
      <c r="G25" s="17">
        <v>1032</v>
      </c>
      <c r="H25" s="17">
        <f t="shared" si="1"/>
        <v>-135.09999999997694</v>
      </c>
      <c r="I25" s="16">
        <f t="shared" si="2"/>
        <v>-0.13091085271315595</v>
      </c>
      <c r="J25" s="39" t="s">
        <v>315</v>
      </c>
      <c r="K25" s="40"/>
      <c r="L25" s="40"/>
    </row>
    <row r="26" spans="1:15" ht="15.6">
      <c r="A26" s="25" t="str">
        <v>Lone Tree</v>
      </c>
      <c r="B26" s="26" t="str">
        <v>CO</v>
      </c>
      <c r="C26" s="21">
        <v>1222.19999999998</v>
      </c>
      <c r="D26" s="11" t="s">
        <v>202</v>
      </c>
      <c r="E26" s="11" t="str">
        <f t="shared" si="0"/>
        <v/>
      </c>
      <c r="F26" s="12" t="str">
        <f t="shared" si="3"/>
        <v/>
      </c>
      <c r="G26" s="13">
        <v>2382</v>
      </c>
      <c r="H26" s="13">
        <f t="shared" si="1"/>
        <v>-1159.80000000002</v>
      </c>
      <c r="I26" s="14">
        <f t="shared" si="2"/>
        <v>-0.48690176322418977</v>
      </c>
      <c r="J26" s="38" t="s">
        <v>210</v>
      </c>
      <c r="K26" s="77" t="s">
        <v>211</v>
      </c>
      <c r="L26" s="38" t="s">
        <v>360</v>
      </c>
    </row>
    <row r="27" spans="1:15" ht="15.6">
      <c r="A27" s="27" t="str">
        <v>Meridian</v>
      </c>
      <c r="B27" s="28" t="str">
        <v>CO</v>
      </c>
      <c r="C27" s="10">
        <v>1473.1000000000099</v>
      </c>
      <c r="D27" s="15" t="s">
        <v>202</v>
      </c>
      <c r="E27" s="15" t="str">
        <f t="shared" si="0"/>
        <v/>
      </c>
      <c r="F27" s="16" t="str">
        <f t="shared" si="3"/>
        <v/>
      </c>
      <c r="G27" s="17">
        <v>1424</v>
      </c>
      <c r="H27" s="17">
        <f t="shared" si="1"/>
        <v>49.100000000009913</v>
      </c>
      <c r="I27" s="16">
        <f t="shared" si="2"/>
        <v>3.4480337078658649E-2</v>
      </c>
      <c r="J27" s="39"/>
      <c r="K27" s="40"/>
      <c r="L27" s="40"/>
    </row>
    <row r="28" spans="1:15" ht="15.6">
      <c r="A28" s="25" t="str">
        <v>Southglenn</v>
      </c>
      <c r="B28" s="26" t="str">
        <v>CO</v>
      </c>
      <c r="C28" s="21">
        <v>1427.8</v>
      </c>
      <c r="D28" s="11" t="s">
        <v>202</v>
      </c>
      <c r="E28" s="11" t="str">
        <f t="shared" si="0"/>
        <v/>
      </c>
      <c r="F28" s="12" t="str">
        <f t="shared" si="3"/>
        <v/>
      </c>
      <c r="G28" s="13">
        <v>1499</v>
      </c>
      <c r="H28" s="13">
        <f t="shared" si="1"/>
        <v>-71.200000000000045</v>
      </c>
      <c r="I28" s="14">
        <f t="shared" si="2"/>
        <v>-4.7498332221481018E-2</v>
      </c>
      <c r="J28" s="38"/>
      <c r="K28" s="38"/>
      <c r="L28" s="38"/>
    </row>
    <row r="29" spans="1:15" ht="72">
      <c r="A29" s="27" t="str">
        <v>Standley Lake</v>
      </c>
      <c r="B29" s="28" t="str">
        <v>CO</v>
      </c>
      <c r="C29" s="10">
        <v>1944.3999999999901</v>
      </c>
      <c r="D29" s="15" t="s">
        <v>202</v>
      </c>
      <c r="E29" s="15" t="str">
        <f t="shared" si="0"/>
        <v/>
      </c>
      <c r="F29" s="16" t="str">
        <f t="shared" si="3"/>
        <v/>
      </c>
      <c r="G29" s="17">
        <v>1998</v>
      </c>
      <c r="H29" s="17">
        <f t="shared" si="1"/>
        <v>-53.600000000009913</v>
      </c>
      <c r="I29" s="16">
        <f t="shared" si="2"/>
        <v>-2.6826826826831789E-2</v>
      </c>
      <c r="J29" s="39" t="s">
        <v>316</v>
      </c>
      <c r="K29" s="40"/>
      <c r="L29" s="40"/>
    </row>
    <row r="30" spans="1:15" ht="15.6">
      <c r="A30" s="25" t="str">
        <v>Havana Gardens</v>
      </c>
      <c r="B30" s="26" t="str">
        <v>CO</v>
      </c>
      <c r="C30" s="21">
        <v>1513.1000000000099</v>
      </c>
      <c r="D30" s="11" t="s">
        <v>202</v>
      </c>
      <c r="E30" s="11" t="str">
        <f t="shared" si="0"/>
        <v/>
      </c>
      <c r="F30" s="12" t="str">
        <f t="shared" si="3"/>
        <v/>
      </c>
      <c r="G30" s="13">
        <v>783</v>
      </c>
      <c r="H30" s="13">
        <f t="shared" si="1"/>
        <v>730.10000000000991</v>
      </c>
      <c r="I30" s="14">
        <f t="shared" si="2"/>
        <v>0.9324393358876244</v>
      </c>
      <c r="J30" s="38"/>
      <c r="K30" s="38"/>
      <c r="L30" s="38"/>
    </row>
    <row r="31" spans="1:15" ht="28.9">
      <c r="A31" s="27" t="str">
        <v>East Hartford</v>
      </c>
      <c r="B31" s="28" t="str">
        <v>CT</v>
      </c>
      <c r="C31" s="10">
        <v>170.70000000000101</v>
      </c>
      <c r="D31" s="15">
        <v>299.04219999999998</v>
      </c>
      <c r="E31" s="15">
        <f t="shared" si="0"/>
        <v>-128.34219999999897</v>
      </c>
      <c r="F31" s="16">
        <f t="shared" si="3"/>
        <v>-0.42917755420472087</v>
      </c>
      <c r="G31" s="17">
        <v>255.1739</v>
      </c>
      <c r="H31" s="17">
        <f t="shared" si="1"/>
        <v>-84.473899999998991</v>
      </c>
      <c r="I31" s="16">
        <f t="shared" si="2"/>
        <v>-0.33104443675469547</v>
      </c>
      <c r="J31" s="39" t="s">
        <v>100</v>
      </c>
      <c r="K31" s="40"/>
      <c r="L31" s="40"/>
    </row>
    <row r="32" spans="1:15" ht="91.5" customHeight="1">
      <c r="A32" s="25" t="str">
        <v>Norwalk</v>
      </c>
      <c r="B32" s="26" t="str">
        <v>CT</v>
      </c>
      <c r="C32" s="21">
        <v>209</v>
      </c>
      <c r="D32" s="11">
        <v>0</v>
      </c>
      <c r="E32" s="11">
        <f t="shared" si="0"/>
        <v>209</v>
      </c>
      <c r="F32" s="12" t="str">
        <f t="shared" si="3"/>
        <v/>
      </c>
      <c r="G32" s="13">
        <v>299.16930000000002</v>
      </c>
      <c r="H32" s="13">
        <f t="shared" si="1"/>
        <v>-90.169300000000021</v>
      </c>
      <c r="I32" s="14">
        <f t="shared" si="2"/>
        <v>-0.30139890690655763</v>
      </c>
      <c r="J32" s="38" t="s">
        <v>256</v>
      </c>
      <c r="K32" s="77" t="s">
        <v>442</v>
      </c>
      <c r="L32" s="38" t="s">
        <v>405</v>
      </c>
      <c r="M32" s="78" t="s">
        <v>443</v>
      </c>
      <c r="N32" s="78" t="s">
        <v>362</v>
      </c>
      <c r="O32" s="78" t="s">
        <v>444</v>
      </c>
    </row>
    <row r="33" spans="1:12" ht="28.9">
      <c r="A33" s="27" t="str">
        <v>Hialeah Gardens</v>
      </c>
      <c r="B33" s="28" t="str">
        <v>FL</v>
      </c>
      <c r="C33" s="10">
        <v>631.09607064724003</v>
      </c>
      <c r="D33" s="15">
        <v>4718.8509999999997</v>
      </c>
      <c r="E33" s="15">
        <f t="shared" si="0"/>
        <v>-4087.7549293527595</v>
      </c>
      <c r="F33" s="16">
        <f t="shared" si="3"/>
        <v>-0.86626064890643073</v>
      </c>
      <c r="G33" s="17">
        <v>3154</v>
      </c>
      <c r="H33" s="17">
        <f t="shared" si="1"/>
        <v>-2522.9039293527599</v>
      </c>
      <c r="I33" s="16">
        <f t="shared" si="2"/>
        <v>-0.79990612852021559</v>
      </c>
      <c r="J33" s="39" t="s">
        <v>172</v>
      </c>
      <c r="K33" s="79" t="s">
        <v>402</v>
      </c>
      <c r="L33" s="251" t="s">
        <v>360</v>
      </c>
    </row>
    <row r="34" spans="1:12" ht="26.45">
      <c r="A34" s="25" t="str">
        <v>W. Des Moines Campus EAST</v>
      </c>
      <c r="B34" s="26" t="str">
        <v>IA</v>
      </c>
      <c r="C34" s="21">
        <v>61855.499999999098</v>
      </c>
      <c r="D34" s="11">
        <v>78930.990000000005</v>
      </c>
      <c r="E34" s="11">
        <f t="shared" si="0"/>
        <v>-17075.490000000907</v>
      </c>
      <c r="F34" s="12">
        <f t="shared" si="3"/>
        <v>-0.21633442073893799</v>
      </c>
      <c r="G34" s="13">
        <v>88400</v>
      </c>
      <c r="H34" s="13">
        <f t="shared" si="1"/>
        <v>-26544.500000000902</v>
      </c>
      <c r="I34" s="14">
        <f t="shared" si="2"/>
        <v>-0.30027714932127719</v>
      </c>
      <c r="J34" s="38" t="s">
        <v>363</v>
      </c>
      <c r="K34" s="77" t="s">
        <v>403</v>
      </c>
      <c r="L34" s="38" t="s">
        <v>360</v>
      </c>
    </row>
    <row r="35" spans="1:12" ht="57.6">
      <c r="A35" s="27" t="str">
        <v>W. Des Moines Campus SW</v>
      </c>
      <c r="B35" s="28" t="str">
        <v>IA</v>
      </c>
      <c r="C35" s="10">
        <v>28086</v>
      </c>
      <c r="D35" s="15">
        <v>45806.21</v>
      </c>
      <c r="E35" s="15">
        <f t="shared" si="0"/>
        <v>-17720.21</v>
      </c>
      <c r="F35" s="16">
        <f t="shared" si="3"/>
        <v>-0.38685169543605546</v>
      </c>
      <c r="G35" s="17">
        <v>47356.61</v>
      </c>
      <c r="H35" s="17">
        <f t="shared" si="1"/>
        <v>-19270.61</v>
      </c>
      <c r="I35" s="16">
        <f t="shared" si="2"/>
        <v>-0.40692545349001968</v>
      </c>
      <c r="J35" s="39" t="s">
        <v>445</v>
      </c>
      <c r="K35" s="79" t="s">
        <v>404</v>
      </c>
      <c r="L35" s="251" t="s">
        <v>446</v>
      </c>
    </row>
    <row r="36" spans="1:12" ht="28.9">
      <c r="A36" s="25" t="str">
        <v>WF - CIC</v>
      </c>
      <c r="B36" s="26" t="str">
        <v>NC</v>
      </c>
      <c r="C36" s="21">
        <v>91054</v>
      </c>
      <c r="D36" s="11">
        <v>90115.59</v>
      </c>
      <c r="E36" s="11">
        <f t="shared" si="0"/>
        <v>938.41000000000349</v>
      </c>
      <c r="F36" s="12">
        <f t="shared" si="3"/>
        <v>1.0413403496553742E-2</v>
      </c>
      <c r="G36" s="13">
        <v>107291</v>
      </c>
      <c r="H36" s="13">
        <f t="shared" si="1"/>
        <v>-16237</v>
      </c>
      <c r="I36" s="14">
        <f t="shared" si="2"/>
        <v>-0.15133608597179632</v>
      </c>
      <c r="J36" s="38" t="s">
        <v>447</v>
      </c>
      <c r="K36" s="38"/>
      <c r="L36" s="38"/>
    </row>
    <row r="37" spans="1:12" ht="15.6">
      <c r="A37" s="27" t="str">
        <v>Charlotte - Wells Fargo - DUC</v>
      </c>
      <c r="B37" s="28" t="str">
        <v>NC</v>
      </c>
      <c r="C37" s="10">
        <v>84131</v>
      </c>
      <c r="D37" s="15">
        <v>100076.2</v>
      </c>
      <c r="E37" s="15">
        <f t="shared" si="0"/>
        <v>-15945.199999999997</v>
      </c>
      <c r="F37" s="16">
        <f t="shared" si="3"/>
        <v>-0.15933059009035114</v>
      </c>
      <c r="G37" s="17">
        <v>111445.6</v>
      </c>
      <c r="H37" s="17">
        <f t="shared" si="1"/>
        <v>-27314.600000000006</v>
      </c>
      <c r="I37" s="16">
        <f t="shared" si="2"/>
        <v>-0.24509357031592099</v>
      </c>
      <c r="J37" s="39" t="s">
        <v>406</v>
      </c>
      <c r="K37" s="40"/>
      <c r="L37" s="40"/>
    </row>
    <row r="38" spans="1:12" ht="15.6">
      <c r="A38" s="25" t="str">
        <v>East Windsor</v>
      </c>
      <c r="B38" s="26" t="str">
        <v>NJ</v>
      </c>
      <c r="C38" s="21">
        <v>340.59999999999098</v>
      </c>
      <c r="D38" s="11">
        <v>446.35550000000001</v>
      </c>
      <c r="E38" s="11">
        <f t="shared" si="0"/>
        <v>-105.75550000000902</v>
      </c>
      <c r="F38" s="12">
        <f t="shared" si="3"/>
        <v>-0.23693110088261268</v>
      </c>
      <c r="G38" s="13">
        <v>374.1551</v>
      </c>
      <c r="H38" s="13">
        <f t="shared" si="1"/>
        <v>-33.55510000000902</v>
      </c>
      <c r="I38" s="14">
        <f t="shared" si="2"/>
        <v>-8.9682326928081479E-2</v>
      </c>
      <c r="J38" s="38"/>
      <c r="K38" s="38"/>
      <c r="L38" s="38"/>
    </row>
    <row r="39" spans="1:12" ht="15.6">
      <c r="A39" s="27" t="str">
        <v>Burlington</v>
      </c>
      <c r="B39" s="28" t="str">
        <v>NJ</v>
      </c>
      <c r="C39" s="10">
        <v>1003.29999999999</v>
      </c>
      <c r="D39" s="15">
        <v>930.57299999999998</v>
      </c>
      <c r="E39" s="15">
        <f t="shared" si="0"/>
        <v>72.726999999989971</v>
      </c>
      <c r="F39" s="16">
        <f t="shared" si="3"/>
        <v>7.8152922984000145E-2</v>
      </c>
      <c r="G39" s="17">
        <v>940.58280000000002</v>
      </c>
      <c r="H39" s="17">
        <f t="shared" si="1"/>
        <v>62.71719999998993</v>
      </c>
      <c r="I39" s="16">
        <f t="shared" si="2"/>
        <v>6.6679084499514485E-2</v>
      </c>
      <c r="J39" s="39"/>
      <c r="K39" s="40"/>
      <c r="L39" s="40"/>
    </row>
    <row r="40" spans="1:12" ht="28.9">
      <c r="A40" s="25" t="str">
        <v>Bayonne</v>
      </c>
      <c r="B40" s="26" t="str">
        <v>NJ</v>
      </c>
      <c r="C40" s="21">
        <v>0</v>
      </c>
      <c r="D40" s="11">
        <v>0</v>
      </c>
      <c r="E40" s="11">
        <f t="shared" si="0"/>
        <v>0</v>
      </c>
      <c r="F40" s="12" t="str">
        <f t="shared" si="3"/>
        <v/>
      </c>
      <c r="G40" s="13">
        <v>0</v>
      </c>
      <c r="H40" s="13">
        <f t="shared" si="1"/>
        <v>0</v>
      </c>
      <c r="I40" s="14" t="str">
        <f t="shared" si="2"/>
        <v/>
      </c>
      <c r="J40" s="38" t="s">
        <v>407</v>
      </c>
      <c r="K40" s="77" t="s">
        <v>408</v>
      </c>
      <c r="L40" s="38" t="s">
        <v>394</v>
      </c>
    </row>
    <row r="41" spans="1:12" ht="28.9">
      <c r="A41" s="27" t="str">
        <v>Clifton</v>
      </c>
      <c r="B41" s="28" t="str">
        <v>NJ</v>
      </c>
      <c r="C41" s="10">
        <v>1151.1210156250199</v>
      </c>
      <c r="D41" s="15">
        <v>1612.8330000000001</v>
      </c>
      <c r="E41" s="15">
        <f t="shared" si="0"/>
        <v>-461.71198437498015</v>
      </c>
      <c r="F41" s="16">
        <f t="shared" si="3"/>
        <v>-0.28627389467786196</v>
      </c>
      <c r="G41" s="17">
        <v>2122.1970000000001</v>
      </c>
      <c r="H41" s="17">
        <f t="shared" si="1"/>
        <v>-971.07598437498018</v>
      </c>
      <c r="I41" s="16">
        <f t="shared" si="2"/>
        <v>-0.45758050943196138</v>
      </c>
      <c r="J41" s="39" t="s">
        <v>410</v>
      </c>
      <c r="K41" s="40"/>
      <c r="L41" s="40"/>
    </row>
    <row r="42" spans="1:12" ht="15.6">
      <c r="A42" s="25" t="str">
        <v>North Elizabeth</v>
      </c>
      <c r="B42" s="26" t="str">
        <v>NJ</v>
      </c>
      <c r="C42" s="21">
        <v>1009.8</v>
      </c>
      <c r="D42" s="11">
        <v>920.19529999999997</v>
      </c>
      <c r="E42" s="11">
        <f t="shared" si="0"/>
        <v>89.60469999999998</v>
      </c>
      <c r="F42" s="12">
        <f t="shared" si="3"/>
        <v>9.7375741866971052E-2</v>
      </c>
      <c r="G42" s="13">
        <v>1101.6310000000001</v>
      </c>
      <c r="H42" s="13">
        <f t="shared" si="1"/>
        <v>-91.831000000000131</v>
      </c>
      <c r="I42" s="14">
        <f t="shared" si="2"/>
        <v>-8.3359128419588882E-2</v>
      </c>
      <c r="J42" s="38"/>
      <c r="K42" s="38"/>
      <c r="L42" s="38"/>
    </row>
    <row r="43" spans="1:12" ht="28.9">
      <c r="A43" s="27" t="str">
        <v>Haddon Westmont Plaza</v>
      </c>
      <c r="B43" s="28" t="str">
        <v>NJ</v>
      </c>
      <c r="C43" s="10">
        <v>636.19999999999698</v>
      </c>
      <c r="D43" s="15">
        <v>885.11069999999995</v>
      </c>
      <c r="E43" s="15">
        <f t="shared" si="0"/>
        <v>-248.91070000000298</v>
      </c>
      <c r="F43" s="16">
        <f t="shared" si="3"/>
        <v>-0.28121985193490823</v>
      </c>
      <c r="G43" s="17">
        <v>832.38819999999998</v>
      </c>
      <c r="H43" s="17">
        <f t="shared" si="1"/>
        <v>-196.18820000000301</v>
      </c>
      <c r="I43" s="16">
        <f t="shared" si="2"/>
        <v>-0.23569315374725761</v>
      </c>
      <c r="J43" s="39" t="s">
        <v>448</v>
      </c>
      <c r="K43" s="40"/>
      <c r="L43" s="40"/>
    </row>
    <row r="44" spans="1:12" ht="28.9">
      <c r="A44" s="25" t="str">
        <v>Parsippany</v>
      </c>
      <c r="B44" s="26" t="str">
        <v>NJ</v>
      </c>
      <c r="C44" s="21">
        <v>869.59999999999104</v>
      </c>
      <c r="D44" s="11">
        <v>1230.857</v>
      </c>
      <c r="E44" s="11">
        <f t="shared" si="0"/>
        <v>-361.25700000000893</v>
      </c>
      <c r="F44" s="12">
        <f t="shared" si="3"/>
        <v>-0.29350038225399777</v>
      </c>
      <c r="G44" s="13">
        <v>897.57950000000005</v>
      </c>
      <c r="H44" s="13">
        <f t="shared" si="1"/>
        <v>-27.979500000009011</v>
      </c>
      <c r="I44" s="14">
        <f t="shared" si="2"/>
        <v>-3.1172169150486401E-2</v>
      </c>
      <c r="J44" s="38" t="s">
        <v>449</v>
      </c>
      <c r="K44" s="38"/>
      <c r="L44" s="38"/>
    </row>
    <row r="45" spans="1:12" ht="15.6">
      <c r="A45" s="27" t="str">
        <v>Clark</v>
      </c>
      <c r="B45" s="28" t="str">
        <v>NJ</v>
      </c>
      <c r="C45" s="10">
        <v>746.60000000000605</v>
      </c>
      <c r="D45" s="15">
        <v>868.77710000000002</v>
      </c>
      <c r="E45" s="15">
        <f t="shared" si="0"/>
        <v>-122.17709999999397</v>
      </c>
      <c r="F45" s="16">
        <f t="shared" si="3"/>
        <v>-0.14063112390968174</v>
      </c>
      <c r="G45" s="17">
        <v>764.19690000000003</v>
      </c>
      <c r="H45" s="17">
        <f t="shared" si="1"/>
        <v>-17.59689999999398</v>
      </c>
      <c r="I45" s="16">
        <f t="shared" si="2"/>
        <v>-2.3026657135083877E-2</v>
      </c>
      <c r="J45" s="39"/>
      <c r="K45" s="40"/>
      <c r="L45" s="40"/>
    </row>
    <row r="46" spans="1:12" ht="28.9">
      <c r="A46" s="25" t="str">
        <v>Closter</v>
      </c>
      <c r="B46" s="26" t="str">
        <v>NJ</v>
      </c>
      <c r="C46" s="21">
        <v>138</v>
      </c>
      <c r="D46" s="11">
        <v>187.26050000000001</v>
      </c>
      <c r="E46" s="11">
        <f t="shared" si="0"/>
        <v>-49.260500000000008</v>
      </c>
      <c r="F46" s="12">
        <f t="shared" si="3"/>
        <v>-0.26305868028762075</v>
      </c>
      <c r="G46" s="13">
        <v>374.82330000000002</v>
      </c>
      <c r="H46" s="13">
        <f t="shared" si="1"/>
        <v>-236.82330000000002</v>
      </c>
      <c r="I46" s="14">
        <f t="shared" si="2"/>
        <v>-0.63182651665464773</v>
      </c>
      <c r="J46" s="38" t="s">
        <v>450</v>
      </c>
      <c r="K46" s="38"/>
      <c r="L46" s="38"/>
    </row>
    <row r="47" spans="1:12" ht="15.6">
      <c r="A47" s="27" t="str">
        <v>Holmdel</v>
      </c>
      <c r="B47" s="28" t="str">
        <v>NJ</v>
      </c>
      <c r="C47" s="10">
        <v>239.49985383232701</v>
      </c>
      <c r="D47" s="15">
        <v>1623.28</v>
      </c>
      <c r="E47" s="15">
        <f t="shared" si="0"/>
        <v>-1383.7801461676729</v>
      </c>
      <c r="F47" s="16">
        <f t="shared" si="3"/>
        <v>-0.85245930841732354</v>
      </c>
      <c r="G47" s="17">
        <v>632.08309999999994</v>
      </c>
      <c r="H47" s="17">
        <f t="shared" si="1"/>
        <v>-392.58324616767294</v>
      </c>
      <c r="I47" s="16">
        <f t="shared" si="2"/>
        <v>-0.62109435637129518</v>
      </c>
      <c r="J47" s="90" t="s">
        <v>451</v>
      </c>
      <c r="K47" s="79" t="s">
        <v>414</v>
      </c>
      <c r="L47" s="90" t="s">
        <v>360</v>
      </c>
    </row>
    <row r="48" spans="1:12" ht="28.9">
      <c r="A48" s="25" t="str">
        <v>Ellisburg Circle Center</v>
      </c>
      <c r="B48" s="26" t="str">
        <v>NJ</v>
      </c>
      <c r="C48" s="21">
        <v>302.69999999999698</v>
      </c>
      <c r="D48" s="11">
        <v>429.74740000000003</v>
      </c>
      <c r="E48" s="11">
        <f t="shared" si="0"/>
        <v>-127.04740000000305</v>
      </c>
      <c r="F48" s="12">
        <f t="shared" si="3"/>
        <v>-0.2956327368123764</v>
      </c>
      <c r="G48" s="13">
        <v>380.96660000000003</v>
      </c>
      <c r="H48" s="13">
        <f t="shared" si="1"/>
        <v>-78.266600000003052</v>
      </c>
      <c r="I48" s="14">
        <f t="shared" si="2"/>
        <v>-0.20544215687150277</v>
      </c>
      <c r="J48" s="38" t="s">
        <v>100</v>
      </c>
      <c r="K48" s="38"/>
      <c r="L48" s="38"/>
    </row>
    <row r="49" spans="1:12" ht="72">
      <c r="A49" s="27" t="str">
        <v>Nutley</v>
      </c>
      <c r="B49" s="28" t="str">
        <v>NJ</v>
      </c>
      <c r="C49" s="10">
        <v>1170.1000000000099</v>
      </c>
      <c r="D49" s="15">
        <v>1251.097</v>
      </c>
      <c r="E49" s="15">
        <f t="shared" si="0"/>
        <v>-80.996999999990066</v>
      </c>
      <c r="F49" s="16">
        <f t="shared" si="3"/>
        <v>-6.4740783488402634E-2</v>
      </c>
      <c r="G49" s="17">
        <v>1354.4449999999999</v>
      </c>
      <c r="H49" s="17">
        <f t="shared" si="1"/>
        <v>-184.34499999999002</v>
      </c>
      <c r="I49" s="16">
        <f t="shared" si="2"/>
        <v>-0.1361037177589271</v>
      </c>
      <c r="J49" s="39" t="s">
        <v>315</v>
      </c>
      <c r="K49" s="40"/>
      <c r="L49" s="40"/>
    </row>
    <row r="50" spans="1:12" ht="15.6">
      <c r="A50" s="25" t="str">
        <v>Marlton</v>
      </c>
      <c r="B50" s="26" t="str">
        <v>NJ</v>
      </c>
      <c r="C50" s="21">
        <v>1353</v>
      </c>
      <c r="D50" s="11">
        <v>1118.308</v>
      </c>
      <c r="E50" s="11">
        <f t="shared" si="0"/>
        <v>234.69200000000001</v>
      </c>
      <c r="F50" s="12">
        <f t="shared" si="3"/>
        <v>0.20986347231710764</v>
      </c>
      <c r="G50" s="13">
        <v>1443.79</v>
      </c>
      <c r="H50" s="13">
        <f t="shared" si="1"/>
        <v>-90.789999999999964</v>
      </c>
      <c r="I50" s="14">
        <f t="shared" si="2"/>
        <v>-6.2883106268917202E-2</v>
      </c>
      <c r="J50" s="38"/>
      <c r="K50" s="38"/>
      <c r="L50" s="38"/>
    </row>
    <row r="51" spans="1:12" ht="15.6">
      <c r="A51" s="27" t="str">
        <v>Middletown</v>
      </c>
      <c r="B51" s="28" t="str">
        <v>NJ</v>
      </c>
      <c r="C51" s="10">
        <v>1452.1000000000099</v>
      </c>
      <c r="D51" s="15">
        <v>1089.047</v>
      </c>
      <c r="E51" s="15">
        <f t="shared" si="0"/>
        <v>363.05300000000989</v>
      </c>
      <c r="F51" s="16">
        <f t="shared" si="3"/>
        <v>0.33336761406992527</v>
      </c>
      <c r="G51" s="17">
        <v>1309.4159999999999</v>
      </c>
      <c r="H51" s="17">
        <f t="shared" si="1"/>
        <v>142.68400000000997</v>
      </c>
      <c r="I51" s="16">
        <f t="shared" si="2"/>
        <v>0.10896766191951983</v>
      </c>
      <c r="J51" s="39"/>
      <c r="K51" s="40"/>
      <c r="L51" s="40"/>
    </row>
    <row r="52" spans="1:12" ht="15.6">
      <c r="A52" s="25" t="str">
        <v>Whiting Crestwood</v>
      </c>
      <c r="B52" s="26" t="str">
        <v>NJ</v>
      </c>
      <c r="C52" s="21">
        <v>2100.8000000000202</v>
      </c>
      <c r="D52" s="11">
        <v>2288.9450000000002</v>
      </c>
      <c r="E52" s="11">
        <f t="shared" si="0"/>
        <v>-188.14499999997997</v>
      </c>
      <c r="F52" s="12">
        <f t="shared" si="3"/>
        <v>-8.2197256814812047E-2</v>
      </c>
      <c r="G52" s="13">
        <v>2289.6019999999999</v>
      </c>
      <c r="H52" s="13">
        <f t="shared" si="1"/>
        <v>-188.80199999997967</v>
      </c>
      <c r="I52" s="14">
        <f t="shared" si="2"/>
        <v>-8.2460619793300188E-2</v>
      </c>
      <c r="J52" s="38"/>
      <c r="K52" s="38"/>
      <c r="L52" s="38"/>
    </row>
    <row r="53" spans="1:12" ht="15.6">
      <c r="A53" s="27" t="str">
        <v>Barnegat</v>
      </c>
      <c r="B53" s="28" t="str">
        <v>NJ</v>
      </c>
      <c r="C53" s="10">
        <v>1880.46875</v>
      </c>
      <c r="D53" s="15">
        <v>1639.037</v>
      </c>
      <c r="E53" s="15">
        <f t="shared" si="0"/>
        <v>241.43174999999997</v>
      </c>
      <c r="F53" s="16">
        <f t="shared" si="3"/>
        <v>0.1473009761219545</v>
      </c>
      <c r="G53" s="17">
        <v>1849.231</v>
      </c>
      <c r="H53" s="17">
        <f t="shared" si="1"/>
        <v>31.237750000000005</v>
      </c>
      <c r="I53" s="16">
        <f t="shared" si="2"/>
        <v>1.6892291985154913E-2</v>
      </c>
      <c r="J53" s="39"/>
      <c r="K53" s="40"/>
      <c r="L53" s="40"/>
    </row>
    <row r="54" spans="1:12" ht="28.9">
      <c r="A54" s="25" t="str">
        <v>Manchester</v>
      </c>
      <c r="B54" s="26" t="str">
        <v>NJ</v>
      </c>
      <c r="C54" s="21">
        <v>1251.49999999999</v>
      </c>
      <c r="D54" s="11">
        <v>1328.143</v>
      </c>
      <c r="E54" s="11">
        <f t="shared" si="0"/>
        <v>-76.643000000010034</v>
      </c>
      <c r="F54" s="12">
        <f t="shared" si="3"/>
        <v>-5.770688849017766E-2</v>
      </c>
      <c r="G54" s="13">
        <v>2112.6709999999998</v>
      </c>
      <c r="H54" s="13">
        <f t="shared" si="1"/>
        <v>-861.17100000000983</v>
      </c>
      <c r="I54" s="14">
        <f t="shared" si="2"/>
        <v>-0.40762191557512262</v>
      </c>
      <c r="J54" s="38" t="s">
        <v>100</v>
      </c>
      <c r="K54" s="38"/>
      <c r="L54" s="38"/>
    </row>
    <row r="55" spans="1:12" ht="15.6">
      <c r="A55" s="27" t="str">
        <v>West Deptford - Woodbury</v>
      </c>
      <c r="B55" s="28" t="str">
        <v>NJ</v>
      </c>
      <c r="C55" s="10">
        <v>1824.30000000002</v>
      </c>
      <c r="D55" s="15">
        <v>1692.528</v>
      </c>
      <c r="E55" s="15">
        <f t="shared" si="0"/>
        <v>131.77200000001994</v>
      </c>
      <c r="F55" s="16">
        <f t="shared" si="3"/>
        <v>7.7855137403942468E-2</v>
      </c>
      <c r="G55" s="17">
        <v>1647.2840000000001</v>
      </c>
      <c r="H55" s="17">
        <f t="shared" si="1"/>
        <v>177.01600000001986</v>
      </c>
      <c r="I55" s="16">
        <f t="shared" si="2"/>
        <v>0.1074593087773692</v>
      </c>
      <c r="J55" s="90"/>
      <c r="K55" s="70"/>
      <c r="L55" s="70"/>
    </row>
    <row r="56" spans="1:12" ht="15.6">
      <c r="A56" s="25" t="str">
        <v>Edison</v>
      </c>
      <c r="B56" s="26" t="str">
        <v>NJ</v>
      </c>
      <c r="C56" s="21">
        <v>1314.8999999999901</v>
      </c>
      <c r="D56" s="11">
        <v>1096.752</v>
      </c>
      <c r="E56" s="11">
        <f t="shared" si="0"/>
        <v>218.14799999999013</v>
      </c>
      <c r="F56" s="12">
        <f t="shared" si="3"/>
        <v>0.1989036719331172</v>
      </c>
      <c r="G56" s="13">
        <v>1329.5650000000001</v>
      </c>
      <c r="H56" s="13">
        <f t="shared" si="1"/>
        <v>-14.665000000009968</v>
      </c>
      <c r="I56" s="14">
        <f t="shared" si="2"/>
        <v>-1.1029923320792867E-2</v>
      </c>
      <c r="J56" s="38"/>
      <c r="K56" s="38"/>
      <c r="L56" s="38"/>
    </row>
    <row r="57" spans="1:12" ht="28.9">
      <c r="A57" s="27" t="str">
        <v>Flemington</v>
      </c>
      <c r="B57" s="28" t="str">
        <v>NJ</v>
      </c>
      <c r="C57" s="10">
        <v>1007.40000000001</v>
      </c>
      <c r="D57" s="15">
        <v>1102.73</v>
      </c>
      <c r="E57" s="15">
        <f t="shared" si="0"/>
        <v>-95.329999999990036</v>
      </c>
      <c r="F57" s="16">
        <f t="shared" si="3"/>
        <v>-8.6449085451552082E-2</v>
      </c>
      <c r="G57" s="17">
        <v>1131.54</v>
      </c>
      <c r="H57" s="17">
        <f t="shared" si="1"/>
        <v>-124.13999999998998</v>
      </c>
      <c r="I57" s="16">
        <f t="shared" si="2"/>
        <v>-0.10970889230605192</v>
      </c>
      <c r="J57" s="39" t="s">
        <v>100</v>
      </c>
      <c r="K57" s="40"/>
      <c r="L57" s="40"/>
    </row>
    <row r="58" spans="1:12" ht="28.9">
      <c r="A58" s="25" t="str">
        <v>Route 22</v>
      </c>
      <c r="B58" s="26" t="str">
        <v>NJ</v>
      </c>
      <c r="C58" s="21">
        <v>1199.1000000000099</v>
      </c>
      <c r="D58" s="11">
        <v>1535.2270000000001</v>
      </c>
      <c r="E58" s="11">
        <f t="shared" si="0"/>
        <v>-336.12699999999018</v>
      </c>
      <c r="F58" s="12">
        <f t="shared" si="3"/>
        <v>-0.21894286642951835</v>
      </c>
      <c r="G58" s="13">
        <v>1149.71</v>
      </c>
      <c r="H58" s="13">
        <f t="shared" si="1"/>
        <v>49.390000000009877</v>
      </c>
      <c r="I58" s="14">
        <f t="shared" si="2"/>
        <v>4.2958659140139577E-2</v>
      </c>
      <c r="J58" s="38" t="s">
        <v>100</v>
      </c>
      <c r="K58" s="38"/>
      <c r="L58" s="38"/>
    </row>
    <row r="59" spans="1:12" ht="15.6">
      <c r="A59" s="27" t="str">
        <v>Laurelton</v>
      </c>
      <c r="B59" s="28" t="str">
        <v>NJ</v>
      </c>
      <c r="C59" s="250" t="s">
        <v>202</v>
      </c>
      <c r="D59" s="15" t="s">
        <v>202</v>
      </c>
      <c r="E59" s="15" t="str">
        <f t="shared" si="0"/>
        <v/>
      </c>
      <c r="F59" s="16" t="str">
        <f t="shared" si="3"/>
        <v/>
      </c>
      <c r="G59" s="89" t="s">
        <v>202</v>
      </c>
      <c r="H59" s="17" t="str">
        <f t="shared" si="1"/>
        <v/>
      </c>
      <c r="I59" s="16" t="str">
        <f t="shared" si="2"/>
        <v/>
      </c>
      <c r="J59" s="39" t="s">
        <v>375</v>
      </c>
      <c r="K59" s="84" t="s">
        <v>376</v>
      </c>
      <c r="L59" s="40" t="s">
        <v>360</v>
      </c>
    </row>
    <row r="60" spans="1:12" ht="43.15">
      <c r="A60" s="25" t="str">
        <v>Mahwah</v>
      </c>
      <c r="B60" s="26" t="str">
        <v>NJ</v>
      </c>
      <c r="C60" s="21">
        <v>704.5</v>
      </c>
      <c r="D60" s="11">
        <v>550.41129999999998</v>
      </c>
      <c r="E60" s="11">
        <f t="shared" si="0"/>
        <v>154.08870000000002</v>
      </c>
      <c r="F60" s="12">
        <f t="shared" si="3"/>
        <v>0.27995191959176713</v>
      </c>
      <c r="G60" s="13">
        <v>815.38779999999997</v>
      </c>
      <c r="H60" s="13">
        <f t="shared" si="1"/>
        <v>-110.88779999999997</v>
      </c>
      <c r="I60" s="14">
        <f t="shared" si="2"/>
        <v>-0.13599394055196801</v>
      </c>
      <c r="J60" s="38" t="s">
        <v>187</v>
      </c>
      <c r="K60" s="77" t="s">
        <v>329</v>
      </c>
      <c r="L60" s="38" t="s">
        <v>360</v>
      </c>
    </row>
    <row r="61" spans="1:12" ht="72">
      <c r="A61" s="27" t="str">
        <v>Franklin Township WF</v>
      </c>
      <c r="B61" s="28" t="str">
        <v>NJ</v>
      </c>
      <c r="C61" s="10">
        <v>939.90000000000896</v>
      </c>
      <c r="D61" s="15">
        <v>992.95309999999995</v>
      </c>
      <c r="E61" s="15">
        <f t="shared" si="0"/>
        <v>-53.053099999990991</v>
      </c>
      <c r="F61" s="16">
        <f t="shared" si="3"/>
        <v>-5.3429613140833131E-2</v>
      </c>
      <c r="G61" s="17">
        <v>1463.086</v>
      </c>
      <c r="H61" s="17">
        <f t="shared" si="1"/>
        <v>-523.18599999999105</v>
      </c>
      <c r="I61" s="16">
        <f t="shared" si="2"/>
        <v>-0.35759073629300742</v>
      </c>
      <c r="J61" s="39" t="s">
        <v>315</v>
      </c>
      <c r="K61" s="40"/>
      <c r="L61" s="40"/>
    </row>
    <row r="62" spans="1:12" ht="15.6">
      <c r="A62" s="25" t="str">
        <v>Bordentown</v>
      </c>
      <c r="B62" s="26" t="str">
        <v>NJ</v>
      </c>
      <c r="C62" s="21">
        <v>1038.8</v>
      </c>
      <c r="D62" s="11">
        <v>819.91830000000004</v>
      </c>
      <c r="E62" s="11">
        <f t="shared" si="0"/>
        <v>218.88169999999991</v>
      </c>
      <c r="F62" s="12">
        <f t="shared" si="3"/>
        <v>0.26695550032241006</v>
      </c>
      <c r="G62" s="13">
        <v>1006.034</v>
      </c>
      <c r="H62" s="13">
        <f t="shared" si="1"/>
        <v>32.765999999999963</v>
      </c>
      <c r="I62" s="14">
        <f t="shared" si="2"/>
        <v>3.2569475783124587E-2</v>
      </c>
      <c r="J62" s="38"/>
      <c r="K62" s="38"/>
      <c r="L62" s="38"/>
    </row>
    <row r="63" spans="1:12" ht="15.6">
      <c r="A63" s="27" t="str">
        <v>South Plainfield</v>
      </c>
      <c r="B63" s="28" t="str">
        <v>NJ</v>
      </c>
      <c r="C63" s="10">
        <v>591.89999999998702</v>
      </c>
      <c r="D63" s="15">
        <v>559.63990000000001</v>
      </c>
      <c r="E63" s="15">
        <f t="shared" si="0"/>
        <v>32.260099999987006</v>
      </c>
      <c r="F63" s="16">
        <f t="shared" si="3"/>
        <v>5.7644388829293632E-2</v>
      </c>
      <c r="G63" s="17">
        <v>598.99459999999999</v>
      </c>
      <c r="H63" s="17">
        <f t="shared" si="1"/>
        <v>-7.0946000000129743</v>
      </c>
      <c r="I63" s="16">
        <f t="shared" si="2"/>
        <v>-1.1844180231362644E-2</v>
      </c>
      <c r="J63" s="54"/>
      <c r="K63" s="40"/>
      <c r="L63" s="40"/>
    </row>
    <row r="64" spans="1:12" ht="28.9">
      <c r="A64" s="25" t="str">
        <v>Somerset</v>
      </c>
      <c r="B64" s="26" t="str">
        <v>NJ</v>
      </c>
      <c r="C64" s="21">
        <v>903.60000000000605</v>
      </c>
      <c r="D64" s="11">
        <v>1160.356</v>
      </c>
      <c r="E64" s="11">
        <f t="shared" si="0"/>
        <v>-256.75599999999395</v>
      </c>
      <c r="F64" s="12">
        <f t="shared" si="3"/>
        <v>-0.22127347124502647</v>
      </c>
      <c r="G64" s="13">
        <v>967.9008</v>
      </c>
      <c r="H64" s="13">
        <f t="shared" si="1"/>
        <v>-64.300799999993956</v>
      </c>
      <c r="I64" s="14">
        <f t="shared" si="2"/>
        <v>-6.6433254316965076E-2</v>
      </c>
      <c r="J64" s="38" t="s">
        <v>100</v>
      </c>
      <c r="K64" s="38"/>
      <c r="L64" s="38"/>
    </row>
    <row r="65" spans="1:12" ht="43.15">
      <c r="A65" s="27" t="str">
        <v>Clinton Main Relo</v>
      </c>
      <c r="B65" s="28" t="str">
        <v>NJ</v>
      </c>
      <c r="C65" s="10">
        <v>788.69500000000005</v>
      </c>
      <c r="D65" s="15">
        <v>1182.1880000000001</v>
      </c>
      <c r="E65" s="15">
        <f t="shared" si="0"/>
        <v>-393.49300000000005</v>
      </c>
      <c r="F65" s="16">
        <f t="shared" si="3"/>
        <v>-0.33285145848206887</v>
      </c>
      <c r="G65" s="17">
        <v>1049.171</v>
      </c>
      <c r="H65" s="17">
        <f t="shared" si="1"/>
        <v>-260.476</v>
      </c>
      <c r="I65" s="16">
        <f t="shared" si="2"/>
        <v>-0.24826839476119716</v>
      </c>
      <c r="J65" s="39" t="s">
        <v>452</v>
      </c>
      <c r="K65" s="40"/>
      <c r="L65" s="40"/>
    </row>
    <row r="66" spans="1:12" ht="28.9">
      <c r="A66" s="25" t="str">
        <v>North Brunswick</v>
      </c>
      <c r="B66" s="26" t="str">
        <v>NJ</v>
      </c>
      <c r="C66" s="21">
        <v>1039.6000000000099</v>
      </c>
      <c r="D66" s="11">
        <v>967.33749999999998</v>
      </c>
      <c r="E66" s="11">
        <f t="shared" si="0"/>
        <v>72.262500000009936</v>
      </c>
      <c r="F66" s="12">
        <f t="shared" si="3"/>
        <v>7.4702469407016622E-2</v>
      </c>
      <c r="G66" s="13">
        <v>1184.94</v>
      </c>
      <c r="H66" s="13">
        <f t="shared" si="1"/>
        <v>-145.33999999999014</v>
      </c>
      <c r="I66" s="14">
        <f t="shared" si="2"/>
        <v>-0.12265599945987994</v>
      </c>
      <c r="J66" s="38" t="s">
        <v>100</v>
      </c>
      <c r="K66" s="38"/>
      <c r="L66" s="38"/>
    </row>
    <row r="67" spans="1:12" ht="28.9">
      <c r="A67" s="27" t="str">
        <v>Cherry Hill</v>
      </c>
      <c r="B67" s="28" t="str">
        <v>NJ</v>
      </c>
      <c r="C67" s="10">
        <v>734.5</v>
      </c>
      <c r="D67" s="15">
        <v>936.57749999999999</v>
      </c>
      <c r="E67" s="15">
        <f t="shared" si="0"/>
        <v>-202.07749999999999</v>
      </c>
      <c r="F67" s="16">
        <f t="shared" si="3"/>
        <v>-0.21576164278983853</v>
      </c>
      <c r="G67" s="17">
        <v>820.05740000000003</v>
      </c>
      <c r="H67" s="17">
        <f t="shared" si="1"/>
        <v>-85.55740000000003</v>
      </c>
      <c r="I67" s="16">
        <f t="shared" si="2"/>
        <v>-0.1043309895136609</v>
      </c>
      <c r="J67" s="39" t="s">
        <v>100</v>
      </c>
      <c r="K67" s="40"/>
      <c r="L67" s="40"/>
    </row>
    <row r="68" spans="1:12" ht="15.6">
      <c r="A68" s="25" t="str">
        <v>Hainesport</v>
      </c>
      <c r="B68" s="26" t="str">
        <v>NJ</v>
      </c>
      <c r="C68" s="21">
        <v>975.40000000000896</v>
      </c>
      <c r="D68" s="11">
        <v>971.50840000000005</v>
      </c>
      <c r="E68" s="11">
        <f>IF(AND(ISNUMBER(C68),ISNUMBER(D68)), C68-D68, "")</f>
        <v>3.891600000008907</v>
      </c>
      <c r="F68" s="12">
        <f>IFERROR(E68/D68, "")</f>
        <v>4.0057296468140749E-3</v>
      </c>
      <c r="G68" s="13">
        <v>871.26819999999998</v>
      </c>
      <c r="H68" s="13">
        <f>IF(AND(ISNUMBER(C68),ISNUMBER(G68)), C68-G68, "")</f>
        <v>104.13180000000898</v>
      </c>
      <c r="I68" s="14">
        <f>IFERROR(H68/G68, "")</f>
        <v>0.1195175033359521</v>
      </c>
      <c r="J68" s="69"/>
      <c r="K68" s="69"/>
      <c r="L68" s="69"/>
    </row>
    <row r="69" spans="1:12" ht="28.9">
      <c r="A69" s="27" t="str">
        <v>San Antonio - Ops Ctr (Bldg 106)</v>
      </c>
      <c r="B69" s="28" t="str">
        <v>TX</v>
      </c>
      <c r="C69" s="10">
        <v>21839.375</v>
      </c>
      <c r="D69" s="15">
        <v>28473.82</v>
      </c>
      <c r="E69" s="15">
        <f t="shared" ref="E69:E90" si="4">IF(AND(ISNUMBER(C69),ISNUMBER(D69)), C69-D69, "")</f>
        <v>-6634.4449999999997</v>
      </c>
      <c r="F69" s="16">
        <f>IFERROR(E69/D69, "")</f>
        <v>-0.23300157829191867</v>
      </c>
      <c r="G69" s="17">
        <v>31812.95</v>
      </c>
      <c r="H69" s="17">
        <f t="shared" ref="H69:H90" si="5">IF(AND(ISNUMBER(C69),ISNUMBER(G69)), C69-G69, "")</f>
        <v>-9973.5750000000007</v>
      </c>
      <c r="I69" s="16">
        <f t="shared" ref="I69:I90" si="6">IFERROR(H69/G69, "")</f>
        <v>-0.31350676375501174</v>
      </c>
      <c r="J69" s="39" t="s">
        <v>453</v>
      </c>
      <c r="K69" s="84" t="s">
        <v>454</v>
      </c>
      <c r="L69" s="39" t="s">
        <v>455</v>
      </c>
    </row>
    <row r="70" spans="1:12" ht="28.9">
      <c r="A70" s="25" t="str">
        <v>San Antonio - Ops Ctr GM</v>
      </c>
      <c r="B70" s="26" t="str">
        <v>TX</v>
      </c>
      <c r="C70" s="21">
        <v>111101</v>
      </c>
      <c r="D70" s="11">
        <v>132654.20000000001</v>
      </c>
      <c r="E70" s="11">
        <f t="shared" si="4"/>
        <v>-21553.200000000012</v>
      </c>
      <c r="F70" s="12">
        <f t="shared" ref="F70:F90" si="7">IFERROR(E70/D70, "")</f>
        <v>-0.1624765744318688</v>
      </c>
      <c r="G70" s="13">
        <v>268008</v>
      </c>
      <c r="H70" s="13">
        <f t="shared" si="5"/>
        <v>-156907</v>
      </c>
      <c r="I70" s="14">
        <f t="shared" si="6"/>
        <v>-0.58545640428643919</v>
      </c>
      <c r="J70" s="38" t="s">
        <v>456</v>
      </c>
      <c r="K70" s="77" t="s">
        <v>457</v>
      </c>
      <c r="L70" s="38" t="s">
        <v>455</v>
      </c>
    </row>
    <row r="71" spans="1:12" ht="28.9">
      <c r="A71" s="27" t="str">
        <v>San Antonio - Ctr (Bldg 201)</v>
      </c>
      <c r="B71" s="28" t="str">
        <v>TX</v>
      </c>
      <c r="C71" s="10">
        <v>27918</v>
      </c>
      <c r="D71" s="15">
        <v>28265.88</v>
      </c>
      <c r="E71" s="15">
        <f t="shared" si="4"/>
        <v>-347.88000000000102</v>
      </c>
      <c r="F71" s="16">
        <f t="shared" si="7"/>
        <v>-1.230741798946295E-2</v>
      </c>
      <c r="G71" s="17">
        <v>32161.360000000001</v>
      </c>
      <c r="H71" s="17">
        <f t="shared" si="5"/>
        <v>-4243.3600000000006</v>
      </c>
      <c r="I71" s="16">
        <f t="shared" si="6"/>
        <v>-0.13193969409253839</v>
      </c>
      <c r="J71" s="54" t="s">
        <v>100</v>
      </c>
      <c r="K71" s="40"/>
      <c r="L71" s="40"/>
    </row>
    <row r="72" spans="1:12" ht="28.9">
      <c r="A72" s="25" t="str">
        <v>San Antonio - Ops Ctr (Bldg 203)</v>
      </c>
      <c r="B72" s="26" t="str">
        <v>TX</v>
      </c>
      <c r="C72" s="21">
        <v>29845.5</v>
      </c>
      <c r="D72" s="11">
        <v>29236.080000000002</v>
      </c>
      <c r="E72" s="11">
        <f t="shared" si="4"/>
        <v>609.41999999999825</v>
      </c>
      <c r="F72" s="12">
        <f t="shared" si="7"/>
        <v>2.0844791777830621E-2</v>
      </c>
      <c r="G72" s="13">
        <v>33535.339999999997</v>
      </c>
      <c r="H72" s="13">
        <f t="shared" si="5"/>
        <v>-3689.8399999999965</v>
      </c>
      <c r="I72" s="14">
        <f t="shared" si="6"/>
        <v>-0.11002840585483842</v>
      </c>
      <c r="J72" s="38" t="s">
        <v>100</v>
      </c>
      <c r="K72" s="38"/>
      <c r="L72" s="38"/>
    </row>
    <row r="73" spans="1:12" ht="15.6">
      <c r="A73" s="27" t="str">
        <v>San Antonio - Ops Ctr (Bldg 205)</v>
      </c>
      <c r="B73" s="28" t="str">
        <v>TX</v>
      </c>
      <c r="C73" s="71">
        <v>25495.5</v>
      </c>
      <c r="D73" s="15">
        <v>25756.46</v>
      </c>
      <c r="E73" s="15">
        <f t="shared" si="4"/>
        <v>-260.95999999999913</v>
      </c>
      <c r="F73" s="16">
        <f t="shared" si="7"/>
        <v>-1.0131827122205424E-2</v>
      </c>
      <c r="G73" s="72">
        <v>30275.599999999999</v>
      </c>
      <c r="H73" s="17">
        <f t="shared" si="5"/>
        <v>-4780.0999999999985</v>
      </c>
      <c r="I73" s="16">
        <f t="shared" si="6"/>
        <v>-0.15788621860508129</v>
      </c>
      <c r="J73" s="49" t="s">
        <v>458</v>
      </c>
      <c r="K73" s="80" t="s">
        <v>87</v>
      </c>
      <c r="L73" s="49" t="s">
        <v>354</v>
      </c>
    </row>
    <row r="74" spans="1:12" ht="28.9">
      <c r="A74" s="25" t="str">
        <v>San Antonio - Ops Ctr (Bldg 307)</v>
      </c>
      <c r="B74" s="26" t="str">
        <v>TX</v>
      </c>
      <c r="C74" s="21">
        <v>26912.75</v>
      </c>
      <c r="D74" s="11">
        <v>28011.75</v>
      </c>
      <c r="E74" s="11">
        <f t="shared" si="4"/>
        <v>-1099</v>
      </c>
      <c r="F74" s="12">
        <f t="shared" si="7"/>
        <v>-3.9233535926887823E-2</v>
      </c>
      <c r="G74" s="13">
        <v>31427.13</v>
      </c>
      <c r="H74" s="13">
        <f t="shared" si="5"/>
        <v>-4514.380000000001</v>
      </c>
      <c r="I74" s="14">
        <f t="shared" si="6"/>
        <v>-0.14364595176206038</v>
      </c>
      <c r="J74" s="38" t="s">
        <v>100</v>
      </c>
      <c r="K74" s="38"/>
      <c r="L74" s="38"/>
    </row>
    <row r="75" spans="1:12" ht="15.6">
      <c r="A75" s="27" t="str">
        <v>San Antonio - Ctr (Bldg 308)</v>
      </c>
      <c r="B75" s="28" t="str">
        <v>TX</v>
      </c>
      <c r="C75" s="10">
        <v>27660.5</v>
      </c>
      <c r="D75" s="15">
        <v>27369.99</v>
      </c>
      <c r="E75" s="15">
        <f t="shared" si="4"/>
        <v>290.5099999999984</v>
      </c>
      <c r="F75" s="16">
        <f t="shared" si="7"/>
        <v>1.0614179983258977E-2</v>
      </c>
      <c r="G75" s="17">
        <v>31014.75</v>
      </c>
      <c r="H75" s="17">
        <f t="shared" si="5"/>
        <v>-3354.25</v>
      </c>
      <c r="I75" s="16">
        <f t="shared" si="6"/>
        <v>-0.10815015436203741</v>
      </c>
      <c r="J75" s="54" t="s">
        <v>459</v>
      </c>
      <c r="K75" s="84" t="s">
        <v>460</v>
      </c>
      <c r="L75" s="40" t="s">
        <v>354</v>
      </c>
    </row>
    <row r="76" spans="1:12" ht="72">
      <c r="A76" s="25" t="str">
        <v>San Antonio - Ops Ctr (Bldg 104)</v>
      </c>
      <c r="B76" s="26" t="str">
        <v>TX</v>
      </c>
      <c r="C76" s="21">
        <v>7125.21875</v>
      </c>
      <c r="D76" s="11">
        <v>8578.3979999999992</v>
      </c>
      <c r="E76" s="11">
        <f t="shared" si="4"/>
        <v>-1453.1792499999992</v>
      </c>
      <c r="F76" s="12">
        <f t="shared" si="7"/>
        <v>-0.16939984015663523</v>
      </c>
      <c r="G76" s="13">
        <v>9263.48</v>
      </c>
      <c r="H76" s="13">
        <f t="shared" si="5"/>
        <v>-2138.2612499999996</v>
      </c>
      <c r="I76" s="14">
        <f t="shared" si="6"/>
        <v>-0.23082699482267999</v>
      </c>
      <c r="J76" s="38" t="s">
        <v>315</v>
      </c>
      <c r="K76" s="38"/>
      <c r="L76" s="38"/>
    </row>
    <row r="77" spans="1:12" ht="15.6">
      <c r="A77" s="27" t="str">
        <v>San Antonio - Ops Ctr (Bldg 102)</v>
      </c>
      <c r="B77" s="28" t="str">
        <v>TX</v>
      </c>
      <c r="C77" s="71">
        <v>29981</v>
      </c>
      <c r="D77" s="15">
        <v>25045.39</v>
      </c>
      <c r="E77" s="15">
        <f t="shared" si="4"/>
        <v>4935.6100000000006</v>
      </c>
      <c r="F77" s="16">
        <f t="shared" si="7"/>
        <v>0.19706660587038177</v>
      </c>
      <c r="G77" s="72">
        <v>31812.95</v>
      </c>
      <c r="H77" s="17">
        <f t="shared" si="5"/>
        <v>-1831.9500000000007</v>
      </c>
      <c r="I77" s="16">
        <f t="shared" si="6"/>
        <v>-5.7585040054443259E-2</v>
      </c>
      <c r="J77" s="39"/>
      <c r="K77" s="39"/>
      <c r="L77" s="39"/>
    </row>
    <row r="78" spans="1:12" ht="15.6">
      <c r="A78" s="25" t="str">
        <v>N Black Canyon Hwy, Phoenix - North</v>
      </c>
      <c r="B78" s="26" t="str">
        <v>AZ</v>
      </c>
      <c r="C78" s="21">
        <v>53819.25</v>
      </c>
      <c r="D78" s="11">
        <v>50732.09</v>
      </c>
      <c r="E78" s="11">
        <f t="shared" si="4"/>
        <v>3087.1600000000035</v>
      </c>
      <c r="F78" s="12">
        <f t="shared" si="7"/>
        <v>6.0852214052289265E-2</v>
      </c>
      <c r="G78" s="13">
        <v>54784</v>
      </c>
      <c r="H78" s="13">
        <f t="shared" si="5"/>
        <v>-964.75</v>
      </c>
      <c r="I78" s="14">
        <f t="shared" si="6"/>
        <v>-1.7610068633177569E-2</v>
      </c>
      <c r="J78" s="38"/>
      <c r="K78" s="38"/>
      <c r="L78" s="38"/>
    </row>
    <row r="79" spans="1:12" ht="15.6">
      <c r="A79" s="27" t="str">
        <v>N Black Canyon Hwy, Phoenix - South</v>
      </c>
      <c r="B79" s="28" t="str">
        <v>AZ</v>
      </c>
      <c r="C79" s="71">
        <v>55042.125</v>
      </c>
      <c r="D79" s="15">
        <v>55536.84</v>
      </c>
      <c r="E79" s="15">
        <f t="shared" si="4"/>
        <v>-494.71499999999651</v>
      </c>
      <c r="F79" s="16">
        <f t="shared" si="7"/>
        <v>-8.9078708835431866E-3</v>
      </c>
      <c r="G79" s="72">
        <v>60932</v>
      </c>
      <c r="H79" s="17">
        <f t="shared" si="5"/>
        <v>-5889.875</v>
      </c>
      <c r="I79" s="16">
        <f t="shared" si="6"/>
        <v>-9.6663083437274339E-2</v>
      </c>
      <c r="J79" s="39"/>
      <c r="K79" s="39"/>
      <c r="L79" s="39"/>
    </row>
    <row r="80" spans="1:12" ht="15.6">
      <c r="A80" s="25" t="str">
        <v xml:space="preserve"> Building 2222, Rose Garden Ln, Phoenix</v>
      </c>
      <c r="B80" s="26" t="str">
        <v>AZ</v>
      </c>
      <c r="C80" s="21">
        <v>55168.5</v>
      </c>
      <c r="D80" s="11">
        <v>55977</v>
      </c>
      <c r="E80" s="11">
        <f t="shared" si="4"/>
        <v>-808.5</v>
      </c>
      <c r="F80" s="12">
        <f t="shared" si="7"/>
        <v>-1.4443432123908034E-2</v>
      </c>
      <c r="G80" s="13">
        <v>61287</v>
      </c>
      <c r="H80" s="13">
        <f t="shared" si="5"/>
        <v>-6118.5</v>
      </c>
      <c r="I80" s="14">
        <f t="shared" si="6"/>
        <v>-9.9833569925106461E-2</v>
      </c>
      <c r="J80" s="38"/>
      <c r="K80" s="38"/>
      <c r="L80" s="38"/>
    </row>
    <row r="81" spans="1:12" ht="15.6">
      <c r="A81" s="27" t="str">
        <v xml:space="preserve"> Building 2202, Rose Garden Ln, Phoenix</v>
      </c>
      <c r="B81" s="28" t="str">
        <v>AZ</v>
      </c>
      <c r="C81" s="71">
        <v>55896</v>
      </c>
      <c r="D81" s="15">
        <v>45690.82</v>
      </c>
      <c r="E81" s="15">
        <f t="shared" si="4"/>
        <v>10205.18</v>
      </c>
      <c r="F81" s="16">
        <f t="shared" si="7"/>
        <v>0.22335296236749527</v>
      </c>
      <c r="G81" s="72">
        <v>44570.94</v>
      </c>
      <c r="H81" s="17">
        <f t="shared" si="5"/>
        <v>11325.059999999998</v>
      </c>
      <c r="I81" s="16">
        <f t="shared" si="6"/>
        <v>0.2540906698400347</v>
      </c>
    </row>
    <row r="82" spans="1:12" ht="72">
      <c r="A82" s="25" t="str">
        <v xml:space="preserve"> 99TH Ave &amp; BELL</v>
      </c>
      <c r="B82" s="26" t="str">
        <v>AZ</v>
      </c>
      <c r="C82" s="21">
        <v>10087.597896012499</v>
      </c>
      <c r="D82" s="11">
        <v>7223.04</v>
      </c>
      <c r="E82" s="11">
        <f t="shared" si="4"/>
        <v>2864.5578960124994</v>
      </c>
      <c r="F82" s="12">
        <f t="shared" si="7"/>
        <v>0.3965861875349575</v>
      </c>
      <c r="G82" s="13">
        <v>12924</v>
      </c>
      <c r="H82" s="13">
        <f t="shared" si="5"/>
        <v>-2836.4021039875006</v>
      </c>
      <c r="I82" s="14">
        <f t="shared" si="6"/>
        <v>-0.21946781986904212</v>
      </c>
      <c r="J82" s="38" t="s">
        <v>315</v>
      </c>
      <c r="K82" s="38"/>
      <c r="L82" s="38"/>
    </row>
    <row r="83" spans="1:12" ht="15.6">
      <c r="A83" s="27" t="str">
        <v>Rincon</v>
      </c>
      <c r="B83" s="28" t="str">
        <v>AZ</v>
      </c>
      <c r="C83" s="71">
        <v>3462.59375</v>
      </c>
      <c r="D83" s="15">
        <v>2472.7049999999999</v>
      </c>
      <c r="E83" s="15">
        <f t="shared" si="4"/>
        <v>989.88875000000007</v>
      </c>
      <c r="F83" s="16">
        <f t="shared" si="7"/>
        <v>0.40032626212993466</v>
      </c>
      <c r="G83" s="72">
        <v>4178</v>
      </c>
      <c r="H83" s="17">
        <f t="shared" si="5"/>
        <v>-715.40625</v>
      </c>
      <c r="I83" s="16">
        <f t="shared" si="6"/>
        <v>-0.17123174964097654</v>
      </c>
      <c r="J83" s="39" t="s">
        <v>461</v>
      </c>
      <c r="K83" s="84" t="s">
        <v>423</v>
      </c>
      <c r="L83" s="39" t="s">
        <v>417</v>
      </c>
    </row>
    <row r="84" spans="1:12" ht="57.6">
      <c r="A84" s="25" t="str">
        <v>Tucson Main Parking Garage</v>
      </c>
      <c r="B84" s="26" t="str">
        <v>AZ</v>
      </c>
      <c r="C84" s="21">
        <v>7452</v>
      </c>
      <c r="D84" s="11">
        <v>7755.5739999999996</v>
      </c>
      <c r="E84" s="11">
        <f t="shared" si="4"/>
        <v>-303.57399999999961</v>
      </c>
      <c r="F84" s="12">
        <f t="shared" si="7"/>
        <v>-3.9142686279571265E-2</v>
      </c>
      <c r="G84" s="13">
        <v>7785</v>
      </c>
      <c r="H84" s="13">
        <f t="shared" si="5"/>
        <v>-333</v>
      </c>
      <c r="I84" s="14">
        <f t="shared" si="6"/>
        <v>-4.2774566473988439E-2</v>
      </c>
      <c r="J84" s="38" t="s">
        <v>386</v>
      </c>
      <c r="K84" s="77" t="s">
        <v>347</v>
      </c>
      <c r="L84" s="38" t="s">
        <v>360</v>
      </c>
    </row>
    <row r="85" spans="1:12" ht="15.6">
      <c r="A85" s="27" t="str">
        <v>AZ: Chandler - Chandler Campus - Bldg A</v>
      </c>
      <c r="B85" s="28" t="str">
        <v>AZ</v>
      </c>
      <c r="C85" s="71">
        <v>4963.953125</v>
      </c>
      <c r="D85" s="15">
        <v>9823.1530000000002</v>
      </c>
      <c r="E85" s="15">
        <f t="shared" si="4"/>
        <v>-4859.1998750000002</v>
      </c>
      <c r="F85" s="16">
        <f t="shared" si="7"/>
        <v>-0.49466804344796422</v>
      </c>
      <c r="G85" s="72">
        <v>12756</v>
      </c>
      <c r="H85" s="17">
        <f t="shared" si="5"/>
        <v>-7792.046875</v>
      </c>
      <c r="I85" s="16">
        <f t="shared" si="6"/>
        <v>-0.61085347091564757</v>
      </c>
      <c r="J85" s="39" t="s">
        <v>424</v>
      </c>
      <c r="K85" s="84" t="s">
        <v>425</v>
      </c>
      <c r="L85" s="39" t="s">
        <v>417</v>
      </c>
    </row>
    <row r="86" spans="1:12" ht="15.6">
      <c r="A86" s="25" t="str">
        <v>AZ: Phoenix - Pinnacle Peak Ops</v>
      </c>
      <c r="B86" s="26" t="str">
        <v>AZ</v>
      </c>
      <c r="C86" s="21">
        <v>61432.25</v>
      </c>
      <c r="D86" s="11">
        <v>45221.279999999999</v>
      </c>
      <c r="E86" s="11">
        <f t="shared" si="4"/>
        <v>16210.970000000001</v>
      </c>
      <c r="F86" s="12">
        <f t="shared" si="7"/>
        <v>0.35848100717184478</v>
      </c>
      <c r="G86" s="13">
        <v>64899</v>
      </c>
      <c r="H86" s="13">
        <f t="shared" si="5"/>
        <v>-3466.75</v>
      </c>
      <c r="I86" s="14">
        <f t="shared" si="6"/>
        <v>-5.34176181451178E-2</v>
      </c>
      <c r="J86" s="38"/>
      <c r="K86" s="38"/>
      <c r="L86" s="38"/>
    </row>
    <row r="87" spans="1:12" ht="28.9">
      <c r="A87" s="27" t="str">
        <v>CA: Alhambra - North Alhambra</v>
      </c>
      <c r="B87" s="28" t="str">
        <v>CA</v>
      </c>
      <c r="C87" s="71">
        <v>0</v>
      </c>
      <c r="D87" s="15">
        <v>0</v>
      </c>
      <c r="E87" s="15">
        <f t="shared" si="4"/>
        <v>0</v>
      </c>
      <c r="F87" s="16" t="str">
        <f t="shared" si="7"/>
        <v/>
      </c>
      <c r="G87" s="72">
        <v>0</v>
      </c>
      <c r="H87" s="17">
        <f t="shared" si="5"/>
        <v>0</v>
      </c>
      <c r="I87" s="16" t="str">
        <f t="shared" si="6"/>
        <v/>
      </c>
      <c r="J87" s="39" t="s">
        <v>428</v>
      </c>
      <c r="K87" s="84" t="s">
        <v>429</v>
      </c>
      <c r="L87" s="39" t="s">
        <v>417</v>
      </c>
    </row>
    <row r="88" spans="1:12" ht="15.6">
      <c r="A88" s="25" t="str">
        <v>CA: La Canada - La Canada</v>
      </c>
      <c r="B88" s="26" t="str">
        <v>CA</v>
      </c>
      <c r="C88" s="21">
        <v>2417.5991662907199</v>
      </c>
      <c r="D88" s="11">
        <v>4087.8530000000001</v>
      </c>
      <c r="E88" s="11">
        <f t="shared" si="4"/>
        <v>-1670.2538337092801</v>
      </c>
      <c r="F88" s="12">
        <f t="shared" si="7"/>
        <v>-0.40858950498202357</v>
      </c>
      <c r="G88" s="13">
        <v>2016.4490000000001</v>
      </c>
      <c r="H88" s="13">
        <f t="shared" si="5"/>
        <v>401.15016629071988</v>
      </c>
      <c r="I88" s="14">
        <f t="shared" si="6"/>
        <v>0.19893891007941181</v>
      </c>
      <c r="J88" s="38" t="s">
        <v>431</v>
      </c>
      <c r="K88" s="38"/>
      <c r="L88" s="38"/>
    </row>
    <row r="89" spans="1:12" ht="15.6">
      <c r="A89" s="27" t="str">
        <v>CA: Laguna Beach - LAGUNA BEACH</v>
      </c>
      <c r="B89" s="28" t="str">
        <v>CA</v>
      </c>
      <c r="C89" s="71">
        <v>3142.984375</v>
      </c>
      <c r="D89" s="15">
        <v>2748.8870000000002</v>
      </c>
      <c r="E89" s="15">
        <f t="shared" si="4"/>
        <v>394.09737499999983</v>
      </c>
      <c r="F89" s="16">
        <f t="shared" si="7"/>
        <v>0.14336616055880064</v>
      </c>
      <c r="G89" s="72">
        <v>4025.04</v>
      </c>
      <c r="H89" s="17">
        <f t="shared" si="5"/>
        <v>-882.05562499999996</v>
      </c>
      <c r="I89" s="16">
        <f t="shared" si="6"/>
        <v>-0.21914207684892573</v>
      </c>
      <c r="J89" s="39" t="s">
        <v>432</v>
      </c>
      <c r="K89" s="39"/>
      <c r="L89" s="39"/>
    </row>
    <row r="90" spans="1:12" ht="15.6">
      <c r="A90" s="25" t="str">
        <v>CA: Newport Beach - MARINERS</v>
      </c>
      <c r="B90" s="26" t="str">
        <v>CA</v>
      </c>
      <c r="C90" s="21">
        <v>2467.9375</v>
      </c>
      <c r="D90" s="11">
        <v>2540.8040000000001</v>
      </c>
      <c r="E90" s="11">
        <f t="shared" si="4"/>
        <v>-72.866500000000087</v>
      </c>
      <c r="F90" s="12">
        <f t="shared" si="7"/>
        <v>-2.8678520657240813E-2</v>
      </c>
      <c r="G90" s="13">
        <v>2629.4479999999999</v>
      </c>
      <c r="H90" s="13">
        <f t="shared" si="5"/>
        <v>-161.51049999999987</v>
      </c>
      <c r="I90" s="14">
        <f t="shared" si="6"/>
        <v>-6.1423728478372602E-2</v>
      </c>
      <c r="J90" s="38"/>
      <c r="K90" s="38"/>
      <c r="L90" s="38"/>
    </row>
    <row r="91" spans="1:12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  <c r="L91" s="18"/>
    </row>
    <row r="92" spans="1:12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  <c r="L92" s="18"/>
    </row>
    <row r="93" spans="1:12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  <c r="L93" s="18"/>
    </row>
    <row r="94" spans="1:12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  <c r="L94" s="18"/>
    </row>
    <row r="95" spans="1:12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  <c r="L95" s="18"/>
    </row>
    <row r="96" spans="1:12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  <c r="L96" s="18"/>
    </row>
    <row r="97" spans="1:12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  <c r="L97" s="18"/>
    </row>
    <row r="98" spans="1:12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  <c r="L98" s="18"/>
    </row>
    <row r="99" spans="1:12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  <c r="L99" s="18"/>
    </row>
    <row r="100" spans="1:12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  <c r="L100" s="18"/>
    </row>
    <row r="101" spans="1:12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  <c r="L101" s="18"/>
    </row>
    <row r="102" spans="1:12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  <c r="L102" s="18"/>
    </row>
    <row r="103" spans="1:12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  <c r="L103" s="18"/>
    </row>
    <row r="104" spans="1:12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  <c r="L104" s="18"/>
    </row>
    <row r="105" spans="1:12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  <c r="L105" s="18"/>
    </row>
    <row r="106" spans="1:12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  <c r="L106" s="18"/>
    </row>
    <row r="107" spans="1:12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  <c r="L107" s="18"/>
    </row>
    <row r="108" spans="1:12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  <c r="L108" s="18"/>
    </row>
    <row r="109" spans="1:12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  <c r="L109" s="18"/>
    </row>
    <row r="110" spans="1:12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  <c r="L110" s="18"/>
    </row>
    <row r="111" spans="1:12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  <c r="L111" s="18"/>
    </row>
    <row r="112" spans="1:12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  <c r="L112" s="18"/>
    </row>
    <row r="113" spans="1:12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  <c r="L113" s="18"/>
    </row>
    <row r="114" spans="1:12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  <c r="L114" s="18"/>
    </row>
    <row r="115" spans="1:12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  <c r="L115" s="18"/>
    </row>
    <row r="116" spans="1:12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  <c r="L116" s="18"/>
    </row>
    <row r="117" spans="1:12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  <c r="L117" s="18"/>
    </row>
    <row r="118" spans="1:12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  <c r="L118" s="18"/>
    </row>
    <row r="119" spans="1:12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  <c r="L119" s="18"/>
    </row>
    <row r="120" spans="1:12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  <c r="L120" s="18"/>
    </row>
    <row r="121" spans="1:12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  <c r="L121" s="18"/>
    </row>
    <row r="122" spans="1:12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  <c r="L122" s="18"/>
    </row>
    <row r="123" spans="1:12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  <c r="L123" s="18"/>
    </row>
    <row r="124" spans="1:12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  <c r="L124" s="18"/>
    </row>
    <row r="125" spans="1:12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  <c r="L125" s="18"/>
    </row>
    <row r="126" spans="1:12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  <c r="L126" s="18"/>
    </row>
    <row r="127" spans="1:12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  <c r="L127" s="18"/>
    </row>
    <row r="128" spans="1:12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  <c r="L128" s="18"/>
    </row>
    <row r="129" spans="1:12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  <c r="L129" s="18"/>
    </row>
    <row r="130" spans="1:12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  <c r="L130" s="18"/>
    </row>
    <row r="131" spans="1:12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  <c r="L131" s="18"/>
    </row>
    <row r="132" spans="1:12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  <c r="L132" s="18"/>
    </row>
    <row r="133" spans="1:12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  <c r="L133" s="18"/>
    </row>
    <row r="134" spans="1:12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  <c r="L134" s="18"/>
    </row>
    <row r="135" spans="1:12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  <c r="L135" s="18"/>
    </row>
    <row r="136" spans="1:12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  <c r="L136" s="18"/>
    </row>
    <row r="137" spans="1:12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  <c r="L137" s="18"/>
    </row>
    <row r="138" spans="1:12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  <c r="L138" s="18"/>
    </row>
    <row r="139" spans="1:12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  <c r="L139" s="18"/>
    </row>
    <row r="140" spans="1:12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  <c r="L140" s="18"/>
    </row>
    <row r="141" spans="1:12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  <c r="L141" s="18"/>
    </row>
    <row r="142" spans="1:12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  <c r="L142" s="18"/>
    </row>
    <row r="143" spans="1:12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  <c r="L143" s="18"/>
    </row>
    <row r="144" spans="1:12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  <c r="L144" s="18"/>
    </row>
    <row r="145" spans="1:12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  <c r="L145" s="18"/>
    </row>
    <row r="146" spans="1:12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  <c r="L146" s="18"/>
    </row>
    <row r="147" spans="1:12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  <c r="L147" s="18"/>
    </row>
    <row r="148" spans="1:12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  <c r="L148" s="18"/>
    </row>
    <row r="149" spans="1:12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  <c r="L149" s="18"/>
    </row>
    <row r="150" spans="1:12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  <c r="L150" s="18"/>
    </row>
    <row r="151" spans="1:12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  <c r="L151" s="18"/>
    </row>
    <row r="152" spans="1:12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  <c r="L152" s="18"/>
    </row>
    <row r="153" spans="1:12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  <c r="L153" s="18"/>
    </row>
    <row r="154" spans="1:12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  <c r="L154" s="18"/>
    </row>
    <row r="155" spans="1:12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  <c r="L155" s="18"/>
    </row>
    <row r="156" spans="1:12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  <c r="L156" s="18"/>
    </row>
    <row r="157" spans="1:12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  <c r="L157" s="18"/>
    </row>
    <row r="158" spans="1:12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  <c r="L158" s="18"/>
    </row>
    <row r="159" spans="1:12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  <c r="L159" s="18"/>
    </row>
    <row r="160" spans="1:12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  <c r="L160" s="18"/>
    </row>
    <row r="161" spans="1:12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  <c r="L161" s="18"/>
    </row>
    <row r="162" spans="1:12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  <c r="L162" s="18"/>
    </row>
    <row r="163" spans="1:12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  <c r="L163" s="18"/>
    </row>
    <row r="164" spans="1:12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  <c r="L164" s="18"/>
    </row>
    <row r="165" spans="1:12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  <c r="L165" s="18"/>
    </row>
    <row r="166" spans="1:12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  <c r="L166" s="18"/>
    </row>
    <row r="167" spans="1:12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  <c r="L167" s="18"/>
    </row>
    <row r="168" spans="1:12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  <c r="L168" s="18"/>
    </row>
    <row r="169" spans="1:12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  <c r="L169" s="18"/>
    </row>
    <row r="170" spans="1:12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  <c r="L170" s="18"/>
    </row>
    <row r="171" spans="1:12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  <c r="L171" s="18"/>
    </row>
    <row r="172" spans="1:12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  <c r="L172" s="18"/>
    </row>
    <row r="173" spans="1:12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  <c r="L173" s="18"/>
    </row>
    <row r="174" spans="1:12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  <c r="L174" s="18"/>
    </row>
    <row r="175" spans="1:12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  <c r="L175" s="18"/>
    </row>
    <row r="176" spans="1:12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  <c r="L176" s="18"/>
    </row>
    <row r="177" spans="1:12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  <c r="L177" s="18"/>
    </row>
    <row r="178" spans="1:12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  <c r="L178" s="18"/>
    </row>
    <row r="179" spans="1:12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  <c r="L179" s="18"/>
    </row>
    <row r="180" spans="1:12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  <c r="L180" s="18"/>
    </row>
    <row r="181" spans="1:12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  <c r="L181" s="18"/>
    </row>
    <row r="182" spans="1:12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  <c r="L182" s="18"/>
    </row>
    <row r="183" spans="1:12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  <c r="L183" s="18"/>
    </row>
    <row r="184" spans="1:12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  <c r="L184" s="18"/>
    </row>
    <row r="185" spans="1:12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  <c r="L185" s="18"/>
    </row>
    <row r="186" spans="1:12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  <c r="L186" s="18"/>
    </row>
    <row r="187" spans="1:12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  <c r="L187" s="18"/>
    </row>
    <row r="188" spans="1:12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  <c r="L188" s="18"/>
    </row>
    <row r="189" spans="1:12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  <c r="L189" s="18"/>
    </row>
    <row r="190" spans="1:12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  <c r="L190" s="18"/>
    </row>
    <row r="191" spans="1:12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  <c r="L191" s="18"/>
    </row>
    <row r="192" spans="1:12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  <c r="L192" s="18"/>
    </row>
    <row r="193" spans="1:12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  <c r="L193" s="18"/>
    </row>
    <row r="194" spans="1:12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  <c r="L194" s="18"/>
    </row>
    <row r="195" spans="1:12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  <c r="L195" s="18"/>
    </row>
    <row r="196" spans="1:12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  <c r="L196" s="18"/>
    </row>
    <row r="197" spans="1:12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  <c r="L197" s="18"/>
    </row>
    <row r="198" spans="1:12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  <c r="L198" s="18"/>
    </row>
    <row r="199" spans="1:12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  <c r="L199" s="18"/>
    </row>
    <row r="200" spans="1:12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  <c r="L200" s="18"/>
    </row>
    <row r="201" spans="1:12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  <c r="L201" s="18"/>
    </row>
    <row r="202" spans="1:12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  <c r="L202" s="18"/>
    </row>
    <row r="203" spans="1:12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  <c r="L203" s="18"/>
    </row>
    <row r="204" spans="1:12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  <c r="L204" s="18"/>
    </row>
    <row r="205" spans="1:12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  <c r="L205" s="18"/>
    </row>
    <row r="206" spans="1:12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  <c r="L206" s="18"/>
    </row>
    <row r="207" spans="1:12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  <c r="L207" s="18"/>
    </row>
    <row r="208" spans="1:12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  <c r="L208" s="18"/>
    </row>
    <row r="209" spans="1:12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  <c r="L209" s="18"/>
    </row>
    <row r="210" spans="1:12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  <c r="L210" s="18"/>
    </row>
    <row r="211" spans="1:12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  <c r="L211" s="18"/>
    </row>
    <row r="212" spans="1:12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  <c r="L212" s="18"/>
    </row>
    <row r="213" spans="1:12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  <c r="L213" s="18"/>
    </row>
    <row r="214" spans="1:12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  <c r="L214" s="18"/>
    </row>
    <row r="215" spans="1:12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  <c r="L215" s="18"/>
    </row>
    <row r="216" spans="1:12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  <c r="L216" s="18"/>
    </row>
    <row r="217" spans="1:12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  <c r="L217" s="18"/>
    </row>
    <row r="218" spans="1:12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  <c r="L218" s="18"/>
    </row>
    <row r="219" spans="1:12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  <c r="L219" s="18"/>
    </row>
    <row r="220" spans="1:12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  <c r="L220" s="18"/>
    </row>
    <row r="221" spans="1:12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  <c r="L221" s="18"/>
    </row>
    <row r="222" spans="1:12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  <c r="L222" s="18"/>
    </row>
    <row r="223" spans="1:12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  <c r="L223" s="18"/>
    </row>
    <row r="224" spans="1:12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  <c r="L224" s="18"/>
    </row>
    <row r="225" spans="1:12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  <c r="L225" s="18"/>
    </row>
    <row r="226" spans="1:12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  <c r="L226" s="18"/>
    </row>
    <row r="227" spans="1:12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  <c r="L227" s="18"/>
    </row>
    <row r="228" spans="1:12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  <c r="L228" s="18"/>
    </row>
    <row r="229" spans="1:12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  <c r="L229" s="18"/>
    </row>
    <row r="230" spans="1:12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  <c r="L230" s="18"/>
    </row>
    <row r="231" spans="1:12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  <c r="L231" s="18"/>
    </row>
    <row r="232" spans="1:12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  <c r="L232" s="18"/>
    </row>
    <row r="233" spans="1:12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  <c r="L233" s="18"/>
    </row>
    <row r="234" spans="1:12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  <c r="L234" s="18"/>
    </row>
    <row r="235" spans="1:12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  <c r="L235" s="18"/>
    </row>
    <row r="236" spans="1:12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  <c r="L236" s="18"/>
    </row>
    <row r="237" spans="1:12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  <c r="L237" s="18"/>
    </row>
    <row r="238" spans="1:12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  <c r="L238" s="18"/>
    </row>
    <row r="239" spans="1:12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  <c r="L239" s="18"/>
    </row>
    <row r="240" spans="1:12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  <c r="L240" s="18"/>
    </row>
    <row r="241" spans="1:12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  <c r="L241" s="18"/>
    </row>
    <row r="242" spans="1:12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  <c r="L242" s="18"/>
    </row>
    <row r="243" spans="1:12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  <c r="L243" s="18"/>
    </row>
    <row r="244" spans="1:12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  <c r="L244" s="18"/>
    </row>
    <row r="245" spans="1:12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  <c r="L245" s="18"/>
    </row>
    <row r="246" spans="1:12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  <c r="L246" s="18"/>
    </row>
    <row r="247" spans="1:12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  <c r="L247" s="18"/>
    </row>
    <row r="248" spans="1:12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  <c r="L248" s="18"/>
    </row>
    <row r="249" spans="1:12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  <c r="L249" s="18"/>
    </row>
    <row r="250" spans="1:12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  <c r="L250" s="18"/>
    </row>
    <row r="251" spans="1:12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  <c r="L251" s="18"/>
    </row>
    <row r="252" spans="1:12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  <c r="L252" s="18"/>
    </row>
    <row r="253" spans="1:12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  <c r="L253" s="18"/>
    </row>
    <row r="254" spans="1:12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  <c r="L254" s="18"/>
    </row>
    <row r="255" spans="1:12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  <c r="L255" s="18"/>
    </row>
    <row r="256" spans="1:12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  <c r="L256" s="18"/>
    </row>
    <row r="257" spans="1:12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  <c r="L257" s="18"/>
    </row>
    <row r="258" spans="1:12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  <c r="L258" s="18"/>
    </row>
    <row r="259" spans="1:12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  <c r="L259" s="18"/>
    </row>
    <row r="260" spans="1:12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  <c r="L260" s="18"/>
    </row>
    <row r="261" spans="1:12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  <c r="L261" s="18"/>
    </row>
    <row r="262" spans="1:12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  <c r="L262" s="18"/>
    </row>
    <row r="263" spans="1:12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  <c r="L263" s="18"/>
    </row>
    <row r="264" spans="1:12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  <c r="L264" s="18"/>
    </row>
    <row r="265" spans="1:12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  <c r="L265" s="18"/>
    </row>
    <row r="266" spans="1:12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  <c r="L266" s="18"/>
    </row>
    <row r="267" spans="1:12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  <c r="L267" s="18"/>
    </row>
    <row r="268" spans="1:12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  <c r="L268" s="18"/>
    </row>
    <row r="269" spans="1:12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  <c r="L269" s="18"/>
    </row>
    <row r="270" spans="1:12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  <c r="L270" s="18"/>
    </row>
    <row r="271" spans="1:12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  <c r="L271" s="18"/>
    </row>
    <row r="272" spans="1:12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  <c r="L272" s="18"/>
    </row>
    <row r="273" spans="1:12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  <c r="L273" s="18"/>
    </row>
    <row r="274" spans="1:12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  <c r="L274" s="18"/>
    </row>
    <row r="275" spans="1:12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  <c r="L275" s="18"/>
    </row>
    <row r="276" spans="1:12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  <c r="L276" s="18"/>
    </row>
    <row r="277" spans="1:12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  <c r="L277" s="18"/>
    </row>
    <row r="278" spans="1:12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  <c r="L278" s="18"/>
    </row>
    <row r="279" spans="1:12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  <c r="L279" s="18"/>
    </row>
    <row r="280" spans="1:12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  <c r="L280" s="18"/>
    </row>
    <row r="281" spans="1:12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  <c r="L281" s="18"/>
    </row>
    <row r="282" spans="1:12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  <c r="L282" s="18"/>
    </row>
    <row r="283" spans="1:12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  <c r="L283" s="18"/>
    </row>
    <row r="284" spans="1:12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  <c r="L284" s="18"/>
    </row>
    <row r="285" spans="1:12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  <c r="L285" s="18"/>
    </row>
    <row r="286" spans="1:12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  <c r="L286" s="18"/>
    </row>
    <row r="287" spans="1:12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  <c r="L287" s="18"/>
    </row>
    <row r="288" spans="1:12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  <c r="L288" s="18"/>
    </row>
    <row r="289" spans="1:12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  <c r="L289" s="18"/>
    </row>
    <row r="290" spans="1:12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  <c r="L290" s="18"/>
    </row>
    <row r="291" spans="1:12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  <c r="L291" s="18"/>
    </row>
    <row r="292" spans="1:12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  <c r="L292" s="18"/>
    </row>
    <row r="293" spans="1:12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  <c r="L293" s="18"/>
    </row>
    <row r="294" spans="1:12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  <c r="L294" s="18"/>
    </row>
    <row r="295" spans="1:12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  <c r="L295" s="18"/>
    </row>
    <row r="296" spans="1:12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  <c r="L296" s="18"/>
    </row>
    <row r="297" spans="1:12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  <c r="L297" s="18"/>
    </row>
    <row r="298" spans="1:12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  <c r="L298" s="18"/>
    </row>
    <row r="299" spans="1:12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  <c r="L299" s="18"/>
    </row>
    <row r="300" spans="1:12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  <c r="L300" s="18"/>
    </row>
    <row r="301" spans="1:12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  <c r="L301" s="18"/>
    </row>
    <row r="302" spans="1:12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  <c r="L302" s="18"/>
    </row>
    <row r="303" spans="1:12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  <c r="L303" s="18"/>
    </row>
    <row r="304" spans="1:12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  <c r="L304" s="18"/>
    </row>
    <row r="305" spans="1:12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  <c r="L305" s="18"/>
    </row>
    <row r="306" spans="1:12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  <c r="L306" s="18"/>
    </row>
    <row r="307" spans="1:12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  <c r="L307" s="18"/>
    </row>
    <row r="308" spans="1:12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  <c r="L308" s="18"/>
    </row>
    <row r="309" spans="1:12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  <c r="L309" s="18"/>
    </row>
    <row r="310" spans="1:12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  <c r="L310" s="18"/>
    </row>
    <row r="311" spans="1:12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  <c r="L311" s="18"/>
    </row>
    <row r="312" spans="1:12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  <c r="L312" s="18"/>
    </row>
    <row r="313" spans="1:12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  <c r="L313" s="18"/>
    </row>
    <row r="314" spans="1:12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  <c r="L314" s="18"/>
    </row>
    <row r="315" spans="1:12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  <c r="L315" s="18"/>
    </row>
    <row r="316" spans="1:12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  <c r="L316" s="18"/>
    </row>
    <row r="317" spans="1:12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  <c r="L317" s="18"/>
    </row>
    <row r="318" spans="1:12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  <c r="L318" s="18"/>
    </row>
    <row r="319" spans="1:12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  <c r="L319" s="18"/>
    </row>
    <row r="320" spans="1:12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  <c r="L320" s="18"/>
    </row>
    <row r="321" spans="1:12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  <c r="L321" s="18"/>
    </row>
    <row r="322" spans="1:12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  <c r="L322" s="18"/>
    </row>
    <row r="323" spans="1:12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  <c r="L323" s="18"/>
    </row>
    <row r="324" spans="1:12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  <c r="L324" s="18"/>
    </row>
    <row r="325" spans="1:12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  <c r="L325" s="18"/>
    </row>
    <row r="326" spans="1:12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  <c r="L326" s="18"/>
    </row>
    <row r="327" spans="1:12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  <c r="L327" s="18"/>
    </row>
    <row r="328" spans="1:12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  <c r="L328" s="18"/>
    </row>
    <row r="329" spans="1:12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  <c r="L329" s="18"/>
    </row>
    <row r="330" spans="1:12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  <c r="L330" s="18"/>
    </row>
    <row r="331" spans="1:12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  <c r="L331" s="18"/>
    </row>
    <row r="332" spans="1:12" ht="14.45">
      <c r="C332" s="18"/>
      <c r="D332" s="18"/>
      <c r="E332" s="18"/>
      <c r="F332" s="19"/>
      <c r="G332" s="18"/>
      <c r="H332" s="18"/>
      <c r="I332" s="19"/>
      <c r="J332" s="18"/>
      <c r="K332" s="18"/>
      <c r="L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hyperlinks>
    <hyperlink ref="K6" r:id="rId1" display="https://us3.assetplanner.com/service_request?ID=099548" xr:uid="{9D808FBF-F6AD-4E39-9149-0AD514825658}"/>
    <hyperlink ref="K10" r:id="rId2" display="https://us3.assetplanner.com/service_request?ID=101247" xr:uid="{436F756C-CBEB-476E-A8BD-417BE0746C4A}"/>
    <hyperlink ref="K18" r:id="rId3" display="https://us3.assetplanner.com/service_request?ID=104629" xr:uid="{1EBB03CE-A4F6-4988-B728-41C36EB4E0A6}"/>
    <hyperlink ref="K22" r:id="rId4" display="https://us3.assetplanner.com/service_request?ID=105604" xr:uid="{47EBC4F8-B81E-4886-9CFA-2DA608D58953}"/>
    <hyperlink ref="K24" r:id="rId5" display="https://us3.assetplanner.com/service_request?ID=110707" xr:uid="{95F1B7D6-5874-4EF2-8A75-ACEC206FD933}"/>
    <hyperlink ref="K26" r:id="rId6" display="https://us3.assetplanner.com/service_request?ID=101743" xr:uid="{BC458601-A925-41E4-AB02-E22F82DFE069}"/>
    <hyperlink ref="K32" r:id="rId7" display="https://us3.assetplanner.com/service_request?ID=107668" xr:uid="{6108BABE-686B-4BC3-8C99-9656B631B15F}"/>
    <hyperlink ref="M32" r:id="rId8" display="https://us3.assetplanner.com/service_request?ID=107670" xr:uid="{EBA04935-5FA2-45E0-A5A1-C123AED520E7}"/>
    <hyperlink ref="N32" r:id="rId9" display="https://us3.assetplanner.com/service_request?ID=077700" xr:uid="{3021AC04-BDB5-4081-B2DD-F884B917A3FE}"/>
    <hyperlink ref="O32" r:id="rId10" display="https://us3.assetplanner.com/service_request?ID=113568" xr:uid="{FBB5B772-02C3-40A3-BC2A-BB5B67736100}"/>
    <hyperlink ref="K33" r:id="rId11" display="https://us3.assetplanner.com/service_request?ID=098782" xr:uid="{1C70631E-1DF6-48A7-9886-98B6EA41A182}"/>
    <hyperlink ref="K34" r:id="rId12" display="https://us3.assetplanner.com/service_request?ID=105482" xr:uid="{99AB1D5D-EFFC-4B13-8C22-71B4CF821998}"/>
    <hyperlink ref="K35" r:id="rId13" display="https://us3.assetplanner.com/service_request?ID=105483" xr:uid="{40EE4E7A-1899-4D76-9F57-35F61E37DAE7}"/>
    <hyperlink ref="K40" r:id="rId14" display="https://us3.assetplanner.com/service_request?ID=111319" xr:uid="{DA731D46-9A60-4974-8EEB-B19182537965}"/>
    <hyperlink ref="K47" r:id="rId15" display="https://us3.assetplanner.com/service_request?ID=109804" xr:uid="{0316D628-538C-4D0C-8CB9-F12B29A4F00C}"/>
    <hyperlink ref="K59" r:id="rId16" display="https://us3.assetplanner.com/service_request?ID=108795" xr:uid="{DD319B3C-24E5-454B-983C-FF7B500C3D54}"/>
    <hyperlink ref="K60" r:id="rId17" display="https://us3.assetplanner.com/service_request?ID=100593" xr:uid="{FE3C6610-5724-4050-A984-E08F3C822D78}"/>
    <hyperlink ref="K69" r:id="rId18" display="https://us3.assetplanner.com/service_request?ID=113672" xr:uid="{2FA430E5-24E6-48D9-B448-D52CD12E8034}"/>
    <hyperlink ref="K70" r:id="rId19" display="https://us3.assetplanner.com/service_request?ID=111323" xr:uid="{6CE64D50-F645-4A03-ADC7-538B611862F8}"/>
    <hyperlink ref="K73" r:id="rId20" display="https://us3.assetplanner.com/service_request?ID=097581" xr:uid="{7722ECA8-316B-4727-A277-964BB348EE13}"/>
    <hyperlink ref="K75" r:id="rId21" display="https://us3.assetplanner.com/service_request?ID=106526" xr:uid="{3C884A24-E839-4846-887A-8ED4C482E6E7}"/>
    <hyperlink ref="K83" r:id="rId22" display="https://us3.assetplanner.com/service_request?ID=111320" xr:uid="{C558897D-F32E-405A-AE75-EA934EB58CE4}"/>
    <hyperlink ref="K84" r:id="rId23" display="https://us3.assetplanner.com/service_request?ID=104705" xr:uid="{50FBF8D2-3D9E-42FA-89A3-2C626628BF91}"/>
    <hyperlink ref="K85" r:id="rId24" display="https://us3.assetplanner.com/service_request?ID=112285" xr:uid="{F4430A80-E1CB-4E7F-B617-A51EC8B618AC}"/>
    <hyperlink ref="K87" r:id="rId25" display="https://us3.assetplanner.com/service_request?ID=112290" xr:uid="{F7F2530F-025A-4934-8ABB-B412D5EA15C8}"/>
  </hyperlinks>
  <pageMargins left="0.4" right="0.7" top="0.25" bottom="0.25" header="0.3" footer="0.3"/>
  <pageSetup fitToHeight="99" orientation="landscape"/>
  <legacyDrawing r:id="rId2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H90"/>
  <sheetViews>
    <sheetView zoomScale="110" zoomScaleNormal="110" workbookViewId="0">
      <pane ySplit="3" topLeftCell="A66" activePane="bottomLeft" state="frozen"/>
      <selection pane="bottomLeft" activeCell="B85" sqref="B85"/>
    </sheetView>
  </sheetViews>
  <sheetFormatPr defaultRowHeight="12.75" customHeight="1"/>
  <cols>
    <col min="1" max="2" width="41.85546875" customWidth="1"/>
    <col min="4" max="4" width="9.140625" customWidth="1"/>
    <col min="5" max="5" width="18.140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8" ht="12.75" customHeight="1">
      <c r="A1" t="s">
        <v>462</v>
      </c>
      <c r="B1" t="s">
        <v>463</v>
      </c>
    </row>
    <row r="3" spans="1:8" ht="13.15">
      <c r="A3" t="s">
        <v>464</v>
      </c>
      <c r="B3" t="s">
        <v>3</v>
      </c>
      <c r="C3" t="s">
        <v>39</v>
      </c>
      <c r="D3" t="s">
        <v>465</v>
      </c>
      <c r="E3" s="2" t="s">
        <v>466</v>
      </c>
      <c r="F3" s="139" t="s">
        <v>467</v>
      </c>
      <c r="G3" s="139" t="s">
        <v>468</v>
      </c>
      <c r="H3" s="140" t="s">
        <v>469</v>
      </c>
    </row>
    <row r="4" spans="1:8" ht="13.15">
      <c r="A4" s="44" t="s">
        <v>470</v>
      </c>
      <c r="B4" s="46" t="s">
        <v>471</v>
      </c>
      <c r="C4" s="46" t="s">
        <v>472</v>
      </c>
      <c r="D4" t="s">
        <v>473</v>
      </c>
      <c r="E4" s="42" t="s">
        <v>474</v>
      </c>
      <c r="F4" s="141">
        <v>191334</v>
      </c>
      <c r="G4" s="141" t="s">
        <v>475</v>
      </c>
      <c r="H4" s="142" t="s">
        <v>476</v>
      </c>
    </row>
    <row r="5" spans="1:8" ht="13.15">
      <c r="A5" s="45" t="s">
        <v>477</v>
      </c>
      <c r="B5" s="45" t="s">
        <v>478</v>
      </c>
      <c r="C5" s="45" t="s">
        <v>472</v>
      </c>
      <c r="E5" s="42" t="s">
        <v>474</v>
      </c>
      <c r="F5" s="143">
        <v>196270</v>
      </c>
      <c r="G5" s="143" t="s">
        <v>475</v>
      </c>
      <c r="H5" s="144" t="s">
        <v>476</v>
      </c>
    </row>
    <row r="6" spans="1:8" ht="13.15">
      <c r="A6" s="46" t="s">
        <v>479</v>
      </c>
      <c r="B6" s="46" t="s">
        <v>480</v>
      </c>
      <c r="C6" s="46" t="s">
        <v>472</v>
      </c>
      <c r="D6" t="s">
        <v>473</v>
      </c>
      <c r="E6" s="42" t="s">
        <v>474</v>
      </c>
      <c r="F6" s="141">
        <v>144682</v>
      </c>
      <c r="G6" s="141" t="s">
        <v>481</v>
      </c>
      <c r="H6" s="142" t="s">
        <v>482</v>
      </c>
    </row>
    <row r="7" spans="1:8" ht="12.75" customHeight="1">
      <c r="A7" s="45" t="s">
        <v>483</v>
      </c>
      <c r="B7" s="45" t="s">
        <v>484</v>
      </c>
      <c r="C7" s="45" t="s">
        <v>472</v>
      </c>
      <c r="D7" t="s">
        <v>485</v>
      </c>
      <c r="E7" s="42" t="s">
        <v>474</v>
      </c>
      <c r="F7" s="143">
        <v>191705</v>
      </c>
      <c r="G7" s="143" t="s">
        <v>475</v>
      </c>
      <c r="H7" s="144" t="s">
        <v>476</v>
      </c>
    </row>
    <row r="8" spans="1:8" ht="12.75" customHeight="1">
      <c r="A8" t="s">
        <v>486</v>
      </c>
      <c r="B8" t="s">
        <v>487</v>
      </c>
      <c r="C8" t="s">
        <v>472</v>
      </c>
      <c r="D8" t="s">
        <v>473</v>
      </c>
      <c r="E8" s="42" t="s">
        <v>474</v>
      </c>
      <c r="F8" s="143">
        <v>105499</v>
      </c>
      <c r="G8" s="143" t="s">
        <v>481</v>
      </c>
      <c r="H8" s="144" t="s">
        <v>482</v>
      </c>
    </row>
    <row r="9" spans="1:8" ht="12.75" customHeight="1">
      <c r="A9" t="s">
        <v>488</v>
      </c>
      <c r="B9" t="s">
        <v>489</v>
      </c>
      <c r="C9" t="s">
        <v>472</v>
      </c>
      <c r="D9" t="s">
        <v>473</v>
      </c>
      <c r="E9" s="42" t="s">
        <v>474</v>
      </c>
      <c r="F9" s="141">
        <v>144486</v>
      </c>
      <c r="G9" s="141" t="s">
        <v>481</v>
      </c>
      <c r="H9" s="142" t="s">
        <v>482</v>
      </c>
    </row>
    <row r="10" spans="1:8" ht="12.75" customHeight="1">
      <c r="A10" t="s">
        <v>490</v>
      </c>
      <c r="B10" t="s">
        <v>491</v>
      </c>
      <c r="C10" t="s">
        <v>472</v>
      </c>
      <c r="D10" t="s">
        <v>473</v>
      </c>
      <c r="E10" s="42" t="s">
        <v>474</v>
      </c>
      <c r="F10" s="143">
        <v>199250</v>
      </c>
      <c r="G10" s="143" t="s">
        <v>481</v>
      </c>
      <c r="H10" s="144" t="s">
        <v>482</v>
      </c>
    </row>
    <row r="11" spans="1:8" ht="12.75" customHeight="1">
      <c r="A11" t="s">
        <v>492</v>
      </c>
      <c r="B11" t="s">
        <v>493</v>
      </c>
      <c r="C11" t="s">
        <v>472</v>
      </c>
      <c r="D11" t="s">
        <v>473</v>
      </c>
      <c r="E11" s="42" t="s">
        <v>474</v>
      </c>
      <c r="F11" s="141">
        <v>199506</v>
      </c>
      <c r="G11" s="141" t="s">
        <v>475</v>
      </c>
      <c r="H11" s="142" t="s">
        <v>476</v>
      </c>
    </row>
    <row r="12" spans="1:8" ht="12.75" customHeight="1">
      <c r="A12" t="s">
        <v>494</v>
      </c>
      <c r="B12" t="s">
        <v>495</v>
      </c>
      <c r="C12" t="s">
        <v>472</v>
      </c>
      <c r="D12" t="s">
        <v>473</v>
      </c>
      <c r="E12" t="s">
        <v>474</v>
      </c>
      <c r="F12" s="143">
        <v>101173</v>
      </c>
      <c r="G12" s="143" t="s">
        <v>475</v>
      </c>
      <c r="H12" s="144" t="s">
        <v>476</v>
      </c>
    </row>
    <row r="13" spans="1:8" ht="12.75" customHeight="1">
      <c r="A13" t="s">
        <v>496</v>
      </c>
      <c r="B13" t="s">
        <v>497</v>
      </c>
      <c r="C13" t="s">
        <v>472</v>
      </c>
      <c r="D13" t="s">
        <v>485</v>
      </c>
      <c r="E13" t="s">
        <v>474</v>
      </c>
      <c r="F13" s="141">
        <v>144507</v>
      </c>
      <c r="G13" s="141" t="s">
        <v>475</v>
      </c>
      <c r="H13" s="142" t="s">
        <v>476</v>
      </c>
    </row>
    <row r="14" spans="1:8" ht="12.75" customHeight="1">
      <c r="A14" t="s">
        <v>498</v>
      </c>
      <c r="B14" t="s">
        <v>499</v>
      </c>
      <c r="C14" t="s">
        <v>472</v>
      </c>
      <c r="D14" t="s">
        <v>485</v>
      </c>
      <c r="E14" t="s">
        <v>474</v>
      </c>
      <c r="F14" s="143">
        <v>191411</v>
      </c>
      <c r="G14" s="143" t="s">
        <v>475</v>
      </c>
      <c r="H14" s="144" t="s">
        <v>476</v>
      </c>
    </row>
    <row r="15" spans="1:8" ht="12.75" customHeight="1">
      <c r="A15" t="s">
        <v>500</v>
      </c>
      <c r="B15" t="s">
        <v>501</v>
      </c>
      <c r="C15" t="s">
        <v>472</v>
      </c>
      <c r="D15" t="s">
        <v>485</v>
      </c>
      <c r="E15" t="s">
        <v>474</v>
      </c>
      <c r="F15" s="141">
        <v>144410</v>
      </c>
      <c r="G15" s="141" t="s">
        <v>475</v>
      </c>
      <c r="H15" s="142" t="s">
        <v>476</v>
      </c>
    </row>
    <row r="16" spans="1:8" ht="12.75" customHeight="1">
      <c r="A16" t="s">
        <v>502</v>
      </c>
      <c r="B16" t="s">
        <v>503</v>
      </c>
      <c r="C16" t="s">
        <v>472</v>
      </c>
      <c r="D16" t="s">
        <v>473</v>
      </c>
      <c r="E16" t="s">
        <v>474</v>
      </c>
      <c r="F16" s="143">
        <v>199190</v>
      </c>
      <c r="G16" s="143" t="s">
        <v>475</v>
      </c>
      <c r="H16" s="144" t="s">
        <v>476</v>
      </c>
    </row>
    <row r="17" spans="1:8" ht="12.75" customHeight="1">
      <c r="A17" t="s">
        <v>504</v>
      </c>
      <c r="B17" t="s">
        <v>505</v>
      </c>
      <c r="C17" t="s">
        <v>472</v>
      </c>
      <c r="D17" t="s">
        <v>473</v>
      </c>
      <c r="E17" t="s">
        <v>474</v>
      </c>
      <c r="F17" s="141">
        <v>199487</v>
      </c>
      <c r="G17" s="141" t="s">
        <v>475</v>
      </c>
      <c r="H17" s="142" t="s">
        <v>476</v>
      </c>
    </row>
    <row r="18" spans="1:8" ht="12.75" customHeight="1">
      <c r="A18" t="s">
        <v>506</v>
      </c>
      <c r="B18" t="s">
        <v>507</v>
      </c>
      <c r="C18" t="s">
        <v>472</v>
      </c>
      <c r="D18" t="s">
        <v>473</v>
      </c>
      <c r="E18" t="s">
        <v>474</v>
      </c>
      <c r="F18" s="143">
        <v>199892</v>
      </c>
      <c r="G18" s="143" t="s">
        <v>475</v>
      </c>
      <c r="H18" s="144" t="s">
        <v>476</v>
      </c>
    </row>
    <row r="19" spans="1:8" ht="12.75" customHeight="1">
      <c r="A19" t="s">
        <v>508</v>
      </c>
      <c r="B19" t="s">
        <v>509</v>
      </c>
      <c r="C19" t="s">
        <v>472</v>
      </c>
      <c r="D19" t="s">
        <v>473</v>
      </c>
      <c r="E19" t="s">
        <v>474</v>
      </c>
      <c r="F19" s="141">
        <v>199924</v>
      </c>
      <c r="G19" s="141" t="s">
        <v>475</v>
      </c>
      <c r="H19" s="142" t="s">
        <v>476</v>
      </c>
    </row>
    <row r="20" spans="1:8" ht="12.75" customHeight="1">
      <c r="A20" t="s">
        <v>510</v>
      </c>
      <c r="B20" t="s">
        <v>511</v>
      </c>
      <c r="C20" t="s">
        <v>472</v>
      </c>
      <c r="E20" t="s">
        <v>474</v>
      </c>
      <c r="F20" s="141">
        <v>199502</v>
      </c>
      <c r="G20" s="141" t="s">
        <v>475</v>
      </c>
      <c r="H20" s="142" t="s">
        <v>476</v>
      </c>
    </row>
    <row r="21" spans="1:8" ht="12.75" customHeight="1">
      <c r="A21" t="s">
        <v>512</v>
      </c>
      <c r="B21" t="s">
        <v>513</v>
      </c>
      <c r="C21" t="s">
        <v>514</v>
      </c>
      <c r="D21" t="s">
        <v>485</v>
      </c>
      <c r="E21" t="s">
        <v>474</v>
      </c>
      <c r="F21" s="141">
        <v>103541</v>
      </c>
      <c r="G21" s="141" t="s">
        <v>475</v>
      </c>
      <c r="H21" s="142" t="s">
        <v>476</v>
      </c>
    </row>
    <row r="22" spans="1:8" ht="12.75" customHeight="1">
      <c r="A22" s="45" t="s">
        <v>515</v>
      </c>
      <c r="B22" s="45" t="s">
        <v>516</v>
      </c>
      <c r="C22" s="45" t="s">
        <v>514</v>
      </c>
      <c r="D22" t="s">
        <v>485</v>
      </c>
      <c r="E22" s="42" t="s">
        <v>474</v>
      </c>
      <c r="F22" s="143">
        <v>101451</v>
      </c>
      <c r="G22" s="143" t="s">
        <v>475</v>
      </c>
      <c r="H22" s="144" t="s">
        <v>476</v>
      </c>
    </row>
    <row r="23" spans="1:8" ht="12.75" customHeight="1">
      <c r="A23" t="s">
        <v>517</v>
      </c>
      <c r="B23" t="s">
        <v>518</v>
      </c>
      <c r="C23" t="s">
        <v>514</v>
      </c>
      <c r="D23" t="s">
        <v>485</v>
      </c>
      <c r="E23" t="s">
        <v>474</v>
      </c>
      <c r="F23" s="141">
        <v>120617</v>
      </c>
      <c r="G23" s="141" t="s">
        <v>475</v>
      </c>
      <c r="H23" s="142" t="s">
        <v>476</v>
      </c>
    </row>
    <row r="24" spans="1:8" ht="12.75" customHeight="1">
      <c r="A24" s="45" t="s">
        <v>519</v>
      </c>
      <c r="B24" s="45" t="s">
        <v>520</v>
      </c>
      <c r="C24" s="45" t="s">
        <v>514</v>
      </c>
      <c r="D24" t="s">
        <v>473</v>
      </c>
      <c r="E24" s="42" t="s">
        <v>474</v>
      </c>
      <c r="F24" s="143">
        <v>101995</v>
      </c>
      <c r="G24" s="143" t="s">
        <v>475</v>
      </c>
      <c r="H24" s="144" t="s">
        <v>476</v>
      </c>
    </row>
    <row r="25" spans="1:8" ht="12.75" customHeight="1">
      <c r="A25" t="s">
        <v>521</v>
      </c>
      <c r="B25" t="s">
        <v>522</v>
      </c>
      <c r="C25" t="s">
        <v>514</v>
      </c>
      <c r="D25" t="s">
        <v>473</v>
      </c>
      <c r="E25" t="s">
        <v>474</v>
      </c>
      <c r="F25" s="141">
        <v>102040</v>
      </c>
      <c r="G25" s="141" t="s">
        <v>475</v>
      </c>
      <c r="H25" s="142" t="s">
        <v>476</v>
      </c>
    </row>
    <row r="26" spans="1:8" ht="12.75" customHeight="1">
      <c r="A26" s="45" t="s">
        <v>523</v>
      </c>
      <c r="B26" s="45" t="s">
        <v>524</v>
      </c>
      <c r="C26" s="45" t="s">
        <v>514</v>
      </c>
      <c r="D26" t="s">
        <v>473</v>
      </c>
      <c r="E26" s="42" t="s">
        <v>474</v>
      </c>
      <c r="F26" s="143">
        <v>120717</v>
      </c>
      <c r="G26" s="143" t="s">
        <v>475</v>
      </c>
      <c r="H26" s="144" t="s">
        <v>476</v>
      </c>
    </row>
    <row r="27" spans="1:8" ht="12.75" customHeight="1">
      <c r="A27" t="s">
        <v>525</v>
      </c>
      <c r="B27" t="s">
        <v>526</v>
      </c>
      <c r="C27" t="s">
        <v>514</v>
      </c>
      <c r="D27" t="s">
        <v>485</v>
      </c>
      <c r="E27" t="s">
        <v>474</v>
      </c>
      <c r="F27" s="141">
        <v>103553</v>
      </c>
      <c r="G27" s="141" t="s">
        <v>475</v>
      </c>
      <c r="H27" s="142" t="s">
        <v>476</v>
      </c>
    </row>
    <row r="28" spans="1:8" ht="12.75" customHeight="1">
      <c r="A28" s="45" t="s">
        <v>527</v>
      </c>
      <c r="B28" s="45" t="s">
        <v>528</v>
      </c>
      <c r="C28" s="45" t="s">
        <v>514</v>
      </c>
      <c r="E28" s="42" t="s">
        <v>474</v>
      </c>
      <c r="F28" s="143">
        <v>105797</v>
      </c>
      <c r="G28" s="143" t="s">
        <v>475</v>
      </c>
      <c r="H28" s="144" t="s">
        <v>476</v>
      </c>
    </row>
    <row r="29" spans="1:8" ht="12.75" customHeight="1">
      <c r="A29" t="s">
        <v>529</v>
      </c>
      <c r="B29" t="s">
        <v>530</v>
      </c>
      <c r="C29" t="s">
        <v>514</v>
      </c>
      <c r="D29" t="s">
        <v>473</v>
      </c>
      <c r="E29" t="s">
        <v>474</v>
      </c>
      <c r="F29" s="141">
        <v>120768</v>
      </c>
      <c r="G29" s="141" t="s">
        <v>475</v>
      </c>
      <c r="H29" s="142" t="s">
        <v>476</v>
      </c>
    </row>
    <row r="30" spans="1:8" ht="12.75" customHeight="1">
      <c r="A30" s="45" t="s">
        <v>531</v>
      </c>
      <c r="B30" s="45" t="s">
        <v>532</v>
      </c>
      <c r="C30" s="45" t="s">
        <v>514</v>
      </c>
      <c r="D30" t="s">
        <v>485</v>
      </c>
      <c r="E30" s="42" t="s">
        <v>474</v>
      </c>
      <c r="F30" s="143">
        <v>106004</v>
      </c>
      <c r="G30" s="143" t="s">
        <v>475</v>
      </c>
      <c r="H30" s="144" t="s">
        <v>476</v>
      </c>
    </row>
    <row r="31" spans="1:8" ht="12.75" customHeight="1">
      <c r="A31" t="s">
        <v>533</v>
      </c>
      <c r="B31" t="s">
        <v>534</v>
      </c>
      <c r="C31" t="s">
        <v>535</v>
      </c>
      <c r="D31" t="s">
        <v>473</v>
      </c>
      <c r="E31" t="s">
        <v>474</v>
      </c>
      <c r="F31" s="141">
        <v>144783</v>
      </c>
      <c r="G31" s="141" t="s">
        <v>475</v>
      </c>
      <c r="H31" s="142" t="s">
        <v>476</v>
      </c>
    </row>
    <row r="32" spans="1:8" ht="12.75" customHeight="1">
      <c r="A32" s="45" t="s">
        <v>536</v>
      </c>
      <c r="B32" s="45" t="s">
        <v>537</v>
      </c>
      <c r="C32" s="45" t="s">
        <v>535</v>
      </c>
      <c r="D32" t="s">
        <v>473</v>
      </c>
      <c r="E32" s="42" t="s">
        <v>474</v>
      </c>
      <c r="F32" s="143">
        <v>144725</v>
      </c>
      <c r="G32" s="143" t="s">
        <v>475</v>
      </c>
      <c r="H32" s="144" t="s">
        <v>476</v>
      </c>
    </row>
    <row r="33" spans="1:8" ht="12.75" customHeight="1">
      <c r="A33" t="s">
        <v>538</v>
      </c>
      <c r="B33" t="s">
        <v>539</v>
      </c>
      <c r="C33" t="s">
        <v>540</v>
      </c>
      <c r="D33" t="s">
        <v>473</v>
      </c>
      <c r="E33" t="s">
        <v>474</v>
      </c>
      <c r="F33" s="141">
        <v>107447</v>
      </c>
      <c r="G33" s="141" t="s">
        <v>475</v>
      </c>
      <c r="H33" s="142" t="s">
        <v>476</v>
      </c>
    </row>
    <row r="34" spans="1:8" ht="12.75" customHeight="1">
      <c r="A34" s="45" t="s">
        <v>541</v>
      </c>
      <c r="B34" s="45" t="s">
        <v>542</v>
      </c>
      <c r="C34" s="45" t="s">
        <v>543</v>
      </c>
      <c r="D34" t="s">
        <v>473</v>
      </c>
      <c r="E34" s="42" t="s">
        <v>474</v>
      </c>
      <c r="F34" s="143">
        <v>150496</v>
      </c>
      <c r="G34" s="143" t="s">
        <v>481</v>
      </c>
      <c r="H34" s="144" t="s">
        <v>476</v>
      </c>
    </row>
    <row r="35" spans="1:8" ht="12.75" customHeight="1">
      <c r="A35" s="45" t="s">
        <v>544</v>
      </c>
      <c r="B35" s="45" t="s">
        <v>545</v>
      </c>
      <c r="C35" s="45" t="s">
        <v>543</v>
      </c>
      <c r="D35" t="s">
        <v>473</v>
      </c>
      <c r="E35" s="42" t="s">
        <v>474</v>
      </c>
      <c r="F35" s="141">
        <v>150496</v>
      </c>
      <c r="G35" s="141" t="s">
        <v>481</v>
      </c>
      <c r="H35" s="142" t="s">
        <v>476</v>
      </c>
    </row>
    <row r="36" spans="1:8" ht="12.75" customHeight="1">
      <c r="A36" s="45" t="s">
        <v>546</v>
      </c>
      <c r="B36" s="45" t="s">
        <v>547</v>
      </c>
      <c r="C36" s="45" t="s">
        <v>266</v>
      </c>
      <c r="E36" s="42" t="s">
        <v>474</v>
      </c>
      <c r="F36" s="143">
        <v>141278</v>
      </c>
      <c r="G36" s="143" t="s">
        <v>481</v>
      </c>
      <c r="H36" s="144" t="s">
        <v>482</v>
      </c>
    </row>
    <row r="37" spans="1:8" ht="12.75" customHeight="1">
      <c r="A37" s="47" t="s">
        <v>548</v>
      </c>
      <c r="B37" s="45" t="s">
        <v>549</v>
      </c>
      <c r="C37" s="45" t="s">
        <v>266</v>
      </c>
      <c r="E37" s="42" t="s">
        <v>474</v>
      </c>
      <c r="F37" s="141">
        <v>141954</v>
      </c>
      <c r="G37" s="141" t="s">
        <v>481</v>
      </c>
      <c r="H37" s="142" t="s">
        <v>482</v>
      </c>
    </row>
    <row r="38" spans="1:8" ht="12.75" customHeight="1">
      <c r="A38" s="45" t="s">
        <v>550</v>
      </c>
      <c r="B38" s="45" t="s">
        <v>551</v>
      </c>
      <c r="C38" s="45" t="s">
        <v>552</v>
      </c>
      <c r="D38" t="s">
        <v>473</v>
      </c>
      <c r="E38" s="42" t="s">
        <v>474</v>
      </c>
      <c r="F38" s="143">
        <v>140171</v>
      </c>
      <c r="G38" s="143" t="s">
        <v>475</v>
      </c>
      <c r="H38" s="144" t="s">
        <v>476</v>
      </c>
    </row>
    <row r="39" spans="1:8" ht="12.75" customHeight="1">
      <c r="A39" s="47" t="s">
        <v>553</v>
      </c>
      <c r="B39" s="45" t="s">
        <v>554</v>
      </c>
      <c r="C39" s="45" t="s">
        <v>552</v>
      </c>
      <c r="D39" t="s">
        <v>473</v>
      </c>
      <c r="E39" s="42" t="s">
        <v>474</v>
      </c>
      <c r="F39" s="141">
        <v>141423</v>
      </c>
      <c r="G39" s="141" t="s">
        <v>475</v>
      </c>
      <c r="H39" s="142" t="s">
        <v>476</v>
      </c>
    </row>
    <row r="40" spans="1:8" ht="12.75" customHeight="1">
      <c r="A40" s="45" t="s">
        <v>555</v>
      </c>
      <c r="B40" s="45" t="s">
        <v>556</v>
      </c>
      <c r="C40" s="45" t="s">
        <v>552</v>
      </c>
      <c r="D40" t="s">
        <v>473</v>
      </c>
      <c r="E40" s="42" t="s">
        <v>474</v>
      </c>
      <c r="F40" s="143">
        <v>141327</v>
      </c>
      <c r="G40" s="143" t="s">
        <v>475</v>
      </c>
      <c r="H40" s="144" t="s">
        <v>476</v>
      </c>
    </row>
    <row r="41" spans="1:8" ht="12.75" customHeight="1">
      <c r="A41" s="47" t="s">
        <v>557</v>
      </c>
      <c r="B41" s="45" t="s">
        <v>558</v>
      </c>
      <c r="C41" s="45" t="s">
        <v>552</v>
      </c>
      <c r="D41" t="s">
        <v>473</v>
      </c>
      <c r="E41" s="42" t="s">
        <v>474</v>
      </c>
      <c r="F41" s="141">
        <v>141382</v>
      </c>
      <c r="G41" s="141" t="s">
        <v>475</v>
      </c>
      <c r="H41" s="142" t="s">
        <v>476</v>
      </c>
    </row>
    <row r="42" spans="1:8" ht="12.75" customHeight="1">
      <c r="A42" s="45" t="s">
        <v>559</v>
      </c>
      <c r="B42" s="45" t="s">
        <v>560</v>
      </c>
      <c r="C42" s="45" t="s">
        <v>552</v>
      </c>
      <c r="D42" t="s">
        <v>473</v>
      </c>
      <c r="E42" s="42" t="s">
        <v>474</v>
      </c>
      <c r="F42" s="143">
        <v>141427</v>
      </c>
      <c r="G42" s="143" t="s">
        <v>475</v>
      </c>
      <c r="H42" s="144" t="s">
        <v>476</v>
      </c>
    </row>
    <row r="43" spans="1:8" ht="12.75" customHeight="1">
      <c r="A43" s="47" t="s">
        <v>561</v>
      </c>
      <c r="B43" s="45" t="s">
        <v>562</v>
      </c>
      <c r="C43" s="45" t="s">
        <v>552</v>
      </c>
      <c r="D43" t="s">
        <v>473</v>
      </c>
      <c r="E43" s="42" t="s">
        <v>474</v>
      </c>
      <c r="F43" s="141">
        <v>145739</v>
      </c>
      <c r="G43" s="141" t="s">
        <v>475</v>
      </c>
      <c r="H43" s="142" t="s">
        <v>476</v>
      </c>
    </row>
    <row r="44" spans="1:8" ht="12.75" customHeight="1">
      <c r="A44" s="45" t="s">
        <v>563</v>
      </c>
      <c r="B44" s="45" t="s">
        <v>564</v>
      </c>
      <c r="C44" s="45" t="s">
        <v>552</v>
      </c>
      <c r="D44" t="s">
        <v>473</v>
      </c>
      <c r="E44" s="42" t="s">
        <v>474</v>
      </c>
      <c r="F44" s="143">
        <v>141464</v>
      </c>
      <c r="G44" s="143" t="s">
        <v>475</v>
      </c>
      <c r="H44" s="144" t="s">
        <v>476</v>
      </c>
    </row>
    <row r="45" spans="1:8" ht="12.75" customHeight="1">
      <c r="A45" s="47" t="s">
        <v>565</v>
      </c>
      <c r="B45" s="45" t="s">
        <v>566</v>
      </c>
      <c r="C45" s="45" t="s">
        <v>552</v>
      </c>
      <c r="D45" t="s">
        <v>473</v>
      </c>
      <c r="E45" s="42" t="s">
        <v>474</v>
      </c>
      <c r="F45" s="141">
        <v>141467</v>
      </c>
      <c r="G45" s="141" t="s">
        <v>475</v>
      </c>
      <c r="H45" s="142" t="s">
        <v>476</v>
      </c>
    </row>
    <row r="46" spans="1:8" ht="12.75" customHeight="1">
      <c r="A46" s="45" t="s">
        <v>567</v>
      </c>
      <c r="B46" s="45" t="s">
        <v>568</v>
      </c>
      <c r="C46" s="45" t="s">
        <v>552</v>
      </c>
      <c r="D46" t="s">
        <v>473</v>
      </c>
      <c r="E46" s="42" t="s">
        <v>474</v>
      </c>
      <c r="F46" s="143">
        <v>141468</v>
      </c>
      <c r="G46" s="143" t="s">
        <v>475</v>
      </c>
      <c r="H46" s="144" t="s">
        <v>476</v>
      </c>
    </row>
    <row r="47" spans="1:8" ht="12.75" customHeight="1">
      <c r="A47" s="47" t="s">
        <v>569</v>
      </c>
      <c r="B47" s="45" t="s">
        <v>570</v>
      </c>
      <c r="C47" s="45" t="s">
        <v>552</v>
      </c>
      <c r="D47" t="s">
        <v>473</v>
      </c>
      <c r="E47" s="42" t="s">
        <v>474</v>
      </c>
      <c r="F47" s="141">
        <v>140216</v>
      </c>
      <c r="G47" s="141" t="s">
        <v>475</v>
      </c>
      <c r="H47" s="142" t="s">
        <v>476</v>
      </c>
    </row>
    <row r="48" spans="1:8" ht="12.75" customHeight="1">
      <c r="A48" s="45" t="s">
        <v>571</v>
      </c>
      <c r="B48" s="45" t="s">
        <v>572</v>
      </c>
      <c r="C48" s="45" t="s">
        <v>552</v>
      </c>
      <c r="D48" t="s">
        <v>473</v>
      </c>
      <c r="E48" s="42" t="s">
        <v>474</v>
      </c>
      <c r="F48" s="143">
        <v>144566</v>
      </c>
      <c r="G48" s="143" t="s">
        <v>475</v>
      </c>
      <c r="H48" s="144" t="s">
        <v>476</v>
      </c>
    </row>
    <row r="49" spans="1:8" ht="12.75" customHeight="1">
      <c r="A49" s="47" t="s">
        <v>573</v>
      </c>
      <c r="B49" s="45" t="s">
        <v>574</v>
      </c>
      <c r="C49" s="45" t="s">
        <v>552</v>
      </c>
      <c r="D49" t="s">
        <v>473</v>
      </c>
      <c r="E49" s="42" t="s">
        <v>474</v>
      </c>
      <c r="F49" s="141">
        <v>141317</v>
      </c>
      <c r="G49" s="141" t="s">
        <v>475</v>
      </c>
      <c r="H49" s="142" t="s">
        <v>476</v>
      </c>
    </row>
    <row r="50" spans="1:8" ht="12.75" customHeight="1">
      <c r="A50" s="45" t="s">
        <v>575</v>
      </c>
      <c r="B50" s="45" t="s">
        <v>576</v>
      </c>
      <c r="C50" s="45" t="s">
        <v>552</v>
      </c>
      <c r="D50" t="s">
        <v>473</v>
      </c>
      <c r="E50" s="42" t="s">
        <v>474</v>
      </c>
      <c r="F50" s="143">
        <v>140334</v>
      </c>
      <c r="G50" s="143" t="s">
        <v>475</v>
      </c>
      <c r="H50" s="144" t="s">
        <v>476</v>
      </c>
    </row>
    <row r="51" spans="1:8" ht="12.75" customHeight="1">
      <c r="A51" s="48" t="s">
        <v>577</v>
      </c>
      <c r="B51" s="45" t="s">
        <v>578</v>
      </c>
      <c r="C51" s="45" t="s">
        <v>552</v>
      </c>
      <c r="D51" t="s">
        <v>473</v>
      </c>
      <c r="E51" s="42" t="s">
        <v>474</v>
      </c>
      <c r="F51" s="141">
        <v>140262</v>
      </c>
      <c r="G51" s="141" t="s">
        <v>475</v>
      </c>
      <c r="H51" s="142" t="s">
        <v>476</v>
      </c>
    </row>
    <row r="52" spans="1:8" ht="12.75" customHeight="1">
      <c r="A52" s="45" t="s">
        <v>579</v>
      </c>
      <c r="B52" s="45" t="s">
        <v>580</v>
      </c>
      <c r="C52" s="45" t="s">
        <v>552</v>
      </c>
      <c r="D52" t="s">
        <v>473</v>
      </c>
      <c r="E52" s="42" t="s">
        <v>474</v>
      </c>
      <c r="F52" s="143">
        <v>141443</v>
      </c>
      <c r="G52" s="143" t="s">
        <v>475</v>
      </c>
      <c r="H52" s="144" t="s">
        <v>476</v>
      </c>
    </row>
    <row r="53" spans="1:8" ht="12.75" customHeight="1">
      <c r="A53" s="47" t="s">
        <v>581</v>
      </c>
      <c r="B53" s="45" t="s">
        <v>582</v>
      </c>
      <c r="C53" s="45" t="s">
        <v>552</v>
      </c>
      <c r="D53" t="s">
        <v>473</v>
      </c>
      <c r="E53" s="42" t="s">
        <v>474</v>
      </c>
      <c r="F53" s="141">
        <v>141441</v>
      </c>
      <c r="G53" s="141" t="s">
        <v>475</v>
      </c>
      <c r="H53" s="142" t="s">
        <v>476</v>
      </c>
    </row>
    <row r="54" spans="1:8" ht="12.75" customHeight="1">
      <c r="A54" s="45" t="s">
        <v>583</v>
      </c>
      <c r="B54" s="45" t="s">
        <v>584</v>
      </c>
      <c r="C54" s="45" t="s">
        <v>552</v>
      </c>
      <c r="D54" t="s">
        <v>473</v>
      </c>
      <c r="E54" s="42" t="s">
        <v>474</v>
      </c>
      <c r="F54" s="143">
        <v>141445</v>
      </c>
      <c r="G54" s="143" t="s">
        <v>475</v>
      </c>
      <c r="H54" s="144" t="s">
        <v>476</v>
      </c>
    </row>
    <row r="55" spans="1:8" ht="12.75" customHeight="1">
      <c r="A55" s="47" t="s">
        <v>585</v>
      </c>
      <c r="B55" s="45" t="s">
        <v>586</v>
      </c>
      <c r="C55" s="45" t="s">
        <v>552</v>
      </c>
      <c r="D55" t="s">
        <v>473</v>
      </c>
      <c r="E55" s="42" t="s">
        <v>474</v>
      </c>
      <c r="F55" s="141">
        <v>144269</v>
      </c>
      <c r="G55" s="141" t="s">
        <v>475</v>
      </c>
      <c r="H55" s="142" t="s">
        <v>476</v>
      </c>
    </row>
    <row r="56" spans="1:8" ht="12.75" customHeight="1">
      <c r="A56" s="45" t="s">
        <v>587</v>
      </c>
      <c r="B56" s="45" t="s">
        <v>588</v>
      </c>
      <c r="C56" s="45" t="s">
        <v>552</v>
      </c>
      <c r="D56" t="s">
        <v>473</v>
      </c>
      <c r="E56" s="42" t="s">
        <v>474</v>
      </c>
      <c r="F56" s="143">
        <v>141344</v>
      </c>
      <c r="G56" s="143" t="s">
        <v>475</v>
      </c>
      <c r="H56" s="144" t="s">
        <v>476</v>
      </c>
    </row>
    <row r="57" spans="1:8" ht="12.75" customHeight="1">
      <c r="A57" s="47" t="s">
        <v>589</v>
      </c>
      <c r="B57" s="45" t="s">
        <v>590</v>
      </c>
      <c r="C57" s="45" t="s">
        <v>552</v>
      </c>
      <c r="D57" t="s">
        <v>473</v>
      </c>
      <c r="E57" s="42" t="s">
        <v>474</v>
      </c>
      <c r="F57" s="141">
        <v>142050</v>
      </c>
      <c r="G57" s="141" t="s">
        <v>475</v>
      </c>
      <c r="H57" s="142" t="s">
        <v>476</v>
      </c>
    </row>
    <row r="58" spans="1:8" ht="12.75" customHeight="1">
      <c r="A58" s="45" t="s">
        <v>591</v>
      </c>
      <c r="B58" s="45" t="s">
        <v>592</v>
      </c>
      <c r="C58" s="45" t="s">
        <v>552</v>
      </c>
      <c r="D58" t="s">
        <v>473</v>
      </c>
      <c r="E58" s="42" t="s">
        <v>474</v>
      </c>
      <c r="F58" s="143">
        <v>140332</v>
      </c>
      <c r="G58" s="143" t="s">
        <v>475</v>
      </c>
      <c r="H58" s="144" t="s">
        <v>476</v>
      </c>
    </row>
    <row r="59" spans="1:8" ht="12.75" customHeight="1">
      <c r="A59" s="45" t="s">
        <v>593</v>
      </c>
      <c r="B59" s="45" t="s">
        <v>594</v>
      </c>
      <c r="C59" s="45" t="s">
        <v>552</v>
      </c>
      <c r="E59" s="42" t="s">
        <v>474</v>
      </c>
      <c r="F59" s="141">
        <v>141466</v>
      </c>
      <c r="G59" s="141" t="s">
        <v>475</v>
      </c>
      <c r="H59" s="142" t="s">
        <v>476</v>
      </c>
    </row>
    <row r="60" spans="1:8" ht="12.75" customHeight="1">
      <c r="A60" s="45" t="s">
        <v>595</v>
      </c>
      <c r="B60" s="45" t="s">
        <v>596</v>
      </c>
      <c r="C60" s="45" t="s">
        <v>552</v>
      </c>
      <c r="D60" t="s">
        <v>473</v>
      </c>
      <c r="E60" s="42" t="s">
        <v>474</v>
      </c>
      <c r="F60" s="143">
        <v>142088</v>
      </c>
      <c r="G60" s="143" t="s">
        <v>475</v>
      </c>
      <c r="H60" s="144" t="s">
        <v>476</v>
      </c>
    </row>
    <row r="61" spans="1:8" ht="12.75" customHeight="1">
      <c r="A61" s="47" t="s">
        <v>597</v>
      </c>
      <c r="B61" s="45" t="s">
        <v>598</v>
      </c>
      <c r="C61" s="45" t="s">
        <v>552</v>
      </c>
      <c r="D61" t="s">
        <v>473</v>
      </c>
      <c r="E61" s="42" t="s">
        <v>474</v>
      </c>
      <c r="F61" s="141">
        <v>144110</v>
      </c>
      <c r="G61" s="141" t="s">
        <v>475</v>
      </c>
      <c r="H61" s="142" t="s">
        <v>476</v>
      </c>
    </row>
    <row r="62" spans="1:8" ht="12.75" customHeight="1">
      <c r="A62" s="45" t="s">
        <v>599</v>
      </c>
      <c r="B62" s="45" t="s">
        <v>600</v>
      </c>
      <c r="C62" s="45" t="s">
        <v>552</v>
      </c>
      <c r="D62" t="s">
        <v>473</v>
      </c>
      <c r="E62" s="42" t="s">
        <v>474</v>
      </c>
      <c r="F62" s="143">
        <v>144103</v>
      </c>
      <c r="G62" s="143" t="s">
        <v>475</v>
      </c>
      <c r="H62" s="144" t="s">
        <v>476</v>
      </c>
    </row>
    <row r="63" spans="1:8" ht="12.75" customHeight="1">
      <c r="A63" s="47" t="s">
        <v>601</v>
      </c>
      <c r="B63" s="45" t="s">
        <v>602</v>
      </c>
      <c r="C63" s="45" t="s">
        <v>552</v>
      </c>
      <c r="D63" t="s">
        <v>473</v>
      </c>
      <c r="E63" s="42" t="s">
        <v>474</v>
      </c>
      <c r="F63" s="141">
        <v>141918</v>
      </c>
      <c r="G63" s="141" t="s">
        <v>475</v>
      </c>
      <c r="H63" s="142" t="s">
        <v>476</v>
      </c>
    </row>
    <row r="64" spans="1:8" ht="12.75" customHeight="1">
      <c r="A64" s="45" t="s">
        <v>603</v>
      </c>
      <c r="B64" s="45" t="s">
        <v>604</v>
      </c>
      <c r="C64" s="45" t="s">
        <v>552</v>
      </c>
      <c r="D64" t="s">
        <v>473</v>
      </c>
      <c r="E64" s="42" t="s">
        <v>474</v>
      </c>
      <c r="F64" s="143">
        <v>144813</v>
      </c>
      <c r="G64" s="143" t="s">
        <v>475</v>
      </c>
      <c r="H64" s="144" t="s">
        <v>476</v>
      </c>
    </row>
    <row r="65" spans="1:8" ht="12.75" customHeight="1">
      <c r="A65" s="47" t="s">
        <v>605</v>
      </c>
      <c r="B65" s="45" t="s">
        <v>606</v>
      </c>
      <c r="C65" s="45" t="s">
        <v>552</v>
      </c>
      <c r="E65" s="42" t="s">
        <v>474</v>
      </c>
      <c r="F65" s="141">
        <v>145709</v>
      </c>
      <c r="G65" s="141" t="s">
        <v>475</v>
      </c>
      <c r="H65" s="142" t="s">
        <v>476</v>
      </c>
    </row>
    <row r="66" spans="1:8" ht="12.75" customHeight="1">
      <c r="A66" s="45" t="s">
        <v>607</v>
      </c>
      <c r="B66" s="45" t="s">
        <v>608</v>
      </c>
      <c r="C66" s="45" t="s">
        <v>552</v>
      </c>
      <c r="D66" t="s">
        <v>473</v>
      </c>
      <c r="E66" s="42" t="s">
        <v>474</v>
      </c>
      <c r="F66" s="143">
        <v>143233</v>
      </c>
      <c r="G66" s="143" t="s">
        <v>475</v>
      </c>
      <c r="H66" s="144" t="s">
        <v>476</v>
      </c>
    </row>
    <row r="67" spans="1:8" ht="12.75" customHeight="1">
      <c r="A67" s="47" t="s">
        <v>609</v>
      </c>
      <c r="B67" s="45" t="s">
        <v>610</v>
      </c>
      <c r="C67" s="45" t="s">
        <v>552</v>
      </c>
      <c r="D67" t="s">
        <v>473</v>
      </c>
      <c r="E67" s="42" t="s">
        <v>474</v>
      </c>
      <c r="F67" s="141">
        <v>141916</v>
      </c>
      <c r="G67" s="141" t="s">
        <v>475</v>
      </c>
      <c r="H67" s="142" t="s">
        <v>476</v>
      </c>
    </row>
    <row r="68" spans="1:8" ht="12.75" customHeight="1">
      <c r="A68" s="45" t="s">
        <v>611</v>
      </c>
      <c r="B68" s="45" t="s">
        <v>612</v>
      </c>
      <c r="C68" s="45" t="s">
        <v>552</v>
      </c>
      <c r="D68" t="s">
        <v>473</v>
      </c>
      <c r="E68" s="42" t="s">
        <v>474</v>
      </c>
      <c r="F68" s="143">
        <v>142875</v>
      </c>
      <c r="G68" s="143" t="s">
        <v>475</v>
      </c>
      <c r="H68" s="144" t="s">
        <v>476</v>
      </c>
    </row>
    <row r="69" spans="1:8" ht="12.75" customHeight="1">
      <c r="A69" s="47" t="s">
        <v>613</v>
      </c>
      <c r="B69" s="45" t="s">
        <v>614</v>
      </c>
      <c r="C69" s="45" t="s">
        <v>615</v>
      </c>
      <c r="E69" s="42" t="s">
        <v>474</v>
      </c>
      <c r="F69" s="141">
        <v>144679</v>
      </c>
      <c r="G69" s="141" t="s">
        <v>481</v>
      </c>
      <c r="H69" s="142" t="s">
        <v>476</v>
      </c>
    </row>
    <row r="70" spans="1:8" ht="12.75" customHeight="1">
      <c r="A70" s="45" t="s">
        <v>616</v>
      </c>
      <c r="B70" s="45" t="s">
        <v>617</v>
      </c>
      <c r="C70" s="45" t="s">
        <v>615</v>
      </c>
      <c r="E70" s="42" t="s">
        <v>474</v>
      </c>
      <c r="F70" s="143">
        <v>144679</v>
      </c>
      <c r="G70" s="143" t="s">
        <v>481</v>
      </c>
      <c r="H70" s="144" t="s">
        <v>476</v>
      </c>
    </row>
    <row r="71" spans="1:8" ht="12.75" customHeight="1">
      <c r="A71" s="47" t="s">
        <v>618</v>
      </c>
      <c r="B71" s="45" t="s">
        <v>619</v>
      </c>
      <c r="C71" s="45" t="s">
        <v>615</v>
      </c>
      <c r="E71" s="42" t="s">
        <v>474</v>
      </c>
      <c r="F71" s="141">
        <v>144679</v>
      </c>
      <c r="G71" s="141" t="s">
        <v>481</v>
      </c>
      <c r="H71" s="142" t="s">
        <v>476</v>
      </c>
    </row>
    <row r="72" spans="1:8" ht="12.75" customHeight="1">
      <c r="A72" s="45" t="s">
        <v>620</v>
      </c>
      <c r="B72" s="45" t="s">
        <v>621</v>
      </c>
      <c r="C72" s="45" t="s">
        <v>615</v>
      </c>
      <c r="E72" s="42" t="s">
        <v>474</v>
      </c>
      <c r="F72" s="143">
        <v>144679</v>
      </c>
      <c r="G72" s="143" t="s">
        <v>481</v>
      </c>
      <c r="H72" s="144" t="s">
        <v>476</v>
      </c>
    </row>
    <row r="73" spans="1:8" ht="12.75" customHeight="1">
      <c r="A73" s="47" t="s">
        <v>622</v>
      </c>
      <c r="B73" s="45" t="s">
        <v>623</v>
      </c>
      <c r="C73" s="45" t="s">
        <v>615</v>
      </c>
      <c r="E73" s="42" t="s">
        <v>474</v>
      </c>
      <c r="F73" s="141">
        <v>144679</v>
      </c>
      <c r="G73" s="141" t="s">
        <v>481</v>
      </c>
      <c r="H73" s="142" t="s">
        <v>476</v>
      </c>
    </row>
    <row r="74" spans="1:8" ht="12.75" customHeight="1">
      <c r="A74" s="45" t="s">
        <v>624</v>
      </c>
      <c r="B74" s="45" t="s">
        <v>625</v>
      </c>
      <c r="C74" s="45" t="s">
        <v>615</v>
      </c>
      <c r="E74" s="42" t="s">
        <v>474</v>
      </c>
      <c r="F74" s="143">
        <v>144679</v>
      </c>
      <c r="G74" s="143" t="s">
        <v>481</v>
      </c>
      <c r="H74" s="144" t="s">
        <v>476</v>
      </c>
    </row>
    <row r="75" spans="1:8" ht="12.75" customHeight="1">
      <c r="A75" s="45" t="s">
        <v>626</v>
      </c>
      <c r="B75" s="45" t="s">
        <v>627</v>
      </c>
      <c r="C75" s="45" t="s">
        <v>615</v>
      </c>
      <c r="E75" s="42" t="s">
        <v>474</v>
      </c>
      <c r="F75" s="141">
        <v>144679</v>
      </c>
      <c r="G75" s="141" t="s">
        <v>481</v>
      </c>
      <c r="H75" s="142" t="s">
        <v>476</v>
      </c>
    </row>
    <row r="76" spans="1:8" ht="12.75" customHeight="1">
      <c r="A76" s="45" t="s">
        <v>628</v>
      </c>
      <c r="B76" s="45" t="s">
        <v>629</v>
      </c>
      <c r="C76" s="45" t="s">
        <v>615</v>
      </c>
      <c r="E76" s="42" t="s">
        <v>474</v>
      </c>
      <c r="F76" s="143">
        <v>144679</v>
      </c>
      <c r="G76" s="143" t="s">
        <v>481</v>
      </c>
      <c r="H76" s="144" t="s">
        <v>476</v>
      </c>
    </row>
    <row r="77" spans="1:8" ht="12.75" customHeight="1">
      <c r="A77" s="47" t="s">
        <v>630</v>
      </c>
      <c r="B77" s="45" t="s">
        <v>631</v>
      </c>
      <c r="C77" s="45" t="s">
        <v>615</v>
      </c>
      <c r="E77" s="42" t="s">
        <v>474</v>
      </c>
      <c r="F77" s="141">
        <v>144679</v>
      </c>
      <c r="G77" s="141" t="s">
        <v>481</v>
      </c>
      <c r="H77" s="142" t="s">
        <v>476</v>
      </c>
    </row>
    <row r="78" spans="1:8" ht="12.75" customHeight="1">
      <c r="A78" t="s">
        <v>632</v>
      </c>
      <c r="B78" t="s">
        <v>12</v>
      </c>
      <c r="C78" t="s">
        <v>633</v>
      </c>
      <c r="D78" t="s">
        <v>473</v>
      </c>
      <c r="E78" t="s">
        <v>474</v>
      </c>
      <c r="F78" s="143">
        <v>101497</v>
      </c>
      <c r="G78" s="143" t="s">
        <v>481</v>
      </c>
      <c r="H78" s="144" t="s">
        <v>482</v>
      </c>
    </row>
    <row r="79" spans="1:8" ht="12.75" customHeight="1">
      <c r="A79" t="s">
        <v>634</v>
      </c>
      <c r="B79" t="s">
        <v>635</v>
      </c>
      <c r="C79" t="s">
        <v>633</v>
      </c>
      <c r="D79" t="s">
        <v>473</v>
      </c>
      <c r="E79" t="s">
        <v>474</v>
      </c>
      <c r="F79" s="141">
        <v>101497</v>
      </c>
      <c r="G79" s="141" t="s">
        <v>481</v>
      </c>
      <c r="H79" s="142" t="s">
        <v>482</v>
      </c>
    </row>
    <row r="80" spans="1:8" ht="12.75" customHeight="1">
      <c r="A80" t="s">
        <v>636</v>
      </c>
      <c r="B80" t="s">
        <v>637</v>
      </c>
      <c r="C80" t="s">
        <v>633</v>
      </c>
      <c r="D80" t="s">
        <v>473</v>
      </c>
      <c r="E80" t="s">
        <v>474</v>
      </c>
      <c r="F80" s="143">
        <v>102073</v>
      </c>
      <c r="G80" s="143" t="s">
        <v>481</v>
      </c>
      <c r="H80" s="144" t="s">
        <v>482</v>
      </c>
    </row>
    <row r="81" spans="1:8" ht="12.75" customHeight="1">
      <c r="A81" t="s">
        <v>638</v>
      </c>
      <c r="B81" t="s">
        <v>639</v>
      </c>
      <c r="C81" t="s">
        <v>633</v>
      </c>
      <c r="D81" t="s">
        <v>473</v>
      </c>
      <c r="E81" t="s">
        <v>474</v>
      </c>
      <c r="F81" s="141">
        <v>102566</v>
      </c>
      <c r="G81" s="141" t="s">
        <v>481</v>
      </c>
      <c r="H81" s="142" t="s">
        <v>482</v>
      </c>
    </row>
    <row r="82" spans="1:8" ht="12.75" customHeight="1">
      <c r="A82" t="s">
        <v>640</v>
      </c>
      <c r="B82" t="s">
        <v>641</v>
      </c>
      <c r="C82" t="s">
        <v>633</v>
      </c>
      <c r="D82" t="s">
        <v>473</v>
      </c>
      <c r="E82" t="s">
        <v>474</v>
      </c>
      <c r="F82" s="143">
        <v>192010</v>
      </c>
      <c r="G82" s="143" t="s">
        <v>475</v>
      </c>
      <c r="H82" s="144" t="s">
        <v>476</v>
      </c>
    </row>
    <row r="83" spans="1:8" ht="12.75" customHeight="1">
      <c r="A83" t="s">
        <v>642</v>
      </c>
      <c r="B83" t="s">
        <v>643</v>
      </c>
      <c r="C83" t="s">
        <v>633</v>
      </c>
      <c r="D83" t="s">
        <v>473</v>
      </c>
      <c r="E83" t="s">
        <v>474</v>
      </c>
      <c r="F83" s="141">
        <v>192156</v>
      </c>
      <c r="G83" s="141" t="s">
        <v>475</v>
      </c>
      <c r="H83" s="142" t="s">
        <v>476</v>
      </c>
    </row>
    <row r="84" spans="1:8" ht="12.75" customHeight="1">
      <c r="A84" t="s">
        <v>644</v>
      </c>
      <c r="B84" t="s">
        <v>645</v>
      </c>
      <c r="C84" t="s">
        <v>633</v>
      </c>
      <c r="D84" t="s">
        <v>473</v>
      </c>
      <c r="E84" t="s">
        <v>474</v>
      </c>
      <c r="F84" s="143">
        <v>198359</v>
      </c>
      <c r="G84" s="143" t="s">
        <v>475</v>
      </c>
      <c r="H84" s="144" t="s">
        <v>476</v>
      </c>
    </row>
    <row r="85" spans="1:8" ht="12.75" customHeight="1">
      <c r="A85" t="s">
        <v>646</v>
      </c>
      <c r="B85" t="s">
        <v>647</v>
      </c>
      <c r="C85" t="s">
        <v>633</v>
      </c>
      <c r="D85" t="s">
        <v>473</v>
      </c>
      <c r="E85" t="s">
        <v>474</v>
      </c>
    </row>
    <row r="86" spans="1:8" ht="12.75" customHeight="1">
      <c r="A86" t="s">
        <v>648</v>
      </c>
      <c r="B86" t="s">
        <v>649</v>
      </c>
      <c r="C86" t="s">
        <v>633</v>
      </c>
      <c r="D86" t="s">
        <v>473</v>
      </c>
      <c r="E86" t="s">
        <v>474</v>
      </c>
    </row>
    <row r="87" spans="1:8" ht="12.75" customHeight="1">
      <c r="A87" t="s">
        <v>650</v>
      </c>
      <c r="B87" t="s">
        <v>651</v>
      </c>
      <c r="C87" t="s">
        <v>472</v>
      </c>
      <c r="D87" t="s">
        <v>485</v>
      </c>
      <c r="E87" t="s">
        <v>474</v>
      </c>
    </row>
    <row r="88" spans="1:8" ht="12.75" customHeight="1">
      <c r="A88" t="s">
        <v>652</v>
      </c>
      <c r="B88" t="s">
        <v>653</v>
      </c>
      <c r="C88" t="s">
        <v>472</v>
      </c>
      <c r="D88" t="s">
        <v>473</v>
      </c>
      <c r="E88" t="s">
        <v>474</v>
      </c>
    </row>
    <row r="89" spans="1:8" ht="12.75" customHeight="1">
      <c r="A89" t="s">
        <v>654</v>
      </c>
      <c r="B89" t="s">
        <v>655</v>
      </c>
      <c r="C89" t="s">
        <v>472</v>
      </c>
      <c r="D89" t="s">
        <v>473</v>
      </c>
      <c r="E89" t="s">
        <v>474</v>
      </c>
    </row>
    <row r="90" spans="1:8" ht="12.75" customHeight="1">
      <c r="A90" t="s">
        <v>656</v>
      </c>
      <c r="B90" t="s">
        <v>657</v>
      </c>
      <c r="C90" t="s">
        <v>472</v>
      </c>
      <c r="D90" t="s">
        <v>473</v>
      </c>
      <c r="E90" t="s">
        <v>474</v>
      </c>
    </row>
  </sheetData>
  <conditionalFormatting sqref="A4:A90">
    <cfRule type="duplicateValues" dxfId="0" priority="20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AC45B27D-EC33-4491-98BA-9BCF9F3E51BB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2026-02-20T20:12:09Z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