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6C72F482-5054-40BD-BB7D-B06F213DCB06}"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3" l="1"/>
  <c r="I9" i="33" s="1"/>
  <c r="H10" i="33"/>
  <c r="I10" i="33" s="1"/>
  <c r="H11" i="33"/>
  <c r="I11" i="33" s="1"/>
  <c r="H12" i="33"/>
  <c r="I12" i="33" s="1"/>
  <c r="H13" i="33"/>
  <c r="I13" i="33" s="1"/>
  <c r="H14" i="33"/>
  <c r="I14" i="33" s="1"/>
  <c r="H15" i="33"/>
  <c r="I15" i="33" s="1"/>
  <c r="H16" i="33"/>
  <c r="I16" i="33" s="1"/>
  <c r="H17" i="33"/>
  <c r="I17" i="33" s="1"/>
  <c r="H18" i="33"/>
  <c r="I18" i="33" s="1"/>
  <c r="E9" i="33"/>
  <c r="F9" i="33" s="1"/>
  <c r="E10" i="33"/>
  <c r="F10" i="33" s="1"/>
  <c r="E11" i="33"/>
  <c r="F11" i="33" s="1"/>
  <c r="E12" i="33"/>
  <c r="F12" i="33" s="1"/>
  <c r="E13" i="33"/>
  <c r="F13" i="33" s="1"/>
  <c r="E14" i="33"/>
  <c r="F14" i="33" s="1"/>
  <c r="E15" i="33"/>
  <c r="F15" i="33" s="1"/>
  <c r="E16" i="33"/>
  <c r="F16" i="33" s="1"/>
  <c r="E17" i="33"/>
  <c r="F17" i="33" s="1"/>
  <c r="E18" i="33"/>
  <c r="F18" i="33" s="1"/>
  <c r="I16" i="18" l="1"/>
  <c r="I17" i="18"/>
  <c r="I18" i="18"/>
  <c r="H16" i="18"/>
  <c r="H17" i="18"/>
  <c r="H18" i="18"/>
  <c r="G16" i="18"/>
  <c r="G17" i="18"/>
  <c r="G18" i="18"/>
  <c r="F16" i="18"/>
  <c r="F17" i="18"/>
  <c r="F18" i="18"/>
  <c r="E16" i="18"/>
  <c r="E17" i="18"/>
  <c r="E18" i="18"/>
  <c r="D16" i="18"/>
  <c r="D17" i="18"/>
  <c r="D18" i="18"/>
  <c r="C16" i="18"/>
  <c r="C17" i="18"/>
  <c r="C18" i="18"/>
  <c r="I11" i="1"/>
  <c r="I12" i="1"/>
  <c r="I13" i="1"/>
  <c r="I14" i="1"/>
  <c r="I15" i="1"/>
  <c r="I16" i="1"/>
  <c r="I17" i="1"/>
  <c r="I18" i="1"/>
  <c r="H16" i="1"/>
  <c r="H17" i="1"/>
  <c r="H18" i="1"/>
  <c r="G16" i="1"/>
  <c r="G17" i="1"/>
  <c r="G18" i="1"/>
  <c r="F9" i="1"/>
  <c r="F10" i="1"/>
  <c r="F11" i="1"/>
  <c r="F12" i="1"/>
  <c r="F13" i="1"/>
  <c r="F14" i="1"/>
  <c r="F15" i="1"/>
  <c r="F16" i="1"/>
  <c r="F17" i="1"/>
  <c r="F18" i="1"/>
  <c r="E11" i="1"/>
  <c r="E12" i="1"/>
  <c r="E13" i="1"/>
  <c r="E14" i="1"/>
  <c r="E15" i="1"/>
  <c r="E16" i="1"/>
  <c r="E17" i="1"/>
  <c r="E18" i="1"/>
  <c r="D11" i="1"/>
  <c r="D12" i="1"/>
  <c r="D13" i="1"/>
  <c r="D14" i="1"/>
  <c r="D15" i="1"/>
  <c r="D16" i="1"/>
  <c r="D17" i="1"/>
  <c r="D18" i="1"/>
  <c r="C11" i="1"/>
  <c r="C12" i="1"/>
  <c r="C13" i="1"/>
  <c r="C14" i="1"/>
  <c r="C15" i="1"/>
  <c r="C16" i="1"/>
  <c r="C17" i="1"/>
  <c r="C18" i="1"/>
  <c r="E9" i="32"/>
  <c r="F9" i="32" s="1"/>
  <c r="H9" i="32"/>
  <c r="I9" i="32" s="1"/>
  <c r="E10" i="32"/>
  <c r="F10" i="32" s="1"/>
  <c r="H10" i="32"/>
  <c r="I10" i="32" s="1"/>
  <c r="E11" i="32"/>
  <c r="F11" i="32" s="1"/>
  <c r="H11" i="32"/>
  <c r="H11" i="30" s="1"/>
  <c r="E12" i="32"/>
  <c r="F12" i="32" s="1"/>
  <c r="H12" i="32"/>
  <c r="H12" i="30" s="1"/>
  <c r="E13" i="32"/>
  <c r="F13" i="32" s="1"/>
  <c r="H13" i="32"/>
  <c r="H13" i="30" s="1"/>
  <c r="I13" i="32"/>
  <c r="E14" i="32"/>
  <c r="F14" i="32" s="1"/>
  <c r="H14" i="32"/>
  <c r="H14" i="30" s="1"/>
  <c r="E15" i="32"/>
  <c r="F15" i="32" s="1"/>
  <c r="H15" i="32"/>
  <c r="I15" i="32" s="1"/>
  <c r="E16" i="32"/>
  <c r="F16" i="32" s="1"/>
  <c r="H16" i="32"/>
  <c r="H16" i="30" s="1"/>
  <c r="I16" i="32"/>
  <c r="E17" i="32"/>
  <c r="F17" i="32" s="1"/>
  <c r="H17" i="32"/>
  <c r="I17" i="32" s="1"/>
  <c r="E18" i="32"/>
  <c r="F18" i="32" s="1"/>
  <c r="H18" i="32"/>
  <c r="I18" i="32" s="1"/>
  <c r="G6" i="30"/>
  <c r="G7" i="30"/>
  <c r="G8" i="30"/>
  <c r="G9" i="30"/>
  <c r="G10" i="30"/>
  <c r="G11" i="30"/>
  <c r="G12" i="30"/>
  <c r="G13" i="30"/>
  <c r="G14" i="30"/>
  <c r="G15" i="30"/>
  <c r="G16" i="30"/>
  <c r="G16" i="34" s="1"/>
  <c r="G17" i="30"/>
  <c r="G17" i="34" s="1"/>
  <c r="G18" i="30"/>
  <c r="G18" i="34" s="1"/>
  <c r="D6" i="30"/>
  <c r="D7" i="30"/>
  <c r="D8" i="30"/>
  <c r="D9" i="30"/>
  <c r="D10" i="30"/>
  <c r="D11" i="30"/>
  <c r="D12" i="30"/>
  <c r="D13" i="30"/>
  <c r="D14" i="30"/>
  <c r="D15" i="30"/>
  <c r="D16" i="30"/>
  <c r="D16" i="34" s="1"/>
  <c r="D17" i="30"/>
  <c r="D17" i="34" s="1"/>
  <c r="D18" i="30"/>
  <c r="D18" i="34" s="1"/>
  <c r="C6" i="30"/>
  <c r="C7" i="30"/>
  <c r="E7" i="30" s="1"/>
  <c r="F7" i="30" s="1"/>
  <c r="C8" i="30"/>
  <c r="C9" i="30"/>
  <c r="C10" i="30"/>
  <c r="C11" i="30"/>
  <c r="C12" i="30"/>
  <c r="C13" i="30"/>
  <c r="C14" i="30"/>
  <c r="C15" i="30"/>
  <c r="C16" i="30"/>
  <c r="C17" i="30"/>
  <c r="C17" i="34" s="1"/>
  <c r="C18" i="30"/>
  <c r="E9" i="31"/>
  <c r="F9" i="31" s="1"/>
  <c r="E10" i="31"/>
  <c r="F10" i="31" s="1"/>
  <c r="E11" i="31"/>
  <c r="F11" i="31" s="1"/>
  <c r="E12" i="31"/>
  <c r="F12" i="31" s="1"/>
  <c r="E13" i="31"/>
  <c r="F13" i="31"/>
  <c r="E14" i="31"/>
  <c r="F14" i="31" s="1"/>
  <c r="E15" i="31"/>
  <c r="F15" i="31"/>
  <c r="E16" i="31"/>
  <c r="F16" i="31"/>
  <c r="E17" i="31"/>
  <c r="F17" i="31" s="1"/>
  <c r="E18" i="31"/>
  <c r="F18" i="31" s="1"/>
  <c r="H9" i="31"/>
  <c r="I9" i="31"/>
  <c r="H10" i="31"/>
  <c r="I10" i="31" s="1"/>
  <c r="H11" i="31"/>
  <c r="H12" i="31"/>
  <c r="I12" i="31" s="1"/>
  <c r="H13" i="31"/>
  <c r="I13" i="31"/>
  <c r="H14" i="31"/>
  <c r="H15" i="31"/>
  <c r="I15" i="31"/>
  <c r="H16" i="31"/>
  <c r="I16" i="31" s="1"/>
  <c r="H17" i="31"/>
  <c r="I17" i="31"/>
  <c r="H18" i="31"/>
  <c r="I18" i="31"/>
  <c r="I12" i="28"/>
  <c r="I16" i="29"/>
  <c r="I17" i="29"/>
  <c r="I18" i="29"/>
  <c r="H16" i="29"/>
  <c r="H17" i="29"/>
  <c r="H18" i="29"/>
  <c r="G16" i="29"/>
  <c r="G17" i="29"/>
  <c r="G18" i="29"/>
  <c r="F16" i="29"/>
  <c r="F17" i="29"/>
  <c r="F18" i="29"/>
  <c r="E16" i="29"/>
  <c r="E17" i="29"/>
  <c r="E18" i="29"/>
  <c r="D16" i="29"/>
  <c r="D17" i="29"/>
  <c r="D18" i="29"/>
  <c r="C16" i="29"/>
  <c r="C17" i="29"/>
  <c r="C18" i="29"/>
  <c r="I16" i="28"/>
  <c r="I17" i="28"/>
  <c r="I18" i="28"/>
  <c r="H16" i="28"/>
  <c r="H17" i="28"/>
  <c r="H18" i="28"/>
  <c r="F16" i="28"/>
  <c r="F17" i="28"/>
  <c r="F18" i="28"/>
  <c r="E16" i="28"/>
  <c r="E17" i="28"/>
  <c r="E18" i="28"/>
  <c r="I11" i="28"/>
  <c r="I14" i="28"/>
  <c r="H9" i="28"/>
  <c r="I9" i="28" s="1"/>
  <c r="H10" i="28"/>
  <c r="I10" i="28" s="1"/>
  <c r="H11" i="28"/>
  <c r="H12" i="28"/>
  <c r="H13" i="28"/>
  <c r="I13" i="28" s="1"/>
  <c r="H14" i="28"/>
  <c r="H15" i="28"/>
  <c r="I15" i="28" s="1"/>
  <c r="E9" i="28"/>
  <c r="E10" i="28"/>
  <c r="E11" i="28"/>
  <c r="E12" i="28"/>
  <c r="E13" i="28"/>
  <c r="E14" i="28"/>
  <c r="E15" i="28"/>
  <c r="F9" i="28"/>
  <c r="F10" i="28"/>
  <c r="F11" i="28"/>
  <c r="F12" i="28"/>
  <c r="F13" i="28"/>
  <c r="F14" i="28"/>
  <c r="F15" i="28"/>
  <c r="E9" i="27"/>
  <c r="F9" i="27" s="1"/>
  <c r="H9" i="27"/>
  <c r="I9" i="27" s="1"/>
  <c r="E10" i="27"/>
  <c r="F10" i="27" s="1"/>
  <c r="H10" i="27"/>
  <c r="I10" i="27" s="1"/>
  <c r="E11" i="27"/>
  <c r="F11" i="27" s="1"/>
  <c r="H11" i="27"/>
  <c r="I11" i="27" s="1"/>
  <c r="E12" i="27"/>
  <c r="F12" i="27"/>
  <c r="H12" i="27"/>
  <c r="I12" i="27" s="1"/>
  <c r="E13" i="27"/>
  <c r="F13" i="27"/>
  <c r="H13" i="27"/>
  <c r="I13" i="27" s="1"/>
  <c r="E14" i="27"/>
  <c r="F14" i="27" s="1"/>
  <c r="H14" i="27"/>
  <c r="I14" i="27" s="1"/>
  <c r="E15" i="27"/>
  <c r="F15" i="27"/>
  <c r="H15" i="27"/>
  <c r="I15" i="27" s="1"/>
  <c r="F6" i="26"/>
  <c r="F7" i="26"/>
  <c r="F8" i="26"/>
  <c r="F10" i="26"/>
  <c r="F11" i="26"/>
  <c r="F12" i="26"/>
  <c r="F14" i="26"/>
  <c r="F15" i="26"/>
  <c r="E6" i="26"/>
  <c r="E7" i="26"/>
  <c r="E8" i="26"/>
  <c r="E9" i="26"/>
  <c r="F9" i="26" s="1"/>
  <c r="E10" i="26"/>
  <c r="E11" i="26"/>
  <c r="E12" i="26"/>
  <c r="E13" i="26"/>
  <c r="F13" i="26" s="1"/>
  <c r="E14" i="26"/>
  <c r="E15" i="26"/>
  <c r="I11" i="26"/>
  <c r="I12" i="26"/>
  <c r="I14" i="26"/>
  <c r="H6" i="26"/>
  <c r="H7" i="26"/>
  <c r="H8" i="26"/>
  <c r="H9" i="26"/>
  <c r="I9" i="26" s="1"/>
  <c r="H10" i="26"/>
  <c r="I10" i="26" s="1"/>
  <c r="H11" i="26"/>
  <c r="H12" i="26"/>
  <c r="H13" i="26"/>
  <c r="I13" i="26" s="1"/>
  <c r="H14" i="26"/>
  <c r="H15" i="26"/>
  <c r="I15" i="26" s="1"/>
  <c r="I11" i="19"/>
  <c r="I12" i="19"/>
  <c r="I14" i="19"/>
  <c r="H9" i="19"/>
  <c r="I9" i="19" s="1"/>
  <c r="H10" i="19"/>
  <c r="I10" i="19" s="1"/>
  <c r="H11" i="19"/>
  <c r="H12" i="19"/>
  <c r="H13" i="19"/>
  <c r="I13" i="19" s="1"/>
  <c r="H14" i="19"/>
  <c r="H15" i="19"/>
  <c r="I15" i="19" s="1"/>
  <c r="F11" i="19"/>
  <c r="F12" i="19"/>
  <c r="F14" i="19"/>
  <c r="E9" i="19"/>
  <c r="F9" i="19" s="1"/>
  <c r="E10" i="19"/>
  <c r="F10" i="19" s="1"/>
  <c r="E11" i="19"/>
  <c r="E12" i="19"/>
  <c r="E13" i="19"/>
  <c r="F13" i="19" s="1"/>
  <c r="E14" i="19"/>
  <c r="E15" i="19"/>
  <c r="F15" i="19" s="1"/>
  <c r="H9" i="29"/>
  <c r="H12" i="29"/>
  <c r="H13" i="29"/>
  <c r="H15" i="29"/>
  <c r="G9" i="29"/>
  <c r="G10" i="29"/>
  <c r="G11" i="29"/>
  <c r="G12" i="29"/>
  <c r="G13" i="29"/>
  <c r="G14" i="29"/>
  <c r="G15" i="29"/>
  <c r="D9" i="29"/>
  <c r="D10" i="29"/>
  <c r="D11" i="29"/>
  <c r="D12" i="29"/>
  <c r="D13" i="29"/>
  <c r="D14" i="29"/>
  <c r="D15" i="29"/>
  <c r="C9" i="29"/>
  <c r="E9" i="29" s="1"/>
  <c r="F9" i="29" s="1"/>
  <c r="C10" i="29"/>
  <c r="C11" i="29"/>
  <c r="C12" i="29"/>
  <c r="C13" i="29"/>
  <c r="C14" i="29"/>
  <c r="C15" i="29"/>
  <c r="H11" i="18"/>
  <c r="H12" i="18"/>
  <c r="H13" i="18"/>
  <c r="H14" i="18"/>
  <c r="H15" i="18"/>
  <c r="G11" i="18"/>
  <c r="G12" i="18"/>
  <c r="G13" i="18"/>
  <c r="G14" i="18"/>
  <c r="G15" i="18"/>
  <c r="E11" i="18"/>
  <c r="F11" i="18" s="1"/>
  <c r="E12" i="18"/>
  <c r="F12" i="18" s="1"/>
  <c r="E14" i="18"/>
  <c r="F14" i="18" s="1"/>
  <c r="D11" i="18"/>
  <c r="D12" i="18"/>
  <c r="D13" i="18"/>
  <c r="D14" i="18"/>
  <c r="D15" i="18"/>
  <c r="C11" i="18"/>
  <c r="C12" i="18"/>
  <c r="C13" i="18"/>
  <c r="C14" i="18"/>
  <c r="C15" i="18"/>
  <c r="H11" i="1"/>
  <c r="H12" i="1"/>
  <c r="H13" i="1"/>
  <c r="H14" i="1"/>
  <c r="H15" i="1"/>
  <c r="G11" i="1"/>
  <c r="G12" i="1"/>
  <c r="G13" i="1"/>
  <c r="G14" i="1"/>
  <c r="G15" i="1"/>
  <c r="H9" i="20"/>
  <c r="H10" i="20"/>
  <c r="H11" i="20"/>
  <c r="I11" i="20" s="1"/>
  <c r="H12" i="20"/>
  <c r="H13" i="20"/>
  <c r="I13" i="20" s="1"/>
  <c r="H14" i="20"/>
  <c r="H15" i="20"/>
  <c r="I15" i="20" s="1"/>
  <c r="I9" i="20"/>
  <c r="I10" i="20"/>
  <c r="I12" i="20"/>
  <c r="I14" i="20"/>
  <c r="E9" i="20"/>
  <c r="E10" i="20"/>
  <c r="F10" i="20" s="1"/>
  <c r="E11" i="20"/>
  <c r="E12" i="20"/>
  <c r="F12" i="20" s="1"/>
  <c r="E13" i="20"/>
  <c r="E14" i="20"/>
  <c r="F14" i="20" s="1"/>
  <c r="E15" i="20"/>
  <c r="F15" i="20" s="1"/>
  <c r="F9" i="20"/>
  <c r="F11" i="20"/>
  <c r="F13" i="20"/>
  <c r="A4" i="21" a="1"/>
  <c r="A4" i="21"/>
  <c r="G9" i="18"/>
  <c r="H9" i="18"/>
  <c r="I9" i="18" s="1"/>
  <c r="H10" i="18"/>
  <c r="G10" i="18"/>
  <c r="D9" i="18"/>
  <c r="D10" i="18"/>
  <c r="C9" i="18"/>
  <c r="C10" i="18"/>
  <c r="E9" i="21"/>
  <c r="F9" i="21" s="1"/>
  <c r="E10" i="21"/>
  <c r="F10" i="21" s="1"/>
  <c r="I9" i="21"/>
  <c r="I10" i="21"/>
  <c r="H9" i="21"/>
  <c r="H10" i="21"/>
  <c r="I10" i="4"/>
  <c r="H10" i="4"/>
  <c r="H10" i="1" s="1"/>
  <c r="E10" i="4"/>
  <c r="F10" i="4" s="1"/>
  <c r="H9" i="4"/>
  <c r="I9" i="4"/>
  <c r="E9" i="4"/>
  <c r="F9" i="4" s="1"/>
  <c r="G9" i="1"/>
  <c r="G10" i="1"/>
  <c r="D9" i="1"/>
  <c r="D10" i="1"/>
  <c r="C9" i="1"/>
  <c r="C10" i="1"/>
  <c r="H9" i="3"/>
  <c r="H10" i="3"/>
  <c r="I10" i="3" s="1"/>
  <c r="E9" i="3"/>
  <c r="F9" i="3" s="1"/>
  <c r="E10" i="3"/>
  <c r="F10" i="3" s="1"/>
  <c r="E7" i="3"/>
  <c r="E4" i="3"/>
  <c r="H5" i="3"/>
  <c r="E5" i="3"/>
  <c r="H5" i="33"/>
  <c r="I5" i="33" s="1"/>
  <c r="H6" i="33"/>
  <c r="I6" i="33" s="1"/>
  <c r="H7" i="33"/>
  <c r="I7" i="33" s="1"/>
  <c r="H8" i="33"/>
  <c r="I8" i="33" s="1"/>
  <c r="E5" i="33"/>
  <c r="F5" i="33" s="1"/>
  <c r="E6" i="33"/>
  <c r="F6" i="33" s="1"/>
  <c r="E7" i="33"/>
  <c r="F7" i="33" s="1"/>
  <c r="E8" i="33"/>
  <c r="F8" i="33" s="1"/>
  <c r="C14" i="34" l="1"/>
  <c r="E14" i="30"/>
  <c r="F14" i="30" s="1"/>
  <c r="E10" i="30"/>
  <c r="F10" i="30" s="1"/>
  <c r="H15" i="30"/>
  <c r="I15" i="30" s="1"/>
  <c r="E12" i="30"/>
  <c r="F12" i="30" s="1"/>
  <c r="H9" i="30"/>
  <c r="I9" i="30" s="1"/>
  <c r="E17" i="34"/>
  <c r="F17" i="34" s="1"/>
  <c r="I14" i="30"/>
  <c r="H18" i="30"/>
  <c r="I18" i="30" s="1"/>
  <c r="E18" i="30"/>
  <c r="F18" i="30" s="1"/>
  <c r="C18" i="34"/>
  <c r="E18" i="34" s="1"/>
  <c r="F18" i="34" s="1"/>
  <c r="E17" i="30"/>
  <c r="F17" i="30" s="1"/>
  <c r="H17" i="30"/>
  <c r="I16" i="30"/>
  <c r="H16" i="34"/>
  <c r="I16" i="34" s="1"/>
  <c r="E16" i="30"/>
  <c r="F16" i="30" s="1"/>
  <c r="E15" i="30"/>
  <c r="F15" i="30" s="1"/>
  <c r="E13" i="30"/>
  <c r="F13" i="30" s="1"/>
  <c r="I13" i="30"/>
  <c r="H10" i="30"/>
  <c r="I10" i="30" s="1"/>
  <c r="E9" i="30"/>
  <c r="F9" i="30" s="1"/>
  <c r="I14" i="32"/>
  <c r="I11" i="30"/>
  <c r="E11" i="30"/>
  <c r="F11" i="30" s="1"/>
  <c r="I11" i="32"/>
  <c r="I12" i="30"/>
  <c r="I12" i="32"/>
  <c r="E8" i="30"/>
  <c r="F8" i="30" s="1"/>
  <c r="E6" i="30"/>
  <c r="F6" i="30" s="1"/>
  <c r="C16" i="34"/>
  <c r="E16" i="34" s="1"/>
  <c r="F16" i="34" s="1"/>
  <c r="C11" i="34"/>
  <c r="G15" i="34"/>
  <c r="D9" i="34"/>
  <c r="D14" i="34"/>
  <c r="G12" i="34"/>
  <c r="G9" i="34"/>
  <c r="D13" i="34"/>
  <c r="I14" i="31"/>
  <c r="I11" i="31"/>
  <c r="D11" i="34"/>
  <c r="D12" i="34"/>
  <c r="H10" i="29"/>
  <c r="I10" i="29" s="1"/>
  <c r="E10" i="29"/>
  <c r="F10" i="29" s="1"/>
  <c r="D15" i="34"/>
  <c r="H14" i="29"/>
  <c r="G13" i="34"/>
  <c r="C10" i="34"/>
  <c r="H11" i="29"/>
  <c r="I11" i="29" s="1"/>
  <c r="E15" i="29"/>
  <c r="F15" i="29" s="1"/>
  <c r="E13" i="29"/>
  <c r="F13" i="29" s="1"/>
  <c r="I14" i="29"/>
  <c r="C12" i="34"/>
  <c r="E12" i="29"/>
  <c r="F12" i="29" s="1"/>
  <c r="I15" i="29"/>
  <c r="I13" i="29"/>
  <c r="I12" i="29"/>
  <c r="I9" i="29"/>
  <c r="G14" i="34"/>
  <c r="E14" i="29"/>
  <c r="F14" i="29" s="1"/>
  <c r="G11" i="34"/>
  <c r="E11" i="29"/>
  <c r="F11" i="29" s="1"/>
  <c r="C15" i="34"/>
  <c r="E15" i="18"/>
  <c r="F15" i="18" s="1"/>
  <c r="C13" i="34"/>
  <c r="E13" i="18"/>
  <c r="F13" i="18" s="1"/>
  <c r="I15" i="18"/>
  <c r="H14" i="34"/>
  <c r="I14" i="18"/>
  <c r="H13" i="34"/>
  <c r="I13" i="18"/>
  <c r="I12" i="18"/>
  <c r="H11" i="34"/>
  <c r="I11" i="18"/>
  <c r="C9" i="34"/>
  <c r="I10" i="18"/>
  <c r="E9" i="18"/>
  <c r="F9" i="18" s="1"/>
  <c r="G10" i="34"/>
  <c r="E10" i="18"/>
  <c r="F10" i="18" s="1"/>
  <c r="D10" i="34"/>
  <c r="I9" i="3"/>
  <c r="H9" i="1"/>
  <c r="I9" i="1"/>
  <c r="I10" i="1"/>
  <c r="E9" i="1"/>
  <c r="E10" i="1"/>
  <c r="G5" i="30"/>
  <c r="G4" i="30"/>
  <c r="E5" i="28"/>
  <c r="F5" i="28" s="1"/>
  <c r="E5" i="27"/>
  <c r="G5" i="29"/>
  <c r="G6" i="29"/>
  <c r="G7" i="29"/>
  <c r="G8" i="29"/>
  <c r="G4" i="29"/>
  <c r="E5" i="20"/>
  <c r="G5" i="18"/>
  <c r="G6" i="18"/>
  <c r="G7" i="18"/>
  <c r="G8" i="18"/>
  <c r="G4" i="18"/>
  <c r="E4" i="4"/>
  <c r="F4" i="4" s="1"/>
  <c r="H4" i="4"/>
  <c r="I4" i="4" s="1"/>
  <c r="E5" i="4"/>
  <c r="F5" i="4" s="1"/>
  <c r="H5" i="4"/>
  <c r="I5" i="4" s="1"/>
  <c r="E6" i="4"/>
  <c r="F6" i="4" s="1"/>
  <c r="H6" i="4"/>
  <c r="I6" i="4" s="1"/>
  <c r="E7" i="4"/>
  <c r="F7" i="4" s="1"/>
  <c r="H7" i="4"/>
  <c r="I7" i="4" s="1"/>
  <c r="E8" i="4"/>
  <c r="F8" i="4" s="1"/>
  <c r="H8" i="4"/>
  <c r="I8" i="4" s="1"/>
  <c r="H18" i="34" l="1"/>
  <c r="I18" i="34" s="1"/>
  <c r="H15" i="34"/>
  <c r="H9" i="34"/>
  <c r="E9" i="34"/>
  <c r="F9" i="34" s="1"/>
  <c r="E14" i="34"/>
  <c r="F14" i="34" s="1"/>
  <c r="I15" i="34"/>
  <c r="E11" i="34"/>
  <c r="F11" i="34" s="1"/>
  <c r="I17" i="30"/>
  <c r="H17" i="34"/>
  <c r="I17" i="34" s="1"/>
  <c r="E15" i="34"/>
  <c r="F15" i="34" s="1"/>
  <c r="E13" i="34"/>
  <c r="F13" i="34" s="1"/>
  <c r="H10" i="34"/>
  <c r="I10" i="34" s="1"/>
  <c r="I9" i="34"/>
  <c r="I13" i="34"/>
  <c r="E12" i="34"/>
  <c r="F12" i="34" s="1"/>
  <c r="H12" i="34"/>
  <c r="I12" i="34" s="1"/>
  <c r="E10" i="34"/>
  <c r="F10" i="34" s="1"/>
  <c r="I14" i="34"/>
  <c r="I11" i="34"/>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H4" i="3"/>
  <c r="I4" i="3" s="1"/>
  <c r="F5" i="3"/>
  <c r="I5" i="3"/>
  <c r="E6" i="3"/>
  <c r="F6" i="3" s="1"/>
  <c r="H6" i="3"/>
  <c r="I6" i="3" s="1"/>
  <c r="F7" i="3"/>
  <c r="H7" i="3"/>
  <c r="I7" i="3" s="1"/>
  <c r="E8" i="3"/>
  <c r="F8" i="3" s="1"/>
  <c r="H8" i="3"/>
  <c r="I8" i="3" s="1"/>
  <c r="G6" i="1"/>
  <c r="G6" i="34" s="1"/>
  <c r="G7" i="1"/>
  <c r="G7" i="34" s="1"/>
  <c r="G8" i="1"/>
  <c r="G8" i="34" s="1"/>
  <c r="G5" i="1"/>
  <c r="G5" i="34" s="1"/>
  <c r="G4" i="1"/>
  <c r="G4" i="34" s="1"/>
  <c r="B4" i="34" a="1"/>
  <c r="B4" i="34" s="1"/>
  <c r="A4" i="34" a="1"/>
  <c r="A4" i="34" s="1"/>
  <c r="A1" i="34" a="1"/>
  <c r="A1" i="34" s="1"/>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8" i="1"/>
  <c r="D5" i="1"/>
  <c r="D4" i="1"/>
  <c r="B4" i="1" a="1"/>
  <c r="B4" i="1" s="1"/>
  <c r="A4" i="1" a="1"/>
  <c r="A4" i="1" s="1"/>
  <c r="A1" i="1" a="1"/>
  <c r="A1" i="1" s="1"/>
  <c r="H4" i="33"/>
  <c r="I4" i="33" s="1"/>
  <c r="E4" i="33"/>
  <c r="F4" i="33" s="1"/>
  <c r="G2" i="33"/>
  <c r="D2" i="33"/>
  <c r="C2" i="33"/>
  <c r="A1" i="33" a="1"/>
  <c r="A1" i="33" s="1"/>
  <c r="H8" i="32"/>
  <c r="E8" i="32"/>
  <c r="F8" i="32" s="1"/>
  <c r="H7" i="32"/>
  <c r="E7" i="32"/>
  <c r="F7" i="32" s="1"/>
  <c r="H6" i="32"/>
  <c r="E6" i="32"/>
  <c r="F6" i="32" s="1"/>
  <c r="H5" i="32"/>
  <c r="I5" i="32" s="1"/>
  <c r="E5" i="32"/>
  <c r="F5" i="32" s="1"/>
  <c r="H4" i="32"/>
  <c r="I4" i="32" s="1"/>
  <c r="E4" i="32"/>
  <c r="F4" i="32" s="1"/>
  <c r="G2" i="32"/>
  <c r="D2" i="32"/>
  <c r="C2" i="32"/>
  <c r="A1" i="32" a="1"/>
  <c r="A1" i="32"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I8" i="26"/>
  <c r="H5" i="26"/>
  <c r="I5" i="26" s="1"/>
  <c r="E5" i="26"/>
  <c r="F5" i="26" s="1"/>
  <c r="H4" i="26"/>
  <c r="I4" i="26" s="1"/>
  <c r="E4" i="26"/>
  <c r="F4" i="26" s="1"/>
  <c r="G2" i="26"/>
  <c r="D2" i="26"/>
  <c r="C2" i="26"/>
  <c r="A1" i="26" a="1"/>
  <c r="A1" i="26" s="1"/>
  <c r="H8" i="19"/>
  <c r="I8" i="19" s="1"/>
  <c r="E8" i="19"/>
  <c r="F8" i="19" s="1"/>
  <c r="H7" i="19"/>
  <c r="I7" i="19" s="1"/>
  <c r="E7" i="19"/>
  <c r="F7" i="19" s="1"/>
  <c r="H6" i="19"/>
  <c r="I6" i="19" s="1"/>
  <c r="E6" i="19"/>
  <c r="F6" i="19" s="1"/>
  <c r="H5" i="19"/>
  <c r="I5" i="19" s="1"/>
  <c r="H4" i="19"/>
  <c r="I4" i="19" s="1"/>
  <c r="E4" i="19"/>
  <c r="F4" i="19" s="1"/>
  <c r="G2" i="19"/>
  <c r="D2" i="19"/>
  <c r="C2" i="19"/>
  <c r="A1" i="19" a="1"/>
  <c r="A1" i="19"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5" i="72"/>
  <c r="I5" i="72" s="1"/>
  <c r="H4" i="72"/>
  <c r="I4" i="72" s="1"/>
  <c r="G2" i="72"/>
  <c r="D2" i="72"/>
  <c r="C2" i="72"/>
  <c r="J2" i="72" s="1"/>
  <c r="A1" i="72" a="1"/>
  <c r="A1" i="72" s="1"/>
  <c r="I7" i="32" l="1"/>
  <c r="H7" i="30"/>
  <c r="I7" i="30" s="1"/>
  <c r="I8" i="32"/>
  <c r="H8" i="30"/>
  <c r="I8" i="30" s="1"/>
  <c r="I6" i="32"/>
  <c r="H6" i="30"/>
  <c r="I6" i="30" s="1"/>
  <c r="E5" i="1"/>
  <c r="E7" i="1"/>
  <c r="C5" i="34"/>
  <c r="D5" i="34"/>
  <c r="C6" i="34"/>
  <c r="D6" i="34"/>
  <c r="C7" i="34"/>
  <c r="D7" i="34"/>
  <c r="D8" i="34"/>
  <c r="C8" i="34"/>
  <c r="H6" i="29"/>
  <c r="I6" i="29" s="1"/>
  <c r="E7" i="18"/>
  <c r="F7" i="18" s="1"/>
  <c r="D4" i="34"/>
  <c r="D2" i="18"/>
  <c r="H7" i="29"/>
  <c r="I7" i="29" s="1"/>
  <c r="E4" i="18"/>
  <c r="F4" i="18" s="1"/>
  <c r="E8" i="18"/>
  <c r="F8" i="18" s="1"/>
  <c r="E8" i="29"/>
  <c r="F8" i="29" s="1"/>
  <c r="E4" i="30"/>
  <c r="F4" i="30" s="1"/>
  <c r="D2" i="29"/>
  <c r="E5" i="18"/>
  <c r="F5" i="18" s="1"/>
  <c r="E5" i="29"/>
  <c r="F5" i="29" s="1"/>
  <c r="E5" i="30"/>
  <c r="F5" i="30" s="1"/>
  <c r="E6" i="18"/>
  <c r="F6" i="18" s="1"/>
  <c r="E6" i="29"/>
  <c r="F6"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F7" i="1"/>
  <c r="G2" i="1"/>
  <c r="E8" i="1"/>
  <c r="F8" i="1" s="1"/>
  <c r="F5" i="1"/>
  <c r="E6" i="1"/>
  <c r="F6" i="1" s="1"/>
  <c r="H4" i="30"/>
  <c r="I4" i="30" s="1"/>
  <c r="H5" i="30"/>
  <c r="E7" i="29"/>
  <c r="F7" i="29" s="1"/>
  <c r="H8" i="29"/>
  <c r="I8" i="29" s="1"/>
  <c r="I6" i="26"/>
  <c r="H4" i="29"/>
  <c r="I4" i="29" s="1"/>
  <c r="H5" i="29"/>
  <c r="I5" i="29" s="1"/>
  <c r="I7" i="26"/>
  <c r="H6" i="18"/>
  <c r="I6" i="18" s="1"/>
  <c r="H4" i="18"/>
  <c r="I4" i="18" s="1"/>
  <c r="H7" i="18"/>
  <c r="I7" i="18" s="1"/>
  <c r="C4" i="34"/>
  <c r="H5" i="18"/>
  <c r="I5" i="18" s="1"/>
  <c r="H8" i="18"/>
  <c r="I8" i="18" s="1"/>
  <c r="C2" i="29"/>
  <c r="C2" i="30"/>
  <c r="E4" i="29"/>
  <c r="F4" i="29" s="1"/>
  <c r="C2" i="18"/>
  <c r="H7" i="1"/>
  <c r="I7" i="1" s="1"/>
  <c r="H4" i="1"/>
  <c r="H5" i="1"/>
  <c r="I5" i="1" s="1"/>
  <c r="H6" i="1"/>
  <c r="I6" i="1" s="1"/>
  <c r="C2" i="1"/>
  <c r="E2" i="3"/>
  <c r="F2" i="3" s="1"/>
  <c r="E4" i="1"/>
  <c r="F4" i="1" s="1"/>
  <c r="H8" i="1"/>
  <c r="I8" i="1" s="1"/>
  <c r="D2" i="1"/>
  <c r="E2" i="33"/>
  <c r="F2" i="33" s="1"/>
  <c r="E2" i="32"/>
  <c r="F2" i="32" s="1"/>
  <c r="E2" i="31"/>
  <c r="F2" i="31" s="1"/>
  <c r="E2" i="27"/>
  <c r="F2" i="27" s="1"/>
  <c r="E2" i="26"/>
  <c r="F2" i="26" s="1"/>
  <c r="E2" i="19"/>
  <c r="F2" i="19" s="1"/>
  <c r="E2" i="21"/>
  <c r="F2" i="21" s="1"/>
  <c r="E2" i="4"/>
  <c r="F2" i="4" s="1"/>
  <c r="H2" i="72"/>
  <c r="E5" i="34" l="1"/>
  <c r="F5" i="34" s="1"/>
  <c r="E7" i="34"/>
  <c r="F7" i="34" s="1"/>
  <c r="E6" i="34"/>
  <c r="F6" i="34" s="1"/>
  <c r="D2" i="34"/>
  <c r="E8" i="34"/>
  <c r="F8" i="34" s="1"/>
  <c r="I5" i="30"/>
  <c r="H5" i="34"/>
  <c r="I5" i="34" s="1"/>
  <c r="H8" i="34"/>
  <c r="I8" i="34" s="1"/>
  <c r="H7" i="34"/>
  <c r="I7" i="34" s="1"/>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tc={7BB2A71C-CBAD-4408-9EE1-62BBFD951367}</author>
  </authors>
  <commentList>
    <comment ref="C4" authorId="0" shapeId="0" xr:uid="{7BB2A71C-CBAD-4408-9EE1-62BBFD951367}">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tc={5CF80EFB-3480-4514-AD5C-993C4EDB9A6C}</author>
  </authors>
  <commentList>
    <comment ref="C4" authorId="0" shapeId="0" xr:uid="{5CF80EFB-3480-4514-AD5C-993C4EDB9A6C}">
      <text>
        <t>[Threaded comment]
Your version of Excel allows you to read this threaded comment; however, any edits to it will get removed if the file is opened in a newer version of Excel. Learn more: https://go.microsoft.com/fwlink/?linkid=870924
Comment:
    Since meter M1 is reporting negative values from 01/03  we have consider M0 production as total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<sst xmlns="http://schemas.openxmlformats.org/spreadsheetml/2006/main" count="628" uniqueCount="335">
  <si>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</si>
  <si>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</si>
  <si>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</si>
  <si>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</si>
  <si>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</si>
  <si>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</si>
  <si>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</si>
  <si>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</si>
  <si>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</si>
  <si>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</si>
  <si>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</si>
  <si>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</si>
  <si>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</si>
  <si>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</si>
  <si>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</si>
  <si>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</si>
  <si>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</si>
  <si>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</si>
  <si>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</si>
  <si>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</si>
  <si>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</si>
  <si>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</si>
  <si>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</si>
  <si>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CSS resolved the DAS issues on 01/03, and M0 started reporting the production on 01/03. However, M1 is reporting negative values. As per the drawings, the site capacity is 365 kW, but meter M0 is reporting 295 kW, and M1 is reporting -295 kW. We have consider M0 production as total site production. Reached out to AE #557940</t>
  </si>
  <si>
    <t>1.SR094989, SR096863</t>
  </si>
  <si>
    <t>SR096863</t>
  </si>
  <si>
    <t>1. Site is dealing with utility-related issue throughout the month, and the EPC team is currently addressing the issue.</t>
  </si>
  <si>
    <t>1. SR093414</t>
  </si>
  <si>
    <t>1.Utility company has shut down site since 06/11/24.</t>
  </si>
  <si>
    <t>1.SR086098</t>
  </si>
  <si>
    <t>1.Site tripped offline at 2:30AM on 01/21 due to Phase A voltage missing Fault and back online at 10AM on 01/30.</t>
  </si>
  <si>
    <t>1.SR095756</t>
  </si>
  <si>
    <t>February Actual v. Expected</t>
  </si>
  <si>
    <t>February Actual v. Forecasted</t>
  </si>
  <si>
    <t xml:space="preserve">1.M1 meter is reporting negative values from 01/03 and through out the Month. AE says likely an onsite issue and to swap CT lead polarity. 
2.Site stopped communicating from 02/26 due to some DAS equipment was RMA'd. CSS is about to do capacity test at site after DAS issues resolved.
3. Expected and forecasted data are unavailable. </t>
  </si>
  <si>
    <t>1.SR096863
2.SR094989, SR097768</t>
  </si>
  <si>
    <t>SR094989</t>
  </si>
  <si>
    <t>SR097768</t>
  </si>
  <si>
    <t>1.SR093413</t>
  </si>
  <si>
    <t>1.SR093414</t>
  </si>
  <si>
    <t>1.Utility company has shut down site since 06/11/24 due to the solar causing an issue with the grid.</t>
  </si>
  <si>
    <t>1. Site was tripped offline at 12:15AM on 02/22 due to Phase A voltage missing fault and back online at 11:45AM on 02/28.</t>
  </si>
  <si>
    <t>1.SR097638</t>
  </si>
  <si>
    <t xml:space="preserve">1. Expected and forecasted data are unavailable. </t>
  </si>
  <si>
    <t xml:space="preserve">1. Forecasted data was very low and expected data are unavailable. </t>
  </si>
  <si>
    <t>March Actual v. Expected</t>
  </si>
  <si>
    <t>March Actual v. Forecasted</t>
  </si>
  <si>
    <t>1.Site communications are back at 11:45AM on 03/25 after RMA installation.
2. We don't have expected and forecasted energy values for this site.</t>
  </si>
  <si>
    <t>1.SR094989,SR097768</t>
  </si>
  <si>
    <t>1.The site is dealing with utility-related issues due to damaged CTs and PTs in their metering bank, as has been the case throughout the month. The EPC team is currently addressing the issue.</t>
  </si>
  <si>
    <t>1.SR098409,SR093413</t>
  </si>
  <si>
    <t>SR093413</t>
  </si>
  <si>
    <t>1.SR098411,SR093414</t>
  </si>
  <si>
    <t>SR093414</t>
  </si>
  <si>
    <t>1.The site  communication was back at 10:15AM and again stopped communication  on 03/04 at 15:00 due to an issue with the MV breaker on the skid. The team is currently working with SMA to resolve the issue and is testing the IKI relay. Additionally, a single-phase witness test under load with the utility is pending prior to re-energization.
2.Utility company has shut down site since 06/11/24 due to the solar causing an issue with the grid.</t>
  </si>
  <si>
    <t>1.SR098408
2.SR086098</t>
  </si>
  <si>
    <t>SR086098</t>
  </si>
  <si>
    <t>1.Site tripped offline 18:15 on 03/05 and back online at 12:45 on 03/14.</t>
  </si>
  <si>
    <t>1. The forecasted values have been updated by AE, but they appear to be low.</t>
  </si>
  <si>
    <t>April Actual v. Expected</t>
  </si>
  <si>
    <t>April Actual v. Forecasted</t>
  </si>
  <si>
    <t>1. SR098409</t>
  </si>
  <si>
    <t>1. SR098411</t>
  </si>
  <si>
    <t xml:space="preserve">1.SR098408
2.SR086098
</t>
  </si>
  <si>
    <t>May Actual v. Expected</t>
  </si>
  <si>
    <t>May Actual v. Forecasted</t>
  </si>
  <si>
    <t>1. Low production due to rain</t>
  </si>
  <si>
    <t>1.SR098409</t>
  </si>
  <si>
    <t>1.The site was dealing with utility-related issues due to damaged CTs and PTs in their
 metering bank.Site was back online at 16:00EDT on 05/20.</t>
  </si>
  <si>
    <t>1.SR098411</t>
  </si>
  <si>
    <t>1.The site  communication was back at 10:15 and again stopped communication  on 03/04 at 15:00 due to an issue with the MV breaker on the skid. The team is currently working with SMA to resolve the issue and is testing the IKI relay. Additionally, a single-phase witness test under load with the utility is pending prior to re-energization.
2.Utility company has shut down site since 06/11/24 due to the solar causing an issue with the grid.</t>
  </si>
  <si>
    <t>1. Multiple trackers had been stuck since 04/03 and started tracking again on 05/22.
2. Inverters 7, 8, and 16 are experiencing morning shading, with inverter 8 in particular not reaching its full production until 09:45.</t>
  </si>
  <si>
    <t>1. SR101115
2. SR101155</t>
  </si>
  <si>
    <t>SR101155</t>
  </si>
  <si>
    <t>1. Multiple trackers had been stuck since 05/07 and started tracking again on 05/22.
2. The site tripped offline at 14:00 on 05/12 and came back online at 09:00 on 05/13.</t>
  </si>
  <si>
    <t>1. SR101126
2. SR101287</t>
  </si>
  <si>
    <t>SR101287</t>
  </si>
  <si>
    <t>1. All inverters are power limited to 85kW. Per As-Builts, they should be running at 122kW.
2. The site tripped offline at 10:00 on 05/23 and came back online at 11:15 on 05/29.</t>
  </si>
  <si>
    <t>1. SR101124
2. SR101894</t>
  </si>
  <si>
    <t>SR101894</t>
  </si>
  <si>
    <t>1. Site tripped offline at 16:07 on 05/15 and came back online at 08:30 on 05/20.</t>
  </si>
  <si>
    <t>1. SR101566</t>
  </si>
  <si>
    <t>June Actual v. Expected</t>
  </si>
  <si>
    <t>June Actual v. Forecasted</t>
  </si>
  <si>
    <t>1. Site has low production on 06/08, 06/26, 06/15, 06/16, 06/17, 06/27 due to low irradiance.</t>
  </si>
  <si>
    <t>1.Site was offline for whole month.</t>
  </si>
  <si>
    <t>1.Site tripped offline since 13:00 on 06/27.</t>
  </si>
  <si>
    <t>1.SR103839</t>
  </si>
  <si>
    <t>1.SR098408, SR086098</t>
  </si>
  <si>
    <t>1.Site tripped offline at 14:45 on 06/05 and was back online at 16:15 on 06/05,again tripped offline at 07:45 on 06/08 reporting reporting "Missing Phase A Voltage" and was back online at 10:00 on 06/09,again tripped offline at 23:45 on 06/10 and was back online at 08:15 on 06/12,again tripped offline at 20:00 on 06/14 and remained offline throughout the month.</t>
  </si>
  <si>
    <t>1.SR102671</t>
  </si>
  <si>
    <t xml:space="preserve">1.Inverter 2.3 was underperforming by 6KW since 06/01 during peak hours and remained the same throughout the month
</t>
  </si>
  <si>
    <t>1.SR103097</t>
  </si>
  <si>
    <t xml:space="preserve">1.Tracker motor 68 was struck at -58 degrees at 08:30 pdt on 06/10 and was back at 13:45 pdt on 06/24
</t>
  </si>
  <si>
    <t>1.SR103219</t>
  </si>
  <si>
    <t xml:space="preserve">1.All inverters are power limited to 85kW. Per As-Builts, they should be running at 122kW.
</t>
  </si>
  <si>
    <t>1.SR101124</t>
  </si>
  <si>
    <t>July Actual v. Expected</t>
  </si>
  <si>
    <t>July Actual v. Forecasted</t>
  </si>
  <si>
    <t>1. Inverter 8 tripped offline at 17:00 on 07/06 and back online on 07/07. Inverter again went offline at 9:15 on 07/07 and back online at 12:40 on the same day.  and inverter 8 started late on 07/21 at 10:45.</t>
  </si>
  <si>
    <t>1. SR104065</t>
  </si>
  <si>
    <t>1. The site had been offline for several months and came back online at 15:30 on 07/02.
2. Site was offline from 12:00 to 14:00 on 07/29 due to PM Event</t>
  </si>
  <si>
    <t>1. SR098409
2. PM11764</t>
  </si>
  <si>
    <t>1. SIte was offline since 06/27 and back online at 13:00 on 07/03.
2.  Inverter tripped offline 16:45 on 07/31 due to"Error Error" and remaied offline.</t>
  </si>
  <si>
    <t>1. SR103839
2. SR105463</t>
  </si>
  <si>
    <t>SR105463</t>
  </si>
  <si>
    <t>1. The site had been offline for several months and came back online at 15:00 on 07/21.</t>
  </si>
  <si>
    <t>1. Site started late on 07/17 at 08:30.</t>
  </si>
  <si>
    <t>1. SR102671</t>
  </si>
  <si>
    <t>1. Site tripped offline at 16:15 on 07/01 and back online at 8:00 on 07/09.</t>
  </si>
  <si>
    <t>1. SR103899</t>
  </si>
  <si>
    <t xml:space="preserve">1. Tracker motor 26.5 was strucked since 07/07. Tracker has not returned to service and will remain open for client visibility during ongoing EPC punch lists
2. Site tripped offline at 8:30 on 07/15.  This site has not returned to service and will remain open for client visibility during ongoing EPC punch lists
</t>
  </si>
  <si>
    <t>1. SR104276
2. SR104461</t>
  </si>
  <si>
    <t>SR104461</t>
  </si>
  <si>
    <t>1. Site was offline from 08:15 on 07/26 to 09:15 on 07/28 and again site was offline from 20:30 o 07/28 to end of month.
2. Since the meter did not communicate from 06/06 to 07/10, the total meter energy was backfilled on 07/10. Therefore, we used the inverter energy from 07/01 to 07/10 and added it with the production meter energy from 07/11 to 07/31.</t>
  </si>
  <si>
    <t>1. SR105123</t>
  </si>
  <si>
    <t>August Actual v. Expected</t>
  </si>
  <si>
    <t>August Actual v. Forecasted</t>
  </si>
  <si>
    <t>1. Inverter 4 was underproduced for whole month.</t>
  </si>
  <si>
    <t>1. SR107731</t>
  </si>
  <si>
    <t>1.Site was offline at 20:15 on 08/20 and came back at 12:00 on 08/21</t>
  </si>
  <si>
    <t>1.SR106617</t>
  </si>
  <si>
    <t xml:space="preserve">1.Inverter 1 offline 16:45 on 07/31 and it came back online at 10:15 on 08/04
2.Site was offline on 08/14 and came back online at 13:15 on 08/15
3.Site was offline at 20:25 to 10:15 on 08/21 
</t>
  </si>
  <si>
    <t>1.SR105463
2.SR106265
3.SR106618</t>
  </si>
  <si>
    <t>SR106265</t>
  </si>
  <si>
    <t>SR106618</t>
  </si>
  <si>
    <t>1. Inverter 1 combiner 13, 14, 15 and 16 are offline since site regained its communications on 07/21.</t>
  </si>
  <si>
    <t>1.SR106977</t>
  </si>
  <si>
    <t>1. Site was producing as expected.</t>
  </si>
  <si>
    <t>1. Inverter 8 and 6 have heavy morning shading</t>
  </si>
  <si>
    <t>1.Tracker motor 26.5 was strucked since 07/07. Back online 10:00 on 08/22 
2The site tripped offline at 08:30 on 07/15. The inverters came back online at 16:45 on 08/20, but the meter was not communicating as of 17:25. Meter communications were restored at 10:45 on 08/22.
3.All trackers are stowed from 8/23/25 reporting "Manual_Mode_2: Manual Mode ON Manual_Mode_3: Manual Mode ON". on 08/29 all trackers are tracking except row 18 (18.1 through 18.10)
4.Site tripped offline at 07:45 to 16:30 on 08/27</t>
  </si>
  <si>
    <t>1.SR104276
2.	SR104461
3.	SR106841
4.	SR107017</t>
  </si>
  <si>
    <t>SR106841</t>
  </si>
  <si>
    <t>SR107017</t>
  </si>
  <si>
    <t>1. All inverters are power limited to 85kW. Per As-Builts, they should be running at 122kW.
2.Site was back online at 12:15 on 08/05 and again site tripped offline at 08:00 on 08/08 and came back online at 16:15 on 08/11</t>
  </si>
  <si>
    <t>1.SR101124
2.	SR105123</t>
  </si>
  <si>
    <t>SR105123</t>
  </si>
  <si>
    <t>September Actual v. Expected</t>
  </si>
  <si>
    <t>September Actual v. Forecasted</t>
  </si>
  <si>
    <t>1.  Inverter 4 was underperforming by 6kW for whole month.
2. Inverter 8 was offline fom 07:00 to 11:15 on 09/10.</t>
  </si>
  <si>
    <t>1. SR107731
2. SR107760</t>
  </si>
  <si>
    <t>SR107760</t>
  </si>
  <si>
    <t>1. Combiner 1-5 was isolated for whole month.</t>
  </si>
  <si>
    <t>1. SR106974</t>
  </si>
  <si>
    <t>1. Site was offline from 16:00 on 09/04 to 12:00 on 09/08.
2. Inverter was derated to 2800kW for whole month due to bad fan.</t>
  </si>
  <si>
    <t>1. SR107483
2. SR107895</t>
  </si>
  <si>
    <t>SR107895</t>
  </si>
  <si>
    <t>1. Site was offline from 12:00 on 09/01 to 10:45 on 09/02 and again the site was offline from 11:00 on 09/03 to 10:30 on 09/04 and again the site was offline from 13:00 on 09/14 to 09:00 on 09/19 and again the inverter was offline from 08:30 to 11:15 on 09/23 and from 09:00 to 10:45 on 09/24.</t>
  </si>
  <si>
    <t>1. SR107944, SR107388, SR107269</t>
  </si>
  <si>
    <t>SR107388</t>
  </si>
  <si>
    <t>SR107269</t>
  </si>
  <si>
    <t>1. Site was offline from 11:30 to 14:00 on 09/23 and again site was offline from 19:00 on 09/23 to 07:00 on 09/26 and again the site was offline from 16:30 on 09/27 to end of the month.</t>
  </si>
  <si>
    <t>1. SR108453, SR108684</t>
  </si>
  <si>
    <t>SR108684</t>
  </si>
  <si>
    <t>1. As per weather station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</si>
  <si>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The site was offline from 08:45 on 09/01 to 13:00 on 09/02, from 07:30 to 17:45 on 09/03, and from 07:30 to 16:00 on 09/08. It was also offline from 15:00 on 09/12 to 08:30 on 09/17. Additionally, the site was offline from 09:00 on 09/25 through the end of the month.
2. All trackers were not communicated from 09/10 to end of the month.</t>
  </si>
  <si>
    <t>1. SR107017
2. SR106841</t>
  </si>
  <si>
    <t>1. The rating of all inverters are 122.14kW but they are limited to 85kW.</t>
  </si>
  <si>
    <t>1. SR101124</t>
  </si>
  <si>
    <t>1. All trackers were not communicating from 09/05 to end of the month.
2. Site was offline from 07:45 to 15:15 on 09/02.</t>
  </si>
  <si>
    <t>1. SR107723
2. SR107292</t>
  </si>
  <si>
    <t>SR107292</t>
  </si>
  <si>
    <t xml:space="preserve">1. Inverter 16 was offline from 09:30 on 09/28 to 02:30 on 09/29.
2. Inverter 3 being offline for most of the days in month.
3. Inverter 11 started late on 09/06 at 10:00.
4. Meter was not capturing total inverter production for whole month.
5. Motor 28 through 40 was stuck. </t>
  </si>
  <si>
    <t>1. SR108693
2. SR108253
3. SR107549
4. SR107187
5. SR107186</t>
  </si>
  <si>
    <t>SR108253</t>
  </si>
  <si>
    <t>SR107549</t>
  </si>
  <si>
    <t>SR107187</t>
  </si>
  <si>
    <t>SR107186</t>
  </si>
  <si>
    <t>1. Inverter 8 and 2 had heavy morning shading.</t>
  </si>
  <si>
    <t>1.  Inverters was 10,14,15 are underperforming by 7kW, and inverters 1,3,8,12,13 are underperforming by 5kW  for whole month.
2. All trackers were stuck for whole month.</t>
  </si>
  <si>
    <t>1. SR108553
2. SR108552</t>
  </si>
  <si>
    <t>SR108552</t>
  </si>
  <si>
    <t>October Actual v. Expected</t>
  </si>
  <si>
    <t>October Actual v. Forecasted</t>
  </si>
  <si>
    <t>Status</t>
  </si>
  <si>
    <t>1. Inverter 8 was offline fom 07:00 to 12:30 on 10/30 due to insulation resistance low.
2. Inverter 4 underperforming by 6kW since 09/10.</t>
  </si>
  <si>
    <t>1. SR110376
2. SR107731</t>
  </si>
  <si>
    <t>1. pending
2. Closed</t>
  </si>
  <si>
    <t>SR107731</t>
  </si>
  <si>
    <t>1. Combiner 1-5 was isolated for whole month.
2. The site went offline at 04:45 on 10/30 due to the SEL relay being open. Later, a technician reset the relay, and the site was back online at 11:15 on 10/31.</t>
  </si>
  <si>
    <t>1. SR106974
2. SR110353</t>
  </si>
  <si>
    <t>1. Closed
2. Closed</t>
  </si>
  <si>
    <t>SR110353</t>
  </si>
  <si>
    <t>1. The site went offline at 04:45 on 10/30 due to the SEL relay being open. Later, a technician reset the relay, and the site was back online at 11:15 on 10/31.
2. The inverter was derated to 2800 kW since 09/12 due to a faulty fan. After the fan was replaced on 10/14, the inverter has been producing as expected.</t>
  </si>
  <si>
    <t>1. Closed 
2. Closed</t>
  </si>
  <si>
    <t>1. Inverter is derating at 120kW since 10/17 and reporting "FRT".
2. Site tripped offline at 17:30 on 10/17 and back online at 10:15 on 10/24.</t>
  </si>
  <si>
    <t>1. SR107944
2.SR109662</t>
  </si>
  <si>
    <t>1. pendin
2. Closed</t>
  </si>
  <si>
    <t>SR109662</t>
  </si>
  <si>
    <t>1. The site tripped offline at 16:30 on 09/27. After the technician closed the recloser, the site was back online at 09:30 on 10/01.
2. The site tripped offline at 12:30 on 10/30 due to SEL relay open after remotely closed in the relay site is back online at 08:15 on 10/30.</t>
  </si>
  <si>
    <t>1. SR108453, SR108684
2. SR110363</t>
  </si>
  <si>
    <t>SR110363</t>
  </si>
  <si>
    <t>1. Inverter 2-3 is underperforming approximately 6kW compared to its peers since 06/18. Quote expired</t>
  </si>
  <si>
    <t>1. SR103097</t>
  </si>
  <si>
    <t>1. closed</t>
  </si>
  <si>
    <t>1.Inverter 8 tripped offline at 14:30 on 10/05, reporting a "Fault: Loss of Main." It was back online at 07:00 on 10/08.</t>
  </si>
  <si>
    <t>1. SR109068</t>
  </si>
  <si>
    <t>1. Closed</t>
  </si>
  <si>
    <t>1. The site went offline at 09:00 on 09/25 due to the SEL relay being in an open state. After the EPC was onsite and closed the relay, the site was back online at 11:00 on 10/29. However, it tripped offline again at 08:45 on 10/30 due to the recloser being in an open state and remained offline through the end of the month.
2. All trackers were not communicated from 09/10 to end of the month.</t>
  </si>
  <si>
    <t>1. Pending
2. pending</t>
  </si>
  <si>
    <t>1. The rating of all inverters are 122.14kW but they are limited to 85kW.
2. Site tripped offline at 08:35 on 10/16 and back online at 17:15 on 10/29.</t>
  </si>
  <si>
    <t>1. SR101124
2. SR109596</t>
  </si>
  <si>
    <t>SR109596</t>
  </si>
  <si>
    <t xml:space="preserve">1. All trackers were not communicating starting from 09/05, and all trackers resumed normal tracking on 10/14.
</t>
  </si>
  <si>
    <t>1. SR107723</t>
  </si>
  <si>
    <t>1. Inverter 3 being offline for most of the days in month.
3. Motors 28 through 40 were stuck, and all tracker motors have been operating normally since 10/16.</t>
  </si>
  <si>
    <t>1. SR108253
2. SR107186</t>
  </si>
  <si>
    <t>1. Pending
2. Closed</t>
  </si>
  <si>
    <t>1. Inverters 10, 14, and 15 were underperforming by 7 kW, while inverters 1, 3, 8, 12, and 13 were underperforming by 5 kW. All inverters have been producing as expected since 10/07.
2. All trackers were stuck since 09/25 and all trackers resumed normal tracking from 10/07.
3. Site was offline at 13:30 on 10/25 and offline through the end of the month.</t>
  </si>
  <si>
    <t>1. SR108553
2. SR108552
3. SR110001</t>
  </si>
  <si>
    <t>1. Closed 
2. Closed
3. pending</t>
  </si>
  <si>
    <t>SR110001</t>
  </si>
  <si>
    <t>November Actual v. Expected</t>
  </si>
  <si>
    <t>November Actual v. Forecasted</t>
  </si>
  <si>
    <t>1. Inverter 8 started late for the production at 11:45 on 11/03
2. Inverter 4 underperforming by 6kW since 09/10.</t>
  </si>
  <si>
    <t>1.	SR110376
2.	SR107731</t>
  </si>
  <si>
    <t>1.Closed
2.Closed</t>
  </si>
  <si>
    <t>1. The inverter was derated to 2800 kW since 09/12 due to a faulty fan. After the fan was replaced on 10/14, the inverter has been producing as expected.
2.Inverter came back online at 13:15 on 11/04</t>
  </si>
  <si>
    <t>1.	SR107895
2.	SR107483</t>
  </si>
  <si>
    <t xml:space="preserve">1.Closed
2.closed
</t>
  </si>
  <si>
    <t>SR107483</t>
  </si>
  <si>
    <t>1.Site tripped offline at 01:00 on 11/06 and it came back online at 10:30 on 11/07
2.Site offline from 16:30 to 17:30 on 11/14 and again offline on 11/15 came back online at 08:45 on11/18
3.Site was offline on 11/24 and came back online at 09:15 on 11/25
4.Inverter is offline at 19:30 on 11/29 and remained offline throughout the month.</t>
  </si>
  <si>
    <t>1.SR110708
2.SR111113
3.SR111513
4.SR111844</t>
  </si>
  <si>
    <t>1.Closed
2.Closed
3.Pending
4.Closed</t>
  </si>
  <si>
    <t>SR111113</t>
  </si>
  <si>
    <t>SR111513</t>
  </si>
  <si>
    <t>SR111844</t>
  </si>
  <si>
    <t>1. Inverter 2-3 is underperforming approximately 6kW compared to its peers since 06/18. Quote expired
2. Inverter 2.2 and 2.3 should each have 10 strings connected per drawing. Based on production anomalies the PM photos were checked and inverter 2.2, derated to 55kW, has 11 strings connected while inverter 2.3, 60kW, only has 9.  The extra string on the derated inverter results in production losses during high-irradiance months.</t>
  </si>
  <si>
    <t>1.SR103097
2.SR110653</t>
  </si>
  <si>
    <t>1.Closed
2.Pending</t>
  </si>
  <si>
    <t>SR110653</t>
  </si>
  <si>
    <t>1.Tracker Motor 16.1 through 16.10 are stuck. Tracker motor 5.1 is also stuck from 11/02</t>
  </si>
  <si>
    <t>1.	SR110673</t>
  </si>
  <si>
    <t>1.Pending</t>
  </si>
  <si>
    <t>1.Site was offline at 08:45 on 10/30 and it came back online at 16:00 on 11/05 and again tripped offline at 08:00 on 11/09 and it came back online at 16:00 11/11
2. All trackers were not communicated from 09/10 to end of the month.</t>
  </si>
  <si>
    <t>1.SR107017
2.SR106841</t>
  </si>
  <si>
    <t>1.Site tripped offline from 10:45 to 12:00 on 11/20 and again offline from 11:00 to 13:15 on 11/21 due trchnician was on site to perform PM 
2.The rating of all inverters are 122.14kW but they are limited to 85kW.  Keeping track of this SR as work will not be completed by EPC until Q2 2026</t>
  </si>
  <si>
    <t>1.SR111401
2.SR101124</t>
  </si>
  <si>
    <t>SR101124</t>
  </si>
  <si>
    <t>1.Site was offline from 10:15 to 11:15 on 11/03 due technician was on site to perform PM</t>
  </si>
  <si>
    <t xml:space="preserve">1.PM17639 </t>
  </si>
  <si>
    <t xml:space="preserve">1.Completed
</t>
  </si>
  <si>
    <t xml:space="preserve">1.Site tripped offline from 09:15 to 10:00 on 11/14 </t>
  </si>
  <si>
    <t>1.PM 	17633</t>
  </si>
  <si>
    <t>1.Completed</t>
  </si>
  <si>
    <t>1.All inverters tripped offline at 10:15 on11/11 and came back online at 10:15 on 11/14
2.Inverter 11 starting late for the production most of the days throughout the month
3.Inverter 3 tripped offline at 10:15 on 11/11 and later back online at 10:15 on 10/14</t>
  </si>
  <si>
    <t>1.	SR110907
2.SR112336
3.SR108253</t>
  </si>
  <si>
    <t>1.Denied
2.Pending
3.Pending</t>
  </si>
  <si>
    <t>SR112336</t>
  </si>
  <si>
    <t>1. Inverter 8 and 2 had heavy morning shading.
2.Inverter 14 tripped offline at 09:00 on 11/24 to end of the month</t>
  </si>
  <si>
    <t>2.	SR111730</t>
  </si>
  <si>
    <t>2.Denied</t>
  </si>
  <si>
    <t>1. Site was offline at 13:30 on 10/25 and offline through the end of the month.</t>
  </si>
  <si>
    <t>1.SR110001</t>
  </si>
  <si>
    <t>1.Denied</t>
  </si>
  <si>
    <t>December Actual v. Expected</t>
  </si>
  <si>
    <t>December Actual v. Forecasted</t>
  </si>
  <si>
    <t xml:space="preserve">1.Inverter 4 underperforming by 6kW since 09/10.
2.Site was offline from 10:45 to 11:15 on 12/30 while technician was on site.
3. Inverters have morning and evening shading
</t>
  </si>
  <si>
    <t xml:space="preserve">1.SR107731
2.PM13109
</t>
  </si>
  <si>
    <t xml:space="preserve">1.Closed
2.Completed
</t>
  </si>
  <si>
    <t>1.Site tripped offline at 10:45  on 12/24 and it came back online at 08:45 on 12/31
2.Site tripped offline at 10:15 on 12/14 and it came back online on 12/15and again Site offline from 07:00 to 10:45 on 12/19</t>
  </si>
  <si>
    <t>1.	SR113590
2.SR112704</t>
  </si>
  <si>
    <t xml:space="preserve">1.Closed
2.Closed
</t>
  </si>
  <si>
    <t>SR112704</t>
  </si>
  <si>
    <t>1.Site tripped offline at 10:15 on 12/14 and it came back online on 12/16
2.Site tripped offline at 10:45 on 12/24 and it came back online at 10:00 on 12/31
3.Site tripped offline at 22:15 on 12/18 and it came back online at 10:15 on 12/19</t>
  </si>
  <si>
    <t>1.	SR112705
2.SR113587
3.	SR113159</t>
  </si>
  <si>
    <t>1.Closed
2.Closed
3.Closed</t>
  </si>
  <si>
    <t>SR113587</t>
  </si>
  <si>
    <t>SR113159</t>
  </si>
  <si>
    <t>1.Site back online at 15:15 12/01 
2.Site was offline from 04:00 to 11:00 on 12/04 and again site was offline from 12/05 through the end of the month.</t>
  </si>
  <si>
    <t>1.	SR111844
2.	SR112315</t>
  </si>
  <si>
    <t>1.closed</t>
  </si>
  <si>
    <t>SR112315</t>
  </si>
  <si>
    <t>1.Site was offline at 08:15 on 12/14 and it came back online at 09:30 on 12/17
2.Site tripped offline at 16:00 on 12/19 and back online at 13:45 on 12/22</t>
  </si>
  <si>
    <t>1.SR112703
2.SR113259</t>
  </si>
  <si>
    <t>1.closed
2.closed</t>
  </si>
  <si>
    <t>SR113259</t>
  </si>
  <si>
    <t>1. Site was offline from 12/14 to 12/16.</t>
  </si>
  <si>
    <t>1. Inverter 2-3 is underperforming approximately 6kW compared to its peers since 06/18. Quote expired
2. Inverter 2.2 and 2.3 should each have 10 strings connected per drawing. Based on production anomalies the PM photos were checked and inverter 2.2, derated to 55kW, has 11 strings connected while inverter 2.3, 60kW, only has 9.  The extra string on the derated inverter results in production losses during high-irradiance months. On 12/10 technician relocated string to inverter, inverter producing as expected.
3.Site production was low on 12/02, 12/14,12/23 due to snow</t>
  </si>
  <si>
    <t>1.	SR103097
2.	SR110653</t>
  </si>
  <si>
    <t xml:space="preserve">1.Tracker Motor 16.1 through 16.10 are stuck. Tracker motor 5.1 tracking normally from 12/17
</t>
  </si>
  <si>
    <t>1.SR110673</t>
  </si>
  <si>
    <t>1.Site tripped offline at 09:30 on 12/14 and came back online at 09:00 on 12/15
2.Site tripped offline at 01:00 on 12/17 and it came back online at 10:00 on 12/24</t>
  </si>
  <si>
    <t>1.	SR112706
2.	SR112951</t>
  </si>
  <si>
    <t>SR112951</t>
  </si>
  <si>
    <t>1.Site tripped offline from 12:45 to 15:30 on 12/17 and again site tripped offline at 14:15 on 12/18 it came back online at 15:45 on 12/22</t>
  </si>
  <si>
    <t>1.SR112949</t>
  </si>
  <si>
    <t>1. Tracker 25 stuck at -50 DEG for whole month</t>
  </si>
  <si>
    <t>1. SR110829</t>
  </si>
  <si>
    <t>1. Site has low production on 12/08, 12/09, 12/18.</t>
  </si>
  <si>
    <t>1.Inverter 11 starting late for the production most of the days throughout the month
2. Inverter 2 has been underperforming starting 12/10 with max production between 10-15kW and also tripped offline at 13:15 on 12/12 untill end of the month.
3.Site was offline at 01:30 on 12/17 and it came back online on 12/18</t>
  </si>
  <si>
    <t>1.SR112336
2.	SR112696</t>
  </si>
  <si>
    <t>1.Denied
2.Denied</t>
  </si>
  <si>
    <t>SR112696</t>
  </si>
  <si>
    <t>1. Soiling station lost comms on 11/7; weather station lost comms on 12/12.
2.Inverter 14 tripped offline at 09:00 on 11/24 to end of the month</t>
  </si>
  <si>
    <t>1.	SR113154
2.	SR111730</t>
  </si>
  <si>
    <t>1.Pending
2.Denied</t>
  </si>
  <si>
    <t>SR111730</t>
  </si>
  <si>
    <t>Portfolio:</t>
  </si>
  <si>
    <t>Luminace</t>
  </si>
  <si>
    <t>Site DAS Name</t>
  </si>
  <si>
    <t>Update</t>
  </si>
  <si>
    <t>DAS</t>
  </si>
  <si>
    <t>DC-23-0001 - Raymond Elementary Redev</t>
  </si>
  <si>
    <t xml:space="preserve">Raymond Ed Re-Development - DC-23-0001 </t>
  </si>
  <si>
    <t>DC</t>
  </si>
  <si>
    <t>AEF</t>
  </si>
  <si>
    <t>PowerTrack</t>
  </si>
  <si>
    <t>NJ-22-C893 - CS Energy - Berkeley I</t>
  </si>
  <si>
    <t>Berkeley - NJ-22-C893 Berkeley I</t>
  </si>
  <si>
    <t>NJ</t>
  </si>
  <si>
    <t>NJ-22-C894 - CS Energy - Berkeley II</t>
  </si>
  <si>
    <t>Berkeley - NJ-22-C894 Berkeley II</t>
  </si>
  <si>
    <t>Southampton - BEMS East NJ-22-C897</t>
  </si>
  <si>
    <t xml:space="preserve"> BEMS Landfill East</t>
  </si>
  <si>
    <t>NJ-22-C898 - BEMS Landfill West</t>
  </si>
  <si>
    <t>Southampton - BEMS West NJ-22-C898</t>
  </si>
  <si>
    <t>Lakewood Twp - Emergency Services Dev  - NJ-23-0008</t>
  </si>
  <si>
    <t>Lakewood Township - Public Works</t>
  </si>
  <si>
    <t>OR-23-C003 Dover - SPI</t>
  </si>
  <si>
    <t>Canby - Dover - OR-23-C003</t>
  </si>
  <si>
    <t>OR</t>
  </si>
  <si>
    <t>OR-23-C001 SPI - Clayfield Solar</t>
  </si>
  <si>
    <t xml:space="preserve"> Estacada - Clayfield - OR-23-C001</t>
  </si>
  <si>
    <t>SPI - Waterford Solar</t>
  </si>
  <si>
    <t>Willamina - Waterford - OR-23-C006</t>
  </si>
  <si>
    <t>OR-23-C005  Solops  SPI - Belvedere Solar</t>
  </si>
  <si>
    <t>Molalla - Cork - OR-23-C002</t>
  </si>
  <si>
    <t>OR-23-C002  SPI - Cork Solar</t>
  </si>
  <si>
    <t>OR-23-C008 Buckner Solar</t>
  </si>
  <si>
    <t>OR: Oregon City - Buckner Creek - OR-23-C008</t>
  </si>
  <si>
    <t>OR-23-C009 Green Key Gun Club Solar</t>
  </si>
  <si>
    <t>OR: Dundee - Gun Club - OR-23-C009</t>
  </si>
  <si>
    <t>OR-23-C010 Marquam Creek Solar</t>
  </si>
  <si>
    <t>OR: Molalla - Marquam - OR-23-C010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</si>
</sst>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242424"/>
      <name val="Aptos Narrow"/>
      <family val="2"/>
    </font>
    <font>
      <sz val="11"/>
      <name val="Calibri"/>
      <family val="2"/>
      <scheme val="minor"/>
    </font>
    <font>
      <b/>
      <sz val="11"/>
      <name val="Calibri"/>
      <family val="2"/>
      <scheme val="minor"/>
    </font>
    <font>
      <b/>
      <sz val="11"/>
      <color rgb="FFFF0000"/>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3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center" wrapText="1"/>
    </xf>
    <xf numFmtId="0" fontId="38" fillId="0" borderId="0" xfId="45" applyAlignment="1">
      <alignment horizontal="left" vertical="top"/>
    </xf>
    <xf numFmtId="0" fontId="23" fillId="0" borderId="0" xfId="43" applyFont="1" applyAlignment="1">
      <alignment horizontal="left" wrapText="1"/>
    </xf>
    <xf numFmtId="0" fontId="23" fillId="0" borderId="0" xfId="43" applyFont="1"/>
    <xf numFmtId="0" fontId="39" fillId="0" borderId="0" xfId="0" applyFont="1"/>
    <xf numFmtId="49" fontId="38" fillId="0" borderId="1" xfId="45" applyNumberFormat="1" applyBorder="1" applyAlignment="1">
      <alignment vertical="top" wrapText="1"/>
    </xf>
    <xf numFmtId="0" fontId="38" fillId="0" borderId="0" xfId="45" applyAlignment="1">
      <alignment vertical="top"/>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38" borderId="1" xfId="45" applyNumberFormat="1" applyFill="1" applyBorder="1" applyAlignment="1">
      <alignment horizontal="left" vertical="top" wrapText="1"/>
    </xf>
    <xf numFmtId="0" fontId="38" fillId="0" borderId="0" xfId="45"/>
    <xf numFmtId="49" fontId="38" fillId="0" borderId="1" xfId="45" applyNumberFormat="1" applyBorder="1" applyAlignment="1">
      <alignment horizontal="left" vertical="top" wrapText="1"/>
    </xf>
    <xf numFmtId="49" fontId="38" fillId="38" borderId="1" xfId="45" applyNumberFormat="1" applyFill="1" applyBorder="1" applyAlignment="1">
      <alignment horizontal="left" wrapText="1"/>
    </xf>
    <xf numFmtId="0" fontId="28" fillId="0" borderId="1" xfId="0" applyFont="1" applyBorder="1" applyAlignment="1">
      <alignment horizontal="left" vertical="top" wrapText="1"/>
    </xf>
    <xf numFmtId="0" fontId="0" fillId="0" borderId="0" xfId="0" applyAlignment="1">
      <alignment horizontal="center" vertical="top"/>
    </xf>
    <xf numFmtId="0" fontId="38" fillId="0" borderId="0" xfId="45" applyAlignment="1">
      <alignment horizontal="center" vertical="top"/>
    </xf>
    <xf numFmtId="49" fontId="31" fillId="46" borderId="1" xfId="2" applyNumberFormat="1" applyFont="1" applyFill="1" applyBorder="1" applyAlignment="1">
      <alignmen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Fill="1" applyBorder="1" applyAlignment="1">
      <alignment horizontal="right"/>
    </xf>
    <xf numFmtId="49" fontId="36" fillId="38" borderId="1" xfId="2" applyNumberFormat="1" applyFont="1" applyFill="1" applyBorder="1" applyAlignment="1">
      <alignment vertical="top" wrapText="1"/>
    </xf>
    <xf numFmtId="0" fontId="28" fillId="40" borderId="12" xfId="0" applyFont="1" applyFill="1" applyBorder="1" applyAlignment="1">
      <alignment horizontal="center" vertical="center"/>
    </xf>
    <xf numFmtId="0" fontId="29" fillId="40" borderId="12" xfId="0" applyFont="1" applyFill="1" applyBorder="1" applyAlignment="1">
      <alignment horizontal="center" vertical="center"/>
    </xf>
    <xf numFmtId="164" fontId="29" fillId="44" borderId="12" xfId="1" applyNumberFormat="1" applyFont="1" applyFill="1" applyBorder="1" applyAlignment="1">
      <alignment horizontal="center" vertical="center"/>
    </xf>
    <xf numFmtId="3" fontId="31" fillId="3" borderId="12" xfId="0" applyNumberFormat="1" applyFont="1" applyFill="1" applyBorder="1" applyAlignment="1">
      <alignment horizontal="right" vertical="center"/>
    </xf>
    <xf numFmtId="9" fontId="31" fillId="3" borderId="12" xfId="2" applyFont="1" applyFill="1" applyBorder="1" applyAlignment="1">
      <alignment horizontal="center" vertical="center"/>
    </xf>
    <xf numFmtId="3" fontId="31" fillId="4" borderId="12" xfId="1" applyNumberFormat="1" applyFont="1" applyFill="1" applyBorder="1" applyAlignment="1">
      <alignment vertical="center"/>
    </xf>
    <xf numFmtId="9" fontId="31" fillId="37" borderId="12" xfId="2" applyFont="1" applyFill="1" applyBorder="1" applyAlignment="1">
      <alignment horizontal="center" vertical="center"/>
    </xf>
    <xf numFmtId="0" fontId="28" fillId="0" borderId="12" xfId="0" applyFont="1" applyBorder="1" applyAlignment="1">
      <alignment horizontal="center" vertical="center"/>
    </xf>
    <xf numFmtId="0" fontId="29" fillId="0" borderId="12" xfId="0" applyFont="1" applyBorder="1" applyAlignment="1">
      <alignment horizontal="center" vertical="center"/>
    </xf>
    <xf numFmtId="164" fontId="29" fillId="0" borderId="12" xfId="1" applyNumberFormat="1" applyFont="1" applyBorder="1" applyAlignment="1">
      <alignment horizontal="center" vertical="center"/>
    </xf>
    <xf numFmtId="3" fontId="37" fillId="0" borderId="12" xfId="0" applyNumberFormat="1" applyFont="1" applyBorder="1" applyAlignment="1">
      <alignment vertical="center"/>
    </xf>
    <xf numFmtId="3" fontId="31" fillId="0" borderId="12" xfId="0" applyNumberFormat="1" applyFont="1" applyBorder="1" applyAlignment="1">
      <alignment horizontal="right" vertical="center"/>
    </xf>
    <xf numFmtId="9" fontId="31" fillId="0" borderId="12" xfId="2" applyFont="1" applyFill="1" applyBorder="1" applyAlignment="1">
      <alignment horizontal="center" vertical="center"/>
    </xf>
    <xf numFmtId="3" fontId="31" fillId="0" borderId="12" xfId="1" applyNumberFormat="1" applyFont="1" applyFill="1" applyBorder="1" applyAlignment="1">
      <alignment vertical="center"/>
    </xf>
    <xf numFmtId="49" fontId="36" fillId="38" borderId="13" xfId="2" applyNumberFormat="1" applyFont="1" applyFill="1" applyBorder="1" applyAlignment="1">
      <alignment vertical="top" wrapText="1"/>
    </xf>
    <xf numFmtId="0" fontId="28" fillId="0" borderId="11" xfId="0" applyFont="1" applyBorder="1" applyAlignment="1">
      <alignment horizontal="center" vertical="center"/>
    </xf>
    <xf numFmtId="0" fontId="29" fillId="0" borderId="11" xfId="0" applyFont="1" applyBorder="1" applyAlignment="1">
      <alignment horizontal="center" vertical="center"/>
    </xf>
    <xf numFmtId="164" fontId="29" fillId="0" borderId="11" xfId="1" applyNumberFormat="1" applyFont="1" applyBorder="1" applyAlignment="1">
      <alignment horizontal="center" vertical="center"/>
    </xf>
    <xf numFmtId="3" fontId="31" fillId="0" borderId="11" xfId="0" applyNumberFormat="1" applyFont="1" applyBorder="1" applyAlignment="1">
      <alignment horizontal="right" vertical="center"/>
    </xf>
    <xf numFmtId="9" fontId="31" fillId="0" borderId="11" xfId="2" applyFont="1" applyFill="1" applyBorder="1" applyAlignment="1">
      <alignment horizontal="center" vertical="center"/>
    </xf>
    <xf numFmtId="3" fontId="31" fillId="0" borderId="11" xfId="1" applyNumberFormat="1" applyFont="1" applyFill="1" applyBorder="1" applyAlignment="1">
      <alignment vertical="center"/>
    </xf>
    <xf numFmtId="3" fontId="37" fillId="0" borderId="0" xfId="0" applyNumberFormat="1" applyFont="1" applyAlignment="1">
      <alignment horizontal="right" vertical="center"/>
    </xf>
    <xf numFmtId="0" fontId="0" fillId="0" borderId="0" xfId="0" applyAlignment="1">
      <alignment vertical="top"/>
    </xf>
    <xf numFmtId="0" fontId="24" fillId="0" borderId="0" xfId="0" applyFont="1"/>
    <xf numFmtId="0" fontId="31" fillId="38" borderId="0" xfId="0" applyFont="1" applyFill="1" applyAlignment="1">
      <alignment horizontal="left" vertical="top" wrapText="1"/>
    </xf>
    <xf numFmtId="0" fontId="33" fillId="0" borderId="0" xfId="0" applyFont="1" applyAlignment="1">
      <alignment vertical="top"/>
    </xf>
    <xf numFmtId="49" fontId="28" fillId="0" borderId="0" xfId="0" applyNumberFormat="1" applyFont="1" applyAlignment="1">
      <alignment horizontal="left" vertical="center"/>
    </xf>
    <xf numFmtId="9" fontId="31" fillId="0" borderId="14" xfId="2"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0" fontId="0" fillId="0" borderId="0" xfId="0" applyAlignment="1">
      <alignment horizontal="left" vertical="top"/>
    </xf>
    <xf numFmtId="0" fontId="40" fillId="0" borderId="0" xfId="0" applyFont="1"/>
    <xf numFmtId="0" fontId="40" fillId="0" borderId="0" xfId="0" applyFont="1" applyAlignment="1">
      <alignment vertical="top"/>
    </xf>
    <xf numFmtId="0" fontId="41" fillId="0" borderId="0" xfId="0" applyFont="1" applyAlignment="1">
      <alignment vertical="center"/>
    </xf>
    <xf numFmtId="0" fontId="42" fillId="0" borderId="0" xfId="0" applyFont="1" applyAlignment="1">
      <alignment vertical="center"/>
    </xf>
    <xf numFmtId="0" fontId="41" fillId="45" borderId="1" xfId="0" applyFont="1" applyFill="1" applyBorder="1" applyAlignment="1">
      <alignment horizontal="center" vertical="center"/>
    </xf>
    <xf numFmtId="49" fontId="36" fillId="38" borderId="1" xfId="2" applyNumberFormat="1" applyFont="1" applyFill="1" applyBorder="1" applyAlignment="1">
      <alignment horizontal="left" vertical="top" wrapText="1"/>
    </xf>
    <xf numFmtId="0" fontId="36" fillId="0" borderId="0" xfId="0" applyFont="1" applyAlignment="1">
      <alignment vertical="top"/>
    </xf>
    <xf numFmtId="0" fontId="36" fillId="0" borderId="0" xfId="0" applyFont="1"/>
    <xf numFmtId="49" fontId="1" fillId="0" borderId="1" xfId="0" applyNumberFormat="1" applyFont="1" applyBorder="1" applyAlignment="1">
      <alignment horizontal="left" vertical="top" wrapText="1"/>
    </xf>
    <xf numFmtId="49" fontId="1" fillId="0" borderId="1" xfId="0" applyNumberFormat="1" applyFont="1" applyBorder="1" applyAlignment="1">
      <alignment vertical="top" wrapText="1"/>
    </xf>
    <xf numFmtId="49" fontId="1" fillId="0" borderId="13" xfId="0" applyNumberFormat="1" applyFont="1" applyBorder="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1FAD546F-6650-49CB-A3F7-5B2091D330FB}"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8" totalsRowShown="0">
  <autoFilter ref="A3:E18"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02-14T04:58:58.71" personId="{1FAD546F-6650-49CB-A3F7-5B2091D330FB}" id="{7BB2A71C-CBAD-4408-9EE1-62BBFD951367}">
    <text>Since meter M1 is reporting negative values from 01/03  we have consider M0 production as total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5-03-11T03:11:31.17" personId="{1FAD546F-6650-49CB-A3F7-5B2091D330FB}" id="{5CF80EFB-3480-4514-AD5C-993C4EDB9A6C}">
    <text>Since meter M1 is reporting negative values from 01/03  we have consider M0 production as total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us3.assetplanner.com/service_request?ID=093414" TargetMode="External"/><Relationship Id="rId7" Type="http://schemas.openxmlformats.org/officeDocument/2006/relationships/printerSettings" Target="../printerSettings/printerSettings3.bin"/><Relationship Id="rId2" Type="http://schemas.openxmlformats.org/officeDocument/2006/relationships/hyperlink" Target="https://us3.assetplanner.com/service_request?ID=096863"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5756" TargetMode="External"/><Relationship Id="rId5" Type="http://schemas.openxmlformats.org/officeDocument/2006/relationships/hyperlink" Target="https://us3.assetplanner.com/service_request?ID=086098" TargetMode="External"/><Relationship Id="rId10" Type="http://schemas.microsoft.com/office/2017/10/relationships/threadedComment" Target="../threadedComments/threadedComment1.xml"/><Relationship Id="rId4" Type="http://schemas.openxmlformats.org/officeDocument/2006/relationships/hyperlink" Target="https://us3.assetplanner.com/service_request?ID=093414" TargetMode="External"/><Relationship Id="rId9" Type="http://schemas.openxmlformats.org/officeDocument/2006/relationships/comments" Target="../comments1.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us3.assetplanner.com/service_request?ID=097768" TargetMode="External"/><Relationship Id="rId7" Type="http://schemas.openxmlformats.org/officeDocument/2006/relationships/hyperlink" Target="https://us3.assetplanner.com/service_request?ID=097638" TargetMode="External"/><Relationship Id="rId2" Type="http://schemas.openxmlformats.org/officeDocument/2006/relationships/hyperlink" Target="https://us3.assetplanner.com/service_request?ID=094989" TargetMode="External"/><Relationship Id="rId1" Type="http://schemas.openxmlformats.org/officeDocument/2006/relationships/hyperlink" Target="https://us3.assetplanner.com/service_request?ID=096863" TargetMode="External"/><Relationship Id="rId6" Type="http://schemas.openxmlformats.org/officeDocument/2006/relationships/hyperlink" Target="https://us3.assetplanner.com/service_request?ID=086098" TargetMode="External"/><Relationship Id="rId5" Type="http://schemas.openxmlformats.org/officeDocument/2006/relationships/hyperlink" Target="https://us3.assetplanner.com/service_request?ID=093414" TargetMode="External"/><Relationship Id="rId10" Type="http://schemas.microsoft.com/office/2017/10/relationships/threadedComment" Target="../threadedComments/threadedComment2.xml"/><Relationship Id="rId4" Type="http://schemas.openxmlformats.org/officeDocument/2006/relationships/hyperlink" Target="https://us3.assetplanner.com/service_request?ID=093413" TargetMode="External"/><Relationship Id="rId9" Type="http://schemas.openxmlformats.org/officeDocument/2006/relationships/comments" Target="../comments2.xm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86098" TargetMode="External"/><Relationship Id="rId3" Type="http://schemas.openxmlformats.org/officeDocument/2006/relationships/hyperlink" Target="https://us3.assetplanner.com/service_request?ID=098409" TargetMode="External"/><Relationship Id="rId7" Type="http://schemas.openxmlformats.org/officeDocument/2006/relationships/hyperlink" Target="https://us3.assetplanner.com/service_request?ID=098408" TargetMode="External"/><Relationship Id="rId2" Type="http://schemas.openxmlformats.org/officeDocument/2006/relationships/hyperlink" Target="https://us3.assetplanner.com/service_request?ID=097768" TargetMode="External"/><Relationship Id="rId1" Type="http://schemas.openxmlformats.org/officeDocument/2006/relationships/hyperlink" Target="https://us3.assetplanner.com/service_request?ID=094989" TargetMode="External"/><Relationship Id="rId6" Type="http://schemas.openxmlformats.org/officeDocument/2006/relationships/hyperlink" Target="https://us3.assetplanner.com/service_request?ID=093414" TargetMode="External"/><Relationship Id="rId5" Type="http://schemas.openxmlformats.org/officeDocument/2006/relationships/hyperlink" Target="https://us3.assetplanner.com/service_request?ID=098411" TargetMode="External"/><Relationship Id="rId4" Type="http://schemas.openxmlformats.org/officeDocument/2006/relationships/hyperlink" Target="https://us3.assetplanner.com/service_request?ID=093413" TargetMode="External"/><Relationship Id="rId9" Type="http://schemas.openxmlformats.org/officeDocument/2006/relationships/hyperlink" Target="https://us3.assetplanner.com/service_request?ID=097638"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8408" TargetMode="External"/><Relationship Id="rId2" Type="http://schemas.openxmlformats.org/officeDocument/2006/relationships/hyperlink" Target="https://us3.assetplanner.com/service_request?ID=098411" TargetMode="External"/><Relationship Id="rId1" Type="http://schemas.openxmlformats.org/officeDocument/2006/relationships/hyperlink" Target="https://us3.assetplanner.com/service_request?ID=098409" TargetMode="External"/><Relationship Id="rId4" Type="http://schemas.openxmlformats.org/officeDocument/2006/relationships/hyperlink" Target="https://us3.assetplanner.com/service_request?ID=086098"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287" TargetMode="External"/><Relationship Id="rId3" Type="http://schemas.openxmlformats.org/officeDocument/2006/relationships/hyperlink" Target="https://us3.assetplanner.com/service_request?ID=098408" TargetMode="External"/><Relationship Id="rId7" Type="http://schemas.openxmlformats.org/officeDocument/2006/relationships/hyperlink" Target="https://us3.assetplanner.com/service_request?ID=101126" TargetMode="External"/><Relationship Id="rId2" Type="http://schemas.openxmlformats.org/officeDocument/2006/relationships/hyperlink" Target="https://us3.assetplanner.com/service_request?ID=098411" TargetMode="External"/><Relationship Id="rId1" Type="http://schemas.openxmlformats.org/officeDocument/2006/relationships/hyperlink" Target="https://us3.assetplanner.com/service_request?ID=098409" TargetMode="External"/><Relationship Id="rId6" Type="http://schemas.openxmlformats.org/officeDocument/2006/relationships/hyperlink" Target="https://us3.assetplanner.com/service_request?ID=101155" TargetMode="External"/><Relationship Id="rId11" Type="http://schemas.openxmlformats.org/officeDocument/2006/relationships/hyperlink" Target="https://us3.assetplanner.com/service_request?ID=101566" TargetMode="External"/><Relationship Id="rId5" Type="http://schemas.openxmlformats.org/officeDocument/2006/relationships/hyperlink" Target="https://us3.assetplanner.com/service_request?ID=101115" TargetMode="External"/><Relationship Id="rId10" Type="http://schemas.openxmlformats.org/officeDocument/2006/relationships/hyperlink" Target="https://us3.assetplanner.com/service_request?ID=101894" TargetMode="External"/><Relationship Id="rId4" Type="http://schemas.openxmlformats.org/officeDocument/2006/relationships/hyperlink" Target="https://us3.assetplanner.com/service_request?ID=086098" TargetMode="External"/><Relationship Id="rId9" Type="http://schemas.openxmlformats.org/officeDocument/2006/relationships/hyperlink" Target="https://us3.assetplanner.com/service_request?ID=10112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899" TargetMode="External"/><Relationship Id="rId3" Type="http://schemas.openxmlformats.org/officeDocument/2006/relationships/hyperlink" Target="https://us3.assetplanner.com/service_request?ID=103839" TargetMode="External"/><Relationship Id="rId7" Type="http://schemas.openxmlformats.org/officeDocument/2006/relationships/hyperlink" Target="https://us3.assetplanner.com/service_request?ID=102671" TargetMode="External"/><Relationship Id="rId2" Type="http://schemas.openxmlformats.org/officeDocument/2006/relationships/hyperlink" Target="https://us3.assetplanner.com/service_request?ID=098409" TargetMode="External"/><Relationship Id="rId1" Type="http://schemas.openxmlformats.org/officeDocument/2006/relationships/hyperlink" Target="https://us3.assetplanner.com/service_request?ID=104065" TargetMode="External"/><Relationship Id="rId6" Type="http://schemas.openxmlformats.org/officeDocument/2006/relationships/hyperlink" Target="https://us3.assetplanner.com/service_request?ID=086098" TargetMode="External"/><Relationship Id="rId11" Type="http://schemas.openxmlformats.org/officeDocument/2006/relationships/hyperlink" Target="https://us3.assetplanner.com/service_request?ID=105123" TargetMode="External"/><Relationship Id="rId5" Type="http://schemas.openxmlformats.org/officeDocument/2006/relationships/hyperlink" Target="https://us3.assetplanner.com/service_request?ID=098408" TargetMode="External"/><Relationship Id="rId10" Type="http://schemas.openxmlformats.org/officeDocument/2006/relationships/hyperlink" Target="https://us3.assetplanner.com/service_request?ID=104461" TargetMode="External"/><Relationship Id="rId4" Type="http://schemas.openxmlformats.org/officeDocument/2006/relationships/hyperlink" Target="https://us3.assetplanner.com/service_request?ID=105463" TargetMode="External"/><Relationship Id="rId9" Type="http://schemas.openxmlformats.org/officeDocument/2006/relationships/hyperlink" Target="https://us3.assetplanner.com/service_request?ID=10427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4461" TargetMode="External"/><Relationship Id="rId3" Type="http://schemas.openxmlformats.org/officeDocument/2006/relationships/hyperlink" Target="https://us3.assetplanner.com/service_request?ID=105463" TargetMode="External"/><Relationship Id="rId7" Type="http://schemas.openxmlformats.org/officeDocument/2006/relationships/hyperlink" Target="https://us3.assetplanner.com/service_request?ID=104276" TargetMode="External"/><Relationship Id="rId12" Type="http://schemas.openxmlformats.org/officeDocument/2006/relationships/hyperlink" Target="https://us3.assetplanner.com/service_request?ID=105123" TargetMode="External"/><Relationship Id="rId2" Type="http://schemas.openxmlformats.org/officeDocument/2006/relationships/hyperlink" Target="https://us3.assetplanner.com/service_request?ID=106617"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06977" TargetMode="External"/><Relationship Id="rId11" Type="http://schemas.openxmlformats.org/officeDocument/2006/relationships/hyperlink" Target="https://us3.assetplanner.com/service_request?ID=101124" TargetMode="External"/><Relationship Id="rId5" Type="http://schemas.openxmlformats.org/officeDocument/2006/relationships/hyperlink" Target="https://us3.assetplanner.com/service_request?ID=106618" TargetMode="External"/><Relationship Id="rId10" Type="http://schemas.openxmlformats.org/officeDocument/2006/relationships/hyperlink" Target="https://us3.assetplanner.com/service_request?ID=107017" TargetMode="External"/><Relationship Id="rId4" Type="http://schemas.openxmlformats.org/officeDocument/2006/relationships/hyperlink" Target="https://us3.assetplanner.com/service_request?ID=106265" TargetMode="External"/><Relationship Id="rId9" Type="http://schemas.openxmlformats.org/officeDocument/2006/relationships/hyperlink" Target="https://us3.assetplanner.com/service_request?ID=106841"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269" TargetMode="External"/><Relationship Id="rId13" Type="http://schemas.openxmlformats.org/officeDocument/2006/relationships/hyperlink" Target="https://us3.assetplanner.com/service_request?ID=101124" TargetMode="External"/><Relationship Id="rId18" Type="http://schemas.openxmlformats.org/officeDocument/2006/relationships/hyperlink" Target="https://us3.assetplanner.com/service_request?ID=107549" TargetMode="External"/><Relationship Id="rId3" Type="http://schemas.openxmlformats.org/officeDocument/2006/relationships/hyperlink" Target="https://us3.assetplanner.com/service_request?ID=106974" TargetMode="External"/><Relationship Id="rId21" Type="http://schemas.openxmlformats.org/officeDocument/2006/relationships/hyperlink" Target="https://us3.assetplanner.com/service_request?ID=108553" TargetMode="External"/><Relationship Id="rId7" Type="http://schemas.openxmlformats.org/officeDocument/2006/relationships/hyperlink" Target="https://us3.assetplanner.com/service_request?ID=107388" TargetMode="External"/><Relationship Id="rId12" Type="http://schemas.openxmlformats.org/officeDocument/2006/relationships/hyperlink" Target="https://us3.assetplanner.com/service_request?ID=106841" TargetMode="External"/><Relationship Id="rId17" Type="http://schemas.openxmlformats.org/officeDocument/2006/relationships/hyperlink" Target="https://us3.assetplanner.com/service_request?ID=108253" TargetMode="External"/><Relationship Id="rId2" Type="http://schemas.openxmlformats.org/officeDocument/2006/relationships/hyperlink" Target="https://us3.assetplanner.com/service_request?ID=107760" TargetMode="External"/><Relationship Id="rId16" Type="http://schemas.openxmlformats.org/officeDocument/2006/relationships/hyperlink" Target="https://us3.assetplanner.com/service_request?ID=108693" TargetMode="External"/><Relationship Id="rId20" Type="http://schemas.openxmlformats.org/officeDocument/2006/relationships/hyperlink" Target="https://us3.assetplanner.com/service_request?ID=107186"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07944" TargetMode="External"/><Relationship Id="rId11" Type="http://schemas.openxmlformats.org/officeDocument/2006/relationships/hyperlink" Target="https://us3.assetplanner.com/service_request?ID=107017" TargetMode="External"/><Relationship Id="rId5" Type="http://schemas.openxmlformats.org/officeDocument/2006/relationships/hyperlink" Target="https://us3.assetplanner.com/service_request?ID=107895" TargetMode="External"/><Relationship Id="rId15" Type="http://schemas.openxmlformats.org/officeDocument/2006/relationships/hyperlink" Target="https://us3.assetplanner.com/service_request?ID=107292" TargetMode="External"/><Relationship Id="rId10" Type="http://schemas.openxmlformats.org/officeDocument/2006/relationships/hyperlink" Target="https://us3.assetplanner.com/service_request?ID=108684" TargetMode="External"/><Relationship Id="rId19" Type="http://schemas.openxmlformats.org/officeDocument/2006/relationships/hyperlink" Target="https://us3.assetplanner.com/service_request?ID=107187" TargetMode="External"/><Relationship Id="rId4" Type="http://schemas.openxmlformats.org/officeDocument/2006/relationships/hyperlink" Target="https://us3.assetplanner.com/service_request?ID=107483" TargetMode="External"/><Relationship Id="rId9" Type="http://schemas.openxmlformats.org/officeDocument/2006/relationships/hyperlink" Target="https://us3.assetplanner.com/service_request?ID=108453" TargetMode="External"/><Relationship Id="rId14" Type="http://schemas.openxmlformats.org/officeDocument/2006/relationships/hyperlink" Target="https://us3.assetplanner.com/service_request?ID=107723" TargetMode="External"/><Relationship Id="rId22" Type="http://schemas.openxmlformats.org/officeDocument/2006/relationships/hyperlink" Target="https://us3.assetplanner.com/service_request?ID=108552"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9662" TargetMode="External"/><Relationship Id="rId13" Type="http://schemas.openxmlformats.org/officeDocument/2006/relationships/hyperlink" Target="https://us3.assetplanner.com/service_request?ID=109068" TargetMode="External"/><Relationship Id="rId18" Type="http://schemas.openxmlformats.org/officeDocument/2006/relationships/hyperlink" Target="https://us3.assetplanner.com/service_request?ID=107723" TargetMode="External"/><Relationship Id="rId3" Type="http://schemas.openxmlformats.org/officeDocument/2006/relationships/hyperlink" Target="https://us3.assetplanner.com/service_request?ID=106974" TargetMode="External"/><Relationship Id="rId21" Type="http://schemas.openxmlformats.org/officeDocument/2006/relationships/hyperlink" Target="https://us3.assetplanner.com/service_request?ID=108553" TargetMode="External"/><Relationship Id="rId7" Type="http://schemas.openxmlformats.org/officeDocument/2006/relationships/hyperlink" Target="https://us3.assetplanner.com/service_request?ID=107944" TargetMode="External"/><Relationship Id="rId12" Type="http://schemas.openxmlformats.org/officeDocument/2006/relationships/hyperlink" Target="https://us3.assetplanner.com/service_request?ID=103097" TargetMode="External"/><Relationship Id="rId17" Type="http://schemas.openxmlformats.org/officeDocument/2006/relationships/hyperlink" Target="https://us3.assetplanner.com/service_request?ID=109596" TargetMode="External"/><Relationship Id="rId2" Type="http://schemas.openxmlformats.org/officeDocument/2006/relationships/hyperlink" Target="https://us3.assetplanner.com/service_request?ID=107731" TargetMode="External"/><Relationship Id="rId16" Type="http://schemas.openxmlformats.org/officeDocument/2006/relationships/hyperlink" Target="https://us3.assetplanner.com/service_request?ID=101124" TargetMode="External"/><Relationship Id="rId20" Type="http://schemas.openxmlformats.org/officeDocument/2006/relationships/hyperlink" Target="https://us3.assetplanner.com/service_request?ID=107186" TargetMode="External"/><Relationship Id="rId1" Type="http://schemas.openxmlformats.org/officeDocument/2006/relationships/hyperlink" Target="https://us3.assetplanner.com/service_request?ID=110376" TargetMode="External"/><Relationship Id="rId6" Type="http://schemas.openxmlformats.org/officeDocument/2006/relationships/hyperlink" Target="https://us3.assetplanner.com/service_request?ID=107895" TargetMode="External"/><Relationship Id="rId11" Type="http://schemas.openxmlformats.org/officeDocument/2006/relationships/hyperlink" Target="https://us3.assetplanner.com/service_request?ID=110363" TargetMode="External"/><Relationship Id="rId5" Type="http://schemas.openxmlformats.org/officeDocument/2006/relationships/hyperlink" Target="https://us3.assetplanner.com/service_request?ID=107483" TargetMode="External"/><Relationship Id="rId15" Type="http://schemas.openxmlformats.org/officeDocument/2006/relationships/hyperlink" Target="https://us3.assetplanner.com/service_request?ID=106841" TargetMode="External"/><Relationship Id="rId23" Type="http://schemas.openxmlformats.org/officeDocument/2006/relationships/hyperlink" Target="https://us3.assetplanner.com/service_request?ID=110001" TargetMode="External"/><Relationship Id="rId10" Type="http://schemas.openxmlformats.org/officeDocument/2006/relationships/hyperlink" Target="https://us3.assetplanner.com/service_request?ID=108684" TargetMode="External"/><Relationship Id="rId19" Type="http://schemas.openxmlformats.org/officeDocument/2006/relationships/hyperlink" Target="https://us3.assetplanner.com/service_request?ID=108253" TargetMode="External"/><Relationship Id="rId4" Type="http://schemas.openxmlformats.org/officeDocument/2006/relationships/hyperlink" Target="https://us3.assetplanner.com/service_request?ID=110353" TargetMode="External"/><Relationship Id="rId9" Type="http://schemas.openxmlformats.org/officeDocument/2006/relationships/hyperlink" Target="https://us3.assetplanner.com/service_request?ID=108453" TargetMode="External"/><Relationship Id="rId14" Type="http://schemas.openxmlformats.org/officeDocument/2006/relationships/hyperlink" Target="https://us3.assetplanner.com/service_request?ID=107017" TargetMode="External"/><Relationship Id="rId22" Type="http://schemas.openxmlformats.org/officeDocument/2006/relationships/hyperlink" Target="https://us3.assetplanner.com/service_request?ID=10855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1844" TargetMode="External"/><Relationship Id="rId13" Type="http://schemas.openxmlformats.org/officeDocument/2006/relationships/hyperlink" Target="https://us3.assetplanner.com/service_request?ID=106841" TargetMode="External"/><Relationship Id="rId18" Type="http://schemas.openxmlformats.org/officeDocument/2006/relationships/hyperlink" Target="https://us3.assetplanner.com/service_request?ID=108253" TargetMode="External"/><Relationship Id="rId3" Type="http://schemas.openxmlformats.org/officeDocument/2006/relationships/hyperlink" Target="https://us3.assetplanner.com/service_request?ID=107895" TargetMode="External"/><Relationship Id="rId21" Type="http://schemas.openxmlformats.org/officeDocument/2006/relationships/printerSettings" Target="../printerSettings/printerSettings4.bin"/><Relationship Id="rId7" Type="http://schemas.openxmlformats.org/officeDocument/2006/relationships/hyperlink" Target="https://us3.assetplanner.com/service_request?ID=111513" TargetMode="External"/><Relationship Id="rId12" Type="http://schemas.openxmlformats.org/officeDocument/2006/relationships/hyperlink" Target="https://us3.assetplanner.com/service_request?ID=107017" TargetMode="External"/><Relationship Id="rId17" Type="http://schemas.openxmlformats.org/officeDocument/2006/relationships/hyperlink" Target="https://us3.assetplanner.com/service_request?ID=112336" TargetMode="External"/><Relationship Id="rId2" Type="http://schemas.openxmlformats.org/officeDocument/2006/relationships/hyperlink" Target="https://us3.assetplanner.com/service_request?ID=107731" TargetMode="External"/><Relationship Id="rId16" Type="http://schemas.openxmlformats.org/officeDocument/2006/relationships/hyperlink" Target="https://us3.assetplanner.com/service_request?ID=110907" TargetMode="External"/><Relationship Id="rId20" Type="http://schemas.openxmlformats.org/officeDocument/2006/relationships/hyperlink" Target="https://us3.assetplanner.com/service_request?ID=110001" TargetMode="External"/><Relationship Id="rId1" Type="http://schemas.openxmlformats.org/officeDocument/2006/relationships/hyperlink" Target="https://us3.assetplanner.com/service_request?ID=110376" TargetMode="External"/><Relationship Id="rId6" Type="http://schemas.openxmlformats.org/officeDocument/2006/relationships/hyperlink" Target="https://us3.assetplanner.com/service_request?ID=111113" TargetMode="External"/><Relationship Id="rId11" Type="http://schemas.openxmlformats.org/officeDocument/2006/relationships/hyperlink" Target="https://us3.assetplanner.com/service_request?ID=110673" TargetMode="External"/><Relationship Id="rId5" Type="http://schemas.openxmlformats.org/officeDocument/2006/relationships/hyperlink" Target="https://us3.assetplanner.com/service_request?ID=110708" TargetMode="External"/><Relationship Id="rId15" Type="http://schemas.openxmlformats.org/officeDocument/2006/relationships/hyperlink" Target="https://us3.assetplanner.com/service_request?ID=101124" TargetMode="External"/><Relationship Id="rId10" Type="http://schemas.openxmlformats.org/officeDocument/2006/relationships/hyperlink" Target="https://us3.assetplanner.com/service_request?ID=110653" TargetMode="External"/><Relationship Id="rId19" Type="http://schemas.openxmlformats.org/officeDocument/2006/relationships/hyperlink" Target="https://us3.assetplanner.com/service_request?ID=111730" TargetMode="External"/><Relationship Id="rId4" Type="http://schemas.openxmlformats.org/officeDocument/2006/relationships/hyperlink" Target="https://us3.assetplanner.com/service_request?ID=107483" TargetMode="External"/><Relationship Id="rId9" Type="http://schemas.openxmlformats.org/officeDocument/2006/relationships/hyperlink" Target="https://us3.assetplanner.com/service_request?ID=103097" TargetMode="External"/><Relationship Id="rId14" Type="http://schemas.openxmlformats.org/officeDocument/2006/relationships/hyperlink" Target="https://us3.assetplanner.com/service_request?ID=111401"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2315" TargetMode="External"/><Relationship Id="rId13" Type="http://schemas.openxmlformats.org/officeDocument/2006/relationships/hyperlink" Target="https://us3.assetplanner.com/service_request?ID=110673" TargetMode="External"/><Relationship Id="rId18" Type="http://schemas.openxmlformats.org/officeDocument/2006/relationships/hyperlink" Target="https://us3.assetplanner.com/service_request?ID=112336" TargetMode="External"/><Relationship Id="rId3" Type="http://schemas.openxmlformats.org/officeDocument/2006/relationships/hyperlink" Target="https://us3.assetplanner.com/service_request?ID=112704" TargetMode="External"/><Relationship Id="rId21" Type="http://schemas.openxmlformats.org/officeDocument/2006/relationships/hyperlink" Target="https://us3.assetplanner.com/service_request?ID=111730" TargetMode="External"/><Relationship Id="rId7" Type="http://schemas.openxmlformats.org/officeDocument/2006/relationships/hyperlink" Target="https://us3.assetplanner.com/service_request?ID=111844" TargetMode="External"/><Relationship Id="rId12" Type="http://schemas.openxmlformats.org/officeDocument/2006/relationships/hyperlink" Target="https://us3.assetplanner.com/service_request?ID=110653" TargetMode="External"/><Relationship Id="rId17" Type="http://schemas.openxmlformats.org/officeDocument/2006/relationships/hyperlink" Target="https://us3.assetplanner.com/service_request?ID=110829" TargetMode="External"/><Relationship Id="rId2" Type="http://schemas.openxmlformats.org/officeDocument/2006/relationships/hyperlink" Target="https://us3.assetplanner.com/service_request?ID=113590" TargetMode="External"/><Relationship Id="rId16" Type="http://schemas.openxmlformats.org/officeDocument/2006/relationships/hyperlink" Target="https://us3.assetplanner.com/service_request?ID=112949" TargetMode="External"/><Relationship Id="rId20" Type="http://schemas.openxmlformats.org/officeDocument/2006/relationships/hyperlink" Target="https://us3.assetplanner.com/service_request?ID=113154" TargetMode="External"/><Relationship Id="rId1" Type="http://schemas.openxmlformats.org/officeDocument/2006/relationships/hyperlink" Target="https://us3.assetplanner.com/service_request?ID=107731" TargetMode="External"/><Relationship Id="rId6" Type="http://schemas.openxmlformats.org/officeDocument/2006/relationships/hyperlink" Target="https://us3.assetplanner.com/service_request?ID=113159" TargetMode="External"/><Relationship Id="rId11" Type="http://schemas.openxmlformats.org/officeDocument/2006/relationships/hyperlink" Target="https://us3.assetplanner.com/service_request?ID=103097" TargetMode="External"/><Relationship Id="rId5" Type="http://schemas.openxmlformats.org/officeDocument/2006/relationships/hyperlink" Target="https://us3.assetplanner.com/service_request?ID=113587" TargetMode="External"/><Relationship Id="rId15" Type="http://schemas.openxmlformats.org/officeDocument/2006/relationships/hyperlink" Target="https://us3.assetplanner.com/service_request?ID=112951" TargetMode="External"/><Relationship Id="rId10" Type="http://schemas.openxmlformats.org/officeDocument/2006/relationships/hyperlink" Target="https://us3.assetplanner.com/service_request?ID=113259" TargetMode="External"/><Relationship Id="rId19" Type="http://schemas.openxmlformats.org/officeDocument/2006/relationships/hyperlink" Target="https://us3.assetplanner.com/service_request?ID=112696" TargetMode="External"/><Relationship Id="rId4" Type="http://schemas.openxmlformats.org/officeDocument/2006/relationships/hyperlink" Target="https://us3.assetplanner.com/service_request?ID=112705" TargetMode="External"/><Relationship Id="rId9" Type="http://schemas.openxmlformats.org/officeDocument/2006/relationships/hyperlink" Target="https://us3.assetplanner.com/service_request?ID=112703" TargetMode="External"/><Relationship Id="rId14" Type="http://schemas.openxmlformats.org/officeDocument/2006/relationships/hyperlink" Target="https://us3.assetplanner.com/service_request?ID=11270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2" sqref="G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0</v>
      </c>
      <c r="E1" s="129"/>
      <c r="F1" s="129"/>
      <c r="G1" s="127" t="s">
        <v>1</v>
      </c>
      <c r="H1" s="127"/>
      <c r="I1" s="127"/>
    </row>
    <row r="2" spans="1:9" ht="19.5" customHeight="1">
      <c r="A2" s="130" t="s">
        <v>2</v>
      </c>
      <c r="B2" s="130"/>
      <c r="C2" s="5">
        <f>SUM(C4:C80)</f>
        <v>32727484.260721076</v>
      </c>
      <c r="D2" s="5">
        <f>SUM(D4:D80)</f>
        <v>35098725.413199991</v>
      </c>
      <c r="E2" s="5">
        <f>C2-D2</f>
        <v>-2371241.1524789147</v>
      </c>
      <c r="F2" s="6">
        <f>IFERROR(E2/D2, 0)</f>
        <v>-6.7559181268364063E-2</v>
      </c>
      <c r="G2" s="5">
        <f>SUM(G4:G80)</f>
        <v>47172517.193999998</v>
      </c>
      <c r="H2" s="7">
        <f>C2-G2</f>
        <v>-14445032.933278922</v>
      </c>
      <c r="I2" s="6">
        <f>IFERROR(H2/G2, 0)</f>
        <v>-0.30621713218891411</v>
      </c>
    </row>
    <row r="3" spans="1:9" ht="14.25" customHeight="1">
      <c r="A3" s="12" t="s">
        <v>3</v>
      </c>
      <c r="B3" s="12" t="s">
        <v>4</v>
      </c>
      <c r="C3" s="19" t="s">
        <v>5</v>
      </c>
      <c r="D3" s="20" t="s">
        <v>6</v>
      </c>
      <c r="E3" s="20" t="s">
        <v>7</v>
      </c>
      <c r="F3" s="21" t="s">
        <v>8</v>
      </c>
      <c r="G3" s="22" t="s">
        <v>9</v>
      </c>
      <c r="H3" s="23" t="s">
        <v>7</v>
      </c>
      <c r="I3" s="24" t="s">
        <v>8</v>
      </c>
    </row>
    <row r="4" spans="1:9" ht="15.6">
      <c r="A4" s="26" t="str" cm="1">
        <f t="array" ref="A4:A18">Sites[Site]</f>
        <v xml:space="preserve">Raymond Ed Re-Development - DC-23-0001 </v>
      </c>
      <c r="B4" s="27" t="str" cm="1">
        <f t="array" ref="B4:B18">Sites[State]</f>
        <v>DC</v>
      </c>
      <c r="C4" s="28">
        <f>SUM('1st Qtr'!C4, '2nd Qtr'!C4, '3rd Qtr'!C4, '4th Qtr'!C4)</f>
        <v>527721.15043021762</v>
      </c>
      <c r="D4" s="29">
        <f>SUM('1st Qtr'!D4, '2nd Qtr'!D4, '3rd Qtr'!D4, '4th Qtr'!D4)</f>
        <v>473685.93</v>
      </c>
      <c r="E4" s="29">
        <f>IF(AND(ISNUMBER(C4),ISNUMBER(D4)), C4-D4, "")</f>
        <v>54035.220430217625</v>
      </c>
      <c r="F4" s="30">
        <f>IFERROR(E4/D4, "")</f>
        <v>0.11407394015316778</v>
      </c>
      <c r="G4" s="31">
        <f>SUM('1st Qtr'!G4, '2nd Qtr'!G4, '3rd Qtr'!G4, '4th Qtr'!G4)</f>
        <v>458206.65999999992</v>
      </c>
      <c r="H4" s="31">
        <f>SUM('1st Qtr'!H4, '2nd Qtr'!H4, '3rd Qtr'!H4, '4th Qtr'!H4)</f>
        <v>-46377.759999999995</v>
      </c>
      <c r="I4" s="32">
        <f>IFERROR(H4/G4, "")</f>
        <v>-0.10121581384260107</v>
      </c>
    </row>
    <row r="5" spans="1:9" ht="15.6">
      <c r="A5" s="33" t="str">
        <v>Berkeley - NJ-22-C893 Berkeley I</v>
      </c>
      <c r="B5" s="34" t="str">
        <v>NJ</v>
      </c>
      <c r="C5" s="35">
        <f>SUM('1st Qtr'!C5, '2nd Qtr'!C5, '3rd Qtr'!C5, '4th Qtr'!C5)</f>
        <v>3220890</v>
      </c>
      <c r="D5" s="35">
        <f>SUM('1st Qtr'!D5, '2nd Qtr'!D5, '3rd Qtr'!D5, '4th Qtr'!D5)</f>
        <v>2614645.9791999999</v>
      </c>
      <c r="E5" s="36">
        <f t="shared" ref="E5:E18" si="0">IF(AND(ISNUMBER(C5),ISNUMBER(D5)), C5-D5, "")</f>
        <v>606244.02080000006</v>
      </c>
      <c r="F5" s="37">
        <f>IFERROR(E5/D5, "")</f>
        <v>0.23186466757747901</v>
      </c>
      <c r="G5" s="38">
        <f>SUM('1st Qtr'!G5, '2nd Qtr'!G5, '3rd Qtr'!G5, '4th Qtr'!G5)</f>
        <v>7014619.1299999999</v>
      </c>
      <c r="H5" s="38">
        <f>SUM('1st Qtr'!H5, '2nd Qtr'!H5, '3rd Qtr'!H5, '4th Qtr'!H5)</f>
        <v>-3793729.13</v>
      </c>
      <c r="I5" s="37">
        <f>IFERROR(H5/G5, "")</f>
        <v>-0.54083180564644573</v>
      </c>
    </row>
    <row r="6" spans="1:9" ht="15.6">
      <c r="A6" s="26" t="str">
        <v>Berkeley - NJ-22-C894 Berkeley II</v>
      </c>
      <c r="B6" s="27" t="str">
        <v>NJ</v>
      </c>
      <c r="C6" s="28">
        <f>SUM('1st Qtr'!C6, '2nd Qtr'!C6, '3rd Qtr'!C6, '4th Qtr'!C6)</f>
        <v>4365321.3790752161</v>
      </c>
      <c r="D6" s="29">
        <f>SUM('1st Qtr'!D6, '2nd Qtr'!D6, '3rd Qtr'!D6, '4th Qtr'!D6)</f>
        <v>4275984.3</v>
      </c>
      <c r="E6" s="29">
        <f t="shared" si="0"/>
        <v>89337.079075216316</v>
      </c>
      <c r="F6" s="30">
        <f t="shared" ref="F6:F18" si="1">IFERROR(E6/D6, "")</f>
        <v>2.0892751892287426E-2</v>
      </c>
      <c r="G6" s="31">
        <f>SUM('1st Qtr'!G6, '2nd Qtr'!G6, '3rd Qtr'!G6, '4th Qtr'!G6)</f>
        <v>7055253</v>
      </c>
      <c r="H6" s="31">
        <f>SUM('1st Qtr'!H6, '2nd Qtr'!H6, '3rd Qtr'!H6, '4th Qtr'!H6)</f>
        <v>-2689931.6209247839</v>
      </c>
      <c r="I6" s="32">
        <f t="shared" ref="I6:I18" si="2">IFERROR(H6/G6, "")</f>
        <v>-0.38126650042525534</v>
      </c>
    </row>
    <row r="7" spans="1:9" ht="15.6">
      <c r="A7" s="33" t="str">
        <v xml:space="preserve"> BEMS Landfill East</v>
      </c>
      <c r="B7" s="34" t="str">
        <v>NJ</v>
      </c>
      <c r="C7" s="35">
        <f>SUM('1st Qtr'!C7, '2nd Qtr'!C7, '3rd Qtr'!C7, '4th Qtr'!C7)</f>
        <v>2133737.16</v>
      </c>
      <c r="D7" s="35">
        <f>SUM('1st Qtr'!D7, '2nd Qtr'!D7, '3rd Qtr'!D7, '4th Qtr'!D7)</f>
        <v>4692792.9009999996</v>
      </c>
      <c r="E7" s="36">
        <f t="shared" si="0"/>
        <v>-2559055.7409999995</v>
      </c>
      <c r="F7" s="37">
        <f t="shared" si="1"/>
        <v>-0.5453161464795695</v>
      </c>
      <c r="G7" s="38">
        <f>SUM('1st Qtr'!G7, '2nd Qtr'!G7, '3rd Qtr'!G7, '4th Qtr'!G7)</f>
        <v>6401119.9900000002</v>
      </c>
      <c r="H7" s="38">
        <f>SUM('1st Qtr'!H7, '2nd Qtr'!H7, '3rd Qtr'!H7, '4th Qtr'!H7)</f>
        <v>-4267382.83</v>
      </c>
      <c r="I7" s="37">
        <f t="shared" si="2"/>
        <v>-0.6666619023962399</v>
      </c>
    </row>
    <row r="8" spans="1:9" ht="16.5" customHeight="1">
      <c r="A8" s="26" t="str">
        <v>Southampton - BEMS West NJ-22-C898</v>
      </c>
      <c r="B8" s="27" t="str">
        <v>NJ</v>
      </c>
      <c r="C8" s="28">
        <f>SUM('1st Qtr'!C8, '2nd Qtr'!C8, '3rd Qtr'!C8, '4th Qtr'!C8)</f>
        <v>6018437</v>
      </c>
      <c r="D8" s="29">
        <f>SUM('1st Qtr'!D8, '2nd Qtr'!D8, '3rd Qtr'!D8, '4th Qtr'!D8)</f>
        <v>6734664.2000000002</v>
      </c>
      <c r="E8" s="29">
        <f t="shared" si="0"/>
        <v>-716227.20000000019</v>
      </c>
      <c r="F8" s="30">
        <f t="shared" si="1"/>
        <v>-0.10634935591888904</v>
      </c>
      <c r="G8" s="31">
        <f>SUM('1st Qtr'!G8, '2nd Qtr'!G8, '3rd Qtr'!G8, '4th Qtr'!G8)</f>
        <v>6748949</v>
      </c>
      <c r="H8" s="31">
        <f>SUM('1st Qtr'!H8, '2nd Qtr'!H8, '3rd Qtr'!H8, '4th Qtr'!H8)</f>
        <v>-730512</v>
      </c>
      <c r="I8" s="32">
        <f t="shared" si="2"/>
        <v>-0.10824085350178228</v>
      </c>
    </row>
    <row r="9" spans="1:9" ht="15.6">
      <c r="A9" s="33" t="str">
        <v>Lakewood Twp - Emergency Services Dev  - NJ-23-0008</v>
      </c>
      <c r="B9" s="34" t="str">
        <v>NJ</v>
      </c>
      <c r="C9" s="35">
        <f>SUM('1st Qtr'!C9, '2nd Qtr'!C9, '3rd Qtr'!C9, '4th Qtr'!C9)</f>
        <v>84161.912877605137</v>
      </c>
      <c r="D9" s="35">
        <f>SUM('1st Qtr'!D9, '2nd Qtr'!D9, '3rd Qtr'!D9, '4th Qtr'!D9)</f>
        <v>32338.864999999998</v>
      </c>
      <c r="E9" s="36">
        <f t="shared" si="0"/>
        <v>51823.047877605139</v>
      </c>
      <c r="F9" s="37">
        <f t="shared" si="1"/>
        <v>1.6025005168735866</v>
      </c>
      <c r="G9" s="38">
        <f>SUM('1st Qtr'!G9, '2nd Qtr'!G9, '3rd Qtr'!G9, '4th Qtr'!G9)</f>
        <v>31068</v>
      </c>
      <c r="H9" s="38">
        <f>SUM('1st Qtr'!H9, '2nd Qtr'!H9, '3rd Qtr'!H9, '4th Qtr'!H9)</f>
        <v>-811.33984324999983</v>
      </c>
      <c r="I9" s="37">
        <f t="shared" si="2"/>
        <v>-2.611496856089867E-2</v>
      </c>
    </row>
    <row r="10" spans="1:9" ht="16.5" customHeight="1">
      <c r="A10" s="26" t="str">
        <v>Lakewood Township - Public Works</v>
      </c>
      <c r="B10" s="27" t="str">
        <v>NJ</v>
      </c>
      <c r="C10" s="28">
        <f>SUM('1st Qtr'!C10, '2nd Qtr'!C10, '3rd Qtr'!C10, '4th Qtr'!C10)</f>
        <v>1430908.0999802761</v>
      </c>
      <c r="D10" s="29">
        <f>SUM('1st Qtr'!D10, '2nd Qtr'!D10, '3rd Qtr'!D10, '4th Qtr'!D10)</f>
        <v>837809.31199999992</v>
      </c>
      <c r="E10" s="29">
        <f t="shared" si="0"/>
        <v>593098.78798027616</v>
      </c>
      <c r="F10" s="30">
        <f t="shared" si="1"/>
        <v>0.7079162041830781</v>
      </c>
      <c r="G10" s="31">
        <f>SUM('1st Qtr'!G10, '2nd Qtr'!G10, '3rd Qtr'!G10, '4th Qtr'!G10)</f>
        <v>1288116.051</v>
      </c>
      <c r="H10" s="31">
        <f>SUM('1st Qtr'!H10, '2nd Qtr'!H10, '3rd Qtr'!H10, '4th Qtr'!H10)</f>
        <v>142792.04898027604</v>
      </c>
      <c r="I10" s="32">
        <f t="shared" si="2"/>
        <v>0.11085340398438684</v>
      </c>
    </row>
    <row r="11" spans="1:9" ht="15.6">
      <c r="A11" s="33" t="str">
        <v>Canby - Dover - OR-23-C003</v>
      </c>
      <c r="B11" s="34" t="str">
        <v>OR</v>
      </c>
      <c r="C11" s="35">
        <f>SUM('1st Qtr'!C11, '2nd Qtr'!C11, '3rd Qtr'!C11, '4th Qtr'!C11)</f>
        <v>2988122.9180000005</v>
      </c>
      <c r="D11" s="35">
        <f>SUM('1st Qtr'!D11, '2nd Qtr'!D11, '3rd Qtr'!D11, '4th Qtr'!D11)</f>
        <v>2950277.1099999994</v>
      </c>
      <c r="E11" s="36">
        <f t="shared" si="0"/>
        <v>37845.808000001125</v>
      </c>
      <c r="F11" s="37">
        <f t="shared" si="1"/>
        <v>1.2827882462878592E-2</v>
      </c>
      <c r="G11" s="38">
        <f>SUM('1st Qtr'!G11, '2nd Qtr'!G11, '3rd Qtr'!G11, '4th Qtr'!G11)</f>
        <v>3139998</v>
      </c>
      <c r="H11" s="38">
        <f>SUM('1st Qtr'!H11, '2nd Qtr'!H11, '3rd Qtr'!H11, '4th Qtr'!H11)</f>
        <v>-151875.08199999947</v>
      </c>
      <c r="I11" s="37">
        <f t="shared" si="2"/>
        <v>-4.8367891317128056E-2</v>
      </c>
    </row>
    <row r="12" spans="1:9" ht="15.6">
      <c r="A12" s="26" t="str">
        <v xml:space="preserve"> Estacada - Clayfield - OR-23-C001</v>
      </c>
      <c r="B12" s="27" t="str">
        <v>OR</v>
      </c>
      <c r="C12" s="28">
        <f>SUM('1st Qtr'!C12, '2nd Qtr'!C12, '3rd Qtr'!C12, '4th Qtr'!C12)</f>
        <v>2118413.0294031766</v>
      </c>
      <c r="D12" s="29">
        <f>SUM('1st Qtr'!D12, '2nd Qtr'!D12, '3rd Qtr'!D12, '4th Qtr'!D12)</f>
        <v>2225583.0100000002</v>
      </c>
      <c r="E12" s="29">
        <f t="shared" si="0"/>
        <v>-107169.98059682362</v>
      </c>
      <c r="F12" s="30">
        <f t="shared" si="1"/>
        <v>-4.8153665855322832E-2</v>
      </c>
      <c r="G12" s="31">
        <f>SUM('1st Qtr'!G12, '2nd Qtr'!G12, '3rd Qtr'!G12, '4th Qtr'!G12)</f>
        <v>3497736</v>
      </c>
      <c r="H12" s="31">
        <f>SUM('1st Qtr'!H12, '2nd Qtr'!H12, '3rd Qtr'!H12, '4th Qtr'!H12)</f>
        <v>-1379322.9705968231</v>
      </c>
      <c r="I12" s="32">
        <f t="shared" si="2"/>
        <v>-0.39434736372236873</v>
      </c>
    </row>
    <row r="13" spans="1:9" ht="15.6">
      <c r="A13" s="33" t="str">
        <v>Willamina - Waterford - OR-23-C006</v>
      </c>
      <c r="B13" s="34" t="str">
        <v>OR</v>
      </c>
      <c r="C13" s="35">
        <f>SUM('1st Qtr'!C13, '2nd Qtr'!C13, '3rd Qtr'!C13, '4th Qtr'!C13)</f>
        <v>2058744.9666545889</v>
      </c>
      <c r="D13" s="35">
        <f>SUM('1st Qtr'!D13, '2nd Qtr'!D13, '3rd Qtr'!D13, '4th Qtr'!D13)</f>
        <v>2469919.0010000002</v>
      </c>
      <c r="E13" s="36">
        <f t="shared" si="0"/>
        <v>-411174.03434541123</v>
      </c>
      <c r="F13" s="37">
        <f t="shared" si="1"/>
        <v>-0.16647267954088313</v>
      </c>
      <c r="G13" s="38">
        <f>SUM('1st Qtr'!G13, '2nd Qtr'!G13, '3rd Qtr'!G13, '4th Qtr'!G13)</f>
        <v>3018213.7199999997</v>
      </c>
      <c r="H13" s="38">
        <f>SUM('1st Qtr'!H13, '2nd Qtr'!H13, '3rd Qtr'!H13, '4th Qtr'!H13)</f>
        <v>-959468.75334541104</v>
      </c>
      <c r="I13" s="37">
        <f t="shared" si="2"/>
        <v>-0.31789291360898431</v>
      </c>
    </row>
    <row r="14" spans="1:9" ht="15.6">
      <c r="A14" s="26" t="str">
        <v>OR-23-C005  Solops  SPI - Belvedere Solar</v>
      </c>
      <c r="B14" s="27" t="str">
        <v>OR</v>
      </c>
      <c r="C14" s="28">
        <f>SUM('1st Qtr'!C14, '2nd Qtr'!C14, '3rd Qtr'!C14, '4th Qtr'!C14)</f>
        <v>3929391.4899999979</v>
      </c>
      <c r="D14" s="29">
        <f>SUM('1st Qtr'!D14, '2nd Qtr'!D14, '3rd Qtr'!D14, '4th Qtr'!D14)</f>
        <v>3832361.55</v>
      </c>
      <c r="E14" s="29">
        <f t="shared" si="0"/>
        <v>97029.939999998081</v>
      </c>
      <c r="F14" s="30">
        <f t="shared" si="1"/>
        <v>2.5318576740234251E-2</v>
      </c>
      <c r="G14" s="31">
        <f>SUM('1st Qtr'!G14, '2nd Qtr'!G14, '3rd Qtr'!G14, '4th Qtr'!G14)</f>
        <v>4075837</v>
      </c>
      <c r="H14" s="31">
        <f>SUM('1st Qtr'!H14, '2nd Qtr'!H14, '3rd Qtr'!H14, '4th Qtr'!H14)</f>
        <v>-146445.51000000196</v>
      </c>
      <c r="I14" s="32">
        <f t="shared" si="2"/>
        <v>-3.5930168453743846E-2</v>
      </c>
    </row>
    <row r="15" spans="1:9" ht="15.6">
      <c r="A15" s="33" t="str">
        <v>OR-23-C002  SPI - Cork Solar</v>
      </c>
      <c r="B15" s="34" t="str">
        <v>OR</v>
      </c>
      <c r="C15" s="35">
        <f>SUM('1st Qtr'!C15, '2nd Qtr'!C15, '3rd Qtr'!C15, '4th Qtr'!C15)</f>
        <v>1794235.415</v>
      </c>
      <c r="D15" s="35">
        <f>SUM('1st Qtr'!D15, '2nd Qtr'!D15, '3rd Qtr'!D15, '4th Qtr'!D15)</f>
        <v>1713322.4350000001</v>
      </c>
      <c r="E15" s="36">
        <f t="shared" si="0"/>
        <v>80912.979999999981</v>
      </c>
      <c r="F15" s="37">
        <f t="shared" si="1"/>
        <v>4.7225775106365185E-2</v>
      </c>
      <c r="G15" s="38">
        <f>SUM('1st Qtr'!G15, '2nd Qtr'!G15, '3rd Qtr'!G15, '4th Qtr'!G15)</f>
        <v>1754657.0430000001</v>
      </c>
      <c r="H15" s="38">
        <f>SUM('1st Qtr'!H15, '2nd Qtr'!H15, '3rd Qtr'!H15, '4th Qtr'!H15)</f>
        <v>39578.372000000338</v>
      </c>
      <c r="I15" s="37">
        <f t="shared" si="2"/>
        <v>2.2556186781852124E-2</v>
      </c>
    </row>
    <row r="16" spans="1:9" ht="15.6">
      <c r="A16" s="26" t="str">
        <v>OR: Oregon City - Buckner Creek - OR-23-C008</v>
      </c>
      <c r="B16" s="27" t="str">
        <v>OR</v>
      </c>
      <c r="C16" s="28">
        <f>SUM('1st Qtr'!C16, '2nd Qtr'!C16, '3rd Qtr'!C16, '4th Qtr'!C16)</f>
        <v>624212.58530000004</v>
      </c>
      <c r="D16" s="29">
        <f>SUM('1st Qtr'!D16, '2nd Qtr'!D16, '3rd Qtr'!D16, '4th Qtr'!D16)</f>
        <v>758237.72</v>
      </c>
      <c r="E16" s="29">
        <f t="shared" si="0"/>
        <v>-134025.13469999994</v>
      </c>
      <c r="F16" s="30">
        <f t="shared" si="1"/>
        <v>-0.17675872772459797</v>
      </c>
      <c r="G16" s="31">
        <f>SUM('1st Qtr'!G16, '2nd Qtr'!G16, '3rd Qtr'!G16, '4th Qtr'!G16)</f>
        <v>922006</v>
      </c>
      <c r="H16" s="31">
        <f>SUM('1st Qtr'!H16, '2nd Qtr'!H16, '3rd Qtr'!H16, '4th Qtr'!H16)</f>
        <v>-297793.41469999996</v>
      </c>
      <c r="I16" s="32">
        <f t="shared" si="2"/>
        <v>-0.32298424815022891</v>
      </c>
    </row>
    <row r="17" spans="1:9" ht="15.6">
      <c r="A17" s="33" t="str">
        <v>OR: Dundee - Gun Club - OR-23-C009</v>
      </c>
      <c r="B17" s="34" t="str">
        <v>OR</v>
      </c>
      <c r="C17" s="35">
        <f>SUM('1st Qtr'!C17, '2nd Qtr'!C17, '3rd Qtr'!C17, '4th Qtr'!C17)</f>
        <v>985293.47000000102</v>
      </c>
      <c r="D17" s="35">
        <f>SUM('1st Qtr'!D17, '2nd Qtr'!D17, '3rd Qtr'!D17, '4th Qtr'!D17)</f>
        <v>1026799.3</v>
      </c>
      <c r="E17" s="36">
        <f t="shared" si="0"/>
        <v>-41505.829999999027</v>
      </c>
      <c r="F17" s="37">
        <f t="shared" si="1"/>
        <v>-4.0422534374535538E-2</v>
      </c>
      <c r="G17" s="38">
        <f>SUM('1st Qtr'!G17, '2nd Qtr'!G17, '3rd Qtr'!G17, '4th Qtr'!G17)</f>
        <v>1133548.6000000001</v>
      </c>
      <c r="H17" s="38">
        <f>SUM('1st Qtr'!H17, '2nd Qtr'!H17, '3rd Qtr'!H17, '4th Qtr'!H17)</f>
        <v>-148255.12999999896</v>
      </c>
      <c r="I17" s="37">
        <f t="shared" si="2"/>
        <v>-0.1307885078769441</v>
      </c>
    </row>
    <row r="18" spans="1:9" ht="15.6">
      <c r="A18" s="26" t="str">
        <v>OR: Molalla - Marquam - OR-23-C010</v>
      </c>
      <c r="B18" s="27" t="str">
        <v>OR</v>
      </c>
      <c r="C18" s="28">
        <f>SUM('1st Qtr'!C18, '2nd Qtr'!C18, '3rd Qtr'!C18, '4th Qtr'!C18)</f>
        <v>447893.68400000001</v>
      </c>
      <c r="D18" s="29">
        <f>SUM('1st Qtr'!D18, '2nd Qtr'!D18, '3rd Qtr'!D18, '4th Qtr'!D18)</f>
        <v>460303.8</v>
      </c>
      <c r="E18" s="29">
        <f t="shared" si="0"/>
        <v>-12410.11599999998</v>
      </c>
      <c r="F18" s="30">
        <f t="shared" si="1"/>
        <v>-2.6960707254643522E-2</v>
      </c>
      <c r="G18" s="31">
        <f>SUM('1st Qtr'!G18, '2nd Qtr'!G18, '3rd Qtr'!G18, '4th Qtr'!G18)</f>
        <v>633189</v>
      </c>
      <c r="H18" s="31">
        <f>SUM('1st Qtr'!H18, '2nd Qtr'!H18, '3rd Qtr'!H18, '4th Qtr'!H18)</f>
        <v>-185295.31600000002</v>
      </c>
      <c r="I18" s="32">
        <f t="shared" si="2"/>
        <v>-0.29263824229416496</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autoFilter ref="A2:I2" xr:uid="{D5C25034-9971-4A61-864F-C938F31EB1B8}"/>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I9" sqref="I9:I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10</v>
      </c>
      <c r="E1" s="129"/>
      <c r="F1" s="129"/>
      <c r="G1" s="127" t="s">
        <v>11</v>
      </c>
      <c r="H1" s="127"/>
      <c r="I1" s="127"/>
    </row>
    <row r="2" spans="1:9" ht="19.5" customHeight="1">
      <c r="A2" s="130" t="s">
        <v>2</v>
      </c>
      <c r="B2" s="130"/>
      <c r="C2" s="5">
        <f>SUM(C4:C80)</f>
        <v>1526713.3764137428</v>
      </c>
      <c r="D2" s="5">
        <f>SUM(D4:D80)</f>
        <v>1623475.4861999999</v>
      </c>
      <c r="E2" s="5">
        <f>C2-D2</f>
        <v>-96762.109786257148</v>
      </c>
      <c r="F2" s="6">
        <f>IFERROR(E2/D2, 0)</f>
        <v>-5.9601829906741684E-2</v>
      </c>
      <c r="G2" s="5">
        <f>SUM(G4:G80)</f>
        <v>5982362.5099999998</v>
      </c>
      <c r="H2" s="7">
        <f>C2-G2</f>
        <v>-4455649.1335862568</v>
      </c>
      <c r="I2" s="6">
        <f>IFERROR(H2/G2, 0)</f>
        <v>-0.74479758224920023</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SUM(Jan!C4, Feb!C4, Mar!C4)</f>
        <v>115892.25043021759</v>
      </c>
      <c r="D4" s="29">
        <f>SUM(Jan!D4, Feb!D4, Mar!D4)</f>
        <v>0</v>
      </c>
      <c r="E4" s="29">
        <f>IF(AND(ISNUMBER(C4),ISNUMBER(D4)), C4-D4, "")</f>
        <v>115892.25043021759</v>
      </c>
      <c r="F4" s="30" t="str">
        <f>IFERROR(E4/D4, "")</f>
        <v/>
      </c>
      <c r="G4" s="31">
        <f>SUM(Jan!G4, Feb!G4, Mar!G4)</f>
        <v>0</v>
      </c>
      <c r="H4" s="31">
        <f>SUM(Jan!H4, Feb!H4, Mar!H4)</f>
        <v>0</v>
      </c>
      <c r="I4" s="32" t="str">
        <f>IFERROR(H4/G4, "")</f>
        <v/>
      </c>
    </row>
    <row r="5" spans="1:9" ht="15.6">
      <c r="A5" s="48" t="str">
        <v>Berkeley - NJ-22-C893 Berkeley I</v>
      </c>
      <c r="B5" s="34" t="str">
        <v>NJ</v>
      </c>
      <c r="C5" s="35">
        <f>SUM(Jan!C5, Feb!C5, Mar!C5)</f>
        <v>0</v>
      </c>
      <c r="D5" s="36">
        <f>SUM(Jan!D5, Feb!D5, Mar!D5)</f>
        <v>32042.456200000001</v>
      </c>
      <c r="E5" s="36">
        <f>IF(AND(ISNUMBER(C5),ISNUMBER(D5)), C5-D5, "")</f>
        <v>-32042.456200000001</v>
      </c>
      <c r="F5" s="37">
        <f>IFERROR(E5/D5, "")</f>
        <v>-1</v>
      </c>
      <c r="G5" s="38">
        <f>SUM(Jan!G5, Feb!G5, Mar!G5)</f>
        <v>1495580.21</v>
      </c>
      <c r="H5" s="38">
        <f>SUM(Jan!H5, Feb!H5, Mar!H5)</f>
        <v>-1495580.21</v>
      </c>
      <c r="I5" s="37">
        <f>IFERROR(H5/G5, "")</f>
        <v>-1</v>
      </c>
    </row>
    <row r="6" spans="1:9" ht="15.6">
      <c r="A6" s="47" t="str">
        <v>Berkeley - NJ-22-C894 Berkeley II</v>
      </c>
      <c r="B6" s="27" t="str">
        <v>NJ</v>
      </c>
      <c r="C6" s="28">
        <f>SUM(Jan!C6, Feb!C6, Mar!C6)</f>
        <v>109808.105457546</v>
      </c>
      <c r="D6" s="29">
        <f>SUM(Jan!D6, Feb!D6, Mar!D6)</f>
        <v>271422.90000000002</v>
      </c>
      <c r="E6" s="29">
        <f t="shared" ref="E6:E18" si="0">IF(AND(ISNUMBER(C6),ISNUMBER(D6)), C6-D6, "")</f>
        <v>-161614.79454245401</v>
      </c>
      <c r="F6" s="30">
        <f t="shared" ref="F6:F18" si="1">IFERROR(E6/D6, "")</f>
        <v>-0.59543536872700864</v>
      </c>
      <c r="G6" s="31">
        <f>SUM(Jan!G6, Feb!G6, Mar!G6)</f>
        <v>1480295</v>
      </c>
      <c r="H6" s="31">
        <f>SUM(Jan!H6, Feb!H6, Mar!H6)</f>
        <v>-1370486.894542454</v>
      </c>
      <c r="I6" s="32">
        <f t="shared" ref="I6:I18" si="2">IFERROR(H6/G6, "")</f>
        <v>-0.92582012000476532</v>
      </c>
    </row>
    <row r="7" spans="1:9" ht="15.6">
      <c r="A7" s="48" t="str">
        <v xml:space="preserve"> BEMS Landfill East</v>
      </c>
      <c r="B7" s="34" t="str">
        <v>NJ</v>
      </c>
      <c r="C7" s="35">
        <f>SUM(Jan!C7, Feb!C7, Mar!C7)</f>
        <v>0</v>
      </c>
      <c r="D7" s="36">
        <f>SUM(Jan!D7, Feb!D7, Mar!D7)</f>
        <v>13254.93</v>
      </c>
      <c r="E7" s="36">
        <f>IF(AND(ISNUMBER(C7),ISNUMBER(D7)), C7-D7, "")</f>
        <v>-13254.93</v>
      </c>
      <c r="F7" s="37">
        <f t="shared" si="1"/>
        <v>-1</v>
      </c>
      <c r="G7" s="38">
        <f>SUM(Jan!G7, Feb!G7, Mar!G7)</f>
        <v>1554068.3</v>
      </c>
      <c r="H7" s="38">
        <f>SUM(Jan!H7, Feb!H7, Mar!H7)</f>
        <v>-1554068.3</v>
      </c>
      <c r="I7" s="37">
        <f t="shared" si="2"/>
        <v>-1</v>
      </c>
    </row>
    <row r="8" spans="1:9" ht="15.6">
      <c r="A8" s="47" t="str">
        <v>Southampton - BEMS West NJ-22-C898</v>
      </c>
      <c r="B8" s="27" t="str">
        <v>NJ</v>
      </c>
      <c r="C8" s="28">
        <f>SUM(Jan!C8, Feb!C8, Mar!C8)</f>
        <v>1043156</v>
      </c>
      <c r="D8" s="29">
        <f>SUM(Jan!D8, Feb!D8, Mar!D8)</f>
        <v>1306755.2</v>
      </c>
      <c r="E8" s="29">
        <f t="shared" si="0"/>
        <v>-263599.19999999995</v>
      </c>
      <c r="F8" s="30">
        <f t="shared" si="1"/>
        <v>-0.20172041404541566</v>
      </c>
      <c r="G8" s="31">
        <f>SUM(Jan!G8, Feb!G8, Mar!G8)</f>
        <v>1352961</v>
      </c>
      <c r="H8" s="31">
        <f>SUM(Jan!H8, Feb!H8, Mar!H8)</f>
        <v>-309805</v>
      </c>
      <c r="I8" s="32">
        <f t="shared" si="2"/>
        <v>-0.22898294924983056</v>
      </c>
    </row>
    <row r="9" spans="1:9" ht="15.6">
      <c r="A9" s="48" t="str">
        <v>Lakewood Twp - Emergency Services Dev  - NJ-23-0008</v>
      </c>
      <c r="B9" s="34" t="str">
        <v>NJ</v>
      </c>
      <c r="C9" s="35">
        <f>SUM(Jan!C9, Feb!C9, Mar!C9)</f>
        <v>13246.358095703121</v>
      </c>
      <c r="D9" s="36">
        <f>SUM(Jan!D9, Feb!D9, Mar!D9)</f>
        <v>0</v>
      </c>
      <c r="E9" s="36">
        <f>IF(AND(ISNUMBER(C9),ISNUMBER(D9)), C9-D9, "")</f>
        <v>13246.358095703121</v>
      </c>
      <c r="F9" s="37" t="str">
        <f t="shared" si="1"/>
        <v/>
      </c>
      <c r="G9" s="38">
        <f>SUM(Jan!G9, Feb!G9, Mar!G9)</f>
        <v>0</v>
      </c>
      <c r="H9" s="38">
        <f>SUM(Jan!H9, Feb!H9, Mar!H9)</f>
        <v>0</v>
      </c>
      <c r="I9" s="37" t="str">
        <f t="shared" si="2"/>
        <v/>
      </c>
    </row>
    <row r="10" spans="1:9" ht="15.6">
      <c r="A10" s="47" t="str">
        <v>Lakewood Township - Public Works</v>
      </c>
      <c r="B10" s="27" t="str">
        <v>NJ</v>
      </c>
      <c r="C10" s="28">
        <f>SUM(Jan!C10, Feb!C10, Mar!C10)</f>
        <v>244610.66243027602</v>
      </c>
      <c r="D10" s="29">
        <f>SUM(Jan!D10, Feb!D10, Mar!D10)</f>
        <v>0</v>
      </c>
      <c r="E10" s="29">
        <f t="shared" si="0"/>
        <v>244610.66243027602</v>
      </c>
      <c r="F10" s="30" t="str">
        <f t="shared" si="1"/>
        <v/>
      </c>
      <c r="G10" s="31">
        <f>SUM(Jan!G10, Feb!G10, Mar!G10)</f>
        <v>99458</v>
      </c>
      <c r="H10" s="31">
        <f>SUM(Jan!H10, Feb!H10, Mar!H10)</f>
        <v>145152.66243027602</v>
      </c>
      <c r="I10" s="32">
        <f t="shared" si="2"/>
        <v>1.4594367716048584</v>
      </c>
    </row>
    <row r="11" spans="1:9" ht="15.6">
      <c r="A11" s="48" t="str">
        <v>Canby - Dover - OR-23-C003</v>
      </c>
      <c r="B11" s="33" t="str">
        <v>OR</v>
      </c>
      <c r="C11" s="35">
        <f>SUM(Jan!C11, Feb!C11, Mar!C11)</f>
        <v>0</v>
      </c>
      <c r="D11" s="36">
        <f>SUM(Jan!D11, Feb!D11, Mar!D11)</f>
        <v>0</v>
      </c>
      <c r="E11" s="36">
        <f t="shared" si="0"/>
        <v>0</v>
      </c>
      <c r="F11" s="37" t="str">
        <f t="shared" si="1"/>
        <v/>
      </c>
      <c r="G11" s="38">
        <f>SUM(Jan!G11, Feb!G11, Mar!G11)</f>
        <v>0</v>
      </c>
      <c r="H11" s="38">
        <f>SUM(Jan!H11, Feb!H11, Mar!H11)</f>
        <v>0</v>
      </c>
      <c r="I11" s="37" t="str">
        <f t="shared" si="2"/>
        <v/>
      </c>
    </row>
    <row r="12" spans="1:9" ht="15.6">
      <c r="A12" s="47" t="str">
        <v xml:space="preserve"> Estacada - Clayfield - OR-23-C001</v>
      </c>
      <c r="B12" s="26" t="str">
        <v>OR</v>
      </c>
      <c r="C12" s="28">
        <f>SUM(Jan!C12, Feb!C12, Mar!C12)</f>
        <v>0</v>
      </c>
      <c r="D12" s="29">
        <f>SUM(Jan!D12, Feb!D12, Mar!D12)</f>
        <v>0</v>
      </c>
      <c r="E12" s="29">
        <f t="shared" si="0"/>
        <v>0</v>
      </c>
      <c r="F12" s="30" t="str">
        <f t="shared" si="1"/>
        <v/>
      </c>
      <c r="G12" s="31">
        <f>SUM(Jan!G12, Feb!G12, Mar!G12)</f>
        <v>0</v>
      </c>
      <c r="H12" s="31">
        <f>SUM(Jan!H12, Feb!H12, Mar!H12)</f>
        <v>0</v>
      </c>
      <c r="I12" s="32" t="str">
        <f t="shared" si="2"/>
        <v/>
      </c>
    </row>
    <row r="13" spans="1:9" ht="15.6">
      <c r="A13" s="48" t="str">
        <v>Willamina - Waterford - OR-23-C006</v>
      </c>
      <c r="B13" s="33" t="str">
        <v>OR</v>
      </c>
      <c r="C13" s="35">
        <f>SUM(Jan!C13, Feb!C13, Mar!C13)</f>
        <v>0</v>
      </c>
      <c r="D13" s="36">
        <f>SUM(Jan!D13, Feb!D13, Mar!D13)</f>
        <v>0</v>
      </c>
      <c r="E13" s="36">
        <f t="shared" si="0"/>
        <v>0</v>
      </c>
      <c r="F13" s="37" t="str">
        <f t="shared" si="1"/>
        <v/>
      </c>
      <c r="G13" s="38">
        <f>SUM(Jan!G13, Feb!G13, Mar!G13)</f>
        <v>0</v>
      </c>
      <c r="H13" s="38">
        <f>SUM(Jan!H13, Feb!H13, Mar!H13)</f>
        <v>0</v>
      </c>
      <c r="I13" s="37" t="str">
        <f t="shared" si="2"/>
        <v/>
      </c>
    </row>
    <row r="14" spans="1:9" ht="15.6">
      <c r="A14" s="47" t="str">
        <v>OR-23-C005  Solops  SPI - Belvedere Solar</v>
      </c>
      <c r="B14" s="26" t="str">
        <v>OR</v>
      </c>
      <c r="C14" s="28">
        <f>SUM(Jan!C14, Feb!C14, Mar!C14)</f>
        <v>0</v>
      </c>
      <c r="D14" s="29">
        <f>SUM(Jan!D14, Feb!D14, Mar!D14)</f>
        <v>0</v>
      </c>
      <c r="E14" s="29">
        <f t="shared" si="0"/>
        <v>0</v>
      </c>
      <c r="F14" s="30" t="str">
        <f t="shared" si="1"/>
        <v/>
      </c>
      <c r="G14" s="31">
        <f>SUM(Jan!G14, Feb!G14, Mar!G14)</f>
        <v>0</v>
      </c>
      <c r="H14" s="31">
        <f>SUM(Jan!H14, Feb!H14, Mar!H14)</f>
        <v>0</v>
      </c>
      <c r="I14" s="32" t="str">
        <f t="shared" si="2"/>
        <v/>
      </c>
    </row>
    <row r="15" spans="1:9" ht="15.6">
      <c r="A15" s="48" t="str">
        <v>OR-23-C002  SPI - Cork Solar</v>
      </c>
      <c r="B15" s="33" t="str">
        <v>OR</v>
      </c>
      <c r="C15" s="35">
        <f>SUM(Jan!C15, Feb!C15, Mar!C15)</f>
        <v>0</v>
      </c>
      <c r="D15" s="36">
        <f>SUM(Jan!D15, Feb!D15, Mar!D15)</f>
        <v>0</v>
      </c>
      <c r="E15" s="36">
        <f t="shared" si="0"/>
        <v>0</v>
      </c>
      <c r="F15" s="37" t="str">
        <f t="shared" si="1"/>
        <v/>
      </c>
      <c r="G15" s="38">
        <f>SUM(Jan!G15, Feb!G15, Mar!G15)</f>
        <v>0</v>
      </c>
      <c r="H15" s="38">
        <f>SUM(Jan!H15, Feb!H15, Mar!H15)</f>
        <v>0</v>
      </c>
      <c r="I15" s="37" t="str">
        <f t="shared" si="2"/>
        <v/>
      </c>
    </row>
    <row r="16" spans="1:9" ht="15.6">
      <c r="A16" s="47" t="str">
        <v>OR: Oregon City - Buckner Creek - OR-23-C008</v>
      </c>
      <c r="B16" s="26" t="str">
        <v>OR</v>
      </c>
      <c r="C16" s="28">
        <f>SUM(Jan!C16, Feb!C16, Mar!C16)</f>
        <v>0</v>
      </c>
      <c r="D16" s="29">
        <f>SUM(Jan!D16, Feb!D16, Mar!D16)</f>
        <v>0</v>
      </c>
      <c r="E16" s="29">
        <f t="shared" si="0"/>
        <v>0</v>
      </c>
      <c r="F16" s="30" t="str">
        <f t="shared" si="1"/>
        <v/>
      </c>
      <c r="G16" s="31">
        <f>SUM(Jan!G16, Feb!G16, Mar!G16)</f>
        <v>0</v>
      </c>
      <c r="H16" s="31">
        <f>SUM(Jan!H16, Feb!H16, Mar!H16)</f>
        <v>0</v>
      </c>
      <c r="I16" s="32" t="str">
        <f t="shared" si="2"/>
        <v/>
      </c>
    </row>
    <row r="17" spans="1:9" ht="15.6">
      <c r="A17" s="48" t="str">
        <v>OR: Dundee - Gun Club - OR-23-C009</v>
      </c>
      <c r="B17" s="33" t="str">
        <v>OR</v>
      </c>
      <c r="C17" s="35">
        <f>SUM(Jan!C17, Feb!C17, Mar!C17)</f>
        <v>0</v>
      </c>
      <c r="D17" s="36">
        <f>SUM(Jan!D17, Feb!D17, Mar!D17)</f>
        <v>0</v>
      </c>
      <c r="E17" s="36">
        <f t="shared" si="0"/>
        <v>0</v>
      </c>
      <c r="F17" s="37" t="str">
        <f t="shared" si="1"/>
        <v/>
      </c>
      <c r="G17" s="38">
        <f>SUM(Jan!G17, Feb!G17, Mar!G17)</f>
        <v>0</v>
      </c>
      <c r="H17" s="38">
        <f>SUM(Jan!H17, Feb!H17, Mar!H17)</f>
        <v>0</v>
      </c>
      <c r="I17" s="37" t="str">
        <f t="shared" si="2"/>
        <v/>
      </c>
    </row>
    <row r="18" spans="1:9" ht="15.6">
      <c r="A18" s="47" t="str">
        <v>OR: Molalla - Marquam - OR-23-C010</v>
      </c>
      <c r="B18" s="26" t="str">
        <v>OR</v>
      </c>
      <c r="C18" s="28">
        <f>SUM(Jan!C18, Feb!C18, Mar!C18)</f>
        <v>0</v>
      </c>
      <c r="D18" s="29">
        <f>SUM(Jan!D18, Feb!D18, Mar!D18)</f>
        <v>0</v>
      </c>
      <c r="E18" s="29">
        <f t="shared" si="0"/>
        <v>0</v>
      </c>
      <c r="F18" s="30" t="str">
        <f t="shared" si="1"/>
        <v/>
      </c>
      <c r="G18" s="31">
        <f>SUM(Jan!G18, Feb!G18, Mar!G18)</f>
        <v>0</v>
      </c>
      <c r="H18" s="31">
        <f>SUM(Jan!H18, Feb!H18, Mar!H18)</f>
        <v>0</v>
      </c>
      <c r="I18" s="32" t="str">
        <f t="shared" si="2"/>
        <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14" sqref="I14:I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12</v>
      </c>
      <c r="E1" s="129"/>
      <c r="F1" s="129"/>
      <c r="G1" s="127" t="s">
        <v>13</v>
      </c>
      <c r="H1" s="127"/>
      <c r="I1" s="127"/>
    </row>
    <row r="2" spans="1:9" ht="19.5" customHeight="1">
      <c r="A2" s="130" t="s">
        <v>2</v>
      </c>
      <c r="B2" s="130"/>
      <c r="C2" s="5">
        <f>SUM(C4:C80)</f>
        <v>8503548.1282928195</v>
      </c>
      <c r="D2" s="5">
        <f>SUM(D4:D80)</f>
        <v>9039653.0329999998</v>
      </c>
      <c r="E2" s="5">
        <f>C2-D2</f>
        <v>-536104.90470718034</v>
      </c>
      <c r="F2" s="6">
        <f>IFERROR(E2/D2, 0)</f>
        <v>-5.9305916139710799E-2</v>
      </c>
      <c r="G2" s="5">
        <f>SUM(G4:G80)</f>
        <v>13787020.76</v>
      </c>
      <c r="H2" s="7">
        <f>C2-G2</f>
        <v>-5283472.6317071803</v>
      </c>
      <c r="I2" s="6">
        <f>IFERROR(H2/G2, 0)</f>
        <v>-0.38322076420135748</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SUM(Apr!C4, May!C4, Jun!C4)</f>
        <v>168345.60000000001</v>
      </c>
      <c r="D4" s="29">
        <f>SUM(Apr!D4, May!D4, Jun!D4)</f>
        <v>181763.78</v>
      </c>
      <c r="E4" s="29">
        <f>IF(AND(ISNUMBER(C4),ISNUMBER(D4)), C4-D4, "")</f>
        <v>-13418.179999999993</v>
      </c>
      <c r="F4" s="30">
        <f>IFERROR(E4/D4, "")</f>
        <v>-7.3822078304049313E-2</v>
      </c>
      <c r="G4" s="31">
        <f>SUM(Apr!G4+May!G4+Jun!G4)</f>
        <v>187096.3</v>
      </c>
      <c r="H4" s="31">
        <f>SUM(Apr!H4, May!H4, Jun!H4)</f>
        <v>-18750.700000000004</v>
      </c>
      <c r="I4" s="32">
        <f>IFERROR(H4/G4, "")</f>
        <v>-0.10021951262531652</v>
      </c>
    </row>
    <row r="5" spans="1:9" ht="15.6">
      <c r="A5" s="48" t="str">
        <v>Berkeley - NJ-22-C893 Berkeley I</v>
      </c>
      <c r="B5" s="34" t="str">
        <v>NJ</v>
      </c>
      <c r="C5" s="35">
        <f>SUM(Apr!C5, May!C5, Jun!C5)</f>
        <v>0</v>
      </c>
      <c r="D5" s="36">
        <f>SUM(Apr!D5, May!D5, Jun!D5)</f>
        <v>0</v>
      </c>
      <c r="E5" s="36">
        <f t="shared" ref="E5:E18" si="0">IF(AND(ISNUMBER(C5),ISNUMBER(D5)), C5-D5, "")</f>
        <v>0</v>
      </c>
      <c r="F5" s="37" t="str">
        <f>IFERROR(E5/D5, "")</f>
        <v/>
      </c>
      <c r="G5" s="38">
        <f>SUM(Apr!G5+May!G5+Jun!G5)</f>
        <v>2101906.67</v>
      </c>
      <c r="H5" s="38">
        <f>SUM(Apr!H5, May!H5, Jun!H5)</f>
        <v>-2101906.67</v>
      </c>
      <c r="I5" s="37">
        <f>IFERROR(H5/G5, "")</f>
        <v>-1</v>
      </c>
    </row>
    <row r="6" spans="1:9" ht="15.6">
      <c r="A6" s="47" t="str">
        <v>Berkeley - NJ-22-C894 Berkeley II</v>
      </c>
      <c r="B6" s="27" t="str">
        <v>NJ</v>
      </c>
      <c r="C6" s="28">
        <f>SUM(Apr!C6, May!C6, Jun!C6)</f>
        <v>1267343.2736176699</v>
      </c>
      <c r="D6" s="29">
        <f>SUM(Apr!D6, May!D6, Jun!D6)</f>
        <v>788162.70000000007</v>
      </c>
      <c r="E6" s="29">
        <f t="shared" si="0"/>
        <v>479180.57361766987</v>
      </c>
      <c r="F6" s="30">
        <f t="shared" ref="F6:F18" si="1">IFERROR(E6/D6, "")</f>
        <v>0.60797164547075089</v>
      </c>
      <c r="G6" s="31">
        <f>SUM(Apr!G6+May!G6+Jun!G6)</f>
        <v>2118046</v>
      </c>
      <c r="H6" s="31">
        <f>SUM(Apr!H6, May!H6, Jun!H6)</f>
        <v>-850702.72638232994</v>
      </c>
      <c r="I6" s="32">
        <f t="shared" ref="I6:I18" si="2">IFERROR(H6/G6, "")</f>
        <v>-0.40164506643497355</v>
      </c>
    </row>
    <row r="7" spans="1:9" ht="15.6">
      <c r="A7" s="48" t="str">
        <v xml:space="preserve"> BEMS Landfill East</v>
      </c>
      <c r="B7" s="34" t="str">
        <v>NJ</v>
      </c>
      <c r="C7" s="35">
        <f>SUM(Apr!C7, May!C7, Jun!C7)</f>
        <v>2909</v>
      </c>
      <c r="D7" s="36">
        <f>SUM(Apr!D7, May!D7, Jun!D7)</f>
        <v>1275699.5209999999</v>
      </c>
      <c r="E7" s="36">
        <f t="shared" si="0"/>
        <v>-1272790.5209999999</v>
      </c>
      <c r="F7" s="37">
        <f t="shared" si="1"/>
        <v>-0.99771968245490938</v>
      </c>
      <c r="G7" s="38">
        <f>SUM(Apr!G7+May!G7+Jun!G7)</f>
        <v>2062841.79</v>
      </c>
      <c r="H7" s="38">
        <f>SUM(Apr!H7, May!H7, Jun!H7)</f>
        <v>-2059932.79</v>
      </c>
      <c r="I7" s="37">
        <f t="shared" si="2"/>
        <v>-0.99858980944922582</v>
      </c>
    </row>
    <row r="8" spans="1:9" ht="15.6">
      <c r="A8" s="47" t="str">
        <v>Southampton - BEMS West NJ-22-C898</v>
      </c>
      <c r="B8" s="27" t="str">
        <v>NJ</v>
      </c>
      <c r="C8" s="28">
        <f>SUM(Apr!C8, May!C8, Jun!C8)</f>
        <v>1803228</v>
      </c>
      <c r="D8" s="29">
        <f>SUM(Apr!D8, May!D8, Jun!D8)</f>
        <v>1916638.5</v>
      </c>
      <c r="E8" s="29">
        <f t="shared" si="0"/>
        <v>-113410.5</v>
      </c>
      <c r="F8" s="30">
        <f t="shared" si="1"/>
        <v>-5.9171565216914926E-2</v>
      </c>
      <c r="G8" s="31">
        <f>SUM(Apr!G8+May!G8+Jun!G8)</f>
        <v>2092575</v>
      </c>
      <c r="H8" s="31">
        <f>SUM(Apr!H8, May!H8, Jun!H8)</f>
        <v>-289347</v>
      </c>
      <c r="I8" s="32">
        <f t="shared" si="2"/>
        <v>-0.13827318017275367</v>
      </c>
    </row>
    <row r="9" spans="1:9" ht="15.6">
      <c r="A9" s="48" t="str">
        <v>Lakewood Twp - Emergency Services Dev  - NJ-23-0008</v>
      </c>
      <c r="B9" s="34" t="str">
        <v>NJ</v>
      </c>
      <c r="C9" s="35">
        <f>SUM(Apr!C9, May!C9, Jun!C9)</f>
        <v>29075.453625152011</v>
      </c>
      <c r="D9" s="36">
        <f>SUM(Apr!D9, May!D9, Jun!D9)</f>
        <v>0</v>
      </c>
      <c r="E9" s="36">
        <f t="shared" si="0"/>
        <v>29075.453625152011</v>
      </c>
      <c r="F9" s="37" t="str">
        <f t="shared" si="1"/>
        <v/>
      </c>
      <c r="G9" s="38">
        <f>SUM(Apr!G9,May!G9,Jun!G9)</f>
        <v>0</v>
      </c>
      <c r="H9" s="38">
        <f>SUM(Apr!H9, May!H9, Jun!H9)</f>
        <v>0</v>
      </c>
      <c r="I9" s="37" t="str">
        <f t="shared" si="2"/>
        <v/>
      </c>
    </row>
    <row r="10" spans="1:9" ht="15.6">
      <c r="A10" s="47" t="str">
        <v>Lakewood Township - Public Works</v>
      </c>
      <c r="B10" s="27" t="str">
        <v>NJ</v>
      </c>
      <c r="C10" s="28">
        <f>SUM(Apr!C10, May!C10, Jun!C10)</f>
        <v>484004.42605000001</v>
      </c>
      <c r="D10" s="29">
        <f>SUM(Apr!D10, May!D10, Jun!D10)</f>
        <v>0</v>
      </c>
      <c r="E10" s="29">
        <f t="shared" si="0"/>
        <v>484004.42605000001</v>
      </c>
      <c r="F10" s="30" t="str">
        <f t="shared" si="1"/>
        <v/>
      </c>
      <c r="G10" s="31">
        <f>SUM(Apr!G10+May!G10+Jun!G10)</f>
        <v>266490</v>
      </c>
      <c r="H10" s="31">
        <f>SUM(Apr!H10, May!H10, Jun!H10)</f>
        <v>217514.42605000001</v>
      </c>
      <c r="I10" s="32">
        <f t="shared" si="2"/>
        <v>0.81621984333370856</v>
      </c>
    </row>
    <row r="11" spans="1:9" ht="15.6">
      <c r="A11" s="48" t="str">
        <v>Canby - Dover - OR-23-C003</v>
      </c>
      <c r="B11" s="34" t="str">
        <v>OR</v>
      </c>
      <c r="C11" s="35">
        <f>SUM(Apr!C11, May!C11, Jun!C11)</f>
        <v>1059524.378</v>
      </c>
      <c r="D11" s="36">
        <f>SUM(Apr!D11, May!D11, Jun!D11)</f>
        <v>1010842.3</v>
      </c>
      <c r="E11" s="36">
        <f t="shared" si="0"/>
        <v>48682.07799999998</v>
      </c>
      <c r="F11" s="37">
        <f t="shared" si="1"/>
        <v>4.8159913766964421E-2</v>
      </c>
      <c r="G11" s="38">
        <f>SUM(Apr!G11+May!G11+Jun!G11)</f>
        <v>1019387</v>
      </c>
      <c r="H11" s="38">
        <f>SUM(Apr!H11, May!H11, Jun!H11)</f>
        <v>40137.378000000026</v>
      </c>
      <c r="I11" s="37">
        <f t="shared" si="2"/>
        <v>3.9374033610395293E-2</v>
      </c>
    </row>
    <row r="12" spans="1:9" ht="15.6">
      <c r="A12" s="47" t="str">
        <v xml:space="preserve"> Estacada - Clayfield - OR-23-C001</v>
      </c>
      <c r="B12" s="27" t="str">
        <v>OR</v>
      </c>
      <c r="C12" s="28">
        <f>SUM(Apr!C12, May!C12, Jun!C12)</f>
        <v>1217604.4079999998</v>
      </c>
      <c r="D12" s="29">
        <f>SUM(Apr!D12, May!D12, Jun!D12)</f>
        <v>1107693.5</v>
      </c>
      <c r="E12" s="29">
        <f t="shared" si="0"/>
        <v>109910.90799999982</v>
      </c>
      <c r="F12" s="30">
        <f t="shared" si="1"/>
        <v>9.9225018473070234E-2</v>
      </c>
      <c r="G12" s="31">
        <f>SUM(Apr!G12+May!G12+Jun!G12)</f>
        <v>1101450</v>
      </c>
      <c r="H12" s="31">
        <f>SUM(Apr!H12, May!H12, Jun!H12)</f>
        <v>116154.40799999994</v>
      </c>
      <c r="I12" s="32">
        <f t="shared" si="2"/>
        <v>0.10545590630532474</v>
      </c>
    </row>
    <row r="13" spans="1:9" ht="15.6">
      <c r="A13" s="48" t="str">
        <v>Willamina - Waterford - OR-23-C006</v>
      </c>
      <c r="B13" s="34" t="str">
        <v>OR</v>
      </c>
      <c r="C13" s="35">
        <f>SUM(Apr!C13, May!C13, Jun!C13)</f>
        <v>449018.424</v>
      </c>
      <c r="D13" s="36">
        <f>SUM(Apr!D13, May!D13, Jun!D13)</f>
        <v>862021.17700000003</v>
      </c>
      <c r="E13" s="36">
        <f t="shared" si="0"/>
        <v>-413002.75300000003</v>
      </c>
      <c r="F13" s="37">
        <f t="shared" si="1"/>
        <v>-0.47910975277583001</v>
      </c>
      <c r="G13" s="38">
        <f>SUM(Apr!G13+May!G13+Jun!G13)</f>
        <v>938139</v>
      </c>
      <c r="H13" s="38">
        <f>SUM(Apr!H13, May!H13, Jun!H13)</f>
        <v>-489120.576</v>
      </c>
      <c r="I13" s="37">
        <f t="shared" si="2"/>
        <v>-0.52137324639525695</v>
      </c>
    </row>
    <row r="14" spans="1:9" ht="15.6">
      <c r="A14" s="47" t="str">
        <v>OR-23-C005  Solops  SPI - Belvedere Solar</v>
      </c>
      <c r="B14" s="27" t="str">
        <v>OR</v>
      </c>
      <c r="C14" s="28">
        <f>SUM(Apr!C14, May!C14, Jun!C14)</f>
        <v>1425196.6329999981</v>
      </c>
      <c r="D14" s="29">
        <f>SUM(Apr!D14, May!D14, Jun!D14)</f>
        <v>1339749.8999999999</v>
      </c>
      <c r="E14" s="29">
        <f t="shared" si="0"/>
        <v>85446.732999998145</v>
      </c>
      <c r="F14" s="30">
        <f t="shared" si="1"/>
        <v>6.3778122319694264E-2</v>
      </c>
      <c r="G14" s="31">
        <f>SUM(Apr!G14+May!G14+Jun!G14)</f>
        <v>1362976</v>
      </c>
      <c r="H14" s="31">
        <f>SUM(Apr!H14, May!H14, Jun!H14)</f>
        <v>62220.632999998052</v>
      </c>
      <c r="I14" s="32">
        <f t="shared" si="2"/>
        <v>4.565057124996922E-2</v>
      </c>
    </row>
    <row r="15" spans="1:9" ht="15.6">
      <c r="A15" s="48" t="str">
        <v>OR-23-C002  SPI - Cork Solar</v>
      </c>
      <c r="B15" s="34" t="str">
        <v>OR</v>
      </c>
      <c r="C15" s="35">
        <f>SUM(Apr!C15, May!C15, Jun!C15)</f>
        <v>597298.53200000001</v>
      </c>
      <c r="D15" s="36">
        <f>SUM(Apr!D15, May!D15, Jun!D15)</f>
        <v>557081.65500000003</v>
      </c>
      <c r="E15" s="36">
        <f t="shared" si="0"/>
        <v>40216.876999999979</v>
      </c>
      <c r="F15" s="37">
        <f t="shared" si="1"/>
        <v>7.2192068503853304E-2</v>
      </c>
      <c r="G15" s="38">
        <f>SUM(Apr!G15+May!G15+Jun!G15)</f>
        <v>536113</v>
      </c>
      <c r="H15" s="38">
        <f>SUM(Apr!H15, May!H15, Jun!H15)</f>
        <v>61185.532000000007</v>
      </c>
      <c r="I15" s="37">
        <f t="shared" si="2"/>
        <v>0.1141280513623061</v>
      </c>
    </row>
    <row r="16" spans="1:9" ht="15.6">
      <c r="A16" s="47" t="str">
        <v>OR: Oregon City - Buckner Creek - OR-23-C008</v>
      </c>
      <c r="B16" s="27" t="str">
        <v>OR</v>
      </c>
      <c r="C16" s="28">
        <f>SUM(Apr!C16, May!C16, Jun!C16)</f>
        <v>0</v>
      </c>
      <c r="D16" s="29">
        <f>SUM(Apr!D16, May!D16, Jun!D16)</f>
        <v>0</v>
      </c>
      <c r="E16" s="29">
        <f t="shared" si="0"/>
        <v>0</v>
      </c>
      <c r="F16" s="30" t="str">
        <f t="shared" si="1"/>
        <v/>
      </c>
      <c r="G16" s="31">
        <f>SUM(Apr!G16+May!G16+Jun!G16)</f>
        <v>0</v>
      </c>
      <c r="H16" s="31">
        <f>SUM(Apr!H16, May!H16, Jun!H16)</f>
        <v>0</v>
      </c>
      <c r="I16" s="32" t="str">
        <f t="shared" si="2"/>
        <v/>
      </c>
    </row>
    <row r="17" spans="1:9" ht="15.6">
      <c r="A17" s="48" t="str">
        <v>OR: Dundee - Gun Club - OR-23-C009</v>
      </c>
      <c r="B17" s="34" t="str">
        <v>OR</v>
      </c>
      <c r="C17" s="35">
        <f>SUM(Apr!C17, May!C17, Jun!C17)</f>
        <v>0</v>
      </c>
      <c r="D17" s="36">
        <f>SUM(Apr!D17, May!D17, Jun!D17)</f>
        <v>0</v>
      </c>
      <c r="E17" s="36">
        <f t="shared" si="0"/>
        <v>0</v>
      </c>
      <c r="F17" s="37" t="str">
        <f t="shared" si="1"/>
        <v/>
      </c>
      <c r="G17" s="38">
        <f>SUM(Apr!G17+May!G17+Jun!G17)</f>
        <v>0</v>
      </c>
      <c r="H17" s="38">
        <f>SUM(Apr!H17, May!H17, Jun!H17)</f>
        <v>0</v>
      </c>
      <c r="I17" s="37" t="str">
        <f t="shared" si="2"/>
        <v/>
      </c>
    </row>
    <row r="18" spans="1:9" ht="15.6">
      <c r="A18" s="47" t="str">
        <v>OR: Molalla - Marquam - OR-23-C010</v>
      </c>
      <c r="B18" s="27" t="str">
        <v>OR</v>
      </c>
      <c r="C18" s="28">
        <f>SUM(Apr!C18, May!C18, Jun!C18)</f>
        <v>0</v>
      </c>
      <c r="D18" s="29">
        <f>SUM(Apr!D18, May!D18, Jun!D18)</f>
        <v>0</v>
      </c>
      <c r="E18" s="29">
        <f t="shared" si="0"/>
        <v>0</v>
      </c>
      <c r="F18" s="30" t="str">
        <f t="shared" si="1"/>
        <v/>
      </c>
      <c r="G18" s="31">
        <f>SUM(Apr!G18+May!G18+Jun!G18)</f>
        <v>0</v>
      </c>
      <c r="H18" s="31">
        <f>SUM(Apr!H18, May!H18, Jun!H18)</f>
        <v>0</v>
      </c>
      <c r="I18" s="32" t="str">
        <f t="shared" si="2"/>
        <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C18" sqref="C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14</v>
      </c>
      <c r="E1" s="129"/>
      <c r="F1" s="129"/>
      <c r="G1" s="127" t="s">
        <v>15</v>
      </c>
      <c r="H1" s="127"/>
      <c r="I1" s="127"/>
    </row>
    <row r="2" spans="1:9" ht="19.5" customHeight="1">
      <c r="A2" s="130" t="s">
        <v>2</v>
      </c>
      <c r="B2" s="130"/>
      <c r="C2" s="5">
        <f>SUM(C4:C80)</f>
        <v>15118792.051084073</v>
      </c>
      <c r="D2" s="5">
        <f>SUM(D4:D80)</f>
        <v>16119406.912</v>
      </c>
      <c r="E2" s="5">
        <f>C2-D2</f>
        <v>-1000614.8609159272</v>
      </c>
      <c r="F2" s="6">
        <f>IFERROR(E2/D2, 0)</f>
        <v>-6.2075166064020956E-2</v>
      </c>
      <c r="G2" s="5">
        <f>SUM(G4:G80)</f>
        <v>17611337.014000002</v>
      </c>
      <c r="H2" s="7">
        <f>C2-G2</f>
        <v>-2492544.962915929</v>
      </c>
      <c r="I2" s="6">
        <f>IFERROR(H2/G2, 0)</f>
        <v>-0.14153070609769711</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SUM(Jul!C4, Aug!C4, Sep!C4)</f>
        <v>157804.4</v>
      </c>
      <c r="D4" s="29">
        <f>SUM(Jul!D4, Aug!D4, Sep!D4)</f>
        <v>175968.83000000002</v>
      </c>
      <c r="E4" s="29">
        <f>IF(AND(ISNUMBER(C4),ISNUMBER(D4)), C4-D4, "")</f>
        <v>-18164.430000000022</v>
      </c>
      <c r="F4" s="30">
        <f>IFERROR(E4/D4, "")</f>
        <v>-0.10322527006629538</v>
      </c>
      <c r="G4" s="31">
        <f>SUM(Jul!G4,Aug!G4,Sep!G4)</f>
        <v>177861.65</v>
      </c>
      <c r="H4" s="31">
        <f>SUM(Jul!H4, Aug!H4, Sep!H4)</f>
        <v>-20057.249999999993</v>
      </c>
      <c r="I4" s="32">
        <f>IFERROR(H4/G4, "")</f>
        <v>-0.11276882903087874</v>
      </c>
    </row>
    <row r="5" spans="1:9" ht="15.6">
      <c r="A5" s="48" t="str">
        <v>Berkeley - NJ-22-C893 Berkeley I</v>
      </c>
      <c r="B5" s="34" t="str">
        <v>NJ</v>
      </c>
      <c r="C5" s="35">
        <f>SUM(Jul!C5, Aug!C5, Sep!C5)</f>
        <v>1905939</v>
      </c>
      <c r="D5" s="36">
        <f>SUM(Jul!D5, Aug!D5, Sep!D5)</f>
        <v>1536702.8229999999</v>
      </c>
      <c r="E5" s="36">
        <f t="shared" ref="E5:E18" si="0">IF(AND(ISNUMBER(C5),ISNUMBER(D5)), C5-D5, "")</f>
        <v>369236.17700000014</v>
      </c>
      <c r="F5" s="37">
        <f>IFERROR(E5/D5, "")</f>
        <v>0.2402781926821515</v>
      </c>
      <c r="G5" s="38">
        <f>SUM(Jul!G5,Aug!G5,Sep!G5)</f>
        <v>2074278.25</v>
      </c>
      <c r="H5" s="38">
        <f>SUM(Jul!H5, Aug!H5, Sep!H5)</f>
        <v>-168339.25</v>
      </c>
      <c r="I5" s="37">
        <f>IFERROR(H5/G5, "")</f>
        <v>-8.115557784978944E-2</v>
      </c>
    </row>
    <row r="6" spans="1:9" ht="15.6">
      <c r="A6" s="47" t="str">
        <v>Berkeley - NJ-22-C894 Berkeley II</v>
      </c>
      <c r="B6" s="27" t="str">
        <v>NJ</v>
      </c>
      <c r="C6" s="28">
        <f>SUM(Jul!C6, Aug!C6, Sep!C6)</f>
        <v>1826861</v>
      </c>
      <c r="D6" s="29">
        <f>SUM(Jul!D6, Aug!D6, Sep!D6)</f>
        <v>1967232.2</v>
      </c>
      <c r="E6" s="29">
        <f t="shared" si="0"/>
        <v>-140371.19999999995</v>
      </c>
      <c r="F6" s="30">
        <f t="shared" ref="F6:F18" si="1">IFERROR(E6/D6, "")</f>
        <v>-7.1354667740798447E-2</v>
      </c>
      <c r="G6" s="31">
        <f>SUM(Jul!G6,Aug!G6,Sep!G6)</f>
        <v>2097528</v>
      </c>
      <c r="H6" s="31">
        <f>SUM(Jul!H6, Aug!H6, Sep!H6)</f>
        <v>-270667</v>
      </c>
      <c r="I6" s="32">
        <f t="shared" ref="I6:I18" si="2">IFERROR(H6/G6, "")</f>
        <v>-0.12904094724838</v>
      </c>
    </row>
    <row r="7" spans="1:9" ht="15.6">
      <c r="A7" s="48" t="str">
        <v xml:space="preserve"> BEMS Landfill East</v>
      </c>
      <c r="B7" s="34" t="str">
        <v>NJ</v>
      </c>
      <c r="C7" s="35">
        <f>SUM(Jul!C7, Aug!C7, Sep!C7)</f>
        <v>1442937.16</v>
      </c>
      <c r="D7" s="36">
        <f>SUM(Jul!D7, Aug!D7, Sep!D7)</f>
        <v>2149210.75</v>
      </c>
      <c r="E7" s="36">
        <f t="shared" si="0"/>
        <v>-706273.59000000008</v>
      </c>
      <c r="F7" s="37">
        <f t="shared" si="1"/>
        <v>-0.32861997828737832</v>
      </c>
      <c r="G7" s="38">
        <f>SUM(Jul!G7,Aug!G7,Sep!G7)</f>
        <v>1563365.2</v>
      </c>
      <c r="H7" s="38">
        <f>SUM(Jul!H7, Aug!H7, Sep!H7)</f>
        <v>-120428.03999999998</v>
      </c>
      <c r="I7" s="37">
        <f t="shared" si="2"/>
        <v>-7.7031291217176889E-2</v>
      </c>
    </row>
    <row r="8" spans="1:9" ht="15.6">
      <c r="A8" s="47" t="str">
        <v>Southampton - BEMS West NJ-22-C898</v>
      </c>
      <c r="B8" s="27" t="str">
        <v>NJ</v>
      </c>
      <c r="C8" s="28">
        <f>SUM(Jul!C8, Aug!C8, Sep!C8)</f>
        <v>1983670.994200798</v>
      </c>
      <c r="D8" s="29">
        <f>SUM(Jul!D8, Aug!D8, Sep!D8)</f>
        <v>2190394</v>
      </c>
      <c r="E8" s="29">
        <f t="shared" si="0"/>
        <v>-206723.00579920202</v>
      </c>
      <c r="F8" s="30">
        <f t="shared" si="1"/>
        <v>-9.4377087318172903E-2</v>
      </c>
      <c r="G8" s="31">
        <f>SUM(Jul!G8,Aug!G8,Sep!G8)</f>
        <v>2061812</v>
      </c>
      <c r="H8" s="31">
        <f>SUM(Jul!H8, Aug!H8, Sep!H8)</f>
        <v>-78141.005799202016</v>
      </c>
      <c r="I8" s="32">
        <f t="shared" si="2"/>
        <v>-3.7899190517468137E-2</v>
      </c>
    </row>
    <row r="9" spans="1:9" s="110" customFormat="1" ht="15.6">
      <c r="A9" s="48" t="str">
        <v>Lakewood Twp - Emergency Services Dev  - NJ-23-0008</v>
      </c>
      <c r="B9" s="34" t="str">
        <v>NJ</v>
      </c>
      <c r="C9" s="35">
        <f>SUM(Jul!C9, Aug!C9, Sep!C9)</f>
        <v>30721.452719249999</v>
      </c>
      <c r="D9" s="36">
        <f>SUM(Jul!D9, Aug!D9, Sep!D9)</f>
        <v>20037.303</v>
      </c>
      <c r="E9" s="36">
        <f t="shared" si="0"/>
        <v>10684.149719249999</v>
      </c>
      <c r="F9" s="37">
        <f t="shared" si="1"/>
        <v>0.53321296380306271</v>
      </c>
      <c r="G9" s="38">
        <f>SUM(Jul!G9,Aug!G9,Sep!G9)</f>
        <v>19448</v>
      </c>
      <c r="H9" s="38">
        <f>SUM(Jul!H9, Aug!H9, Sep!H9)</f>
        <v>-309.98828074999983</v>
      </c>
      <c r="I9" s="111">
        <f t="shared" si="2"/>
        <v>-1.5939339816433556E-2</v>
      </c>
    </row>
    <row r="10" spans="1:9" ht="15.6">
      <c r="A10" s="47" t="str">
        <v>Lakewood Township - Public Works</v>
      </c>
      <c r="B10" s="27" t="str">
        <v>NJ</v>
      </c>
      <c r="C10" s="28">
        <f>SUM(Jul!C10, Aug!C10, Sep!C10)</f>
        <v>467497.88650000002</v>
      </c>
      <c r="D10" s="29">
        <f>SUM(Jul!D10, Aug!D10, Sep!D10)</f>
        <v>547225.36199999996</v>
      </c>
      <c r="E10" s="29">
        <f t="shared" si="0"/>
        <v>-79727.475499999942</v>
      </c>
      <c r="F10" s="30">
        <f t="shared" si="1"/>
        <v>-0.14569404314268597</v>
      </c>
      <c r="G10" s="31">
        <f>SUM(Jul!G10,Aug!G10,Sep!G10)</f>
        <v>337587.05099999998</v>
      </c>
      <c r="H10" s="31">
        <f>SUM(Jul!H10, Aug!H10, Sep!H10)</f>
        <v>129910.83549999999</v>
      </c>
      <c r="I10" s="32">
        <f t="shared" si="2"/>
        <v>0.38482173743091819</v>
      </c>
    </row>
    <row r="11" spans="1:9" ht="15.6">
      <c r="A11" s="48" t="str">
        <v>Canby - Dover - OR-23-C003</v>
      </c>
      <c r="B11" s="34" t="str">
        <v>OR</v>
      </c>
      <c r="C11" s="35">
        <f>SUM(Jul!C11, Aug!C11, Sep!C11)</f>
        <v>1495774.4710000001</v>
      </c>
      <c r="D11" s="36">
        <f>SUM(Jul!D11, Aug!D11, Sep!D11)</f>
        <v>1493860.2999999998</v>
      </c>
      <c r="E11" s="36">
        <f t="shared" si="0"/>
        <v>1914.1710000003222</v>
      </c>
      <c r="F11" s="37">
        <f t="shared" si="1"/>
        <v>1.2813587723030878E-3</v>
      </c>
      <c r="G11" s="38">
        <f>SUM(Jul!G11,Aug!G11,Sep!G11)</f>
        <v>1630843</v>
      </c>
      <c r="H11" s="38">
        <f>SUM(Jul!H11, Aug!H11, Sep!H11)</f>
        <v>-135068.52899999992</v>
      </c>
      <c r="I11" s="37">
        <f t="shared" si="2"/>
        <v>-8.2821294876330789E-2</v>
      </c>
    </row>
    <row r="12" spans="1:9" ht="15.6">
      <c r="A12" s="47" t="str">
        <v xml:space="preserve"> Estacada - Clayfield - OR-23-C001</v>
      </c>
      <c r="B12" s="27" t="str">
        <v>OR</v>
      </c>
      <c r="C12" s="28">
        <f>SUM(Jul!C12, Aug!C12, Sep!C12)</f>
        <v>726268.49400943704</v>
      </c>
      <c r="D12" s="29">
        <f>SUM(Jul!D12, Aug!D12, Sep!D12)</f>
        <v>932320.1</v>
      </c>
      <c r="E12" s="29">
        <f t="shared" si="0"/>
        <v>-206051.60599056294</v>
      </c>
      <c r="F12" s="30">
        <f t="shared" si="1"/>
        <v>-0.2210095073468468</v>
      </c>
      <c r="G12" s="31">
        <f>SUM(Jul!G12,Aug!G12,Sep!G12)</f>
        <v>1836618</v>
      </c>
      <c r="H12" s="31">
        <f>SUM(Jul!H12, Aug!H12, Sep!H12)</f>
        <v>-1110349.505990563</v>
      </c>
      <c r="I12" s="32">
        <f t="shared" si="2"/>
        <v>-0.60456202976915341</v>
      </c>
    </row>
    <row r="13" spans="1:9" ht="15.6">
      <c r="A13" s="48" t="str">
        <v>Willamina - Waterford - OR-23-C006</v>
      </c>
      <c r="B13" s="34" t="str">
        <v>OR</v>
      </c>
      <c r="C13" s="35">
        <f>SUM(Jul!C13, Aug!C13, Sep!C13)</f>
        <v>1249139.982654589</v>
      </c>
      <c r="D13" s="36">
        <f>SUM(Jul!D13, Aug!D13, Sep!D13)</f>
        <v>1170906.7239999999</v>
      </c>
      <c r="E13" s="36">
        <f t="shared" si="0"/>
        <v>78233.258654589066</v>
      </c>
      <c r="F13" s="37">
        <f t="shared" si="1"/>
        <v>6.6814253476427277E-2</v>
      </c>
      <c r="G13" s="38">
        <f>SUM(Jul!G13,Aug!G13,Sep!G13)</f>
        <v>1490721.72</v>
      </c>
      <c r="H13" s="38">
        <f>SUM(Jul!H13, Aug!H13, Sep!H13)</f>
        <v>-241581.73734541098</v>
      </c>
      <c r="I13" s="37">
        <f t="shared" si="2"/>
        <v>-0.16205689774575163</v>
      </c>
    </row>
    <row r="14" spans="1:9" ht="15.6">
      <c r="A14" s="47" t="str">
        <v>OR-23-C005  Solops  SPI - Belvedere Solar</v>
      </c>
      <c r="B14" s="27" t="str">
        <v>OR</v>
      </c>
      <c r="C14" s="28">
        <f>SUM(Jul!C14, Aug!C14, Sep!C14)</f>
        <v>1966371.9929999998</v>
      </c>
      <c r="D14" s="29">
        <f>SUM(Jul!D14, Aug!D14, Sep!D14)</f>
        <v>1957366.4000000001</v>
      </c>
      <c r="E14" s="29">
        <f t="shared" si="0"/>
        <v>9005.5929999996442</v>
      </c>
      <c r="F14" s="30">
        <f t="shared" si="1"/>
        <v>4.6008723762703003E-3</v>
      </c>
      <c r="G14" s="31">
        <f>SUM(Jul!G14,Aug!G14,Sep!G14)</f>
        <v>2094153</v>
      </c>
      <c r="H14" s="31">
        <f>SUM(Jul!H14, Aug!H14, Sep!H14)</f>
        <v>-127781.00700000004</v>
      </c>
      <c r="I14" s="32">
        <f t="shared" si="2"/>
        <v>-6.1017990089549348E-2</v>
      </c>
    </row>
    <row r="15" spans="1:9" ht="15.6">
      <c r="A15" s="48" t="str">
        <v>OR-23-C002  SPI - Cork Solar</v>
      </c>
      <c r="B15" s="34" t="str">
        <v>OR</v>
      </c>
      <c r="C15" s="35">
        <f>SUM(Jul!C15, Aug!C15, Sep!C15)</f>
        <v>878665.22</v>
      </c>
      <c r="D15" s="36">
        <f>SUM(Jul!D15, Aug!D15, Sep!D15)</f>
        <v>821887.41999999993</v>
      </c>
      <c r="E15" s="36">
        <f t="shared" si="0"/>
        <v>56777.800000000047</v>
      </c>
      <c r="F15" s="37">
        <f t="shared" si="1"/>
        <v>6.908221079719172E-2</v>
      </c>
      <c r="G15" s="38">
        <f>SUM(Jul!G15,Aug!G15,Sep!G15)</f>
        <v>869553.04300000006</v>
      </c>
      <c r="H15" s="38">
        <f>SUM(Jul!H15, Aug!H15, Sep!H15)</f>
        <v>9112.1770000000251</v>
      </c>
      <c r="I15" s="37">
        <f t="shared" si="2"/>
        <v>1.0479150263867256E-2</v>
      </c>
    </row>
    <row r="16" spans="1:9" ht="15.6">
      <c r="A16" s="47" t="str">
        <v>OR: Oregon City - Buckner Creek - OR-23-C008</v>
      </c>
      <c r="B16" s="27" t="str">
        <v>OR</v>
      </c>
      <c r="C16" s="28">
        <f>SUM(Jul!C16, Aug!C16, Sep!C16)</f>
        <v>237462.39</v>
      </c>
      <c r="D16" s="29">
        <f>SUM(Jul!D16, Aug!D16, Sep!D16)</f>
        <v>357689.4</v>
      </c>
      <c r="E16" s="29">
        <f t="shared" si="0"/>
        <v>-120227.01000000001</v>
      </c>
      <c r="F16" s="30">
        <f t="shared" si="1"/>
        <v>-0.33612125492116907</v>
      </c>
      <c r="G16" s="31">
        <f>SUM(Jul!G16,Aug!G16,Sep!G16)</f>
        <v>424314</v>
      </c>
      <c r="H16" s="31">
        <f>SUM(Jul!H16, Aug!H16, Sep!H16)</f>
        <v>-186851.61</v>
      </c>
      <c r="I16" s="32">
        <f t="shared" si="2"/>
        <v>-0.44036164255716281</v>
      </c>
    </row>
    <row r="17" spans="1:9" ht="15.6">
      <c r="A17" s="48" t="str">
        <v>OR: Dundee - Gun Club - OR-23-C009</v>
      </c>
      <c r="B17" s="34" t="str">
        <v>OR</v>
      </c>
      <c r="C17" s="35">
        <f>SUM(Jul!C17, Aug!C17, Sep!C17)</f>
        <v>483722.54599999997</v>
      </c>
      <c r="D17" s="36">
        <f>SUM(Jul!D17, Aug!D17, Sep!D17)</f>
        <v>514135</v>
      </c>
      <c r="E17" s="36">
        <f t="shared" si="0"/>
        <v>-30412.454000000027</v>
      </c>
      <c r="F17" s="37">
        <f t="shared" si="1"/>
        <v>-5.9152662238517173E-2</v>
      </c>
      <c r="G17" s="38">
        <f>SUM(Jul!G17,Aug!G17,Sep!G17)</f>
        <v>538888.1</v>
      </c>
      <c r="H17" s="38">
        <f>SUM(Jul!H17, Aug!H17, Sep!H17)</f>
        <v>-55165.554000000004</v>
      </c>
      <c r="I17" s="37">
        <f t="shared" si="2"/>
        <v>-0.10236921913844452</v>
      </c>
    </row>
    <row r="18" spans="1:9" ht="15.6">
      <c r="A18" s="47" t="str">
        <v>OR: Molalla - Marquam - OR-23-C010</v>
      </c>
      <c r="B18" s="27" t="str">
        <v>OR</v>
      </c>
      <c r="C18" s="28">
        <f>SUM(Jul!C18, Aug!C18, Sep!C18)</f>
        <v>265955.06099999999</v>
      </c>
      <c r="D18" s="29">
        <f>SUM(Jul!D18, Aug!D18, Sep!D18)</f>
        <v>284470.3</v>
      </c>
      <c r="E18" s="29">
        <f t="shared" si="0"/>
        <v>-18515.239000000001</v>
      </c>
      <c r="F18" s="30">
        <f t="shared" si="1"/>
        <v>-6.508672082814973E-2</v>
      </c>
      <c r="G18" s="31">
        <f>SUM(Jul!G18,Aug!G18,Sep!G18)</f>
        <v>394366</v>
      </c>
      <c r="H18" s="31">
        <f>SUM(Jul!H18, Aug!H18, Sep!H18)</f>
        <v>-128410.93900000001</v>
      </c>
      <c r="I18" s="32">
        <f t="shared" si="2"/>
        <v>-0.32561361527109339</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mergeCells count="4">
    <mergeCell ref="G1:I1"/>
    <mergeCell ref="A1:C1"/>
    <mergeCell ref="D1:F1"/>
    <mergeCell ref="A2:B2"/>
  </mergeCells>
  <conditionalFormatting sqref="F2 I2 F4:F80 I4:I8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6" activePane="bottomRight" state="frozen"/>
      <selection pane="bottomRight" activeCell="C18" sqref="C1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8" t="str" cm="1">
        <f t="array" ref="A1">portfolio</f>
        <v>Luminace</v>
      </c>
      <c r="B1" s="128"/>
      <c r="C1" s="128"/>
      <c r="D1" s="129" t="s">
        <v>16</v>
      </c>
      <c r="E1" s="129"/>
      <c r="F1" s="129"/>
      <c r="G1" s="127" t="s">
        <v>17</v>
      </c>
      <c r="H1" s="127"/>
      <c r="I1" s="127"/>
    </row>
    <row r="2" spans="1:9" ht="19.5" customHeight="1">
      <c r="A2" s="130" t="s">
        <v>2</v>
      </c>
      <c r="B2" s="130"/>
      <c r="C2" s="5">
        <f>SUM(C4:C80)</f>
        <v>7578430.7049304433</v>
      </c>
      <c r="D2" s="5">
        <f>SUM(D4:D80)</f>
        <v>8316189.9819999998</v>
      </c>
      <c r="E2" s="5">
        <f>C2-D2</f>
        <v>-737759.27706955653</v>
      </c>
      <c r="F2" s="6">
        <f>IFERROR(E2/D2, 0)</f>
        <v>-8.8713615088929137E-2</v>
      </c>
      <c r="G2" s="5">
        <f>SUM(G4:G80)</f>
        <v>9791796.9100000001</v>
      </c>
      <c r="H2" s="7">
        <f>C2-G2</f>
        <v>-2213366.2050695568</v>
      </c>
      <c r="I2" s="6">
        <f>IFERROR(H2/G2, 0)</f>
        <v>-0.22604290360731724</v>
      </c>
    </row>
    <row r="3" spans="1:9" ht="14.25" customHeight="1">
      <c r="A3" s="12" t="s">
        <v>3</v>
      </c>
      <c r="B3" s="12" t="s">
        <v>4</v>
      </c>
      <c r="C3" s="19" t="s">
        <v>5</v>
      </c>
      <c r="D3" s="20" t="s">
        <v>6</v>
      </c>
      <c r="E3" s="20" t="s">
        <v>7</v>
      </c>
      <c r="F3" s="21" t="s">
        <v>8</v>
      </c>
      <c r="G3" s="22" t="s">
        <v>9</v>
      </c>
      <c r="H3" s="23" t="s">
        <v>7</v>
      </c>
      <c r="I3" s="24" t="s">
        <v>8</v>
      </c>
    </row>
    <row r="4" spans="1:9" ht="15.6">
      <c r="A4" s="47" t="str" cm="1">
        <f t="array" ref="A4:A18">Sites[Site]</f>
        <v xml:space="preserve">Raymond Ed Re-Development - DC-23-0001 </v>
      </c>
      <c r="B4" s="27" t="str" cm="1">
        <f t="array" ref="B4:B18">Sites[State]</f>
        <v>DC</v>
      </c>
      <c r="C4" s="28">
        <f>SUM(Oct!C4, Nov!C4, Dec!C4)</f>
        <v>85678.9</v>
      </c>
      <c r="D4" s="29">
        <f>SUM(Oct!D4, Nov!D4, Dec!D4)</f>
        <v>115953.32</v>
      </c>
      <c r="E4" s="29">
        <f>IF(AND(ISNUMBER(C4),ISNUMBER(D4)), C4-D4, "")</f>
        <v>-30274.420000000013</v>
      </c>
      <c r="F4" s="30">
        <f>IFERROR(E4/D4, "")</f>
        <v>-0.26109144610952073</v>
      </c>
      <c r="G4" s="31">
        <f>SUM(Oct!G4,Nov!G4,Dec!G4)</f>
        <v>93248.709999999992</v>
      </c>
      <c r="H4" s="31">
        <f>SUM(Oct!H4, Nov!H4, Dec!H4)</f>
        <v>-7569.809999999994</v>
      </c>
      <c r="I4" s="32">
        <f>IFERROR(H4/G4, "")</f>
        <v>-8.117871013979705E-2</v>
      </c>
    </row>
    <row r="5" spans="1:9" ht="15.6">
      <c r="A5" s="48" t="str">
        <v>Berkeley - NJ-22-C893 Berkeley I</v>
      </c>
      <c r="B5" s="34" t="str">
        <v>NJ</v>
      </c>
      <c r="C5" s="35">
        <f>SUM(Oct!C5, Nov!C5, Dec!C5)</f>
        <v>1314951</v>
      </c>
      <c r="D5" s="36">
        <f>SUM(Oct!D5, Nov!D5, Dec!D5)</f>
        <v>1045900.7</v>
      </c>
      <c r="E5" s="36">
        <f t="shared" ref="E5:E18" si="0">IF(AND(ISNUMBER(C5),ISNUMBER(D5)), C5-D5, "")</f>
        <v>269050.30000000005</v>
      </c>
      <c r="F5" s="37">
        <f>IFERROR(E5/D5, "")</f>
        <v>0.25724268087783098</v>
      </c>
      <c r="G5" s="36">
        <f>SUM(Oct!G5,Nov!G5,Dec!G5)</f>
        <v>1342854</v>
      </c>
      <c r="H5" s="38">
        <f>SUM(Oct!H5, Nov!H5, Dec!H5)</f>
        <v>-27903</v>
      </c>
      <c r="I5" s="37">
        <f>IFERROR(H5/G5, "")</f>
        <v>-2.0778878418651617E-2</v>
      </c>
    </row>
    <row r="6" spans="1:9" ht="15.6">
      <c r="A6" s="47" t="str">
        <v>Berkeley - NJ-22-C894 Berkeley II</v>
      </c>
      <c r="B6" s="27" t="str">
        <v>NJ</v>
      </c>
      <c r="C6" s="28">
        <f>SUM(Oct!C6, Nov!C6, Dec!C6)</f>
        <v>1161309</v>
      </c>
      <c r="D6" s="29">
        <f>SUM(Oct!D6, Nov!D6, Dec!D6)</f>
        <v>1249166.5</v>
      </c>
      <c r="E6" s="29">
        <f t="shared" si="0"/>
        <v>-87857.5</v>
      </c>
      <c r="F6" s="30">
        <f t="shared" ref="F6:F18" si="1">IFERROR(E6/D6, "")</f>
        <v>-7.0332897976370642E-2</v>
      </c>
      <c r="G6" s="31">
        <f>SUM(Oct!G6,Nov!G6,Dec!G6)</f>
        <v>1359384</v>
      </c>
      <c r="H6" s="31">
        <f>SUM(Oct!H6, Nov!H6, Dec!H6)</f>
        <v>-198075</v>
      </c>
      <c r="I6" s="32">
        <f t="shared" ref="I6:I18" si="2">IFERROR(H6/G6, "")</f>
        <v>-0.14570938013100052</v>
      </c>
    </row>
    <row r="7" spans="1:9" ht="15.6">
      <c r="A7" s="48" t="str">
        <v xml:space="preserve"> BEMS Landfill East</v>
      </c>
      <c r="B7" s="34" t="str">
        <v>NJ</v>
      </c>
      <c r="C7" s="35">
        <f>SUM(Oct!C7, Nov!C7, Dec!C7)</f>
        <v>687891</v>
      </c>
      <c r="D7" s="36">
        <f>SUM(Oct!D7, Nov!D7, Dec!D7)</f>
        <v>1254627.7</v>
      </c>
      <c r="E7" s="36">
        <f t="shared" si="0"/>
        <v>-566736.69999999995</v>
      </c>
      <c r="F7" s="37">
        <f t="shared" si="1"/>
        <v>-0.45171703127549312</v>
      </c>
      <c r="G7" s="36">
        <f>SUM(Oct!G7,Nov!G7,Dec!G7)</f>
        <v>1220844.7000000002</v>
      </c>
      <c r="H7" s="38">
        <f>SUM(Oct!H7, Nov!H7, Dec!H7)</f>
        <v>-532953.69999999995</v>
      </c>
      <c r="I7" s="37">
        <f t="shared" si="2"/>
        <v>-0.43654504131442751</v>
      </c>
    </row>
    <row r="8" spans="1:9" ht="15.6">
      <c r="A8" s="47" t="str">
        <v>Southampton - BEMS West NJ-22-C898</v>
      </c>
      <c r="B8" s="27" t="str">
        <v>NJ</v>
      </c>
      <c r="C8" s="28">
        <f>SUM(Oct!C8, Nov!C8, Dec!C8)</f>
        <v>1188382.005799202</v>
      </c>
      <c r="D8" s="29">
        <f>SUM(Oct!D8, Nov!D8, Dec!D8)</f>
        <v>1320876.5</v>
      </c>
      <c r="E8" s="29">
        <f t="shared" si="0"/>
        <v>-132494.49420079798</v>
      </c>
      <c r="F8" s="30">
        <f t="shared" si="1"/>
        <v>-0.10030801077981022</v>
      </c>
      <c r="G8" s="31">
        <f>SUM(Oct!G8,Nov!G8,Dec!G8)</f>
        <v>1241601</v>
      </c>
      <c r="H8" s="31">
        <f>SUM(Oct!H8, Nov!H8, Dec!H8)</f>
        <v>-53218.994200797984</v>
      </c>
      <c r="I8" s="32">
        <f t="shared" si="2"/>
        <v>-4.2863201786079413E-2</v>
      </c>
    </row>
    <row r="9" spans="1:9" ht="15.6">
      <c r="A9" s="48" t="str">
        <v>Lakewood Twp - Emergency Services Dev  - NJ-23-0008</v>
      </c>
      <c r="B9" s="34" t="str">
        <v>NJ</v>
      </c>
      <c r="C9" s="35">
        <f>SUM(Oct!C9, Nov!C9, Dec!C9)</f>
        <v>11118.6484375</v>
      </c>
      <c r="D9" s="36">
        <f>SUM(Oct!D9, Nov!D9, Dec!D9)</f>
        <v>12301.562</v>
      </c>
      <c r="E9" s="36">
        <f t="shared" si="0"/>
        <v>-1182.9135624999999</v>
      </c>
      <c r="F9" s="37">
        <f t="shared" si="1"/>
        <v>-9.6159622859275914E-2</v>
      </c>
      <c r="G9" s="36">
        <f>SUM(Oct!G9,Nov!G9,Dec!G9)</f>
        <v>11620</v>
      </c>
      <c r="H9" s="38">
        <f>SUM(Oct!H9, Nov!H9, Dec!H9)</f>
        <v>-501.3515625</v>
      </c>
      <c r="I9" s="37">
        <f t="shared" si="2"/>
        <v>-4.3145573364888126E-2</v>
      </c>
    </row>
    <row r="10" spans="1:9" ht="15.6">
      <c r="A10" s="47" t="str">
        <v>Lakewood Township - Public Works</v>
      </c>
      <c r="B10" s="27" t="str">
        <v>NJ</v>
      </c>
      <c r="C10" s="28">
        <f>SUM(Oct!C10, Nov!C10, Dec!C10)</f>
        <v>234795.125</v>
      </c>
      <c r="D10" s="29">
        <f>SUM(Oct!D10, Nov!D10, Dec!D10)</f>
        <v>290583.95</v>
      </c>
      <c r="E10" s="29">
        <f t="shared" si="0"/>
        <v>-55788.825000000012</v>
      </c>
      <c r="F10" s="30">
        <f t="shared" si="1"/>
        <v>-0.19198866627010888</v>
      </c>
      <c r="G10" s="31">
        <f>SUM(Oct!G10,Nov!G10,Dec!G10)</f>
        <v>584581</v>
      </c>
      <c r="H10" s="31">
        <f>SUM(Oct!H10, Nov!H10, Dec!H10)</f>
        <v>-349785.875</v>
      </c>
      <c r="I10" s="32">
        <f t="shared" si="2"/>
        <v>-0.59835313669106593</v>
      </c>
    </row>
    <row r="11" spans="1:9" ht="15.6">
      <c r="A11" s="48" t="str">
        <v>Canby - Dover - OR-23-C003</v>
      </c>
      <c r="B11" s="34" t="str">
        <v>OR</v>
      </c>
      <c r="C11" s="35">
        <f>SUM(Oct!C11, Nov!C11, Dec!C11)</f>
        <v>432824.06900000037</v>
      </c>
      <c r="D11" s="36">
        <f>SUM(Oct!D11, Nov!D11, Dec!D11)</f>
        <v>445574.51</v>
      </c>
      <c r="E11" s="36">
        <f t="shared" si="0"/>
        <v>-12750.440999999642</v>
      </c>
      <c r="F11" s="37">
        <f t="shared" si="1"/>
        <v>-2.8615732529223097E-2</v>
      </c>
      <c r="G11" s="36">
        <f>SUM(Oct!G11,Nov!G11,Dec!G11)</f>
        <v>489768</v>
      </c>
      <c r="H11" s="38">
        <f>SUM(Oct!H11, Nov!H11, Dec!H11)</f>
        <v>-56943.930999999589</v>
      </c>
      <c r="I11" s="37">
        <f t="shared" si="2"/>
        <v>-0.11626715301938793</v>
      </c>
    </row>
    <row r="12" spans="1:9" ht="15.6">
      <c r="A12" s="47" t="str">
        <v xml:space="preserve"> Estacada - Clayfield - OR-23-C001</v>
      </c>
      <c r="B12" s="27" t="str">
        <v>OR</v>
      </c>
      <c r="C12" s="28">
        <f>SUM(Oct!C12, Nov!C12, Dec!C12)</f>
        <v>174540.12739373985</v>
      </c>
      <c r="D12" s="29">
        <f>SUM(Oct!D12, Nov!D12, Dec!D12)</f>
        <v>185569.41000000003</v>
      </c>
      <c r="E12" s="29">
        <f t="shared" si="0"/>
        <v>-11029.282606260182</v>
      </c>
      <c r="F12" s="30">
        <f t="shared" si="1"/>
        <v>-5.9434809898140969E-2</v>
      </c>
      <c r="G12" s="31">
        <f>SUM(Oct!G12,Nov!G12,Dec!G12)</f>
        <v>559668</v>
      </c>
      <c r="H12" s="31">
        <f>SUM(Oct!H12, Nov!H12, Dec!H12)</f>
        <v>-385127.87260626012</v>
      </c>
      <c r="I12" s="32">
        <f t="shared" si="2"/>
        <v>-0.68813631046666979</v>
      </c>
    </row>
    <row r="13" spans="1:9" ht="15.6">
      <c r="A13" s="48" t="str">
        <v>Willamina - Waterford - OR-23-C006</v>
      </c>
      <c r="B13" s="34" t="str">
        <v>OR</v>
      </c>
      <c r="C13" s="35">
        <f>SUM(Oct!C13, Nov!C13, Dec!C13)</f>
        <v>360586.56</v>
      </c>
      <c r="D13" s="36">
        <f>SUM(Oct!D13, Nov!D13, Dec!D13)</f>
        <v>436991.1</v>
      </c>
      <c r="E13" s="36">
        <f t="shared" si="0"/>
        <v>-76404.539999999979</v>
      </c>
      <c r="F13" s="37">
        <f t="shared" si="1"/>
        <v>-0.17484232516405937</v>
      </c>
      <c r="G13" s="36">
        <f>SUM(Oct!G13,Nov!G13,Dec!G13)</f>
        <v>589353</v>
      </c>
      <c r="H13" s="38">
        <f>SUM(Oct!H13, Nov!H13, Dec!H13)</f>
        <v>-228766.44</v>
      </c>
      <c r="I13" s="37">
        <f t="shared" si="2"/>
        <v>-0.38816539493308766</v>
      </c>
    </row>
    <row r="14" spans="1:9" ht="15.6">
      <c r="A14" s="47" t="str">
        <v>OR-23-C005  Solops  SPI - Belvedere Solar</v>
      </c>
      <c r="B14" s="27" t="str">
        <v>OR</v>
      </c>
      <c r="C14" s="28">
        <f>SUM(Oct!C14, Nov!C14, Dec!C14)</f>
        <v>537822.86400000006</v>
      </c>
      <c r="D14" s="29">
        <f>SUM(Oct!D14, Nov!D14, Dec!D14)</f>
        <v>535245.25</v>
      </c>
      <c r="E14" s="29">
        <f t="shared" si="0"/>
        <v>2577.6140000000596</v>
      </c>
      <c r="F14" s="30">
        <f t="shared" si="1"/>
        <v>4.8157624939222897E-3</v>
      </c>
      <c r="G14" s="31">
        <f>SUM(Oct!G14,Nov!G14,Dec!G14)</f>
        <v>618708</v>
      </c>
      <c r="H14" s="31">
        <f>SUM(Oct!H14, Nov!H14, Dec!H14)</f>
        <v>-80885.135999999969</v>
      </c>
      <c r="I14" s="32">
        <f t="shared" si="2"/>
        <v>-0.13073232607304247</v>
      </c>
    </row>
    <row r="15" spans="1:9" ht="15.6">
      <c r="A15" s="48" t="str">
        <v>OR-23-C002  SPI - Cork Solar</v>
      </c>
      <c r="B15" s="34" t="str">
        <v>OR</v>
      </c>
      <c r="C15" s="35">
        <f>SUM(Oct!C15, Nov!C15, Dec!C15)</f>
        <v>318271.66300000029</v>
      </c>
      <c r="D15" s="36">
        <f>SUM(Oct!D15, Nov!D15, Dec!D15)</f>
        <v>334353.36</v>
      </c>
      <c r="E15" s="36">
        <f t="shared" si="0"/>
        <v>-16081.696999999695</v>
      </c>
      <c r="F15" s="37">
        <f t="shared" si="1"/>
        <v>-4.8097907555048038E-2</v>
      </c>
      <c r="G15" s="36">
        <f>SUM(Oct!G15,Nov!G15,Dec!G15)</f>
        <v>348991</v>
      </c>
      <c r="H15" s="38">
        <f>SUM(Oct!H15, Nov!H15, Dec!H15)</f>
        <v>-30719.336999999694</v>
      </c>
      <c r="I15" s="37">
        <f t="shared" si="2"/>
        <v>-8.8023292864285022E-2</v>
      </c>
    </row>
    <row r="16" spans="1:9" ht="15.6">
      <c r="A16" s="47" t="str">
        <v>OR: Oregon City - Buckner Creek - OR-23-C008</v>
      </c>
      <c r="B16" s="27" t="str">
        <v>OR</v>
      </c>
      <c r="C16" s="28">
        <f>SUM(Oct!C16, Nov!C16, Dec!C16)</f>
        <v>386750.19530000002</v>
      </c>
      <c r="D16" s="29">
        <f>SUM(Oct!D16, Nov!D16, Dec!D16)</f>
        <v>400548.32</v>
      </c>
      <c r="E16" s="29">
        <f t="shared" si="0"/>
        <v>-13798.124699999986</v>
      </c>
      <c r="F16" s="30">
        <f t="shared" si="1"/>
        <v>-3.4448090307806024E-2</v>
      </c>
      <c r="G16" s="31">
        <f>SUM(Oct!G16,Nov!G16,Dec!G16)</f>
        <v>497692</v>
      </c>
      <c r="H16" s="31">
        <f>SUM(Oct!H16, Nov!H16, Dec!H16)</f>
        <v>-110941.80470000001</v>
      </c>
      <c r="I16" s="32">
        <f t="shared" si="2"/>
        <v>-0.22291257384084937</v>
      </c>
    </row>
    <row r="17" spans="1:9" ht="15.6">
      <c r="A17" s="48" t="str">
        <v>OR: Dundee - Gun Club - OR-23-C009</v>
      </c>
      <c r="B17" s="34" t="str">
        <v>OR</v>
      </c>
      <c r="C17" s="35">
        <f>SUM(Oct!C17, Nov!C17, Dec!C17)</f>
        <v>501570.92400000105</v>
      </c>
      <c r="D17" s="36">
        <f>SUM(Oct!D17, Nov!D17, Dec!D17)</f>
        <v>512664.3</v>
      </c>
      <c r="E17" s="36">
        <f t="shared" si="0"/>
        <v>-11093.375999998942</v>
      </c>
      <c r="F17" s="37">
        <f t="shared" si="1"/>
        <v>-2.163867466488098E-2</v>
      </c>
      <c r="G17" s="36">
        <f>SUM(Oct!G17,Nov!G17,Dec!G17)</f>
        <v>594660.5</v>
      </c>
      <c r="H17" s="38">
        <f>SUM(Oct!H17, Nov!H17, Dec!H17)</f>
        <v>-93089.575999998968</v>
      </c>
      <c r="I17" s="37">
        <f t="shared" si="2"/>
        <v>-0.15654239015370783</v>
      </c>
    </row>
    <row r="18" spans="1:9" ht="15.6">
      <c r="A18" s="47" t="str">
        <v>OR: Molalla - Marquam - OR-23-C010</v>
      </c>
      <c r="B18" s="27" t="str">
        <v>OR</v>
      </c>
      <c r="C18" s="28">
        <f>SUM(Oct!C18, Nov!C18, Dec!C18)</f>
        <v>181938.62299999999</v>
      </c>
      <c r="D18" s="29">
        <f>SUM(Oct!D18, Nov!D18, Dec!D18)</f>
        <v>175833.5</v>
      </c>
      <c r="E18" s="29">
        <f t="shared" si="0"/>
        <v>6105.1229999999923</v>
      </c>
      <c r="F18" s="30">
        <f t="shared" si="1"/>
        <v>3.4721045762041887E-2</v>
      </c>
      <c r="G18" s="31">
        <f>SUM(Oct!G18,Nov!G18,Dec!G18)</f>
        <v>238823</v>
      </c>
      <c r="H18" s="31">
        <f>SUM(Oct!H18, Nov!H18, Dec!H18)</f>
        <v>-56884.377000000008</v>
      </c>
      <c r="I18" s="32">
        <f t="shared" si="2"/>
        <v>-0.23818634302391314</v>
      </c>
    </row>
    <row r="19" spans="1:9" ht="13.9">
      <c r="A19" s="8"/>
      <c r="B19" s="8"/>
      <c r="C19" s="8"/>
      <c r="D19" s="8"/>
      <c r="E19" s="8"/>
      <c r="F19" s="9"/>
      <c r="G19" s="8"/>
      <c r="H19" s="8"/>
      <c r="I19" s="9"/>
    </row>
    <row r="20" spans="1:9" ht="13.9">
      <c r="A20" s="8"/>
      <c r="B20" s="8"/>
      <c r="C20" s="8"/>
      <c r="D20" s="8"/>
      <c r="E20" s="8"/>
      <c r="F20" s="9"/>
      <c r="G20" s="8"/>
      <c r="H20" s="8"/>
      <c r="I20" s="9"/>
    </row>
    <row r="21" spans="1:9" ht="13.9">
      <c r="A21" s="8"/>
      <c r="B21" s="8"/>
      <c r="C21" s="8"/>
      <c r="D21" s="8"/>
      <c r="E21" s="8"/>
      <c r="F21" s="9"/>
      <c r="G21" s="8"/>
      <c r="H21" s="8"/>
      <c r="I21" s="9"/>
    </row>
    <row r="22" spans="1:9" ht="13.9">
      <c r="A22" s="8"/>
      <c r="B22" s="8"/>
      <c r="C22" s="8"/>
      <c r="D22" s="8"/>
      <c r="E22" s="8"/>
      <c r="F22" s="9"/>
      <c r="G22" s="8"/>
      <c r="H22" s="8"/>
      <c r="I22" s="9"/>
    </row>
    <row r="23" spans="1:9" ht="13.9">
      <c r="A23" s="8"/>
      <c r="B23" s="8"/>
      <c r="C23" s="8"/>
      <c r="D23" s="8"/>
      <c r="E23" s="8"/>
      <c r="F23" s="9"/>
      <c r="G23" s="8"/>
      <c r="H23" s="8"/>
      <c r="I23" s="9"/>
    </row>
    <row r="24" spans="1:9" ht="13.9">
      <c r="A24" s="8"/>
      <c r="B24" s="8"/>
      <c r="C24" s="8"/>
      <c r="D24" s="8"/>
      <c r="E24" s="8"/>
      <c r="F24" s="9"/>
      <c r="G24" s="8"/>
      <c r="H24" s="8"/>
      <c r="I24" s="9"/>
    </row>
    <row r="25" spans="1:9" ht="13.9">
      <c r="A25" s="8"/>
      <c r="B25" s="8"/>
      <c r="C25" s="8"/>
      <c r="D25" s="8"/>
      <c r="E25" s="8"/>
      <c r="F25" s="9"/>
      <c r="G25" s="8"/>
      <c r="H25" s="8"/>
      <c r="I25" s="9"/>
    </row>
    <row r="26" spans="1:9" ht="13.9">
      <c r="A26" s="8"/>
      <c r="B26" s="8"/>
      <c r="C26" s="8"/>
      <c r="D26" s="8"/>
      <c r="E26" s="8"/>
      <c r="F26" s="9"/>
      <c r="G26" s="8"/>
      <c r="H26" s="8"/>
      <c r="I26" s="9"/>
    </row>
    <row r="27" spans="1:9" ht="13.9">
      <c r="A27" s="8"/>
      <c r="B27" s="8"/>
      <c r="C27" s="8"/>
      <c r="D27" s="8"/>
      <c r="E27" s="8"/>
      <c r="F27" s="9"/>
      <c r="G27" s="8"/>
      <c r="H27" s="8"/>
      <c r="I27" s="9"/>
    </row>
    <row r="28" spans="1:9" ht="13.9">
      <c r="A28" s="8"/>
      <c r="B28" s="8"/>
      <c r="C28" s="8"/>
      <c r="D28" s="8"/>
      <c r="E28" s="8"/>
      <c r="F28" s="9"/>
      <c r="G28" s="8"/>
      <c r="H28" s="8"/>
      <c r="I28" s="9"/>
    </row>
    <row r="29" spans="1:9" ht="13.9">
      <c r="A29" s="8"/>
      <c r="B29" s="8"/>
      <c r="C29" s="8"/>
      <c r="D29" s="8"/>
      <c r="E29" s="8"/>
      <c r="F29" s="9"/>
      <c r="G29" s="8"/>
      <c r="H29" s="8"/>
      <c r="I29" s="9"/>
    </row>
    <row r="30" spans="1:9" ht="13.9">
      <c r="A30" s="8"/>
      <c r="B30" s="8"/>
      <c r="C30" s="8"/>
      <c r="D30" s="8"/>
      <c r="E30" s="8"/>
      <c r="F30" s="9"/>
      <c r="G30" s="8"/>
      <c r="H30" s="8"/>
      <c r="I30" s="9"/>
    </row>
    <row r="31" spans="1:9" ht="13.9">
      <c r="A31" s="8"/>
      <c r="B31" s="8"/>
      <c r="C31" s="8"/>
      <c r="D31" s="8"/>
      <c r="E31" s="8"/>
      <c r="F31" s="9"/>
      <c r="G31" s="8"/>
      <c r="H31" s="8"/>
      <c r="I31" s="9"/>
    </row>
    <row r="32" spans="1:9" ht="13.9">
      <c r="A32" s="8"/>
      <c r="B32" s="8"/>
      <c r="C32" s="8"/>
      <c r="D32" s="8"/>
      <c r="E32" s="8"/>
      <c r="F32" s="9"/>
      <c r="G32" s="8"/>
      <c r="H32" s="8"/>
      <c r="I32" s="9"/>
    </row>
    <row r="33" spans="1:9" ht="13.9">
      <c r="A33" s="8"/>
      <c r="B33" s="8"/>
      <c r="C33" s="8"/>
      <c r="D33" s="8"/>
      <c r="E33" s="8"/>
      <c r="F33" s="9"/>
      <c r="G33" s="8"/>
      <c r="H33" s="8"/>
      <c r="I33" s="9"/>
    </row>
    <row r="34" spans="1:9" ht="13.9">
      <c r="A34" s="8"/>
      <c r="B34" s="8"/>
      <c r="C34" s="8"/>
      <c r="D34" s="8"/>
      <c r="E34" s="8"/>
      <c r="F34" s="9"/>
      <c r="G34" s="8"/>
      <c r="H34" s="8"/>
      <c r="I34" s="9"/>
    </row>
    <row r="35" spans="1:9" ht="13.9">
      <c r="A35" s="8"/>
      <c r="B35" s="8"/>
      <c r="C35" s="8"/>
      <c r="D35" s="8"/>
      <c r="E35" s="8"/>
      <c r="F35" s="9"/>
      <c r="G35" s="8"/>
      <c r="H35" s="8"/>
      <c r="I35" s="9"/>
    </row>
    <row r="36" spans="1:9" ht="13.9">
      <c r="A36" s="8"/>
      <c r="B36" s="8"/>
      <c r="C36" s="8"/>
      <c r="D36" s="8"/>
      <c r="E36" s="8"/>
      <c r="F36" s="9"/>
      <c r="G36" s="8"/>
      <c r="H36" s="8"/>
      <c r="I36" s="9"/>
    </row>
    <row r="37" spans="1:9" ht="13.9">
      <c r="A37" s="8"/>
      <c r="B37" s="8"/>
      <c r="C37" s="8"/>
      <c r="D37" s="8"/>
      <c r="E37" s="8"/>
      <c r="F37" s="9"/>
      <c r="G37" s="8"/>
      <c r="H37" s="8"/>
      <c r="I37" s="9"/>
    </row>
    <row r="38" spans="1:9" ht="13.9">
      <c r="A38" s="8"/>
      <c r="B38" s="8"/>
      <c r="C38" s="8"/>
      <c r="D38" s="8"/>
      <c r="E38" s="8"/>
      <c r="F38" s="9"/>
      <c r="G38" s="8"/>
      <c r="H38" s="8"/>
      <c r="I38" s="9"/>
    </row>
    <row r="39" spans="1:9" ht="13.9">
      <c r="A39" s="8"/>
      <c r="B39" s="8"/>
      <c r="C39" s="8"/>
      <c r="D39" s="8"/>
      <c r="E39" s="8"/>
      <c r="F39" s="9"/>
      <c r="G39" s="8"/>
      <c r="H39" s="8"/>
      <c r="I39" s="9"/>
    </row>
    <row r="40" spans="1:9" ht="13.9">
      <c r="A40" s="8"/>
      <c r="B40" s="8"/>
      <c r="C40" s="8"/>
      <c r="D40" s="8"/>
      <c r="E40" s="8"/>
      <c r="F40" s="9"/>
      <c r="G40" s="8"/>
      <c r="H40" s="8"/>
      <c r="I40" s="9"/>
    </row>
    <row r="41" spans="1:9" ht="13.9">
      <c r="A41" s="8"/>
      <c r="B41" s="8"/>
      <c r="C41" s="8"/>
      <c r="D41" s="8"/>
      <c r="E41" s="8"/>
      <c r="F41" s="9"/>
      <c r="G41" s="8"/>
      <c r="H41" s="8"/>
      <c r="I41" s="9"/>
    </row>
    <row r="42" spans="1:9" ht="13.9">
      <c r="A42" s="8"/>
      <c r="B42" s="8"/>
      <c r="C42" s="8"/>
      <c r="D42" s="8"/>
      <c r="E42" s="8"/>
      <c r="F42" s="9"/>
      <c r="G42" s="8"/>
      <c r="H42" s="8"/>
      <c r="I42" s="9"/>
    </row>
    <row r="43" spans="1:9" ht="13.9">
      <c r="A43" s="8"/>
      <c r="B43" s="8"/>
      <c r="C43" s="8"/>
      <c r="D43" s="8"/>
      <c r="E43" s="8"/>
      <c r="F43" s="9"/>
      <c r="G43" s="8"/>
      <c r="H43" s="8"/>
      <c r="I43" s="9"/>
    </row>
    <row r="44" spans="1:9" ht="13.9">
      <c r="A44" s="8"/>
      <c r="B44" s="8"/>
      <c r="C44" s="8"/>
      <c r="D44" s="8"/>
      <c r="E44" s="8"/>
      <c r="F44" s="9"/>
      <c r="G44" s="8"/>
      <c r="H44" s="8"/>
      <c r="I44" s="9"/>
    </row>
    <row r="45" spans="1:9" ht="13.9">
      <c r="A45" s="8"/>
      <c r="B45" s="8"/>
      <c r="C45" s="8"/>
      <c r="D45" s="8"/>
      <c r="E45" s="8"/>
      <c r="F45" s="9"/>
      <c r="G45" s="8"/>
      <c r="H45" s="8"/>
      <c r="I45" s="9"/>
    </row>
    <row r="46" spans="1:9" ht="13.9">
      <c r="A46" s="8"/>
      <c r="B46" s="8"/>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row r="322" spans="1:9" ht="13.9">
      <c r="A322" s="8"/>
      <c r="B322" s="8"/>
      <c r="C322" s="8"/>
      <c r="D322" s="8"/>
      <c r="E322" s="8"/>
      <c r="F322" s="9"/>
      <c r="G322" s="8"/>
      <c r="H322" s="8"/>
      <c r="I322" s="9"/>
    </row>
  </sheetData>
  <mergeCells count="4">
    <mergeCell ref="G1:I1"/>
    <mergeCell ref="A1:C1"/>
    <mergeCell ref="D1:F1"/>
    <mergeCell ref="A2:B2"/>
  </mergeCells>
  <conditionalFormatting sqref="F2 I2 F4:F80 I4:I80">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21"/>
  <sheetViews>
    <sheetView zoomScale="60" zoomScaleNormal="60" workbookViewId="0">
      <pane xSplit="2" ySplit="3" topLeftCell="E4" activePane="bottomRight" state="frozen"/>
      <selection pane="bottomRight" activeCell="E24" sqref="E24"/>
      <selection pane="bottomLeft" activeCell="C19" sqref="C19"/>
      <selection pane="topRight" activeCell="C19" sqref="C19"/>
    </sheetView>
  </sheetViews>
  <sheetFormatPr defaultRowHeight="13.9"/>
  <cols>
    <col min="1" max="1" width="34.140625" customWidth="1"/>
    <col min="2" max="2" width="14.5703125" style="14" customWidth="1"/>
    <col min="3" max="5" width="14.5703125" customWidth="1"/>
    <col min="6" max="6" width="14.5703125" style="1" customWidth="1"/>
    <col min="7" max="8" width="14.5703125" customWidth="1"/>
    <col min="9" max="9" width="14.5703125" style="1" customWidth="1"/>
    <col min="10" max="10" width="109.42578125" customWidth="1"/>
    <col min="11" max="11" width="25.85546875" customWidth="1"/>
  </cols>
  <sheetData>
    <row r="1" spans="1:12" ht="15.6">
      <c r="A1" s="128" t="str" cm="1">
        <f t="array" ref="A1">portfolio</f>
        <v>Luminace</v>
      </c>
      <c r="B1" s="128"/>
      <c r="C1" s="128"/>
      <c r="D1" s="129" t="s">
        <v>18</v>
      </c>
      <c r="E1" s="129"/>
      <c r="F1" s="129"/>
      <c r="G1" s="127" t="s">
        <v>19</v>
      </c>
      <c r="H1" s="127"/>
      <c r="I1" s="127"/>
      <c r="J1" s="4"/>
      <c r="K1" s="4"/>
    </row>
    <row r="2" spans="1:12" ht="15.6">
      <c r="A2" s="130" t="s">
        <v>2</v>
      </c>
      <c r="B2" s="130"/>
      <c r="C2" s="5">
        <f>SUM(C4:C79)</f>
        <v>391768.89745754597</v>
      </c>
      <c r="D2" s="5">
        <f>SUM(D4:D79)</f>
        <v>660242.88000000012</v>
      </c>
      <c r="E2" s="5">
        <f>C2-D2</f>
        <v>-268473.98254245415</v>
      </c>
      <c r="F2" s="6">
        <f>IFERROR(E2/D2, 0)</f>
        <v>-0.40662912191109746</v>
      </c>
      <c r="G2" s="5">
        <f>SUM(G4:G79)</f>
        <v>1616542</v>
      </c>
      <c r="H2" s="7">
        <f>C2-G2</f>
        <v>-1224773.1025424539</v>
      </c>
      <c r="I2" s="6">
        <f>IFERROR(H2/G2, 0)</f>
        <v>-0.75765003479182969</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6">
      <c r="A3" s="12" t="s">
        <v>3</v>
      </c>
      <c r="B3" s="12" t="s">
        <v>4</v>
      </c>
      <c r="C3" s="19" t="s">
        <v>5</v>
      </c>
      <c r="D3" s="20" t="s">
        <v>6</v>
      </c>
      <c r="E3" s="20" t="s">
        <v>7</v>
      </c>
      <c r="F3" s="21" t="s">
        <v>8</v>
      </c>
      <c r="G3" s="25" t="s">
        <v>9</v>
      </c>
      <c r="H3" s="23" t="s">
        <v>7</v>
      </c>
      <c r="I3" s="24" t="s">
        <v>8</v>
      </c>
      <c r="J3" s="10" t="s">
        <v>20</v>
      </c>
      <c r="K3" s="10" t="s">
        <v>21</v>
      </c>
    </row>
    <row r="4" spans="1:12" ht="55.5" customHeight="1">
      <c r="A4" s="44" t="str" cm="1">
        <f t="array" ref="A4:A18">Sites[Site]</f>
        <v xml:space="preserve">Raymond Ed Re-Development - DC-23-0001 </v>
      </c>
      <c r="B4" s="40" t="str" cm="1">
        <f t="array" ref="B4:B18">Sites[State]</f>
        <v>DC</v>
      </c>
      <c r="C4" s="29">
        <v>14808.791999999999</v>
      </c>
      <c r="D4" s="29" t="s">
        <v>22</v>
      </c>
      <c r="E4" s="29" t="str">
        <f>IF(AND(ISNUMBER(C4),ISNUMBER(D4)), C4-D4, "")</f>
        <v/>
      </c>
      <c r="F4" s="32" t="str">
        <f>IFERROR(E4/D4, "")</f>
        <v/>
      </c>
      <c r="G4" s="70" t="s">
        <v>22</v>
      </c>
      <c r="H4" s="31" t="str">
        <f>IF(AND(ISNUMBER(C4),ISNUMBER(G4)), C4-G4, "")</f>
        <v/>
      </c>
      <c r="I4" s="32" t="str">
        <f>IFERROR(H4/G4, "")</f>
        <v/>
      </c>
      <c r="J4" s="49" t="s">
        <v>23</v>
      </c>
      <c r="K4" s="62" t="s">
        <v>24</v>
      </c>
      <c r="L4" s="64" t="s">
        <v>25</v>
      </c>
    </row>
    <row r="5" spans="1:12" ht="15.6">
      <c r="A5" s="45" t="str">
        <v>Berkeley - NJ-22-C893 Berkeley I</v>
      </c>
      <c r="B5" s="42" t="str">
        <v>NJ</v>
      </c>
      <c r="C5" s="36">
        <v>0</v>
      </c>
      <c r="D5" s="36">
        <v>31205.78</v>
      </c>
      <c r="E5" s="36">
        <f t="shared" ref="E5:E8" si="0">IF(AND(ISNUMBER(C5),ISNUMBER(D5)), C5-D5, "")</f>
        <v>-31205.78</v>
      </c>
      <c r="F5" s="37">
        <f t="shared" ref="F5:F8" si="1">IFERROR(E5/D5, "")</f>
        <v>-1</v>
      </c>
      <c r="G5" s="38">
        <v>412354</v>
      </c>
      <c r="H5" s="38">
        <f t="shared" ref="H5:H6" si="2">IF(AND(ISNUMBER(C5),ISNUMBER(G5)), C5-G5, "")</f>
        <v>-412354</v>
      </c>
      <c r="I5" s="37">
        <f t="shared" ref="I5:I6" si="3">IFERROR(H5/G5, "")</f>
        <v>-1</v>
      </c>
      <c r="J5" s="107" t="s">
        <v>26</v>
      </c>
      <c r="K5" s="63" t="s">
        <v>27</v>
      </c>
    </row>
    <row r="6" spans="1:12" ht="15.6">
      <c r="A6" s="46" t="str">
        <v>Berkeley - NJ-22-C894 Berkeley II</v>
      </c>
      <c r="B6" s="40" t="str">
        <v>NJ</v>
      </c>
      <c r="C6" s="29">
        <v>109808.105457546</v>
      </c>
      <c r="D6" s="29">
        <v>271422.90000000002</v>
      </c>
      <c r="E6" s="29">
        <f t="shared" si="0"/>
        <v>-161614.79454245401</v>
      </c>
      <c r="F6" s="32">
        <f t="shared" si="1"/>
        <v>-0.59543536872700864</v>
      </c>
      <c r="G6" s="31">
        <v>406892</v>
      </c>
      <c r="H6" s="31">
        <f t="shared" si="2"/>
        <v>-297083.89454245399</v>
      </c>
      <c r="I6" s="32">
        <f t="shared" si="3"/>
        <v>-0.73012960329142373</v>
      </c>
      <c r="J6" s="49" t="s">
        <v>26</v>
      </c>
      <c r="K6" s="62" t="s">
        <v>27</v>
      </c>
    </row>
    <row r="7" spans="1:12" ht="15.6">
      <c r="A7" s="45" t="str">
        <v xml:space="preserve"> BEMS Landfill East</v>
      </c>
      <c r="B7" s="42" t="str">
        <v>NJ</v>
      </c>
      <c r="C7" s="36">
        <v>0</v>
      </c>
      <c r="D7" s="36">
        <v>0</v>
      </c>
      <c r="E7" s="36">
        <f t="shared" si="0"/>
        <v>0</v>
      </c>
      <c r="F7" s="37" t="str">
        <f t="shared" si="1"/>
        <v/>
      </c>
      <c r="G7" s="38">
        <v>435058</v>
      </c>
      <c r="H7" s="38">
        <f t="shared" ref="H7:H8" si="4">IF(AND(ISNUMBER(C7),ISNUMBER(G7)), C7-G7, "")</f>
        <v>-435058</v>
      </c>
      <c r="I7" s="37">
        <f t="shared" ref="I7:I8" si="5">IFERROR(H7/G7, "")</f>
        <v>-1</v>
      </c>
      <c r="J7" s="50" t="s">
        <v>28</v>
      </c>
      <c r="K7" s="63" t="s">
        <v>29</v>
      </c>
    </row>
    <row r="8" spans="1:12" ht="15.6">
      <c r="A8" s="46" t="str">
        <v>Southampton - BEMS West NJ-22-C898</v>
      </c>
      <c r="B8" s="40" t="str">
        <v>NJ</v>
      </c>
      <c r="C8" s="29">
        <v>267152</v>
      </c>
      <c r="D8" s="29">
        <v>357614.2</v>
      </c>
      <c r="E8" s="29">
        <f t="shared" si="0"/>
        <v>-90462.200000000012</v>
      </c>
      <c r="F8" s="32">
        <f t="shared" si="1"/>
        <v>-0.25296031309718686</v>
      </c>
      <c r="G8" s="31">
        <v>362238</v>
      </c>
      <c r="H8" s="31">
        <f t="shared" si="4"/>
        <v>-95086</v>
      </c>
      <c r="I8" s="32">
        <f t="shared" si="5"/>
        <v>-0.26249592809147576</v>
      </c>
      <c r="J8" s="49" t="s">
        <v>30</v>
      </c>
      <c r="K8" s="62" t="s">
        <v>31</v>
      </c>
    </row>
    <row r="9" spans="1:12" ht="15.6">
      <c r="A9" s="45" t="str">
        <v>Lakewood Twp - Emergency Services Dev  - NJ-23-0008</v>
      </c>
      <c r="B9" s="42" t="str">
        <v>NJ</v>
      </c>
      <c r="C9" s="36"/>
      <c r="D9" s="36"/>
      <c r="E9" s="36"/>
      <c r="F9" s="37"/>
      <c r="G9" s="38"/>
      <c r="H9" s="38"/>
      <c r="I9" s="37"/>
      <c r="J9" s="50"/>
      <c r="K9" s="63"/>
    </row>
    <row r="10" spans="1:12" ht="15.6">
      <c r="A10" s="46" t="str">
        <v>Lakewood Township - Public Works</v>
      </c>
      <c r="B10" s="40" t="str">
        <v>NJ</v>
      </c>
      <c r="C10" s="29"/>
      <c r="D10" s="29"/>
      <c r="E10" s="29"/>
      <c r="F10" s="32"/>
      <c r="G10" s="31"/>
      <c r="H10" s="31"/>
      <c r="I10" s="32"/>
      <c r="J10" s="49"/>
      <c r="K10" s="62"/>
    </row>
    <row r="11" spans="1:12" ht="14.45">
      <c r="A11" s="8" t="str">
        <v>Canby - Dover - OR-23-C003</v>
      </c>
      <c r="B11" s="13" t="str">
        <v>OR</v>
      </c>
      <c r="C11" s="8"/>
      <c r="D11" s="8"/>
      <c r="E11" s="8"/>
      <c r="F11" s="8"/>
      <c r="G11" s="8"/>
      <c r="H11" s="8"/>
      <c r="I11" s="8"/>
      <c r="J11" s="8"/>
      <c r="K11" s="8"/>
    </row>
    <row r="12" spans="1:12" ht="14.45">
      <c r="A12" s="8" t="str">
        <v xml:space="preserve"> Estacada - Clayfield - OR-23-C001</v>
      </c>
      <c r="B12" s="13" t="str">
        <v>OR</v>
      </c>
      <c r="C12" s="8"/>
      <c r="D12" s="8"/>
      <c r="E12" s="8"/>
      <c r="F12" s="9"/>
      <c r="G12" s="8"/>
      <c r="H12" s="8"/>
      <c r="I12" s="9"/>
      <c r="J12" s="8"/>
      <c r="K12" s="8"/>
    </row>
    <row r="13" spans="1:12" ht="14.45">
      <c r="A13" s="8" t="str">
        <v>Willamina - Waterford - OR-23-C006</v>
      </c>
      <c r="B13" s="13" t="str">
        <v>OR</v>
      </c>
      <c r="C13" s="8"/>
      <c r="D13" s="8"/>
      <c r="E13" s="8"/>
      <c r="F13" s="9"/>
      <c r="G13" s="8"/>
      <c r="H13" s="8"/>
      <c r="I13" s="9"/>
      <c r="J13" s="8"/>
      <c r="K13" s="8"/>
    </row>
    <row r="14" spans="1:12" ht="14.45">
      <c r="A14" s="8" t="str">
        <v>OR-23-C005  Solops  SPI - Belvedere Solar</v>
      </c>
      <c r="B14" s="13" t="str">
        <v>OR</v>
      </c>
      <c r="C14" s="8"/>
      <c r="D14" s="8"/>
      <c r="E14" s="8"/>
      <c r="F14" s="9"/>
      <c r="G14" s="8"/>
      <c r="H14" s="8"/>
      <c r="I14" s="9"/>
      <c r="J14" s="8"/>
      <c r="K14" s="8"/>
    </row>
    <row r="15" spans="1:12" ht="14.45">
      <c r="A15" s="8" t="str">
        <v>OR-23-C002  SPI - Cork Solar</v>
      </c>
      <c r="B15" s="13" t="str">
        <v>OR</v>
      </c>
      <c r="C15" s="8"/>
      <c r="D15" s="8"/>
      <c r="E15" s="8"/>
      <c r="F15" s="9"/>
      <c r="G15" s="8"/>
      <c r="H15" s="8"/>
      <c r="I15" s="9"/>
      <c r="J15" s="8"/>
      <c r="K15" s="8"/>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sheetData>
  <mergeCells count="4">
    <mergeCell ref="D1:F1"/>
    <mergeCell ref="A1:C1"/>
    <mergeCell ref="G1:I1"/>
    <mergeCell ref="A2:B2"/>
  </mergeCells>
  <conditionalFormatting sqref="F2 I2 F4:F79 I4:I79">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4989" xr:uid="{0B1114EA-9087-498B-8803-69F810C21EBA}"/>
    <hyperlink ref="L4" r:id="rId2" display="https://us3.assetplanner.com/service_request?ID=096863" xr:uid="{46F6D2EB-8108-4F4B-88AD-11CD1BDF06D7}"/>
    <hyperlink ref="K5" r:id="rId3" display="https://us3.assetplanner.com/service_request?ID=093414" xr:uid="{E8C08D12-2A0E-4025-915E-889A1136BF9B}"/>
    <hyperlink ref="K6" r:id="rId4" display="https://us3.assetplanner.com/service_request?ID=093414" xr:uid="{00A80DE2-68A2-426F-A897-56E72D76A846}"/>
    <hyperlink ref="K7" r:id="rId5" display="https://us3.assetplanner.com/service_request?ID=086098" xr:uid="{32ABDA85-D761-48C6-8E99-297AE2C45FCF}"/>
    <hyperlink ref="K8" r:id="rId6" display="https://us3.assetplanner.com/service_request?ID=095756" xr:uid="{7A7E4D9F-6983-4983-853E-3F94373C9E84}"/>
  </hyperlinks>
  <pageMargins left="0.4" right="0.7" top="0.25" bottom="0.25" header="0.3" footer="0.3"/>
  <pageSetup fitToHeight="99" orientation="landscape"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23"/>
  <sheetViews>
    <sheetView zoomScale="70" zoomScaleNormal="70" workbookViewId="0">
      <pane xSplit="2" ySplit="3" topLeftCell="C4" activePane="bottomRight" state="frozen"/>
      <selection pane="bottomRight" activeCell="J6" sqref="J6"/>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3" ht="19.5" customHeight="1">
      <c r="A1" s="128" t="str" cm="1">
        <f t="array" ref="A1">portfolio</f>
        <v>Luminace</v>
      </c>
      <c r="B1" s="128"/>
      <c r="C1" s="128"/>
      <c r="D1" s="129" t="s">
        <v>32</v>
      </c>
      <c r="E1" s="129"/>
      <c r="F1" s="129"/>
      <c r="G1" s="127" t="s">
        <v>33</v>
      </c>
      <c r="H1" s="127"/>
      <c r="I1" s="127"/>
      <c r="J1" s="4"/>
      <c r="K1" s="4"/>
    </row>
    <row r="2" spans="1:13" ht="19.5" customHeight="1">
      <c r="A2" s="130" t="s">
        <v>2</v>
      </c>
      <c r="B2" s="130"/>
      <c r="C2" s="5">
        <f>SUM(C4:C81)</f>
        <v>431689.12400000001</v>
      </c>
      <c r="D2" s="5">
        <f>SUM(D4:D81)</f>
        <v>397154.47619999998</v>
      </c>
      <c r="E2" s="5">
        <f>C2-D2</f>
        <v>34534.647800000035</v>
      </c>
      <c r="F2" s="6">
        <f>IFERROR(E2/D2, 0)</f>
        <v>8.6955202243796437E-2</v>
      </c>
      <c r="G2" s="5">
        <f>SUM(G4:G81)</f>
        <v>1851765.4</v>
      </c>
      <c r="H2" s="7">
        <f>C2-G2</f>
        <v>-1420076.2759999998</v>
      </c>
      <c r="I2" s="6">
        <f>IFERROR(H2/G2, 0)</f>
        <v>-0.76687698992539766</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20</v>
      </c>
      <c r="K3" s="10" t="s">
        <v>21</v>
      </c>
    </row>
    <row r="4" spans="1:13" ht="103.5" customHeight="1">
      <c r="A4" s="44" t="str" cm="1">
        <f t="array" ref="A4:A18">Sites[Site]</f>
        <v xml:space="preserve">Raymond Ed Re-Development - DC-23-0001 </v>
      </c>
      <c r="B4" s="40" t="str" cm="1">
        <f t="array" ref="B4:B18">Sites[State]</f>
        <v>DC</v>
      </c>
      <c r="C4" s="28">
        <v>27512.156999999999</v>
      </c>
      <c r="D4" s="29" t="s">
        <v>22</v>
      </c>
      <c r="E4" s="29" t="str">
        <f>IF(AND(ISNUMBER(C4),ISNUMBER(D4)), C4-D4, "")</f>
        <v/>
      </c>
      <c r="F4" s="30" t="str">
        <f>IFERROR(E4/D4, "")</f>
        <v/>
      </c>
      <c r="G4" s="70" t="s">
        <v>22</v>
      </c>
      <c r="H4" s="31" t="str">
        <f>IF(AND(ISNUMBER(C4),ISNUMBER(G4)), C4-G4, "")</f>
        <v/>
      </c>
      <c r="I4" s="32" t="str">
        <f>IFERROR(H4/G4, "")</f>
        <v/>
      </c>
      <c r="J4" s="49" t="s">
        <v>34</v>
      </c>
      <c r="K4" s="62" t="s">
        <v>35</v>
      </c>
      <c r="L4" s="69" t="s">
        <v>36</v>
      </c>
      <c r="M4" s="69" t="s">
        <v>37</v>
      </c>
    </row>
    <row r="5" spans="1:13" ht="28.9">
      <c r="A5" s="45" t="str">
        <v>Berkeley - NJ-22-C893 Berkeley I</v>
      </c>
      <c r="B5" s="42" t="str">
        <v>NJ</v>
      </c>
      <c r="C5" s="35">
        <v>0</v>
      </c>
      <c r="D5" s="36">
        <v>836.67619999999999</v>
      </c>
      <c r="E5" s="36">
        <f t="shared" ref="E5:E10" si="0">IF(AND(ISNUMBER(C5),ISNUMBER(D5)), C5-D5, "")</f>
        <v>-836.67619999999999</v>
      </c>
      <c r="F5" s="37">
        <f>IFERROR(E5/D5, "")</f>
        <v>-1</v>
      </c>
      <c r="G5" s="38">
        <v>461858.4</v>
      </c>
      <c r="H5" s="38">
        <f t="shared" ref="H5:H10" si="1">IF(AND(ISNUMBER(C5),ISNUMBER(G5)), C5-G5, "")</f>
        <v>-461858.4</v>
      </c>
      <c r="I5" s="37">
        <f t="shared" ref="I5:I10" si="2">IFERROR(H5/G5, "")</f>
        <v>-1</v>
      </c>
      <c r="J5" s="50" t="s">
        <v>26</v>
      </c>
      <c r="K5" s="63" t="s">
        <v>38</v>
      </c>
    </row>
    <row r="6" spans="1:13" ht="28.9">
      <c r="A6" s="44" t="str">
        <v>Berkeley - NJ-22-C894 Berkeley II</v>
      </c>
      <c r="B6" s="40" t="str">
        <v>NJ</v>
      </c>
      <c r="C6" s="28">
        <v>0</v>
      </c>
      <c r="D6" s="29" t="s">
        <v>22</v>
      </c>
      <c r="E6" s="29" t="str">
        <f t="shared" si="0"/>
        <v/>
      </c>
      <c r="F6" s="30" t="str">
        <f t="shared" ref="F6:F10" si="3">IFERROR(E6/D6, "")</f>
        <v/>
      </c>
      <c r="G6" s="31">
        <v>456469</v>
      </c>
      <c r="H6" s="31">
        <f t="shared" si="1"/>
        <v>-456469</v>
      </c>
      <c r="I6" s="32">
        <f t="shared" si="2"/>
        <v>-1</v>
      </c>
      <c r="J6" s="49" t="s">
        <v>26</v>
      </c>
      <c r="K6" s="62" t="s">
        <v>39</v>
      </c>
    </row>
    <row r="7" spans="1:13" ht="36.75" customHeight="1">
      <c r="A7" s="45" t="str">
        <v xml:space="preserve"> BEMS Landfill East</v>
      </c>
      <c r="B7" s="42" t="str">
        <v>NJ</v>
      </c>
      <c r="C7" s="35">
        <v>0</v>
      </c>
      <c r="D7" s="36" t="s">
        <v>22</v>
      </c>
      <c r="E7" s="36" t="str">
        <f>IF(AND(ISNUMBER(C7),ISNUMBER(D7)), C7-D7, "")</f>
        <v/>
      </c>
      <c r="F7" s="37" t="str">
        <f t="shared" si="3"/>
        <v/>
      </c>
      <c r="G7" s="38">
        <v>498875</v>
      </c>
      <c r="H7" s="38">
        <f t="shared" si="1"/>
        <v>-498875</v>
      </c>
      <c r="I7" s="37">
        <f t="shared" si="2"/>
        <v>-1</v>
      </c>
      <c r="J7" s="50" t="s">
        <v>40</v>
      </c>
      <c r="K7" s="68" t="s">
        <v>29</v>
      </c>
    </row>
    <row r="8" spans="1:13" ht="28.9">
      <c r="A8" s="46" t="str">
        <v>Southampton - BEMS West NJ-22-C898</v>
      </c>
      <c r="B8" s="40" t="str">
        <v>NJ</v>
      </c>
      <c r="C8" s="28">
        <v>306069</v>
      </c>
      <c r="D8" s="29">
        <v>396317.8</v>
      </c>
      <c r="E8" s="29">
        <f t="shared" si="0"/>
        <v>-90248.799999999988</v>
      </c>
      <c r="F8" s="30">
        <f t="shared" si="3"/>
        <v>-0.22771826044654062</v>
      </c>
      <c r="G8" s="31">
        <v>403220</v>
      </c>
      <c r="H8" s="31">
        <f t="shared" si="1"/>
        <v>-97151</v>
      </c>
      <c r="I8" s="32">
        <f t="shared" si="2"/>
        <v>-0.2409379495064729</v>
      </c>
      <c r="J8" s="49" t="s">
        <v>41</v>
      </c>
      <c r="K8" s="62" t="s">
        <v>42</v>
      </c>
    </row>
    <row r="9" spans="1:13" ht="15.6">
      <c r="A9" s="45" t="str">
        <v>Lakewood Twp - Emergency Services Dev  - NJ-23-0008</v>
      </c>
      <c r="B9" s="41" t="str">
        <v>NJ</v>
      </c>
      <c r="C9" s="35">
        <v>4807.5</v>
      </c>
      <c r="D9" s="36" t="s">
        <v>22</v>
      </c>
      <c r="E9" s="36" t="str">
        <f>IF(AND(ISNUMBER(C9),ISNUMBER(D9)), C9-D9, "")</f>
        <v/>
      </c>
      <c r="F9" s="37" t="str">
        <f t="shared" si="3"/>
        <v/>
      </c>
      <c r="G9" s="71" t="s">
        <v>22</v>
      </c>
      <c r="H9" s="38" t="str">
        <f t="shared" si="1"/>
        <v/>
      </c>
      <c r="I9" s="37" t="str">
        <f t="shared" si="2"/>
        <v/>
      </c>
      <c r="J9" s="76" t="s">
        <v>43</v>
      </c>
      <c r="K9" s="45"/>
    </row>
    <row r="10" spans="1:13" ht="15.6">
      <c r="A10" s="46" t="str">
        <v>Lakewood Township - Public Works</v>
      </c>
      <c r="B10" s="40" t="str">
        <v>NJ</v>
      </c>
      <c r="C10" s="28">
        <v>93300.467000000004</v>
      </c>
      <c r="D10" s="29" t="s">
        <v>22</v>
      </c>
      <c r="E10" s="29" t="str">
        <f t="shared" si="0"/>
        <v/>
      </c>
      <c r="F10" s="30" t="str">
        <f t="shared" si="3"/>
        <v/>
      </c>
      <c r="G10" s="31">
        <v>31343</v>
      </c>
      <c r="H10" s="31">
        <f t="shared" si="1"/>
        <v>61957.467000000004</v>
      </c>
      <c r="I10" s="32">
        <f t="shared" si="2"/>
        <v>1.9767561177934467</v>
      </c>
      <c r="J10" s="49" t="s">
        <v>44</v>
      </c>
      <c r="K10" s="49"/>
    </row>
    <row r="11" spans="1:13" ht="14.45">
      <c r="A11" s="8" t="str">
        <v>Canby - Dover - OR-23-C003</v>
      </c>
      <c r="B11" s="13" t="str">
        <v>OR</v>
      </c>
      <c r="C11" s="8"/>
      <c r="D11" s="8"/>
      <c r="E11" s="8"/>
      <c r="F11" s="8"/>
      <c r="G11" s="8"/>
      <c r="H11" s="8"/>
      <c r="I11" s="8"/>
      <c r="J11" s="8"/>
      <c r="K11" s="8"/>
    </row>
    <row r="12" spans="1:13" ht="14.45">
      <c r="A12" s="8" t="str">
        <v xml:space="preserve"> Estacada - Clayfield - OR-23-C001</v>
      </c>
      <c r="B12" s="13" t="str">
        <v>OR</v>
      </c>
      <c r="C12" s="8"/>
      <c r="D12" s="8"/>
      <c r="E12" s="8"/>
      <c r="F12" s="36"/>
      <c r="G12" s="8"/>
      <c r="H12" s="8"/>
      <c r="I12" s="8"/>
      <c r="J12" s="8"/>
      <c r="K12" s="8"/>
    </row>
    <row r="13" spans="1:13" ht="14.45">
      <c r="A13" s="8" t="str">
        <v>Willamina - Waterford - OR-23-C006</v>
      </c>
      <c r="B13" s="13" t="str">
        <v>OR</v>
      </c>
      <c r="C13" s="8"/>
      <c r="D13" s="8"/>
      <c r="E13" s="8"/>
      <c r="F13" s="8"/>
      <c r="G13" s="8"/>
      <c r="H13" s="67"/>
      <c r="I13" s="8"/>
      <c r="J13" s="8"/>
      <c r="K13" s="8"/>
    </row>
    <row r="14" spans="1:13" ht="14.45">
      <c r="A14" s="8" t="str">
        <v>OR-23-C005  Solops  SPI - Belvedere Solar</v>
      </c>
      <c r="B14" s="13" t="str">
        <v>OR</v>
      </c>
      <c r="C14" s="8"/>
      <c r="D14" s="8"/>
      <c r="E14" s="8"/>
      <c r="F14" s="9"/>
      <c r="G14" s="8"/>
      <c r="H14" s="8"/>
      <c r="I14" s="9"/>
      <c r="J14" s="8"/>
      <c r="K14" s="8"/>
    </row>
    <row r="15" spans="1:13" ht="14.45">
      <c r="A15" s="8" t="str">
        <v>OR-23-C002  SPI - Cork Solar</v>
      </c>
      <c r="B15" s="13" t="str">
        <v>OR</v>
      </c>
      <c r="C15" s="8"/>
      <c r="D15" s="8"/>
      <c r="E15" s="8"/>
      <c r="F15" s="9"/>
      <c r="G15" s="8"/>
      <c r="H15" s="8"/>
      <c r="I15" s="9"/>
      <c r="J15" s="8"/>
      <c r="K15" s="8"/>
    </row>
    <row r="16" spans="1:13"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11 I4:I81 F13:F81">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863" xr:uid="{079F6A22-9408-44E3-9FAC-7FAD03524ACC}"/>
    <hyperlink ref="L4" r:id="rId2" display="https://us3.assetplanner.com/service_request?ID=094989" xr:uid="{27B5BBE6-919F-4560-9B52-423ED1C598AA}"/>
    <hyperlink ref="M4" r:id="rId3" display="https://us3.assetplanner.com/service_request?ID=097768" xr:uid="{1FB609A7-2724-4048-A08F-A86FF05C0EF5}"/>
    <hyperlink ref="K5" r:id="rId4" display="https://us3.assetplanner.com/service_request?ID=093413" xr:uid="{B22DB26F-7781-463A-8DA6-90A4919705E1}"/>
    <hyperlink ref="K6" r:id="rId5" display="https://us3.assetplanner.com/service_request?ID=093414" xr:uid="{6A5DD324-D780-4290-836E-E7EED42185AD}"/>
    <hyperlink ref="K7" r:id="rId6" display="https://us3.assetplanner.com/service_request?ID=086098" xr:uid="{2E4327B8-154B-4FB9-A707-2A79BF78118B}"/>
    <hyperlink ref="K8" r:id="rId7" display="https://us3.assetplanner.com/service_request?ID=097638" xr:uid="{675F13AB-88DC-4CD6-850E-A0EDFFBB14CE}"/>
  </hyperlinks>
  <pageMargins left="0.4" right="0.7" top="0.25" bottom="0.25" header="0.3" footer="0.3"/>
  <pageSetup fitToHeight="99" orientation="landscape"/>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23"/>
  <sheetViews>
    <sheetView zoomScale="70" zoomScaleNormal="70" workbookViewId="0">
      <pane xSplit="2" ySplit="3" topLeftCell="C4" activePane="bottomRight" state="frozen"/>
      <selection pane="bottomRight" activeCell="J5" sqref="J5"/>
      <selection pane="bottomLeft" activeCell="C19" sqref="C19"/>
      <selection pane="topRight" activeCell="C19" sqref="C19"/>
    </sheetView>
  </sheetViews>
  <sheetFormatPr defaultRowHeight="13.9"/>
  <cols>
    <col min="1" max="1" width="55.710937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3" ht="19.5" customHeight="1">
      <c r="A1" s="128" t="str" cm="1">
        <f t="array" ref="A1">portfolio</f>
        <v>Luminace</v>
      </c>
      <c r="B1" s="128"/>
      <c r="C1" s="128"/>
      <c r="D1" s="129" t="s">
        <v>45</v>
      </c>
      <c r="E1" s="129"/>
      <c r="F1" s="129"/>
      <c r="G1" s="127" t="s">
        <v>46</v>
      </c>
      <c r="H1" s="127"/>
      <c r="I1" s="127"/>
      <c r="J1" s="4"/>
      <c r="K1" s="4"/>
    </row>
    <row r="2" spans="1:13" ht="19.5" customHeight="1">
      <c r="A2" s="130" t="s">
        <v>2</v>
      </c>
      <c r="B2" s="130"/>
      <c r="C2" s="5">
        <f>SUM(C4:C81)</f>
        <v>703255.35495619662</v>
      </c>
      <c r="D2" s="5">
        <f>SUM(D4:D81)</f>
        <v>566078.13</v>
      </c>
      <c r="E2" s="5">
        <f>C2-D2</f>
        <v>137177.22495619662</v>
      </c>
      <c r="F2" s="6">
        <f>IFERROR(E2/D2, 0)</f>
        <v>0.24232913742171353</v>
      </c>
      <c r="G2" s="5">
        <f>SUM(G4:G81)</f>
        <v>2514055.1100000003</v>
      </c>
      <c r="H2" s="7">
        <f>C2-G2</f>
        <v>-1810799.7550438037</v>
      </c>
      <c r="I2" s="6">
        <f>IFERROR(H2/G2, 0)</f>
        <v>-0.7202705095210914</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20</v>
      </c>
      <c r="K3" s="10" t="s">
        <v>21</v>
      </c>
    </row>
    <row r="4" spans="1:13" ht="28.9">
      <c r="A4" s="44" t="str" cm="1">
        <f t="array" ref="A4:A18">Sites[Site]</f>
        <v xml:space="preserve">Raymond Ed Re-Development - DC-23-0001 </v>
      </c>
      <c r="B4" s="40" t="str" cm="1">
        <f t="array" ref="B4:B18">Sites[State]</f>
        <v>DC</v>
      </c>
      <c r="C4" s="28">
        <v>73571.301430217602</v>
      </c>
      <c r="D4" s="29" t="s">
        <v>22</v>
      </c>
      <c r="E4" s="29" t="str">
        <f>IF(AND(ISNUMBER(C4),ISNUMBER(D4)), C4-D4, "")</f>
        <v/>
      </c>
      <c r="F4" s="30" t="str">
        <f>IFERROR(E4/D4, "")</f>
        <v/>
      </c>
      <c r="G4" s="70" t="s">
        <v>22</v>
      </c>
      <c r="H4" s="31" t="str">
        <f>IF(AND(ISNUMBER(C4),ISNUMBER(G4)), C4-G4, "")</f>
        <v/>
      </c>
      <c r="I4" s="32" t="str">
        <f>IFERROR(H4/G4, "")</f>
        <v/>
      </c>
      <c r="J4" s="53" t="s">
        <v>47</v>
      </c>
      <c r="K4" s="72" t="s">
        <v>48</v>
      </c>
      <c r="L4" s="73" t="s">
        <v>37</v>
      </c>
      <c r="M4" s="52"/>
    </row>
    <row r="5" spans="1:13" ht="43.15">
      <c r="A5" s="45" t="str">
        <v>Berkeley - NJ-22-C893 Berkeley I</v>
      </c>
      <c r="B5" s="42" t="str">
        <v>NJ</v>
      </c>
      <c r="C5" s="35">
        <v>0</v>
      </c>
      <c r="D5" s="36" t="s">
        <v>22</v>
      </c>
      <c r="E5" s="36" t="str">
        <f t="shared" ref="E5:E10" si="0">IF(AND(ISNUMBER(C5),ISNUMBER(D5)), C5-D5, "")</f>
        <v/>
      </c>
      <c r="F5" s="37" t="str">
        <f>IFERROR(E5/D5, "")</f>
        <v/>
      </c>
      <c r="G5" s="38">
        <v>621367.81000000006</v>
      </c>
      <c r="H5" s="38">
        <f t="shared" ref="H5:H10" si="1">IF(AND(ISNUMBER(C5),ISNUMBER(G5)), C5-G5, "")</f>
        <v>-621367.81000000006</v>
      </c>
      <c r="I5" s="37">
        <f t="shared" ref="I5:I10" si="2">IFERROR(H5/G5, "")</f>
        <v>-1</v>
      </c>
      <c r="J5" s="54" t="s">
        <v>49</v>
      </c>
      <c r="K5" s="74" t="s">
        <v>50</v>
      </c>
      <c r="L5" s="73" t="s">
        <v>51</v>
      </c>
      <c r="M5" s="52"/>
    </row>
    <row r="6" spans="1:13" ht="43.15">
      <c r="A6" s="46" t="str">
        <v>Berkeley - NJ-22-C894 Berkeley II</v>
      </c>
      <c r="B6" s="40" t="str">
        <v>NJ</v>
      </c>
      <c r="C6" s="28">
        <v>0</v>
      </c>
      <c r="D6" s="29" t="s">
        <v>22</v>
      </c>
      <c r="E6" s="29" t="str">
        <f t="shared" si="0"/>
        <v/>
      </c>
      <c r="F6" s="30" t="str">
        <f t="shared" ref="F6:F10" si="3">IFERROR(E6/D6, "")</f>
        <v/>
      </c>
      <c r="G6" s="31">
        <v>616934</v>
      </c>
      <c r="H6" s="31">
        <f t="shared" si="1"/>
        <v>-616934</v>
      </c>
      <c r="I6" s="32">
        <f t="shared" si="2"/>
        <v>-1</v>
      </c>
      <c r="J6" s="53" t="s">
        <v>49</v>
      </c>
      <c r="K6" s="72" t="s">
        <v>52</v>
      </c>
      <c r="L6" s="73" t="s">
        <v>53</v>
      </c>
      <c r="M6" s="52"/>
    </row>
    <row r="7" spans="1:13" ht="86.45">
      <c r="A7" s="45" t="str">
        <v xml:space="preserve"> BEMS Landfill East</v>
      </c>
      <c r="B7" s="42" t="str">
        <v>NJ</v>
      </c>
      <c r="C7" s="35">
        <v>0</v>
      </c>
      <c r="D7" s="36">
        <v>13254.93</v>
      </c>
      <c r="E7" s="36">
        <f t="shared" si="0"/>
        <v>-13254.93</v>
      </c>
      <c r="F7" s="37">
        <f t="shared" si="3"/>
        <v>-1</v>
      </c>
      <c r="G7" s="38">
        <v>620135.30000000005</v>
      </c>
      <c r="H7" s="38">
        <f t="shared" si="1"/>
        <v>-620135.30000000005</v>
      </c>
      <c r="I7" s="37">
        <f t="shared" si="2"/>
        <v>-1</v>
      </c>
      <c r="J7" s="59" t="s">
        <v>54</v>
      </c>
      <c r="K7" s="74" t="s">
        <v>55</v>
      </c>
      <c r="L7" s="73" t="s">
        <v>56</v>
      </c>
      <c r="M7" s="52"/>
    </row>
    <row r="8" spans="1:13" ht="15.6">
      <c r="A8" s="46" t="str">
        <v>Southampton - BEMS West NJ-22-C898</v>
      </c>
      <c r="B8" s="40" t="str">
        <v>NJ</v>
      </c>
      <c r="C8" s="28">
        <v>469935</v>
      </c>
      <c r="D8" s="29">
        <v>552823.19999999995</v>
      </c>
      <c r="E8" s="29">
        <f t="shared" si="0"/>
        <v>-82888.199999999953</v>
      </c>
      <c r="F8" s="30">
        <f t="shared" si="3"/>
        <v>-0.14993618212839108</v>
      </c>
      <c r="G8" s="31">
        <v>587503</v>
      </c>
      <c r="H8" s="31">
        <f t="shared" si="1"/>
        <v>-117568</v>
      </c>
      <c r="I8" s="32">
        <f t="shared" si="2"/>
        <v>-0.20011472281843667</v>
      </c>
      <c r="J8" s="53" t="s">
        <v>57</v>
      </c>
      <c r="K8" s="75" t="s">
        <v>42</v>
      </c>
      <c r="M8" s="52"/>
    </row>
    <row r="9" spans="1:13" ht="15.6">
      <c r="A9" s="45" t="str">
        <v>Lakewood Twp - Emergency Services Dev  - NJ-23-0008</v>
      </c>
      <c r="B9" s="42" t="str">
        <v>NJ</v>
      </c>
      <c r="C9" s="35">
        <v>8438.8580957031209</v>
      </c>
      <c r="D9" s="36" t="s">
        <v>22</v>
      </c>
      <c r="E9" s="36" t="str">
        <f t="shared" si="0"/>
        <v/>
      </c>
      <c r="F9" s="37" t="str">
        <f t="shared" si="3"/>
        <v/>
      </c>
      <c r="G9" s="71" t="s">
        <v>22</v>
      </c>
      <c r="H9" s="38" t="str">
        <f t="shared" si="1"/>
        <v/>
      </c>
      <c r="I9" s="37" t="str">
        <f t="shared" si="2"/>
        <v/>
      </c>
      <c r="J9" s="54"/>
      <c r="K9" s="55"/>
      <c r="M9" s="52"/>
    </row>
    <row r="10" spans="1:13" ht="15.6">
      <c r="A10" s="46" t="str">
        <v>Lakewood Township - Public Works</v>
      </c>
      <c r="B10" s="40" t="str">
        <v>NJ</v>
      </c>
      <c r="C10" s="28">
        <v>151310.19543027601</v>
      </c>
      <c r="D10" s="29" t="s">
        <v>22</v>
      </c>
      <c r="E10" s="29" t="str">
        <f t="shared" si="0"/>
        <v/>
      </c>
      <c r="F10" s="30" t="str">
        <f t="shared" si="3"/>
        <v/>
      </c>
      <c r="G10" s="31">
        <v>68115</v>
      </c>
      <c r="H10" s="31">
        <f t="shared" si="1"/>
        <v>83195.195430276013</v>
      </c>
      <c r="I10" s="32">
        <f t="shared" si="2"/>
        <v>1.2213931649456951</v>
      </c>
      <c r="J10" s="53" t="s">
        <v>58</v>
      </c>
      <c r="K10" s="53"/>
      <c r="M10" s="52"/>
    </row>
    <row r="11" spans="1:13" ht="14.45">
      <c r="A11" s="8" t="str">
        <v>Canby - Dover - OR-23-C003</v>
      </c>
      <c r="B11" s="13" t="str">
        <v>OR</v>
      </c>
      <c r="C11" s="8"/>
      <c r="D11" s="8"/>
      <c r="E11" s="8"/>
      <c r="F11" s="8"/>
      <c r="G11" s="8"/>
      <c r="H11" s="8"/>
      <c r="I11" s="8"/>
      <c r="J11" s="8"/>
      <c r="K11" s="8"/>
      <c r="M11" s="52"/>
    </row>
    <row r="12" spans="1:13" ht="14.45">
      <c r="A12" s="8" t="str">
        <v xml:space="preserve"> Estacada - Clayfield - OR-23-C001</v>
      </c>
      <c r="B12" s="13" t="str">
        <v>OR</v>
      </c>
      <c r="C12" s="8"/>
      <c r="D12" s="8"/>
      <c r="E12" s="8"/>
      <c r="F12" s="8"/>
      <c r="G12" s="8"/>
      <c r="H12" s="8"/>
      <c r="I12" s="8"/>
      <c r="J12" s="8"/>
      <c r="K12" s="8"/>
      <c r="M12" s="52"/>
    </row>
    <row r="13" spans="1:13" ht="14.45">
      <c r="A13" s="8" t="str">
        <v>Willamina - Waterford - OR-23-C006</v>
      </c>
      <c r="B13" s="13" t="str">
        <v>OR</v>
      </c>
      <c r="C13" s="8"/>
      <c r="D13" s="8"/>
      <c r="E13" s="8"/>
      <c r="F13" s="8"/>
      <c r="G13" s="8"/>
      <c r="H13" s="8"/>
      <c r="I13" s="8"/>
      <c r="J13" s="8"/>
      <c r="K13" s="8"/>
      <c r="M13" s="52"/>
    </row>
    <row r="14" spans="1:13" ht="14.45">
      <c r="A14" s="8" t="str">
        <v>OR-23-C005  Solops  SPI - Belvedere Solar</v>
      </c>
      <c r="B14" s="13" t="str">
        <v>OR</v>
      </c>
      <c r="C14" s="8"/>
      <c r="D14" s="8"/>
      <c r="E14" s="8"/>
      <c r="F14" s="9"/>
      <c r="G14" s="8"/>
      <c r="H14" s="8"/>
      <c r="I14" s="9"/>
      <c r="J14" s="8"/>
      <c r="K14" s="8"/>
      <c r="M14" s="52"/>
    </row>
    <row r="15" spans="1:13" ht="14.45">
      <c r="A15" s="8" t="str">
        <v>OR-23-C002  SPI - Cork Solar</v>
      </c>
      <c r="B15" s="13" t="str">
        <v>OR</v>
      </c>
      <c r="C15" s="8"/>
      <c r="D15" s="8"/>
      <c r="E15" s="8"/>
      <c r="F15" s="9"/>
      <c r="G15" s="8"/>
      <c r="H15" s="8"/>
      <c r="I15" s="9"/>
      <c r="J15" s="8"/>
      <c r="K15" s="8"/>
      <c r="M15" s="52"/>
    </row>
    <row r="16" spans="1:13" ht="14.45">
      <c r="A16" s="8" t="str">
        <v>OR: Oregon City - Buckner Creek - OR-23-C008</v>
      </c>
      <c r="B16" s="13" t="str">
        <v>OR</v>
      </c>
      <c r="C16" s="8"/>
      <c r="D16" s="8"/>
      <c r="E16" s="8"/>
      <c r="F16" s="9"/>
      <c r="G16" s="8"/>
      <c r="H16" s="8"/>
      <c r="I16" s="9"/>
      <c r="J16" s="8"/>
      <c r="K16" s="8"/>
      <c r="M16" s="52"/>
    </row>
    <row r="17" spans="1:13" ht="14.45">
      <c r="A17" s="8" t="str">
        <v>OR: Dundee - Gun Club - OR-23-C009</v>
      </c>
      <c r="B17" s="13" t="str">
        <v>OR</v>
      </c>
      <c r="C17" s="8"/>
      <c r="D17" s="8"/>
      <c r="E17" s="8"/>
      <c r="F17" s="9"/>
      <c r="G17" s="8"/>
      <c r="H17" s="8"/>
      <c r="I17" s="9"/>
      <c r="J17" s="8"/>
      <c r="K17" s="8"/>
      <c r="M17" s="52"/>
    </row>
    <row r="18" spans="1:13" ht="14.45">
      <c r="A18" s="8" t="str">
        <v>OR: Molalla - Marquam - OR-23-C010</v>
      </c>
      <c r="B18" s="13" t="str">
        <v>OR</v>
      </c>
      <c r="C18" s="8"/>
      <c r="D18" s="8"/>
      <c r="E18" s="8"/>
      <c r="F18" s="9"/>
      <c r="G18" s="8"/>
      <c r="H18" s="8"/>
      <c r="I18" s="9"/>
      <c r="J18" s="8"/>
      <c r="K18" s="8"/>
      <c r="M18" s="52"/>
    </row>
    <row r="19" spans="1:13" ht="14.45">
      <c r="A19" s="8"/>
      <c r="B19" s="13"/>
      <c r="C19" s="8"/>
      <c r="D19" s="8"/>
      <c r="E19" s="8"/>
      <c r="F19" s="9"/>
      <c r="G19" s="8"/>
      <c r="H19" s="8"/>
      <c r="I19" s="9"/>
      <c r="J19" s="8"/>
      <c r="K19" s="8"/>
      <c r="M19" s="52"/>
    </row>
    <row r="20" spans="1:13" ht="14.45">
      <c r="A20" s="8"/>
      <c r="B20" s="13"/>
      <c r="C20" s="8"/>
      <c r="D20" s="8"/>
      <c r="E20" s="8"/>
      <c r="F20" s="9"/>
      <c r="G20" s="8"/>
      <c r="H20" s="8"/>
      <c r="I20" s="9"/>
      <c r="J20" s="8"/>
      <c r="K20" s="8"/>
      <c r="M20" s="52"/>
    </row>
    <row r="21" spans="1:13" ht="14.45">
      <c r="A21" s="8"/>
      <c r="B21" s="13"/>
      <c r="C21" s="8"/>
      <c r="D21" s="8"/>
      <c r="E21" s="8"/>
      <c r="F21" s="9"/>
      <c r="G21" s="8"/>
      <c r="H21" s="8"/>
      <c r="I21" s="9"/>
      <c r="J21" s="8"/>
      <c r="K21" s="8"/>
      <c r="M21" s="52"/>
    </row>
    <row r="22" spans="1:13" ht="14.45">
      <c r="A22" s="8"/>
      <c r="B22" s="13"/>
      <c r="C22" s="8"/>
      <c r="D22" s="8"/>
      <c r="E22" s="8"/>
      <c r="F22" s="9"/>
      <c r="G22" s="8"/>
      <c r="H22" s="8"/>
      <c r="I22" s="9"/>
      <c r="J22" s="8"/>
      <c r="K22" s="8"/>
      <c r="M22" s="52"/>
    </row>
    <row r="23" spans="1:13" ht="14.45">
      <c r="A23" s="8"/>
      <c r="B23" s="13"/>
      <c r="C23" s="8"/>
      <c r="D23" s="8"/>
      <c r="E23" s="8"/>
      <c r="F23" s="9"/>
      <c r="G23" s="8"/>
      <c r="H23" s="8"/>
      <c r="I23" s="9"/>
      <c r="J23" s="8"/>
      <c r="K23" s="8"/>
      <c r="M23" s="52"/>
    </row>
    <row r="24" spans="1:13" ht="14.45">
      <c r="A24" s="8"/>
      <c r="B24" s="13"/>
      <c r="C24" s="8"/>
      <c r="D24" s="8"/>
      <c r="E24" s="8"/>
      <c r="F24" s="9"/>
      <c r="G24" s="8"/>
      <c r="H24" s="8"/>
      <c r="I24" s="9"/>
      <c r="J24" s="8"/>
      <c r="K24" s="8"/>
      <c r="M24" s="52"/>
    </row>
    <row r="25" spans="1:13" ht="14.45">
      <c r="A25" s="8"/>
      <c r="B25" s="13"/>
      <c r="C25" s="8"/>
      <c r="D25" s="8"/>
      <c r="E25" s="8"/>
      <c r="F25" s="9"/>
      <c r="G25" s="8"/>
      <c r="H25" s="8"/>
      <c r="I25" s="9"/>
      <c r="J25" s="8"/>
      <c r="K25" s="8"/>
      <c r="M25" s="52"/>
    </row>
    <row r="26" spans="1:13" ht="14.45">
      <c r="A26" s="8"/>
      <c r="B26" s="13"/>
      <c r="C26" s="8"/>
      <c r="D26" s="8"/>
      <c r="E26" s="8"/>
      <c r="F26" s="9"/>
      <c r="G26" s="8"/>
      <c r="H26" s="8"/>
      <c r="I26" s="9"/>
      <c r="J26" s="8"/>
      <c r="K26" s="8"/>
      <c r="M26" s="52"/>
    </row>
    <row r="27" spans="1:13" ht="14.45">
      <c r="A27" s="8"/>
      <c r="B27" s="13"/>
      <c r="C27" s="8"/>
      <c r="D27" s="8"/>
      <c r="E27" s="8"/>
      <c r="F27" s="9"/>
      <c r="G27" s="8"/>
      <c r="H27" s="8"/>
      <c r="I27" s="9"/>
      <c r="J27" s="8"/>
      <c r="K27" s="8"/>
      <c r="M27" s="52"/>
    </row>
    <row r="28" spans="1:13" ht="14.45">
      <c r="A28" s="8"/>
      <c r="B28" s="13"/>
      <c r="C28" s="8"/>
      <c r="D28" s="8"/>
      <c r="E28" s="8"/>
      <c r="F28" s="9"/>
      <c r="G28" s="8"/>
      <c r="H28" s="8"/>
      <c r="I28" s="9"/>
      <c r="J28" s="8"/>
      <c r="K28" s="8"/>
      <c r="M28" s="52"/>
    </row>
    <row r="29" spans="1:13" ht="14.45">
      <c r="A29" s="8"/>
      <c r="B29" s="13"/>
      <c r="C29" s="8"/>
      <c r="D29" s="8"/>
      <c r="E29" s="8"/>
      <c r="F29" s="9"/>
      <c r="G29" s="8"/>
      <c r="H29" s="8"/>
      <c r="I29" s="9"/>
      <c r="J29" s="8"/>
      <c r="K29" s="8"/>
      <c r="M29" s="52"/>
    </row>
    <row r="30" spans="1:13" ht="14.45">
      <c r="A30" s="8"/>
      <c r="B30" s="13"/>
      <c r="C30" s="8"/>
      <c r="D30" s="8"/>
      <c r="E30" s="8"/>
      <c r="F30" s="9"/>
      <c r="G30" s="8"/>
      <c r="H30" s="8"/>
      <c r="I30" s="9"/>
      <c r="J30" s="8"/>
      <c r="K30" s="8"/>
      <c r="M30" s="52"/>
    </row>
    <row r="31" spans="1:13" ht="14.45">
      <c r="A31" s="8"/>
      <c r="B31" s="13"/>
      <c r="C31" s="8"/>
      <c r="D31" s="8"/>
      <c r="E31" s="8"/>
      <c r="F31" s="9"/>
      <c r="G31" s="8"/>
      <c r="H31" s="8"/>
      <c r="I31" s="9"/>
      <c r="J31" s="8"/>
      <c r="K31" s="8"/>
    </row>
    <row r="32" spans="1:13"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4989" xr:uid="{927DA41F-AA52-4825-822B-5474F72F6962}"/>
    <hyperlink ref="L4" r:id="rId2" display="https://us3.assetplanner.com/service_request?ID=097768" xr:uid="{9F4B49C5-D610-4027-A5CF-FDD2783C910F}"/>
    <hyperlink ref="K5" r:id="rId3" display="https://us3.assetplanner.com/service_request?ID=098409" xr:uid="{74FE16F0-A4EA-4CED-BFF4-69FA9BE1720C}"/>
    <hyperlink ref="L5" r:id="rId4" display="https://us3.assetplanner.com/service_request?ID=093413" xr:uid="{3FD02AC0-98FE-4D20-AE74-2652C51A65BF}"/>
    <hyperlink ref="K6" r:id="rId5" display="https://us3.assetplanner.com/service_request?ID=098411" xr:uid="{9C948C42-A609-484F-A349-D97F9540130B}"/>
    <hyperlink ref="L6" r:id="rId6" display="https://us3.assetplanner.com/service_request?ID=093414" xr:uid="{60DD6468-8F1E-4F0E-8750-7BA3A927C6B3}"/>
    <hyperlink ref="K7" r:id="rId7" display="https://us3.assetplanner.com/service_request?ID=098408" xr:uid="{4FC9C1C6-036E-48ED-88FB-4D39412B368F}"/>
    <hyperlink ref="L7" r:id="rId8" display="https://us3.assetplanner.com/service_request?ID=086098" xr:uid="{7961E0A2-F6B0-4CE9-BE54-8FE1A9C98EA1}"/>
    <hyperlink ref="K8" r:id="rId9" display="https://us3.assetplanner.com/service_request?ID=097638" xr:uid="{BF736FE8-1F4A-4DC0-8952-6D817A5CB001}"/>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3"/>
  <sheetViews>
    <sheetView zoomScale="70" zoomScaleNormal="70" workbookViewId="0">
      <pane xSplit="2" ySplit="3" topLeftCell="C4" activePane="bottomRight" state="frozen"/>
      <selection pane="bottomRight" activeCell="J7" sqref="J7"/>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77"/>
  </cols>
  <sheetData>
    <row r="1" spans="1:12" ht="19.5" customHeight="1">
      <c r="A1" s="128" t="str" cm="1">
        <f t="array" ref="A1">portfolio</f>
        <v>Luminace</v>
      </c>
      <c r="B1" s="128"/>
      <c r="C1" s="128"/>
      <c r="D1" s="129" t="s">
        <v>59</v>
      </c>
      <c r="E1" s="129"/>
      <c r="F1" s="129"/>
      <c r="G1" s="127" t="s">
        <v>60</v>
      </c>
      <c r="H1" s="127"/>
      <c r="I1" s="127"/>
      <c r="J1" s="4"/>
      <c r="K1" s="4"/>
    </row>
    <row r="2" spans="1:12" ht="19.5" customHeight="1">
      <c r="A2" s="130" t="s">
        <v>2</v>
      </c>
      <c r="B2" s="130"/>
      <c r="C2" s="5">
        <f>SUM(C4:C81)</f>
        <v>854032.015299152</v>
      </c>
      <c r="D2" s="5">
        <f>SUM(D4:D81)</f>
        <v>717297.95000000007</v>
      </c>
      <c r="E2" s="5">
        <f>C2-D2</f>
        <v>136734.06529915193</v>
      </c>
      <c r="F2" s="6">
        <f>IFERROR(E2/D2, 0)</f>
        <v>0.19062380604761511</v>
      </c>
      <c r="G2" s="5">
        <f>SUM(G4:G81)</f>
        <v>2800077.9899999998</v>
      </c>
      <c r="H2" s="7">
        <f>C2-G2</f>
        <v>-1946045.9747008476</v>
      </c>
      <c r="I2" s="6">
        <f>IFERROR(H2/G2, 0)</f>
        <v>-0.69499706138572515</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2" t="s">
        <v>3</v>
      </c>
      <c r="B3" s="12" t="s">
        <v>4</v>
      </c>
      <c r="C3" s="19" t="s">
        <v>5</v>
      </c>
      <c r="D3" s="20" t="s">
        <v>6</v>
      </c>
      <c r="E3" s="20" t="s">
        <v>7</v>
      </c>
      <c r="F3" s="21" t="s">
        <v>8</v>
      </c>
      <c r="G3" s="22" t="s">
        <v>9</v>
      </c>
      <c r="H3" s="23" t="s">
        <v>7</v>
      </c>
      <c r="I3" s="24" t="s">
        <v>8</v>
      </c>
      <c r="J3" s="10" t="s">
        <v>20</v>
      </c>
      <c r="K3" s="10" t="s">
        <v>21</v>
      </c>
    </row>
    <row r="4" spans="1:12" ht="15.6">
      <c r="A4" s="39" t="str" cm="1">
        <f t="array" ref="A4:A18">Sites[Site]</f>
        <v xml:space="preserve">Raymond Ed Re-Development - DC-23-0001 </v>
      </c>
      <c r="B4" s="40" t="str" cm="1">
        <f t="array" ref="B4:B18">Sites[State]</f>
        <v>DC</v>
      </c>
      <c r="C4" s="28">
        <v>54203.1</v>
      </c>
      <c r="D4" s="29">
        <v>57596.35</v>
      </c>
      <c r="E4" s="29">
        <f>IF(AND(ISNUMBER(C4),ISNUMBER(D4)), C4-D4, "")</f>
        <v>-3393.25</v>
      </c>
      <c r="F4" s="30">
        <f>IFERROR(E4/D4, "")</f>
        <v>-5.8914323563906391E-2</v>
      </c>
      <c r="G4" s="31">
        <v>56794.59</v>
      </c>
      <c r="H4" s="31">
        <f>IF(AND(ISNUMBER(C4),ISNUMBER(G4)), C4-G4, "")</f>
        <v>-2591.489999999998</v>
      </c>
      <c r="I4" s="32">
        <f>IFERROR(H4/G4, "")</f>
        <v>-4.5629169961434672E-2</v>
      </c>
      <c r="J4" s="49"/>
      <c r="K4" s="49"/>
    </row>
    <row r="5" spans="1:12" ht="43.15">
      <c r="A5" s="41" t="str">
        <v>Berkeley - NJ-22-C893 Berkeley I</v>
      </c>
      <c r="B5" s="42" t="str">
        <v>NJ</v>
      </c>
      <c r="C5" s="35">
        <v>0</v>
      </c>
      <c r="D5" s="36">
        <v>0</v>
      </c>
      <c r="E5" s="36">
        <f t="shared" ref="E5:E10" si="0">IF(AND(ISNUMBER(C5),ISNUMBER(D5)), C5-D5, "")</f>
        <v>0</v>
      </c>
      <c r="F5" s="37" t="str">
        <f>IFERROR(E5/D5, "")</f>
        <v/>
      </c>
      <c r="G5" s="56">
        <v>676075</v>
      </c>
      <c r="H5" s="38">
        <f t="shared" ref="H5:H10" si="1">IF(AND(ISNUMBER(C5),ISNUMBER(G5)), C5-G5, "")</f>
        <v>-676075</v>
      </c>
      <c r="I5" s="37">
        <f t="shared" ref="I5:I10" si="2">IFERROR(H5/G5, "")</f>
        <v>-1</v>
      </c>
      <c r="J5" s="50" t="s">
        <v>49</v>
      </c>
      <c r="K5" s="74" t="s">
        <v>61</v>
      </c>
    </row>
    <row r="6" spans="1:12" ht="44.25" customHeight="1">
      <c r="A6" s="43" t="str">
        <v>Berkeley - NJ-22-C894 Berkeley II</v>
      </c>
      <c r="B6" s="40" t="str">
        <v>NJ</v>
      </c>
      <c r="C6" s="28">
        <v>0</v>
      </c>
      <c r="D6" s="29">
        <v>0</v>
      </c>
      <c r="E6" s="29">
        <f t="shared" si="0"/>
        <v>0</v>
      </c>
      <c r="F6" s="30" t="str">
        <f t="shared" ref="F6:F10" si="3">IFERROR(E6/D6, "")</f>
        <v/>
      </c>
      <c r="G6" s="31">
        <v>676850</v>
      </c>
      <c r="H6" s="31">
        <f t="shared" si="1"/>
        <v>-676850</v>
      </c>
      <c r="I6" s="32">
        <f t="shared" si="2"/>
        <v>-1</v>
      </c>
      <c r="J6" s="49" t="s">
        <v>49</v>
      </c>
      <c r="K6" s="62" t="s">
        <v>62</v>
      </c>
    </row>
    <row r="7" spans="1:12" ht="114" customHeight="1">
      <c r="A7" s="41" t="str">
        <v xml:space="preserve"> BEMS Landfill East</v>
      </c>
      <c r="B7" s="42" t="str">
        <v>NJ</v>
      </c>
      <c r="C7" s="35">
        <v>0</v>
      </c>
      <c r="D7" s="36">
        <v>12059.7</v>
      </c>
      <c r="E7" s="36">
        <f t="shared" si="0"/>
        <v>-12059.7</v>
      </c>
      <c r="F7" s="37">
        <f t="shared" si="3"/>
        <v>-1</v>
      </c>
      <c r="G7" s="38">
        <v>651557.4</v>
      </c>
      <c r="H7" s="38">
        <f t="shared" si="1"/>
        <v>-651557.4</v>
      </c>
      <c r="I7" s="37">
        <f t="shared" si="2"/>
        <v>-1</v>
      </c>
      <c r="J7" s="59" t="s">
        <v>54</v>
      </c>
      <c r="K7" s="74" t="s">
        <v>63</v>
      </c>
      <c r="L7" s="78" t="s">
        <v>56</v>
      </c>
    </row>
    <row r="8" spans="1:12" ht="15.6">
      <c r="A8" s="43" t="str">
        <v>Southampton - BEMS West NJ-22-C898</v>
      </c>
      <c r="B8" s="40" t="str">
        <v>NJ</v>
      </c>
      <c r="C8" s="28">
        <v>635861</v>
      </c>
      <c r="D8" s="29">
        <v>647641.9</v>
      </c>
      <c r="E8" s="29">
        <f t="shared" si="0"/>
        <v>-11780.900000000023</v>
      </c>
      <c r="F8" s="30">
        <f t="shared" si="3"/>
        <v>-1.8190453705975513E-2</v>
      </c>
      <c r="G8" s="31">
        <v>658293</v>
      </c>
      <c r="H8" s="31">
        <f t="shared" si="1"/>
        <v>-22432</v>
      </c>
      <c r="I8" s="32">
        <f t="shared" si="2"/>
        <v>-3.4076011745529725E-2</v>
      </c>
      <c r="J8" s="49"/>
      <c r="K8" s="49"/>
    </row>
    <row r="9" spans="1:12" ht="27.75" customHeight="1">
      <c r="A9" s="41" t="str">
        <v>Lakewood Twp - Emergency Services Dev  - NJ-23-0008</v>
      </c>
      <c r="B9" s="42" t="str">
        <v>NJ</v>
      </c>
      <c r="C9" s="35">
        <v>9269.4465491520095</v>
      </c>
      <c r="D9" s="36" t="s">
        <v>22</v>
      </c>
      <c r="E9" s="36" t="str">
        <f t="shared" si="0"/>
        <v/>
      </c>
      <c r="F9" s="37" t="str">
        <f t="shared" si="3"/>
        <v/>
      </c>
      <c r="G9" s="71" t="s">
        <v>22</v>
      </c>
      <c r="H9" s="38" t="str">
        <f t="shared" si="1"/>
        <v/>
      </c>
      <c r="I9" s="37" t="str">
        <f t="shared" si="2"/>
        <v/>
      </c>
      <c r="J9" s="50"/>
      <c r="K9" s="51"/>
    </row>
    <row r="10" spans="1:12" ht="15.6">
      <c r="A10" s="43" t="str">
        <v>Lakewood Township - Public Works</v>
      </c>
      <c r="B10" s="40" t="str">
        <v>NJ</v>
      </c>
      <c r="C10" s="28">
        <v>154698.46875</v>
      </c>
      <c r="D10" s="29" t="s">
        <v>22</v>
      </c>
      <c r="E10" s="29" t="str">
        <f t="shared" si="0"/>
        <v/>
      </c>
      <c r="F10" s="30" t="str">
        <f t="shared" si="3"/>
        <v/>
      </c>
      <c r="G10" s="31">
        <v>80508</v>
      </c>
      <c r="H10" s="31">
        <f t="shared" si="1"/>
        <v>74190.46875</v>
      </c>
      <c r="I10" s="32">
        <f t="shared" si="2"/>
        <v>0.92152914927709051</v>
      </c>
      <c r="J10" s="49" t="s">
        <v>58</v>
      </c>
      <c r="K10" s="49"/>
    </row>
    <row r="11" spans="1:12" ht="14.45">
      <c r="A11" s="8" t="str">
        <v>Canby - Dover - OR-23-C003</v>
      </c>
      <c r="B11" s="13" t="str">
        <v>OR</v>
      </c>
      <c r="C11" s="8"/>
      <c r="D11" s="8"/>
      <c r="E11" s="8"/>
      <c r="F11" s="8"/>
      <c r="G11" s="8"/>
      <c r="H11" s="8"/>
      <c r="I11" s="8"/>
      <c r="J11" s="8"/>
      <c r="K11" s="8"/>
    </row>
    <row r="12" spans="1:12" ht="14.45">
      <c r="A12" s="8" t="str">
        <v xml:space="preserve"> Estacada - Clayfield - OR-23-C001</v>
      </c>
      <c r="B12" s="13" t="str">
        <v>OR</v>
      </c>
      <c r="C12" s="8"/>
      <c r="D12" s="8"/>
      <c r="E12" s="8"/>
      <c r="F12" s="8"/>
      <c r="G12" s="8"/>
      <c r="H12" s="8"/>
      <c r="I12" s="8"/>
      <c r="J12" s="8"/>
      <c r="K12" s="8"/>
    </row>
    <row r="13" spans="1:12" ht="14.45">
      <c r="A13" s="8" t="str">
        <v>Willamina - Waterford - OR-23-C006</v>
      </c>
      <c r="B13" s="13" t="str">
        <v>OR</v>
      </c>
      <c r="C13" s="8"/>
      <c r="D13" s="8"/>
      <c r="E13" s="8"/>
      <c r="F13" s="8"/>
      <c r="G13" s="8"/>
      <c r="H13" s="8"/>
      <c r="I13" s="8"/>
      <c r="J13" s="8"/>
      <c r="K13" s="8"/>
    </row>
    <row r="14" spans="1:12" ht="14.45">
      <c r="A14" s="8" t="str">
        <v>OR-23-C005  Solops  SPI - Belvedere Solar</v>
      </c>
      <c r="B14" s="13" t="str">
        <v>OR</v>
      </c>
      <c r="C14" s="8"/>
      <c r="D14" s="8"/>
      <c r="E14" s="8"/>
      <c r="F14" s="9"/>
      <c r="G14" s="8"/>
      <c r="H14" s="8"/>
      <c r="I14" s="9"/>
      <c r="J14" s="8"/>
      <c r="K14" s="8"/>
    </row>
    <row r="15" spans="1:12" ht="14.45">
      <c r="A15" s="8" t="str">
        <v>OR-23-C002  SPI - Cork Solar</v>
      </c>
      <c r="B15" s="13" t="str">
        <v>OR</v>
      </c>
      <c r="C15" s="8"/>
      <c r="D15" s="8"/>
      <c r="E15" s="8"/>
      <c r="F15" s="9"/>
      <c r="G15" s="8"/>
      <c r="H15" s="8"/>
      <c r="I15" s="9"/>
      <c r="J15" s="8"/>
      <c r="K15" s="8"/>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20" priority="5" stopIfTrue="1" operator="lessThanOrEqual">
      <formula>-0.1</formula>
    </cfRule>
    <cfRule type="expression" dxfId="19" priority="6">
      <formula>AND(ISNUMBER(F2), F2&gt;=0.1)</formula>
    </cfRule>
  </conditionalFormatting>
  <hyperlinks>
    <hyperlink ref="K5" r:id="rId1" display="https://us3.assetplanner.com/service_request?ID=098409" xr:uid="{A1E36D3C-E845-4456-A9A9-75DF005D68B8}"/>
    <hyperlink ref="K6" r:id="rId2" display="https://us3.assetplanner.com/service_request?ID=098411" xr:uid="{20766415-39D3-4CAA-8E66-4271C0E5E737}"/>
    <hyperlink ref="K7" r:id="rId3" display="https://us3.assetplanner.com/service_request?ID=098408" xr:uid="{22C61412-9930-42CA-BBB2-75B5FC838B52}"/>
    <hyperlink ref="L7" r:id="rId4" display="https://us3.assetplanner.com/service_request?ID=086098" xr:uid="{CBD16C8F-83C2-48C7-9337-47F02C7A575A}"/>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23"/>
  <sheetViews>
    <sheetView zoomScale="90" zoomScaleNormal="90" workbookViewId="0">
      <pane xSplit="2" ySplit="3" topLeftCell="C4" activePane="bottomRight" state="frozen"/>
      <selection pane="bottomRight" activeCell="J5" sqref="J5"/>
      <selection pane="bottomLeft" activeCell="C19" sqref="C19"/>
      <selection pane="topRight" activeCell="C19" sqref="C19"/>
    </sheetView>
  </sheetViews>
  <sheetFormatPr defaultRowHeight="13.9"/>
  <cols>
    <col min="1" max="1" width="53.28515625" bestFit="1" customWidth="1"/>
    <col min="2" max="2" width="12.85546875" style="14" customWidth="1"/>
    <col min="3" max="3" width="11.7109375" customWidth="1"/>
    <col min="4" max="5" width="13.28515625" customWidth="1"/>
    <col min="6" max="6" width="13.28515625" style="1" customWidth="1"/>
    <col min="7" max="8" width="13.28515625" customWidth="1"/>
    <col min="9" max="9" width="13.28515625" style="1" customWidth="1"/>
    <col min="10" max="10" width="74.42578125" customWidth="1"/>
    <col min="11" max="11" width="20.5703125" bestFit="1" customWidth="1"/>
  </cols>
  <sheetData>
    <row r="1" spans="1:12" ht="19.5" customHeight="1">
      <c r="A1" s="128" t="str" cm="1">
        <f t="array" ref="A1">portfolio</f>
        <v>Luminace</v>
      </c>
      <c r="B1" s="128"/>
      <c r="C1" s="128"/>
      <c r="D1" s="129" t="s">
        <v>64</v>
      </c>
      <c r="E1" s="129"/>
      <c r="F1" s="129"/>
      <c r="G1" s="127" t="s">
        <v>65</v>
      </c>
      <c r="H1" s="127"/>
      <c r="I1" s="127"/>
      <c r="J1" s="4"/>
      <c r="K1" s="4"/>
    </row>
    <row r="2" spans="1:12" ht="19.5" customHeight="1">
      <c r="A2" s="130" t="s">
        <v>2</v>
      </c>
      <c r="B2" s="130"/>
      <c r="C2" s="5">
        <f>SUM(C4:C81)</f>
        <v>3877714.6429936686</v>
      </c>
      <c r="D2" s="5">
        <f>SUM(D4:D81)</f>
        <v>3723083.84</v>
      </c>
      <c r="E2" s="5">
        <f>C2-D2</f>
        <v>154630.80299366871</v>
      </c>
      <c r="F2" s="6">
        <f>IFERROR(E2/D2, 0)</f>
        <v>4.1532989757670544E-2</v>
      </c>
      <c r="G2" s="5">
        <f>SUM(G4:G81)</f>
        <v>5379743.7999999998</v>
      </c>
      <c r="H2" s="7">
        <f>C2-G2</f>
        <v>-1502029.1570063313</v>
      </c>
      <c r="I2" s="6">
        <f>IFERROR(H2/G2, 0)</f>
        <v>-0.27920087142557443</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2" t="s">
        <v>3</v>
      </c>
      <c r="B3" s="12" t="s">
        <v>4</v>
      </c>
      <c r="C3" s="19" t="s">
        <v>5</v>
      </c>
      <c r="D3" s="20" t="s">
        <v>6</v>
      </c>
      <c r="E3" s="20" t="s">
        <v>7</v>
      </c>
      <c r="F3" s="21" t="s">
        <v>8</v>
      </c>
      <c r="G3" s="22" t="s">
        <v>9</v>
      </c>
      <c r="H3" s="23" t="s">
        <v>7</v>
      </c>
      <c r="I3" s="24" t="s">
        <v>8</v>
      </c>
      <c r="J3" s="10" t="s">
        <v>20</v>
      </c>
      <c r="K3" s="10" t="s">
        <v>21</v>
      </c>
    </row>
    <row r="4" spans="1:12" ht="15.6">
      <c r="A4" s="39" t="str" cm="1">
        <f t="array" ref="A4:A18">Sites[Site]</f>
        <v xml:space="preserve">Raymond Ed Re-Development - DC-23-0001 </v>
      </c>
      <c r="B4" s="40" t="str" cm="1">
        <f t="array" ref="B4:B18">Sites[State]</f>
        <v>DC</v>
      </c>
      <c r="C4" s="28">
        <v>54648.5</v>
      </c>
      <c r="D4" s="29">
        <v>59815.54</v>
      </c>
      <c r="E4" s="29">
        <f>IF(AND(ISNUMBER(C4),ISNUMBER(D4)), C4-D4, "")</f>
        <v>-5167.0400000000009</v>
      </c>
      <c r="F4" s="30">
        <f>IFERROR(E4/D4, "")</f>
        <v>-8.638290317198509E-2</v>
      </c>
      <c r="G4" s="31">
        <v>63486.3</v>
      </c>
      <c r="H4" s="31">
        <f>IF(AND(ISNUMBER(C4),ISNUMBER(G4)), C4-G4, "")</f>
        <v>-8837.8000000000029</v>
      </c>
      <c r="I4" s="32">
        <f>IFERROR(H4/G4, "")</f>
        <v>-0.1392079866049841</v>
      </c>
      <c r="J4" s="49" t="s">
        <v>66</v>
      </c>
      <c r="K4" s="49"/>
    </row>
    <row r="5" spans="1:12" ht="48.75" customHeight="1">
      <c r="A5" s="41" t="str">
        <v>Berkeley - NJ-22-C893 Berkeley I</v>
      </c>
      <c r="B5" s="42" t="str">
        <v>NJ</v>
      </c>
      <c r="C5" s="35">
        <v>0</v>
      </c>
      <c r="D5" s="36">
        <v>0</v>
      </c>
      <c r="E5" s="36">
        <f>IF(AND(ISNUMBER(C5),ISNUMBER(D5)), C5-D5, "")</f>
        <v>0</v>
      </c>
      <c r="F5" s="37" t="str">
        <f>IFERROR(E5/D5, "")</f>
        <v/>
      </c>
      <c r="G5" s="38">
        <v>710210</v>
      </c>
      <c r="H5" s="38">
        <f t="shared" ref="H5:H8" si="0">IF(AND(ISNUMBER(C5),ISNUMBER(G5)), C5-G5, "")</f>
        <v>-710210</v>
      </c>
      <c r="I5" s="37">
        <f t="shared" ref="I5:I8" si="1">IFERROR(H5/G5, "")</f>
        <v>-1</v>
      </c>
      <c r="J5" s="79" t="s">
        <v>49</v>
      </c>
      <c r="K5" s="74" t="s">
        <v>67</v>
      </c>
    </row>
    <row r="6" spans="1:12" ht="40.5" customHeight="1">
      <c r="A6" s="43" t="str">
        <v>Berkeley - NJ-22-C894 Berkeley II</v>
      </c>
      <c r="B6" s="40" t="str">
        <v>NJ</v>
      </c>
      <c r="C6" s="28">
        <v>701245.27361767006</v>
      </c>
      <c r="D6" s="29">
        <v>191085.9</v>
      </c>
      <c r="E6" s="29">
        <f t="shared" ref="E6:E8" si="2">IF(AND(ISNUMBER(C6),ISNUMBER(D6)), C6-D6, "")</f>
        <v>510159.37361767003</v>
      </c>
      <c r="F6" s="30">
        <f t="shared" ref="F6:F8" si="3">IFERROR(E6/D6, "")</f>
        <v>2.6697907779572958</v>
      </c>
      <c r="G6" s="31">
        <v>710606</v>
      </c>
      <c r="H6" s="31">
        <f t="shared" si="0"/>
        <v>-9360.7263823299436</v>
      </c>
      <c r="I6" s="32">
        <f t="shared" si="1"/>
        <v>-1.3172878335294022E-2</v>
      </c>
      <c r="J6" s="108" t="s">
        <v>68</v>
      </c>
      <c r="K6" s="62" t="s">
        <v>69</v>
      </c>
    </row>
    <row r="7" spans="1:12" ht="86.45">
      <c r="A7" s="41" t="str">
        <v xml:space="preserve"> BEMS Landfill East</v>
      </c>
      <c r="B7" s="42" t="str">
        <v>NJ</v>
      </c>
      <c r="C7" s="35">
        <v>0</v>
      </c>
      <c r="D7" s="36">
        <v>586005</v>
      </c>
      <c r="E7" s="36">
        <f t="shared" si="2"/>
        <v>-586005</v>
      </c>
      <c r="F7" s="37">
        <f t="shared" si="3"/>
        <v>-1</v>
      </c>
      <c r="G7" s="38">
        <v>695675.5</v>
      </c>
      <c r="H7" s="38">
        <f t="shared" si="0"/>
        <v>-695675.5</v>
      </c>
      <c r="I7" s="37">
        <f t="shared" si="1"/>
        <v>-1</v>
      </c>
      <c r="J7" s="50" t="s">
        <v>70</v>
      </c>
      <c r="K7" s="68" t="s">
        <v>55</v>
      </c>
      <c r="L7" s="73" t="s">
        <v>56</v>
      </c>
    </row>
    <row r="8" spans="1:12" ht="15.6">
      <c r="A8" s="43" t="str">
        <v>Southampton - BEMS West NJ-22-C898</v>
      </c>
      <c r="B8" s="40" t="str">
        <v>NJ</v>
      </c>
      <c r="C8" s="28">
        <v>628239</v>
      </c>
      <c r="D8" s="29">
        <v>645088.6</v>
      </c>
      <c r="E8" s="29">
        <f t="shared" si="2"/>
        <v>-16849.599999999977</v>
      </c>
      <c r="F8" s="30">
        <f t="shared" si="3"/>
        <v>-2.6119822920448413E-2</v>
      </c>
      <c r="G8" s="31">
        <v>704768</v>
      </c>
      <c r="H8" s="31">
        <f t="shared" si="0"/>
        <v>-76529</v>
      </c>
      <c r="I8" s="32">
        <f t="shared" si="1"/>
        <v>-0.10858750681075191</v>
      </c>
      <c r="J8" s="49" t="s">
        <v>66</v>
      </c>
      <c r="K8" s="49"/>
    </row>
    <row r="9" spans="1:12" ht="15.6">
      <c r="A9" s="41" t="str">
        <v>Lakewood Twp - Emergency Services Dev  - NJ-23-0008</v>
      </c>
      <c r="B9" s="42" t="str">
        <v>NJ</v>
      </c>
      <c r="C9" s="35">
        <v>9749.9440759999998</v>
      </c>
      <c r="D9" s="36" t="s">
        <v>22</v>
      </c>
      <c r="E9" s="36" t="str">
        <f t="shared" ref="E9:E15" si="4">IF(AND(ISNUMBER(C9),ISNUMBER(D9)), C9-D9, "")</f>
        <v/>
      </c>
      <c r="F9" s="81" t="str">
        <f t="shared" ref="F9:F15" si="5">IFERROR(E9/D9, "")</f>
        <v/>
      </c>
      <c r="G9" s="82" t="s">
        <v>22</v>
      </c>
      <c r="H9" s="38" t="str">
        <f t="shared" ref="H9:H15" si="6">IF(AND(ISNUMBER(C9),ISNUMBER(G9)), C9-G9, "")</f>
        <v/>
      </c>
      <c r="I9" s="37" t="str">
        <f t="shared" ref="I9:I15" si="7">IFERROR(H9/G9, "")</f>
        <v/>
      </c>
      <c r="J9" s="50"/>
      <c r="K9" s="51"/>
    </row>
    <row r="10" spans="1:12" ht="15.6">
      <c r="A10" s="43" t="str">
        <v>Lakewood Township - Public Works</v>
      </c>
      <c r="B10" s="40" t="str">
        <v>NJ</v>
      </c>
      <c r="C10" s="28">
        <v>157465.6563</v>
      </c>
      <c r="D10" s="29" t="s">
        <v>22</v>
      </c>
      <c r="E10" s="29" t="str">
        <f t="shared" si="4"/>
        <v/>
      </c>
      <c r="F10" s="30" t="str">
        <f t="shared" si="5"/>
        <v/>
      </c>
      <c r="G10" s="31">
        <v>92403</v>
      </c>
      <c r="H10" s="31">
        <f t="shared" si="6"/>
        <v>65062.656300000002</v>
      </c>
      <c r="I10" s="32">
        <f t="shared" si="7"/>
        <v>0.7041184409597091</v>
      </c>
      <c r="J10" s="49" t="s">
        <v>58</v>
      </c>
      <c r="K10" s="49"/>
    </row>
    <row r="11" spans="1:12" ht="43.15">
      <c r="A11" s="41" t="str">
        <v>Canby - Dover - OR-23-C003</v>
      </c>
      <c r="B11" s="42" t="str">
        <v>OR</v>
      </c>
      <c r="C11" s="35">
        <v>499021.26899999997</v>
      </c>
      <c r="D11" s="36">
        <v>471441.3</v>
      </c>
      <c r="E11" s="36">
        <f t="shared" si="4"/>
        <v>27579.968999999983</v>
      </c>
      <c r="F11" s="81">
        <f t="shared" si="5"/>
        <v>5.8501385008059292E-2</v>
      </c>
      <c r="G11" s="38">
        <v>494897</v>
      </c>
      <c r="H11" s="38">
        <f t="shared" si="6"/>
        <v>4124.2689999999711</v>
      </c>
      <c r="I11" s="37">
        <f t="shared" si="7"/>
        <v>8.3335906259281653E-3</v>
      </c>
      <c r="J11" s="50" t="s">
        <v>71</v>
      </c>
      <c r="K11" s="74" t="s">
        <v>72</v>
      </c>
      <c r="L11" s="73" t="s">
        <v>73</v>
      </c>
    </row>
    <row r="12" spans="1:12" ht="28.9">
      <c r="A12" s="43" t="str">
        <v xml:space="preserve"> Estacada - Clayfield - OR-23-C001</v>
      </c>
      <c r="B12" s="40" t="str">
        <v>OR</v>
      </c>
      <c r="C12" s="28">
        <v>554193.00399999996</v>
      </c>
      <c r="D12" s="29">
        <v>515253.5</v>
      </c>
      <c r="E12" s="29">
        <f t="shared" si="4"/>
        <v>38939.503999999957</v>
      </c>
      <c r="F12" s="30">
        <f t="shared" si="5"/>
        <v>7.5573487613378579E-2</v>
      </c>
      <c r="G12" s="31">
        <v>532245</v>
      </c>
      <c r="H12" s="31">
        <f t="shared" si="6"/>
        <v>21948.003999999957</v>
      </c>
      <c r="I12" s="32">
        <f t="shared" si="7"/>
        <v>4.1236656051254511E-2</v>
      </c>
      <c r="J12" s="49" t="s">
        <v>74</v>
      </c>
      <c r="K12" s="62" t="s">
        <v>75</v>
      </c>
      <c r="L12" s="73" t="s">
        <v>76</v>
      </c>
    </row>
    <row r="13" spans="1:12" ht="45" customHeight="1">
      <c r="A13" s="41" t="str">
        <v>Willamina - Waterford - OR-23-C006</v>
      </c>
      <c r="B13" s="42" t="str">
        <v>OR</v>
      </c>
      <c r="C13" s="35">
        <v>345311.5</v>
      </c>
      <c r="D13" s="36">
        <v>387541.9</v>
      </c>
      <c r="E13" s="36">
        <f t="shared" si="4"/>
        <v>-42230.400000000023</v>
      </c>
      <c r="F13" s="37">
        <f t="shared" si="5"/>
        <v>-0.10896989461010544</v>
      </c>
      <c r="G13" s="38">
        <v>464151</v>
      </c>
      <c r="H13" s="38">
        <f t="shared" si="6"/>
        <v>-118839.5</v>
      </c>
      <c r="I13" s="37">
        <f t="shared" si="7"/>
        <v>-0.25603628991427357</v>
      </c>
      <c r="J13" s="80" t="s">
        <v>77</v>
      </c>
      <c r="K13" s="68" t="s">
        <v>78</v>
      </c>
      <c r="L13" s="73" t="s">
        <v>79</v>
      </c>
    </row>
    <row r="14" spans="1:12" ht="15.6">
      <c r="A14" s="43" t="str">
        <v>OR-23-C005  Solops  SPI - Belvedere Solar</v>
      </c>
      <c r="B14" s="40" t="str">
        <v>OR</v>
      </c>
      <c r="C14" s="28">
        <v>641330.01399999904</v>
      </c>
      <c r="D14" s="29">
        <v>599695.6</v>
      </c>
      <c r="E14" s="29">
        <f t="shared" si="4"/>
        <v>41634.413999999058</v>
      </c>
      <c r="F14" s="30">
        <f t="shared" si="5"/>
        <v>6.9425912079393373E-2</v>
      </c>
      <c r="G14" s="31">
        <v>653170</v>
      </c>
      <c r="H14" s="31">
        <f t="shared" si="6"/>
        <v>-11839.986000000965</v>
      </c>
      <c r="I14" s="32">
        <f t="shared" si="7"/>
        <v>-1.8126959290844596E-2</v>
      </c>
      <c r="J14" s="49" t="s">
        <v>80</v>
      </c>
      <c r="K14" s="62" t="s">
        <v>81</v>
      </c>
    </row>
    <row r="15" spans="1:12" ht="15.6">
      <c r="A15" s="41" t="str">
        <v>OR-23-C002  SPI - Cork Solar</v>
      </c>
      <c r="B15" s="42" t="str">
        <v>OR</v>
      </c>
      <c r="C15" s="35">
        <v>286510.48200000002</v>
      </c>
      <c r="D15" s="36">
        <v>267156.5</v>
      </c>
      <c r="E15" s="36">
        <f t="shared" si="4"/>
        <v>19353.982000000018</v>
      </c>
      <c r="F15" s="81">
        <f t="shared" si="5"/>
        <v>7.244436126390344E-2</v>
      </c>
      <c r="G15" s="38">
        <v>258132</v>
      </c>
      <c r="H15" s="38">
        <f t="shared" si="6"/>
        <v>28378.482000000018</v>
      </c>
      <c r="I15" s="37">
        <f t="shared" si="7"/>
        <v>0.10993786899725728</v>
      </c>
      <c r="J15" s="50"/>
      <c r="K15" s="51"/>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8" priority="5" stopIfTrue="1" operator="lessThanOrEqual">
      <formula>-0.1</formula>
    </cfRule>
    <cfRule type="expression" dxfId="17" priority="6">
      <formula>AND(ISNUMBER(F2), F2&gt;=0.1)</formula>
    </cfRule>
  </conditionalFormatting>
  <hyperlinks>
    <hyperlink ref="K5" r:id="rId1" display="https://us3.assetplanner.com/service_request?ID=098409" xr:uid="{703A8C6A-22B0-4955-89A8-1A19D9BEA53A}"/>
    <hyperlink ref="K6" r:id="rId2" display="https://us3.assetplanner.com/service_request?ID=098411" xr:uid="{99CF9E46-822C-4ACC-9219-CC6693827F54}"/>
    <hyperlink ref="K7" r:id="rId3" display="https://us3.assetplanner.com/service_request?ID=098408" xr:uid="{BF05BFAE-56A6-4B9A-BF7B-A9C0DFFD0C73}"/>
    <hyperlink ref="L7" r:id="rId4" display="https://us3.assetplanner.com/service_request?ID=086098" xr:uid="{FE67F8AE-22DE-4192-8EF2-BB1CC72B1F8B}"/>
    <hyperlink ref="K11" r:id="rId5" display="https://us3.assetplanner.com/service_request?ID=101115" xr:uid="{9375ADD5-D3DB-426D-8E7B-482B37E8FA75}"/>
    <hyperlink ref="L11" r:id="rId6" display="https://us3.assetplanner.com/service_request?ID=101155" xr:uid="{51BF88AB-0CF7-4244-A748-575939DD06F0}"/>
    <hyperlink ref="K12" r:id="rId7" display="https://us3.assetplanner.com/service_request?ID=101126" xr:uid="{41F99F64-EAFA-40FF-9FA7-728F3134A81E}"/>
    <hyperlink ref="L12" r:id="rId8" display="https://us3.assetplanner.com/service_request?ID=101287" xr:uid="{8017FC2C-BE09-4350-80C7-CECB1B4B45BB}"/>
    <hyperlink ref="K13" r:id="rId9" display="https://us3.assetplanner.com/service_request?ID=101124" xr:uid="{5DF7D83F-7669-4469-8C72-D1DB2A5EEA59}"/>
    <hyperlink ref="L13" r:id="rId10" display="https://us3.assetplanner.com/service_request?ID=101894" xr:uid="{39EAC42B-1334-44BA-AD91-AAEE5ADF03E6}"/>
    <hyperlink ref="K14" r:id="rId11" display="https://us3.assetplanner.com/service_request?ID=101566" xr:uid="{F63617EF-D8A8-489D-813C-CBE4A3B86DFA}"/>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3"/>
  <sheetViews>
    <sheetView zoomScale="80" zoomScaleNormal="80" workbookViewId="0">
      <pane xSplit="2" ySplit="3" topLeftCell="C10" activePane="bottomRight" state="frozen"/>
      <selection pane="bottomRight" activeCell="K10" sqref="K10"/>
      <selection pane="bottomLeft" activeCell="C19" sqref="C19"/>
      <selection pane="topRight" activeCell="C19" sqref="C19"/>
    </sheetView>
  </sheetViews>
  <sheetFormatPr defaultRowHeight="13.9"/>
  <cols>
    <col min="1" max="1" width="56.5703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8" t="str" cm="1">
        <f t="array" ref="A1">portfolio</f>
        <v>Luminace</v>
      </c>
      <c r="B1" s="128"/>
      <c r="C1" s="128"/>
      <c r="D1" s="129" t="s">
        <v>82</v>
      </c>
      <c r="E1" s="129"/>
      <c r="F1" s="129"/>
      <c r="G1" s="127" t="s">
        <v>83</v>
      </c>
      <c r="H1" s="127"/>
      <c r="I1" s="127"/>
      <c r="J1" s="4"/>
      <c r="K1" s="4"/>
    </row>
    <row r="2" spans="1:11" ht="19.5" customHeight="1">
      <c r="A2" s="130" t="s">
        <v>2</v>
      </c>
      <c r="B2" s="130"/>
      <c r="C2" s="5">
        <f>SUM(C4:C81)</f>
        <v>3771801.4699999993</v>
      </c>
      <c r="D2" s="5">
        <f>SUM(D4:D81)</f>
        <v>4599271.2429999998</v>
      </c>
      <c r="E2" s="5">
        <f>C2-D2</f>
        <v>-827469.77300000051</v>
      </c>
      <c r="F2" s="6">
        <f>IFERROR(E2/D2, 0)</f>
        <v>-0.17991323609352095</v>
      </c>
      <c r="G2" s="5">
        <f>SUM(G4:G81)</f>
        <v>5607198.9700000007</v>
      </c>
      <c r="H2" s="7">
        <f>C2-G2</f>
        <v>-1835397.5000000014</v>
      </c>
      <c r="I2" s="6">
        <f>IFERROR(H2/G2, 0)</f>
        <v>-0.32732876251045556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20</v>
      </c>
      <c r="K3" s="10" t="s">
        <v>21</v>
      </c>
    </row>
    <row r="4" spans="1:11" ht="28.9">
      <c r="A4" s="39" t="str" cm="1">
        <f t="array" ref="A4:A18">Sites[Site]</f>
        <v xml:space="preserve">Raymond Ed Re-Development - DC-23-0001 </v>
      </c>
      <c r="B4" s="40" t="str" cm="1">
        <f t="array" ref="B4:B18">Sites[State]</f>
        <v>DC</v>
      </c>
      <c r="C4" s="28">
        <v>59494</v>
      </c>
      <c r="D4" s="29">
        <v>64351.89</v>
      </c>
      <c r="E4" s="29">
        <f>IF(AND(ISNUMBER(C4),ISNUMBER(D4)), C4-D4, "")</f>
        <v>-4857.8899999999994</v>
      </c>
      <c r="F4" s="30">
        <f>IFERROR(E4/D4, "")</f>
        <v>-7.5489468918473093E-2</v>
      </c>
      <c r="G4" s="31">
        <v>66815.41</v>
      </c>
      <c r="H4" s="31">
        <f>IF(AND(ISNUMBER(C4),ISNUMBER(G4)), C4-G4, "")</f>
        <v>-7321.4100000000035</v>
      </c>
      <c r="I4" s="32">
        <f>IFERROR(H4/G4, "")</f>
        <v>-0.10957666801715357</v>
      </c>
      <c r="J4" s="83" t="s">
        <v>84</v>
      </c>
      <c r="K4" s="83"/>
    </row>
    <row r="5" spans="1:11" ht="15.6">
      <c r="A5" s="41" t="str">
        <v>Berkeley - NJ-22-C893 Berkeley I</v>
      </c>
      <c r="B5" s="42" t="str">
        <v>NJ</v>
      </c>
      <c r="C5" s="35">
        <v>0</v>
      </c>
      <c r="D5" s="57">
        <v>0</v>
      </c>
      <c r="E5" s="36">
        <v>0</v>
      </c>
      <c r="F5" s="37"/>
      <c r="G5" s="57">
        <v>715621.67</v>
      </c>
      <c r="H5" s="38">
        <f t="shared" ref="H5:H15" si="0">IF(AND(ISNUMBER(C5),ISNUMBER(G5)), C5-G5, "")</f>
        <v>-715621.67</v>
      </c>
      <c r="I5" s="37">
        <f t="shared" ref="I5:I15" si="1">IFERROR(H5/G5, "")</f>
        <v>-1</v>
      </c>
      <c r="J5" s="125" t="s">
        <v>85</v>
      </c>
      <c r="K5" s="125" t="s">
        <v>67</v>
      </c>
    </row>
    <row r="6" spans="1:11" ht="15.6">
      <c r="A6" s="43" t="str">
        <v>Berkeley - NJ-22-C894 Berkeley II</v>
      </c>
      <c r="B6" s="40" t="str">
        <v>NJ</v>
      </c>
      <c r="C6" s="28">
        <v>566098</v>
      </c>
      <c r="D6" s="29">
        <v>597076.80000000005</v>
      </c>
      <c r="E6" s="29">
        <f t="shared" ref="E6:E15" si="2">IF(AND(ISNUMBER(C6),ISNUMBER(D6)), C6-D6, "")</f>
        <v>-30978.800000000047</v>
      </c>
      <c r="F6" s="30">
        <f t="shared" ref="F6:F15" si="3">IFERROR(E6/D6, "")</f>
        <v>-5.1884112730556681E-2</v>
      </c>
      <c r="G6" s="31">
        <v>730590</v>
      </c>
      <c r="H6" s="31">
        <f t="shared" si="0"/>
        <v>-164492</v>
      </c>
      <c r="I6" s="32">
        <f t="shared" si="1"/>
        <v>-0.22514953667583734</v>
      </c>
      <c r="J6" s="83" t="s">
        <v>86</v>
      </c>
      <c r="K6" s="83" t="s">
        <v>87</v>
      </c>
    </row>
    <row r="7" spans="1:11" ht="15.6">
      <c r="A7" s="41" t="str">
        <v xml:space="preserve"> BEMS Landfill East</v>
      </c>
      <c r="B7" s="42" t="str">
        <v>NJ</v>
      </c>
      <c r="C7" s="35">
        <v>2909</v>
      </c>
      <c r="D7" s="36">
        <v>677634.821</v>
      </c>
      <c r="E7" s="36">
        <f t="shared" si="2"/>
        <v>-674725.821</v>
      </c>
      <c r="F7" s="37">
        <f t="shared" si="3"/>
        <v>-0.99570712733488642</v>
      </c>
      <c r="G7" s="38">
        <v>715608.89</v>
      </c>
      <c r="H7" s="38">
        <f t="shared" si="0"/>
        <v>-712699.89</v>
      </c>
      <c r="I7" s="37">
        <f t="shared" si="1"/>
        <v>-0.99593493032206459</v>
      </c>
      <c r="J7" s="125" t="s">
        <v>85</v>
      </c>
      <c r="K7" s="125" t="s">
        <v>88</v>
      </c>
    </row>
    <row r="8" spans="1:11" ht="72">
      <c r="A8" s="43" t="str">
        <v>Southampton - BEMS West NJ-22-C898</v>
      </c>
      <c r="B8" s="40" t="str">
        <v>NJ</v>
      </c>
      <c r="C8" s="28">
        <v>539128</v>
      </c>
      <c r="D8" s="29">
        <v>623908</v>
      </c>
      <c r="E8" s="29">
        <f t="shared" si="2"/>
        <v>-84780</v>
      </c>
      <c r="F8" s="30">
        <f t="shared" si="3"/>
        <v>-0.13588541900408393</v>
      </c>
      <c r="G8" s="31">
        <v>729514</v>
      </c>
      <c r="H8" s="31">
        <f t="shared" si="0"/>
        <v>-190386</v>
      </c>
      <c r="I8" s="32">
        <f t="shared" si="1"/>
        <v>-0.26097648571514737</v>
      </c>
      <c r="J8" s="83" t="s">
        <v>89</v>
      </c>
      <c r="K8" s="83" t="s">
        <v>90</v>
      </c>
    </row>
    <row r="9" spans="1:11" ht="15.6">
      <c r="A9" s="41" t="str">
        <v>Lakewood Twp - Emergency Services Dev  - NJ-23-0008</v>
      </c>
      <c r="B9" s="42" t="str">
        <v>NJ</v>
      </c>
      <c r="C9" s="35">
        <v>10056.063</v>
      </c>
      <c r="D9" s="105" t="s">
        <v>22</v>
      </c>
      <c r="E9" s="36" t="str">
        <f t="shared" si="2"/>
        <v/>
      </c>
      <c r="F9" s="37" t="str">
        <f t="shared" si="3"/>
        <v/>
      </c>
      <c r="G9" s="105" t="s">
        <v>22</v>
      </c>
      <c r="H9" s="38" t="str">
        <f t="shared" si="0"/>
        <v/>
      </c>
      <c r="I9" s="37" t="str">
        <f t="shared" si="1"/>
        <v/>
      </c>
      <c r="J9" s="125"/>
      <c r="K9" s="125"/>
    </row>
    <row r="10" spans="1:11" ht="43.15">
      <c r="A10" s="43" t="str">
        <v>Lakewood Township - Public Works</v>
      </c>
      <c r="B10" s="40" t="str">
        <v>NJ</v>
      </c>
      <c r="C10" s="28">
        <v>171840.30100000001</v>
      </c>
      <c r="D10" s="29" t="s">
        <v>22</v>
      </c>
      <c r="E10" s="29" t="str">
        <f t="shared" si="2"/>
        <v/>
      </c>
      <c r="F10" s="30" t="str">
        <f t="shared" si="3"/>
        <v/>
      </c>
      <c r="G10" s="31">
        <v>93579</v>
      </c>
      <c r="H10" s="31">
        <f t="shared" si="0"/>
        <v>78261.301000000007</v>
      </c>
      <c r="I10" s="32">
        <f t="shared" si="1"/>
        <v>0.83631264493102087</v>
      </c>
      <c r="J10" s="83" t="s">
        <v>91</v>
      </c>
      <c r="K10" s="83" t="s">
        <v>92</v>
      </c>
    </row>
    <row r="11" spans="1:11" ht="15.6">
      <c r="A11" s="99" t="str">
        <v>Canby - Dover - OR-23-C003</v>
      </c>
      <c r="B11" s="100" t="str">
        <v>OR</v>
      </c>
      <c r="C11" s="101">
        <v>560503.10900000005</v>
      </c>
      <c r="D11" s="57">
        <v>539401</v>
      </c>
      <c r="E11" s="102">
        <f t="shared" si="2"/>
        <v>21102.109000000055</v>
      </c>
      <c r="F11" s="103">
        <f t="shared" si="3"/>
        <v>3.9121375377502182E-2</v>
      </c>
      <c r="G11" s="57">
        <v>524490</v>
      </c>
      <c r="H11" s="104">
        <f t="shared" si="0"/>
        <v>36013.109000000055</v>
      </c>
      <c r="I11" s="103">
        <f t="shared" si="1"/>
        <v>6.866309939179023E-2</v>
      </c>
      <c r="J11" s="125"/>
      <c r="K11" s="125"/>
    </row>
    <row r="12" spans="1:11" ht="43.15">
      <c r="A12" s="84" t="str">
        <v xml:space="preserve"> Estacada - Clayfield - OR-23-C001</v>
      </c>
      <c r="B12" s="85" t="str">
        <v>OR</v>
      </c>
      <c r="C12" s="86">
        <v>663411.40399999998</v>
      </c>
      <c r="D12" s="87">
        <v>592440</v>
      </c>
      <c r="E12" s="87">
        <f t="shared" si="2"/>
        <v>70971.40399999998</v>
      </c>
      <c r="F12" s="88">
        <f t="shared" si="3"/>
        <v>0.11979509148605763</v>
      </c>
      <c r="G12" s="89">
        <v>569205</v>
      </c>
      <c r="H12" s="89">
        <f t="shared" si="0"/>
        <v>94206.40399999998</v>
      </c>
      <c r="I12" s="90">
        <f t="shared" si="1"/>
        <v>0.16550522922321481</v>
      </c>
      <c r="J12" s="98" t="s">
        <v>93</v>
      </c>
      <c r="K12" s="83" t="s">
        <v>94</v>
      </c>
    </row>
    <row r="13" spans="1:11" ht="43.15">
      <c r="A13" s="91" t="str">
        <v>Willamina - Waterford - OR-23-C006</v>
      </c>
      <c r="B13" s="92" t="str">
        <v>OR</v>
      </c>
      <c r="C13" s="93">
        <v>103706.924</v>
      </c>
      <c r="D13" s="94">
        <v>474479.277</v>
      </c>
      <c r="E13" s="95">
        <f t="shared" si="2"/>
        <v>-370772.353</v>
      </c>
      <c r="F13" s="96">
        <f t="shared" si="3"/>
        <v>-0.78143002439282505</v>
      </c>
      <c r="G13" s="94">
        <v>473988</v>
      </c>
      <c r="H13" s="97">
        <f t="shared" si="0"/>
        <v>-370281.076</v>
      </c>
      <c r="I13" s="96">
        <f t="shared" si="1"/>
        <v>-0.78120348194469058</v>
      </c>
      <c r="J13" s="126" t="s">
        <v>95</v>
      </c>
      <c r="K13" s="125" t="s">
        <v>96</v>
      </c>
    </row>
    <row r="14" spans="1:11" ht="15.6">
      <c r="A14" s="84" t="str">
        <v>OR-23-C005  Solops  SPI - Belvedere Solar</v>
      </c>
      <c r="B14" s="85" t="str">
        <v>OR</v>
      </c>
      <c r="C14" s="86">
        <v>783866.61899999902</v>
      </c>
      <c r="D14" s="87">
        <v>740054.3</v>
      </c>
      <c r="E14" s="87">
        <f t="shared" si="2"/>
        <v>43812.31899999897</v>
      </c>
      <c r="F14" s="88">
        <f t="shared" si="3"/>
        <v>5.9201492376976889E-2</v>
      </c>
      <c r="G14" s="89">
        <v>709806</v>
      </c>
      <c r="H14" s="89">
        <f t="shared" si="0"/>
        <v>74060.618999999017</v>
      </c>
      <c r="I14" s="90">
        <f t="shared" si="1"/>
        <v>0.10433924058122786</v>
      </c>
      <c r="J14" s="98"/>
      <c r="K14" s="83"/>
    </row>
    <row r="15" spans="1:11" ht="15.6">
      <c r="A15" s="91" t="str">
        <v>OR-23-C002  SPI - Cork Solar</v>
      </c>
      <c r="B15" s="92" t="str">
        <v>OR</v>
      </c>
      <c r="C15" s="93">
        <v>310788.05</v>
      </c>
      <c r="D15" s="94">
        <v>289925.15500000003</v>
      </c>
      <c r="E15" s="95">
        <f t="shared" si="2"/>
        <v>20862.89499999996</v>
      </c>
      <c r="F15" s="96">
        <f t="shared" si="3"/>
        <v>7.195958901875886E-2</v>
      </c>
      <c r="G15" s="94">
        <v>277981</v>
      </c>
      <c r="H15" s="97">
        <f t="shared" si="0"/>
        <v>32807.049999999988</v>
      </c>
      <c r="I15" s="96">
        <f t="shared" si="1"/>
        <v>0.11801903727233153</v>
      </c>
      <c r="J15" s="126"/>
      <c r="K15" s="125"/>
    </row>
    <row r="16" spans="1:11"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6" priority="5" stopIfTrue="1" operator="lessThanOrEqual">
      <formula>-0.1</formula>
    </cfRule>
    <cfRule type="expression" dxfId="15"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23"/>
  <sheetViews>
    <sheetView zoomScale="70" zoomScaleNormal="70" workbookViewId="0">
      <pane xSplit="2" ySplit="3" topLeftCell="C4" activePane="bottomRight" state="frozen"/>
      <selection pane="bottomRight" activeCell="J7" sqref="J7"/>
      <selection pane="bottomLeft" activeCell="C19" sqref="C19"/>
      <selection pane="topRight" activeCell="C19" sqref="C19"/>
    </sheetView>
  </sheetViews>
  <sheetFormatPr defaultRowHeight="13.9"/>
  <cols>
    <col min="1" max="1" width="53.2851562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9.140625" style="106"/>
  </cols>
  <sheetData>
    <row r="1" spans="1:12" ht="19.5" customHeight="1">
      <c r="A1" s="128" t="str" cm="1">
        <f t="array" ref="A1">portfolio</f>
        <v>Luminace</v>
      </c>
      <c r="B1" s="128"/>
      <c r="C1" s="128"/>
      <c r="D1" s="129" t="s">
        <v>97</v>
      </c>
      <c r="E1" s="129"/>
      <c r="F1" s="129"/>
      <c r="G1" s="127" t="s">
        <v>98</v>
      </c>
      <c r="H1" s="127"/>
      <c r="I1" s="127"/>
      <c r="J1" s="4"/>
      <c r="K1" s="4"/>
    </row>
    <row r="2" spans="1:12" ht="19.5" customHeight="1">
      <c r="A2" s="130" t="s">
        <v>2</v>
      </c>
      <c r="B2" s="130"/>
      <c r="C2" s="5">
        <f>SUM(C4:C81)</f>
        <v>5167208.148</v>
      </c>
      <c r="D2" s="5">
        <f>SUM(D4:D81)</f>
        <v>5683836.835</v>
      </c>
      <c r="E2" s="5">
        <f>C2-D2</f>
        <v>-516628.68699999992</v>
      </c>
      <c r="F2" s="6">
        <f>IFERROR(E2/D2, 0)</f>
        <v>-9.089435569626092E-2</v>
      </c>
      <c r="G2" s="5">
        <f>SUM(G4:G81)</f>
        <v>5773431.3529999992</v>
      </c>
      <c r="H2" s="7">
        <f>C2-G2</f>
        <v>-606223.20499999914</v>
      </c>
      <c r="I2" s="6">
        <f>IFERROR(H2/G2, 0)</f>
        <v>-0.10500223661358553</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2" t="s">
        <v>3</v>
      </c>
      <c r="B3" s="12" t="s">
        <v>4</v>
      </c>
      <c r="C3" s="19" t="s">
        <v>5</v>
      </c>
      <c r="D3" s="20" t="s">
        <v>6</v>
      </c>
      <c r="E3" s="20" t="s">
        <v>7</v>
      </c>
      <c r="F3" s="21" t="s">
        <v>8</v>
      </c>
      <c r="G3" s="22" t="s">
        <v>9</v>
      </c>
      <c r="H3" s="23" t="s">
        <v>7</v>
      </c>
      <c r="I3" s="24" t="s">
        <v>8</v>
      </c>
      <c r="J3" s="10" t="s">
        <v>20</v>
      </c>
      <c r="K3" s="10" t="s">
        <v>21</v>
      </c>
    </row>
    <row r="4" spans="1:12" ht="67.5" customHeight="1">
      <c r="A4" s="39" t="str" cm="1">
        <f t="array" ref="A4:A18">Sites[Site]</f>
        <v xml:space="preserve">Raymond Ed Re-Development - DC-23-0001 </v>
      </c>
      <c r="B4" s="40" t="str" cm="1">
        <f t="array" ref="B4:B18">Sites[State]</f>
        <v>DC</v>
      </c>
      <c r="C4" s="28">
        <v>57705</v>
      </c>
      <c r="D4" s="29">
        <v>63485.59</v>
      </c>
      <c r="E4" s="29">
        <f>IF(AND(ISNUMBER(C4),ISNUMBER(D4)), C4-D4, "")</f>
        <v>-5780.5899999999965</v>
      </c>
      <c r="F4" s="30">
        <f>IFERROR(E4/D4, "")</f>
        <v>-9.1053576094984656E-2</v>
      </c>
      <c r="G4" s="31">
        <v>67817.09</v>
      </c>
      <c r="H4" s="31">
        <f>IF(AND(ISNUMBER(C4),ISNUMBER(G4)), C4-G4, "")</f>
        <v>-10112.089999999997</v>
      </c>
      <c r="I4" s="32">
        <f>IFERROR(H4/G4, "")</f>
        <v>-0.14910828524196479</v>
      </c>
      <c r="J4" s="49" t="s">
        <v>99</v>
      </c>
      <c r="K4" s="62" t="s">
        <v>100</v>
      </c>
    </row>
    <row r="5" spans="1:12" ht="54" customHeight="1">
      <c r="A5" s="41" t="str">
        <v>Berkeley - NJ-22-C893 Berkeley I</v>
      </c>
      <c r="B5" s="42" t="str">
        <v>NJ</v>
      </c>
      <c r="C5" s="35">
        <v>586285</v>
      </c>
      <c r="D5" s="36">
        <v>562423.28899999999</v>
      </c>
      <c r="E5" s="36">
        <f t="shared" ref="E5:E15" si="0">IF(AND(ISNUMBER(C5),ISNUMBER(D5)), C5-D5, "")</f>
        <v>23861.71100000001</v>
      </c>
      <c r="F5" s="37">
        <f>IFERROR(E5/D5, "")</f>
        <v>4.2426605488593151E-2</v>
      </c>
      <c r="G5" s="38">
        <v>753344.5</v>
      </c>
      <c r="H5" s="38">
        <f t="shared" ref="H5:H15" si="1">IF(AND(ISNUMBER(C5),ISNUMBER(G5)), C5-G5, "")</f>
        <v>-167059.5</v>
      </c>
      <c r="I5" s="37">
        <f t="shared" ref="I5:I15" si="2">IFERROR(H5/G5, "")</f>
        <v>-0.22175711112246788</v>
      </c>
      <c r="J5" s="59" t="s">
        <v>101</v>
      </c>
      <c r="K5" s="74" t="s">
        <v>102</v>
      </c>
    </row>
    <row r="6" spans="1:12" ht="28.9">
      <c r="A6" s="43" t="str">
        <v>Berkeley - NJ-22-C894 Berkeley II</v>
      </c>
      <c r="B6" s="40" t="str">
        <v>NJ</v>
      </c>
      <c r="C6" s="28">
        <v>697981</v>
      </c>
      <c r="D6" s="29">
        <v>698857.1</v>
      </c>
      <c r="E6" s="29">
        <f t="shared" si="0"/>
        <v>-876.09999999997672</v>
      </c>
      <c r="F6" s="30">
        <f t="shared" ref="F6:F15" si="3">IFERROR(E6/D6, "")</f>
        <v>-1.2536182289626546E-3</v>
      </c>
      <c r="G6" s="31">
        <v>760155</v>
      </c>
      <c r="H6" s="31">
        <f t="shared" si="1"/>
        <v>-62174</v>
      </c>
      <c r="I6" s="32">
        <f t="shared" si="2"/>
        <v>-8.1791213634061471E-2</v>
      </c>
      <c r="J6" s="49" t="s">
        <v>103</v>
      </c>
      <c r="K6" s="62" t="s">
        <v>104</v>
      </c>
      <c r="L6" s="69" t="s">
        <v>105</v>
      </c>
    </row>
    <row r="7" spans="1:12" ht="30" customHeight="1">
      <c r="A7" s="41" t="str">
        <v xml:space="preserve"> BEMS Landfill East</v>
      </c>
      <c r="B7" s="42" t="str">
        <v>NJ</v>
      </c>
      <c r="C7" s="35">
        <v>328242.15999999997</v>
      </c>
      <c r="D7" s="36">
        <v>743855.75</v>
      </c>
      <c r="E7" s="36">
        <f t="shared" si="0"/>
        <v>-415613.59</v>
      </c>
      <c r="F7" s="37">
        <f t="shared" si="3"/>
        <v>-0.55872874545904905</v>
      </c>
      <c r="G7" s="71">
        <v>283735</v>
      </c>
      <c r="H7" s="38">
        <f t="shared" si="1"/>
        <v>44507.159999999974</v>
      </c>
      <c r="I7" s="37">
        <f t="shared" si="2"/>
        <v>0.15686171956226752</v>
      </c>
      <c r="J7" s="59" t="s">
        <v>106</v>
      </c>
      <c r="K7" s="74" t="s">
        <v>88</v>
      </c>
      <c r="L7" s="69" t="s">
        <v>56</v>
      </c>
    </row>
    <row r="8" spans="1:12" ht="15.6">
      <c r="A8" s="43" t="str">
        <v>Southampton - BEMS West NJ-22-C898</v>
      </c>
      <c r="B8" s="40" t="str">
        <v>NJ</v>
      </c>
      <c r="C8" s="28">
        <v>771229</v>
      </c>
      <c r="D8" s="29">
        <v>807871.5</v>
      </c>
      <c r="E8" s="29">
        <f t="shared" si="0"/>
        <v>-36642.5</v>
      </c>
      <c r="F8" s="30">
        <f t="shared" si="3"/>
        <v>-4.5356842022524622E-2</v>
      </c>
      <c r="G8" s="31">
        <v>764197</v>
      </c>
      <c r="H8" s="31">
        <f t="shared" si="1"/>
        <v>7032</v>
      </c>
      <c r="I8" s="32">
        <f t="shared" si="2"/>
        <v>9.201815762166039E-3</v>
      </c>
      <c r="J8" s="49" t="s">
        <v>107</v>
      </c>
      <c r="K8" s="62" t="s">
        <v>108</v>
      </c>
    </row>
    <row r="9" spans="1:12" ht="15.6">
      <c r="A9" s="41" t="str">
        <v>Lakewood Twp - Emergency Services Dev  - NJ-23-0008</v>
      </c>
      <c r="B9" s="42" t="str">
        <v>NJ</v>
      </c>
      <c r="C9" s="35">
        <v>11583.441000000001</v>
      </c>
      <c r="D9" s="36" t="s">
        <v>22</v>
      </c>
      <c r="E9" s="36" t="str">
        <f t="shared" si="0"/>
        <v/>
      </c>
      <c r="F9" s="37" t="str">
        <f t="shared" si="3"/>
        <v/>
      </c>
      <c r="G9" s="71" t="s">
        <v>22</v>
      </c>
      <c r="H9" s="38" t="str">
        <f t="shared" si="1"/>
        <v/>
      </c>
      <c r="I9" s="37" t="str">
        <f t="shared" si="2"/>
        <v/>
      </c>
      <c r="J9" s="50"/>
      <c r="K9" s="51"/>
    </row>
    <row r="10" spans="1:12" ht="15.6">
      <c r="A10" s="43" t="str">
        <v>Lakewood Township - Public Works</v>
      </c>
      <c r="B10" s="40" t="str">
        <v>NJ</v>
      </c>
      <c r="C10" s="28">
        <v>139268.82399999999</v>
      </c>
      <c r="D10" s="29">
        <v>195547.462</v>
      </c>
      <c r="E10" s="29">
        <f t="shared" si="0"/>
        <v>-56278.638000000006</v>
      </c>
      <c r="F10" s="30">
        <f t="shared" si="3"/>
        <v>-0.28780040111182831</v>
      </c>
      <c r="G10" s="31">
        <v>94258</v>
      </c>
      <c r="H10" s="31">
        <f t="shared" si="1"/>
        <v>45010.823999999993</v>
      </c>
      <c r="I10" s="32">
        <f t="shared" si="2"/>
        <v>0.47752789153175318</v>
      </c>
      <c r="J10" s="49" t="s">
        <v>109</v>
      </c>
      <c r="K10" s="62" t="s">
        <v>110</v>
      </c>
    </row>
    <row r="11" spans="1:12" ht="15.6">
      <c r="A11" s="41" t="str">
        <v>Canby - Dover - OR-23-C003</v>
      </c>
      <c r="B11" s="42" t="str">
        <v>OR</v>
      </c>
      <c r="C11" s="35">
        <v>606657.22400000005</v>
      </c>
      <c r="D11" s="36">
        <v>607264</v>
      </c>
      <c r="E11" s="36">
        <f t="shared" si="0"/>
        <v>-606.77599999995437</v>
      </c>
      <c r="F11" s="37">
        <f t="shared" si="3"/>
        <v>-9.9919639563674834E-4</v>
      </c>
      <c r="G11" s="38">
        <v>628020</v>
      </c>
      <c r="H11" s="38">
        <f t="shared" si="1"/>
        <v>-21362.775999999954</v>
      </c>
      <c r="I11" s="37">
        <f t="shared" si="2"/>
        <v>-3.4016075921148935E-2</v>
      </c>
      <c r="J11" s="50"/>
      <c r="K11" s="51"/>
    </row>
    <row r="12" spans="1:12" ht="72">
      <c r="A12" s="43" t="str">
        <v xml:space="preserve"> Estacada - Clayfield - OR-23-C001</v>
      </c>
      <c r="B12" s="40" t="str">
        <v>OR</v>
      </c>
      <c r="C12" s="28">
        <v>345245.48499999999</v>
      </c>
      <c r="D12" s="29">
        <v>407692.79999999999</v>
      </c>
      <c r="E12" s="29">
        <f t="shared" si="0"/>
        <v>-62447.315000000002</v>
      </c>
      <c r="F12" s="30">
        <f t="shared" si="3"/>
        <v>-0.15317247447097423</v>
      </c>
      <c r="G12" s="31">
        <v>731514</v>
      </c>
      <c r="H12" s="31">
        <f t="shared" si="1"/>
        <v>-386268.51500000001</v>
      </c>
      <c r="I12" s="32">
        <f t="shared" si="2"/>
        <v>-0.52803981195165095</v>
      </c>
      <c r="J12" s="49" t="s">
        <v>111</v>
      </c>
      <c r="K12" s="62" t="s">
        <v>112</v>
      </c>
      <c r="L12" s="69" t="s">
        <v>113</v>
      </c>
    </row>
    <row r="13" spans="1:12" ht="72">
      <c r="A13" s="41" t="str">
        <v>Willamina - Waterford - OR-23-C006</v>
      </c>
      <c r="B13" s="42" t="str">
        <v>OR</v>
      </c>
      <c r="C13" s="35">
        <v>446366.5</v>
      </c>
      <c r="D13" s="36">
        <v>465402.72399999999</v>
      </c>
      <c r="E13" s="36">
        <f t="shared" si="0"/>
        <v>-19036.223999999987</v>
      </c>
      <c r="F13" s="37">
        <f t="shared" si="3"/>
        <v>-4.0902691407538876E-2</v>
      </c>
      <c r="G13" s="38">
        <v>547504.72</v>
      </c>
      <c r="H13" s="38">
        <f t="shared" si="1"/>
        <v>-101138.21999999997</v>
      </c>
      <c r="I13" s="37">
        <f t="shared" si="2"/>
        <v>-0.18472574994421961</v>
      </c>
      <c r="J13" s="59" t="s">
        <v>114</v>
      </c>
      <c r="K13" s="74" t="s">
        <v>115</v>
      </c>
    </row>
    <row r="14" spans="1:12" ht="15.6">
      <c r="A14" s="43" t="str">
        <v>OR-23-C005  Solops  SPI - Belvedere Solar</v>
      </c>
      <c r="B14" s="40" t="str">
        <v>OR</v>
      </c>
      <c r="C14" s="28">
        <v>828134.53700000001</v>
      </c>
      <c r="D14" s="29">
        <v>805271.2</v>
      </c>
      <c r="E14" s="29">
        <f t="shared" si="0"/>
        <v>22863.337000000058</v>
      </c>
      <c r="F14" s="30">
        <f t="shared" si="3"/>
        <v>2.8392095731227019E-2</v>
      </c>
      <c r="G14" s="31">
        <v>823154</v>
      </c>
      <c r="H14" s="31">
        <f t="shared" si="1"/>
        <v>4980.5370000000112</v>
      </c>
      <c r="I14" s="32">
        <f t="shared" si="2"/>
        <v>6.0505531164278025E-3</v>
      </c>
      <c r="J14" s="49"/>
      <c r="K14" s="49"/>
    </row>
    <row r="15" spans="1:12" ht="15.6">
      <c r="A15" s="41" t="str">
        <v>OR-23-C002  SPI - Cork Solar</v>
      </c>
      <c r="B15" s="42" t="str">
        <v>OR</v>
      </c>
      <c r="C15" s="35">
        <v>348509.97700000001</v>
      </c>
      <c r="D15" s="36">
        <v>326165.42</v>
      </c>
      <c r="E15" s="36">
        <f t="shared" si="0"/>
        <v>22344.55700000003</v>
      </c>
      <c r="F15" s="37">
        <f t="shared" si="3"/>
        <v>6.8506823930016961E-2</v>
      </c>
      <c r="G15" s="38">
        <v>319732.04300000001</v>
      </c>
      <c r="H15" s="38">
        <f t="shared" si="1"/>
        <v>28777.934000000008</v>
      </c>
      <c r="I15" s="37">
        <f t="shared" si="2"/>
        <v>9.0006412025459726E-2</v>
      </c>
      <c r="J15" s="50"/>
      <c r="K15" s="51"/>
    </row>
    <row r="16" spans="1:12"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sortState xmlns:xlrd2="http://schemas.microsoft.com/office/spreadsheetml/2017/richdata2" ref="A3:K8">
    <sortCondition ref="A3:A8"/>
  </sortState>
  <mergeCells count="4">
    <mergeCell ref="G1:I1"/>
    <mergeCell ref="A1:C1"/>
    <mergeCell ref="D1:F1"/>
    <mergeCell ref="A2:B2"/>
  </mergeCells>
  <conditionalFormatting sqref="F2 I2 F4:F81 I4:I81">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104065" xr:uid="{BAFA736B-F5E8-4AE6-BFB8-91C2BA506896}"/>
    <hyperlink ref="K5" r:id="rId2" display="https://us3.assetplanner.com/service_request?ID=098409" xr:uid="{7B867EEC-281B-4C5E-A4CC-67D5947BA2A3}"/>
    <hyperlink ref="K6" r:id="rId3" display="https://us3.assetplanner.com/service_request?ID=103839" xr:uid="{2D599F1A-A379-4648-AC28-184E72D26029}"/>
    <hyperlink ref="L6" r:id="rId4" display="https://us3.assetplanner.com/service_request?ID=105463" xr:uid="{DF7E9016-9148-4DBA-8AD8-FBD5AA5A6602}"/>
    <hyperlink ref="K7" r:id="rId5" display="https://us3.assetplanner.com/service_request?ID=098408" xr:uid="{473B9925-5A1F-4981-9619-66D5C8C239AA}"/>
    <hyperlink ref="L7" r:id="rId6" display="https://us3.assetplanner.com/service_request?ID=086098" xr:uid="{7D2E9FE0-6B44-4A60-9D3D-7094DE0F3A29}"/>
    <hyperlink ref="K8" r:id="rId7" display="https://us3.assetplanner.com/service_request?ID=102671" xr:uid="{1FC4618B-146B-4520-B1C8-F7251EC85EF6}"/>
    <hyperlink ref="K10" r:id="rId8" display="https://us3.assetplanner.com/service_request?ID=103899" xr:uid="{E1CBDE74-240F-46D7-A966-A09454E55620}"/>
    <hyperlink ref="K12" r:id="rId9" display="https://us3.assetplanner.com/service_request?ID=104276" xr:uid="{FE2600DF-4191-4E2F-9C5C-8FB19459FD41}"/>
    <hyperlink ref="L12" r:id="rId10" display="https://us3.assetplanner.com/service_request?ID=104461" xr:uid="{CB3255F0-3740-41F7-9A51-E7C057BEE496}"/>
    <hyperlink ref="K13" r:id="rId11" display="https://us3.assetplanner.com/service_request?ID=105123" xr:uid="{F236CD6D-0F18-4647-8B8D-4D680C06F26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3"/>
  <sheetViews>
    <sheetView zoomScale="70" zoomScaleNormal="70" workbookViewId="0">
      <pane xSplit="2" ySplit="3" topLeftCell="F5" activePane="bottomRight" state="frozen"/>
      <selection pane="bottomRight" activeCell="F5" sqref="F5"/>
      <selection pane="bottomLeft" activeCell="C19" sqref="C19"/>
      <selection pane="topRight" activeCell="C19" sqref="C19"/>
    </sheetView>
  </sheetViews>
  <sheetFormatPr defaultRowHeight="13.9"/>
  <cols>
    <col min="1" max="1" width="56"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106"/>
  </cols>
  <sheetData>
    <row r="1" spans="1:14" ht="19.5" customHeight="1">
      <c r="A1" s="128" t="str" cm="1">
        <f t="array" ref="A1">portfolio</f>
        <v>Luminace</v>
      </c>
      <c r="B1" s="128"/>
      <c r="C1" s="128"/>
      <c r="D1" s="129" t="s">
        <v>116</v>
      </c>
      <c r="E1" s="129"/>
      <c r="F1" s="129"/>
      <c r="G1" s="127" t="s">
        <v>117</v>
      </c>
      <c r="H1" s="127"/>
      <c r="I1" s="127"/>
      <c r="J1" s="4"/>
      <c r="K1" s="4"/>
    </row>
    <row r="2" spans="1:14" ht="19.5" customHeight="1">
      <c r="A2" s="130" t="s">
        <v>2</v>
      </c>
      <c r="B2" s="130"/>
      <c r="C2" s="5">
        <f>SUM(C4:C81)</f>
        <v>4965475.9050702769</v>
      </c>
      <c r="D2" s="5">
        <f>SUM(D4:D81)</f>
        <v>4988205.5319999997</v>
      </c>
      <c r="E2" s="5">
        <f>C2-D2</f>
        <v>-22729.626929722726</v>
      </c>
      <c r="F2" s="6">
        <f>IFERROR(E2/D2, 0)</f>
        <v>-4.5566740953052473E-3</v>
      </c>
      <c r="G2" s="5">
        <f>SUM(G4:G81)</f>
        <v>5787157.7209999999</v>
      </c>
      <c r="H2" s="7">
        <f>C2-G2</f>
        <v>-821681.81592972297</v>
      </c>
      <c r="I2" s="6">
        <f>IFERROR(H2/G2, 0)</f>
        <v>-0.1419836568386699</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10" t="s">
        <v>20</v>
      </c>
      <c r="K3" s="10" t="s">
        <v>21</v>
      </c>
    </row>
    <row r="4" spans="1:14" ht="15.6">
      <c r="A4" s="39" t="str" cm="1">
        <f t="array" ref="A4:A18">Sites[Site]</f>
        <v xml:space="preserve">Raymond Ed Re-Development - DC-23-0001 </v>
      </c>
      <c r="B4" s="40" t="str" cm="1">
        <f t="array" ref="B4:B18">Sites[State]</f>
        <v>DC</v>
      </c>
      <c r="C4" s="28">
        <v>55645.4</v>
      </c>
      <c r="D4" s="29">
        <v>61869.440000000002</v>
      </c>
      <c r="E4" s="29">
        <f>IF(AND(ISNUMBER(C4),ISNUMBER(D4)), C4-D4, "")</f>
        <v>-6224.0400000000009</v>
      </c>
      <c r="F4" s="30">
        <f>IFERROR(E4/D4, "")</f>
        <v>-0.10059958519100869</v>
      </c>
      <c r="G4" s="31">
        <v>60498.02</v>
      </c>
      <c r="H4" s="31">
        <f>IF(AND(ISNUMBER(C4),ISNUMBER(G4)), C4-G4, "")</f>
        <v>-4852.6199999999953</v>
      </c>
      <c r="I4" s="32">
        <f>IFERROR(H4/G4, "")</f>
        <v>-8.0211220135799413E-2</v>
      </c>
      <c r="J4" s="49" t="s">
        <v>118</v>
      </c>
      <c r="K4" s="62" t="s">
        <v>119</v>
      </c>
    </row>
    <row r="5" spans="1:14" ht="15.6">
      <c r="A5" s="41" t="str">
        <v>Berkeley - NJ-22-C893 Berkeley I</v>
      </c>
      <c r="B5" s="42" t="str">
        <v>NJ</v>
      </c>
      <c r="C5" s="35">
        <v>693283</v>
      </c>
      <c r="D5" s="36">
        <v>539725.41200000001</v>
      </c>
      <c r="E5" s="36">
        <f t="shared" ref="E5:E8" si="0">IF(AND(ISNUMBER(C5),ISNUMBER(D5)), C5-D5, "")</f>
        <v>153557.58799999999</v>
      </c>
      <c r="F5" s="37">
        <f>IFERROR(E5/D5, "")</f>
        <v>0.28451057627799814</v>
      </c>
      <c r="G5" s="38">
        <v>701899.15</v>
      </c>
      <c r="H5" s="38">
        <f t="shared" ref="H5:H8" si="1">IF(AND(ISNUMBER(C5),ISNUMBER(G5)), C5-G5, "")</f>
        <v>-8616.1500000000233</v>
      </c>
      <c r="I5" s="37">
        <f t="shared" ref="I5:I8" si="2">IFERROR(H5/G5, "")</f>
        <v>-1.2275481456274769E-2</v>
      </c>
      <c r="J5" s="50" t="s">
        <v>120</v>
      </c>
      <c r="K5" s="74" t="s">
        <v>121</v>
      </c>
    </row>
    <row r="6" spans="1:14" ht="57.6">
      <c r="A6" s="43" t="str">
        <v>Berkeley - NJ-22-C894 Berkeley II</v>
      </c>
      <c r="B6" s="40" t="str">
        <v>NJ</v>
      </c>
      <c r="C6" s="28">
        <v>626497</v>
      </c>
      <c r="D6" s="29">
        <v>679139.4</v>
      </c>
      <c r="E6" s="29">
        <f t="shared" si="0"/>
        <v>-52642.400000000023</v>
      </c>
      <c r="F6" s="30">
        <f t="shared" ref="F6:F8" si="3">IFERROR(E6/D6, "")</f>
        <v>-7.751339415737038E-2</v>
      </c>
      <c r="G6" s="31">
        <v>712241</v>
      </c>
      <c r="H6" s="31">
        <f t="shared" si="1"/>
        <v>-85744</v>
      </c>
      <c r="I6" s="32">
        <f t="shared" si="2"/>
        <v>-0.12038621758646301</v>
      </c>
      <c r="J6" s="49" t="s">
        <v>122</v>
      </c>
      <c r="K6" s="62" t="s">
        <v>123</v>
      </c>
      <c r="L6" s="69" t="s">
        <v>124</v>
      </c>
      <c r="M6" s="69" t="s">
        <v>125</v>
      </c>
    </row>
    <row r="7" spans="1:14" ht="28.9">
      <c r="A7" s="41" t="str">
        <v xml:space="preserve"> BEMS Landfill East</v>
      </c>
      <c r="B7" s="42" t="str">
        <v>NJ</v>
      </c>
      <c r="C7" s="35">
        <v>663197</v>
      </c>
      <c r="D7" s="36">
        <v>776737.4</v>
      </c>
      <c r="E7" s="36">
        <f t="shared" si="0"/>
        <v>-113540.40000000002</v>
      </c>
      <c r="F7" s="37">
        <f t="shared" si="3"/>
        <v>-0.14617604353800914</v>
      </c>
      <c r="G7" s="38">
        <v>687675.5</v>
      </c>
      <c r="H7" s="38">
        <f t="shared" si="1"/>
        <v>-24478.5</v>
      </c>
      <c r="I7" s="37">
        <f t="shared" si="2"/>
        <v>-3.5596004220013654E-2</v>
      </c>
      <c r="J7" s="50" t="s">
        <v>126</v>
      </c>
      <c r="K7" s="68" t="s">
        <v>127</v>
      </c>
    </row>
    <row r="8" spans="1:14" ht="15.6">
      <c r="A8" s="43" t="str">
        <v>Southampton - BEMS West NJ-22-C898</v>
      </c>
      <c r="B8" s="40" t="str">
        <v>NJ</v>
      </c>
      <c r="C8" s="28">
        <v>695453</v>
      </c>
      <c r="D8" s="29">
        <v>774345.9</v>
      </c>
      <c r="E8" s="29">
        <f t="shared" si="0"/>
        <v>-78892.900000000023</v>
      </c>
      <c r="F8" s="30">
        <f t="shared" si="3"/>
        <v>-0.10188327981074094</v>
      </c>
      <c r="G8" s="31">
        <v>697041</v>
      </c>
      <c r="H8" s="31">
        <f t="shared" si="1"/>
        <v>-1588</v>
      </c>
      <c r="I8" s="32">
        <f t="shared" si="2"/>
        <v>-2.2782017126682648E-3</v>
      </c>
      <c r="J8" s="49" t="s">
        <v>128</v>
      </c>
      <c r="K8" s="49"/>
      <c r="L8" s="109"/>
    </row>
    <row r="9" spans="1:14" ht="15.6">
      <c r="A9" s="41" t="str">
        <v>Lakewood Twp - Emergency Services Dev  - NJ-23-0008</v>
      </c>
      <c r="B9" s="42" t="str">
        <v>NJ</v>
      </c>
      <c r="C9" s="35">
        <v>10886.37890625</v>
      </c>
      <c r="D9" s="36">
        <v>11437.18</v>
      </c>
      <c r="E9" s="36">
        <f t="shared" ref="E9:E15" si="4">IF(AND(ISNUMBER(C9),ISNUMBER(D9)), C9-D9, "")</f>
        <v>-550.80109375000029</v>
      </c>
      <c r="F9" s="37">
        <f t="shared" ref="F9:F15" si="5">IFERROR(E9/D9, "")</f>
        <v>-4.8158820071905861E-2</v>
      </c>
      <c r="G9" s="38">
        <v>10813</v>
      </c>
      <c r="H9" s="38">
        <f t="shared" ref="H9:H15" si="6">IF(AND(ISNUMBER(C9),ISNUMBER(G9)), C9-G9, "")</f>
        <v>73.37890625</v>
      </c>
      <c r="I9" s="37">
        <f t="shared" ref="I9:I15" si="7">IFERROR(H9/G9, "")</f>
        <v>6.786174627762878E-3</v>
      </c>
      <c r="J9" s="50"/>
      <c r="K9" s="50"/>
    </row>
    <row r="10" spans="1:14" ht="15.6">
      <c r="A10" s="43" t="str">
        <v>Lakewood Township - Public Works</v>
      </c>
      <c r="B10" s="40" t="str">
        <v>NJ</v>
      </c>
      <c r="C10" s="28">
        <v>184757.1875</v>
      </c>
      <c r="D10" s="29">
        <v>194634.4</v>
      </c>
      <c r="E10" s="29">
        <f t="shared" si="4"/>
        <v>-9877.2124999999942</v>
      </c>
      <c r="F10" s="30">
        <f t="shared" si="5"/>
        <v>-5.0747516882935363E-2</v>
      </c>
      <c r="G10" s="31">
        <v>174400.05100000001</v>
      </c>
      <c r="H10" s="31">
        <f t="shared" si="6"/>
        <v>10357.136499999993</v>
      </c>
      <c r="I10" s="32">
        <f t="shared" si="7"/>
        <v>5.9387233206715018E-2</v>
      </c>
      <c r="J10" s="49"/>
      <c r="K10" s="49"/>
    </row>
    <row r="11" spans="1:14" ht="15.6">
      <c r="A11" s="41" t="str">
        <v>Canby - Dover - OR-23-C003</v>
      </c>
      <c r="B11" s="42" t="str">
        <v>OR</v>
      </c>
      <c r="C11" s="35">
        <v>503949.34600000002</v>
      </c>
      <c r="D11" s="36">
        <v>491321.7</v>
      </c>
      <c r="E11" s="36">
        <f t="shared" si="4"/>
        <v>12627.646000000008</v>
      </c>
      <c r="F11" s="37">
        <f t="shared" si="5"/>
        <v>2.5701380582213256E-2</v>
      </c>
      <c r="G11" s="38">
        <v>580932</v>
      </c>
      <c r="H11" s="38">
        <f t="shared" si="6"/>
        <v>-76982.65399999998</v>
      </c>
      <c r="I11" s="37">
        <f t="shared" si="7"/>
        <v>-0.13251577465176645</v>
      </c>
      <c r="J11" s="50" t="s">
        <v>129</v>
      </c>
      <c r="K11" s="50"/>
    </row>
    <row r="12" spans="1:14" ht="115.15">
      <c r="A12" s="43" t="str">
        <v xml:space="preserve"> Estacada - Clayfield - OR-23-C001</v>
      </c>
      <c r="B12" s="40" t="str">
        <v>OR</v>
      </c>
      <c r="C12" s="28">
        <v>141023.27300943699</v>
      </c>
      <c r="D12" s="29">
        <v>201984.4</v>
      </c>
      <c r="E12" s="29">
        <f t="shared" si="4"/>
        <v>-60961.126990563003</v>
      </c>
      <c r="F12" s="30">
        <f t="shared" si="5"/>
        <v>-0.3018110655603255</v>
      </c>
      <c r="G12" s="31">
        <v>624249</v>
      </c>
      <c r="H12" s="31">
        <f t="shared" si="6"/>
        <v>-483225.72699056298</v>
      </c>
      <c r="I12" s="32">
        <f t="shared" si="7"/>
        <v>-0.77409131130456432</v>
      </c>
      <c r="J12" s="49" t="s">
        <v>130</v>
      </c>
      <c r="K12" s="62" t="s">
        <v>131</v>
      </c>
      <c r="L12" s="64" t="s">
        <v>113</v>
      </c>
      <c r="M12" s="69" t="s">
        <v>132</v>
      </c>
      <c r="N12" s="69" t="s">
        <v>133</v>
      </c>
    </row>
    <row r="13" spans="1:14" ht="57.6">
      <c r="A13" s="41" t="str">
        <v>Willamina - Waterford - OR-23-C006</v>
      </c>
      <c r="B13" s="42" t="str">
        <v>OR</v>
      </c>
      <c r="C13" s="35">
        <v>419845.14365458902</v>
      </c>
      <c r="D13" s="36">
        <v>325034.59999999998</v>
      </c>
      <c r="E13" s="36">
        <f t="shared" si="4"/>
        <v>94810.543654589041</v>
      </c>
      <c r="F13" s="37">
        <f t="shared" si="5"/>
        <v>0.29169369554684038</v>
      </c>
      <c r="G13" s="38">
        <v>510859</v>
      </c>
      <c r="H13" s="38">
        <f t="shared" si="6"/>
        <v>-91013.856345410983</v>
      </c>
      <c r="I13" s="37">
        <f t="shared" si="7"/>
        <v>-0.17815846710229433</v>
      </c>
      <c r="J13" s="80" t="s">
        <v>134</v>
      </c>
      <c r="K13" s="68" t="s">
        <v>135</v>
      </c>
      <c r="L13" s="69" t="s">
        <v>136</v>
      </c>
    </row>
    <row r="14" spans="1:14" ht="15.6">
      <c r="A14" s="43" t="str">
        <v>OR-23-C005  Solops  SPI - Belvedere Solar</v>
      </c>
      <c r="B14" s="40" t="str">
        <v>OR</v>
      </c>
      <c r="C14" s="28">
        <v>678379.97100000095</v>
      </c>
      <c r="D14" s="29">
        <v>666487.9</v>
      </c>
      <c r="E14" s="29">
        <f t="shared" si="4"/>
        <v>11892.071000000928</v>
      </c>
      <c r="F14" s="30">
        <f t="shared" si="5"/>
        <v>1.7842891071242144E-2</v>
      </c>
      <c r="G14" s="31">
        <v>724856</v>
      </c>
      <c r="H14" s="31">
        <f t="shared" si="6"/>
        <v>-46476.028999999049</v>
      </c>
      <c r="I14" s="32">
        <f t="shared" si="7"/>
        <v>-6.4117602668666673E-2</v>
      </c>
      <c r="J14" s="49"/>
      <c r="K14" s="49"/>
    </row>
    <row r="15" spans="1:14" ht="15.6">
      <c r="A15" s="41" t="str">
        <v>OR-23-C002  SPI - Cork Solar</v>
      </c>
      <c r="B15" s="42" t="str">
        <v>OR</v>
      </c>
      <c r="C15" s="35">
        <v>292559.20500000002</v>
      </c>
      <c r="D15" s="36">
        <v>265487.8</v>
      </c>
      <c r="E15" s="36">
        <f t="shared" si="4"/>
        <v>27071.405000000028</v>
      </c>
      <c r="F15" s="37">
        <f t="shared" si="5"/>
        <v>0.10196854620061649</v>
      </c>
      <c r="G15" s="38">
        <v>301694</v>
      </c>
      <c r="H15" s="38">
        <f t="shared" si="6"/>
        <v>-9134.7949999999837</v>
      </c>
      <c r="I15" s="37">
        <f t="shared" si="7"/>
        <v>-3.0278344945540794E-2</v>
      </c>
      <c r="J15" s="50"/>
      <c r="K15" s="50"/>
    </row>
    <row r="16" spans="1:14" ht="14.45">
      <c r="A16" s="8" t="str">
        <v>OR: Oregon City - Buckner Creek - OR-23-C008</v>
      </c>
      <c r="B16" s="13" t="str">
        <v>OR</v>
      </c>
      <c r="C16" s="8"/>
      <c r="D16" s="8"/>
      <c r="E16" s="8"/>
      <c r="F16" s="9"/>
      <c r="G16" s="8"/>
      <c r="H16" s="8"/>
      <c r="I16" s="9"/>
      <c r="J16" s="8"/>
      <c r="K16" s="8"/>
    </row>
    <row r="17" spans="1:11" ht="14.45">
      <c r="A17" s="8" t="str">
        <v>OR: Dundee - Gun Club - OR-23-C009</v>
      </c>
      <c r="B17" s="13" t="str">
        <v>OR</v>
      </c>
      <c r="C17" s="8"/>
      <c r="D17" s="8"/>
      <c r="E17" s="8"/>
      <c r="F17" s="9"/>
      <c r="G17" s="8"/>
      <c r="H17" s="8"/>
      <c r="I17" s="9"/>
      <c r="J17" s="8"/>
      <c r="K17" s="8"/>
    </row>
    <row r="18" spans="1:11" ht="14.45">
      <c r="A18" s="8" t="str">
        <v>OR: Molalla - Marquam - OR-23-C010</v>
      </c>
      <c r="B18" s="13" t="str">
        <v>OR</v>
      </c>
      <c r="C18" s="8"/>
      <c r="D18" s="8"/>
      <c r="E18" s="8"/>
      <c r="F18" s="9"/>
      <c r="G18" s="8"/>
      <c r="H18" s="8"/>
      <c r="I18" s="9"/>
      <c r="J18" s="8"/>
      <c r="K18" s="8"/>
    </row>
    <row r="19" spans="1:11" ht="14.45">
      <c r="A19" s="8"/>
      <c r="B19" s="13"/>
      <c r="C19" s="8"/>
      <c r="D19" s="8"/>
      <c r="E19" s="8"/>
      <c r="F19" s="9"/>
      <c r="G19" s="8"/>
      <c r="H19" s="8"/>
      <c r="I19" s="9"/>
      <c r="J19" s="8"/>
      <c r="K19" s="8"/>
    </row>
    <row r="20" spans="1:11" ht="14.45">
      <c r="A20" s="8"/>
      <c r="B20" s="13"/>
      <c r="C20" s="8"/>
      <c r="D20" s="8"/>
      <c r="E20" s="8"/>
      <c r="F20" s="9"/>
      <c r="G20" s="8"/>
      <c r="H20" s="8"/>
      <c r="I20" s="9"/>
      <c r="J20" s="8"/>
      <c r="K20" s="8"/>
    </row>
    <row r="21" spans="1:11" ht="14.45">
      <c r="A21" s="8"/>
      <c r="B21" s="13"/>
      <c r="C21" s="8"/>
      <c r="D21" s="8"/>
      <c r="E21" s="8"/>
      <c r="F21" s="9"/>
      <c r="G21" s="8"/>
      <c r="H21" s="8"/>
      <c r="I21" s="9"/>
      <c r="J21" s="8"/>
      <c r="K21" s="8"/>
    </row>
    <row r="22" spans="1:11" ht="14.45">
      <c r="A22" s="8"/>
      <c r="B22" s="13"/>
      <c r="C22" s="8"/>
      <c r="D22" s="8"/>
      <c r="E22" s="8"/>
      <c r="F22" s="9"/>
      <c r="G22" s="8"/>
      <c r="H22" s="8"/>
      <c r="I22" s="9"/>
      <c r="J22" s="8"/>
      <c r="K22" s="8"/>
    </row>
    <row r="23" spans="1:11" ht="14.45">
      <c r="A23" s="8"/>
      <c r="B23" s="13"/>
      <c r="C23" s="8"/>
      <c r="D23" s="8"/>
      <c r="E23" s="8"/>
      <c r="F23" s="9"/>
      <c r="G23" s="8"/>
      <c r="H23" s="8"/>
      <c r="I23" s="9"/>
      <c r="J23" s="8"/>
      <c r="K23" s="8"/>
    </row>
    <row r="24" spans="1:11" ht="14.45">
      <c r="A24" s="8"/>
      <c r="B24" s="13"/>
      <c r="C24" s="8"/>
      <c r="D24" s="8"/>
      <c r="E24" s="8"/>
      <c r="F24" s="9"/>
      <c r="G24" s="8"/>
      <c r="H24" s="8"/>
      <c r="I24" s="9"/>
      <c r="J24" s="8"/>
      <c r="K24" s="8"/>
    </row>
    <row r="25" spans="1:11" ht="14.45">
      <c r="A25" s="8"/>
      <c r="B25" s="13"/>
      <c r="C25" s="8"/>
      <c r="D25" s="8"/>
      <c r="E25" s="8"/>
      <c r="F25" s="9"/>
      <c r="G25" s="8"/>
      <c r="H25" s="8"/>
      <c r="I25" s="9"/>
      <c r="J25" s="8"/>
      <c r="K25" s="8"/>
    </row>
    <row r="26" spans="1:11" ht="14.45">
      <c r="A26" s="8"/>
      <c r="B26" s="13"/>
      <c r="C26" s="8"/>
      <c r="D26" s="8"/>
      <c r="E26" s="8"/>
      <c r="F26" s="9"/>
      <c r="G26" s="8"/>
      <c r="H26" s="8"/>
      <c r="I26" s="9"/>
      <c r="J26" s="8"/>
      <c r="K26" s="8"/>
    </row>
    <row r="27" spans="1:11" ht="14.45">
      <c r="A27" s="8"/>
      <c r="B27" s="13"/>
      <c r="C27" s="8"/>
      <c r="D27" s="8"/>
      <c r="E27" s="8"/>
      <c r="F27" s="9"/>
      <c r="G27" s="8"/>
      <c r="H27" s="8"/>
      <c r="I27" s="9"/>
      <c r="J27" s="8"/>
      <c r="K27" s="8"/>
    </row>
    <row r="28" spans="1:11" ht="14.45">
      <c r="A28" s="8"/>
      <c r="B28" s="13"/>
      <c r="C28" s="8"/>
      <c r="D28" s="8"/>
      <c r="E28" s="8"/>
      <c r="F28" s="9"/>
      <c r="G28" s="8"/>
      <c r="H28" s="8"/>
      <c r="I28" s="9"/>
      <c r="J28" s="8"/>
      <c r="K28" s="8"/>
    </row>
    <row r="29" spans="1:11" ht="14.45">
      <c r="A29" s="8"/>
      <c r="B29" s="13"/>
      <c r="C29" s="8"/>
      <c r="D29" s="8"/>
      <c r="E29" s="8"/>
      <c r="F29" s="9"/>
      <c r="G29" s="8"/>
      <c r="H29" s="8"/>
      <c r="I29" s="9"/>
      <c r="J29" s="8"/>
      <c r="K29" s="8"/>
    </row>
    <row r="30" spans="1:11" ht="14.45">
      <c r="A30" s="8"/>
      <c r="B30" s="13"/>
      <c r="C30" s="8"/>
      <c r="D30" s="8"/>
      <c r="E30" s="8"/>
      <c r="F30" s="9"/>
      <c r="G30" s="8"/>
      <c r="H30" s="8"/>
      <c r="I30" s="9"/>
      <c r="J30" s="8"/>
      <c r="K30" s="8"/>
    </row>
    <row r="31" spans="1:11" ht="14.45">
      <c r="A31" s="8"/>
      <c r="B31" s="13"/>
      <c r="C31" s="8"/>
      <c r="D31" s="8"/>
      <c r="E31" s="8"/>
      <c r="F31" s="9"/>
      <c r="G31" s="8"/>
      <c r="H31" s="8"/>
      <c r="I31" s="9"/>
      <c r="J31" s="8"/>
      <c r="K31" s="8"/>
    </row>
    <row r="32" spans="1:11"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C323" s="8"/>
      <c r="D323" s="8"/>
      <c r="E323" s="8"/>
      <c r="F323" s="9"/>
      <c r="G323" s="8"/>
      <c r="H323" s="8"/>
      <c r="I323" s="9"/>
      <c r="J323" s="8"/>
      <c r="K323" s="8"/>
    </row>
  </sheetData>
  <mergeCells count="4">
    <mergeCell ref="G1:I1"/>
    <mergeCell ref="A1:C1"/>
    <mergeCell ref="D1:F1"/>
    <mergeCell ref="A2:B2"/>
  </mergeCells>
  <conditionalFormatting sqref="F2 I2 F4:F81 I4:I81">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107731" xr:uid="{5C5D203C-D5E1-4CF0-97D5-129ABC3060CE}"/>
    <hyperlink ref="K5" r:id="rId2" display="https://us3.assetplanner.com/service_request?ID=106617" xr:uid="{0E249EE3-F7D6-4969-AFCA-F2D85D90C6B6}"/>
    <hyperlink ref="K6" r:id="rId3" display="https://us3.assetplanner.com/service_request?ID=105463" xr:uid="{274B4A93-450C-43E3-AD0F-FEF09535768C}"/>
    <hyperlink ref="L6" r:id="rId4" display="https://us3.assetplanner.com/service_request?ID=106265" xr:uid="{90470E98-426C-4A16-9FE9-5AACC69BAFB1}"/>
    <hyperlink ref="M6" r:id="rId5" display="https://us3.assetplanner.com/service_request?ID=106618" xr:uid="{480646EE-CB6C-42AA-AF7C-1407D0639A3D}"/>
    <hyperlink ref="K7" r:id="rId6" display="https://us3.assetplanner.com/service_request?ID=106977" xr:uid="{553308B9-0F89-4247-8E11-B670FD701462}"/>
    <hyperlink ref="K12" r:id="rId7" display="https://us3.assetplanner.com/service_request?ID=104276" xr:uid="{5B07CD24-2D57-4C02-B00D-1F1C2F58DA6D}"/>
    <hyperlink ref="L12" r:id="rId8" display="https://us3.assetplanner.com/service_request?ID=104461" xr:uid="{0890083F-9EF9-4761-B844-F7E3380A7147}"/>
    <hyperlink ref="M12" r:id="rId9" display="https://us3.assetplanner.com/service_request?ID=106841" xr:uid="{81770DA6-D625-4E0D-8D9E-DD4E62E9D465}"/>
    <hyperlink ref="N12" r:id="rId10" display="https://us3.assetplanner.com/service_request?ID=107017" xr:uid="{742D9547-B021-42C9-9E9A-57927832B483}"/>
    <hyperlink ref="K13" r:id="rId11" display="https://us3.assetplanner.com/service_request?ID=101124" xr:uid="{D2F65CF7-8A91-435E-87A3-30138B4D1AF4}"/>
    <hyperlink ref="L13" r:id="rId12" display="https://us3.assetplanner.com/service_request?ID=105123" xr:uid="{3C1A2903-D740-4AE1-8093-CAE43F04437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4" activePane="bottomRight" state="frozen"/>
      <selection pane="bottomRight" activeCell="J12" sqref="J12"/>
      <selection pane="bottomLeft" activeCell="C19" sqref="C19"/>
      <selection pane="topRight" activeCell="C19" sqref="C19"/>
    </sheetView>
  </sheetViews>
  <sheetFormatPr defaultRowHeight="13.9"/>
  <cols>
    <col min="1" max="1" width="53.2851562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115"/>
  </cols>
  <sheetData>
    <row r="1" spans="1:15" ht="19.5" customHeight="1">
      <c r="A1" s="128" t="str" cm="1">
        <f t="array" ref="A1">portfolio</f>
        <v>Luminace</v>
      </c>
      <c r="B1" s="128"/>
      <c r="C1" s="128"/>
      <c r="D1" s="129" t="s">
        <v>137</v>
      </c>
      <c r="E1" s="129"/>
      <c r="F1" s="129"/>
      <c r="G1" s="127" t="s">
        <v>138</v>
      </c>
      <c r="H1" s="127"/>
      <c r="I1" s="127"/>
      <c r="J1" s="4"/>
      <c r="K1" s="4"/>
    </row>
    <row r="2" spans="1:15" ht="19.5" customHeight="1">
      <c r="A2" s="130" t="s">
        <v>2</v>
      </c>
      <c r="B2" s="130"/>
      <c r="C2" s="5">
        <f>SUM(C4:C80)</f>
        <v>4986107.9980137972</v>
      </c>
      <c r="D2" s="5">
        <f>SUM(D4:D80)</f>
        <v>5447364.5449999999</v>
      </c>
      <c r="E2" s="5">
        <f>C2-D2</f>
        <v>-461256.54698620271</v>
      </c>
      <c r="F2" s="6">
        <f>IFERROR(E2/D2, 0)</f>
        <v>-8.4675175155952909E-2</v>
      </c>
      <c r="G2" s="5">
        <f>SUM(G4:G80)</f>
        <v>6050747.9399999995</v>
      </c>
      <c r="H2" s="7">
        <f>C2-G2</f>
        <v>-1064639.9419862023</v>
      </c>
      <c r="I2" s="6">
        <f>IFERROR(H2/G2, 0)</f>
        <v>-0.17595179183520945</v>
      </c>
      <c r="J2" s="11" t="str">
        <f ca="1">IF(AND(TODAY()&gt;DATE(2024, 9, 1), COUNTA(Sites[Site])&lt;&gt;(COUNT(C:C)-1)), "Some sites are missing actual data; if new sites were added, make sure they are aligned correctly (including prior months!)", "")</f>
        <v/>
      </c>
      <c r="K2" s="4"/>
    </row>
    <row r="3" spans="1:15" ht="14.25" customHeight="1">
      <c r="A3" s="12" t="s">
        <v>3</v>
      </c>
      <c r="B3" s="12" t="s">
        <v>4</v>
      </c>
      <c r="C3" s="19" t="s">
        <v>5</v>
      </c>
      <c r="D3" s="20" t="s">
        <v>6</v>
      </c>
      <c r="E3" s="20" t="s">
        <v>7</v>
      </c>
      <c r="F3" s="21" t="s">
        <v>8</v>
      </c>
      <c r="G3" s="22" t="s">
        <v>9</v>
      </c>
      <c r="H3" s="23" t="s">
        <v>7</v>
      </c>
      <c r="I3" s="24" t="s">
        <v>8</v>
      </c>
      <c r="J3" s="10" t="s">
        <v>20</v>
      </c>
      <c r="K3" s="10" t="s">
        <v>21</v>
      </c>
    </row>
    <row r="4" spans="1:15" ht="28.9">
      <c r="A4" s="39" t="str" cm="1">
        <f t="array" ref="A4:A18">Sites[Site]</f>
        <v xml:space="preserve">Raymond Ed Re-Development - DC-23-0001 </v>
      </c>
      <c r="B4" s="40" t="str" cm="1">
        <f t="array" ref="B4:B18">Sites[State]</f>
        <v>DC</v>
      </c>
      <c r="C4" s="28">
        <v>44454</v>
      </c>
      <c r="D4" s="29">
        <v>50613.8</v>
      </c>
      <c r="E4" s="29">
        <f>IF(AND(ISNUMBER(C4),ISNUMBER(D4)), C4-D4, "")</f>
        <v>-6159.8000000000029</v>
      </c>
      <c r="F4" s="30">
        <f>IFERROR(E4/D4, "")</f>
        <v>-0.12170198641477231</v>
      </c>
      <c r="G4" s="31">
        <v>49546.54</v>
      </c>
      <c r="H4" s="31">
        <f>IF(AND(ISNUMBER(C4),ISNUMBER(G4)), C4-G4, "")</f>
        <v>-5092.5400000000009</v>
      </c>
      <c r="I4" s="32">
        <f>IFERROR(H4/G4, "")</f>
        <v>-0.10278295921370091</v>
      </c>
      <c r="J4" s="61" t="s">
        <v>139</v>
      </c>
      <c r="K4" s="72" t="s">
        <v>140</v>
      </c>
      <c r="L4" s="64" t="s">
        <v>141</v>
      </c>
    </row>
    <row r="5" spans="1:15" ht="15.6">
      <c r="A5" s="41" t="str">
        <v>Berkeley - NJ-22-C893 Berkeley I</v>
      </c>
      <c r="B5" s="42" t="str">
        <v>NJ</v>
      </c>
      <c r="C5" s="60">
        <v>626371</v>
      </c>
      <c r="D5" s="36">
        <v>434554.12199999997</v>
      </c>
      <c r="E5" s="36">
        <f t="shared" ref="E5:E18" si="0">IF(AND(ISNUMBER(C5),ISNUMBER(D5)), C5-D5, "")</f>
        <v>191816.87800000003</v>
      </c>
      <c r="F5" s="37">
        <f>IFERROR(E5/D5, "")</f>
        <v>0.44141078933316397</v>
      </c>
      <c r="G5" s="38">
        <v>619034.6</v>
      </c>
      <c r="H5" s="38">
        <f t="shared" ref="H5:H18" si="1">IF(AND(ISNUMBER(C5),ISNUMBER(G5)), C5-G5, "")</f>
        <v>7336.4000000000233</v>
      </c>
      <c r="I5" s="37">
        <f t="shared" ref="I5:I18" si="2">IFERROR(H5/G5, "")</f>
        <v>1.1851356935460512E-2</v>
      </c>
      <c r="J5" s="59" t="s">
        <v>142</v>
      </c>
      <c r="K5" s="74" t="s">
        <v>143</v>
      </c>
    </row>
    <row r="6" spans="1:15" ht="28.9">
      <c r="A6" s="43" t="str">
        <v>Berkeley - NJ-22-C894 Berkeley II</v>
      </c>
      <c r="B6" s="40" t="str">
        <v>NJ</v>
      </c>
      <c r="C6" s="28">
        <v>502383</v>
      </c>
      <c r="D6" s="29">
        <v>589235.69999999995</v>
      </c>
      <c r="E6" s="29">
        <f t="shared" si="0"/>
        <v>-86852.699999999953</v>
      </c>
      <c r="F6" s="30">
        <f t="shared" ref="F6:F18" si="3">IFERROR(E6/D6, "")</f>
        <v>-0.14739891014750117</v>
      </c>
      <c r="G6" s="31">
        <v>625132</v>
      </c>
      <c r="H6" s="31">
        <f t="shared" si="1"/>
        <v>-122749</v>
      </c>
      <c r="I6" s="32">
        <f t="shared" si="2"/>
        <v>-0.19635692941650723</v>
      </c>
      <c r="J6" s="61" t="s">
        <v>144</v>
      </c>
      <c r="K6" s="72" t="s">
        <v>145</v>
      </c>
      <c r="L6" s="64" t="s">
        <v>146</v>
      </c>
    </row>
    <row r="7" spans="1:15" ht="57.6">
      <c r="A7" s="41" t="str">
        <v xml:space="preserve"> BEMS Landfill East</v>
      </c>
      <c r="B7" s="42" t="str">
        <v>NJ</v>
      </c>
      <c r="C7" s="35">
        <v>451498</v>
      </c>
      <c r="D7" s="36">
        <v>628617.6</v>
      </c>
      <c r="E7" s="36">
        <f t="shared" si="0"/>
        <v>-177119.59999999998</v>
      </c>
      <c r="F7" s="37">
        <f t="shared" si="3"/>
        <v>-0.28176048522981217</v>
      </c>
      <c r="G7" s="38">
        <v>591954.69999999995</v>
      </c>
      <c r="H7" s="38">
        <f t="shared" si="1"/>
        <v>-140456.69999999995</v>
      </c>
      <c r="I7" s="37">
        <f t="shared" si="2"/>
        <v>-0.23727609562015467</v>
      </c>
      <c r="J7" s="59" t="s">
        <v>147</v>
      </c>
      <c r="K7" s="74" t="s">
        <v>148</v>
      </c>
      <c r="L7" s="64" t="s">
        <v>149</v>
      </c>
      <c r="M7" s="64" t="s">
        <v>150</v>
      </c>
    </row>
    <row r="8" spans="1:15" ht="43.15">
      <c r="A8" s="43" t="str">
        <v>Southampton - BEMS West NJ-22-C898</v>
      </c>
      <c r="B8" s="40" t="str">
        <v>NJ</v>
      </c>
      <c r="C8" s="28">
        <v>516988.99420079798</v>
      </c>
      <c r="D8" s="29">
        <v>608176.6</v>
      </c>
      <c r="E8" s="29">
        <f t="shared" si="0"/>
        <v>-91187.605799201992</v>
      </c>
      <c r="F8" s="30">
        <f t="shared" si="3"/>
        <v>-0.14993606429317077</v>
      </c>
      <c r="G8" s="31">
        <v>600574</v>
      </c>
      <c r="H8" s="31">
        <f t="shared" si="1"/>
        <v>-83585.005799202016</v>
      </c>
      <c r="I8" s="32">
        <f t="shared" si="2"/>
        <v>-0.13917519872522291</v>
      </c>
      <c r="J8" s="61" t="s">
        <v>151</v>
      </c>
      <c r="K8" s="72" t="s">
        <v>152</v>
      </c>
      <c r="L8" s="64" t="s">
        <v>153</v>
      </c>
    </row>
    <row r="9" spans="1:15" ht="15.6">
      <c r="A9" s="41" t="str">
        <v>Lakewood Twp - Emergency Services Dev  - NJ-23-0008</v>
      </c>
      <c r="B9" s="42" t="str">
        <v>NJ</v>
      </c>
      <c r="C9" s="35">
        <v>8251.6328130000002</v>
      </c>
      <c r="D9" s="36">
        <v>8600.1229999999996</v>
      </c>
      <c r="E9" s="36">
        <f t="shared" si="0"/>
        <v>-348.49018699999942</v>
      </c>
      <c r="F9" s="37">
        <f t="shared" si="3"/>
        <v>-4.0521535215252091E-2</v>
      </c>
      <c r="G9" s="38">
        <v>8635</v>
      </c>
      <c r="H9" s="38">
        <f t="shared" si="1"/>
        <v>-383.36718699999983</v>
      </c>
      <c r="I9" s="37">
        <f t="shared" si="2"/>
        <v>-4.4396894846554701E-2</v>
      </c>
      <c r="J9" s="112"/>
      <c r="K9" s="113"/>
    </row>
    <row r="10" spans="1:15" ht="72">
      <c r="A10" s="43" t="str">
        <v>Lakewood Township - Public Works</v>
      </c>
      <c r="B10" s="40" t="str">
        <v>NJ</v>
      </c>
      <c r="C10" s="28">
        <v>143471.875</v>
      </c>
      <c r="D10" s="29">
        <v>157043.5</v>
      </c>
      <c r="E10" s="29">
        <f t="shared" si="0"/>
        <v>-13571.625</v>
      </c>
      <c r="F10" s="30">
        <f t="shared" si="3"/>
        <v>-8.6419527073708882E-2</v>
      </c>
      <c r="G10" s="31">
        <v>68929</v>
      </c>
      <c r="H10" s="31">
        <f t="shared" si="1"/>
        <v>74542.875</v>
      </c>
      <c r="I10" s="32">
        <f t="shared" si="2"/>
        <v>1.0814443122633435</v>
      </c>
      <c r="J10" s="61" t="s">
        <v>154</v>
      </c>
      <c r="K10" s="61"/>
    </row>
    <row r="11" spans="1:15" ht="15.6">
      <c r="A11" s="41" t="str">
        <v>Canby - Dover - OR-23-C003</v>
      </c>
      <c r="B11" s="42" t="str">
        <v>OR</v>
      </c>
      <c r="C11" s="35">
        <v>385167.90100000001</v>
      </c>
      <c r="D11" s="36">
        <v>395274.6</v>
      </c>
      <c r="E11" s="36">
        <f t="shared" si="0"/>
        <v>-10106.698999999964</v>
      </c>
      <c r="F11" s="37">
        <f t="shared" si="3"/>
        <v>-2.5568804572820934E-2</v>
      </c>
      <c r="G11" s="38">
        <v>421891</v>
      </c>
      <c r="H11" s="38">
        <f t="shared" si="1"/>
        <v>-36723.098999999987</v>
      </c>
      <c r="I11" s="37">
        <f t="shared" si="2"/>
        <v>-8.704404455179178E-2</v>
      </c>
      <c r="J11" s="112"/>
      <c r="K11" s="113"/>
    </row>
    <row r="12" spans="1:15" ht="72">
      <c r="A12" s="43" t="str">
        <v xml:space="preserve"> Estacada - Clayfield - OR-23-C001</v>
      </c>
      <c r="B12" s="40" t="str">
        <v>OR</v>
      </c>
      <c r="C12" s="28">
        <v>239999.736</v>
      </c>
      <c r="D12" s="29">
        <v>322642.90000000002</v>
      </c>
      <c r="E12" s="29">
        <f t="shared" si="0"/>
        <v>-82643.164000000019</v>
      </c>
      <c r="F12" s="30">
        <f t="shared" si="3"/>
        <v>-0.25614437509705007</v>
      </c>
      <c r="G12" s="31">
        <v>480855</v>
      </c>
      <c r="H12" s="31">
        <f t="shared" si="1"/>
        <v>-240855.264</v>
      </c>
      <c r="I12" s="32">
        <f t="shared" si="2"/>
        <v>-0.5008895904170696</v>
      </c>
      <c r="J12" s="61" t="s">
        <v>155</v>
      </c>
      <c r="K12" s="72" t="s">
        <v>156</v>
      </c>
      <c r="L12" s="64" t="s">
        <v>132</v>
      </c>
    </row>
    <row r="13" spans="1:15" ht="15.6">
      <c r="A13" s="41" t="str">
        <v>Willamina - Waterford - OR-23-C006</v>
      </c>
      <c r="B13" s="42" t="str">
        <v>OR</v>
      </c>
      <c r="C13" s="35">
        <v>382928.33899999998</v>
      </c>
      <c r="D13" s="36">
        <v>380469.4</v>
      </c>
      <c r="E13" s="36">
        <f t="shared" si="0"/>
        <v>2458.9389999999548</v>
      </c>
      <c r="F13" s="37">
        <f t="shared" si="3"/>
        <v>6.4629087122379742E-3</v>
      </c>
      <c r="G13" s="38">
        <v>432358</v>
      </c>
      <c r="H13" s="38">
        <f t="shared" si="1"/>
        <v>-49429.661000000022</v>
      </c>
      <c r="I13" s="37">
        <f t="shared" si="2"/>
        <v>-0.11432576938555554</v>
      </c>
      <c r="J13" s="112" t="s">
        <v>157</v>
      </c>
      <c r="K13" s="114" t="s">
        <v>158</v>
      </c>
    </row>
    <row r="14" spans="1:15" ht="28.9">
      <c r="A14" s="43" t="str">
        <v>OR-23-C005  Solops  SPI - Belvedere Solar</v>
      </c>
      <c r="B14" s="40" t="str">
        <v>OR</v>
      </c>
      <c r="C14" s="28">
        <v>459857.484999999</v>
      </c>
      <c r="D14" s="29">
        <v>485607.3</v>
      </c>
      <c r="E14" s="29">
        <f t="shared" si="0"/>
        <v>-25749.815000000992</v>
      </c>
      <c r="F14" s="30">
        <f t="shared" si="3"/>
        <v>-5.3026004757344036E-2</v>
      </c>
      <c r="G14" s="31">
        <v>546143</v>
      </c>
      <c r="H14" s="31">
        <f t="shared" si="1"/>
        <v>-86285.515000001004</v>
      </c>
      <c r="I14" s="32">
        <f t="shared" si="2"/>
        <v>-0.15799070023785164</v>
      </c>
      <c r="J14" s="61" t="s">
        <v>159</v>
      </c>
      <c r="K14" s="72" t="s">
        <v>160</v>
      </c>
      <c r="L14" s="64" t="s">
        <v>161</v>
      </c>
    </row>
    <row r="15" spans="1:15" ht="15.6">
      <c r="A15" s="41" t="str">
        <v>OR-23-C002  SPI - Cork Solar</v>
      </c>
      <c r="B15" s="42" t="str">
        <v>OR</v>
      </c>
      <c r="C15" s="35">
        <v>237596.038</v>
      </c>
      <c r="D15" s="36">
        <v>230234.2</v>
      </c>
      <c r="E15" s="36">
        <f t="shared" si="0"/>
        <v>7361.8379999999888</v>
      </c>
      <c r="F15" s="37">
        <f t="shared" si="3"/>
        <v>3.1975431973182041E-2</v>
      </c>
      <c r="G15" s="38">
        <v>248127</v>
      </c>
      <c r="H15" s="38">
        <f t="shared" si="1"/>
        <v>-10530.962</v>
      </c>
      <c r="I15" s="37">
        <f t="shared" si="2"/>
        <v>-4.2441822131408513E-2</v>
      </c>
      <c r="J15" s="112"/>
      <c r="K15" s="113"/>
    </row>
    <row r="16" spans="1:15" ht="72">
      <c r="A16" s="43" t="str">
        <v>OR: Oregon City - Buckner Creek - OR-23-C008</v>
      </c>
      <c r="B16" s="40" t="str">
        <v>OR</v>
      </c>
      <c r="C16" s="28">
        <v>237462.39</v>
      </c>
      <c r="D16" s="29">
        <v>357689.4</v>
      </c>
      <c r="E16" s="29">
        <f t="shared" si="0"/>
        <v>-120227.01000000001</v>
      </c>
      <c r="F16" s="30">
        <f t="shared" si="3"/>
        <v>-0.33612125492116907</v>
      </c>
      <c r="G16" s="31">
        <v>424314</v>
      </c>
      <c r="H16" s="31">
        <f t="shared" si="1"/>
        <v>-186851.61</v>
      </c>
      <c r="I16" s="32">
        <f t="shared" si="2"/>
        <v>-0.44036164255716281</v>
      </c>
      <c r="J16" s="61" t="s">
        <v>162</v>
      </c>
      <c r="K16" s="72" t="s">
        <v>163</v>
      </c>
      <c r="L16" s="64" t="s">
        <v>164</v>
      </c>
      <c r="M16" s="64" t="s">
        <v>165</v>
      </c>
      <c r="N16" s="64" t="s">
        <v>166</v>
      </c>
      <c r="O16" s="64" t="s">
        <v>167</v>
      </c>
    </row>
    <row r="17" spans="1:12" ht="15.6">
      <c r="A17" s="41" t="str">
        <v>OR: Dundee - Gun Club - OR-23-C009</v>
      </c>
      <c r="B17" s="42" t="str">
        <v>OR</v>
      </c>
      <c r="C17" s="35">
        <v>483722.54599999997</v>
      </c>
      <c r="D17" s="36">
        <v>514135</v>
      </c>
      <c r="E17" s="36">
        <f t="shared" si="0"/>
        <v>-30412.454000000027</v>
      </c>
      <c r="F17" s="37">
        <f t="shared" si="3"/>
        <v>-5.9152662238517173E-2</v>
      </c>
      <c r="G17" s="38">
        <v>538888.1</v>
      </c>
      <c r="H17" s="38">
        <f t="shared" si="1"/>
        <v>-55165.554000000004</v>
      </c>
      <c r="I17" s="37">
        <f t="shared" si="2"/>
        <v>-0.10236921913844452</v>
      </c>
      <c r="J17" s="112" t="s">
        <v>168</v>
      </c>
      <c r="K17" s="113"/>
    </row>
    <row r="18" spans="1:12" ht="43.15">
      <c r="A18" s="43" t="str">
        <v>OR: Molalla - Marquam - OR-23-C010</v>
      </c>
      <c r="B18" s="40" t="str">
        <v>OR</v>
      </c>
      <c r="C18" s="28">
        <v>265955.06099999999</v>
      </c>
      <c r="D18" s="29">
        <v>284470.3</v>
      </c>
      <c r="E18" s="29">
        <f t="shared" si="0"/>
        <v>-18515.239000000001</v>
      </c>
      <c r="F18" s="30">
        <f t="shared" si="3"/>
        <v>-6.508672082814973E-2</v>
      </c>
      <c r="G18" s="31">
        <v>394366</v>
      </c>
      <c r="H18" s="31">
        <f t="shared" si="1"/>
        <v>-128410.93900000001</v>
      </c>
      <c r="I18" s="32">
        <f t="shared" si="2"/>
        <v>-0.32561361527109339</v>
      </c>
      <c r="J18" s="61" t="s">
        <v>169</v>
      </c>
      <c r="K18" s="72" t="s">
        <v>170</v>
      </c>
      <c r="L18" s="64" t="s">
        <v>171</v>
      </c>
    </row>
    <row r="19" spans="1:12" ht="14.45">
      <c r="A19" s="8"/>
      <c r="B19" s="13"/>
      <c r="C19" s="8"/>
      <c r="D19" s="8"/>
      <c r="E19" s="8"/>
      <c r="F19" s="9"/>
      <c r="G19" s="8"/>
      <c r="H19" s="8"/>
      <c r="I19" s="9"/>
      <c r="J19" s="8"/>
      <c r="K19" s="8"/>
    </row>
    <row r="20" spans="1:12" ht="14.45">
      <c r="A20" s="8"/>
      <c r="B20" s="13"/>
      <c r="C20" s="8"/>
      <c r="D20" s="8"/>
      <c r="E20" s="8"/>
      <c r="F20" s="9"/>
      <c r="G20" s="8"/>
      <c r="H20" s="8"/>
      <c r="I20" s="9"/>
      <c r="J20" s="8"/>
      <c r="K20" s="8"/>
    </row>
    <row r="21" spans="1:12" ht="14.45">
      <c r="A21" s="8"/>
      <c r="B21" s="13"/>
      <c r="C21" s="8"/>
      <c r="D21" s="8"/>
      <c r="E21" s="8"/>
      <c r="F21" s="9"/>
      <c r="G21" s="8"/>
      <c r="H21" s="8"/>
      <c r="I21" s="9"/>
      <c r="J21" s="8"/>
      <c r="K21" s="8"/>
    </row>
    <row r="22" spans="1:12" ht="14.45">
      <c r="A22" s="8"/>
      <c r="B22" s="13"/>
      <c r="C22" s="8"/>
      <c r="D22" s="8"/>
      <c r="E22" s="8"/>
      <c r="F22" s="9"/>
      <c r="G22" s="8"/>
      <c r="H22" s="8"/>
      <c r="I22" s="9"/>
      <c r="J22" s="8"/>
      <c r="K22" s="8"/>
    </row>
    <row r="23" spans="1:12" ht="14.45">
      <c r="A23" s="8"/>
      <c r="B23" s="13"/>
      <c r="C23" s="8"/>
      <c r="D23" s="8"/>
      <c r="E23" s="8"/>
      <c r="F23" s="9"/>
      <c r="G23" s="8"/>
      <c r="H23" s="8"/>
      <c r="I23" s="9"/>
      <c r="J23" s="8"/>
      <c r="K23" s="8"/>
    </row>
    <row r="24" spans="1:12" ht="14.45">
      <c r="A24" s="8"/>
      <c r="B24" s="13"/>
      <c r="C24" s="8"/>
      <c r="D24" s="8"/>
      <c r="E24" s="8"/>
      <c r="F24" s="9"/>
      <c r="G24" s="8"/>
      <c r="H24" s="8"/>
      <c r="I24" s="9"/>
      <c r="J24" s="8"/>
      <c r="K24" s="8"/>
    </row>
    <row r="25" spans="1:12" ht="14.45">
      <c r="A25" s="8"/>
      <c r="B25" s="13"/>
      <c r="C25" s="8"/>
      <c r="D25" s="8"/>
      <c r="E25" s="8"/>
      <c r="F25" s="9"/>
      <c r="G25" s="8"/>
      <c r="H25" s="8"/>
      <c r="I25" s="9"/>
      <c r="J25" s="8"/>
      <c r="K25" s="8"/>
    </row>
    <row r="26" spans="1:12" ht="14.45">
      <c r="A26" s="8"/>
      <c r="B26" s="13"/>
      <c r="C26" s="8"/>
      <c r="D26" s="8"/>
      <c r="E26" s="8"/>
      <c r="F26" s="9"/>
      <c r="G26" s="8"/>
      <c r="H26" s="8"/>
      <c r="I26" s="9"/>
      <c r="J26" s="8"/>
      <c r="K26" s="8"/>
    </row>
    <row r="27" spans="1:12" ht="14.45">
      <c r="A27" s="8"/>
      <c r="B27" s="13"/>
      <c r="C27" s="8"/>
      <c r="D27" s="8"/>
      <c r="E27" s="8"/>
      <c r="F27" s="9"/>
      <c r="G27" s="8"/>
      <c r="H27" s="8"/>
      <c r="I27" s="9"/>
      <c r="J27" s="8"/>
      <c r="K27" s="8"/>
    </row>
    <row r="28" spans="1:12" ht="14.45">
      <c r="A28" s="8"/>
      <c r="B28" s="13"/>
      <c r="C28" s="8"/>
      <c r="D28" s="8"/>
      <c r="E28" s="8"/>
      <c r="F28" s="9"/>
      <c r="G28" s="8"/>
      <c r="H28" s="8"/>
      <c r="I28" s="9"/>
      <c r="J28" s="8"/>
      <c r="K28" s="8"/>
    </row>
    <row r="29" spans="1:12" ht="14.45">
      <c r="A29" s="8"/>
      <c r="B29" s="13"/>
      <c r="C29" s="8"/>
      <c r="D29" s="8"/>
      <c r="E29" s="8"/>
      <c r="F29" s="9"/>
      <c r="G29" s="8"/>
      <c r="H29" s="8"/>
      <c r="I29" s="9"/>
      <c r="J29" s="8"/>
      <c r="K29" s="8"/>
    </row>
    <row r="30" spans="1:12" ht="14.45">
      <c r="A30" s="8"/>
      <c r="B30" s="13"/>
      <c r="C30" s="8"/>
      <c r="D30" s="8"/>
      <c r="E30" s="8"/>
      <c r="F30" s="9"/>
      <c r="G30" s="8"/>
      <c r="H30" s="8"/>
      <c r="I30" s="9"/>
      <c r="J30" s="8"/>
      <c r="K30" s="8"/>
    </row>
    <row r="31" spans="1:12" ht="14.45">
      <c r="A31" s="8"/>
      <c r="B31" s="13"/>
      <c r="C31" s="8"/>
      <c r="D31" s="8"/>
      <c r="E31" s="8"/>
      <c r="F31" s="9"/>
      <c r="G31" s="8"/>
      <c r="H31" s="8"/>
      <c r="I31" s="9"/>
      <c r="J31" s="8"/>
      <c r="K31" s="8"/>
    </row>
    <row r="32" spans="1:12" ht="14.45">
      <c r="A32" s="8"/>
      <c r="B32" s="13"/>
      <c r="C32" s="8"/>
      <c r="D32" s="8"/>
      <c r="E32" s="8"/>
      <c r="F32" s="9"/>
      <c r="G32" s="8"/>
      <c r="H32" s="8"/>
      <c r="I32" s="9"/>
      <c r="J32" s="8"/>
      <c r="K32" s="8"/>
    </row>
    <row r="33" spans="1:11" ht="14.45">
      <c r="A33" s="8"/>
      <c r="B33" s="13"/>
      <c r="C33" s="8"/>
      <c r="D33" s="8"/>
      <c r="E33" s="8"/>
      <c r="F33" s="9"/>
      <c r="G33" s="8"/>
      <c r="H33" s="8"/>
      <c r="I33" s="9"/>
      <c r="J33" s="8"/>
      <c r="K33" s="8"/>
    </row>
    <row r="34" spans="1:11" ht="14.45">
      <c r="A34" s="8"/>
      <c r="B34" s="13"/>
      <c r="C34" s="8"/>
      <c r="D34" s="8"/>
      <c r="E34" s="8"/>
      <c r="F34" s="9"/>
      <c r="G34" s="8"/>
      <c r="H34" s="8"/>
      <c r="I34" s="9"/>
      <c r="J34" s="8"/>
      <c r="K34" s="8"/>
    </row>
    <row r="35" spans="1:11" ht="14.45">
      <c r="A35" s="8"/>
      <c r="B35" s="13"/>
      <c r="C35" s="8"/>
      <c r="D35" s="8"/>
      <c r="E35" s="8"/>
      <c r="F35" s="9"/>
      <c r="G35" s="8"/>
      <c r="H35" s="8"/>
      <c r="I35" s="9"/>
      <c r="J35" s="8"/>
      <c r="K35" s="8"/>
    </row>
    <row r="36" spans="1:11" ht="14.45">
      <c r="A36" s="8"/>
      <c r="B36" s="13"/>
      <c r="C36" s="8"/>
      <c r="D36" s="8"/>
      <c r="E36" s="8"/>
      <c r="F36" s="9"/>
      <c r="G36" s="8"/>
      <c r="H36" s="8"/>
      <c r="I36" s="9"/>
      <c r="J36" s="8"/>
      <c r="K36" s="8"/>
    </row>
    <row r="37" spans="1:11" ht="14.45">
      <c r="A37" s="8"/>
      <c r="B37" s="13"/>
      <c r="C37" s="8"/>
      <c r="D37" s="8"/>
      <c r="E37" s="8"/>
      <c r="F37" s="9"/>
      <c r="G37" s="8"/>
      <c r="H37" s="8"/>
      <c r="I37" s="9"/>
      <c r="J37" s="8"/>
      <c r="K37" s="8"/>
    </row>
    <row r="38" spans="1:11" ht="14.45">
      <c r="A38" s="8"/>
      <c r="B38" s="13"/>
      <c r="C38" s="8"/>
      <c r="D38" s="8"/>
      <c r="E38" s="8"/>
      <c r="F38" s="9"/>
      <c r="G38" s="8"/>
      <c r="H38" s="8"/>
      <c r="I38" s="9"/>
      <c r="J38" s="8"/>
      <c r="K38" s="8"/>
    </row>
    <row r="39" spans="1:11" ht="14.45">
      <c r="A39" s="8"/>
      <c r="B39" s="13"/>
      <c r="C39" s="8"/>
      <c r="D39" s="8"/>
      <c r="E39" s="8"/>
      <c r="F39" s="9"/>
      <c r="G39" s="8"/>
      <c r="H39" s="8"/>
      <c r="I39" s="9"/>
      <c r="J39" s="8"/>
      <c r="K39" s="8"/>
    </row>
    <row r="40" spans="1:11" ht="14.45">
      <c r="A40" s="8"/>
      <c r="B40" s="13"/>
      <c r="C40" s="8"/>
      <c r="D40" s="8"/>
      <c r="E40" s="8"/>
      <c r="F40" s="9"/>
      <c r="G40" s="8"/>
      <c r="H40" s="8"/>
      <c r="I40" s="9"/>
      <c r="J40" s="8"/>
      <c r="K40" s="8"/>
    </row>
    <row r="41" spans="1:11" ht="14.45">
      <c r="A41" s="8"/>
      <c r="B41" s="13"/>
      <c r="C41" s="8"/>
      <c r="D41" s="8"/>
      <c r="E41" s="8"/>
      <c r="F41" s="9"/>
      <c r="G41" s="8"/>
      <c r="H41" s="8"/>
      <c r="I41" s="9"/>
      <c r="J41" s="8"/>
      <c r="K41" s="8"/>
    </row>
    <row r="42" spans="1:11" ht="14.45">
      <c r="A42" s="8"/>
      <c r="B42" s="13"/>
      <c r="C42" s="8"/>
      <c r="D42" s="8"/>
      <c r="E42" s="8"/>
      <c r="F42" s="9"/>
      <c r="G42" s="8"/>
      <c r="H42" s="8"/>
      <c r="I42" s="9"/>
      <c r="J42" s="8"/>
      <c r="K42" s="8"/>
    </row>
    <row r="43" spans="1:11" ht="14.45">
      <c r="A43" s="8"/>
      <c r="B43" s="13"/>
      <c r="C43" s="8"/>
      <c r="D43" s="8"/>
      <c r="E43" s="8"/>
      <c r="F43" s="9"/>
      <c r="G43" s="8"/>
      <c r="H43" s="8"/>
      <c r="I43" s="9"/>
      <c r="J43" s="8"/>
      <c r="K43" s="8"/>
    </row>
    <row r="44" spans="1:11" ht="14.45">
      <c r="A44" s="8"/>
      <c r="B44" s="13"/>
      <c r="C44" s="8"/>
      <c r="D44" s="8"/>
      <c r="E44" s="8"/>
      <c r="F44" s="9"/>
      <c r="G44" s="8"/>
      <c r="H44" s="8"/>
      <c r="I44" s="9"/>
      <c r="J44" s="8"/>
      <c r="K44" s="8"/>
    </row>
    <row r="45" spans="1:11" ht="14.45">
      <c r="A45" s="8"/>
      <c r="B45" s="13"/>
      <c r="C45" s="8"/>
      <c r="D45" s="8"/>
      <c r="E45" s="8"/>
      <c r="F45" s="9"/>
      <c r="G45" s="8"/>
      <c r="H45" s="8"/>
      <c r="I45" s="9"/>
      <c r="J45" s="8"/>
      <c r="K45" s="8"/>
    </row>
    <row r="46" spans="1:11" ht="14.45">
      <c r="A46" s="8"/>
      <c r="B46" s="13"/>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7731" xr:uid="{E92A2356-6476-4B6C-9959-9AE71017917D}"/>
    <hyperlink ref="L4" r:id="rId2" display="https://us3.assetplanner.com/service_request?ID=107760" xr:uid="{ECFC3FA2-1008-4A80-A752-450C519F4338}"/>
    <hyperlink ref="K5" r:id="rId3" display="https://us3.assetplanner.com/service_request?ID=106974" xr:uid="{F17DFD5F-AA74-41B1-B7A6-4C0E3C62FACE}"/>
    <hyperlink ref="K6" r:id="rId4" display="https://us3.assetplanner.com/service_request?ID=107483" xr:uid="{E4CAC77A-AADA-4E71-9B99-FADF793A7D3E}"/>
    <hyperlink ref="L6" r:id="rId5" display="https://us3.assetplanner.com/service_request?ID=107895" xr:uid="{066FDEAD-DBB5-4D8A-9F0E-3380BC804F8A}"/>
    <hyperlink ref="K7" r:id="rId6" display="https://us3.assetplanner.com/service_request?ID=107944" xr:uid="{ED514538-ACFE-4158-89C5-0BF67437FC48}"/>
    <hyperlink ref="L7" r:id="rId7" display="https://us3.assetplanner.com/service_request?ID=107388" xr:uid="{B6F432AE-F264-4CF2-B074-30AA41707AD9}"/>
    <hyperlink ref="M7" r:id="rId8" display="https://us3.assetplanner.com/service_request?ID=107269" xr:uid="{99E0B410-4B79-43AF-8200-AEDEFB43355C}"/>
    <hyperlink ref="K8" r:id="rId9" display="https://us3.assetplanner.com/service_request?ID=108453" xr:uid="{AABEBEE9-2C91-4AC1-9F9D-E2D7746D8C3F}"/>
    <hyperlink ref="L8" r:id="rId10" display="https://us3.assetplanner.com/service_request?ID=108684" xr:uid="{9CB301A5-B491-4F49-91C1-8F7AA6B56474}"/>
    <hyperlink ref="K12" r:id="rId11" display="https://us3.assetplanner.com/service_request?ID=107017" xr:uid="{4A73C4FA-C9A8-4029-B257-218D9ACAD228}"/>
    <hyperlink ref="L12" r:id="rId12" display="https://us3.assetplanner.com/service_request?ID=106841" xr:uid="{A5476BE4-6F31-433F-AA35-82D362FB856B}"/>
    <hyperlink ref="K13" r:id="rId13" display="https://us3.assetplanner.com/service_request?ID=101124" xr:uid="{6B996B32-2CF6-4B80-BB80-510A8857CE58}"/>
    <hyperlink ref="K14" r:id="rId14" display="https://us3.assetplanner.com/service_request?ID=107723" xr:uid="{B1A37ECF-1BFE-4A56-BAC5-30CE9F576C69}"/>
    <hyperlink ref="L14" r:id="rId15" display="https://us3.assetplanner.com/service_request?ID=107292" xr:uid="{259DC9A0-87D9-475B-A484-B5B98CFCD78C}"/>
    <hyperlink ref="K16" r:id="rId16" display="https://us3.assetplanner.com/service_request?ID=108693" xr:uid="{0C0A19C1-52B2-46AA-8A59-DA9CE42CDE2B}"/>
    <hyperlink ref="L16" r:id="rId17" display="https://us3.assetplanner.com/service_request?ID=108253" xr:uid="{B12E5304-9E40-482E-B083-1763654BF281}"/>
    <hyperlink ref="M16" r:id="rId18" display="https://us3.assetplanner.com/service_request?ID=107549" xr:uid="{BBA03EFF-88D4-40CC-95A5-DE389C0E61DD}"/>
    <hyperlink ref="N16" r:id="rId19" display="https://us3.assetplanner.com/service_request?ID=107187" xr:uid="{47D6A702-5348-4FAC-8E92-803FB880177D}"/>
    <hyperlink ref="O16" r:id="rId20" display="https://us3.assetplanner.com/service_request?ID=107186" xr:uid="{23BB1C10-1070-47E8-8E66-724FCCA2EE6F}"/>
    <hyperlink ref="K18" r:id="rId21" display="https://us3.assetplanner.com/service_request?ID=108553" xr:uid="{A101B4E8-E0A1-40A5-80BC-EF9B01049A9E}"/>
    <hyperlink ref="L18" r:id="rId22" display="https://us3.assetplanner.com/service_request?ID=108552" xr:uid="{EE0868BB-9D24-41D6-8393-72DC07A273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22"/>
  <sheetViews>
    <sheetView zoomScale="60" zoomScaleNormal="60" workbookViewId="0">
      <pane xSplit="2" ySplit="3" topLeftCell="C4" activePane="bottomRight" state="frozen"/>
      <selection pane="bottomRight" activeCell="P7" sqref="P7"/>
      <selection pane="bottomLeft" activeCell="C19" sqref="C19"/>
      <selection pane="topRight" activeCell="C19" sqref="C19"/>
    </sheetView>
  </sheetViews>
  <sheetFormatPr defaultRowHeight="14.45"/>
  <cols>
    <col min="1" max="1" width="44.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style="116" customWidth="1"/>
    <col min="11" max="11" width="20.5703125" style="116" bestFit="1" customWidth="1"/>
    <col min="12" max="12" width="16.5703125" style="117" customWidth="1"/>
  </cols>
  <sheetData>
    <row r="1" spans="1:14" ht="19.5" customHeight="1">
      <c r="A1" s="128" t="str" cm="1">
        <f t="array" ref="A1">portfolio</f>
        <v>Luminace</v>
      </c>
      <c r="B1" s="128"/>
      <c r="C1" s="128"/>
      <c r="D1" s="129" t="s">
        <v>172</v>
      </c>
      <c r="E1" s="129"/>
      <c r="F1" s="129"/>
      <c r="G1" s="127" t="s">
        <v>173</v>
      </c>
      <c r="H1" s="127"/>
      <c r="I1" s="127"/>
      <c r="J1" s="118"/>
      <c r="K1" s="118"/>
      <c r="L1" s="122"/>
    </row>
    <row r="2" spans="1:14" ht="19.5" customHeight="1">
      <c r="A2" s="130" t="s">
        <v>2</v>
      </c>
      <c r="B2" s="130"/>
      <c r="C2" s="5">
        <f>SUM(C4:C80)</f>
        <v>3746334.5699165473</v>
      </c>
      <c r="D2" s="5">
        <f>SUM(D4:D80)</f>
        <v>3815106.0860000001</v>
      </c>
      <c r="E2" s="5">
        <f>C2-D2</f>
        <v>-68771.516083452851</v>
      </c>
      <c r="F2" s="6">
        <f>IFERROR(E2/D2, 0)</f>
        <v>-1.8026108457591353E-2</v>
      </c>
      <c r="G2" s="5">
        <f>SUM(G4:G80)</f>
        <v>4778606.42</v>
      </c>
      <c r="H2" s="7">
        <f>C2-G2</f>
        <v>-1032271.8500834526</v>
      </c>
      <c r="I2" s="6">
        <f>IFERROR(H2/G2, 0)</f>
        <v>-0.21601943314751013</v>
      </c>
      <c r="J2" s="119" t="str">
        <f ca="1">IF(AND(TODAY()&gt;DATE(2024, 10, 1), COUNTA(Sites[Site])&lt;&gt;(COUNT(C:C)-1)), "Some sites are missing actual data; if new sites were added, make sure they are aligned correctly (including prior months!)", "")</f>
        <v/>
      </c>
      <c r="K2" s="118"/>
      <c r="L2" s="122"/>
    </row>
    <row r="3" spans="1:14" ht="14.25" customHeight="1">
      <c r="A3" s="12" t="s">
        <v>3</v>
      </c>
      <c r="B3" s="12" t="s">
        <v>4</v>
      </c>
      <c r="C3" s="19" t="s">
        <v>5</v>
      </c>
      <c r="D3" s="20" t="s">
        <v>6</v>
      </c>
      <c r="E3" s="20" t="s">
        <v>7</v>
      </c>
      <c r="F3" s="21" t="s">
        <v>8</v>
      </c>
      <c r="G3" s="22" t="s">
        <v>9</v>
      </c>
      <c r="H3" s="23" t="s">
        <v>7</v>
      </c>
      <c r="I3" s="24" t="s">
        <v>8</v>
      </c>
      <c r="J3" s="120" t="s">
        <v>20</v>
      </c>
      <c r="K3" s="120" t="s">
        <v>21</v>
      </c>
      <c r="L3" s="120" t="s">
        <v>174</v>
      </c>
    </row>
    <row r="4" spans="1:14" ht="28.9">
      <c r="A4" s="39" t="str" cm="1">
        <f t="array" ref="A4:A18">Sites[Site]</f>
        <v xml:space="preserve">Raymond Ed Re-Development - DC-23-0001 </v>
      </c>
      <c r="B4" s="40" t="str" cm="1">
        <f t="array" ref="B4:B18">Sites[State]</f>
        <v>DC</v>
      </c>
      <c r="C4" s="28">
        <v>41881.700000000099</v>
      </c>
      <c r="D4" s="29">
        <v>51253.599999999999</v>
      </c>
      <c r="E4" s="29">
        <f>IF(AND(ISNUMBER(C4),ISNUMBER(D4)), C4-D4, "")</f>
        <v>-9371.8999999998996</v>
      </c>
      <c r="F4" s="30">
        <f>IFERROR(E4/D4, "")</f>
        <v>-0.18285349712020033</v>
      </c>
      <c r="G4" s="31">
        <v>40799.019999999997</v>
      </c>
      <c r="H4" s="31">
        <f>IF(AND(ISNUMBER(C4),ISNUMBER(G4)), C4-G4, "")</f>
        <v>1082.6800000001022</v>
      </c>
      <c r="I4" s="32">
        <f>IFERROR(H4/G4, "")</f>
        <v>2.6536911916024017E-2</v>
      </c>
      <c r="J4" s="121" t="s">
        <v>175</v>
      </c>
      <c r="K4" s="72" t="s">
        <v>176</v>
      </c>
      <c r="L4" s="121" t="s">
        <v>177</v>
      </c>
      <c r="M4" s="73" t="s">
        <v>178</v>
      </c>
    </row>
    <row r="5" spans="1:14" ht="84" customHeight="1">
      <c r="A5" s="41" t="str">
        <v>Berkeley - NJ-22-C893 Berkeley I</v>
      </c>
      <c r="B5" s="42" t="str">
        <v>NJ</v>
      </c>
      <c r="C5" s="35">
        <v>569330</v>
      </c>
      <c r="D5" s="36">
        <v>362283.8</v>
      </c>
      <c r="E5" s="36">
        <f t="shared" ref="E5:E8" si="0">IF(AND(ISNUMBER(C5),ISNUMBER(D5)), C5-D5, "")</f>
        <v>207046.2</v>
      </c>
      <c r="F5" s="37">
        <f>IFERROR(E5/D5, "")</f>
        <v>0.57150278317716663</v>
      </c>
      <c r="G5" s="38">
        <v>538602.5</v>
      </c>
      <c r="H5" s="38">
        <f t="shared" ref="H5:H8" si="1">IF(AND(ISNUMBER(C5),ISNUMBER(G5)), C5-G5, "")</f>
        <v>30727.5</v>
      </c>
      <c r="I5" s="37">
        <f t="shared" ref="I5:I8" si="2">IFERROR(H5/G5, "")</f>
        <v>5.7050422157342379E-2</v>
      </c>
      <c r="J5" s="124" t="s">
        <v>179</v>
      </c>
      <c r="K5" s="74" t="s">
        <v>180</v>
      </c>
      <c r="L5" s="124" t="s">
        <v>181</v>
      </c>
      <c r="M5" s="73" t="s">
        <v>182</v>
      </c>
    </row>
    <row r="6" spans="1:14" ht="72" customHeight="1">
      <c r="A6" s="43" t="str">
        <v>Berkeley - NJ-22-C894 Berkeley II</v>
      </c>
      <c r="B6" s="40" t="str">
        <v>NJ</v>
      </c>
      <c r="C6" s="28">
        <v>515913</v>
      </c>
      <c r="D6" s="29">
        <v>562736.9</v>
      </c>
      <c r="E6" s="29">
        <f t="shared" si="0"/>
        <v>-46823.900000000023</v>
      </c>
      <c r="F6" s="30">
        <f t="shared" ref="F6:F8" si="3">IFERROR(E6/D6, "")</f>
        <v>-8.3207445610906303E-2</v>
      </c>
      <c r="G6" s="31">
        <v>544464</v>
      </c>
      <c r="H6" s="31">
        <f t="shared" si="1"/>
        <v>-28551</v>
      </c>
      <c r="I6" s="32">
        <f t="shared" si="2"/>
        <v>-5.2438728731376179E-2</v>
      </c>
      <c r="J6" s="121" t="s">
        <v>183</v>
      </c>
      <c r="K6" s="72" t="s">
        <v>145</v>
      </c>
      <c r="L6" s="121" t="s">
        <v>184</v>
      </c>
      <c r="M6" s="73" t="s">
        <v>146</v>
      </c>
    </row>
    <row r="7" spans="1:14" ht="47.25" customHeight="1">
      <c r="A7" s="41" t="str">
        <v xml:space="preserve"> BEMS Landfill East</v>
      </c>
      <c r="B7" s="42" t="str">
        <v>NJ</v>
      </c>
      <c r="C7" s="35">
        <v>388069</v>
      </c>
      <c r="D7" s="36">
        <v>518793.3</v>
      </c>
      <c r="E7" s="36">
        <f t="shared" si="0"/>
        <v>-130724.29999999999</v>
      </c>
      <c r="F7" s="37">
        <f t="shared" si="3"/>
        <v>-0.25197761806098884</v>
      </c>
      <c r="G7" s="38">
        <v>507032.4</v>
      </c>
      <c r="H7" s="38">
        <f t="shared" si="1"/>
        <v>-118963.40000000002</v>
      </c>
      <c r="I7" s="37">
        <f t="shared" si="2"/>
        <v>-0.2346268206923266</v>
      </c>
      <c r="J7" s="124" t="s">
        <v>185</v>
      </c>
      <c r="K7" s="74" t="s">
        <v>186</v>
      </c>
      <c r="L7" s="124" t="s">
        <v>187</v>
      </c>
      <c r="M7" s="73" t="s">
        <v>188</v>
      </c>
    </row>
    <row r="8" spans="1:14" ht="57.6">
      <c r="A8" s="43" t="str">
        <v>Southampton - BEMS West NJ-22-C898</v>
      </c>
      <c r="B8" s="40" t="str">
        <v>NJ</v>
      </c>
      <c r="C8" s="28">
        <v>553958.00579920202</v>
      </c>
      <c r="D8" s="29">
        <v>565464.6</v>
      </c>
      <c r="E8" s="29">
        <f t="shared" si="0"/>
        <v>-11506.594200797961</v>
      </c>
      <c r="F8" s="30">
        <f t="shared" si="3"/>
        <v>-2.0348920517390411E-2</v>
      </c>
      <c r="G8" s="31">
        <v>514787</v>
      </c>
      <c r="H8" s="31">
        <f t="shared" si="1"/>
        <v>39171.005799202016</v>
      </c>
      <c r="I8" s="32">
        <f t="shared" si="2"/>
        <v>7.6091676361683597E-2</v>
      </c>
      <c r="J8" s="121" t="s">
        <v>189</v>
      </c>
      <c r="K8" s="72" t="s">
        <v>190</v>
      </c>
      <c r="L8" s="121" t="s">
        <v>181</v>
      </c>
      <c r="M8" s="73" t="s">
        <v>153</v>
      </c>
      <c r="N8" s="73" t="s">
        <v>191</v>
      </c>
    </row>
    <row r="9" spans="1:14" ht="15.6">
      <c r="A9" s="41" t="str">
        <v>Lakewood Twp - Emergency Services Dev  - NJ-23-0008</v>
      </c>
      <c r="B9" s="42" t="str">
        <v>NJ</v>
      </c>
      <c r="C9" s="35">
        <v>5682.140625</v>
      </c>
      <c r="D9" s="36">
        <v>6072.0860000000002</v>
      </c>
      <c r="E9" s="36">
        <f t="shared" ref="E9:E18" si="4">IF(AND(ISNUMBER(C9),ISNUMBER(D9)), C9-D9, "")</f>
        <v>-389.94537500000024</v>
      </c>
      <c r="F9" s="37">
        <f t="shared" ref="F9:F18" si="5">IFERROR(E9/D9, "")</f>
        <v>-6.4219343237233495E-2</v>
      </c>
      <c r="G9" s="38">
        <v>5947</v>
      </c>
      <c r="H9" s="38">
        <f t="shared" ref="H9:H18" si="6">IF(AND(ISNUMBER(C9),ISNUMBER(G9)), C9-G9, "")</f>
        <v>-264.859375</v>
      </c>
      <c r="I9" s="37">
        <f t="shared" ref="I9:I18" si="7">IFERROR(H9/G9, "")</f>
        <v>-4.453663611905162E-2</v>
      </c>
      <c r="J9" s="124"/>
      <c r="K9" s="124"/>
      <c r="L9" s="124"/>
    </row>
    <row r="10" spans="1:14" ht="36" customHeight="1">
      <c r="A10" s="43" t="str">
        <v>Lakewood Township - Public Works</v>
      </c>
      <c r="B10" s="40" t="str">
        <v>NJ</v>
      </c>
      <c r="C10" s="28">
        <v>111622.375</v>
      </c>
      <c r="D10" s="29">
        <v>128188.3</v>
      </c>
      <c r="E10" s="29">
        <f t="shared" si="4"/>
        <v>-16565.925000000003</v>
      </c>
      <c r="F10" s="30">
        <f t="shared" si="5"/>
        <v>-0.12923117788440913</v>
      </c>
      <c r="G10" s="31">
        <v>524200</v>
      </c>
      <c r="H10" s="31">
        <f t="shared" si="6"/>
        <v>-412577.625</v>
      </c>
      <c r="I10" s="32">
        <f t="shared" si="7"/>
        <v>-0.78706147462800458</v>
      </c>
      <c r="J10" s="121" t="s">
        <v>192</v>
      </c>
      <c r="K10" s="72" t="s">
        <v>193</v>
      </c>
      <c r="L10" s="121" t="s">
        <v>194</v>
      </c>
    </row>
    <row r="11" spans="1:14" ht="28.9">
      <c r="A11" s="41" t="str">
        <v>Canby - Dover - OR-23-C003</v>
      </c>
      <c r="B11" s="42" t="str">
        <v>OR</v>
      </c>
      <c r="C11" s="35">
        <v>242980.46100000001</v>
      </c>
      <c r="D11" s="36">
        <v>253658.8</v>
      </c>
      <c r="E11" s="36">
        <f t="shared" si="4"/>
        <v>-10678.338999999978</v>
      </c>
      <c r="F11" s="37">
        <f t="shared" si="5"/>
        <v>-4.2097254264389719E-2</v>
      </c>
      <c r="G11" s="38">
        <v>253269</v>
      </c>
      <c r="H11" s="38">
        <f t="shared" si="6"/>
        <v>-10288.53899999999</v>
      </c>
      <c r="I11" s="37">
        <f t="shared" si="7"/>
        <v>-4.0622970043708427E-2</v>
      </c>
      <c r="J11" s="124" t="s">
        <v>195</v>
      </c>
      <c r="K11" s="74" t="s">
        <v>196</v>
      </c>
      <c r="L11" s="124" t="s">
        <v>197</v>
      </c>
    </row>
    <row r="12" spans="1:14" ht="87.75" customHeight="1">
      <c r="A12" s="43" t="str">
        <v xml:space="preserve"> Estacada - Clayfield - OR-23-C001</v>
      </c>
      <c r="B12" s="40" t="str">
        <v>OR</v>
      </c>
      <c r="C12" s="28">
        <v>8898.2391923456507</v>
      </c>
      <c r="D12" s="29">
        <v>13578.6</v>
      </c>
      <c r="E12" s="29">
        <f t="shared" si="4"/>
        <v>-4680.3608076543496</v>
      </c>
      <c r="F12" s="30">
        <f t="shared" si="5"/>
        <v>-0.34468655145997007</v>
      </c>
      <c r="G12" s="31">
        <v>290850</v>
      </c>
      <c r="H12" s="31">
        <f t="shared" si="6"/>
        <v>-281951.76080765435</v>
      </c>
      <c r="I12" s="32">
        <f t="shared" si="7"/>
        <v>-0.96940608838801567</v>
      </c>
      <c r="J12" s="121" t="s">
        <v>198</v>
      </c>
      <c r="K12" s="72" t="s">
        <v>156</v>
      </c>
      <c r="L12" s="121" t="s">
        <v>199</v>
      </c>
      <c r="M12" s="73" t="s">
        <v>132</v>
      </c>
    </row>
    <row r="13" spans="1:14" ht="42" customHeight="1">
      <c r="A13" s="41" t="str">
        <v>Willamina - Waterford - OR-23-C006</v>
      </c>
      <c r="B13" s="42" t="str">
        <v>OR</v>
      </c>
      <c r="C13" s="35">
        <v>148020.30100000001</v>
      </c>
      <c r="D13" s="36">
        <v>183078.2</v>
      </c>
      <c r="E13" s="36">
        <f t="shared" si="4"/>
        <v>-35057.899000000005</v>
      </c>
      <c r="F13" s="37">
        <f t="shared" si="5"/>
        <v>-0.19149139001803603</v>
      </c>
      <c r="G13" s="38">
        <v>278687</v>
      </c>
      <c r="H13" s="38">
        <f t="shared" si="6"/>
        <v>-130666.69899999999</v>
      </c>
      <c r="I13" s="37">
        <f t="shared" si="7"/>
        <v>-0.46886542608733095</v>
      </c>
      <c r="J13" s="124" t="s">
        <v>200</v>
      </c>
      <c r="K13" s="74" t="s">
        <v>201</v>
      </c>
      <c r="L13" s="124" t="s">
        <v>199</v>
      </c>
      <c r="M13" s="73" t="s">
        <v>202</v>
      </c>
    </row>
    <row r="14" spans="1:14" ht="43.15">
      <c r="A14" s="43" t="str">
        <v>OR-23-C005  Solops  SPI - Belvedere Solar</v>
      </c>
      <c r="B14" s="40" t="str">
        <v>OR</v>
      </c>
      <c r="C14" s="28">
        <v>303876.67799999902</v>
      </c>
      <c r="D14" s="29">
        <v>309990</v>
      </c>
      <c r="E14" s="29">
        <f t="shared" si="4"/>
        <v>-6113.3220000009751</v>
      </c>
      <c r="F14" s="30">
        <f t="shared" si="5"/>
        <v>-1.9721029710638972E-2</v>
      </c>
      <c r="G14" s="31">
        <v>317302</v>
      </c>
      <c r="H14" s="31">
        <f t="shared" si="6"/>
        <v>-13425.322000000975</v>
      </c>
      <c r="I14" s="32">
        <f t="shared" si="7"/>
        <v>-4.2310864728243046E-2</v>
      </c>
      <c r="J14" s="121" t="s">
        <v>203</v>
      </c>
      <c r="K14" s="72" t="s">
        <v>204</v>
      </c>
      <c r="L14" s="121" t="s">
        <v>197</v>
      </c>
    </row>
    <row r="15" spans="1:14" ht="15.6">
      <c r="A15" s="41" t="str">
        <v>OR-23-C002  SPI - Cork Solar</v>
      </c>
      <c r="B15" s="42" t="str">
        <v>OR</v>
      </c>
      <c r="C15" s="35">
        <v>166530.08100000001</v>
      </c>
      <c r="D15" s="36">
        <v>166178.5</v>
      </c>
      <c r="E15" s="36">
        <f t="shared" si="4"/>
        <v>351.58100000000559</v>
      </c>
      <c r="F15" s="37">
        <f t="shared" si="5"/>
        <v>2.1156828350238181E-3</v>
      </c>
      <c r="G15" s="38">
        <v>160287</v>
      </c>
      <c r="H15" s="38">
        <f t="shared" si="6"/>
        <v>6243.0810000000056</v>
      </c>
      <c r="I15" s="37">
        <f t="shared" si="7"/>
        <v>3.894939078028789E-2</v>
      </c>
      <c r="J15" s="124"/>
      <c r="K15" s="124"/>
      <c r="L15" s="124"/>
    </row>
    <row r="16" spans="1:14" ht="43.15">
      <c r="A16" s="43" t="str">
        <v>OR: Oregon City - Buckner Creek - OR-23-C008</v>
      </c>
      <c r="B16" s="40" t="str">
        <v>OR</v>
      </c>
      <c r="C16" s="28">
        <v>224317.49429999999</v>
      </c>
      <c r="D16" s="29">
        <v>226176.3</v>
      </c>
      <c r="E16" s="29">
        <f t="shared" si="4"/>
        <v>-1858.8056999999972</v>
      </c>
      <c r="F16" s="30">
        <f t="shared" si="5"/>
        <v>-8.2183929085408031E-3</v>
      </c>
      <c r="G16" s="31">
        <v>257061</v>
      </c>
      <c r="H16" s="31">
        <f t="shared" si="6"/>
        <v>-32743.505700000009</v>
      </c>
      <c r="I16" s="32">
        <f t="shared" si="7"/>
        <v>-0.12737640365516359</v>
      </c>
      <c r="J16" s="121" t="s">
        <v>205</v>
      </c>
      <c r="K16" s="72" t="s">
        <v>206</v>
      </c>
      <c r="L16" s="121" t="s">
        <v>207</v>
      </c>
      <c r="M16" s="73" t="s">
        <v>167</v>
      </c>
    </row>
    <row r="17" spans="1:14" ht="15.6">
      <c r="A17" s="41" t="str">
        <v>OR: Dundee - Gun Club - OR-23-C009</v>
      </c>
      <c r="B17" s="42" t="str">
        <v>OR</v>
      </c>
      <c r="C17" s="35">
        <v>283316.47100000002</v>
      </c>
      <c r="D17" s="36">
        <v>291819.59999999998</v>
      </c>
      <c r="E17" s="36">
        <f t="shared" si="4"/>
        <v>-8503.1289999999572</v>
      </c>
      <c r="F17" s="37">
        <f t="shared" si="5"/>
        <v>-2.9138306679880165E-2</v>
      </c>
      <c r="G17" s="38">
        <v>306495.5</v>
      </c>
      <c r="H17" s="38">
        <f t="shared" si="6"/>
        <v>-23179.02899999998</v>
      </c>
      <c r="I17" s="37">
        <f t="shared" si="7"/>
        <v>-7.5626001034272874E-2</v>
      </c>
      <c r="J17" s="124" t="s">
        <v>168</v>
      </c>
      <c r="K17" s="124"/>
      <c r="L17" s="124"/>
    </row>
    <row r="18" spans="1:14" ht="86.45">
      <c r="A18" s="43" t="str">
        <v>OR: Molalla - Marquam - OR-23-C010</v>
      </c>
      <c r="B18" s="40" t="str">
        <v>OR</v>
      </c>
      <c r="C18" s="28">
        <v>181938.62299999999</v>
      </c>
      <c r="D18" s="29">
        <v>175833.5</v>
      </c>
      <c r="E18" s="29">
        <f t="shared" si="4"/>
        <v>6105.1229999999923</v>
      </c>
      <c r="F18" s="30">
        <f t="shared" si="5"/>
        <v>3.4721045762041887E-2</v>
      </c>
      <c r="G18" s="31">
        <v>238823</v>
      </c>
      <c r="H18" s="31">
        <f t="shared" si="6"/>
        <v>-56884.377000000008</v>
      </c>
      <c r="I18" s="32">
        <f t="shared" si="7"/>
        <v>-0.23818634302391314</v>
      </c>
      <c r="J18" s="121" t="s">
        <v>208</v>
      </c>
      <c r="K18" s="72" t="s">
        <v>209</v>
      </c>
      <c r="L18" s="121" t="s">
        <v>210</v>
      </c>
      <c r="M18" s="73" t="s">
        <v>171</v>
      </c>
      <c r="N18" s="73" t="s">
        <v>211</v>
      </c>
    </row>
    <row r="19" spans="1:14">
      <c r="A19" s="8"/>
      <c r="B19" s="13"/>
      <c r="C19" s="8"/>
      <c r="D19" s="8"/>
      <c r="E19" s="8"/>
      <c r="F19" s="9"/>
      <c r="G19" s="8"/>
      <c r="H19" s="8"/>
      <c r="I19" s="9"/>
      <c r="J19" s="123"/>
      <c r="K19" s="123"/>
      <c r="L19" s="122"/>
    </row>
    <row r="20" spans="1:14">
      <c r="A20" s="8"/>
      <c r="B20" s="13"/>
      <c r="C20" s="8"/>
      <c r="D20" s="8"/>
      <c r="E20" s="8"/>
      <c r="F20" s="9"/>
      <c r="G20" s="8"/>
      <c r="H20" s="8"/>
      <c r="I20" s="9"/>
      <c r="J20" s="123"/>
      <c r="K20" s="123"/>
      <c r="L20" s="122"/>
    </row>
    <row r="21" spans="1:14">
      <c r="A21" s="8"/>
      <c r="B21" s="13"/>
      <c r="C21" s="8"/>
      <c r="D21" s="8"/>
      <c r="E21" s="8"/>
      <c r="F21" s="9"/>
      <c r="G21" s="8"/>
      <c r="H21" s="8"/>
      <c r="I21" s="9"/>
      <c r="J21" s="123"/>
      <c r="K21" s="123"/>
      <c r="L21" s="122"/>
    </row>
    <row r="22" spans="1:14">
      <c r="A22" s="8"/>
      <c r="B22" s="13"/>
      <c r="C22" s="8"/>
      <c r="D22" s="8"/>
      <c r="E22" s="8"/>
      <c r="F22" s="9"/>
      <c r="G22" s="8"/>
      <c r="H22" s="8"/>
      <c r="I22" s="9"/>
      <c r="J22" s="123"/>
      <c r="K22" s="123"/>
      <c r="L22" s="122"/>
    </row>
    <row r="23" spans="1:14">
      <c r="A23" s="8"/>
      <c r="B23" s="13"/>
      <c r="C23" s="8"/>
      <c r="D23" s="8"/>
      <c r="E23" s="8"/>
      <c r="F23" s="9"/>
      <c r="G23" s="8"/>
      <c r="H23" s="8"/>
      <c r="I23" s="9"/>
      <c r="J23" s="123"/>
      <c r="K23" s="123"/>
      <c r="L23" s="122"/>
    </row>
    <row r="24" spans="1:14">
      <c r="A24" s="8"/>
      <c r="B24" s="13"/>
      <c r="C24" s="8"/>
      <c r="D24" s="8"/>
      <c r="E24" s="8"/>
      <c r="F24" s="9"/>
      <c r="G24" s="8"/>
      <c r="H24" s="8"/>
      <c r="I24" s="9"/>
      <c r="J24" s="123"/>
      <c r="K24" s="123"/>
      <c r="L24" s="122"/>
    </row>
    <row r="25" spans="1:14">
      <c r="A25" s="8"/>
      <c r="B25" s="13"/>
      <c r="C25" s="8"/>
      <c r="D25" s="8"/>
      <c r="E25" s="8"/>
      <c r="F25" s="9"/>
      <c r="G25" s="8"/>
      <c r="H25" s="8"/>
      <c r="I25" s="9"/>
      <c r="J25" s="123"/>
      <c r="K25" s="123"/>
      <c r="L25" s="122"/>
    </row>
    <row r="26" spans="1:14">
      <c r="A26" s="8"/>
      <c r="B26" s="13"/>
      <c r="C26" s="8"/>
      <c r="D26" s="8"/>
      <c r="E26" s="8"/>
      <c r="F26" s="9"/>
      <c r="G26" s="8"/>
      <c r="H26" s="8"/>
      <c r="I26" s="9"/>
      <c r="J26" s="123"/>
      <c r="K26" s="123"/>
      <c r="L26" s="122"/>
    </row>
    <row r="27" spans="1:14">
      <c r="A27" s="8"/>
      <c r="B27" s="13"/>
      <c r="C27" s="8"/>
      <c r="D27" s="8"/>
      <c r="E27" s="8"/>
      <c r="F27" s="9"/>
      <c r="G27" s="8"/>
      <c r="H27" s="8"/>
      <c r="I27" s="9"/>
      <c r="J27" s="123"/>
      <c r="K27" s="123"/>
      <c r="L27" s="122"/>
    </row>
    <row r="28" spans="1:14">
      <c r="A28" s="8"/>
      <c r="B28" s="13"/>
      <c r="C28" s="8"/>
      <c r="D28" s="8"/>
      <c r="E28" s="8"/>
      <c r="F28" s="9"/>
      <c r="G28" s="8"/>
      <c r="H28" s="8"/>
      <c r="I28" s="9"/>
      <c r="J28" s="123"/>
      <c r="K28" s="123"/>
      <c r="L28" s="122"/>
    </row>
    <row r="29" spans="1:14">
      <c r="A29" s="8"/>
      <c r="B29" s="13"/>
      <c r="C29" s="8"/>
      <c r="D29" s="8"/>
      <c r="E29" s="8"/>
      <c r="F29" s="9"/>
      <c r="G29" s="8"/>
      <c r="H29" s="8"/>
      <c r="I29" s="9"/>
      <c r="J29" s="123"/>
      <c r="K29" s="123"/>
      <c r="L29" s="122"/>
    </row>
    <row r="30" spans="1:14">
      <c r="A30" s="8"/>
      <c r="B30" s="13"/>
      <c r="C30" s="8"/>
      <c r="D30" s="8"/>
      <c r="E30" s="8"/>
      <c r="F30" s="9"/>
      <c r="G30" s="8"/>
      <c r="H30" s="8"/>
      <c r="I30" s="9"/>
      <c r="J30" s="123"/>
      <c r="K30" s="123"/>
      <c r="L30" s="122"/>
    </row>
    <row r="31" spans="1:14">
      <c r="A31" s="8"/>
      <c r="B31" s="13"/>
      <c r="C31" s="8"/>
      <c r="D31" s="8"/>
      <c r="E31" s="8"/>
      <c r="F31" s="9"/>
      <c r="G31" s="8"/>
      <c r="H31" s="8"/>
      <c r="I31" s="9"/>
      <c r="J31" s="123"/>
      <c r="K31" s="123"/>
      <c r="L31" s="122"/>
    </row>
    <row r="32" spans="1:14">
      <c r="A32" s="8"/>
      <c r="B32" s="13"/>
      <c r="C32" s="8"/>
      <c r="D32" s="8"/>
      <c r="E32" s="8"/>
      <c r="F32" s="9"/>
      <c r="G32" s="8"/>
      <c r="H32" s="8"/>
      <c r="I32" s="9"/>
      <c r="J32" s="123"/>
      <c r="K32" s="123"/>
      <c r="L32" s="122"/>
    </row>
    <row r="33" spans="1:9">
      <c r="A33" s="8"/>
      <c r="B33" s="13"/>
      <c r="C33" s="8"/>
      <c r="D33" s="8"/>
      <c r="E33" s="8"/>
      <c r="F33" s="9"/>
      <c r="G33" s="8"/>
      <c r="H33" s="8"/>
      <c r="I33" s="9"/>
    </row>
    <row r="34" spans="1:9">
      <c r="A34" s="8"/>
      <c r="B34" s="13"/>
      <c r="C34" s="8"/>
      <c r="D34" s="8"/>
      <c r="E34" s="8"/>
      <c r="F34" s="9"/>
      <c r="G34" s="8"/>
      <c r="H34" s="8"/>
      <c r="I34" s="9"/>
    </row>
    <row r="35" spans="1:9">
      <c r="A35" s="8"/>
      <c r="B35" s="13"/>
      <c r="C35" s="8"/>
      <c r="D35" s="8"/>
      <c r="E35" s="8"/>
      <c r="F35" s="9"/>
      <c r="G35" s="8"/>
      <c r="H35" s="8"/>
      <c r="I35" s="9"/>
    </row>
    <row r="36" spans="1:9">
      <c r="A36" s="8"/>
      <c r="B36" s="13"/>
      <c r="C36" s="8"/>
      <c r="D36" s="8"/>
      <c r="E36" s="8"/>
      <c r="F36" s="9"/>
      <c r="G36" s="8"/>
      <c r="H36" s="8"/>
      <c r="I36" s="9"/>
    </row>
    <row r="37" spans="1:9">
      <c r="A37" s="8"/>
      <c r="B37" s="13"/>
      <c r="C37" s="8"/>
      <c r="D37" s="8"/>
      <c r="E37" s="8"/>
      <c r="F37" s="9"/>
      <c r="G37" s="8"/>
      <c r="H37" s="8"/>
      <c r="I37" s="9"/>
    </row>
    <row r="38" spans="1:9">
      <c r="A38" s="8"/>
      <c r="B38" s="13"/>
      <c r="C38" s="8"/>
      <c r="D38" s="8"/>
      <c r="E38" s="8"/>
      <c r="F38" s="9"/>
      <c r="G38" s="8"/>
      <c r="H38" s="8"/>
      <c r="I38" s="9"/>
    </row>
    <row r="39" spans="1:9">
      <c r="A39" s="8"/>
      <c r="B39" s="13"/>
      <c r="C39" s="8"/>
      <c r="D39" s="8"/>
      <c r="E39" s="8"/>
      <c r="F39" s="9"/>
      <c r="G39" s="8"/>
      <c r="H39" s="8"/>
      <c r="I39" s="9"/>
    </row>
    <row r="40" spans="1:9">
      <c r="A40" s="8"/>
      <c r="B40" s="13"/>
      <c r="C40" s="8"/>
      <c r="D40" s="8"/>
      <c r="E40" s="8"/>
      <c r="F40" s="9"/>
      <c r="G40" s="8"/>
      <c r="H40" s="8"/>
      <c r="I40" s="9"/>
    </row>
    <row r="41" spans="1:9">
      <c r="A41" s="8"/>
      <c r="B41" s="13"/>
      <c r="C41" s="8"/>
      <c r="D41" s="8"/>
      <c r="E41" s="8"/>
      <c r="F41" s="9"/>
      <c r="G41" s="8"/>
      <c r="H41" s="8"/>
      <c r="I41" s="9"/>
    </row>
    <row r="42" spans="1:9">
      <c r="A42" s="8"/>
      <c r="B42" s="13"/>
      <c r="C42" s="8"/>
      <c r="D42" s="8"/>
      <c r="E42" s="8"/>
      <c r="F42" s="9"/>
      <c r="G42" s="8"/>
      <c r="H42" s="8"/>
      <c r="I42" s="9"/>
    </row>
    <row r="43" spans="1:9">
      <c r="A43" s="8"/>
      <c r="B43" s="13"/>
      <c r="C43" s="8"/>
      <c r="D43" s="8"/>
      <c r="E43" s="8"/>
      <c r="F43" s="9"/>
      <c r="G43" s="8"/>
      <c r="H43" s="8"/>
      <c r="I43" s="9"/>
    </row>
    <row r="44" spans="1:9">
      <c r="A44" s="8"/>
      <c r="B44" s="13"/>
      <c r="C44" s="8"/>
      <c r="D44" s="8"/>
      <c r="E44" s="8"/>
      <c r="F44" s="9"/>
      <c r="G44" s="8"/>
      <c r="H44" s="8"/>
      <c r="I44" s="9"/>
    </row>
    <row r="45" spans="1:9">
      <c r="A45" s="8"/>
      <c r="B45" s="13"/>
      <c r="C45" s="8"/>
      <c r="D45" s="8"/>
      <c r="E45" s="8"/>
      <c r="F45" s="9"/>
      <c r="G45" s="8"/>
      <c r="H45" s="8"/>
      <c r="I45" s="9"/>
    </row>
    <row r="46" spans="1:9">
      <c r="A46" s="8"/>
      <c r="B46" s="13"/>
      <c r="C46" s="8"/>
      <c r="D46" s="8"/>
      <c r="E46" s="8"/>
      <c r="F46" s="9"/>
      <c r="G46" s="8"/>
      <c r="H46" s="8"/>
      <c r="I46" s="9"/>
    </row>
    <row r="47" spans="1:9">
      <c r="A47" s="8"/>
      <c r="B47" s="13"/>
      <c r="C47" s="8"/>
      <c r="D47" s="8"/>
      <c r="E47" s="8"/>
      <c r="F47" s="9"/>
      <c r="G47" s="8"/>
      <c r="H47" s="8"/>
      <c r="I47" s="9"/>
    </row>
    <row r="48" spans="1:9">
      <c r="A48" s="8"/>
      <c r="B48" s="13"/>
      <c r="C48" s="8"/>
      <c r="D48" s="8"/>
      <c r="E48" s="8"/>
      <c r="F48" s="9"/>
      <c r="G48" s="8"/>
      <c r="H48" s="8"/>
      <c r="I48" s="9"/>
    </row>
    <row r="49" spans="1:9">
      <c r="A49" s="8"/>
      <c r="B49" s="13"/>
      <c r="C49" s="8"/>
      <c r="D49" s="8"/>
      <c r="E49" s="8"/>
      <c r="F49" s="9"/>
      <c r="G49" s="8"/>
      <c r="H49" s="8"/>
      <c r="I49" s="9"/>
    </row>
    <row r="50" spans="1:9">
      <c r="A50" s="8"/>
      <c r="B50" s="13"/>
      <c r="C50" s="8"/>
      <c r="D50" s="8"/>
      <c r="E50" s="8"/>
      <c r="F50" s="9"/>
      <c r="G50" s="8"/>
      <c r="H50" s="8"/>
      <c r="I50" s="9"/>
    </row>
    <row r="51" spans="1:9">
      <c r="A51" s="8"/>
      <c r="B51" s="13"/>
      <c r="C51" s="8"/>
      <c r="D51" s="8"/>
      <c r="E51" s="8"/>
      <c r="F51" s="9"/>
      <c r="G51" s="8"/>
      <c r="H51" s="8"/>
      <c r="I51" s="9"/>
    </row>
    <row r="52" spans="1:9">
      <c r="A52" s="8"/>
      <c r="B52" s="13"/>
      <c r="C52" s="8"/>
      <c r="D52" s="8"/>
      <c r="E52" s="8"/>
      <c r="F52" s="9"/>
      <c r="G52" s="8"/>
      <c r="H52" s="8"/>
      <c r="I52" s="9"/>
    </row>
    <row r="53" spans="1:9">
      <c r="A53" s="8"/>
      <c r="B53" s="13"/>
      <c r="C53" s="8"/>
      <c r="D53" s="8"/>
      <c r="E53" s="8"/>
      <c r="F53" s="9"/>
      <c r="G53" s="8"/>
      <c r="H53" s="8"/>
      <c r="I53" s="9"/>
    </row>
    <row r="54" spans="1:9">
      <c r="A54" s="8"/>
      <c r="B54" s="13"/>
      <c r="C54" s="8"/>
      <c r="D54" s="8"/>
      <c r="E54" s="8"/>
      <c r="F54" s="9"/>
      <c r="G54" s="8"/>
      <c r="H54" s="8"/>
      <c r="I54" s="9"/>
    </row>
    <row r="55" spans="1:9">
      <c r="A55" s="8"/>
      <c r="B55" s="13"/>
      <c r="C55" s="8"/>
      <c r="D55" s="8"/>
      <c r="E55" s="8"/>
      <c r="F55" s="9"/>
      <c r="G55" s="8"/>
      <c r="H55" s="8"/>
      <c r="I55" s="9"/>
    </row>
    <row r="56" spans="1:9">
      <c r="A56" s="8"/>
      <c r="B56" s="13"/>
      <c r="C56" s="8"/>
      <c r="D56" s="8"/>
      <c r="E56" s="8"/>
      <c r="F56" s="9"/>
      <c r="G56" s="8"/>
      <c r="H56" s="8"/>
      <c r="I56" s="9"/>
    </row>
    <row r="57" spans="1:9">
      <c r="A57" s="8"/>
      <c r="B57" s="13"/>
      <c r="C57" s="8"/>
      <c r="D57" s="8"/>
      <c r="E57" s="8"/>
      <c r="F57" s="9"/>
      <c r="G57" s="8"/>
      <c r="H57" s="8"/>
      <c r="I57" s="9"/>
    </row>
    <row r="58" spans="1:9">
      <c r="A58" s="8"/>
      <c r="B58" s="13"/>
      <c r="C58" s="8"/>
      <c r="D58" s="8"/>
      <c r="E58" s="8"/>
      <c r="F58" s="9"/>
      <c r="G58" s="8"/>
      <c r="H58" s="8"/>
      <c r="I58" s="9"/>
    </row>
    <row r="59" spans="1:9">
      <c r="A59" s="8"/>
      <c r="B59" s="13"/>
      <c r="C59" s="8"/>
      <c r="D59" s="8"/>
      <c r="E59" s="8"/>
      <c r="F59" s="9"/>
      <c r="G59" s="8"/>
      <c r="H59" s="8"/>
      <c r="I59" s="9"/>
    </row>
    <row r="60" spans="1:9">
      <c r="A60" s="8"/>
      <c r="B60" s="13"/>
      <c r="C60" s="8"/>
      <c r="D60" s="8"/>
      <c r="E60" s="8"/>
      <c r="F60" s="9"/>
      <c r="G60" s="8"/>
      <c r="H60" s="8"/>
      <c r="I60" s="9"/>
    </row>
    <row r="61" spans="1:9">
      <c r="A61" s="8"/>
      <c r="B61" s="13"/>
      <c r="C61" s="8"/>
      <c r="D61" s="8"/>
      <c r="E61" s="8"/>
      <c r="F61" s="9"/>
      <c r="G61" s="8"/>
      <c r="H61" s="8"/>
      <c r="I61" s="9"/>
    </row>
    <row r="62" spans="1:9">
      <c r="A62" s="8"/>
      <c r="B62" s="13"/>
      <c r="C62" s="8"/>
      <c r="D62" s="8"/>
      <c r="E62" s="8"/>
      <c r="F62" s="9"/>
      <c r="G62" s="8"/>
      <c r="H62" s="8"/>
      <c r="I62" s="9"/>
    </row>
    <row r="63" spans="1:9">
      <c r="A63" s="8"/>
      <c r="B63" s="13"/>
      <c r="C63" s="8"/>
      <c r="D63" s="8"/>
      <c r="E63" s="8"/>
      <c r="F63" s="9"/>
      <c r="G63" s="8"/>
      <c r="H63" s="8"/>
      <c r="I63" s="9"/>
    </row>
    <row r="64" spans="1:9">
      <c r="A64" s="8"/>
      <c r="B64" s="13"/>
      <c r="C64" s="8"/>
      <c r="D64" s="8"/>
      <c r="E64" s="8"/>
      <c r="F64" s="9"/>
      <c r="G64" s="8"/>
      <c r="H64" s="8"/>
      <c r="I64" s="9"/>
    </row>
    <row r="65" spans="1:9">
      <c r="A65" s="8"/>
      <c r="B65" s="13"/>
      <c r="C65" s="8"/>
      <c r="D65" s="8"/>
      <c r="E65" s="8"/>
      <c r="F65" s="9"/>
      <c r="G65" s="8"/>
      <c r="H65" s="8"/>
      <c r="I65" s="9"/>
    </row>
    <row r="66" spans="1:9">
      <c r="A66" s="8"/>
      <c r="B66" s="13"/>
      <c r="C66" s="8"/>
      <c r="D66" s="8"/>
      <c r="E66" s="8"/>
      <c r="F66" s="9"/>
      <c r="G66" s="8"/>
      <c r="H66" s="8"/>
      <c r="I66" s="9"/>
    </row>
    <row r="67" spans="1:9">
      <c r="A67" s="8"/>
      <c r="B67" s="13"/>
      <c r="C67" s="8"/>
      <c r="D67" s="8"/>
      <c r="E67" s="8"/>
      <c r="F67" s="9"/>
      <c r="G67" s="8"/>
      <c r="H67" s="8"/>
      <c r="I67" s="9"/>
    </row>
    <row r="68" spans="1:9">
      <c r="A68" s="8"/>
      <c r="B68" s="13"/>
      <c r="C68" s="8"/>
      <c r="D68" s="8"/>
      <c r="E68" s="8"/>
      <c r="F68" s="9"/>
      <c r="G68" s="8"/>
      <c r="H68" s="8"/>
      <c r="I68" s="9"/>
    </row>
    <row r="69" spans="1:9">
      <c r="A69" s="8"/>
      <c r="B69" s="13"/>
      <c r="C69" s="8"/>
      <c r="D69" s="8"/>
      <c r="E69" s="8"/>
      <c r="F69" s="9"/>
      <c r="G69" s="8"/>
      <c r="H69" s="8"/>
      <c r="I69" s="9"/>
    </row>
    <row r="70" spans="1:9">
      <c r="A70" s="8"/>
      <c r="B70" s="13"/>
      <c r="C70" s="8"/>
      <c r="D70" s="8"/>
      <c r="E70" s="8"/>
      <c r="F70" s="9"/>
      <c r="G70" s="8"/>
      <c r="H70" s="8"/>
      <c r="I70" s="9"/>
    </row>
    <row r="71" spans="1:9">
      <c r="A71" s="8"/>
      <c r="B71" s="13"/>
      <c r="C71" s="8"/>
      <c r="D71" s="8"/>
      <c r="E71" s="8"/>
      <c r="F71" s="9"/>
      <c r="G71" s="8"/>
      <c r="H71" s="8"/>
      <c r="I71" s="9"/>
    </row>
    <row r="72" spans="1:9">
      <c r="A72" s="8"/>
      <c r="B72" s="13"/>
      <c r="C72" s="8"/>
      <c r="D72" s="8"/>
      <c r="E72" s="8"/>
      <c r="F72" s="9"/>
      <c r="G72" s="8"/>
      <c r="H72" s="8"/>
      <c r="I72" s="9"/>
    </row>
    <row r="73" spans="1:9">
      <c r="A73" s="8"/>
      <c r="B73" s="13"/>
      <c r="C73" s="8"/>
      <c r="D73" s="8"/>
      <c r="E73" s="8"/>
      <c r="F73" s="9"/>
      <c r="G73" s="8"/>
      <c r="H73" s="8"/>
      <c r="I73" s="9"/>
    </row>
    <row r="74" spans="1:9">
      <c r="A74" s="8"/>
      <c r="B74" s="13"/>
      <c r="C74" s="8"/>
      <c r="D74" s="8"/>
      <c r="E74" s="8"/>
      <c r="F74" s="9"/>
      <c r="G74" s="8"/>
      <c r="H74" s="8"/>
      <c r="I74" s="9"/>
    </row>
    <row r="75" spans="1:9">
      <c r="A75" s="8"/>
      <c r="B75" s="13"/>
      <c r="C75" s="8"/>
      <c r="D75" s="8"/>
      <c r="E75" s="8"/>
      <c r="F75" s="9"/>
      <c r="G75" s="8"/>
      <c r="H75" s="8"/>
      <c r="I75" s="9"/>
    </row>
    <row r="76" spans="1:9">
      <c r="A76" s="8"/>
      <c r="B76" s="13"/>
      <c r="C76" s="8"/>
      <c r="D76" s="8"/>
      <c r="E76" s="8"/>
      <c r="F76" s="9"/>
      <c r="G76" s="8"/>
      <c r="H76" s="8"/>
      <c r="I76" s="9"/>
    </row>
    <row r="77" spans="1:9">
      <c r="A77" s="8"/>
      <c r="B77" s="13"/>
      <c r="C77" s="8"/>
      <c r="D77" s="8"/>
      <c r="E77" s="8"/>
      <c r="F77" s="9"/>
      <c r="G77" s="8"/>
      <c r="H77" s="8"/>
      <c r="I77" s="9"/>
    </row>
    <row r="78" spans="1:9">
      <c r="A78" s="8"/>
      <c r="B78" s="13"/>
      <c r="C78" s="8"/>
      <c r="D78" s="8"/>
      <c r="E78" s="8"/>
      <c r="F78" s="9"/>
      <c r="G78" s="8"/>
      <c r="H78" s="8"/>
      <c r="I78" s="9"/>
    </row>
    <row r="79" spans="1:9">
      <c r="A79" s="8"/>
      <c r="B79" s="13"/>
      <c r="C79" s="8"/>
      <c r="D79" s="8"/>
      <c r="E79" s="8"/>
      <c r="F79" s="9"/>
      <c r="G79" s="8"/>
      <c r="H79" s="8"/>
      <c r="I79" s="9"/>
    </row>
    <row r="80" spans="1:9">
      <c r="A80" s="8"/>
      <c r="B80" s="13"/>
      <c r="C80" s="8"/>
      <c r="D80" s="8"/>
      <c r="E80" s="8"/>
      <c r="F80" s="9"/>
      <c r="G80" s="8"/>
      <c r="H80" s="8"/>
      <c r="I80" s="9"/>
    </row>
    <row r="81" spans="1:9">
      <c r="A81" s="8"/>
      <c r="B81" s="13"/>
      <c r="C81" s="8"/>
      <c r="D81" s="8"/>
      <c r="E81" s="8"/>
      <c r="F81" s="9"/>
      <c r="G81" s="8"/>
      <c r="H81" s="8"/>
      <c r="I81" s="9"/>
    </row>
    <row r="82" spans="1:9">
      <c r="A82" s="8"/>
      <c r="B82" s="13"/>
      <c r="C82" s="8"/>
      <c r="D82" s="8"/>
      <c r="E82" s="8"/>
      <c r="F82" s="9"/>
      <c r="G82" s="8"/>
      <c r="H82" s="8"/>
      <c r="I82" s="9"/>
    </row>
    <row r="83" spans="1:9">
      <c r="A83" s="8"/>
      <c r="B83" s="13"/>
      <c r="C83" s="8"/>
      <c r="D83" s="8"/>
      <c r="E83" s="8"/>
      <c r="F83" s="9"/>
      <c r="G83" s="8"/>
      <c r="H83" s="8"/>
      <c r="I83" s="9"/>
    </row>
    <row r="84" spans="1:9">
      <c r="A84" s="8"/>
      <c r="B84" s="13"/>
      <c r="C84" s="8"/>
      <c r="D84" s="8"/>
      <c r="E84" s="8"/>
      <c r="F84" s="9"/>
      <c r="G84" s="8"/>
      <c r="H84" s="8"/>
      <c r="I84" s="9"/>
    </row>
    <row r="85" spans="1:9">
      <c r="A85" s="8"/>
      <c r="B85" s="13"/>
      <c r="C85" s="8"/>
      <c r="D85" s="8"/>
      <c r="E85" s="8"/>
      <c r="F85" s="9"/>
      <c r="G85" s="8"/>
      <c r="H85" s="8"/>
      <c r="I85" s="9"/>
    </row>
    <row r="86" spans="1:9">
      <c r="A86" s="8"/>
      <c r="B86" s="13"/>
      <c r="C86" s="8"/>
      <c r="D86" s="8"/>
      <c r="E86" s="8"/>
      <c r="F86" s="9"/>
      <c r="G86" s="8"/>
      <c r="H86" s="8"/>
      <c r="I86" s="9"/>
    </row>
    <row r="87" spans="1:9">
      <c r="A87" s="8"/>
      <c r="B87" s="13"/>
      <c r="C87" s="8"/>
      <c r="D87" s="8"/>
      <c r="E87" s="8"/>
      <c r="F87" s="9"/>
      <c r="G87" s="8"/>
      <c r="H87" s="8"/>
      <c r="I87" s="9"/>
    </row>
    <row r="88" spans="1:9">
      <c r="A88" s="8"/>
      <c r="B88" s="13"/>
      <c r="C88" s="8"/>
      <c r="D88" s="8"/>
      <c r="E88" s="8"/>
      <c r="F88" s="9"/>
      <c r="G88" s="8"/>
      <c r="H88" s="8"/>
      <c r="I88" s="9"/>
    </row>
    <row r="89" spans="1:9">
      <c r="A89" s="8"/>
      <c r="B89" s="13"/>
      <c r="C89" s="8"/>
      <c r="D89" s="8"/>
      <c r="E89" s="8"/>
      <c r="F89" s="9"/>
      <c r="G89" s="8"/>
      <c r="H89" s="8"/>
      <c r="I89" s="9"/>
    </row>
    <row r="90" spans="1:9">
      <c r="A90" s="8"/>
      <c r="B90" s="13"/>
      <c r="C90" s="8"/>
      <c r="D90" s="8"/>
      <c r="E90" s="8"/>
      <c r="F90" s="9"/>
      <c r="G90" s="8"/>
      <c r="H90" s="8"/>
      <c r="I90" s="9"/>
    </row>
    <row r="91" spans="1:9">
      <c r="A91" s="8"/>
      <c r="B91" s="13"/>
      <c r="C91" s="8"/>
      <c r="D91" s="8"/>
      <c r="E91" s="8"/>
      <c r="F91" s="9"/>
      <c r="G91" s="8"/>
      <c r="H91" s="8"/>
      <c r="I91" s="9"/>
    </row>
    <row r="92" spans="1:9">
      <c r="A92" s="8"/>
      <c r="B92" s="13"/>
      <c r="C92" s="8"/>
      <c r="D92" s="8"/>
      <c r="E92" s="8"/>
      <c r="F92" s="9"/>
      <c r="G92" s="8"/>
      <c r="H92" s="8"/>
      <c r="I92" s="9"/>
    </row>
    <row r="93" spans="1:9">
      <c r="A93" s="8"/>
      <c r="B93" s="13"/>
      <c r="C93" s="8"/>
      <c r="D93" s="8"/>
      <c r="E93" s="8"/>
      <c r="F93" s="9"/>
      <c r="G93" s="8"/>
      <c r="H93" s="8"/>
      <c r="I93" s="9"/>
    </row>
    <row r="94" spans="1:9">
      <c r="A94" s="8"/>
      <c r="B94" s="13"/>
      <c r="C94" s="8"/>
      <c r="D94" s="8"/>
      <c r="E94" s="8"/>
      <c r="F94" s="9"/>
      <c r="G94" s="8"/>
      <c r="H94" s="8"/>
      <c r="I94" s="9"/>
    </row>
    <row r="95" spans="1:9">
      <c r="A95" s="8"/>
      <c r="B95" s="13"/>
      <c r="C95" s="8"/>
      <c r="D95" s="8"/>
      <c r="E95" s="8"/>
      <c r="F95" s="9"/>
      <c r="G95" s="8"/>
      <c r="H95" s="8"/>
      <c r="I95" s="9"/>
    </row>
    <row r="96" spans="1:9">
      <c r="A96" s="8"/>
      <c r="B96" s="13"/>
      <c r="C96" s="8"/>
      <c r="D96" s="8"/>
      <c r="E96" s="8"/>
      <c r="F96" s="9"/>
      <c r="G96" s="8"/>
      <c r="H96" s="8"/>
      <c r="I96" s="9"/>
    </row>
    <row r="97" spans="1:9">
      <c r="A97" s="8"/>
      <c r="B97" s="13"/>
      <c r="C97" s="8"/>
      <c r="D97" s="8"/>
      <c r="E97" s="8"/>
      <c r="F97" s="9"/>
      <c r="G97" s="8"/>
      <c r="H97" s="8"/>
      <c r="I97" s="9"/>
    </row>
    <row r="98" spans="1:9">
      <c r="A98" s="8"/>
      <c r="B98" s="13"/>
      <c r="C98" s="8"/>
      <c r="D98" s="8"/>
      <c r="E98" s="8"/>
      <c r="F98" s="9"/>
      <c r="G98" s="8"/>
      <c r="H98" s="8"/>
      <c r="I98" s="9"/>
    </row>
    <row r="99" spans="1:9">
      <c r="A99" s="8"/>
      <c r="B99" s="13"/>
      <c r="C99" s="8"/>
      <c r="D99" s="8"/>
      <c r="E99" s="8"/>
      <c r="F99" s="9"/>
      <c r="G99" s="8"/>
      <c r="H99" s="8"/>
      <c r="I99" s="9"/>
    </row>
    <row r="100" spans="1:9">
      <c r="A100" s="8"/>
      <c r="B100" s="13"/>
      <c r="C100" s="8"/>
      <c r="D100" s="8"/>
      <c r="E100" s="8"/>
      <c r="F100" s="9"/>
      <c r="G100" s="8"/>
      <c r="H100" s="8"/>
      <c r="I100" s="9"/>
    </row>
    <row r="101" spans="1:9">
      <c r="A101" s="8"/>
      <c r="B101" s="13"/>
      <c r="C101" s="8"/>
      <c r="D101" s="8"/>
      <c r="E101" s="8"/>
      <c r="F101" s="9"/>
      <c r="G101" s="8"/>
      <c r="H101" s="8"/>
      <c r="I101" s="9"/>
    </row>
    <row r="102" spans="1:9">
      <c r="A102" s="8"/>
      <c r="B102" s="13"/>
      <c r="C102" s="8"/>
      <c r="D102" s="8"/>
      <c r="E102" s="8"/>
      <c r="F102" s="9"/>
      <c r="G102" s="8"/>
      <c r="H102" s="8"/>
      <c r="I102" s="9"/>
    </row>
    <row r="103" spans="1:9">
      <c r="A103" s="8"/>
      <c r="B103" s="13"/>
      <c r="C103" s="8"/>
      <c r="D103" s="8"/>
      <c r="E103" s="8"/>
      <c r="F103" s="9"/>
      <c r="G103" s="8"/>
      <c r="H103" s="8"/>
      <c r="I103" s="9"/>
    </row>
    <row r="104" spans="1:9">
      <c r="A104" s="8"/>
      <c r="B104" s="13"/>
      <c r="C104" s="8"/>
      <c r="D104" s="8"/>
      <c r="E104" s="8"/>
      <c r="F104" s="9"/>
      <c r="G104" s="8"/>
      <c r="H104" s="8"/>
      <c r="I104" s="9"/>
    </row>
    <row r="105" spans="1:9">
      <c r="A105" s="8"/>
      <c r="B105" s="13"/>
      <c r="C105" s="8"/>
      <c r="D105" s="8"/>
      <c r="E105" s="8"/>
      <c r="F105" s="9"/>
      <c r="G105" s="8"/>
      <c r="H105" s="8"/>
      <c r="I105" s="9"/>
    </row>
    <row r="106" spans="1:9">
      <c r="A106" s="8"/>
      <c r="B106" s="13"/>
      <c r="C106" s="8"/>
      <c r="D106" s="8"/>
      <c r="E106" s="8"/>
      <c r="F106" s="9"/>
      <c r="G106" s="8"/>
      <c r="H106" s="8"/>
      <c r="I106" s="9"/>
    </row>
    <row r="107" spans="1:9">
      <c r="A107" s="8"/>
      <c r="B107" s="13"/>
      <c r="C107" s="8"/>
      <c r="D107" s="8"/>
      <c r="E107" s="8"/>
      <c r="F107" s="9"/>
      <c r="G107" s="8"/>
      <c r="H107" s="8"/>
      <c r="I107" s="9"/>
    </row>
    <row r="108" spans="1:9">
      <c r="A108" s="8"/>
      <c r="B108" s="13"/>
      <c r="C108" s="8"/>
      <c r="D108" s="8"/>
      <c r="E108" s="8"/>
      <c r="F108" s="9"/>
      <c r="G108" s="8"/>
      <c r="H108" s="8"/>
      <c r="I108" s="9"/>
    </row>
    <row r="109" spans="1:9">
      <c r="A109" s="8"/>
      <c r="B109" s="13"/>
      <c r="C109" s="8"/>
      <c r="D109" s="8"/>
      <c r="E109" s="8"/>
      <c r="F109" s="9"/>
      <c r="G109" s="8"/>
      <c r="H109" s="8"/>
      <c r="I109" s="9"/>
    </row>
    <row r="110" spans="1:9">
      <c r="A110" s="8"/>
      <c r="B110" s="13"/>
      <c r="C110" s="8"/>
      <c r="D110" s="8"/>
      <c r="E110" s="8"/>
      <c r="F110" s="9"/>
      <c r="G110" s="8"/>
      <c r="H110" s="8"/>
      <c r="I110" s="9"/>
    </row>
    <row r="111" spans="1:9">
      <c r="A111" s="8"/>
      <c r="B111" s="13"/>
      <c r="C111" s="8"/>
      <c r="D111" s="8"/>
      <c r="E111" s="8"/>
      <c r="F111" s="9"/>
      <c r="G111" s="8"/>
      <c r="H111" s="8"/>
      <c r="I111" s="9"/>
    </row>
    <row r="112" spans="1:9">
      <c r="A112" s="8"/>
      <c r="B112" s="13"/>
      <c r="C112" s="8"/>
      <c r="D112" s="8"/>
      <c r="E112" s="8"/>
      <c r="F112" s="9"/>
      <c r="G112" s="8"/>
      <c r="H112" s="8"/>
      <c r="I112" s="9"/>
    </row>
    <row r="113" spans="1:9">
      <c r="A113" s="8"/>
      <c r="B113" s="13"/>
      <c r="C113" s="8"/>
      <c r="D113" s="8"/>
      <c r="E113" s="8"/>
      <c r="F113" s="9"/>
      <c r="G113" s="8"/>
      <c r="H113" s="8"/>
      <c r="I113" s="9"/>
    </row>
    <row r="114" spans="1:9">
      <c r="A114" s="8"/>
      <c r="B114" s="13"/>
      <c r="C114" s="8"/>
      <c r="D114" s="8"/>
      <c r="E114" s="8"/>
      <c r="F114" s="9"/>
      <c r="G114" s="8"/>
      <c r="H114" s="8"/>
      <c r="I114" s="9"/>
    </row>
    <row r="115" spans="1:9">
      <c r="A115" s="8"/>
      <c r="B115" s="13"/>
      <c r="C115" s="8"/>
      <c r="D115" s="8"/>
      <c r="E115" s="8"/>
      <c r="F115" s="9"/>
      <c r="G115" s="8"/>
      <c r="H115" s="8"/>
      <c r="I115" s="9"/>
    </row>
    <row r="116" spans="1:9">
      <c r="A116" s="8"/>
      <c r="B116" s="13"/>
      <c r="C116" s="8"/>
      <c r="D116" s="8"/>
      <c r="E116" s="8"/>
      <c r="F116" s="9"/>
      <c r="G116" s="8"/>
      <c r="H116" s="8"/>
      <c r="I116" s="9"/>
    </row>
    <row r="117" spans="1:9">
      <c r="A117" s="8"/>
      <c r="B117" s="13"/>
      <c r="C117" s="8"/>
      <c r="D117" s="8"/>
      <c r="E117" s="8"/>
      <c r="F117" s="9"/>
      <c r="G117" s="8"/>
      <c r="H117" s="8"/>
      <c r="I117" s="9"/>
    </row>
    <row r="118" spans="1:9">
      <c r="A118" s="8"/>
      <c r="B118" s="13"/>
      <c r="C118" s="8"/>
      <c r="D118" s="8"/>
      <c r="E118" s="8"/>
      <c r="F118" s="9"/>
      <c r="G118" s="8"/>
      <c r="H118" s="8"/>
      <c r="I118" s="9"/>
    </row>
    <row r="119" spans="1:9">
      <c r="A119" s="8"/>
      <c r="B119" s="13"/>
      <c r="C119" s="8"/>
      <c r="D119" s="8"/>
      <c r="E119" s="8"/>
      <c r="F119" s="9"/>
      <c r="G119" s="8"/>
      <c r="H119" s="8"/>
      <c r="I119" s="9"/>
    </row>
    <row r="120" spans="1:9">
      <c r="A120" s="8"/>
      <c r="B120" s="13"/>
      <c r="C120" s="8"/>
      <c r="D120" s="8"/>
      <c r="E120" s="8"/>
      <c r="F120" s="9"/>
      <c r="G120" s="8"/>
      <c r="H120" s="8"/>
      <c r="I120" s="9"/>
    </row>
    <row r="121" spans="1:9">
      <c r="A121" s="8"/>
      <c r="B121" s="13"/>
      <c r="C121" s="8"/>
      <c r="D121" s="8"/>
      <c r="E121" s="8"/>
      <c r="F121" s="9"/>
      <c r="G121" s="8"/>
      <c r="H121" s="8"/>
      <c r="I121" s="9"/>
    </row>
    <row r="122" spans="1:9">
      <c r="A122" s="8"/>
      <c r="B122" s="13"/>
      <c r="C122" s="8"/>
      <c r="D122" s="8"/>
      <c r="E122" s="8"/>
      <c r="F122" s="9"/>
      <c r="G122" s="8"/>
      <c r="H122" s="8"/>
      <c r="I122" s="9"/>
    </row>
    <row r="123" spans="1:9">
      <c r="A123" s="8"/>
      <c r="B123" s="13"/>
      <c r="C123" s="8"/>
      <c r="D123" s="8"/>
      <c r="E123" s="8"/>
      <c r="F123" s="9"/>
      <c r="G123" s="8"/>
      <c r="H123" s="8"/>
      <c r="I123" s="9"/>
    </row>
    <row r="124" spans="1:9">
      <c r="A124" s="8"/>
      <c r="B124" s="13"/>
      <c r="C124" s="8"/>
      <c r="D124" s="8"/>
      <c r="E124" s="8"/>
      <c r="F124" s="9"/>
      <c r="G124" s="8"/>
      <c r="H124" s="8"/>
      <c r="I124" s="9"/>
    </row>
    <row r="125" spans="1:9">
      <c r="A125" s="8"/>
      <c r="B125" s="13"/>
      <c r="C125" s="8"/>
      <c r="D125" s="8"/>
      <c r="E125" s="8"/>
      <c r="F125" s="9"/>
      <c r="G125" s="8"/>
      <c r="H125" s="8"/>
      <c r="I125" s="9"/>
    </row>
    <row r="126" spans="1:9">
      <c r="A126" s="8"/>
      <c r="B126" s="13"/>
      <c r="C126" s="8"/>
      <c r="D126" s="8"/>
      <c r="E126" s="8"/>
      <c r="F126" s="9"/>
      <c r="G126" s="8"/>
      <c r="H126" s="8"/>
      <c r="I126" s="9"/>
    </row>
    <row r="127" spans="1:9">
      <c r="A127" s="8"/>
      <c r="B127" s="13"/>
      <c r="C127" s="8"/>
      <c r="D127" s="8"/>
      <c r="E127" s="8"/>
      <c r="F127" s="9"/>
      <c r="G127" s="8"/>
      <c r="H127" s="8"/>
      <c r="I127" s="9"/>
    </row>
    <row r="128" spans="1:9">
      <c r="A128" s="8"/>
      <c r="B128" s="13"/>
      <c r="C128" s="8"/>
      <c r="D128" s="8"/>
      <c r="E128" s="8"/>
      <c r="F128" s="9"/>
      <c r="G128" s="8"/>
      <c r="H128" s="8"/>
      <c r="I128" s="9"/>
    </row>
    <row r="129" spans="1:9">
      <c r="A129" s="8"/>
      <c r="B129" s="13"/>
      <c r="C129" s="8"/>
      <c r="D129" s="8"/>
      <c r="E129" s="8"/>
      <c r="F129" s="9"/>
      <c r="G129" s="8"/>
      <c r="H129" s="8"/>
      <c r="I129" s="9"/>
    </row>
    <row r="130" spans="1:9">
      <c r="A130" s="8"/>
      <c r="B130" s="13"/>
      <c r="C130" s="8"/>
      <c r="D130" s="8"/>
      <c r="E130" s="8"/>
      <c r="F130" s="9"/>
      <c r="G130" s="8"/>
      <c r="H130" s="8"/>
      <c r="I130" s="9"/>
    </row>
    <row r="131" spans="1:9">
      <c r="A131" s="8"/>
      <c r="B131" s="13"/>
      <c r="C131" s="8"/>
      <c r="D131" s="8"/>
      <c r="E131" s="8"/>
      <c r="F131" s="9"/>
      <c r="G131" s="8"/>
      <c r="H131" s="8"/>
      <c r="I131" s="9"/>
    </row>
    <row r="132" spans="1:9">
      <c r="A132" s="8"/>
      <c r="B132" s="13"/>
      <c r="C132" s="8"/>
      <c r="D132" s="8"/>
      <c r="E132" s="8"/>
      <c r="F132" s="9"/>
      <c r="G132" s="8"/>
      <c r="H132" s="8"/>
      <c r="I132" s="9"/>
    </row>
    <row r="133" spans="1:9">
      <c r="A133" s="8"/>
      <c r="B133" s="13"/>
      <c r="C133" s="8"/>
      <c r="D133" s="8"/>
      <c r="E133" s="8"/>
      <c r="F133" s="9"/>
      <c r="G133" s="8"/>
      <c r="H133" s="8"/>
      <c r="I133" s="9"/>
    </row>
    <row r="134" spans="1:9">
      <c r="A134" s="8"/>
      <c r="B134" s="13"/>
      <c r="C134" s="8"/>
      <c r="D134" s="8"/>
      <c r="E134" s="8"/>
      <c r="F134" s="9"/>
      <c r="G134" s="8"/>
      <c r="H134" s="8"/>
      <c r="I134" s="9"/>
    </row>
    <row r="135" spans="1:9">
      <c r="A135" s="8"/>
      <c r="B135" s="13"/>
      <c r="C135" s="8"/>
      <c r="D135" s="8"/>
      <c r="E135" s="8"/>
      <c r="F135" s="9"/>
      <c r="G135" s="8"/>
      <c r="H135" s="8"/>
      <c r="I135" s="9"/>
    </row>
    <row r="136" spans="1:9">
      <c r="A136" s="8"/>
      <c r="B136" s="13"/>
      <c r="C136" s="8"/>
      <c r="D136" s="8"/>
      <c r="E136" s="8"/>
      <c r="F136" s="9"/>
      <c r="G136" s="8"/>
      <c r="H136" s="8"/>
      <c r="I136" s="9"/>
    </row>
    <row r="137" spans="1:9">
      <c r="A137" s="8"/>
      <c r="B137" s="13"/>
      <c r="C137" s="8"/>
      <c r="D137" s="8"/>
      <c r="E137" s="8"/>
      <c r="F137" s="9"/>
      <c r="G137" s="8"/>
      <c r="H137" s="8"/>
      <c r="I137" s="9"/>
    </row>
    <row r="138" spans="1:9">
      <c r="A138" s="8"/>
      <c r="B138" s="13"/>
      <c r="C138" s="8"/>
      <c r="D138" s="8"/>
      <c r="E138" s="8"/>
      <c r="F138" s="9"/>
      <c r="G138" s="8"/>
      <c r="H138" s="8"/>
      <c r="I138" s="9"/>
    </row>
    <row r="139" spans="1:9">
      <c r="A139" s="8"/>
      <c r="B139" s="13"/>
      <c r="C139" s="8"/>
      <c r="D139" s="8"/>
      <c r="E139" s="8"/>
      <c r="F139" s="9"/>
      <c r="G139" s="8"/>
      <c r="H139" s="8"/>
      <c r="I139" s="9"/>
    </row>
    <row r="140" spans="1:9">
      <c r="A140" s="8"/>
      <c r="B140" s="13"/>
      <c r="C140" s="8"/>
      <c r="D140" s="8"/>
      <c r="E140" s="8"/>
      <c r="F140" s="9"/>
      <c r="G140" s="8"/>
      <c r="H140" s="8"/>
      <c r="I140" s="9"/>
    </row>
    <row r="141" spans="1:9">
      <c r="A141" s="8"/>
      <c r="B141" s="13"/>
      <c r="C141" s="8"/>
      <c r="D141" s="8"/>
      <c r="E141" s="8"/>
      <c r="F141" s="9"/>
      <c r="G141" s="8"/>
      <c r="H141" s="8"/>
      <c r="I141" s="9"/>
    </row>
    <row r="142" spans="1:9">
      <c r="A142" s="8"/>
      <c r="B142" s="13"/>
      <c r="C142" s="8"/>
      <c r="D142" s="8"/>
      <c r="E142" s="8"/>
      <c r="F142" s="9"/>
      <c r="G142" s="8"/>
      <c r="H142" s="8"/>
      <c r="I142" s="9"/>
    </row>
    <row r="143" spans="1:9">
      <c r="A143" s="8"/>
      <c r="B143" s="13"/>
      <c r="C143" s="8"/>
      <c r="D143" s="8"/>
      <c r="E143" s="8"/>
      <c r="F143" s="9"/>
      <c r="G143" s="8"/>
      <c r="H143" s="8"/>
      <c r="I143" s="9"/>
    </row>
    <row r="144" spans="1:9">
      <c r="A144" s="8"/>
      <c r="B144" s="13"/>
      <c r="C144" s="8"/>
      <c r="D144" s="8"/>
      <c r="E144" s="8"/>
      <c r="F144" s="9"/>
      <c r="G144" s="8"/>
      <c r="H144" s="8"/>
      <c r="I144" s="9"/>
    </row>
    <row r="145" spans="1:9">
      <c r="A145" s="8"/>
      <c r="B145" s="13"/>
      <c r="C145" s="8"/>
      <c r="D145" s="8"/>
      <c r="E145" s="8"/>
      <c r="F145" s="9"/>
      <c r="G145" s="8"/>
      <c r="H145" s="8"/>
      <c r="I145" s="9"/>
    </row>
    <row r="146" spans="1:9">
      <c r="A146" s="8"/>
      <c r="B146" s="13"/>
      <c r="C146" s="8"/>
      <c r="D146" s="8"/>
      <c r="E146" s="8"/>
      <c r="F146" s="9"/>
      <c r="G146" s="8"/>
      <c r="H146" s="8"/>
      <c r="I146" s="9"/>
    </row>
    <row r="147" spans="1:9">
      <c r="A147" s="8"/>
      <c r="B147" s="13"/>
      <c r="C147" s="8"/>
      <c r="D147" s="8"/>
      <c r="E147" s="8"/>
      <c r="F147" s="9"/>
      <c r="G147" s="8"/>
      <c r="H147" s="8"/>
      <c r="I147" s="9"/>
    </row>
    <row r="148" spans="1:9">
      <c r="A148" s="8"/>
      <c r="B148" s="13"/>
      <c r="C148" s="8"/>
      <c r="D148" s="8"/>
      <c r="E148" s="8"/>
      <c r="F148" s="9"/>
      <c r="G148" s="8"/>
      <c r="H148" s="8"/>
      <c r="I148" s="9"/>
    </row>
    <row r="149" spans="1:9">
      <c r="A149" s="8"/>
      <c r="B149" s="13"/>
      <c r="C149" s="8"/>
      <c r="D149" s="8"/>
      <c r="E149" s="8"/>
      <c r="F149" s="9"/>
      <c r="G149" s="8"/>
      <c r="H149" s="8"/>
      <c r="I149" s="9"/>
    </row>
    <row r="150" spans="1:9">
      <c r="A150" s="8"/>
      <c r="B150" s="13"/>
      <c r="C150" s="8"/>
      <c r="D150" s="8"/>
      <c r="E150" s="8"/>
      <c r="F150" s="9"/>
      <c r="G150" s="8"/>
      <c r="H150" s="8"/>
      <c r="I150" s="9"/>
    </row>
    <row r="151" spans="1:9">
      <c r="A151" s="8"/>
      <c r="B151" s="13"/>
      <c r="C151" s="8"/>
      <c r="D151" s="8"/>
      <c r="E151" s="8"/>
      <c r="F151" s="9"/>
      <c r="G151" s="8"/>
      <c r="H151" s="8"/>
      <c r="I151" s="9"/>
    </row>
    <row r="152" spans="1:9">
      <c r="A152" s="8"/>
      <c r="B152" s="13"/>
      <c r="C152" s="8"/>
      <c r="D152" s="8"/>
      <c r="E152" s="8"/>
      <c r="F152" s="9"/>
      <c r="G152" s="8"/>
      <c r="H152" s="8"/>
      <c r="I152" s="9"/>
    </row>
    <row r="153" spans="1:9">
      <c r="A153" s="8"/>
      <c r="B153" s="13"/>
      <c r="C153" s="8"/>
      <c r="D153" s="8"/>
      <c r="E153" s="8"/>
      <c r="F153" s="9"/>
      <c r="G153" s="8"/>
      <c r="H153" s="8"/>
      <c r="I153" s="9"/>
    </row>
    <row r="154" spans="1:9">
      <c r="A154" s="8"/>
      <c r="B154" s="13"/>
      <c r="C154" s="8"/>
      <c r="D154" s="8"/>
      <c r="E154" s="8"/>
      <c r="F154" s="9"/>
      <c r="G154" s="8"/>
      <c r="H154" s="8"/>
      <c r="I154" s="9"/>
    </row>
    <row r="155" spans="1:9">
      <c r="A155" s="8"/>
      <c r="B155" s="13"/>
      <c r="C155" s="8"/>
      <c r="D155" s="8"/>
      <c r="E155" s="8"/>
      <c r="F155" s="9"/>
      <c r="G155" s="8"/>
      <c r="H155" s="8"/>
      <c r="I155" s="9"/>
    </row>
    <row r="156" spans="1:9">
      <c r="A156" s="8"/>
      <c r="B156" s="13"/>
      <c r="C156" s="8"/>
      <c r="D156" s="8"/>
      <c r="E156" s="8"/>
      <c r="F156" s="9"/>
      <c r="G156" s="8"/>
      <c r="H156" s="8"/>
      <c r="I156" s="9"/>
    </row>
    <row r="157" spans="1:9">
      <c r="A157" s="8"/>
      <c r="B157" s="13"/>
      <c r="C157" s="8"/>
      <c r="D157" s="8"/>
      <c r="E157" s="8"/>
      <c r="F157" s="9"/>
      <c r="G157" s="8"/>
      <c r="H157" s="8"/>
      <c r="I157" s="9"/>
    </row>
    <row r="158" spans="1:9">
      <c r="A158" s="8"/>
      <c r="B158" s="13"/>
      <c r="C158" s="8"/>
      <c r="D158" s="8"/>
      <c r="E158" s="8"/>
      <c r="F158" s="9"/>
      <c r="G158" s="8"/>
      <c r="H158" s="8"/>
      <c r="I158" s="9"/>
    </row>
    <row r="159" spans="1:9">
      <c r="A159" s="8"/>
      <c r="B159" s="13"/>
      <c r="C159" s="8"/>
      <c r="D159" s="8"/>
      <c r="E159" s="8"/>
      <c r="F159" s="9"/>
      <c r="G159" s="8"/>
      <c r="H159" s="8"/>
      <c r="I159" s="9"/>
    </row>
    <row r="160" spans="1:9">
      <c r="A160" s="8"/>
      <c r="B160" s="13"/>
      <c r="C160" s="8"/>
      <c r="D160" s="8"/>
      <c r="E160" s="8"/>
      <c r="F160" s="9"/>
      <c r="G160" s="8"/>
      <c r="H160" s="8"/>
      <c r="I160" s="9"/>
    </row>
    <row r="161" spans="1:9">
      <c r="A161" s="8"/>
      <c r="B161" s="13"/>
      <c r="C161" s="8"/>
      <c r="D161" s="8"/>
      <c r="E161" s="8"/>
      <c r="F161" s="9"/>
      <c r="G161" s="8"/>
      <c r="H161" s="8"/>
      <c r="I161" s="9"/>
    </row>
    <row r="162" spans="1:9">
      <c r="A162" s="8"/>
      <c r="B162" s="13"/>
      <c r="C162" s="8"/>
      <c r="D162" s="8"/>
      <c r="E162" s="8"/>
      <c r="F162" s="9"/>
      <c r="G162" s="8"/>
      <c r="H162" s="8"/>
      <c r="I162" s="9"/>
    </row>
    <row r="163" spans="1:9">
      <c r="A163" s="8"/>
      <c r="B163" s="13"/>
      <c r="C163" s="8"/>
      <c r="D163" s="8"/>
      <c r="E163" s="8"/>
      <c r="F163" s="9"/>
      <c r="G163" s="8"/>
      <c r="H163" s="8"/>
      <c r="I163" s="9"/>
    </row>
    <row r="164" spans="1:9">
      <c r="A164" s="8"/>
      <c r="B164" s="13"/>
      <c r="C164" s="8"/>
      <c r="D164" s="8"/>
      <c r="E164" s="8"/>
      <c r="F164" s="9"/>
      <c r="G164" s="8"/>
      <c r="H164" s="8"/>
      <c r="I164" s="9"/>
    </row>
    <row r="165" spans="1:9">
      <c r="A165" s="8"/>
      <c r="B165" s="13"/>
      <c r="C165" s="8"/>
      <c r="D165" s="8"/>
      <c r="E165" s="8"/>
      <c r="F165" s="9"/>
      <c r="G165" s="8"/>
      <c r="H165" s="8"/>
      <c r="I165" s="9"/>
    </row>
    <row r="166" spans="1:9">
      <c r="A166" s="8"/>
      <c r="B166" s="13"/>
      <c r="C166" s="8"/>
      <c r="D166" s="8"/>
      <c r="E166" s="8"/>
      <c r="F166" s="9"/>
      <c r="G166" s="8"/>
      <c r="H166" s="8"/>
      <c r="I166" s="9"/>
    </row>
    <row r="167" spans="1:9">
      <c r="A167" s="8"/>
      <c r="B167" s="13"/>
      <c r="C167" s="8"/>
      <c r="D167" s="8"/>
      <c r="E167" s="8"/>
      <c r="F167" s="9"/>
      <c r="G167" s="8"/>
      <c r="H167" s="8"/>
      <c r="I167" s="9"/>
    </row>
    <row r="168" spans="1:9">
      <c r="A168" s="8"/>
      <c r="B168" s="13"/>
      <c r="C168" s="8"/>
      <c r="D168" s="8"/>
      <c r="E168" s="8"/>
      <c r="F168" s="9"/>
      <c r="G168" s="8"/>
      <c r="H168" s="8"/>
      <c r="I168" s="9"/>
    </row>
    <row r="169" spans="1:9">
      <c r="A169" s="8"/>
      <c r="B169" s="13"/>
      <c r="C169" s="8"/>
      <c r="D169" s="8"/>
      <c r="E169" s="8"/>
      <c r="F169" s="9"/>
      <c r="G169" s="8"/>
      <c r="H169" s="8"/>
      <c r="I169" s="9"/>
    </row>
    <row r="170" spans="1:9">
      <c r="A170" s="8"/>
      <c r="B170" s="13"/>
      <c r="C170" s="8"/>
      <c r="D170" s="8"/>
      <c r="E170" s="8"/>
      <c r="F170" s="9"/>
      <c r="G170" s="8"/>
      <c r="H170" s="8"/>
      <c r="I170" s="9"/>
    </row>
    <row r="171" spans="1:9">
      <c r="A171" s="8"/>
      <c r="B171" s="13"/>
      <c r="C171" s="8"/>
      <c r="D171" s="8"/>
      <c r="E171" s="8"/>
      <c r="F171" s="9"/>
      <c r="G171" s="8"/>
      <c r="H171" s="8"/>
      <c r="I171" s="9"/>
    </row>
    <row r="172" spans="1:9">
      <c r="A172" s="8"/>
      <c r="B172" s="13"/>
      <c r="C172" s="8"/>
      <c r="D172" s="8"/>
      <c r="E172" s="8"/>
      <c r="F172" s="9"/>
      <c r="G172" s="8"/>
      <c r="H172" s="8"/>
      <c r="I172" s="9"/>
    </row>
    <row r="173" spans="1:9">
      <c r="A173" s="8"/>
      <c r="B173" s="13"/>
      <c r="C173" s="8"/>
      <c r="D173" s="8"/>
      <c r="E173" s="8"/>
      <c r="F173" s="9"/>
      <c r="G173" s="8"/>
      <c r="H173" s="8"/>
      <c r="I173" s="9"/>
    </row>
    <row r="174" spans="1:9">
      <c r="A174" s="8"/>
      <c r="B174" s="13"/>
      <c r="C174" s="8"/>
      <c r="D174" s="8"/>
      <c r="E174" s="8"/>
      <c r="F174" s="9"/>
      <c r="G174" s="8"/>
      <c r="H174" s="8"/>
      <c r="I174" s="9"/>
    </row>
    <row r="175" spans="1:9">
      <c r="A175" s="8"/>
      <c r="B175" s="13"/>
      <c r="C175" s="8"/>
      <c r="D175" s="8"/>
      <c r="E175" s="8"/>
      <c r="F175" s="9"/>
      <c r="G175" s="8"/>
      <c r="H175" s="8"/>
      <c r="I175" s="9"/>
    </row>
    <row r="176" spans="1:9">
      <c r="A176" s="8"/>
      <c r="B176" s="13"/>
      <c r="C176" s="8"/>
      <c r="D176" s="8"/>
      <c r="E176" s="8"/>
      <c r="F176" s="9"/>
      <c r="G176" s="8"/>
      <c r="H176" s="8"/>
      <c r="I176" s="9"/>
    </row>
    <row r="177" spans="1:9">
      <c r="A177" s="8"/>
      <c r="B177" s="13"/>
      <c r="C177" s="8"/>
      <c r="D177" s="8"/>
      <c r="E177" s="8"/>
      <c r="F177" s="9"/>
      <c r="G177" s="8"/>
      <c r="H177" s="8"/>
      <c r="I177" s="9"/>
    </row>
    <row r="178" spans="1:9">
      <c r="A178" s="8"/>
      <c r="B178" s="13"/>
      <c r="C178" s="8"/>
      <c r="D178" s="8"/>
      <c r="E178" s="8"/>
      <c r="F178" s="9"/>
      <c r="G178" s="8"/>
      <c r="H178" s="8"/>
      <c r="I178" s="9"/>
    </row>
    <row r="179" spans="1:9">
      <c r="A179" s="8"/>
      <c r="B179" s="13"/>
      <c r="C179" s="8"/>
      <c r="D179" s="8"/>
      <c r="E179" s="8"/>
      <c r="F179" s="9"/>
      <c r="G179" s="8"/>
      <c r="H179" s="8"/>
      <c r="I179" s="9"/>
    </row>
    <row r="180" spans="1:9">
      <c r="A180" s="8"/>
      <c r="B180" s="13"/>
      <c r="C180" s="8"/>
      <c r="D180" s="8"/>
      <c r="E180" s="8"/>
      <c r="F180" s="9"/>
      <c r="G180" s="8"/>
      <c r="H180" s="8"/>
      <c r="I180" s="9"/>
    </row>
    <row r="181" spans="1:9">
      <c r="A181" s="8"/>
      <c r="B181" s="13"/>
      <c r="C181" s="8"/>
      <c r="D181" s="8"/>
      <c r="E181" s="8"/>
      <c r="F181" s="9"/>
      <c r="G181" s="8"/>
      <c r="H181" s="8"/>
      <c r="I181" s="9"/>
    </row>
    <row r="182" spans="1:9">
      <c r="A182" s="8"/>
      <c r="B182" s="13"/>
      <c r="C182" s="8"/>
      <c r="D182" s="8"/>
      <c r="E182" s="8"/>
      <c r="F182" s="9"/>
      <c r="G182" s="8"/>
      <c r="H182" s="8"/>
      <c r="I182" s="9"/>
    </row>
    <row r="183" spans="1:9">
      <c r="A183" s="8"/>
      <c r="B183" s="13"/>
      <c r="C183" s="8"/>
      <c r="D183" s="8"/>
      <c r="E183" s="8"/>
      <c r="F183" s="9"/>
      <c r="G183" s="8"/>
      <c r="H183" s="8"/>
      <c r="I183" s="9"/>
    </row>
    <row r="184" spans="1:9">
      <c r="A184" s="8"/>
      <c r="B184" s="13"/>
      <c r="C184" s="8"/>
      <c r="D184" s="8"/>
      <c r="E184" s="8"/>
      <c r="F184" s="9"/>
      <c r="G184" s="8"/>
      <c r="H184" s="8"/>
      <c r="I184" s="9"/>
    </row>
    <row r="185" spans="1:9">
      <c r="A185" s="8"/>
      <c r="B185" s="13"/>
      <c r="C185" s="8"/>
      <c r="D185" s="8"/>
      <c r="E185" s="8"/>
      <c r="F185" s="9"/>
      <c r="G185" s="8"/>
      <c r="H185" s="8"/>
      <c r="I185" s="9"/>
    </row>
    <row r="186" spans="1:9">
      <c r="A186" s="8"/>
      <c r="B186" s="13"/>
      <c r="C186" s="8"/>
      <c r="D186" s="8"/>
      <c r="E186" s="8"/>
      <c r="F186" s="9"/>
      <c r="G186" s="8"/>
      <c r="H186" s="8"/>
      <c r="I186" s="9"/>
    </row>
    <row r="187" spans="1:9">
      <c r="A187" s="8"/>
      <c r="B187" s="13"/>
      <c r="C187" s="8"/>
      <c r="D187" s="8"/>
      <c r="E187" s="8"/>
      <c r="F187" s="9"/>
      <c r="G187" s="8"/>
      <c r="H187" s="8"/>
      <c r="I187" s="9"/>
    </row>
    <row r="188" spans="1:9">
      <c r="A188" s="8"/>
      <c r="B188" s="13"/>
      <c r="C188" s="8"/>
      <c r="D188" s="8"/>
      <c r="E188" s="8"/>
      <c r="F188" s="9"/>
      <c r="G188" s="8"/>
      <c r="H188" s="8"/>
      <c r="I188" s="9"/>
    </row>
    <row r="189" spans="1:9">
      <c r="A189" s="8"/>
      <c r="B189" s="13"/>
      <c r="C189" s="8"/>
      <c r="D189" s="8"/>
      <c r="E189" s="8"/>
      <c r="F189" s="9"/>
      <c r="G189" s="8"/>
      <c r="H189" s="8"/>
      <c r="I189" s="9"/>
    </row>
    <row r="190" spans="1:9">
      <c r="A190" s="8"/>
      <c r="B190" s="13"/>
      <c r="C190" s="8"/>
      <c r="D190" s="8"/>
      <c r="E190" s="8"/>
      <c r="F190" s="9"/>
      <c r="G190" s="8"/>
      <c r="H190" s="8"/>
      <c r="I190" s="9"/>
    </row>
    <row r="191" spans="1:9">
      <c r="A191" s="8"/>
      <c r="B191" s="13"/>
      <c r="C191" s="8"/>
      <c r="D191" s="8"/>
      <c r="E191" s="8"/>
      <c r="F191" s="9"/>
      <c r="G191" s="8"/>
      <c r="H191" s="8"/>
      <c r="I191" s="9"/>
    </row>
    <row r="192" spans="1:9">
      <c r="A192" s="8"/>
      <c r="B192" s="13"/>
      <c r="C192" s="8"/>
      <c r="D192" s="8"/>
      <c r="E192" s="8"/>
      <c r="F192" s="9"/>
      <c r="G192" s="8"/>
      <c r="H192" s="8"/>
      <c r="I192" s="9"/>
    </row>
    <row r="193" spans="1:9">
      <c r="A193" s="8"/>
      <c r="B193" s="13"/>
      <c r="C193" s="8"/>
      <c r="D193" s="8"/>
      <c r="E193" s="8"/>
      <c r="F193" s="9"/>
      <c r="G193" s="8"/>
      <c r="H193" s="8"/>
      <c r="I193" s="9"/>
    </row>
    <row r="194" spans="1:9">
      <c r="A194" s="8"/>
      <c r="B194" s="13"/>
      <c r="C194" s="8"/>
      <c r="D194" s="8"/>
      <c r="E194" s="8"/>
      <c r="F194" s="9"/>
      <c r="G194" s="8"/>
      <c r="H194" s="8"/>
      <c r="I194" s="9"/>
    </row>
    <row r="195" spans="1:9">
      <c r="A195" s="8"/>
      <c r="B195" s="13"/>
      <c r="C195" s="8"/>
      <c r="D195" s="8"/>
      <c r="E195" s="8"/>
      <c r="F195" s="9"/>
      <c r="G195" s="8"/>
      <c r="H195" s="8"/>
      <c r="I195" s="9"/>
    </row>
    <row r="196" spans="1:9">
      <c r="A196" s="8"/>
      <c r="B196" s="13"/>
      <c r="C196" s="8"/>
      <c r="D196" s="8"/>
      <c r="E196" s="8"/>
      <c r="F196" s="9"/>
      <c r="G196" s="8"/>
      <c r="H196" s="8"/>
      <c r="I196" s="9"/>
    </row>
    <row r="197" spans="1:9">
      <c r="A197" s="8"/>
      <c r="B197" s="13"/>
      <c r="C197" s="8"/>
      <c r="D197" s="8"/>
      <c r="E197" s="8"/>
      <c r="F197" s="9"/>
      <c r="G197" s="8"/>
      <c r="H197" s="8"/>
      <c r="I197" s="9"/>
    </row>
    <row r="198" spans="1:9">
      <c r="A198" s="8"/>
      <c r="B198" s="13"/>
      <c r="C198" s="8"/>
      <c r="D198" s="8"/>
      <c r="E198" s="8"/>
      <c r="F198" s="9"/>
      <c r="G198" s="8"/>
      <c r="H198" s="8"/>
      <c r="I198" s="9"/>
    </row>
    <row r="199" spans="1:9">
      <c r="A199" s="8"/>
      <c r="B199" s="13"/>
      <c r="C199" s="8"/>
      <c r="D199" s="8"/>
      <c r="E199" s="8"/>
      <c r="F199" s="9"/>
      <c r="G199" s="8"/>
      <c r="H199" s="8"/>
      <c r="I199" s="9"/>
    </row>
    <row r="200" spans="1:9">
      <c r="A200" s="8"/>
      <c r="B200" s="13"/>
      <c r="C200" s="8"/>
      <c r="D200" s="8"/>
      <c r="E200" s="8"/>
      <c r="F200" s="9"/>
      <c r="G200" s="8"/>
      <c r="H200" s="8"/>
      <c r="I200" s="9"/>
    </row>
    <row r="201" spans="1:9">
      <c r="A201" s="8"/>
      <c r="B201" s="13"/>
      <c r="C201" s="8"/>
      <c r="D201" s="8"/>
      <c r="E201" s="8"/>
      <c r="F201" s="9"/>
      <c r="G201" s="8"/>
      <c r="H201" s="8"/>
      <c r="I201" s="9"/>
    </row>
    <row r="202" spans="1:9">
      <c r="A202" s="8"/>
      <c r="B202" s="13"/>
      <c r="C202" s="8"/>
      <c r="D202" s="8"/>
      <c r="E202" s="8"/>
      <c r="F202" s="9"/>
      <c r="G202" s="8"/>
      <c r="H202" s="8"/>
      <c r="I202" s="9"/>
    </row>
    <row r="203" spans="1:9">
      <c r="A203" s="8"/>
      <c r="B203" s="13"/>
      <c r="C203" s="8"/>
      <c r="D203" s="8"/>
      <c r="E203" s="8"/>
      <c r="F203" s="9"/>
      <c r="G203" s="8"/>
      <c r="H203" s="8"/>
      <c r="I203" s="9"/>
    </row>
    <row r="204" spans="1:9">
      <c r="A204" s="8"/>
      <c r="B204" s="13"/>
      <c r="C204" s="8"/>
      <c r="D204" s="8"/>
      <c r="E204" s="8"/>
      <c r="F204" s="9"/>
      <c r="G204" s="8"/>
      <c r="H204" s="8"/>
      <c r="I204" s="9"/>
    </row>
    <row r="205" spans="1:9">
      <c r="A205" s="8"/>
      <c r="B205" s="13"/>
      <c r="C205" s="8"/>
      <c r="D205" s="8"/>
      <c r="E205" s="8"/>
      <c r="F205" s="9"/>
      <c r="G205" s="8"/>
      <c r="H205" s="8"/>
      <c r="I205" s="9"/>
    </row>
    <row r="206" spans="1:9">
      <c r="A206" s="8"/>
      <c r="B206" s="13"/>
      <c r="C206" s="8"/>
      <c r="D206" s="8"/>
      <c r="E206" s="8"/>
      <c r="F206" s="9"/>
      <c r="G206" s="8"/>
      <c r="H206" s="8"/>
      <c r="I206" s="9"/>
    </row>
    <row r="207" spans="1:9">
      <c r="A207" s="8"/>
      <c r="B207" s="13"/>
      <c r="C207" s="8"/>
      <c r="D207" s="8"/>
      <c r="E207" s="8"/>
      <c r="F207" s="9"/>
      <c r="G207" s="8"/>
      <c r="H207" s="8"/>
      <c r="I207" s="9"/>
    </row>
    <row r="208" spans="1:9">
      <c r="A208" s="8"/>
      <c r="B208" s="13"/>
      <c r="C208" s="8"/>
      <c r="D208" s="8"/>
      <c r="E208" s="8"/>
      <c r="F208" s="9"/>
      <c r="G208" s="8"/>
      <c r="H208" s="8"/>
      <c r="I208" s="9"/>
    </row>
    <row r="209" spans="1:9">
      <c r="A209" s="8"/>
      <c r="B209" s="13"/>
      <c r="C209" s="8"/>
      <c r="D209" s="8"/>
      <c r="E209" s="8"/>
      <c r="F209" s="9"/>
      <c r="G209" s="8"/>
      <c r="H209" s="8"/>
      <c r="I209" s="9"/>
    </row>
    <row r="210" spans="1:9">
      <c r="A210" s="8"/>
      <c r="B210" s="13"/>
      <c r="C210" s="8"/>
      <c r="D210" s="8"/>
      <c r="E210" s="8"/>
      <c r="F210" s="9"/>
      <c r="G210" s="8"/>
      <c r="H210" s="8"/>
      <c r="I210" s="9"/>
    </row>
    <row r="211" spans="1:9">
      <c r="A211" s="8"/>
      <c r="B211" s="13"/>
      <c r="C211" s="8"/>
      <c r="D211" s="8"/>
      <c r="E211" s="8"/>
      <c r="F211" s="9"/>
      <c r="G211" s="8"/>
      <c r="H211" s="8"/>
      <c r="I211" s="9"/>
    </row>
    <row r="212" spans="1:9">
      <c r="A212" s="8"/>
      <c r="B212" s="13"/>
      <c r="C212" s="8"/>
      <c r="D212" s="8"/>
      <c r="E212" s="8"/>
      <c r="F212" s="9"/>
      <c r="G212" s="8"/>
      <c r="H212" s="8"/>
      <c r="I212" s="9"/>
    </row>
    <row r="213" spans="1:9">
      <c r="A213" s="8"/>
      <c r="B213" s="13"/>
      <c r="C213" s="8"/>
      <c r="D213" s="8"/>
      <c r="E213" s="8"/>
      <c r="F213" s="9"/>
      <c r="G213" s="8"/>
      <c r="H213" s="8"/>
      <c r="I213" s="9"/>
    </row>
    <row r="214" spans="1:9">
      <c r="A214" s="8"/>
      <c r="B214" s="13"/>
      <c r="C214" s="8"/>
      <c r="D214" s="8"/>
      <c r="E214" s="8"/>
      <c r="F214" s="9"/>
      <c r="G214" s="8"/>
      <c r="H214" s="8"/>
      <c r="I214" s="9"/>
    </row>
    <row r="215" spans="1:9">
      <c r="A215" s="8"/>
      <c r="B215" s="13"/>
      <c r="C215" s="8"/>
      <c r="D215" s="8"/>
      <c r="E215" s="8"/>
      <c r="F215" s="9"/>
      <c r="G215" s="8"/>
      <c r="H215" s="8"/>
      <c r="I215" s="9"/>
    </row>
    <row r="216" spans="1:9">
      <c r="A216" s="8"/>
      <c r="B216" s="13"/>
      <c r="C216" s="8"/>
      <c r="D216" s="8"/>
      <c r="E216" s="8"/>
      <c r="F216" s="9"/>
      <c r="G216" s="8"/>
      <c r="H216" s="8"/>
      <c r="I216" s="9"/>
    </row>
    <row r="217" spans="1:9">
      <c r="A217" s="8"/>
      <c r="B217" s="13"/>
      <c r="C217" s="8"/>
      <c r="D217" s="8"/>
      <c r="E217" s="8"/>
      <c r="F217" s="9"/>
      <c r="G217" s="8"/>
      <c r="H217" s="8"/>
      <c r="I217" s="9"/>
    </row>
    <row r="218" spans="1:9">
      <c r="A218" s="8"/>
      <c r="B218" s="13"/>
      <c r="C218" s="8"/>
      <c r="D218" s="8"/>
      <c r="E218" s="8"/>
      <c r="F218" s="9"/>
      <c r="G218" s="8"/>
      <c r="H218" s="8"/>
      <c r="I218" s="9"/>
    </row>
    <row r="219" spans="1:9">
      <c r="A219" s="8"/>
      <c r="B219" s="13"/>
      <c r="C219" s="8"/>
      <c r="D219" s="8"/>
      <c r="E219" s="8"/>
      <c r="F219" s="9"/>
      <c r="G219" s="8"/>
      <c r="H219" s="8"/>
      <c r="I219" s="9"/>
    </row>
    <row r="220" spans="1:9">
      <c r="A220" s="8"/>
      <c r="B220" s="13"/>
      <c r="C220" s="8"/>
      <c r="D220" s="8"/>
      <c r="E220" s="8"/>
      <c r="F220" s="9"/>
      <c r="G220" s="8"/>
      <c r="H220" s="8"/>
      <c r="I220" s="9"/>
    </row>
    <row r="221" spans="1:9">
      <c r="A221" s="8"/>
      <c r="B221" s="13"/>
      <c r="C221" s="8"/>
      <c r="D221" s="8"/>
      <c r="E221" s="8"/>
      <c r="F221" s="9"/>
      <c r="G221" s="8"/>
      <c r="H221" s="8"/>
      <c r="I221" s="9"/>
    </row>
    <row r="222" spans="1:9">
      <c r="A222" s="8"/>
      <c r="B222" s="13"/>
      <c r="C222" s="8"/>
      <c r="D222" s="8"/>
      <c r="E222" s="8"/>
      <c r="F222" s="9"/>
      <c r="G222" s="8"/>
      <c r="H222" s="8"/>
      <c r="I222" s="9"/>
    </row>
    <row r="223" spans="1:9">
      <c r="A223" s="8"/>
      <c r="B223" s="13"/>
      <c r="C223" s="8"/>
      <c r="D223" s="8"/>
      <c r="E223" s="8"/>
      <c r="F223" s="9"/>
      <c r="G223" s="8"/>
      <c r="H223" s="8"/>
      <c r="I223" s="9"/>
    </row>
    <row r="224" spans="1:9">
      <c r="A224" s="8"/>
      <c r="B224" s="13"/>
      <c r="C224" s="8"/>
      <c r="D224" s="8"/>
      <c r="E224" s="8"/>
      <c r="F224" s="9"/>
      <c r="G224" s="8"/>
      <c r="H224" s="8"/>
      <c r="I224" s="9"/>
    </row>
    <row r="225" spans="1:9">
      <c r="A225" s="8"/>
      <c r="B225" s="13"/>
      <c r="C225" s="8"/>
      <c r="D225" s="8"/>
      <c r="E225" s="8"/>
      <c r="F225" s="9"/>
      <c r="G225" s="8"/>
      <c r="H225" s="8"/>
      <c r="I225" s="9"/>
    </row>
    <row r="226" spans="1:9">
      <c r="A226" s="8"/>
      <c r="B226" s="13"/>
      <c r="C226" s="8"/>
      <c r="D226" s="8"/>
      <c r="E226" s="8"/>
      <c r="F226" s="9"/>
      <c r="G226" s="8"/>
      <c r="H226" s="8"/>
      <c r="I226" s="9"/>
    </row>
    <row r="227" spans="1:9">
      <c r="A227" s="8"/>
      <c r="B227" s="13"/>
      <c r="C227" s="8"/>
      <c r="D227" s="8"/>
      <c r="E227" s="8"/>
      <c r="F227" s="9"/>
      <c r="G227" s="8"/>
      <c r="H227" s="8"/>
      <c r="I227" s="9"/>
    </row>
    <row r="228" spans="1:9">
      <c r="A228" s="8"/>
      <c r="B228" s="13"/>
      <c r="C228" s="8"/>
      <c r="D228" s="8"/>
      <c r="E228" s="8"/>
      <c r="F228" s="9"/>
      <c r="G228" s="8"/>
      <c r="H228" s="8"/>
      <c r="I228" s="9"/>
    </row>
    <row r="229" spans="1:9">
      <c r="A229" s="8"/>
      <c r="B229" s="13"/>
      <c r="C229" s="8"/>
      <c r="D229" s="8"/>
      <c r="E229" s="8"/>
      <c r="F229" s="9"/>
      <c r="G229" s="8"/>
      <c r="H229" s="8"/>
      <c r="I229" s="9"/>
    </row>
    <row r="230" spans="1:9">
      <c r="A230" s="8"/>
      <c r="B230" s="13"/>
      <c r="C230" s="8"/>
      <c r="D230" s="8"/>
      <c r="E230" s="8"/>
      <c r="F230" s="9"/>
      <c r="G230" s="8"/>
      <c r="H230" s="8"/>
      <c r="I230" s="9"/>
    </row>
    <row r="231" spans="1:9">
      <c r="A231" s="8"/>
      <c r="B231" s="13"/>
      <c r="C231" s="8"/>
      <c r="D231" s="8"/>
      <c r="E231" s="8"/>
      <c r="F231" s="9"/>
      <c r="G231" s="8"/>
      <c r="H231" s="8"/>
      <c r="I231" s="9"/>
    </row>
    <row r="232" spans="1:9">
      <c r="A232" s="8"/>
      <c r="B232" s="13"/>
      <c r="C232" s="8"/>
      <c r="D232" s="8"/>
      <c r="E232" s="8"/>
      <c r="F232" s="9"/>
      <c r="G232" s="8"/>
      <c r="H232" s="8"/>
      <c r="I232" s="9"/>
    </row>
    <row r="233" spans="1:9">
      <c r="A233" s="8"/>
      <c r="B233" s="13"/>
      <c r="C233" s="8"/>
      <c r="D233" s="8"/>
      <c r="E233" s="8"/>
      <c r="F233" s="9"/>
      <c r="G233" s="8"/>
      <c r="H233" s="8"/>
      <c r="I233" s="9"/>
    </row>
    <row r="234" spans="1:9">
      <c r="A234" s="8"/>
      <c r="B234" s="13"/>
      <c r="C234" s="8"/>
      <c r="D234" s="8"/>
      <c r="E234" s="8"/>
      <c r="F234" s="9"/>
      <c r="G234" s="8"/>
      <c r="H234" s="8"/>
      <c r="I234" s="9"/>
    </row>
    <row r="235" spans="1:9">
      <c r="A235" s="8"/>
      <c r="B235" s="13"/>
      <c r="C235" s="8"/>
      <c r="D235" s="8"/>
      <c r="E235" s="8"/>
      <c r="F235" s="9"/>
      <c r="G235" s="8"/>
      <c r="H235" s="8"/>
      <c r="I235" s="9"/>
    </row>
    <row r="236" spans="1:9">
      <c r="A236" s="8"/>
      <c r="B236" s="13"/>
      <c r="C236" s="8"/>
      <c r="D236" s="8"/>
      <c r="E236" s="8"/>
      <c r="F236" s="9"/>
      <c r="G236" s="8"/>
      <c r="H236" s="8"/>
      <c r="I236" s="9"/>
    </row>
    <row r="237" spans="1:9">
      <c r="A237" s="8"/>
      <c r="B237" s="13"/>
      <c r="C237" s="8"/>
      <c r="D237" s="8"/>
      <c r="E237" s="8"/>
      <c r="F237" s="9"/>
      <c r="G237" s="8"/>
      <c r="H237" s="8"/>
      <c r="I237" s="9"/>
    </row>
    <row r="238" spans="1:9">
      <c r="A238" s="8"/>
      <c r="B238" s="13"/>
      <c r="C238" s="8"/>
      <c r="D238" s="8"/>
      <c r="E238" s="8"/>
      <c r="F238" s="9"/>
      <c r="G238" s="8"/>
      <c r="H238" s="8"/>
      <c r="I238" s="9"/>
    </row>
    <row r="239" spans="1:9">
      <c r="A239" s="8"/>
      <c r="B239" s="13"/>
      <c r="C239" s="8"/>
      <c r="D239" s="8"/>
      <c r="E239" s="8"/>
      <c r="F239" s="9"/>
      <c r="G239" s="8"/>
      <c r="H239" s="8"/>
      <c r="I239" s="9"/>
    </row>
    <row r="240" spans="1:9">
      <c r="A240" s="8"/>
      <c r="B240" s="13"/>
      <c r="C240" s="8"/>
      <c r="D240" s="8"/>
      <c r="E240" s="8"/>
      <c r="F240" s="9"/>
      <c r="G240" s="8"/>
      <c r="H240" s="8"/>
      <c r="I240" s="9"/>
    </row>
    <row r="241" spans="1:9">
      <c r="A241" s="8"/>
      <c r="B241" s="13"/>
      <c r="C241" s="8"/>
      <c r="D241" s="8"/>
      <c r="E241" s="8"/>
      <c r="F241" s="9"/>
      <c r="G241" s="8"/>
      <c r="H241" s="8"/>
      <c r="I241" s="9"/>
    </row>
    <row r="242" spans="1:9">
      <c r="A242" s="8"/>
      <c r="B242" s="13"/>
      <c r="C242" s="8"/>
      <c r="D242" s="8"/>
      <c r="E242" s="8"/>
      <c r="F242" s="9"/>
      <c r="G242" s="8"/>
      <c r="H242" s="8"/>
      <c r="I242" s="9"/>
    </row>
    <row r="243" spans="1:9">
      <c r="A243" s="8"/>
      <c r="B243" s="13"/>
      <c r="C243" s="8"/>
      <c r="D243" s="8"/>
      <c r="E243" s="8"/>
      <c r="F243" s="9"/>
      <c r="G243" s="8"/>
      <c r="H243" s="8"/>
      <c r="I243" s="9"/>
    </row>
    <row r="244" spans="1:9">
      <c r="A244" s="8"/>
      <c r="B244" s="13"/>
      <c r="C244" s="8"/>
      <c r="D244" s="8"/>
      <c r="E244" s="8"/>
      <c r="F244" s="9"/>
      <c r="G244" s="8"/>
      <c r="H244" s="8"/>
      <c r="I244" s="9"/>
    </row>
    <row r="245" spans="1:9">
      <c r="A245" s="8"/>
      <c r="B245" s="13"/>
      <c r="C245" s="8"/>
      <c r="D245" s="8"/>
      <c r="E245" s="8"/>
      <c r="F245" s="9"/>
      <c r="G245" s="8"/>
      <c r="H245" s="8"/>
      <c r="I245" s="9"/>
    </row>
    <row r="246" spans="1:9">
      <c r="A246" s="8"/>
      <c r="B246" s="13"/>
      <c r="C246" s="8"/>
      <c r="D246" s="8"/>
      <c r="E246" s="8"/>
      <c r="F246" s="9"/>
      <c r="G246" s="8"/>
      <c r="H246" s="8"/>
      <c r="I246" s="9"/>
    </row>
    <row r="247" spans="1:9">
      <c r="A247" s="8"/>
      <c r="B247" s="13"/>
      <c r="C247" s="8"/>
      <c r="D247" s="8"/>
      <c r="E247" s="8"/>
      <c r="F247" s="9"/>
      <c r="G247" s="8"/>
      <c r="H247" s="8"/>
      <c r="I247" s="9"/>
    </row>
    <row r="248" spans="1:9">
      <c r="A248" s="8"/>
      <c r="B248" s="13"/>
      <c r="C248" s="8"/>
      <c r="D248" s="8"/>
      <c r="E248" s="8"/>
      <c r="F248" s="9"/>
      <c r="G248" s="8"/>
      <c r="H248" s="8"/>
      <c r="I248" s="9"/>
    </row>
    <row r="249" spans="1:9">
      <c r="A249" s="8"/>
      <c r="B249" s="13"/>
      <c r="C249" s="8"/>
      <c r="D249" s="8"/>
      <c r="E249" s="8"/>
      <c r="F249" s="9"/>
      <c r="G249" s="8"/>
      <c r="H249" s="8"/>
      <c r="I249" s="9"/>
    </row>
    <row r="250" spans="1:9">
      <c r="A250" s="8"/>
      <c r="B250" s="13"/>
      <c r="C250" s="8"/>
      <c r="D250" s="8"/>
      <c r="E250" s="8"/>
      <c r="F250" s="9"/>
      <c r="G250" s="8"/>
      <c r="H250" s="8"/>
      <c r="I250" s="9"/>
    </row>
    <row r="251" spans="1:9">
      <c r="A251" s="8"/>
      <c r="B251" s="13"/>
      <c r="C251" s="8"/>
      <c r="D251" s="8"/>
      <c r="E251" s="8"/>
      <c r="F251" s="9"/>
      <c r="G251" s="8"/>
      <c r="H251" s="8"/>
      <c r="I251" s="9"/>
    </row>
    <row r="252" spans="1:9">
      <c r="A252" s="8"/>
      <c r="B252" s="13"/>
      <c r="C252" s="8"/>
      <c r="D252" s="8"/>
      <c r="E252" s="8"/>
      <c r="F252" s="9"/>
      <c r="G252" s="8"/>
      <c r="H252" s="8"/>
      <c r="I252" s="9"/>
    </row>
    <row r="253" spans="1:9">
      <c r="A253" s="8"/>
      <c r="B253" s="13"/>
      <c r="C253" s="8"/>
      <c r="D253" s="8"/>
      <c r="E253" s="8"/>
      <c r="F253" s="9"/>
      <c r="G253" s="8"/>
      <c r="H253" s="8"/>
      <c r="I253" s="9"/>
    </row>
    <row r="254" spans="1:9">
      <c r="A254" s="8"/>
      <c r="B254" s="13"/>
      <c r="C254" s="8"/>
      <c r="D254" s="8"/>
      <c r="E254" s="8"/>
      <c r="F254" s="9"/>
      <c r="G254" s="8"/>
      <c r="H254" s="8"/>
      <c r="I254" s="9"/>
    </row>
    <row r="255" spans="1:9">
      <c r="A255" s="8"/>
      <c r="B255" s="13"/>
      <c r="C255" s="8"/>
      <c r="D255" s="8"/>
      <c r="E255" s="8"/>
      <c r="F255" s="9"/>
      <c r="G255" s="8"/>
      <c r="H255" s="8"/>
      <c r="I255" s="9"/>
    </row>
    <row r="256" spans="1:9">
      <c r="A256" s="8"/>
      <c r="B256" s="13"/>
      <c r="C256" s="8"/>
      <c r="D256" s="8"/>
      <c r="E256" s="8"/>
      <c r="F256" s="9"/>
      <c r="G256" s="8"/>
      <c r="H256" s="8"/>
      <c r="I256" s="9"/>
    </row>
    <row r="257" spans="1:9">
      <c r="A257" s="8"/>
      <c r="B257" s="13"/>
      <c r="C257" s="8"/>
      <c r="D257" s="8"/>
      <c r="E257" s="8"/>
      <c r="F257" s="9"/>
      <c r="G257" s="8"/>
      <c r="H257" s="8"/>
      <c r="I257" s="9"/>
    </row>
    <row r="258" spans="1:9">
      <c r="A258" s="8"/>
      <c r="B258" s="13"/>
      <c r="C258" s="8"/>
      <c r="D258" s="8"/>
      <c r="E258" s="8"/>
      <c r="F258" s="9"/>
      <c r="G258" s="8"/>
      <c r="H258" s="8"/>
      <c r="I258" s="9"/>
    </row>
    <row r="259" spans="1:9">
      <c r="A259" s="8"/>
      <c r="B259" s="13"/>
      <c r="C259" s="8"/>
      <c r="D259" s="8"/>
      <c r="E259" s="8"/>
      <c r="F259" s="9"/>
      <c r="G259" s="8"/>
      <c r="H259" s="8"/>
      <c r="I259" s="9"/>
    </row>
    <row r="260" spans="1:9">
      <c r="A260" s="8"/>
      <c r="B260" s="13"/>
      <c r="C260" s="8"/>
      <c r="D260" s="8"/>
      <c r="E260" s="8"/>
      <c r="F260" s="9"/>
      <c r="G260" s="8"/>
      <c r="H260" s="8"/>
      <c r="I260" s="9"/>
    </row>
    <row r="261" spans="1:9">
      <c r="A261" s="8"/>
      <c r="B261" s="13"/>
      <c r="C261" s="8"/>
      <c r="D261" s="8"/>
      <c r="E261" s="8"/>
      <c r="F261" s="9"/>
      <c r="G261" s="8"/>
      <c r="H261" s="8"/>
      <c r="I261" s="9"/>
    </row>
    <row r="262" spans="1:9">
      <c r="A262" s="8"/>
      <c r="B262" s="13"/>
      <c r="C262" s="8"/>
      <c r="D262" s="8"/>
      <c r="E262" s="8"/>
      <c r="F262" s="9"/>
      <c r="G262" s="8"/>
      <c r="H262" s="8"/>
      <c r="I262" s="9"/>
    </row>
    <row r="263" spans="1:9">
      <c r="A263" s="8"/>
      <c r="B263" s="13"/>
      <c r="C263" s="8"/>
      <c r="D263" s="8"/>
      <c r="E263" s="8"/>
      <c r="F263" s="9"/>
      <c r="G263" s="8"/>
      <c r="H263" s="8"/>
      <c r="I263" s="9"/>
    </row>
    <row r="264" spans="1:9">
      <c r="A264" s="8"/>
      <c r="B264" s="13"/>
      <c r="C264" s="8"/>
      <c r="D264" s="8"/>
      <c r="E264" s="8"/>
      <c r="F264" s="9"/>
      <c r="G264" s="8"/>
      <c r="H264" s="8"/>
      <c r="I264" s="9"/>
    </row>
    <row r="265" spans="1:9">
      <c r="A265" s="8"/>
      <c r="B265" s="13"/>
      <c r="C265" s="8"/>
      <c r="D265" s="8"/>
      <c r="E265" s="8"/>
      <c r="F265" s="9"/>
      <c r="G265" s="8"/>
      <c r="H265" s="8"/>
      <c r="I265" s="9"/>
    </row>
    <row r="266" spans="1:9">
      <c r="A266" s="8"/>
      <c r="B266" s="13"/>
      <c r="C266" s="8"/>
      <c r="D266" s="8"/>
      <c r="E266" s="8"/>
      <c r="F266" s="9"/>
      <c r="G266" s="8"/>
      <c r="H266" s="8"/>
      <c r="I266" s="9"/>
    </row>
    <row r="267" spans="1:9">
      <c r="A267" s="8"/>
      <c r="B267" s="13"/>
      <c r="C267" s="8"/>
      <c r="D267" s="8"/>
      <c r="E267" s="8"/>
      <c r="F267" s="9"/>
      <c r="G267" s="8"/>
      <c r="H267" s="8"/>
      <c r="I267" s="9"/>
    </row>
    <row r="268" spans="1:9">
      <c r="A268" s="8"/>
      <c r="B268" s="13"/>
      <c r="C268" s="8"/>
      <c r="D268" s="8"/>
      <c r="E268" s="8"/>
      <c r="F268" s="9"/>
      <c r="G268" s="8"/>
      <c r="H268" s="8"/>
      <c r="I268" s="9"/>
    </row>
    <row r="269" spans="1:9">
      <c r="A269" s="8"/>
      <c r="B269" s="13"/>
      <c r="C269" s="8"/>
      <c r="D269" s="8"/>
      <c r="E269" s="8"/>
      <c r="F269" s="9"/>
      <c r="G269" s="8"/>
      <c r="H269" s="8"/>
      <c r="I269" s="9"/>
    </row>
    <row r="270" spans="1:9">
      <c r="A270" s="8"/>
      <c r="B270" s="13"/>
      <c r="C270" s="8"/>
      <c r="D270" s="8"/>
      <c r="E270" s="8"/>
      <c r="F270" s="9"/>
      <c r="G270" s="8"/>
      <c r="H270" s="8"/>
      <c r="I270" s="9"/>
    </row>
    <row r="271" spans="1:9">
      <c r="A271" s="8"/>
      <c r="B271" s="13"/>
      <c r="C271" s="8"/>
      <c r="D271" s="8"/>
      <c r="E271" s="8"/>
      <c r="F271" s="9"/>
      <c r="G271" s="8"/>
      <c r="H271" s="8"/>
      <c r="I271" s="9"/>
    </row>
    <row r="272" spans="1:9">
      <c r="A272" s="8"/>
      <c r="B272" s="13"/>
      <c r="C272" s="8"/>
      <c r="D272" s="8"/>
      <c r="E272" s="8"/>
      <c r="F272" s="9"/>
      <c r="G272" s="8"/>
      <c r="H272" s="8"/>
      <c r="I272" s="9"/>
    </row>
    <row r="273" spans="1:9">
      <c r="A273" s="8"/>
      <c r="B273" s="13"/>
      <c r="C273" s="8"/>
      <c r="D273" s="8"/>
      <c r="E273" s="8"/>
      <c r="F273" s="9"/>
      <c r="G273" s="8"/>
      <c r="H273" s="8"/>
      <c r="I273" s="9"/>
    </row>
    <row r="274" spans="1:9">
      <c r="A274" s="8"/>
      <c r="B274" s="13"/>
      <c r="C274" s="8"/>
      <c r="D274" s="8"/>
      <c r="E274" s="8"/>
      <c r="F274" s="9"/>
      <c r="G274" s="8"/>
      <c r="H274" s="8"/>
      <c r="I274" s="9"/>
    </row>
    <row r="275" spans="1:9">
      <c r="A275" s="8"/>
      <c r="B275" s="13"/>
      <c r="C275" s="8"/>
      <c r="D275" s="8"/>
      <c r="E275" s="8"/>
      <c r="F275" s="9"/>
      <c r="G275" s="8"/>
      <c r="H275" s="8"/>
      <c r="I275" s="9"/>
    </row>
    <row r="276" spans="1:9">
      <c r="A276" s="8"/>
      <c r="B276" s="13"/>
      <c r="C276" s="8"/>
      <c r="D276" s="8"/>
      <c r="E276" s="8"/>
      <c r="F276" s="9"/>
      <c r="G276" s="8"/>
      <c r="H276" s="8"/>
      <c r="I276" s="9"/>
    </row>
    <row r="277" spans="1:9">
      <c r="A277" s="8"/>
      <c r="B277" s="13"/>
      <c r="C277" s="8"/>
      <c r="D277" s="8"/>
      <c r="E277" s="8"/>
      <c r="F277" s="9"/>
      <c r="G277" s="8"/>
      <c r="H277" s="8"/>
      <c r="I277" s="9"/>
    </row>
    <row r="278" spans="1:9">
      <c r="A278" s="8"/>
      <c r="B278" s="13"/>
      <c r="C278" s="8"/>
      <c r="D278" s="8"/>
      <c r="E278" s="8"/>
      <c r="F278" s="9"/>
      <c r="G278" s="8"/>
      <c r="H278" s="8"/>
      <c r="I278" s="9"/>
    </row>
    <row r="279" spans="1:9">
      <c r="A279" s="8"/>
      <c r="B279" s="13"/>
      <c r="C279" s="8"/>
      <c r="D279" s="8"/>
      <c r="E279" s="8"/>
      <c r="F279" s="9"/>
      <c r="G279" s="8"/>
      <c r="H279" s="8"/>
      <c r="I279" s="9"/>
    </row>
    <row r="280" spans="1:9">
      <c r="A280" s="8"/>
      <c r="B280" s="13"/>
      <c r="C280" s="8"/>
      <c r="D280" s="8"/>
      <c r="E280" s="8"/>
      <c r="F280" s="9"/>
      <c r="G280" s="8"/>
      <c r="H280" s="8"/>
      <c r="I280" s="9"/>
    </row>
    <row r="281" spans="1:9">
      <c r="A281" s="8"/>
      <c r="B281" s="13"/>
      <c r="C281" s="8"/>
      <c r="D281" s="8"/>
      <c r="E281" s="8"/>
      <c r="F281" s="9"/>
      <c r="G281" s="8"/>
      <c r="H281" s="8"/>
      <c r="I281" s="9"/>
    </row>
    <row r="282" spans="1:9">
      <c r="A282" s="8"/>
      <c r="B282" s="13"/>
      <c r="C282" s="8"/>
      <c r="D282" s="8"/>
      <c r="E282" s="8"/>
      <c r="F282" s="9"/>
      <c r="G282" s="8"/>
      <c r="H282" s="8"/>
      <c r="I282" s="9"/>
    </row>
    <row r="283" spans="1:9">
      <c r="A283" s="8"/>
      <c r="B283" s="13"/>
      <c r="C283" s="8"/>
      <c r="D283" s="8"/>
      <c r="E283" s="8"/>
      <c r="F283" s="9"/>
      <c r="G283" s="8"/>
      <c r="H283" s="8"/>
      <c r="I283" s="9"/>
    </row>
    <row r="284" spans="1:9">
      <c r="A284" s="8"/>
      <c r="B284" s="13"/>
      <c r="C284" s="8"/>
      <c r="D284" s="8"/>
      <c r="E284" s="8"/>
      <c r="F284" s="9"/>
      <c r="G284" s="8"/>
      <c r="H284" s="8"/>
      <c r="I284" s="9"/>
    </row>
    <row r="285" spans="1:9">
      <c r="A285" s="8"/>
      <c r="B285" s="13"/>
      <c r="C285" s="8"/>
      <c r="D285" s="8"/>
      <c r="E285" s="8"/>
      <c r="F285" s="9"/>
      <c r="G285" s="8"/>
      <c r="H285" s="8"/>
      <c r="I285" s="9"/>
    </row>
    <row r="286" spans="1:9">
      <c r="A286" s="8"/>
      <c r="B286" s="13"/>
      <c r="C286" s="8"/>
      <c r="D286" s="8"/>
      <c r="E286" s="8"/>
      <c r="F286" s="9"/>
      <c r="G286" s="8"/>
      <c r="H286" s="8"/>
      <c r="I286" s="9"/>
    </row>
    <row r="287" spans="1:9">
      <c r="A287" s="8"/>
      <c r="B287" s="13"/>
      <c r="C287" s="8"/>
      <c r="D287" s="8"/>
      <c r="E287" s="8"/>
      <c r="F287" s="9"/>
      <c r="G287" s="8"/>
      <c r="H287" s="8"/>
      <c r="I287" s="9"/>
    </row>
    <row r="288" spans="1:9">
      <c r="A288" s="8"/>
      <c r="B288" s="13"/>
      <c r="C288" s="8"/>
      <c r="D288" s="8"/>
      <c r="E288" s="8"/>
      <c r="F288" s="9"/>
      <c r="G288" s="8"/>
      <c r="H288" s="8"/>
      <c r="I288" s="9"/>
    </row>
    <row r="289" spans="1:9">
      <c r="A289" s="8"/>
      <c r="B289" s="13"/>
      <c r="C289" s="8"/>
      <c r="D289" s="8"/>
      <c r="E289" s="8"/>
      <c r="F289" s="9"/>
      <c r="G289" s="8"/>
      <c r="H289" s="8"/>
      <c r="I289" s="9"/>
    </row>
    <row r="290" spans="1:9">
      <c r="A290" s="8"/>
      <c r="B290" s="13"/>
      <c r="C290" s="8"/>
      <c r="D290" s="8"/>
      <c r="E290" s="8"/>
      <c r="F290" s="9"/>
      <c r="G290" s="8"/>
      <c r="H290" s="8"/>
      <c r="I290" s="9"/>
    </row>
    <row r="291" spans="1:9">
      <c r="A291" s="8"/>
      <c r="B291" s="13"/>
      <c r="C291" s="8"/>
      <c r="D291" s="8"/>
      <c r="E291" s="8"/>
      <c r="F291" s="9"/>
      <c r="G291" s="8"/>
      <c r="H291" s="8"/>
      <c r="I291" s="9"/>
    </row>
    <row r="292" spans="1:9">
      <c r="A292" s="8"/>
      <c r="B292" s="13"/>
      <c r="C292" s="8"/>
      <c r="D292" s="8"/>
      <c r="E292" s="8"/>
      <c r="F292" s="9"/>
      <c r="G292" s="8"/>
      <c r="H292" s="8"/>
      <c r="I292" s="9"/>
    </row>
    <row r="293" spans="1:9">
      <c r="A293" s="8"/>
      <c r="B293" s="13"/>
      <c r="C293" s="8"/>
      <c r="D293" s="8"/>
      <c r="E293" s="8"/>
      <c r="F293" s="9"/>
      <c r="G293" s="8"/>
      <c r="H293" s="8"/>
      <c r="I293" s="9"/>
    </row>
    <row r="294" spans="1:9">
      <c r="A294" s="8"/>
      <c r="B294" s="13"/>
      <c r="C294" s="8"/>
      <c r="D294" s="8"/>
      <c r="E294" s="8"/>
      <c r="F294" s="9"/>
      <c r="G294" s="8"/>
      <c r="H294" s="8"/>
      <c r="I294" s="9"/>
    </row>
    <row r="295" spans="1:9">
      <c r="A295" s="8"/>
      <c r="B295" s="13"/>
      <c r="C295" s="8"/>
      <c r="D295" s="8"/>
      <c r="E295" s="8"/>
      <c r="F295" s="9"/>
      <c r="G295" s="8"/>
      <c r="H295" s="8"/>
      <c r="I295" s="9"/>
    </row>
    <row r="296" spans="1:9">
      <c r="A296" s="8"/>
      <c r="B296" s="13"/>
      <c r="C296" s="8"/>
      <c r="D296" s="8"/>
      <c r="E296" s="8"/>
      <c r="F296" s="9"/>
      <c r="G296" s="8"/>
      <c r="H296" s="8"/>
      <c r="I296" s="9"/>
    </row>
    <row r="297" spans="1:9">
      <c r="A297" s="8"/>
      <c r="B297" s="13"/>
      <c r="C297" s="8"/>
      <c r="D297" s="8"/>
      <c r="E297" s="8"/>
      <c r="F297" s="9"/>
      <c r="G297" s="8"/>
      <c r="H297" s="8"/>
      <c r="I297" s="9"/>
    </row>
    <row r="298" spans="1:9">
      <c r="A298" s="8"/>
      <c r="B298" s="13"/>
      <c r="C298" s="8"/>
      <c r="D298" s="8"/>
      <c r="E298" s="8"/>
      <c r="F298" s="9"/>
      <c r="G298" s="8"/>
      <c r="H298" s="8"/>
      <c r="I298" s="9"/>
    </row>
    <row r="299" spans="1:9">
      <c r="A299" s="8"/>
      <c r="B299" s="13"/>
      <c r="C299" s="8"/>
      <c r="D299" s="8"/>
      <c r="E299" s="8"/>
      <c r="F299" s="9"/>
      <c r="G299" s="8"/>
      <c r="H299" s="8"/>
      <c r="I299" s="9"/>
    </row>
    <row r="300" spans="1:9">
      <c r="A300" s="8"/>
      <c r="B300" s="13"/>
      <c r="C300" s="8"/>
      <c r="D300" s="8"/>
      <c r="E300" s="8"/>
      <c r="F300" s="9"/>
      <c r="G300" s="8"/>
      <c r="H300" s="8"/>
      <c r="I300" s="9"/>
    </row>
    <row r="301" spans="1:9">
      <c r="A301" s="8"/>
      <c r="B301" s="13"/>
      <c r="C301" s="8"/>
      <c r="D301" s="8"/>
      <c r="E301" s="8"/>
      <c r="F301" s="9"/>
      <c r="G301" s="8"/>
      <c r="H301" s="8"/>
      <c r="I301" s="9"/>
    </row>
    <row r="302" spans="1:9">
      <c r="A302" s="8"/>
      <c r="B302" s="13"/>
      <c r="C302" s="8"/>
      <c r="D302" s="8"/>
      <c r="E302" s="8"/>
      <c r="F302" s="9"/>
      <c r="G302" s="8"/>
      <c r="H302" s="8"/>
      <c r="I302" s="9"/>
    </row>
    <row r="303" spans="1:9">
      <c r="A303" s="8"/>
      <c r="B303" s="13"/>
      <c r="C303" s="8"/>
      <c r="D303" s="8"/>
      <c r="E303" s="8"/>
      <c r="F303" s="9"/>
      <c r="G303" s="8"/>
      <c r="H303" s="8"/>
      <c r="I303" s="9"/>
    </row>
    <row r="304" spans="1:9">
      <c r="A304" s="8"/>
      <c r="B304" s="13"/>
      <c r="C304" s="8"/>
      <c r="D304" s="8"/>
      <c r="E304" s="8"/>
      <c r="F304" s="9"/>
      <c r="G304" s="8"/>
      <c r="H304" s="8"/>
      <c r="I304" s="9"/>
    </row>
    <row r="305" spans="1:9">
      <c r="A305" s="8"/>
      <c r="B305" s="13"/>
      <c r="C305" s="8"/>
      <c r="D305" s="8"/>
      <c r="E305" s="8"/>
      <c r="F305" s="9"/>
      <c r="G305" s="8"/>
      <c r="H305" s="8"/>
      <c r="I305" s="9"/>
    </row>
    <row r="306" spans="1:9">
      <c r="A306" s="8"/>
      <c r="B306" s="13"/>
      <c r="C306" s="8"/>
      <c r="D306" s="8"/>
      <c r="E306" s="8"/>
      <c r="F306" s="9"/>
      <c r="G306" s="8"/>
      <c r="H306" s="8"/>
      <c r="I306" s="9"/>
    </row>
    <row r="307" spans="1:9">
      <c r="A307" s="8"/>
      <c r="B307" s="13"/>
      <c r="C307" s="8"/>
      <c r="D307" s="8"/>
      <c r="E307" s="8"/>
      <c r="F307" s="9"/>
      <c r="G307" s="8"/>
      <c r="H307" s="8"/>
      <c r="I307" s="9"/>
    </row>
    <row r="308" spans="1:9">
      <c r="A308" s="8"/>
      <c r="B308" s="13"/>
      <c r="C308" s="8"/>
      <c r="D308" s="8"/>
      <c r="E308" s="8"/>
      <c r="F308" s="9"/>
      <c r="G308" s="8"/>
      <c r="H308" s="8"/>
      <c r="I308" s="9"/>
    </row>
    <row r="309" spans="1:9">
      <c r="A309" s="8"/>
      <c r="B309" s="13"/>
      <c r="C309" s="8"/>
      <c r="D309" s="8"/>
      <c r="E309" s="8"/>
      <c r="F309" s="9"/>
      <c r="G309" s="8"/>
      <c r="H309" s="8"/>
      <c r="I309" s="9"/>
    </row>
    <row r="310" spans="1:9">
      <c r="A310" s="8"/>
      <c r="B310" s="13"/>
      <c r="C310" s="8"/>
      <c r="D310" s="8"/>
      <c r="E310" s="8"/>
      <c r="F310" s="9"/>
      <c r="G310" s="8"/>
      <c r="H310" s="8"/>
      <c r="I310" s="9"/>
    </row>
    <row r="311" spans="1:9">
      <c r="A311" s="8"/>
      <c r="B311" s="13"/>
      <c r="C311" s="8"/>
      <c r="D311" s="8"/>
      <c r="E311" s="8"/>
      <c r="F311" s="9"/>
      <c r="G311" s="8"/>
      <c r="H311" s="8"/>
      <c r="I311" s="9"/>
    </row>
    <row r="312" spans="1:9">
      <c r="A312" s="8"/>
      <c r="B312" s="13"/>
      <c r="C312" s="8"/>
      <c r="D312" s="8"/>
      <c r="E312" s="8"/>
      <c r="F312" s="9"/>
      <c r="G312" s="8"/>
      <c r="H312" s="8"/>
      <c r="I312" s="9"/>
    </row>
    <row r="313" spans="1:9">
      <c r="A313" s="8"/>
      <c r="B313" s="13"/>
      <c r="C313" s="8"/>
      <c r="D313" s="8"/>
      <c r="E313" s="8"/>
      <c r="F313" s="9"/>
      <c r="G313" s="8"/>
      <c r="H313" s="8"/>
      <c r="I313" s="9"/>
    </row>
    <row r="314" spans="1:9">
      <c r="A314" s="8"/>
      <c r="B314" s="13"/>
      <c r="C314" s="8"/>
      <c r="D314" s="8"/>
      <c r="E314" s="8"/>
      <c r="F314" s="9"/>
      <c r="G314" s="8"/>
      <c r="H314" s="8"/>
      <c r="I314" s="9"/>
    </row>
    <row r="315" spans="1:9">
      <c r="A315" s="8"/>
      <c r="B315" s="13"/>
      <c r="C315" s="8"/>
      <c r="D315" s="8"/>
      <c r="E315" s="8"/>
      <c r="F315" s="9"/>
      <c r="G315" s="8"/>
      <c r="H315" s="8"/>
      <c r="I315" s="9"/>
    </row>
    <row r="316" spans="1:9">
      <c r="A316" s="8"/>
      <c r="B316" s="13"/>
      <c r="C316" s="8"/>
      <c r="D316" s="8"/>
      <c r="E316" s="8"/>
      <c r="F316" s="9"/>
      <c r="G316" s="8"/>
      <c r="H316" s="8"/>
      <c r="I316" s="9"/>
    </row>
    <row r="317" spans="1:9">
      <c r="A317" s="8"/>
      <c r="B317" s="13"/>
      <c r="C317" s="8"/>
      <c r="D317" s="8"/>
      <c r="E317" s="8"/>
      <c r="F317" s="9"/>
      <c r="G317" s="8"/>
      <c r="H317" s="8"/>
      <c r="I317" s="9"/>
    </row>
    <row r="318" spans="1:9">
      <c r="A318" s="8"/>
      <c r="B318" s="13"/>
      <c r="C318" s="8"/>
      <c r="D318" s="8"/>
      <c r="E318" s="8"/>
      <c r="F318" s="9"/>
      <c r="G318" s="8"/>
      <c r="H318" s="8"/>
      <c r="I318" s="9"/>
    </row>
    <row r="319" spans="1:9">
      <c r="A319" s="8"/>
      <c r="B319" s="13"/>
      <c r="C319" s="8"/>
      <c r="D319" s="8"/>
      <c r="E319" s="8"/>
      <c r="F319" s="9"/>
      <c r="G319" s="8"/>
      <c r="H319" s="8"/>
      <c r="I319" s="9"/>
    </row>
    <row r="320" spans="1:9">
      <c r="A320" s="8"/>
      <c r="B320" s="13"/>
      <c r="C320" s="8"/>
      <c r="D320" s="8"/>
      <c r="E320" s="8"/>
      <c r="F320" s="9"/>
      <c r="G320" s="8"/>
      <c r="H320" s="8"/>
      <c r="I320" s="9"/>
    </row>
    <row r="321" spans="1:9">
      <c r="A321" s="8"/>
      <c r="B321" s="13"/>
      <c r="C321" s="8"/>
      <c r="D321" s="8"/>
      <c r="E321" s="8"/>
      <c r="F321" s="9"/>
      <c r="G321" s="8"/>
      <c r="H321" s="8"/>
      <c r="I321" s="9"/>
    </row>
    <row r="322" spans="1:9">
      <c r="C322" s="8"/>
      <c r="D322" s="8"/>
      <c r="E322" s="8"/>
      <c r="F322" s="9"/>
      <c r="G322" s="8"/>
      <c r="H322" s="8"/>
      <c r="I322" s="9"/>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10376" xr:uid="{3E51963A-F890-4DBA-8953-42D6DEC34DBD}"/>
    <hyperlink ref="M4" r:id="rId2" display="https://us3.assetplanner.com/service_request?ID=107731" xr:uid="{2B3A9346-D52F-43CF-B842-9AE2F27E9DB6}"/>
    <hyperlink ref="K5" r:id="rId3" display="https://us3.assetplanner.com/service_request?ID=106974" xr:uid="{EEDC1D24-41A5-413F-8966-C25165B8958E}"/>
    <hyperlink ref="M5" r:id="rId4" display="https://us3.assetplanner.com/service_request?ID=110353" xr:uid="{6A6F5AB0-8497-4959-806E-19D960DF186E}"/>
    <hyperlink ref="K6" r:id="rId5" display="https://us3.assetplanner.com/service_request?ID=107483" xr:uid="{1671A2FB-E741-40B7-BFA5-D1C25728C0FE}"/>
    <hyperlink ref="M6" r:id="rId6" display="https://us3.assetplanner.com/service_request?ID=107895" xr:uid="{D268C8B8-E6E5-40AF-BAB6-DDE8B5E9F7B8}"/>
    <hyperlink ref="K7" r:id="rId7" display="https://us3.assetplanner.com/service_request?ID=107944" xr:uid="{051F3E8A-CCA0-4A63-B98D-A494D38D270E}"/>
    <hyperlink ref="M7" r:id="rId8" display="https://us3.assetplanner.com/service_request?ID=109662" xr:uid="{AC376422-1086-43D9-9CCC-9E1B81AB8666}"/>
    <hyperlink ref="K8" r:id="rId9" display="https://us3.assetplanner.com/service_request?ID=108453" xr:uid="{BCF17877-CD2F-4F00-88B2-44E72536265C}"/>
    <hyperlink ref="M8" r:id="rId10" display="https://us3.assetplanner.com/service_request?ID=108684" xr:uid="{380E2912-2A48-4D75-AFDD-6D34AC623C9E}"/>
    <hyperlink ref="N8" r:id="rId11" display="https://us3.assetplanner.com/service_request?ID=110363" xr:uid="{68EA3A41-48AE-46FD-8A62-6E73BF756C46}"/>
    <hyperlink ref="K10" r:id="rId12" display="https://us3.assetplanner.com/service_request?ID=103097" xr:uid="{4EE8A533-5E65-4EF9-B58C-A118C87D7E5C}"/>
    <hyperlink ref="K11" r:id="rId13" display="https://us3.assetplanner.com/service_request?ID=109068" xr:uid="{D4050962-99E7-4BA2-818A-B3674CA021AF}"/>
    <hyperlink ref="K12" r:id="rId14" display="https://us3.assetplanner.com/service_request?ID=107017" xr:uid="{7C94271F-450A-4340-ABD7-705A5C4629BD}"/>
    <hyperlink ref="M12" r:id="rId15" display="https://us3.assetplanner.com/service_request?ID=106841" xr:uid="{37CFB0B9-68DF-4D24-9FC8-0320B8247352}"/>
    <hyperlink ref="K13" r:id="rId16" display="https://us3.assetplanner.com/service_request?ID=101124" xr:uid="{2DC34AFD-FB0D-4694-ACEB-647C98E3E192}"/>
    <hyperlink ref="M13" r:id="rId17" display="https://us3.assetplanner.com/service_request?ID=109596" xr:uid="{FDCC31F7-B5DA-485A-95D8-7956A7F59A0E}"/>
    <hyperlink ref="K14" r:id="rId18" display="https://us3.assetplanner.com/service_request?ID=107723" xr:uid="{2F3E57F5-A88F-4BB9-BB2C-C5B01A713F30}"/>
    <hyperlink ref="K16" r:id="rId19" display="https://us3.assetplanner.com/service_request?ID=108253" xr:uid="{EBA180C3-736E-4301-BEED-EB96DB3C6567}"/>
    <hyperlink ref="M16" r:id="rId20" display="https://us3.assetplanner.com/service_request?ID=107186" xr:uid="{7A77C06F-7B7A-4A19-AEB6-DDFC3ACE4DB7}"/>
    <hyperlink ref="K18" r:id="rId21" display="https://us3.assetplanner.com/service_request?ID=108553" xr:uid="{8D3503AC-B466-4954-A658-43721102457D}"/>
    <hyperlink ref="M18" r:id="rId22" display="https://us3.assetplanner.com/service_request?ID=108552" xr:uid="{46D28451-0C10-4708-A810-C1D87CF96F19}"/>
    <hyperlink ref="N18" r:id="rId23" display="https://us3.assetplanner.com/service_request?ID=110001" xr:uid="{8D87DD78-723C-4D3B-9F74-366749C914CE}"/>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Q322"/>
  <sheetViews>
    <sheetView zoomScale="70" zoomScaleNormal="70" workbookViewId="0">
      <pane xSplit="2" ySplit="3" topLeftCell="C7" activePane="bottomRight" state="frozen"/>
      <selection pane="bottomRight" activeCell="J17" sqref="J17"/>
      <selection pane="bottomLeft" activeCell="C19" sqref="C19"/>
      <selection pane="topRight" activeCell="C19" sqref="C19"/>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9.5703125" customWidth="1"/>
    <col min="13" max="14" width="8.85546875" style="106"/>
  </cols>
  <sheetData>
    <row r="1" spans="1:17" ht="19.5" customHeight="1">
      <c r="A1" s="128" t="str" cm="1">
        <f t="array" ref="A1">portfolio</f>
        <v>Luminace</v>
      </c>
      <c r="B1" s="128"/>
      <c r="C1" s="128"/>
      <c r="D1" s="129" t="s">
        <v>212</v>
      </c>
      <c r="E1" s="129"/>
      <c r="F1" s="129"/>
      <c r="G1" s="127" t="s">
        <v>213</v>
      </c>
      <c r="H1" s="127"/>
      <c r="I1" s="127"/>
      <c r="J1" s="4"/>
      <c r="K1" s="4"/>
      <c r="L1" s="4"/>
    </row>
    <row r="2" spans="1:17" ht="19.5" customHeight="1">
      <c r="A2" s="130" t="s">
        <v>2</v>
      </c>
      <c r="B2" s="130"/>
      <c r="C2" s="5">
        <f>SUM(C4:C80)</f>
        <v>2298179.1047638967</v>
      </c>
      <c r="D2" s="5">
        <f>SUM(D4:D80)</f>
        <v>2491008.389</v>
      </c>
      <c r="E2" s="5">
        <f>C2-D2</f>
        <v>-192829.2842361033</v>
      </c>
      <c r="F2" s="6">
        <f>IFERROR(E2/D2, 0)</f>
        <v>-7.7410130406471017E-2</v>
      </c>
      <c r="G2" s="5">
        <f>SUM(G4:G80)</f>
        <v>2797317.62</v>
      </c>
      <c r="H2" s="7">
        <f>C2-G2</f>
        <v>-499138.51523610344</v>
      </c>
      <c r="I2" s="6">
        <f>IFERROR(H2/G2, 0)</f>
        <v>-0.17843469460436295</v>
      </c>
      <c r="J2" s="11" t="str">
        <f ca="1">IF(AND(TODAY()&gt;DATE(2024, 11, 1), COUNTA(Sites[Site])&lt;&gt;(COUNT(C:C)-1)), "Some sites are missing actual data; if new sites were added, make sure they are aligned correctly (including prior months!)", "")</f>
        <v/>
      </c>
      <c r="K2" s="4"/>
      <c r="L2" s="11"/>
    </row>
    <row r="3" spans="1:17" ht="14.25" customHeight="1">
      <c r="A3" s="12" t="s">
        <v>3</v>
      </c>
      <c r="B3" s="12" t="s">
        <v>4</v>
      </c>
      <c r="C3" s="19" t="s">
        <v>5</v>
      </c>
      <c r="D3" s="20" t="s">
        <v>6</v>
      </c>
      <c r="E3" s="20" t="s">
        <v>7</v>
      </c>
      <c r="F3" s="21" t="s">
        <v>8</v>
      </c>
      <c r="G3" s="22" t="s">
        <v>9</v>
      </c>
      <c r="H3" s="23" t="s">
        <v>7</v>
      </c>
      <c r="I3" s="24" t="s">
        <v>8</v>
      </c>
      <c r="J3" s="10" t="s">
        <v>20</v>
      </c>
      <c r="K3" s="10" t="s">
        <v>21</v>
      </c>
      <c r="L3" s="10" t="s">
        <v>174</v>
      </c>
    </row>
    <row r="4" spans="1:17" ht="46.5" customHeight="1">
      <c r="A4" s="39" t="str" cm="1">
        <f t="array" ref="A4:A18">Sites[Site]</f>
        <v xml:space="preserve">Raymond Ed Re-Development - DC-23-0001 </v>
      </c>
      <c r="B4" s="40" t="str" cm="1">
        <f t="array" ref="B4:B18">Sites[State]</f>
        <v>DC</v>
      </c>
      <c r="C4" s="28">
        <v>27129.7</v>
      </c>
      <c r="D4" s="29">
        <v>37157.19</v>
      </c>
      <c r="E4" s="29">
        <f>IF(AND(ISNUMBER(C4),ISNUMBER(D4)), C4-D4, "")</f>
        <v>-10027.490000000002</v>
      </c>
      <c r="F4" s="30">
        <f>IFERROR(E4/D4, "")</f>
        <v>-0.26986674718944037</v>
      </c>
      <c r="G4" s="31">
        <v>29884.82</v>
      </c>
      <c r="H4" s="31">
        <f>IF(AND(ISNUMBER(C4),ISNUMBER(G4)), C4-G4, "")</f>
        <v>-2755.119999999999</v>
      </c>
      <c r="I4" s="32">
        <f>IFERROR(H4/G4, "")</f>
        <v>-9.2191286412298915E-2</v>
      </c>
      <c r="J4" s="61" t="s">
        <v>214</v>
      </c>
      <c r="K4" s="72" t="s">
        <v>215</v>
      </c>
      <c r="L4" s="61" t="s">
        <v>216</v>
      </c>
      <c r="M4" s="69" t="s">
        <v>178</v>
      </c>
    </row>
    <row r="5" spans="1:17" ht="15.6">
      <c r="A5" s="41" t="str">
        <v>Berkeley - NJ-22-C893 Berkeley I</v>
      </c>
      <c r="B5" s="42" t="str">
        <v>NJ</v>
      </c>
      <c r="C5" s="35">
        <v>434359</v>
      </c>
      <c r="D5" s="36">
        <v>431931.7</v>
      </c>
      <c r="E5" s="36">
        <f t="shared" ref="E5:E8" si="0">IF(AND(ISNUMBER(C5),ISNUMBER(D5)), C5-D5, "")</f>
        <v>2427.2999999999884</v>
      </c>
      <c r="F5" s="37">
        <f>IFERROR(E5/D5, "")</f>
        <v>5.6196384752496475E-3</v>
      </c>
      <c r="G5" s="38">
        <v>441944.3</v>
      </c>
      <c r="H5" s="38">
        <f t="shared" ref="H5:H8" si="1">IF(AND(ISNUMBER(C5),ISNUMBER(G5)), C5-G5, "")</f>
        <v>-7585.2999999999884</v>
      </c>
      <c r="I5" s="37">
        <f t="shared" ref="I5:I8" si="2">IFERROR(H5/G5, "")</f>
        <v>-1.7163475125711519E-2</v>
      </c>
      <c r="J5" s="59"/>
      <c r="K5" s="59"/>
      <c r="L5" s="59"/>
    </row>
    <row r="6" spans="1:17" ht="54" customHeight="1">
      <c r="A6" s="43" t="str">
        <v>Berkeley - NJ-22-C894 Berkeley II</v>
      </c>
      <c r="B6" s="40" t="str">
        <v>NJ</v>
      </c>
      <c r="C6" s="28">
        <v>350590</v>
      </c>
      <c r="D6" s="29">
        <v>350589.9</v>
      </c>
      <c r="E6" s="29">
        <f t="shared" si="0"/>
        <v>9.9999999976716936E-2</v>
      </c>
      <c r="F6" s="30">
        <f t="shared" ref="F6:F8" si="3">IFERROR(E6/D6, "")</f>
        <v>2.8523354488168921E-7</v>
      </c>
      <c r="G6" s="31">
        <v>447273</v>
      </c>
      <c r="H6" s="31">
        <f t="shared" si="1"/>
        <v>-96683</v>
      </c>
      <c r="I6" s="32">
        <f t="shared" si="2"/>
        <v>-0.21616104705627212</v>
      </c>
      <c r="J6" s="61" t="s">
        <v>217</v>
      </c>
      <c r="K6" s="72" t="s">
        <v>218</v>
      </c>
      <c r="L6" s="61" t="s">
        <v>219</v>
      </c>
      <c r="M6" s="69" t="s">
        <v>220</v>
      </c>
    </row>
    <row r="7" spans="1:17" ht="89.25" customHeight="1">
      <c r="A7" s="41" t="str">
        <v xml:space="preserve"> BEMS Landfill East</v>
      </c>
      <c r="B7" s="42" t="str">
        <v>NJ</v>
      </c>
      <c r="C7" s="35">
        <v>273275</v>
      </c>
      <c r="D7" s="36">
        <v>381659.8</v>
      </c>
      <c r="E7" s="36">
        <f t="shared" si="0"/>
        <v>-108384.79999999999</v>
      </c>
      <c r="F7" s="37">
        <f t="shared" si="3"/>
        <v>-0.28398275113071902</v>
      </c>
      <c r="G7" s="38">
        <v>398647.2</v>
      </c>
      <c r="H7" s="38">
        <f t="shared" si="1"/>
        <v>-125372.20000000001</v>
      </c>
      <c r="I7" s="37">
        <f t="shared" si="2"/>
        <v>-0.31449411911083286</v>
      </c>
      <c r="J7" s="59" t="s">
        <v>221</v>
      </c>
      <c r="K7" s="74" t="s">
        <v>222</v>
      </c>
      <c r="L7" s="59" t="s">
        <v>223</v>
      </c>
      <c r="M7" s="69" t="s">
        <v>224</v>
      </c>
      <c r="N7" s="69" t="s">
        <v>225</v>
      </c>
      <c r="O7" s="73" t="s">
        <v>226</v>
      </c>
    </row>
    <row r="8" spans="1:17" ht="15.6">
      <c r="A8" s="43" t="str">
        <v>Southampton - BEMS West NJ-22-C898</v>
      </c>
      <c r="B8" s="40" t="str">
        <v>NJ</v>
      </c>
      <c r="C8" s="28">
        <v>372982</v>
      </c>
      <c r="D8" s="29">
        <v>400391.1</v>
      </c>
      <c r="E8" s="29">
        <f t="shared" si="0"/>
        <v>-27409.099999999977</v>
      </c>
      <c r="F8" s="30">
        <f t="shared" si="3"/>
        <v>-6.8455817324610813E-2</v>
      </c>
      <c r="G8" s="31">
        <v>405788</v>
      </c>
      <c r="H8" s="31">
        <f t="shared" si="1"/>
        <v>-32806</v>
      </c>
      <c r="I8" s="32">
        <f t="shared" si="2"/>
        <v>-8.0845170384535772E-2</v>
      </c>
      <c r="J8" s="61"/>
      <c r="K8" s="61"/>
      <c r="L8" s="61"/>
    </row>
    <row r="9" spans="1:17" ht="15.6">
      <c r="A9" s="41" t="str">
        <v>Lakewood Twp - Emergency Services Dev  - NJ-23-0008</v>
      </c>
      <c r="B9" s="42" t="str">
        <v>NJ</v>
      </c>
      <c r="C9" s="35">
        <v>3288.9765625</v>
      </c>
      <c r="D9" s="36">
        <v>3454.8589999999999</v>
      </c>
      <c r="E9" s="36">
        <f t="shared" ref="E9:E18" si="4">IF(AND(ISNUMBER(C9),ISNUMBER(D9)), C9-D9, "")</f>
        <v>-165.88243749999992</v>
      </c>
      <c r="F9" s="37">
        <f t="shared" ref="F9:F18" si="5">IFERROR(E9/D9, "")</f>
        <v>-4.8014242404682772E-2</v>
      </c>
      <c r="G9" s="38">
        <v>3503</v>
      </c>
      <c r="H9" s="38">
        <f t="shared" ref="H9:H18" si="6">IF(AND(ISNUMBER(C9),ISNUMBER(G9)), C9-G9, "")</f>
        <v>-214.0234375</v>
      </c>
      <c r="I9" s="37">
        <f t="shared" ref="I9:I18" si="7">IFERROR(H9/G9, "")</f>
        <v>-6.1097184556094773E-2</v>
      </c>
      <c r="J9" s="59"/>
      <c r="K9" s="58"/>
      <c r="L9" s="59"/>
    </row>
    <row r="10" spans="1:17" ht="65.25" customHeight="1">
      <c r="A10" s="43" t="str">
        <v>Lakewood Township - Public Works</v>
      </c>
      <c r="B10" s="40" t="str">
        <v>NJ</v>
      </c>
      <c r="C10" s="28">
        <v>71255.625</v>
      </c>
      <c r="D10" s="29">
        <v>86632.63</v>
      </c>
      <c r="E10" s="29">
        <f t="shared" si="4"/>
        <v>-15377.005000000005</v>
      </c>
      <c r="F10" s="30">
        <f t="shared" si="5"/>
        <v>-0.17749668918050859</v>
      </c>
      <c r="G10" s="31">
        <v>34329</v>
      </c>
      <c r="H10" s="31">
        <f t="shared" si="6"/>
        <v>36926.625</v>
      </c>
      <c r="I10" s="32">
        <f t="shared" si="7"/>
        <v>1.0756685309796381</v>
      </c>
      <c r="J10" s="61" t="s">
        <v>227</v>
      </c>
      <c r="K10" s="72" t="s">
        <v>228</v>
      </c>
      <c r="L10" s="61" t="s">
        <v>229</v>
      </c>
      <c r="M10" s="69" t="s">
        <v>230</v>
      </c>
    </row>
    <row r="11" spans="1:17" ht="39" customHeight="1">
      <c r="A11" s="41" t="str">
        <v>Canby - Dover - OR-23-C003</v>
      </c>
      <c r="B11" s="42" t="str">
        <v>OR</v>
      </c>
      <c r="C11" s="35">
        <v>108098.69100000001</v>
      </c>
      <c r="D11" s="36">
        <v>109293</v>
      </c>
      <c r="E11" s="36">
        <f t="shared" si="4"/>
        <v>-1194.3089999999938</v>
      </c>
      <c r="F11" s="37">
        <f t="shared" si="5"/>
        <v>-1.0927589141116027E-2</v>
      </c>
      <c r="G11" s="38">
        <v>134473</v>
      </c>
      <c r="H11" s="38">
        <f t="shared" si="6"/>
        <v>-26374.308999999994</v>
      </c>
      <c r="I11" s="37">
        <f t="shared" si="7"/>
        <v>-0.1961308887285923</v>
      </c>
      <c r="J11" s="59" t="s">
        <v>231</v>
      </c>
      <c r="K11" s="74" t="s">
        <v>232</v>
      </c>
      <c r="L11" s="59" t="s">
        <v>233</v>
      </c>
    </row>
    <row r="12" spans="1:17" ht="49.5" customHeight="1">
      <c r="A12" s="43" t="str">
        <v xml:space="preserve"> Estacada - Clayfield - OR-23-C001</v>
      </c>
      <c r="B12" s="40" t="str">
        <v>OR</v>
      </c>
      <c r="C12" s="28">
        <v>93110.982201394203</v>
      </c>
      <c r="D12" s="29">
        <v>99761.35</v>
      </c>
      <c r="E12" s="29">
        <f t="shared" si="4"/>
        <v>-6650.3677986058028</v>
      </c>
      <c r="F12" s="30">
        <f t="shared" si="5"/>
        <v>-6.6662768683521251E-2</v>
      </c>
      <c r="G12" s="31">
        <v>153570</v>
      </c>
      <c r="H12" s="31">
        <f t="shared" si="6"/>
        <v>-60459.017798605797</v>
      </c>
      <c r="I12" s="32">
        <f t="shared" si="7"/>
        <v>-0.3936902897610588</v>
      </c>
      <c r="J12" s="61" t="s">
        <v>234</v>
      </c>
      <c r="K12" s="72" t="s">
        <v>235</v>
      </c>
      <c r="L12" s="61" t="s">
        <v>229</v>
      </c>
      <c r="M12" s="69" t="s">
        <v>132</v>
      </c>
    </row>
    <row r="13" spans="1:17" ht="69.75" customHeight="1">
      <c r="A13" s="41" t="str">
        <v>Willamina - Waterford - OR-23-C006</v>
      </c>
      <c r="B13" s="42" t="str">
        <v>OR</v>
      </c>
      <c r="C13" s="35">
        <v>126474.851</v>
      </c>
      <c r="D13" s="36">
        <v>139589.9</v>
      </c>
      <c r="E13" s="36">
        <f t="shared" si="4"/>
        <v>-13115.048999999999</v>
      </c>
      <c r="F13" s="37">
        <f t="shared" si="5"/>
        <v>-9.3954139948520629E-2</v>
      </c>
      <c r="G13" s="38">
        <v>179467</v>
      </c>
      <c r="H13" s="38">
        <f t="shared" si="6"/>
        <v>-52992.149000000005</v>
      </c>
      <c r="I13" s="37">
        <f t="shared" si="7"/>
        <v>-0.29527517036558254</v>
      </c>
      <c r="J13" s="59" t="s">
        <v>236</v>
      </c>
      <c r="K13" s="74" t="s">
        <v>237</v>
      </c>
      <c r="L13" s="59" t="s">
        <v>216</v>
      </c>
      <c r="M13" s="69" t="s">
        <v>238</v>
      </c>
      <c r="Q13" s="106"/>
    </row>
    <row r="14" spans="1:17" ht="28.9">
      <c r="A14" s="43" t="str">
        <v>OR-23-C005  Solops  SPI - Belvedere Solar</v>
      </c>
      <c r="B14" s="40" t="str">
        <v>OR</v>
      </c>
      <c r="C14" s="28">
        <v>131827.56100000101</v>
      </c>
      <c r="D14" s="29">
        <v>128834.6</v>
      </c>
      <c r="E14" s="29">
        <f t="shared" si="4"/>
        <v>2992.9610000009998</v>
      </c>
      <c r="F14" s="30">
        <f t="shared" si="5"/>
        <v>2.3231034209761973E-2</v>
      </c>
      <c r="G14" s="31">
        <v>167910</v>
      </c>
      <c r="H14" s="31">
        <f t="shared" si="6"/>
        <v>-36082.438999998994</v>
      </c>
      <c r="I14" s="32">
        <f t="shared" si="7"/>
        <v>-0.21489154308855335</v>
      </c>
      <c r="J14" s="61" t="s">
        <v>239</v>
      </c>
      <c r="K14" s="61" t="s">
        <v>240</v>
      </c>
      <c r="L14" s="61" t="s">
        <v>241</v>
      </c>
    </row>
    <row r="15" spans="1:17" ht="15.6">
      <c r="A15" s="41" t="str">
        <v>OR-23-C002  SPI - Cork Solar</v>
      </c>
      <c r="B15" s="42" t="str">
        <v>OR</v>
      </c>
      <c r="C15" s="35">
        <v>84931.570000000298</v>
      </c>
      <c r="D15" s="36">
        <v>91220.83</v>
      </c>
      <c r="E15" s="36">
        <f t="shared" si="4"/>
        <v>-6289.2599999997037</v>
      </c>
      <c r="F15" s="37">
        <f t="shared" si="5"/>
        <v>-6.8945437133160301E-2</v>
      </c>
      <c r="G15" s="38">
        <v>104075</v>
      </c>
      <c r="H15" s="38">
        <f t="shared" si="6"/>
        <v>-19143.429999999702</v>
      </c>
      <c r="I15" s="37">
        <f t="shared" si="7"/>
        <v>-0.18393879413883932</v>
      </c>
      <c r="J15" s="59" t="s">
        <v>242</v>
      </c>
      <c r="K15" s="58" t="s">
        <v>243</v>
      </c>
      <c r="L15" s="59" t="s">
        <v>244</v>
      </c>
    </row>
    <row r="16" spans="1:17" ht="84.75" customHeight="1">
      <c r="A16" s="43" t="str">
        <v>OR: Oregon City - Buckner Creek - OR-23-C008</v>
      </c>
      <c r="B16" s="40" t="str">
        <v>OR</v>
      </c>
      <c r="C16" s="28">
        <v>92790.394</v>
      </c>
      <c r="D16" s="29">
        <v>99303.63</v>
      </c>
      <c r="E16" s="29">
        <f t="shared" si="4"/>
        <v>-6513.2360000000044</v>
      </c>
      <c r="F16" s="30">
        <f t="shared" si="5"/>
        <v>-6.5589102835415025E-2</v>
      </c>
      <c r="G16" s="31">
        <v>136515</v>
      </c>
      <c r="H16" s="31">
        <f t="shared" si="6"/>
        <v>-43724.606</v>
      </c>
      <c r="I16" s="32">
        <f t="shared" si="7"/>
        <v>-0.32029158700509103</v>
      </c>
      <c r="J16" s="61" t="s">
        <v>245</v>
      </c>
      <c r="K16" s="72" t="s">
        <v>246</v>
      </c>
      <c r="L16" s="61" t="s">
        <v>247</v>
      </c>
      <c r="M16" s="69" t="s">
        <v>248</v>
      </c>
      <c r="N16" s="69" t="s">
        <v>164</v>
      </c>
    </row>
    <row r="17" spans="1:12" ht="28.9">
      <c r="A17" s="41" t="str">
        <v>OR: Dundee - Gun Club - OR-23-C009</v>
      </c>
      <c r="B17" s="42" t="str">
        <v>OR</v>
      </c>
      <c r="C17" s="35">
        <v>128064.754000001</v>
      </c>
      <c r="D17" s="36">
        <v>131187.9</v>
      </c>
      <c r="E17" s="36">
        <f t="shared" si="4"/>
        <v>-3123.1459999989893</v>
      </c>
      <c r="F17" s="37">
        <f t="shared" si="5"/>
        <v>-2.3806662047330503E-2</v>
      </c>
      <c r="G17" s="38">
        <v>159938.29999999999</v>
      </c>
      <c r="H17" s="38">
        <f t="shared" si="6"/>
        <v>-31873.545999998983</v>
      </c>
      <c r="I17" s="37">
        <f t="shared" si="7"/>
        <v>-0.199286512361323</v>
      </c>
      <c r="J17" s="59" t="s">
        <v>249</v>
      </c>
      <c r="K17" s="74" t="s">
        <v>250</v>
      </c>
      <c r="L17" s="59" t="s">
        <v>251</v>
      </c>
    </row>
    <row r="18" spans="1:12" ht="15.6">
      <c r="A18" s="43" t="str">
        <v>OR: Molalla - Marquam - OR-23-C010</v>
      </c>
      <c r="B18" s="40" t="str">
        <v>OR</v>
      </c>
      <c r="C18" s="28">
        <v>0</v>
      </c>
      <c r="D18" s="29">
        <v>0</v>
      </c>
      <c r="E18" s="29">
        <f t="shared" si="4"/>
        <v>0</v>
      </c>
      <c r="F18" s="30" t="str">
        <f t="shared" si="5"/>
        <v/>
      </c>
      <c r="G18" s="31">
        <v>0</v>
      </c>
      <c r="H18" s="31">
        <f t="shared" si="6"/>
        <v>0</v>
      </c>
      <c r="I18" s="32" t="str">
        <f t="shared" si="7"/>
        <v/>
      </c>
      <c r="J18" s="61" t="s">
        <v>252</v>
      </c>
      <c r="K18" s="72" t="s">
        <v>253</v>
      </c>
      <c r="L18" s="61" t="s">
        <v>254</v>
      </c>
    </row>
    <row r="19" spans="1:12" ht="14.45">
      <c r="A19" s="8"/>
      <c r="B19" s="13"/>
      <c r="C19" s="8"/>
      <c r="D19" s="8"/>
      <c r="E19" s="8"/>
      <c r="F19" s="9"/>
      <c r="G19" s="8"/>
      <c r="H19" s="8"/>
      <c r="I19" s="9"/>
      <c r="J19" s="8"/>
      <c r="K19" s="8"/>
      <c r="L19" s="8"/>
    </row>
    <row r="20" spans="1:12" ht="14.45">
      <c r="A20" s="8"/>
      <c r="B20" s="13"/>
      <c r="C20" s="8"/>
      <c r="D20" s="8"/>
      <c r="E20" s="8"/>
      <c r="F20" s="9"/>
      <c r="G20" s="8"/>
      <c r="H20" s="8"/>
      <c r="I20" s="9"/>
      <c r="J20" s="8"/>
      <c r="K20" s="8"/>
      <c r="L20" s="8"/>
    </row>
    <row r="21" spans="1:12" ht="14.45">
      <c r="A21" s="8"/>
      <c r="B21" s="13"/>
      <c r="C21" s="8"/>
      <c r="D21" s="8"/>
      <c r="E21" s="8"/>
      <c r="F21" s="9"/>
      <c r="G21" s="8"/>
      <c r="H21" s="8"/>
      <c r="I21" s="9"/>
      <c r="J21" s="8"/>
      <c r="K21" s="8"/>
      <c r="L21" s="8"/>
    </row>
    <row r="22" spans="1:12" ht="14.45">
      <c r="A22" s="8"/>
      <c r="B22" s="13"/>
      <c r="C22" s="8"/>
      <c r="D22" s="8"/>
      <c r="E22" s="8"/>
      <c r="F22" s="9"/>
      <c r="G22" s="8"/>
      <c r="H22" s="8"/>
      <c r="I22" s="9"/>
      <c r="J22" s="8"/>
      <c r="K22" s="8"/>
      <c r="L22" s="8"/>
    </row>
    <row r="23" spans="1:12" ht="14.45">
      <c r="A23" s="8"/>
      <c r="B23" s="13"/>
      <c r="C23" s="8"/>
      <c r="D23" s="8"/>
      <c r="E23" s="8"/>
      <c r="F23" s="9"/>
      <c r="G23" s="8"/>
      <c r="H23" s="8"/>
      <c r="I23" s="9"/>
      <c r="J23" s="8"/>
      <c r="K23" s="8"/>
      <c r="L23" s="8"/>
    </row>
    <row r="24" spans="1:12" ht="14.45">
      <c r="A24" s="8"/>
      <c r="B24" s="13"/>
      <c r="C24" s="8"/>
      <c r="D24" s="8"/>
      <c r="E24" s="8"/>
      <c r="F24" s="9"/>
      <c r="G24" s="8"/>
      <c r="H24" s="8"/>
      <c r="I24" s="9"/>
      <c r="J24" s="8"/>
      <c r="K24" s="8"/>
      <c r="L24" s="8"/>
    </row>
    <row r="25" spans="1:12" ht="14.45">
      <c r="A25" s="8"/>
      <c r="B25" s="13"/>
      <c r="C25" s="8"/>
      <c r="D25" s="8"/>
      <c r="E25" s="8"/>
      <c r="F25" s="9"/>
      <c r="G25" s="8"/>
      <c r="H25" s="8"/>
      <c r="I25" s="9"/>
      <c r="J25" s="8"/>
      <c r="K25" s="8"/>
      <c r="L25" s="8"/>
    </row>
    <row r="26" spans="1:12" ht="14.45">
      <c r="A26" s="8"/>
      <c r="B26" s="13"/>
      <c r="C26" s="8"/>
      <c r="D26" s="8"/>
      <c r="E26" s="8"/>
      <c r="F26" s="9"/>
      <c r="G26" s="8"/>
      <c r="H26" s="8"/>
      <c r="I26" s="9"/>
      <c r="J26" s="8"/>
      <c r="K26" s="8"/>
      <c r="L26" s="8"/>
    </row>
    <row r="27" spans="1:12" ht="14.45">
      <c r="A27" s="8"/>
      <c r="B27" s="13"/>
      <c r="C27" s="8"/>
      <c r="D27" s="8"/>
      <c r="E27" s="8"/>
      <c r="F27" s="9"/>
      <c r="G27" s="8"/>
      <c r="H27" s="8"/>
      <c r="I27" s="9"/>
      <c r="J27" s="8"/>
      <c r="K27" s="8"/>
      <c r="L27" s="8"/>
    </row>
    <row r="28" spans="1:12" ht="14.45">
      <c r="A28" s="8"/>
      <c r="B28" s="13"/>
      <c r="C28" s="8"/>
      <c r="D28" s="8"/>
      <c r="E28" s="8"/>
      <c r="F28" s="9"/>
      <c r="G28" s="8"/>
      <c r="H28" s="8"/>
      <c r="I28" s="9"/>
      <c r="J28" s="8"/>
      <c r="K28" s="8"/>
      <c r="L28" s="8"/>
    </row>
    <row r="29" spans="1:12" ht="14.45">
      <c r="A29" s="8"/>
      <c r="B29" s="13"/>
      <c r="C29" s="8"/>
      <c r="D29" s="8"/>
      <c r="E29" s="8"/>
      <c r="F29" s="9"/>
      <c r="G29" s="8"/>
      <c r="H29" s="8"/>
      <c r="I29" s="9"/>
      <c r="J29" s="8"/>
      <c r="K29" s="8"/>
      <c r="L29" s="8"/>
    </row>
    <row r="30" spans="1:12" ht="14.45">
      <c r="A30" s="8"/>
      <c r="B30" s="13"/>
      <c r="C30" s="8"/>
      <c r="D30" s="8"/>
      <c r="E30" s="8"/>
      <c r="F30" s="9"/>
      <c r="G30" s="8"/>
      <c r="H30" s="8"/>
      <c r="I30" s="9"/>
      <c r="J30" s="8"/>
      <c r="K30" s="8"/>
      <c r="L30" s="8"/>
    </row>
    <row r="31" spans="1:12" ht="14.45">
      <c r="A31" s="8"/>
      <c r="B31" s="13"/>
      <c r="C31" s="8"/>
      <c r="D31" s="8"/>
      <c r="E31" s="8"/>
      <c r="F31" s="9"/>
      <c r="G31" s="8"/>
      <c r="H31" s="8"/>
      <c r="I31" s="9"/>
      <c r="J31" s="8"/>
      <c r="K31" s="8"/>
      <c r="L31" s="8"/>
    </row>
    <row r="32" spans="1:12" ht="14.45">
      <c r="A32" s="8"/>
      <c r="B32" s="13"/>
      <c r="C32" s="8"/>
      <c r="D32" s="8"/>
      <c r="E32" s="8"/>
      <c r="F32" s="9"/>
      <c r="G32" s="8"/>
      <c r="H32" s="8"/>
      <c r="I32" s="9"/>
      <c r="J32" s="8"/>
      <c r="K32" s="8"/>
      <c r="L32" s="8"/>
    </row>
    <row r="33" spans="1:12" ht="14.45">
      <c r="A33" s="8"/>
      <c r="B33" s="13"/>
      <c r="C33" s="8"/>
      <c r="D33" s="8"/>
      <c r="E33" s="8"/>
      <c r="F33" s="9"/>
      <c r="G33" s="8"/>
      <c r="H33" s="8"/>
      <c r="I33" s="9"/>
      <c r="J33" s="8"/>
      <c r="K33" s="8"/>
      <c r="L33" s="8"/>
    </row>
    <row r="34" spans="1:12" ht="14.45">
      <c r="A34" s="8"/>
      <c r="B34" s="13"/>
      <c r="C34" s="8"/>
      <c r="D34" s="8"/>
      <c r="E34" s="8"/>
      <c r="F34" s="9"/>
      <c r="G34" s="8"/>
      <c r="H34" s="8"/>
      <c r="I34" s="9"/>
      <c r="J34" s="8"/>
      <c r="K34" s="8"/>
      <c r="L34" s="8"/>
    </row>
    <row r="35" spans="1:12" ht="14.45">
      <c r="A35" s="8"/>
      <c r="B35" s="13"/>
      <c r="C35" s="8"/>
      <c r="D35" s="8"/>
      <c r="E35" s="8"/>
      <c r="F35" s="9"/>
      <c r="G35" s="8"/>
      <c r="H35" s="8"/>
      <c r="I35" s="9"/>
      <c r="J35" s="8"/>
      <c r="K35" s="8"/>
      <c r="L35" s="8"/>
    </row>
    <row r="36" spans="1:12" ht="14.45">
      <c r="A36" s="8"/>
      <c r="B36" s="13"/>
      <c r="C36" s="8"/>
      <c r="D36" s="8"/>
      <c r="E36" s="8"/>
      <c r="F36" s="9"/>
      <c r="G36" s="8"/>
      <c r="H36" s="8"/>
      <c r="I36" s="9"/>
      <c r="J36" s="8"/>
      <c r="K36" s="8"/>
      <c r="L36" s="8"/>
    </row>
    <row r="37" spans="1:12" ht="14.45">
      <c r="A37" s="8"/>
      <c r="B37" s="13"/>
      <c r="C37" s="8"/>
      <c r="D37" s="8"/>
      <c r="E37" s="8"/>
      <c r="F37" s="9"/>
      <c r="G37" s="8"/>
      <c r="H37" s="8"/>
      <c r="I37" s="9"/>
      <c r="J37" s="8"/>
      <c r="K37" s="8"/>
      <c r="L37" s="8"/>
    </row>
    <row r="38" spans="1:12" ht="14.45">
      <c r="A38" s="8"/>
      <c r="B38" s="13"/>
      <c r="C38" s="8"/>
      <c r="D38" s="8"/>
      <c r="E38" s="8"/>
      <c r="F38" s="9"/>
      <c r="G38" s="8"/>
      <c r="H38" s="8"/>
      <c r="I38" s="9"/>
      <c r="J38" s="8"/>
      <c r="K38" s="8"/>
      <c r="L38" s="8"/>
    </row>
    <row r="39" spans="1:12" ht="14.45">
      <c r="A39" s="8"/>
      <c r="B39" s="13"/>
      <c r="C39" s="8"/>
      <c r="D39" s="8"/>
      <c r="E39" s="8"/>
      <c r="F39" s="9"/>
      <c r="G39" s="8"/>
      <c r="H39" s="8"/>
      <c r="I39" s="9"/>
      <c r="J39" s="8"/>
      <c r="K39" s="8"/>
      <c r="L39" s="8"/>
    </row>
    <row r="40" spans="1:12" ht="14.45">
      <c r="A40" s="8"/>
      <c r="B40" s="13"/>
      <c r="C40" s="8"/>
      <c r="D40" s="8"/>
      <c r="E40" s="8"/>
      <c r="F40" s="9"/>
      <c r="G40" s="8"/>
      <c r="H40" s="8"/>
      <c r="I40" s="9"/>
      <c r="J40" s="8"/>
      <c r="K40" s="8"/>
      <c r="L40" s="8"/>
    </row>
    <row r="41" spans="1:12" ht="14.45">
      <c r="A41" s="8"/>
      <c r="B41" s="13"/>
      <c r="C41" s="8"/>
      <c r="D41" s="8"/>
      <c r="E41" s="8"/>
      <c r="F41" s="9"/>
      <c r="G41" s="8"/>
      <c r="H41" s="8"/>
      <c r="I41" s="9"/>
      <c r="J41" s="8"/>
      <c r="K41" s="8"/>
      <c r="L41" s="8"/>
    </row>
    <row r="42" spans="1:12" ht="14.45">
      <c r="A42" s="8"/>
      <c r="B42" s="13"/>
      <c r="C42" s="8"/>
      <c r="D42" s="8"/>
      <c r="E42" s="8"/>
      <c r="F42" s="9"/>
      <c r="G42" s="8"/>
      <c r="H42" s="8"/>
      <c r="I42" s="9"/>
      <c r="J42" s="8"/>
      <c r="K42" s="8"/>
      <c r="L42" s="8"/>
    </row>
    <row r="43" spans="1:12" ht="14.45">
      <c r="A43" s="8"/>
      <c r="B43" s="13"/>
      <c r="C43" s="8"/>
      <c r="D43" s="8"/>
      <c r="E43" s="8"/>
      <c r="F43" s="9"/>
      <c r="G43" s="8"/>
      <c r="H43" s="8"/>
      <c r="I43" s="9"/>
      <c r="J43" s="8"/>
      <c r="K43" s="8"/>
      <c r="L43" s="8"/>
    </row>
    <row r="44" spans="1:12" ht="14.45">
      <c r="A44" s="8"/>
      <c r="B44" s="13"/>
      <c r="C44" s="8"/>
      <c r="D44" s="8"/>
      <c r="E44" s="8"/>
      <c r="F44" s="9"/>
      <c r="G44" s="8"/>
      <c r="H44" s="8"/>
      <c r="I44" s="9"/>
      <c r="J44" s="8"/>
      <c r="K44" s="8"/>
      <c r="L44" s="8"/>
    </row>
    <row r="45" spans="1:12" ht="14.45">
      <c r="A45" s="8"/>
      <c r="B45" s="13"/>
      <c r="C45" s="8"/>
      <c r="D45" s="8"/>
      <c r="E45" s="8"/>
      <c r="F45" s="9"/>
      <c r="G45" s="8"/>
      <c r="H45" s="8"/>
      <c r="I45" s="9"/>
      <c r="J45" s="8"/>
      <c r="K45" s="8"/>
      <c r="L45" s="8"/>
    </row>
    <row r="46" spans="1:12" ht="14.45">
      <c r="A46" s="8"/>
      <c r="B46" s="13"/>
      <c r="C46" s="8"/>
      <c r="D46" s="8"/>
      <c r="E46" s="8"/>
      <c r="F46" s="9"/>
      <c r="G46" s="8"/>
      <c r="H46" s="8"/>
      <c r="I46" s="9"/>
      <c r="J46" s="8"/>
      <c r="K46" s="8"/>
      <c r="L46" s="8"/>
    </row>
    <row r="47" spans="1:12" ht="14.45">
      <c r="A47" s="8"/>
      <c r="B47" s="13"/>
      <c r="C47" s="8"/>
      <c r="D47" s="8"/>
      <c r="E47" s="8"/>
      <c r="F47" s="9"/>
      <c r="G47" s="8"/>
      <c r="H47" s="8"/>
      <c r="I47" s="9"/>
      <c r="J47" s="8"/>
      <c r="K47" s="8"/>
      <c r="L47" s="8"/>
    </row>
    <row r="48" spans="1:12" ht="14.45">
      <c r="A48" s="8"/>
      <c r="B48" s="13"/>
      <c r="C48" s="8"/>
      <c r="D48" s="8"/>
      <c r="E48" s="8"/>
      <c r="F48" s="9"/>
      <c r="G48" s="8"/>
      <c r="H48" s="8"/>
      <c r="I48" s="9"/>
      <c r="J48" s="8"/>
      <c r="K48" s="8"/>
      <c r="L48" s="8"/>
    </row>
    <row r="49" spans="1:12" ht="14.45">
      <c r="A49" s="8"/>
      <c r="B49" s="13"/>
      <c r="C49" s="8"/>
      <c r="D49" s="8"/>
      <c r="E49" s="8"/>
      <c r="F49" s="9"/>
      <c r="G49" s="8"/>
      <c r="H49" s="8"/>
      <c r="I49" s="9"/>
      <c r="J49" s="8"/>
      <c r="K49" s="8"/>
      <c r="L49" s="8"/>
    </row>
    <row r="50" spans="1:12" ht="14.45">
      <c r="A50" s="8"/>
      <c r="B50" s="13"/>
      <c r="C50" s="8"/>
      <c r="D50" s="8"/>
      <c r="E50" s="8"/>
      <c r="F50" s="9"/>
      <c r="G50" s="8"/>
      <c r="H50" s="8"/>
      <c r="I50" s="9"/>
      <c r="J50" s="8"/>
      <c r="K50" s="8"/>
      <c r="L50" s="8"/>
    </row>
    <row r="51" spans="1:12" ht="14.45">
      <c r="A51" s="8"/>
      <c r="B51" s="13"/>
      <c r="C51" s="8"/>
      <c r="D51" s="8"/>
      <c r="E51" s="8"/>
      <c r="F51" s="9"/>
      <c r="G51" s="8"/>
      <c r="H51" s="8"/>
      <c r="I51" s="9"/>
      <c r="J51" s="8"/>
      <c r="K51" s="8"/>
      <c r="L51" s="8"/>
    </row>
    <row r="52" spans="1:12" ht="14.45">
      <c r="A52" s="8"/>
      <c r="B52" s="13"/>
      <c r="C52" s="8"/>
      <c r="D52" s="8"/>
      <c r="E52" s="8"/>
      <c r="F52" s="9"/>
      <c r="G52" s="8"/>
      <c r="H52" s="8"/>
      <c r="I52" s="9"/>
      <c r="J52" s="8"/>
      <c r="K52" s="8"/>
      <c r="L52" s="8"/>
    </row>
    <row r="53" spans="1:12" ht="14.45">
      <c r="A53" s="8"/>
      <c r="B53" s="13"/>
      <c r="C53" s="8"/>
      <c r="D53" s="8"/>
      <c r="E53" s="8"/>
      <c r="F53" s="9"/>
      <c r="G53" s="8"/>
      <c r="H53" s="8"/>
      <c r="I53" s="9"/>
      <c r="J53" s="8"/>
      <c r="K53" s="8"/>
      <c r="L53" s="8"/>
    </row>
    <row r="54" spans="1:12" ht="14.45">
      <c r="A54" s="8"/>
      <c r="B54" s="13"/>
      <c r="C54" s="8"/>
      <c r="D54" s="8"/>
      <c r="E54" s="8"/>
      <c r="F54" s="9"/>
      <c r="G54" s="8"/>
      <c r="H54" s="8"/>
      <c r="I54" s="9"/>
      <c r="J54" s="8"/>
      <c r="K54" s="8"/>
      <c r="L54" s="8"/>
    </row>
    <row r="55" spans="1:12" ht="14.45">
      <c r="A55" s="8"/>
      <c r="B55" s="13"/>
      <c r="C55" s="8"/>
      <c r="D55" s="8"/>
      <c r="E55" s="8"/>
      <c r="F55" s="9"/>
      <c r="G55" s="8"/>
      <c r="H55" s="8"/>
      <c r="I55" s="9"/>
      <c r="J55" s="8"/>
      <c r="K55" s="8"/>
      <c r="L55" s="8"/>
    </row>
    <row r="56" spans="1:12" ht="14.45">
      <c r="A56" s="8"/>
      <c r="B56" s="13"/>
      <c r="C56" s="8"/>
      <c r="D56" s="8"/>
      <c r="E56" s="8"/>
      <c r="F56" s="9"/>
      <c r="G56" s="8"/>
      <c r="H56" s="8"/>
      <c r="I56" s="9"/>
      <c r="J56" s="8"/>
      <c r="K56" s="8"/>
      <c r="L56" s="8"/>
    </row>
    <row r="57" spans="1:12" ht="14.45">
      <c r="A57" s="8"/>
      <c r="B57" s="13"/>
      <c r="C57" s="8"/>
      <c r="D57" s="8"/>
      <c r="E57" s="8"/>
      <c r="F57" s="9"/>
      <c r="G57" s="8"/>
      <c r="H57" s="8"/>
      <c r="I57" s="9"/>
      <c r="J57" s="8"/>
      <c r="K57" s="8"/>
      <c r="L57" s="8"/>
    </row>
    <row r="58" spans="1:12" ht="14.45">
      <c r="A58" s="8"/>
      <c r="B58" s="13"/>
      <c r="C58" s="8"/>
      <c r="D58" s="8"/>
      <c r="E58" s="8"/>
      <c r="F58" s="9"/>
      <c r="G58" s="8"/>
      <c r="H58" s="8"/>
      <c r="I58" s="9"/>
      <c r="J58" s="8"/>
      <c r="K58" s="8"/>
      <c r="L58" s="8"/>
    </row>
    <row r="59" spans="1:12" ht="14.45">
      <c r="A59" s="8"/>
      <c r="B59" s="13"/>
      <c r="C59" s="8"/>
      <c r="D59" s="8"/>
      <c r="E59" s="8"/>
      <c r="F59" s="9"/>
      <c r="G59" s="8"/>
      <c r="H59" s="8"/>
      <c r="I59" s="9"/>
      <c r="J59" s="8"/>
      <c r="K59" s="8"/>
      <c r="L59" s="8"/>
    </row>
    <row r="60" spans="1:12" ht="14.45">
      <c r="A60" s="8"/>
      <c r="B60" s="13"/>
      <c r="C60" s="8"/>
      <c r="D60" s="8"/>
      <c r="E60" s="8"/>
      <c r="F60" s="9"/>
      <c r="G60" s="8"/>
      <c r="H60" s="8"/>
      <c r="I60" s="9"/>
      <c r="J60" s="8"/>
      <c r="K60" s="8"/>
      <c r="L60" s="8"/>
    </row>
    <row r="61" spans="1:12" ht="14.45">
      <c r="A61" s="8"/>
      <c r="B61" s="13"/>
      <c r="C61" s="8"/>
      <c r="D61" s="8"/>
      <c r="E61" s="8"/>
      <c r="F61" s="9"/>
      <c r="G61" s="8"/>
      <c r="H61" s="8"/>
      <c r="I61" s="9"/>
      <c r="J61" s="8"/>
      <c r="K61" s="8"/>
      <c r="L61" s="8"/>
    </row>
    <row r="62" spans="1:12" ht="14.45">
      <c r="A62" s="8"/>
      <c r="B62" s="13"/>
      <c r="C62" s="8"/>
      <c r="D62" s="8"/>
      <c r="E62" s="8"/>
      <c r="F62" s="9"/>
      <c r="G62" s="8"/>
      <c r="H62" s="8"/>
      <c r="I62" s="9"/>
      <c r="J62" s="8"/>
      <c r="K62" s="8"/>
      <c r="L62" s="8"/>
    </row>
    <row r="63" spans="1:12" ht="14.45">
      <c r="A63" s="8"/>
      <c r="B63" s="13"/>
      <c r="C63" s="8"/>
      <c r="D63" s="8"/>
      <c r="E63" s="8"/>
      <c r="F63" s="9"/>
      <c r="G63" s="8"/>
      <c r="H63" s="8"/>
      <c r="I63" s="9"/>
      <c r="J63" s="8"/>
      <c r="K63" s="8"/>
      <c r="L63" s="8"/>
    </row>
    <row r="64" spans="1:12" ht="14.45">
      <c r="A64" s="8"/>
      <c r="B64" s="13"/>
      <c r="C64" s="8"/>
      <c r="D64" s="8"/>
      <c r="E64" s="8"/>
      <c r="F64" s="9"/>
      <c r="G64" s="8"/>
      <c r="H64" s="8"/>
      <c r="I64" s="9"/>
      <c r="J64" s="8"/>
      <c r="K64" s="8"/>
      <c r="L64" s="8"/>
    </row>
    <row r="65" spans="1:12" ht="14.45">
      <c r="A65" s="8"/>
      <c r="B65" s="13"/>
      <c r="C65" s="8"/>
      <c r="D65" s="8"/>
      <c r="E65" s="8"/>
      <c r="F65" s="9"/>
      <c r="G65" s="8"/>
      <c r="H65" s="8"/>
      <c r="I65" s="9"/>
      <c r="J65" s="8"/>
      <c r="K65" s="8"/>
      <c r="L65" s="8"/>
    </row>
    <row r="66" spans="1:12" ht="14.45">
      <c r="A66" s="8"/>
      <c r="B66" s="13"/>
      <c r="C66" s="8"/>
      <c r="D66" s="8"/>
      <c r="E66" s="8"/>
      <c r="F66" s="9"/>
      <c r="G66" s="8"/>
      <c r="H66" s="8"/>
      <c r="I66" s="9"/>
      <c r="J66" s="8"/>
      <c r="K66" s="8"/>
      <c r="L66" s="8"/>
    </row>
    <row r="67" spans="1:12" ht="14.45">
      <c r="A67" s="8"/>
      <c r="B67" s="13"/>
      <c r="C67" s="8"/>
      <c r="D67" s="8"/>
      <c r="E67" s="8"/>
      <c r="F67" s="9"/>
      <c r="G67" s="8"/>
      <c r="H67" s="8"/>
      <c r="I67" s="9"/>
      <c r="J67" s="8"/>
      <c r="K67" s="8"/>
      <c r="L67" s="8"/>
    </row>
    <row r="68" spans="1:12" ht="14.45">
      <c r="A68" s="8"/>
      <c r="B68" s="13"/>
      <c r="C68" s="8"/>
      <c r="D68" s="8"/>
      <c r="E68" s="8"/>
      <c r="F68" s="9"/>
      <c r="G68" s="8"/>
      <c r="H68" s="8"/>
      <c r="I68" s="9"/>
      <c r="J68" s="8"/>
      <c r="K68" s="8"/>
      <c r="L68" s="8"/>
    </row>
    <row r="69" spans="1:12" ht="14.45">
      <c r="A69" s="8"/>
      <c r="B69" s="13"/>
      <c r="C69" s="8"/>
      <c r="D69" s="8"/>
      <c r="E69" s="8"/>
      <c r="F69" s="9"/>
      <c r="G69" s="8"/>
      <c r="H69" s="8"/>
      <c r="I69" s="9"/>
      <c r="J69" s="8"/>
      <c r="K69" s="8"/>
      <c r="L69" s="8"/>
    </row>
    <row r="70" spans="1:12" ht="14.45">
      <c r="A70" s="8"/>
      <c r="B70" s="13"/>
      <c r="C70" s="8"/>
      <c r="D70" s="8"/>
      <c r="E70" s="8"/>
      <c r="F70" s="9"/>
      <c r="G70" s="8"/>
      <c r="H70" s="8"/>
      <c r="I70" s="9"/>
      <c r="J70" s="8"/>
      <c r="K70" s="8"/>
      <c r="L70" s="8"/>
    </row>
    <row r="71" spans="1:12" ht="14.45">
      <c r="A71" s="8"/>
      <c r="B71" s="13"/>
      <c r="C71" s="8"/>
      <c r="D71" s="8"/>
      <c r="E71" s="8"/>
      <c r="F71" s="9"/>
      <c r="G71" s="8"/>
      <c r="H71" s="8"/>
      <c r="I71" s="9"/>
      <c r="J71" s="8"/>
      <c r="K71" s="8"/>
      <c r="L71" s="8"/>
    </row>
    <row r="72" spans="1:12" ht="14.45">
      <c r="A72" s="8"/>
      <c r="B72" s="13"/>
      <c r="C72" s="8"/>
      <c r="D72" s="8"/>
      <c r="E72" s="8"/>
      <c r="F72" s="9"/>
      <c r="G72" s="8"/>
      <c r="H72" s="8"/>
      <c r="I72" s="9"/>
      <c r="J72" s="8"/>
      <c r="K72" s="8"/>
      <c r="L72" s="8"/>
    </row>
    <row r="73" spans="1:12" ht="14.45">
      <c r="A73" s="8"/>
      <c r="B73" s="13"/>
      <c r="C73" s="8"/>
      <c r="D73" s="8"/>
      <c r="E73" s="8"/>
      <c r="F73" s="9"/>
      <c r="G73" s="8"/>
      <c r="H73" s="8"/>
      <c r="I73" s="9"/>
      <c r="J73" s="8"/>
      <c r="K73" s="8"/>
      <c r="L73" s="8"/>
    </row>
    <row r="74" spans="1:12" ht="14.45">
      <c r="A74" s="8"/>
      <c r="B74" s="13"/>
      <c r="C74" s="8"/>
      <c r="D74" s="8"/>
      <c r="E74" s="8"/>
      <c r="F74" s="9"/>
      <c r="G74" s="8"/>
      <c r="H74" s="8"/>
      <c r="I74" s="9"/>
      <c r="J74" s="8"/>
      <c r="K74" s="8"/>
      <c r="L74" s="8"/>
    </row>
    <row r="75" spans="1:12" ht="14.45">
      <c r="A75" s="8"/>
      <c r="B75" s="13"/>
      <c r="C75" s="8"/>
      <c r="D75" s="8"/>
      <c r="E75" s="8"/>
      <c r="F75" s="9"/>
      <c r="G75" s="8"/>
      <c r="H75" s="8"/>
      <c r="I75" s="9"/>
      <c r="J75" s="8"/>
      <c r="K75" s="8"/>
      <c r="L75" s="8"/>
    </row>
    <row r="76" spans="1:12" ht="14.45">
      <c r="A76" s="8"/>
      <c r="B76" s="13"/>
      <c r="C76" s="8"/>
      <c r="D76" s="8"/>
      <c r="E76" s="8"/>
      <c r="F76" s="9"/>
      <c r="G76" s="8"/>
      <c r="H76" s="8"/>
      <c r="I76" s="9"/>
      <c r="J76" s="8"/>
      <c r="K76" s="8"/>
      <c r="L76" s="8"/>
    </row>
    <row r="77" spans="1:12" ht="14.45">
      <c r="A77" s="8"/>
      <c r="B77" s="13"/>
      <c r="C77" s="8"/>
      <c r="D77" s="8"/>
      <c r="E77" s="8"/>
      <c r="F77" s="9"/>
      <c r="G77" s="8"/>
      <c r="H77" s="8"/>
      <c r="I77" s="9"/>
      <c r="J77" s="8"/>
      <c r="K77" s="8"/>
      <c r="L77" s="8"/>
    </row>
    <row r="78" spans="1:12" ht="14.45">
      <c r="A78" s="8"/>
      <c r="B78" s="13"/>
      <c r="C78" s="8"/>
      <c r="D78" s="8"/>
      <c r="E78" s="8"/>
      <c r="F78" s="9"/>
      <c r="G78" s="8"/>
      <c r="H78" s="8"/>
      <c r="I78" s="9"/>
      <c r="J78" s="8"/>
      <c r="K78" s="8"/>
      <c r="L78" s="8"/>
    </row>
    <row r="79" spans="1:12" ht="14.45">
      <c r="A79" s="8"/>
      <c r="B79" s="13"/>
      <c r="C79" s="8"/>
      <c r="D79" s="8"/>
      <c r="E79" s="8"/>
      <c r="F79" s="9"/>
      <c r="G79" s="8"/>
      <c r="H79" s="8"/>
      <c r="I79" s="9"/>
      <c r="J79" s="8"/>
      <c r="K79" s="8"/>
      <c r="L79" s="8"/>
    </row>
    <row r="80" spans="1:12" ht="14.45">
      <c r="A80" s="8"/>
      <c r="B80" s="13"/>
      <c r="C80" s="8"/>
      <c r="D80" s="8"/>
      <c r="E80" s="8"/>
      <c r="F80" s="9"/>
      <c r="G80" s="8"/>
      <c r="H80" s="8"/>
      <c r="I80" s="9"/>
      <c r="J80" s="8"/>
      <c r="K80" s="8"/>
      <c r="L80" s="8"/>
    </row>
    <row r="81" spans="1:12" ht="14.45">
      <c r="A81" s="8"/>
      <c r="B81" s="13"/>
      <c r="C81" s="8"/>
      <c r="D81" s="8"/>
      <c r="E81" s="8"/>
      <c r="F81" s="9"/>
      <c r="G81" s="8"/>
      <c r="H81" s="8"/>
      <c r="I81" s="9"/>
      <c r="J81" s="8"/>
      <c r="K81" s="8"/>
      <c r="L81" s="8"/>
    </row>
    <row r="82" spans="1:12" ht="14.45">
      <c r="A82" s="8"/>
      <c r="B82" s="13"/>
      <c r="C82" s="8"/>
      <c r="D82" s="8"/>
      <c r="E82" s="8"/>
      <c r="F82" s="9"/>
      <c r="G82" s="8"/>
      <c r="H82" s="8"/>
      <c r="I82" s="9"/>
      <c r="J82" s="8"/>
      <c r="K82" s="8"/>
      <c r="L82" s="8"/>
    </row>
    <row r="83" spans="1:12" ht="14.45">
      <c r="A83" s="8"/>
      <c r="B83" s="13"/>
      <c r="C83" s="8"/>
      <c r="D83" s="8"/>
      <c r="E83" s="8"/>
      <c r="F83" s="9"/>
      <c r="G83" s="8"/>
      <c r="H83" s="8"/>
      <c r="I83" s="9"/>
      <c r="J83" s="8"/>
      <c r="K83" s="8"/>
      <c r="L83" s="8"/>
    </row>
    <row r="84" spans="1:12" ht="14.45">
      <c r="A84" s="8"/>
      <c r="B84" s="13"/>
      <c r="C84" s="8"/>
      <c r="D84" s="8"/>
      <c r="E84" s="8"/>
      <c r="F84" s="9"/>
      <c r="G84" s="8"/>
      <c r="H84" s="8"/>
      <c r="I84" s="9"/>
      <c r="J84" s="8"/>
      <c r="K84" s="8"/>
      <c r="L84" s="8"/>
    </row>
    <row r="85" spans="1:12" ht="14.45">
      <c r="A85" s="8"/>
      <c r="B85" s="13"/>
      <c r="C85" s="8"/>
      <c r="D85" s="8"/>
      <c r="E85" s="8"/>
      <c r="F85" s="9"/>
      <c r="G85" s="8"/>
      <c r="H85" s="8"/>
      <c r="I85" s="9"/>
      <c r="J85" s="8"/>
      <c r="K85" s="8"/>
      <c r="L85" s="8"/>
    </row>
    <row r="86" spans="1:12" ht="14.45">
      <c r="A86" s="8"/>
      <c r="B86" s="13"/>
      <c r="C86" s="8"/>
      <c r="D86" s="8"/>
      <c r="E86" s="8"/>
      <c r="F86" s="9"/>
      <c r="G86" s="8"/>
      <c r="H86" s="8"/>
      <c r="I86" s="9"/>
      <c r="J86" s="8"/>
      <c r="K86" s="8"/>
      <c r="L86" s="8"/>
    </row>
    <row r="87" spans="1:12" ht="14.45">
      <c r="A87" s="8"/>
      <c r="B87" s="13"/>
      <c r="C87" s="8"/>
      <c r="D87" s="8"/>
      <c r="E87" s="8"/>
      <c r="F87" s="9"/>
      <c r="G87" s="8"/>
      <c r="H87" s="8"/>
      <c r="I87" s="9"/>
      <c r="J87" s="8"/>
      <c r="K87" s="8"/>
      <c r="L87" s="8"/>
    </row>
    <row r="88" spans="1:12" ht="14.45">
      <c r="A88" s="8"/>
      <c r="B88" s="13"/>
      <c r="C88" s="8"/>
      <c r="D88" s="8"/>
      <c r="E88" s="8"/>
      <c r="F88" s="9"/>
      <c r="G88" s="8"/>
      <c r="H88" s="8"/>
      <c r="I88" s="9"/>
      <c r="J88" s="8"/>
      <c r="K88" s="8"/>
      <c r="L88" s="8"/>
    </row>
    <row r="89" spans="1:12" ht="14.45">
      <c r="A89" s="8"/>
      <c r="B89" s="13"/>
      <c r="C89" s="8"/>
      <c r="D89" s="8"/>
      <c r="E89" s="8"/>
      <c r="F89" s="9"/>
      <c r="G89" s="8"/>
      <c r="H89" s="8"/>
      <c r="I89" s="9"/>
      <c r="J89" s="8"/>
      <c r="K89" s="8"/>
      <c r="L89" s="8"/>
    </row>
    <row r="90" spans="1:12" ht="14.45">
      <c r="A90" s="8"/>
      <c r="B90" s="13"/>
      <c r="C90" s="8"/>
      <c r="D90" s="8"/>
      <c r="E90" s="8"/>
      <c r="F90" s="9"/>
      <c r="G90" s="8"/>
      <c r="H90" s="8"/>
      <c r="I90" s="9"/>
      <c r="J90" s="8"/>
      <c r="K90" s="8"/>
      <c r="L90" s="8"/>
    </row>
    <row r="91" spans="1:12" ht="14.45">
      <c r="A91" s="8"/>
      <c r="B91" s="13"/>
      <c r="C91" s="8"/>
      <c r="D91" s="8"/>
      <c r="E91" s="8"/>
      <c r="F91" s="9"/>
      <c r="G91" s="8"/>
      <c r="H91" s="8"/>
      <c r="I91" s="9"/>
      <c r="J91" s="8"/>
      <c r="K91" s="8"/>
      <c r="L91" s="8"/>
    </row>
    <row r="92" spans="1:12" ht="14.45">
      <c r="A92" s="8"/>
      <c r="B92" s="13"/>
      <c r="C92" s="8"/>
      <c r="D92" s="8"/>
      <c r="E92" s="8"/>
      <c r="F92" s="9"/>
      <c r="G92" s="8"/>
      <c r="H92" s="8"/>
      <c r="I92" s="9"/>
      <c r="J92" s="8"/>
      <c r="K92" s="8"/>
      <c r="L92" s="8"/>
    </row>
    <row r="93" spans="1:12" ht="14.45">
      <c r="A93" s="8"/>
      <c r="B93" s="13"/>
      <c r="C93" s="8"/>
      <c r="D93" s="8"/>
      <c r="E93" s="8"/>
      <c r="F93" s="9"/>
      <c r="G93" s="8"/>
      <c r="H93" s="8"/>
      <c r="I93" s="9"/>
      <c r="J93" s="8"/>
      <c r="K93" s="8"/>
      <c r="L93" s="8"/>
    </row>
    <row r="94" spans="1:12" ht="14.45">
      <c r="A94" s="8"/>
      <c r="B94" s="13"/>
      <c r="C94" s="8"/>
      <c r="D94" s="8"/>
      <c r="E94" s="8"/>
      <c r="F94" s="9"/>
      <c r="G94" s="8"/>
      <c r="H94" s="8"/>
      <c r="I94" s="9"/>
      <c r="J94" s="8"/>
      <c r="K94" s="8"/>
      <c r="L94" s="8"/>
    </row>
    <row r="95" spans="1:12" ht="14.45">
      <c r="A95" s="8"/>
      <c r="B95" s="13"/>
      <c r="C95" s="8"/>
      <c r="D95" s="8"/>
      <c r="E95" s="8"/>
      <c r="F95" s="9"/>
      <c r="G95" s="8"/>
      <c r="H95" s="8"/>
      <c r="I95" s="9"/>
      <c r="J95" s="8"/>
      <c r="K95" s="8"/>
      <c r="L95" s="8"/>
    </row>
    <row r="96" spans="1:12"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C322" s="8"/>
      <c r="D322" s="8"/>
      <c r="E322" s="8"/>
      <c r="F322" s="9"/>
      <c r="G322" s="8"/>
      <c r="H322" s="8"/>
      <c r="I322" s="9"/>
      <c r="J322" s="8"/>
      <c r="K322" s="8"/>
      <c r="L322" s="8"/>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10376" xr:uid="{ACF9BBD5-136C-40F8-B11C-54FFC5536BEC}"/>
    <hyperlink ref="M4" r:id="rId2" display="https://us3.assetplanner.com/service_request?ID=107731" xr:uid="{EB1132FA-205F-426D-BD5D-C4DF488C5AD8}"/>
    <hyperlink ref="K6" r:id="rId3" display="https://us3.assetplanner.com/service_request?ID=107895" xr:uid="{0B5B9E22-62E0-4C17-9DA9-1F150541B0FD}"/>
    <hyperlink ref="M6" r:id="rId4" display="https://us3.assetplanner.com/service_request?ID=107483" xr:uid="{92D294F5-5030-4EEC-A857-446FDABF2ABB}"/>
    <hyperlink ref="K7" r:id="rId5" display="https://us3.assetplanner.com/service_request?ID=110708" xr:uid="{6A1DD7F8-4FB0-412C-8D57-F62C95EFFCC1}"/>
    <hyperlink ref="M7" r:id="rId6" display="https://us3.assetplanner.com/service_request?ID=111113" xr:uid="{0B032665-4D61-4B39-AD93-0A36B4465862}"/>
    <hyperlink ref="N7" r:id="rId7" display="https://us3.assetplanner.com/service_request?ID=111513" xr:uid="{3AE2C025-7919-48CE-8442-1B839AC08C57}"/>
    <hyperlink ref="O7" r:id="rId8" display="https://us3.assetplanner.com/service_request?ID=111844" xr:uid="{7CC06923-8B2A-499F-B1D1-F8EC402734E6}"/>
    <hyperlink ref="K10" r:id="rId9" display="https://us3.assetplanner.com/service_request?ID=103097" xr:uid="{77A7BB48-7A39-40AE-B123-3CE23EF3D7D5}"/>
    <hyperlink ref="M10" r:id="rId10" display="https://us3.assetplanner.com/service_request?ID=110653" xr:uid="{85D4A3F4-6D1D-4975-A3B4-64AF8F6E59CE}"/>
    <hyperlink ref="K11" r:id="rId11" display="https://us3.assetplanner.com/service_request?ID=110673" xr:uid="{51D24E71-70D3-4590-97C9-72782101872B}"/>
    <hyperlink ref="K12" r:id="rId12" display="https://us3.assetplanner.com/service_request?ID=107017" xr:uid="{772E65FE-FB99-45F9-ADF3-27A4BF76764B}"/>
    <hyperlink ref="M12" r:id="rId13" display="https://us3.assetplanner.com/service_request?ID=106841" xr:uid="{E895143B-8F32-4C72-90E7-B1A54F5983A1}"/>
    <hyperlink ref="K13" r:id="rId14" display="https://us3.assetplanner.com/service_request?ID=111401" xr:uid="{E427A591-A401-47FE-8E17-8968F542C283}"/>
    <hyperlink ref="M13" r:id="rId15" display="https://us3.assetplanner.com/service_request?ID=101124" xr:uid="{6C7874A7-4336-49D9-A7A8-BAD367ECF7E5}"/>
    <hyperlink ref="K16" r:id="rId16" display="https://us3.assetplanner.com/service_request?ID=110907" xr:uid="{2B5A8CD6-C55B-4D49-999B-8F0231056FCB}"/>
    <hyperlink ref="M16" r:id="rId17" display="https://us3.assetplanner.com/service_request?ID=112336" xr:uid="{ED2CD1A7-62D1-4B2D-9E49-100B896E5DE7}"/>
    <hyperlink ref="N16" r:id="rId18" display="https://us3.assetplanner.com/service_request?ID=108253" xr:uid="{5C307385-BF9B-463A-A839-802BFDAB273E}"/>
    <hyperlink ref="K17" r:id="rId19" display="https://us3.assetplanner.com/service_request?ID=111730" xr:uid="{8DBBA67B-2737-4030-84F0-D3E9E6C8D0DC}"/>
    <hyperlink ref="K18" r:id="rId20" display="https://us3.assetplanner.com/service_request?ID=110001" xr:uid="{D63B06A0-C28D-4DEA-BE53-61DA8DC84BBA}"/>
  </hyperlinks>
  <pageMargins left="0.4" right="0.7" top="0.25" bottom="0.25" header="0.3" footer="0.3"/>
  <pageSetup fitToHeight="99" orientation="landscape" r:id="rId2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22"/>
  <sheetViews>
    <sheetView tabSelected="1" zoomScale="70" zoomScaleNormal="70" workbookViewId="0">
      <pane xSplit="2" ySplit="3" topLeftCell="C4" activePane="bottomRight" state="frozen"/>
      <selection pane="bottomRight" activeCell="AA21" sqref="AA21:AA22"/>
      <selection pane="bottomLeft" activeCell="C19" sqref="C19"/>
      <selection pane="topRight" activeCell="C19" sqref="C19"/>
    </sheetView>
  </sheetViews>
  <sheetFormatPr defaultRowHeight="13.9"/>
  <cols>
    <col min="1" max="1" width="47.5703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1.7109375" customWidth="1"/>
  </cols>
  <sheetData>
    <row r="1" spans="1:14" ht="19.5" customHeight="1">
      <c r="A1" s="128" t="str" cm="1">
        <f t="array" ref="A1">portfolio</f>
        <v>Luminace</v>
      </c>
      <c r="B1" s="128"/>
      <c r="C1" s="128"/>
      <c r="D1" s="129" t="s">
        <v>255</v>
      </c>
      <c r="E1" s="129"/>
      <c r="F1" s="129"/>
      <c r="G1" s="127" t="s">
        <v>256</v>
      </c>
      <c r="H1" s="127"/>
      <c r="I1" s="127"/>
      <c r="J1" s="4"/>
      <c r="K1" s="4"/>
      <c r="L1" s="4"/>
    </row>
    <row r="2" spans="1:14" ht="19.5" customHeight="1">
      <c r="A2" s="130" t="s">
        <v>2</v>
      </c>
      <c r="B2" s="130"/>
      <c r="C2" s="5">
        <f>SUM(C4:C80)</f>
        <v>1533917.0302500005</v>
      </c>
      <c r="D2" s="5">
        <f>SUM(D4:D80)</f>
        <v>2010075.5069999998</v>
      </c>
      <c r="E2" s="5">
        <f>C2-D2</f>
        <v>-476158.47674999922</v>
      </c>
      <c r="F2" s="6">
        <f>IFERROR(E2/D2, 0)</f>
        <v>-0.23688586577558815</v>
      </c>
      <c r="G2" s="5">
        <f>SUM(G4:G80)</f>
        <v>2215872.87</v>
      </c>
      <c r="H2" s="7">
        <f>C2-G2</f>
        <v>-681955.83974999958</v>
      </c>
      <c r="I2" s="6">
        <f>IFERROR(H2/G2, 0)</f>
        <v>-0.30775946083495281</v>
      </c>
      <c r="J2" s="11" t="str">
        <f ca="1">IF(AND(TODAY()&gt;DATE(2024, 12, 1), COUNTA(Sites[Site])&lt;&gt;(COUNT(C:C)-1)), "Some sites are missing actual data; if new sites were added, make sure they are aligned correctly (including prior months!)", "")</f>
        <v/>
      </c>
      <c r="K2" s="4"/>
      <c r="L2" s="4"/>
    </row>
    <row r="3" spans="1:14" ht="14.25" customHeight="1">
      <c r="A3" s="12" t="s">
        <v>3</v>
      </c>
      <c r="B3" s="12" t="s">
        <v>4</v>
      </c>
      <c r="C3" s="19" t="s">
        <v>5</v>
      </c>
      <c r="D3" s="20" t="s">
        <v>6</v>
      </c>
      <c r="E3" s="20" t="s">
        <v>7</v>
      </c>
      <c r="F3" s="21" t="s">
        <v>8</v>
      </c>
      <c r="G3" s="22" t="s">
        <v>9</v>
      </c>
      <c r="H3" s="23" t="s">
        <v>7</v>
      </c>
      <c r="I3" s="24" t="s">
        <v>8</v>
      </c>
      <c r="J3" s="10" t="s">
        <v>20</v>
      </c>
      <c r="K3" s="10" t="s">
        <v>21</v>
      </c>
      <c r="L3" s="10" t="s">
        <v>174</v>
      </c>
    </row>
    <row r="4" spans="1:14" ht="54.75" customHeight="1">
      <c r="A4" s="39" t="str" cm="1">
        <f t="array" ref="A4:A18">Sites[Site]</f>
        <v xml:space="preserve">Raymond Ed Re-Development - DC-23-0001 </v>
      </c>
      <c r="B4" s="40" t="str" cm="1">
        <f t="array" ref="B4:B18">Sites[State]</f>
        <v>DC</v>
      </c>
      <c r="C4" s="28">
        <v>16667.499999999902</v>
      </c>
      <c r="D4" s="29">
        <v>27542.53</v>
      </c>
      <c r="E4" s="29">
        <f>IF(AND(ISNUMBER(C4),ISNUMBER(D4)), C4-D4, "")</f>
        <v>-10875.030000000097</v>
      </c>
      <c r="F4" s="30">
        <f>IFERROR(E4/D4, "")</f>
        <v>-0.39484499063811851</v>
      </c>
      <c r="G4" s="31">
        <v>22564.87</v>
      </c>
      <c r="H4" s="31">
        <f>IF(AND(ISNUMBER(C4),ISNUMBER(G4)), C4-G4, "")</f>
        <v>-5897.3700000000972</v>
      </c>
      <c r="I4" s="32">
        <f>IFERROR(H4/G4, "")</f>
        <v>-0.26135182697707088</v>
      </c>
      <c r="J4" s="49" t="s">
        <v>257</v>
      </c>
      <c r="K4" s="62" t="s">
        <v>258</v>
      </c>
      <c r="L4" s="49" t="s">
        <v>259</v>
      </c>
    </row>
    <row r="5" spans="1:14" ht="57.75" customHeight="1">
      <c r="A5" s="41" t="str">
        <v>Berkeley - NJ-22-C893 Berkeley I</v>
      </c>
      <c r="B5" s="42" t="str">
        <v>NJ</v>
      </c>
      <c r="C5" s="35">
        <v>311262</v>
      </c>
      <c r="D5" s="36">
        <v>251685.2</v>
      </c>
      <c r="E5" s="36">
        <f t="shared" ref="E5:E18" si="0">IF(AND(ISNUMBER(C5),ISNUMBER(D5)), C5-D5, "")</f>
        <v>59576.799999999988</v>
      </c>
      <c r="F5" s="37">
        <f t="shared" ref="F5:F18" si="1">IFERROR(E5/D5, "")</f>
        <v>0.23671157461781617</v>
      </c>
      <c r="G5" s="38">
        <v>362307.2</v>
      </c>
      <c r="H5" s="38">
        <f t="shared" ref="H5:H18" si="2">IF(AND(ISNUMBER(C5),ISNUMBER(G5)), C5-G5, "")</f>
        <v>-51045.200000000012</v>
      </c>
      <c r="I5" s="37">
        <f t="shared" ref="I5:I18" si="3">IFERROR(H5/G5, "")</f>
        <v>-0.14088927849073937</v>
      </c>
      <c r="J5" s="59" t="s">
        <v>260</v>
      </c>
      <c r="K5" s="74" t="s">
        <v>261</v>
      </c>
      <c r="L5" s="59" t="s">
        <v>262</v>
      </c>
      <c r="M5" s="73" t="s">
        <v>263</v>
      </c>
    </row>
    <row r="6" spans="1:14" ht="61.5" customHeight="1">
      <c r="A6" s="43" t="str">
        <v>Berkeley - NJ-22-C894 Berkeley II</v>
      </c>
      <c r="B6" s="40" t="str">
        <v>NJ</v>
      </c>
      <c r="C6" s="28">
        <v>294806</v>
      </c>
      <c r="D6" s="29">
        <v>335839.7</v>
      </c>
      <c r="E6" s="29">
        <f t="shared" si="0"/>
        <v>-41033.700000000012</v>
      </c>
      <c r="F6" s="30">
        <f t="shared" si="1"/>
        <v>-0.1221823983287265</v>
      </c>
      <c r="G6" s="31">
        <v>367647</v>
      </c>
      <c r="H6" s="31">
        <f t="shared" si="2"/>
        <v>-72841</v>
      </c>
      <c r="I6" s="32">
        <f t="shared" si="3"/>
        <v>-0.19812755170040827</v>
      </c>
      <c r="J6" s="49" t="s">
        <v>264</v>
      </c>
      <c r="K6" s="62" t="s">
        <v>265</v>
      </c>
      <c r="L6" s="49" t="s">
        <v>266</v>
      </c>
      <c r="M6" s="73" t="s">
        <v>267</v>
      </c>
      <c r="N6" s="73" t="s">
        <v>268</v>
      </c>
    </row>
    <row r="7" spans="1:14" ht="43.15">
      <c r="A7" s="41" t="str">
        <v xml:space="preserve"> BEMS Landfill East</v>
      </c>
      <c r="B7" s="42" t="str">
        <v>NJ</v>
      </c>
      <c r="C7" s="35">
        <v>26547</v>
      </c>
      <c r="D7" s="36">
        <v>354174.6</v>
      </c>
      <c r="E7" s="36">
        <f t="shared" si="0"/>
        <v>-327627.59999999998</v>
      </c>
      <c r="F7" s="37">
        <f t="shared" si="1"/>
        <v>-0.92504544368794372</v>
      </c>
      <c r="G7" s="38">
        <v>315165.09999999998</v>
      </c>
      <c r="H7" s="38">
        <f t="shared" si="2"/>
        <v>-288618.09999999998</v>
      </c>
      <c r="I7" s="37">
        <f t="shared" si="3"/>
        <v>-0.91576795781004938</v>
      </c>
      <c r="J7" s="59" t="s">
        <v>269</v>
      </c>
      <c r="K7" s="74" t="s">
        <v>270</v>
      </c>
      <c r="L7" s="59" t="s">
        <v>271</v>
      </c>
      <c r="M7" s="73" t="s">
        <v>272</v>
      </c>
    </row>
    <row r="8" spans="1:14" ht="36" customHeight="1">
      <c r="A8" s="43" t="str">
        <v>Southampton - BEMS West NJ-22-C898</v>
      </c>
      <c r="B8" s="40" t="str">
        <v>NJ</v>
      </c>
      <c r="C8" s="28">
        <v>261442</v>
      </c>
      <c r="D8" s="29">
        <v>355020.79999999999</v>
      </c>
      <c r="E8" s="29">
        <f t="shared" si="0"/>
        <v>-93578.799999999988</v>
      </c>
      <c r="F8" s="30">
        <f t="shared" si="1"/>
        <v>-0.26358680956158059</v>
      </c>
      <c r="G8" s="31">
        <v>321026</v>
      </c>
      <c r="H8" s="31">
        <f t="shared" si="2"/>
        <v>-59584</v>
      </c>
      <c r="I8" s="32">
        <f t="shared" si="3"/>
        <v>-0.18560490427566614</v>
      </c>
      <c r="J8" s="49" t="s">
        <v>273</v>
      </c>
      <c r="K8" s="62" t="s">
        <v>274</v>
      </c>
      <c r="L8" s="49" t="s">
        <v>275</v>
      </c>
      <c r="M8" s="73" t="s">
        <v>276</v>
      </c>
    </row>
    <row r="9" spans="1:14" ht="15.6">
      <c r="A9" s="41" t="str">
        <v>Lakewood Twp - Emergency Services Dev  - NJ-23-0008</v>
      </c>
      <c r="B9" s="42" t="str">
        <v>NJ</v>
      </c>
      <c r="C9" s="35">
        <v>2147.53125</v>
      </c>
      <c r="D9" s="36">
        <v>2774.6170000000002</v>
      </c>
      <c r="E9" s="36">
        <f t="shared" si="0"/>
        <v>-627.08575000000019</v>
      </c>
      <c r="F9" s="37">
        <f t="shared" si="1"/>
        <v>-0.22600804002858779</v>
      </c>
      <c r="G9" s="38">
        <v>2170</v>
      </c>
      <c r="H9" s="38">
        <f t="shared" si="2"/>
        <v>-22.46875</v>
      </c>
      <c r="I9" s="37">
        <f t="shared" si="3"/>
        <v>-1.035426267281106E-2</v>
      </c>
      <c r="J9" s="59" t="s">
        <v>277</v>
      </c>
      <c r="K9" s="59"/>
      <c r="L9" s="59"/>
    </row>
    <row r="10" spans="1:14" ht="162" customHeight="1">
      <c r="A10" s="43" t="str">
        <v>Lakewood Township - Public Works</v>
      </c>
      <c r="B10" s="40" t="str">
        <v>NJ</v>
      </c>
      <c r="C10" s="28">
        <v>51917.125</v>
      </c>
      <c r="D10" s="29">
        <v>75763.02</v>
      </c>
      <c r="E10" s="29">
        <f t="shared" si="0"/>
        <v>-23845.895000000004</v>
      </c>
      <c r="F10" s="30">
        <f t="shared" si="1"/>
        <v>-0.31474319529501338</v>
      </c>
      <c r="G10" s="31">
        <v>26052</v>
      </c>
      <c r="H10" s="31">
        <f t="shared" si="2"/>
        <v>25865.125</v>
      </c>
      <c r="I10" s="32">
        <f t="shared" si="3"/>
        <v>0.99282684630738527</v>
      </c>
      <c r="J10" s="49" t="s">
        <v>278</v>
      </c>
      <c r="K10" s="62" t="s">
        <v>279</v>
      </c>
      <c r="L10" s="49" t="s">
        <v>216</v>
      </c>
      <c r="M10" s="73" t="s">
        <v>230</v>
      </c>
    </row>
    <row r="11" spans="1:14" ht="43.15">
      <c r="A11" s="41" t="str">
        <v>Canby - Dover - OR-23-C003</v>
      </c>
      <c r="B11" s="42" t="str">
        <v>OR</v>
      </c>
      <c r="C11" s="35">
        <v>81744.917000000394</v>
      </c>
      <c r="D11" s="36">
        <v>82622.710000000006</v>
      </c>
      <c r="E11" s="36">
        <f t="shared" si="0"/>
        <v>-877.79299999961222</v>
      </c>
      <c r="F11" s="37">
        <f t="shared" si="1"/>
        <v>-1.062411291035615E-2</v>
      </c>
      <c r="G11" s="38">
        <v>102026</v>
      </c>
      <c r="H11" s="38">
        <f t="shared" si="2"/>
        <v>-20281.082999999606</v>
      </c>
      <c r="I11" s="37">
        <f t="shared" si="3"/>
        <v>-0.19878347676082181</v>
      </c>
      <c r="J11" s="59" t="s">
        <v>280</v>
      </c>
      <c r="K11" s="74" t="s">
        <v>281</v>
      </c>
      <c r="L11" s="59" t="s">
        <v>271</v>
      </c>
    </row>
    <row r="12" spans="1:14" ht="28.9">
      <c r="A12" s="43" t="str">
        <v xml:space="preserve"> Estacada - Clayfield - OR-23-C001</v>
      </c>
      <c r="B12" s="40" t="str">
        <v>OR</v>
      </c>
      <c r="C12" s="28">
        <v>72530.906000000003</v>
      </c>
      <c r="D12" s="29">
        <v>72229.460000000006</v>
      </c>
      <c r="E12" s="29">
        <f t="shared" si="0"/>
        <v>301.44599999999627</v>
      </c>
      <c r="F12" s="30">
        <f t="shared" si="1"/>
        <v>4.1734494484659893E-3</v>
      </c>
      <c r="G12" s="31">
        <v>115248</v>
      </c>
      <c r="H12" s="31">
        <f t="shared" si="2"/>
        <v>-42717.093999999997</v>
      </c>
      <c r="I12" s="32">
        <f t="shared" si="3"/>
        <v>-0.37065366861030125</v>
      </c>
      <c r="J12" s="49" t="s">
        <v>282</v>
      </c>
      <c r="K12" s="62" t="s">
        <v>283</v>
      </c>
      <c r="L12" s="49" t="s">
        <v>216</v>
      </c>
      <c r="M12" s="73" t="s">
        <v>284</v>
      </c>
    </row>
    <row r="13" spans="1:14" ht="28.9">
      <c r="A13" s="41" t="str">
        <v>Willamina - Waterford - OR-23-C006</v>
      </c>
      <c r="B13" s="42" t="str">
        <v>OR</v>
      </c>
      <c r="C13" s="35">
        <v>86091.407999999996</v>
      </c>
      <c r="D13" s="36">
        <v>114323</v>
      </c>
      <c r="E13" s="36">
        <f t="shared" si="0"/>
        <v>-28231.592000000004</v>
      </c>
      <c r="F13" s="37">
        <f t="shared" si="1"/>
        <v>-0.24694586391189877</v>
      </c>
      <c r="G13" s="38">
        <v>131199</v>
      </c>
      <c r="H13" s="38">
        <f t="shared" si="2"/>
        <v>-45107.592000000004</v>
      </c>
      <c r="I13" s="37">
        <f t="shared" si="3"/>
        <v>-0.34381048636041439</v>
      </c>
      <c r="J13" s="59" t="s">
        <v>285</v>
      </c>
      <c r="K13" s="74" t="s">
        <v>286</v>
      </c>
      <c r="L13" s="59" t="s">
        <v>271</v>
      </c>
    </row>
    <row r="14" spans="1:14" ht="15.6">
      <c r="A14" s="43" t="str">
        <v>OR-23-C005  Solops  SPI - Belvedere Solar</v>
      </c>
      <c r="B14" s="40" t="str">
        <v>OR</v>
      </c>
      <c r="C14" s="28">
        <v>102118.625</v>
      </c>
      <c r="D14" s="29">
        <v>96420.65</v>
      </c>
      <c r="E14" s="29">
        <f t="shared" si="0"/>
        <v>5697.9750000000058</v>
      </c>
      <c r="F14" s="30">
        <f t="shared" si="1"/>
        <v>5.9094965653104459E-2</v>
      </c>
      <c r="G14" s="31">
        <v>133496</v>
      </c>
      <c r="H14" s="31">
        <f t="shared" si="2"/>
        <v>-31377.375</v>
      </c>
      <c r="I14" s="32">
        <f t="shared" si="3"/>
        <v>-0.23504355935758375</v>
      </c>
      <c r="J14" s="49" t="s">
        <v>287</v>
      </c>
      <c r="K14" s="62" t="s">
        <v>288</v>
      </c>
      <c r="L14" s="49" t="s">
        <v>194</v>
      </c>
    </row>
    <row r="15" spans="1:14" ht="15.6">
      <c r="A15" s="41" t="str">
        <v>OR-23-C002  SPI - Cork Solar</v>
      </c>
      <c r="B15" s="42" t="str">
        <v>OR</v>
      </c>
      <c r="C15" s="35">
        <v>66810.012000000002</v>
      </c>
      <c r="D15" s="36">
        <v>76954.03</v>
      </c>
      <c r="E15" s="36">
        <f t="shared" si="0"/>
        <v>-10144.017999999996</v>
      </c>
      <c r="F15" s="37">
        <f t="shared" si="1"/>
        <v>-0.13181919127562255</v>
      </c>
      <c r="G15" s="38">
        <v>84629</v>
      </c>
      <c r="H15" s="38">
        <f t="shared" si="2"/>
        <v>-17818.987999999998</v>
      </c>
      <c r="I15" s="37">
        <f t="shared" si="3"/>
        <v>-0.21055415992153986</v>
      </c>
      <c r="J15" s="59" t="s">
        <v>289</v>
      </c>
      <c r="K15" s="59"/>
      <c r="L15" s="59"/>
    </row>
    <row r="16" spans="1:14" ht="74.25" customHeight="1">
      <c r="A16" s="43" t="str">
        <v>OR: Oregon City - Buckner Creek - OR-23-C008</v>
      </c>
      <c r="B16" s="40" t="str">
        <v>OR</v>
      </c>
      <c r="C16" s="28">
        <v>69642.307000000001</v>
      </c>
      <c r="D16" s="29">
        <v>75068.39</v>
      </c>
      <c r="E16" s="29">
        <f t="shared" si="0"/>
        <v>-5426.0829999999987</v>
      </c>
      <c r="F16" s="30">
        <f t="shared" si="1"/>
        <v>-7.2281861912850381E-2</v>
      </c>
      <c r="G16" s="31">
        <v>104116</v>
      </c>
      <c r="H16" s="31">
        <f t="shared" si="2"/>
        <v>-34473.692999999999</v>
      </c>
      <c r="I16" s="32">
        <f t="shared" si="3"/>
        <v>-0.33110850397633407</v>
      </c>
      <c r="J16" s="49" t="s">
        <v>290</v>
      </c>
      <c r="K16" s="62" t="s">
        <v>291</v>
      </c>
      <c r="L16" s="49" t="s">
        <v>292</v>
      </c>
      <c r="M16" s="73" t="s">
        <v>293</v>
      </c>
    </row>
    <row r="17" spans="1:13" ht="51.75" customHeight="1">
      <c r="A17" s="41" t="str">
        <v>OR: Dundee - Gun Club - OR-23-C009</v>
      </c>
      <c r="B17" s="42" t="str">
        <v>OR</v>
      </c>
      <c r="C17" s="35">
        <v>90189.698999999993</v>
      </c>
      <c r="D17" s="36">
        <v>89656.8</v>
      </c>
      <c r="E17" s="36">
        <f t="shared" si="0"/>
        <v>532.89899999999034</v>
      </c>
      <c r="F17" s="37">
        <f t="shared" si="1"/>
        <v>5.9437655593328146E-3</v>
      </c>
      <c r="G17" s="38">
        <v>128226.7</v>
      </c>
      <c r="H17" s="38">
        <f t="shared" si="2"/>
        <v>-38037.001000000004</v>
      </c>
      <c r="I17" s="37">
        <f t="shared" si="3"/>
        <v>-0.29663869537311655</v>
      </c>
      <c r="J17" s="59" t="s">
        <v>294</v>
      </c>
      <c r="K17" s="74" t="s">
        <v>295</v>
      </c>
      <c r="L17" s="59" t="s">
        <v>296</v>
      </c>
      <c r="M17" s="73" t="s">
        <v>297</v>
      </c>
    </row>
    <row r="18" spans="1:13" ht="15.6">
      <c r="A18" s="43" t="str">
        <v>OR: Molalla - Marquam - OR-23-C010</v>
      </c>
      <c r="B18" s="40" t="str">
        <v>OR</v>
      </c>
      <c r="C18" s="28">
        <v>0</v>
      </c>
      <c r="D18" s="29">
        <v>0</v>
      </c>
      <c r="E18" s="29">
        <f t="shared" si="0"/>
        <v>0</v>
      </c>
      <c r="F18" s="30" t="str">
        <f t="shared" si="1"/>
        <v/>
      </c>
      <c r="G18" s="31">
        <v>0</v>
      </c>
      <c r="H18" s="31">
        <f t="shared" si="2"/>
        <v>0</v>
      </c>
      <c r="I18" s="32" t="str">
        <f t="shared" si="3"/>
        <v/>
      </c>
      <c r="J18" s="49" t="s">
        <v>252</v>
      </c>
      <c r="K18" s="49"/>
      <c r="L18" s="49"/>
    </row>
    <row r="19" spans="1:13" ht="14.45">
      <c r="A19" s="8"/>
      <c r="B19" s="13"/>
      <c r="C19" s="8"/>
      <c r="D19" s="8"/>
      <c r="E19" s="8"/>
      <c r="F19" s="9"/>
      <c r="G19" s="8"/>
      <c r="H19" s="8"/>
      <c r="I19" s="9"/>
      <c r="J19" s="8"/>
      <c r="K19" s="8"/>
      <c r="L19" s="8"/>
    </row>
    <row r="20" spans="1:13" ht="14.45">
      <c r="A20" s="8"/>
      <c r="B20" s="13"/>
      <c r="C20" s="8"/>
      <c r="D20" s="8"/>
      <c r="E20" s="8"/>
      <c r="F20" s="9"/>
      <c r="G20" s="8"/>
      <c r="H20" s="8"/>
      <c r="I20" s="9"/>
      <c r="J20" s="8"/>
      <c r="K20" s="8"/>
      <c r="L20" s="8"/>
    </row>
    <row r="21" spans="1:13" ht="14.45">
      <c r="A21" s="8"/>
      <c r="B21" s="13"/>
      <c r="C21" s="8"/>
      <c r="D21" s="8"/>
      <c r="E21" s="8"/>
      <c r="F21" s="9"/>
      <c r="G21" s="8"/>
      <c r="H21" s="8"/>
      <c r="I21" s="9"/>
      <c r="J21" s="8"/>
      <c r="K21" s="8"/>
      <c r="L21" s="8"/>
    </row>
    <row r="22" spans="1:13" ht="14.45">
      <c r="A22" s="8"/>
      <c r="B22" s="13"/>
      <c r="C22" s="8"/>
      <c r="D22" s="8"/>
      <c r="E22" s="8"/>
      <c r="F22" s="9"/>
      <c r="G22" s="8"/>
      <c r="H22" s="8"/>
      <c r="I22" s="9"/>
      <c r="J22" s="8"/>
      <c r="K22" s="8"/>
      <c r="L22" s="8"/>
    </row>
    <row r="23" spans="1:13" ht="14.45">
      <c r="A23" s="8"/>
      <c r="B23" s="13"/>
      <c r="C23" s="8"/>
      <c r="D23" s="8"/>
      <c r="E23" s="8"/>
      <c r="F23" s="9"/>
      <c r="G23" s="8"/>
      <c r="H23" s="8"/>
      <c r="I23" s="9"/>
      <c r="J23" s="8"/>
      <c r="K23" s="8"/>
      <c r="L23" s="8"/>
    </row>
    <row r="24" spans="1:13" ht="14.45">
      <c r="A24" s="8"/>
      <c r="B24" s="13"/>
      <c r="C24" s="8"/>
      <c r="D24" s="8"/>
      <c r="E24" s="8"/>
      <c r="F24" s="9"/>
      <c r="G24" s="8"/>
      <c r="H24" s="8"/>
      <c r="I24" s="9"/>
      <c r="J24" s="8"/>
      <c r="K24" s="8"/>
      <c r="L24" s="8"/>
    </row>
    <row r="25" spans="1:13" ht="14.45">
      <c r="A25" s="8"/>
      <c r="B25" s="13"/>
      <c r="C25" s="8"/>
      <c r="D25" s="8"/>
      <c r="E25" s="8"/>
      <c r="F25" s="9"/>
      <c r="G25" s="8"/>
      <c r="H25" s="8"/>
      <c r="I25" s="9"/>
      <c r="J25" s="8"/>
      <c r="K25" s="8"/>
      <c r="L25" s="8"/>
    </row>
    <row r="26" spans="1:13" ht="14.45">
      <c r="A26" s="8"/>
      <c r="B26" s="13"/>
      <c r="C26" s="8"/>
      <c r="D26" s="8"/>
      <c r="E26" s="8"/>
      <c r="F26" s="9"/>
      <c r="G26" s="8"/>
      <c r="H26" s="8"/>
      <c r="I26" s="9"/>
      <c r="J26" s="8"/>
      <c r="K26" s="8"/>
      <c r="L26" s="8"/>
    </row>
    <row r="27" spans="1:13" ht="14.45">
      <c r="A27" s="8"/>
      <c r="B27" s="13"/>
      <c r="C27" s="8"/>
      <c r="D27" s="8"/>
      <c r="E27" s="8"/>
      <c r="F27" s="9"/>
      <c r="G27" s="8"/>
      <c r="H27" s="8"/>
      <c r="I27" s="9"/>
      <c r="J27" s="8"/>
      <c r="K27" s="8"/>
      <c r="L27" s="8"/>
    </row>
    <row r="28" spans="1:13" ht="14.45">
      <c r="A28" s="8"/>
      <c r="B28" s="13"/>
      <c r="C28" s="8"/>
      <c r="D28" s="8"/>
      <c r="E28" s="8"/>
      <c r="F28" s="9"/>
      <c r="G28" s="8"/>
      <c r="H28" s="8"/>
      <c r="I28" s="9"/>
      <c r="J28" s="8"/>
      <c r="K28" s="8"/>
      <c r="L28" s="8"/>
    </row>
    <row r="29" spans="1:13" ht="14.45">
      <c r="A29" s="8"/>
      <c r="B29" s="13"/>
      <c r="C29" s="8"/>
      <c r="D29" s="8"/>
      <c r="E29" s="8"/>
      <c r="F29" s="9"/>
      <c r="G29" s="8"/>
      <c r="H29" s="8"/>
      <c r="I29" s="9"/>
      <c r="J29" s="8"/>
      <c r="K29" s="8"/>
      <c r="L29" s="8"/>
    </row>
    <row r="30" spans="1:13" ht="14.45">
      <c r="A30" s="8"/>
      <c r="B30" s="13"/>
      <c r="C30" s="8"/>
      <c r="D30" s="8"/>
      <c r="E30" s="8"/>
      <c r="F30" s="9"/>
      <c r="G30" s="8"/>
      <c r="H30" s="8"/>
      <c r="I30" s="9"/>
      <c r="J30" s="8"/>
      <c r="K30" s="8"/>
      <c r="L30" s="8"/>
    </row>
    <row r="31" spans="1:13" ht="14.45">
      <c r="A31" s="8"/>
      <c r="B31" s="13"/>
      <c r="C31" s="8"/>
      <c r="D31" s="8"/>
      <c r="E31" s="8"/>
      <c r="F31" s="9"/>
      <c r="G31" s="8"/>
      <c r="H31" s="8"/>
      <c r="I31" s="9"/>
      <c r="J31" s="8"/>
      <c r="K31" s="8"/>
      <c r="L31" s="8"/>
    </row>
    <row r="32" spans="1:13" ht="14.45">
      <c r="A32" s="8"/>
      <c r="B32" s="13"/>
      <c r="C32" s="8"/>
      <c r="D32" s="8"/>
      <c r="E32" s="8"/>
      <c r="F32" s="9"/>
      <c r="G32" s="8"/>
      <c r="H32" s="8"/>
      <c r="I32" s="9"/>
      <c r="J32" s="8"/>
      <c r="K32" s="8"/>
      <c r="L32" s="8"/>
    </row>
    <row r="33" spans="1:12" ht="14.45">
      <c r="A33" s="8"/>
      <c r="B33" s="13"/>
      <c r="C33" s="8"/>
      <c r="D33" s="8"/>
      <c r="E33" s="8"/>
      <c r="F33" s="9"/>
      <c r="G33" s="8"/>
      <c r="H33" s="8"/>
      <c r="I33" s="9"/>
      <c r="J33" s="8"/>
      <c r="K33" s="8"/>
      <c r="L33" s="8"/>
    </row>
    <row r="34" spans="1:12" ht="14.45">
      <c r="A34" s="8"/>
      <c r="B34" s="13"/>
      <c r="C34" s="8"/>
      <c r="D34" s="8"/>
      <c r="E34" s="8"/>
      <c r="F34" s="9"/>
      <c r="G34" s="8"/>
      <c r="H34" s="8"/>
      <c r="I34" s="9"/>
      <c r="J34" s="8"/>
      <c r="K34" s="8"/>
      <c r="L34" s="8"/>
    </row>
    <row r="35" spans="1:12" ht="14.45">
      <c r="A35" s="8"/>
      <c r="B35" s="13"/>
      <c r="C35" s="8"/>
      <c r="D35" s="8"/>
      <c r="E35" s="8"/>
      <c r="F35" s="9"/>
      <c r="G35" s="8"/>
      <c r="H35" s="8"/>
      <c r="I35" s="9"/>
      <c r="J35" s="8"/>
      <c r="K35" s="8"/>
      <c r="L35" s="8"/>
    </row>
    <row r="36" spans="1:12" ht="14.45">
      <c r="A36" s="8"/>
      <c r="B36" s="13"/>
      <c r="C36" s="8"/>
      <c r="D36" s="8"/>
      <c r="E36" s="8"/>
      <c r="F36" s="9"/>
      <c r="G36" s="8"/>
      <c r="H36" s="8"/>
      <c r="I36" s="9"/>
      <c r="J36" s="8"/>
      <c r="K36" s="8"/>
      <c r="L36" s="8"/>
    </row>
    <row r="37" spans="1:12" ht="14.45">
      <c r="A37" s="8"/>
      <c r="B37" s="13"/>
      <c r="C37" s="8"/>
      <c r="D37" s="8"/>
      <c r="E37" s="8"/>
      <c r="F37" s="9"/>
      <c r="G37" s="8"/>
      <c r="H37" s="8"/>
      <c r="I37" s="9"/>
      <c r="J37" s="8"/>
      <c r="K37" s="8"/>
      <c r="L37" s="8"/>
    </row>
    <row r="38" spans="1:12" ht="14.45">
      <c r="A38" s="8"/>
      <c r="B38" s="13"/>
      <c r="C38" s="8"/>
      <c r="D38" s="8"/>
      <c r="E38" s="8"/>
      <c r="F38" s="9"/>
      <c r="G38" s="8"/>
      <c r="H38" s="8"/>
      <c r="I38" s="9"/>
      <c r="J38" s="8"/>
      <c r="K38" s="8"/>
      <c r="L38" s="8"/>
    </row>
    <row r="39" spans="1:12" ht="14.45">
      <c r="A39" s="8"/>
      <c r="B39" s="13"/>
      <c r="C39" s="8"/>
      <c r="D39" s="8"/>
      <c r="E39" s="8"/>
      <c r="F39" s="9"/>
      <c r="G39" s="8"/>
      <c r="H39" s="8"/>
      <c r="I39" s="9"/>
      <c r="J39" s="8"/>
      <c r="K39" s="8"/>
      <c r="L39" s="8"/>
    </row>
    <row r="40" spans="1:12" ht="14.45">
      <c r="A40" s="8"/>
      <c r="B40" s="13"/>
      <c r="C40" s="8"/>
      <c r="D40" s="8"/>
      <c r="E40" s="8"/>
      <c r="F40" s="9"/>
      <c r="G40" s="8"/>
      <c r="H40" s="8"/>
      <c r="I40" s="9"/>
      <c r="J40" s="8"/>
      <c r="K40" s="8"/>
      <c r="L40" s="8"/>
    </row>
    <row r="41" spans="1:12" ht="14.45">
      <c r="A41" s="8"/>
      <c r="B41" s="13"/>
      <c r="C41" s="8"/>
      <c r="D41" s="8"/>
      <c r="E41" s="8"/>
      <c r="F41" s="9"/>
      <c r="G41" s="8"/>
      <c r="H41" s="8"/>
      <c r="I41" s="9"/>
      <c r="J41" s="8"/>
      <c r="K41" s="8"/>
      <c r="L41" s="8"/>
    </row>
    <row r="42" spans="1:12" ht="14.45">
      <c r="A42" s="8"/>
      <c r="B42" s="13"/>
      <c r="C42" s="8"/>
      <c r="D42" s="8"/>
      <c r="E42" s="8"/>
      <c r="F42" s="9"/>
      <c r="G42" s="8"/>
      <c r="H42" s="8"/>
      <c r="I42" s="9"/>
      <c r="J42" s="8"/>
      <c r="K42" s="8"/>
      <c r="L42" s="8"/>
    </row>
    <row r="43" spans="1:12" ht="14.45">
      <c r="A43" s="8"/>
      <c r="B43" s="13"/>
      <c r="C43" s="8"/>
      <c r="D43" s="8"/>
      <c r="E43" s="8"/>
      <c r="F43" s="9"/>
      <c r="G43" s="8"/>
      <c r="H43" s="8"/>
      <c r="I43" s="9"/>
      <c r="J43" s="8"/>
      <c r="K43" s="8"/>
      <c r="L43" s="8"/>
    </row>
    <row r="44" spans="1:12" ht="14.45">
      <c r="A44" s="8"/>
      <c r="B44" s="13"/>
      <c r="C44" s="8"/>
      <c r="D44" s="8"/>
      <c r="E44" s="8"/>
      <c r="F44" s="9"/>
      <c r="G44" s="8"/>
      <c r="H44" s="8"/>
      <c r="I44" s="9"/>
      <c r="J44" s="8"/>
      <c r="K44" s="8"/>
      <c r="L44" s="8"/>
    </row>
    <row r="45" spans="1:12" ht="14.45">
      <c r="A45" s="8"/>
      <c r="B45" s="13"/>
      <c r="C45" s="8"/>
      <c r="D45" s="8"/>
      <c r="E45" s="8"/>
      <c r="F45" s="9"/>
      <c r="G45" s="8"/>
      <c r="H45" s="8"/>
      <c r="I45" s="9"/>
      <c r="J45" s="8"/>
      <c r="K45" s="8"/>
      <c r="L45" s="8"/>
    </row>
    <row r="46" spans="1:12" ht="14.45">
      <c r="A46" s="8"/>
      <c r="B46" s="13"/>
      <c r="C46" s="8"/>
      <c r="D46" s="8"/>
      <c r="E46" s="8"/>
      <c r="F46" s="9"/>
      <c r="G46" s="8"/>
      <c r="H46" s="8"/>
      <c r="I46" s="9"/>
      <c r="J46" s="8"/>
      <c r="K46" s="8"/>
      <c r="L46" s="8"/>
    </row>
    <row r="47" spans="1:12" ht="14.45">
      <c r="A47" s="8"/>
      <c r="B47" s="13"/>
      <c r="C47" s="8"/>
      <c r="D47" s="8"/>
      <c r="E47" s="8"/>
      <c r="F47" s="9"/>
      <c r="G47" s="8"/>
      <c r="H47" s="8"/>
      <c r="I47" s="9"/>
      <c r="J47" s="8"/>
      <c r="K47" s="8"/>
      <c r="L47" s="8"/>
    </row>
    <row r="48" spans="1:12" ht="14.45">
      <c r="A48" s="8"/>
      <c r="B48" s="13"/>
      <c r="C48" s="8"/>
      <c r="D48" s="8"/>
      <c r="E48" s="8"/>
      <c r="F48" s="9"/>
      <c r="G48" s="8"/>
      <c r="H48" s="8"/>
      <c r="I48" s="9"/>
      <c r="J48" s="8"/>
      <c r="K48" s="8"/>
      <c r="L48" s="8"/>
    </row>
    <row r="49" spans="1:12" ht="14.45">
      <c r="A49" s="8"/>
      <c r="B49" s="13"/>
      <c r="C49" s="8"/>
      <c r="D49" s="8"/>
      <c r="E49" s="8"/>
      <c r="F49" s="9"/>
      <c r="G49" s="8"/>
      <c r="H49" s="8"/>
      <c r="I49" s="9"/>
      <c r="J49" s="8"/>
      <c r="K49" s="8"/>
      <c r="L49" s="8"/>
    </row>
    <row r="50" spans="1:12" ht="14.45">
      <c r="A50" s="8"/>
      <c r="B50" s="13"/>
      <c r="C50" s="8"/>
      <c r="D50" s="8"/>
      <c r="E50" s="8"/>
      <c r="F50" s="9"/>
      <c r="G50" s="8"/>
      <c r="H50" s="8"/>
      <c r="I50" s="9"/>
      <c r="J50" s="8"/>
      <c r="K50" s="8"/>
      <c r="L50" s="8"/>
    </row>
    <row r="51" spans="1:12" ht="14.45">
      <c r="A51" s="8"/>
      <c r="B51" s="13"/>
      <c r="C51" s="8"/>
      <c r="D51" s="8"/>
      <c r="E51" s="8"/>
      <c r="F51" s="9"/>
      <c r="G51" s="8"/>
      <c r="H51" s="8"/>
      <c r="I51" s="9"/>
      <c r="J51" s="8"/>
      <c r="K51" s="8"/>
      <c r="L51" s="8"/>
    </row>
    <row r="52" spans="1:12" ht="14.45">
      <c r="A52" s="8"/>
      <c r="B52" s="13"/>
      <c r="C52" s="8"/>
      <c r="D52" s="8"/>
      <c r="E52" s="8"/>
      <c r="F52" s="9"/>
      <c r="G52" s="8"/>
      <c r="H52" s="8"/>
      <c r="I52" s="9"/>
      <c r="J52" s="8"/>
      <c r="K52" s="8"/>
      <c r="L52" s="8"/>
    </row>
    <row r="53" spans="1:12" ht="14.45">
      <c r="A53" s="8"/>
      <c r="B53" s="13"/>
      <c r="C53" s="8"/>
      <c r="D53" s="8"/>
      <c r="E53" s="8"/>
      <c r="F53" s="9"/>
      <c r="G53" s="8"/>
      <c r="H53" s="8"/>
      <c r="I53" s="9"/>
      <c r="J53" s="8"/>
      <c r="K53" s="8"/>
      <c r="L53" s="8"/>
    </row>
    <row r="54" spans="1:12" ht="14.45">
      <c r="A54" s="8"/>
      <c r="B54" s="13"/>
      <c r="C54" s="8"/>
      <c r="D54" s="8"/>
      <c r="E54" s="8"/>
      <c r="F54" s="9"/>
      <c r="G54" s="8"/>
      <c r="H54" s="8"/>
      <c r="I54" s="9"/>
      <c r="J54" s="8"/>
      <c r="K54" s="8"/>
      <c r="L54" s="8"/>
    </row>
    <row r="55" spans="1:12" ht="14.45">
      <c r="A55" s="8"/>
      <c r="B55" s="13"/>
      <c r="C55" s="8"/>
      <c r="D55" s="8"/>
      <c r="E55" s="8"/>
      <c r="F55" s="9"/>
      <c r="G55" s="8"/>
      <c r="H55" s="8"/>
      <c r="I55" s="9"/>
      <c r="J55" s="8"/>
      <c r="K55" s="8"/>
      <c r="L55" s="8"/>
    </row>
    <row r="56" spans="1:12" ht="14.45">
      <c r="A56" s="8"/>
      <c r="B56" s="13"/>
      <c r="C56" s="8"/>
      <c r="D56" s="8"/>
      <c r="E56" s="8"/>
      <c r="F56" s="9"/>
      <c r="G56" s="8"/>
      <c r="H56" s="8"/>
      <c r="I56" s="9"/>
      <c r="J56" s="8"/>
      <c r="K56" s="8"/>
      <c r="L56" s="8"/>
    </row>
    <row r="57" spans="1:12" ht="14.45">
      <c r="A57" s="8"/>
      <c r="B57" s="13"/>
      <c r="C57" s="8"/>
      <c r="D57" s="8"/>
      <c r="E57" s="8"/>
      <c r="F57" s="9"/>
      <c r="G57" s="8"/>
      <c r="H57" s="8"/>
      <c r="I57" s="9"/>
      <c r="J57" s="8"/>
      <c r="K57" s="8"/>
      <c r="L57" s="8"/>
    </row>
    <row r="58" spans="1:12" ht="14.45">
      <c r="A58" s="8"/>
      <c r="B58" s="13"/>
      <c r="C58" s="8"/>
      <c r="D58" s="8"/>
      <c r="E58" s="8"/>
      <c r="F58" s="9"/>
      <c r="G58" s="8"/>
      <c r="H58" s="8"/>
      <c r="I58" s="9"/>
      <c r="J58" s="8"/>
      <c r="K58" s="8"/>
      <c r="L58" s="8"/>
    </row>
    <row r="59" spans="1:12" ht="14.45">
      <c r="A59" s="8"/>
      <c r="B59" s="13"/>
      <c r="C59" s="8"/>
      <c r="D59" s="8"/>
      <c r="E59" s="8"/>
      <c r="F59" s="9"/>
      <c r="G59" s="8"/>
      <c r="H59" s="8"/>
      <c r="I59" s="9"/>
      <c r="J59" s="8"/>
      <c r="K59" s="8"/>
      <c r="L59" s="8"/>
    </row>
    <row r="60" spans="1:12" ht="14.45">
      <c r="A60" s="8"/>
      <c r="B60" s="13"/>
      <c r="C60" s="8"/>
      <c r="D60" s="8"/>
      <c r="E60" s="8"/>
      <c r="F60" s="9"/>
      <c r="G60" s="8"/>
      <c r="H60" s="8"/>
      <c r="I60" s="9"/>
      <c r="J60" s="8"/>
      <c r="K60" s="8"/>
      <c r="L60" s="8"/>
    </row>
    <row r="61" spans="1:12" ht="14.45">
      <c r="A61" s="8"/>
      <c r="B61" s="13"/>
      <c r="C61" s="8"/>
      <c r="D61" s="8"/>
      <c r="E61" s="8"/>
      <c r="F61" s="9"/>
      <c r="G61" s="8"/>
      <c r="H61" s="8"/>
      <c r="I61" s="9"/>
      <c r="J61" s="8"/>
      <c r="K61" s="8"/>
      <c r="L61" s="8"/>
    </row>
    <row r="62" spans="1:12" ht="14.45">
      <c r="A62" s="8"/>
      <c r="B62" s="13"/>
      <c r="C62" s="8"/>
      <c r="D62" s="8"/>
      <c r="E62" s="8"/>
      <c r="F62" s="9"/>
      <c r="G62" s="8"/>
      <c r="H62" s="8"/>
      <c r="I62" s="9"/>
      <c r="J62" s="8"/>
      <c r="K62" s="8"/>
      <c r="L62" s="8"/>
    </row>
    <row r="63" spans="1:12" ht="14.45">
      <c r="A63" s="8"/>
      <c r="B63" s="13"/>
      <c r="C63" s="8"/>
      <c r="D63" s="8"/>
      <c r="E63" s="8"/>
      <c r="F63" s="9"/>
      <c r="G63" s="8"/>
      <c r="H63" s="8"/>
      <c r="I63" s="9"/>
      <c r="J63" s="8"/>
      <c r="K63" s="8"/>
      <c r="L63" s="8"/>
    </row>
    <row r="64" spans="1:12" ht="14.45">
      <c r="A64" s="8"/>
      <c r="B64" s="13"/>
      <c r="C64" s="8"/>
      <c r="D64" s="8"/>
      <c r="E64" s="8"/>
      <c r="F64" s="9"/>
      <c r="G64" s="8"/>
      <c r="H64" s="8"/>
      <c r="I64" s="9"/>
      <c r="J64" s="8"/>
      <c r="K64" s="8"/>
      <c r="L64" s="8"/>
    </row>
    <row r="65" spans="1:12" ht="14.45">
      <c r="A65" s="8"/>
      <c r="B65" s="13"/>
      <c r="C65" s="8"/>
      <c r="D65" s="8"/>
      <c r="E65" s="8"/>
      <c r="F65" s="9"/>
      <c r="G65" s="8"/>
      <c r="H65" s="8"/>
      <c r="I65" s="9"/>
      <c r="J65" s="8"/>
      <c r="K65" s="8"/>
      <c r="L65" s="8"/>
    </row>
    <row r="66" spans="1:12" ht="14.45">
      <c r="A66" s="8"/>
      <c r="B66" s="13"/>
      <c r="C66" s="8"/>
      <c r="D66" s="8"/>
      <c r="E66" s="8"/>
      <c r="F66" s="9"/>
      <c r="G66" s="8"/>
      <c r="H66" s="8"/>
      <c r="I66" s="9"/>
      <c r="J66" s="8"/>
      <c r="K66" s="8"/>
      <c r="L66" s="8"/>
    </row>
    <row r="67" spans="1:12" ht="14.45">
      <c r="A67" s="8"/>
      <c r="B67" s="13"/>
      <c r="C67" s="8"/>
      <c r="D67" s="8"/>
      <c r="E67" s="8"/>
      <c r="F67" s="9"/>
      <c r="G67" s="8"/>
      <c r="H67" s="8"/>
      <c r="I67" s="9"/>
      <c r="J67" s="8"/>
      <c r="K67" s="8"/>
      <c r="L67" s="8"/>
    </row>
    <row r="68" spans="1:12" ht="14.45">
      <c r="A68" s="8"/>
      <c r="B68" s="13"/>
      <c r="C68" s="8"/>
      <c r="D68" s="8"/>
      <c r="E68" s="8"/>
      <c r="F68" s="9"/>
      <c r="G68" s="8"/>
      <c r="H68" s="8"/>
      <c r="I68" s="9"/>
      <c r="J68" s="8"/>
      <c r="K68" s="8"/>
      <c r="L68" s="8"/>
    </row>
    <row r="69" spans="1:12" ht="14.45">
      <c r="A69" s="8"/>
      <c r="B69" s="13"/>
      <c r="C69" s="8"/>
      <c r="D69" s="8"/>
      <c r="E69" s="8"/>
      <c r="F69" s="9"/>
      <c r="G69" s="8"/>
      <c r="H69" s="8"/>
      <c r="I69" s="9"/>
      <c r="J69" s="8"/>
      <c r="K69" s="8"/>
      <c r="L69" s="8"/>
    </row>
    <row r="70" spans="1:12" ht="14.45">
      <c r="A70" s="8"/>
      <c r="B70" s="13"/>
      <c r="C70" s="8"/>
      <c r="D70" s="8"/>
      <c r="E70" s="8"/>
      <c r="F70" s="9"/>
      <c r="G70" s="8"/>
      <c r="H70" s="8"/>
      <c r="I70" s="9"/>
      <c r="J70" s="8"/>
      <c r="K70" s="8"/>
      <c r="L70" s="8"/>
    </row>
    <row r="71" spans="1:12" ht="14.45">
      <c r="A71" s="8"/>
      <c r="B71" s="13"/>
      <c r="C71" s="8"/>
      <c r="D71" s="8"/>
      <c r="E71" s="8"/>
      <c r="F71" s="9"/>
      <c r="G71" s="8"/>
      <c r="H71" s="8"/>
      <c r="I71" s="9"/>
      <c r="J71" s="8"/>
      <c r="K71" s="8"/>
      <c r="L71" s="8"/>
    </row>
    <row r="72" spans="1:12" ht="14.45">
      <c r="A72" s="8"/>
      <c r="B72" s="13"/>
      <c r="C72" s="8"/>
      <c r="D72" s="8"/>
      <c r="E72" s="8"/>
      <c r="F72" s="9"/>
      <c r="G72" s="8"/>
      <c r="H72" s="8"/>
      <c r="I72" s="9"/>
      <c r="J72" s="8"/>
      <c r="K72" s="8"/>
      <c r="L72" s="8"/>
    </row>
    <row r="73" spans="1:12" ht="14.45">
      <c r="A73" s="8"/>
      <c r="B73" s="13"/>
      <c r="C73" s="8"/>
      <c r="D73" s="8"/>
      <c r="E73" s="8"/>
      <c r="F73" s="9"/>
      <c r="G73" s="8"/>
      <c r="H73" s="8"/>
      <c r="I73" s="9"/>
      <c r="J73" s="8"/>
      <c r="K73" s="8"/>
      <c r="L73" s="8"/>
    </row>
    <row r="74" spans="1:12" ht="14.45">
      <c r="A74" s="8"/>
      <c r="B74" s="13"/>
      <c r="C74" s="8"/>
      <c r="D74" s="8"/>
      <c r="E74" s="8"/>
      <c r="F74" s="9"/>
      <c r="G74" s="8"/>
      <c r="H74" s="8"/>
      <c r="I74" s="9"/>
      <c r="J74" s="8"/>
      <c r="K74" s="8"/>
      <c r="L74" s="8"/>
    </row>
    <row r="75" spans="1:12" ht="14.45">
      <c r="A75" s="8"/>
      <c r="B75" s="13"/>
      <c r="C75" s="8"/>
      <c r="D75" s="8"/>
      <c r="E75" s="8"/>
      <c r="F75" s="9"/>
      <c r="G75" s="8"/>
      <c r="H75" s="8"/>
      <c r="I75" s="9"/>
      <c r="J75" s="8"/>
      <c r="K75" s="8"/>
      <c r="L75" s="8"/>
    </row>
    <row r="76" spans="1:12" ht="14.45">
      <c r="A76" s="8"/>
      <c r="B76" s="13"/>
      <c r="C76" s="8"/>
      <c r="D76" s="8"/>
      <c r="E76" s="8"/>
      <c r="F76" s="9"/>
      <c r="G76" s="8"/>
      <c r="H76" s="8"/>
      <c r="I76" s="9"/>
      <c r="J76" s="8"/>
      <c r="K76" s="8"/>
      <c r="L76" s="8"/>
    </row>
    <row r="77" spans="1:12" ht="14.45">
      <c r="A77" s="8"/>
      <c r="B77" s="13"/>
      <c r="C77" s="8"/>
      <c r="D77" s="8"/>
      <c r="E77" s="8"/>
      <c r="F77" s="9"/>
      <c r="G77" s="8"/>
      <c r="H77" s="8"/>
      <c r="I77" s="9"/>
      <c r="J77" s="8"/>
      <c r="K77" s="8"/>
      <c r="L77" s="8"/>
    </row>
    <row r="78" spans="1:12" ht="14.45">
      <c r="A78" s="8"/>
      <c r="B78" s="13"/>
      <c r="C78" s="8"/>
      <c r="D78" s="8"/>
      <c r="E78" s="8"/>
      <c r="F78" s="9"/>
      <c r="G78" s="8"/>
      <c r="H78" s="8"/>
      <c r="I78" s="9"/>
      <c r="J78" s="8"/>
      <c r="K78" s="8"/>
      <c r="L78" s="8"/>
    </row>
    <row r="79" spans="1:12" ht="14.45">
      <c r="A79" s="8"/>
      <c r="B79" s="13"/>
      <c r="C79" s="8"/>
      <c r="D79" s="8"/>
      <c r="E79" s="8"/>
      <c r="F79" s="9"/>
      <c r="G79" s="8"/>
      <c r="H79" s="8"/>
      <c r="I79" s="9"/>
      <c r="J79" s="8"/>
      <c r="K79" s="8"/>
      <c r="L79" s="8"/>
    </row>
    <row r="80" spans="1:12" ht="14.45">
      <c r="A80" s="8"/>
      <c r="B80" s="13"/>
      <c r="C80" s="8"/>
      <c r="D80" s="8"/>
      <c r="E80" s="8"/>
      <c r="F80" s="9"/>
      <c r="G80" s="8"/>
      <c r="H80" s="8"/>
      <c r="I80" s="9"/>
      <c r="J80" s="8"/>
      <c r="K80" s="8"/>
      <c r="L80" s="8"/>
    </row>
    <row r="81" spans="1:12" ht="14.45">
      <c r="A81" s="8"/>
      <c r="B81" s="13"/>
      <c r="C81" s="8"/>
      <c r="D81" s="8"/>
      <c r="E81" s="8"/>
      <c r="F81" s="9"/>
      <c r="G81" s="8"/>
      <c r="H81" s="8"/>
      <c r="I81" s="9"/>
      <c r="J81" s="8"/>
      <c r="K81" s="8"/>
      <c r="L81" s="8"/>
    </row>
    <row r="82" spans="1:12" ht="14.45">
      <c r="A82" s="8"/>
      <c r="B82" s="13"/>
      <c r="C82" s="8"/>
      <c r="D82" s="8"/>
      <c r="E82" s="8"/>
      <c r="F82" s="9"/>
      <c r="G82" s="8"/>
      <c r="H82" s="8"/>
      <c r="I82" s="9"/>
      <c r="J82" s="8"/>
      <c r="K82" s="8"/>
      <c r="L82" s="8"/>
    </row>
    <row r="83" spans="1:12" ht="14.45">
      <c r="A83" s="8"/>
      <c r="B83" s="13"/>
      <c r="C83" s="8"/>
      <c r="D83" s="8"/>
      <c r="E83" s="8"/>
      <c r="F83" s="9"/>
      <c r="G83" s="8"/>
      <c r="H83" s="8"/>
      <c r="I83" s="9"/>
      <c r="J83" s="8"/>
      <c r="K83" s="8"/>
      <c r="L83" s="8"/>
    </row>
    <row r="84" spans="1:12" ht="14.45">
      <c r="A84" s="8"/>
      <c r="B84" s="13"/>
      <c r="C84" s="8"/>
      <c r="D84" s="8"/>
      <c r="E84" s="8"/>
      <c r="F84" s="9"/>
      <c r="G84" s="8"/>
      <c r="H84" s="8"/>
      <c r="I84" s="9"/>
      <c r="J84" s="8"/>
      <c r="K84" s="8"/>
      <c r="L84" s="8"/>
    </row>
    <row r="85" spans="1:12" ht="14.45">
      <c r="A85" s="8"/>
      <c r="B85" s="13"/>
      <c r="C85" s="8"/>
      <c r="D85" s="8"/>
      <c r="E85" s="8"/>
      <c r="F85" s="9"/>
      <c r="G85" s="8"/>
      <c r="H85" s="8"/>
      <c r="I85" s="9"/>
      <c r="J85" s="8"/>
      <c r="K85" s="8"/>
      <c r="L85" s="8"/>
    </row>
    <row r="86" spans="1:12" ht="14.45">
      <c r="A86" s="8"/>
      <c r="B86" s="13"/>
      <c r="C86" s="8"/>
      <c r="D86" s="8"/>
      <c r="E86" s="8"/>
      <c r="F86" s="9"/>
      <c r="G86" s="8"/>
      <c r="H86" s="8"/>
      <c r="I86" s="9"/>
      <c r="J86" s="8"/>
      <c r="K86" s="8"/>
      <c r="L86" s="8"/>
    </row>
    <row r="87" spans="1:12" ht="14.45">
      <c r="A87" s="8"/>
      <c r="B87" s="13"/>
      <c r="C87" s="8"/>
      <c r="D87" s="8"/>
      <c r="E87" s="8"/>
      <c r="F87" s="9"/>
      <c r="G87" s="8"/>
      <c r="H87" s="8"/>
      <c r="I87" s="9"/>
      <c r="J87" s="8"/>
      <c r="K87" s="8"/>
      <c r="L87" s="8"/>
    </row>
    <row r="88" spans="1:12" ht="14.45">
      <c r="A88" s="8"/>
      <c r="B88" s="13"/>
      <c r="C88" s="8"/>
      <c r="D88" s="8"/>
      <c r="E88" s="8"/>
      <c r="F88" s="9"/>
      <c r="G88" s="8"/>
      <c r="H88" s="8"/>
      <c r="I88" s="9"/>
      <c r="J88" s="8"/>
      <c r="K88" s="8"/>
      <c r="L88" s="8"/>
    </row>
    <row r="89" spans="1:12" ht="14.45">
      <c r="A89" s="8"/>
      <c r="B89" s="13"/>
      <c r="C89" s="8"/>
      <c r="D89" s="8"/>
      <c r="E89" s="8"/>
      <c r="F89" s="9"/>
      <c r="G89" s="8"/>
      <c r="H89" s="8"/>
      <c r="I89" s="9"/>
      <c r="J89" s="8"/>
      <c r="K89" s="8"/>
      <c r="L89" s="8"/>
    </row>
    <row r="90" spans="1:12" ht="14.45">
      <c r="A90" s="8"/>
      <c r="B90" s="13"/>
      <c r="C90" s="8"/>
      <c r="D90" s="8"/>
      <c r="E90" s="8"/>
      <c r="F90" s="9"/>
      <c r="G90" s="8"/>
      <c r="H90" s="8"/>
      <c r="I90" s="9"/>
      <c r="J90" s="8"/>
      <c r="K90" s="8"/>
      <c r="L90" s="8"/>
    </row>
    <row r="91" spans="1:12" ht="14.45">
      <c r="A91" s="8"/>
      <c r="B91" s="13"/>
      <c r="C91" s="8"/>
      <c r="D91" s="8"/>
      <c r="E91" s="8"/>
      <c r="F91" s="9"/>
      <c r="G91" s="8"/>
      <c r="H91" s="8"/>
      <c r="I91" s="9"/>
      <c r="J91" s="8"/>
      <c r="K91" s="8"/>
      <c r="L91" s="8"/>
    </row>
    <row r="92" spans="1:12" ht="14.45">
      <c r="A92" s="8"/>
      <c r="B92" s="13"/>
      <c r="C92" s="8"/>
      <c r="D92" s="8"/>
      <c r="E92" s="8"/>
      <c r="F92" s="9"/>
      <c r="G92" s="8"/>
      <c r="H92" s="8"/>
      <c r="I92" s="9"/>
      <c r="J92" s="8"/>
      <c r="K92" s="8"/>
      <c r="L92" s="8"/>
    </row>
    <row r="93" spans="1:12" ht="14.45">
      <c r="A93" s="8"/>
      <c r="B93" s="13"/>
      <c r="C93" s="8"/>
      <c r="D93" s="8"/>
      <c r="E93" s="8"/>
      <c r="F93" s="9"/>
      <c r="G93" s="8"/>
      <c r="H93" s="8"/>
      <c r="I93" s="9"/>
      <c r="J93" s="8"/>
      <c r="K93" s="8"/>
      <c r="L93" s="8"/>
    </row>
    <row r="94" spans="1:12" ht="14.45">
      <c r="A94" s="8"/>
      <c r="B94" s="13"/>
      <c r="C94" s="8"/>
      <c r="D94" s="8"/>
      <c r="E94" s="8"/>
      <c r="F94" s="9"/>
      <c r="G94" s="8"/>
      <c r="H94" s="8"/>
      <c r="I94" s="9"/>
      <c r="J94" s="8"/>
      <c r="K94" s="8"/>
      <c r="L94" s="8"/>
    </row>
    <row r="95" spans="1:12" ht="14.45">
      <c r="A95" s="8"/>
      <c r="B95" s="13"/>
      <c r="C95" s="8"/>
      <c r="D95" s="8"/>
      <c r="E95" s="8"/>
      <c r="F95" s="9"/>
      <c r="G95" s="8"/>
      <c r="H95" s="8"/>
      <c r="I95" s="9"/>
      <c r="J95" s="8"/>
      <c r="K95" s="8"/>
      <c r="L95" s="8"/>
    </row>
    <row r="96" spans="1:12"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C322" s="8"/>
      <c r="D322" s="8"/>
      <c r="E322" s="8"/>
      <c r="F322" s="9"/>
      <c r="G322" s="8"/>
      <c r="H322" s="8"/>
      <c r="I322" s="9"/>
      <c r="J322" s="8"/>
      <c r="K322" s="8"/>
      <c r="L322" s="8"/>
    </row>
  </sheetData>
  <mergeCells count="4">
    <mergeCell ref="G1:I1"/>
    <mergeCell ref="A1:C1"/>
    <mergeCell ref="D1:F1"/>
    <mergeCell ref="A2:B2"/>
  </mergeCells>
  <conditionalFormatting sqref="F2 I2 F4:F80 I4:I80">
    <cfRule type="cellIs" dxfId="4" priority="19" stopIfTrue="1" operator="lessThanOrEqual">
      <formula>-0.1</formula>
    </cfRule>
    <cfRule type="expression" dxfId="3" priority="20">
      <formula>AND(ISNUMBER(F2), F2&gt;=0.1)</formula>
    </cfRule>
  </conditionalFormatting>
  <hyperlinks>
    <hyperlink ref="K4" r:id="rId1" display="https://us3.assetplanner.com/service_request?ID=107731" xr:uid="{424F68E9-C3EC-4287-9F57-0D96A09E1243}"/>
    <hyperlink ref="K5" r:id="rId2" display="https://us3.assetplanner.com/service_request?ID=113590" xr:uid="{309FCB19-0E49-4A7B-9B45-2CF27CE29304}"/>
    <hyperlink ref="M5" r:id="rId3" display="https://us3.assetplanner.com/service_request?ID=112704" xr:uid="{7CE2F730-80EC-407E-B404-AF576B27C217}"/>
    <hyperlink ref="K6" r:id="rId4" display="https://us3.assetplanner.com/service_request?ID=112705" xr:uid="{B2562C91-B001-4343-91A4-691EB19967C6}"/>
    <hyperlink ref="M6" r:id="rId5" display="https://us3.assetplanner.com/service_request?ID=113587" xr:uid="{C44D330A-7B9F-4664-AFB9-3CB4C1599917}"/>
    <hyperlink ref="N6" r:id="rId6" display="https://us3.assetplanner.com/service_request?ID=113159" xr:uid="{5C887BDE-021F-4258-B797-A33BDF6B06C3}"/>
    <hyperlink ref="K7" r:id="rId7" display="https://us3.assetplanner.com/service_request?ID=111844" xr:uid="{F0728D15-EE35-41E8-BAF8-89F2D1F1B111}"/>
    <hyperlink ref="M7" r:id="rId8" display="https://us3.assetplanner.com/service_request?ID=112315" xr:uid="{E8353714-9C5A-4876-BFA2-3B3951E658A2}"/>
    <hyperlink ref="K8" r:id="rId9" display="https://us3.assetplanner.com/service_request?ID=112703" xr:uid="{29418EB5-00EC-45D7-9F8E-E84F1373D8AD}"/>
    <hyperlink ref="M8" r:id="rId10" display="https://us3.assetplanner.com/service_request?ID=113259" xr:uid="{DA285A9B-2957-4BD3-8994-FADA9BE89A1B}"/>
    <hyperlink ref="K10" r:id="rId11" display="https://us3.assetplanner.com/service_request?ID=103097" xr:uid="{6053686C-42EC-4B15-B48F-E45FD3A5C268}"/>
    <hyperlink ref="M10" r:id="rId12" display="https://us3.assetplanner.com/service_request?ID=110653" xr:uid="{CDE220BF-5537-4FA3-BDBD-BD82A7BDBC7F}"/>
    <hyperlink ref="K11" r:id="rId13" display="https://us3.assetplanner.com/service_request?ID=110673" xr:uid="{6CC58079-86A2-4D3A-AEE3-8258491DA898}"/>
    <hyperlink ref="K12" r:id="rId14" display="https://us3.assetplanner.com/service_request?ID=112706" xr:uid="{1CB989C6-F613-4C03-8530-B112101A09FA}"/>
    <hyperlink ref="M12" r:id="rId15" display="https://us3.assetplanner.com/service_request?ID=112951" xr:uid="{8BED061D-DE07-4A6D-BE21-2F3962B19720}"/>
    <hyperlink ref="K13" r:id="rId16" display="https://us3.assetplanner.com/service_request?ID=112949" xr:uid="{76B01F88-9EA1-44FF-B551-1B8DE78FF8E7}"/>
    <hyperlink ref="K14" r:id="rId17" display="https://us3.assetplanner.com/service_request?ID=110829" xr:uid="{AAA94121-D6B1-4158-A81D-3474C6EFE52D}"/>
    <hyperlink ref="K16" r:id="rId18" display="https://us3.assetplanner.com/service_request?ID=112336" xr:uid="{C8BE05E4-23B6-4122-8AB4-EBDA1DB5CFEF}"/>
    <hyperlink ref="M16" r:id="rId19" display="https://us3.assetplanner.com/service_request?ID=112696" xr:uid="{13DE74D3-5DF8-4E31-9569-B0CD492BB03A}"/>
    <hyperlink ref="K17" r:id="rId20" display="https://us3.assetplanner.com/service_request?ID=113154" xr:uid="{4DAEF56A-95CE-46F2-8A38-8BF5C8021C9B}"/>
    <hyperlink ref="M17" r:id="rId21" display="https://us3.assetplanner.com/service_request?ID=111730" xr:uid="{49863507-1FD7-4821-BAEB-3BFEFAFAF291}"/>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8"/>
  <sheetViews>
    <sheetView workbookViewId="0">
      <pane ySplit="3" topLeftCell="A4" activePane="bottomLeft" state="frozen"/>
      <selection pane="bottomLeft" activeCell="B24" sqref="B2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298</v>
      </c>
      <c r="B1" t="s">
        <v>299</v>
      </c>
    </row>
    <row r="3" spans="1:12" ht="13.15">
      <c r="A3" t="s">
        <v>300</v>
      </c>
      <c r="B3" t="s">
        <v>3</v>
      </c>
      <c r="C3" t="s">
        <v>4</v>
      </c>
      <c r="D3" t="s">
        <v>301</v>
      </c>
      <c r="E3" s="2" t="s">
        <v>302</v>
      </c>
    </row>
    <row r="4" spans="1:12" ht="14.45">
      <c r="A4" s="18" t="s">
        <v>303</v>
      </c>
      <c r="B4" t="s">
        <v>304</v>
      </c>
      <c r="C4" s="17" t="s">
        <v>305</v>
      </c>
      <c r="D4" s="16" t="s">
        <v>306</v>
      </c>
      <c r="E4" t="s">
        <v>307</v>
      </c>
      <c r="G4" s="3"/>
    </row>
    <row r="5" spans="1:12" ht="14.45">
      <c r="A5" s="18" t="s">
        <v>308</v>
      </c>
      <c r="B5" t="s">
        <v>309</v>
      </c>
      <c r="C5" s="17" t="s">
        <v>310</v>
      </c>
      <c r="D5" s="16" t="s">
        <v>306</v>
      </c>
      <c r="E5" t="s">
        <v>307</v>
      </c>
      <c r="G5" s="3"/>
    </row>
    <row r="6" spans="1:12" ht="14.45">
      <c r="A6" s="18" t="s">
        <v>311</v>
      </c>
      <c r="B6" t="s">
        <v>312</v>
      </c>
      <c r="C6" s="17" t="s">
        <v>310</v>
      </c>
      <c r="D6" s="16" t="s">
        <v>306</v>
      </c>
      <c r="E6" t="s">
        <v>307</v>
      </c>
      <c r="G6" s="3"/>
    </row>
    <row r="7" spans="1:12" ht="12.75" customHeight="1">
      <c r="A7" s="18" t="s">
        <v>313</v>
      </c>
      <c r="B7" t="s">
        <v>314</v>
      </c>
      <c r="C7" s="17" t="s">
        <v>310</v>
      </c>
      <c r="D7" s="16"/>
      <c r="E7" t="s">
        <v>307</v>
      </c>
    </row>
    <row r="8" spans="1:12" ht="12.75" customHeight="1">
      <c r="A8" s="18" t="s">
        <v>315</v>
      </c>
      <c r="B8" t="s">
        <v>316</v>
      </c>
      <c r="C8" s="17" t="s">
        <v>310</v>
      </c>
      <c r="D8" s="16" t="s">
        <v>306</v>
      </c>
      <c r="E8" t="s">
        <v>307</v>
      </c>
    </row>
    <row r="9" spans="1:12" ht="12.75" customHeight="1">
      <c r="A9" s="65" t="s">
        <v>317</v>
      </c>
      <c r="B9" s="66" t="s">
        <v>317</v>
      </c>
      <c r="C9" s="17" t="s">
        <v>310</v>
      </c>
      <c r="E9" t="s">
        <v>307</v>
      </c>
      <c r="K9" s="15"/>
      <c r="L9" s="15"/>
    </row>
    <row r="10" spans="1:12" ht="12.75" customHeight="1">
      <c r="A10" s="65" t="s">
        <v>318</v>
      </c>
      <c r="B10" s="66" t="s">
        <v>318</v>
      </c>
      <c r="C10" s="17" t="s">
        <v>310</v>
      </c>
      <c r="E10" t="s">
        <v>307</v>
      </c>
      <c r="K10" s="15"/>
      <c r="L10" s="15"/>
    </row>
    <row r="11" spans="1:12" ht="12.75" customHeight="1">
      <c r="A11" s="65" t="s">
        <v>319</v>
      </c>
      <c r="B11" s="66" t="s">
        <v>320</v>
      </c>
      <c r="C11" s="17" t="s">
        <v>321</v>
      </c>
      <c r="D11" t="s">
        <v>306</v>
      </c>
      <c r="E11" t="s">
        <v>307</v>
      </c>
      <c r="K11" s="15"/>
      <c r="L11" s="15"/>
    </row>
    <row r="12" spans="1:12" ht="12.75" customHeight="1">
      <c r="A12" s="65" t="s">
        <v>322</v>
      </c>
      <c r="B12" s="66" t="s">
        <v>323</v>
      </c>
      <c r="C12" s="17" t="s">
        <v>321</v>
      </c>
      <c r="D12" t="s">
        <v>306</v>
      </c>
      <c r="E12" t="s">
        <v>307</v>
      </c>
    </row>
    <row r="13" spans="1:12" ht="12.75" customHeight="1">
      <c r="A13" s="65" t="s">
        <v>324</v>
      </c>
      <c r="B13" s="66" t="s">
        <v>325</v>
      </c>
      <c r="C13" s="17" t="s">
        <v>321</v>
      </c>
    </row>
    <row r="14" spans="1:12" ht="12.75" customHeight="1">
      <c r="A14" s="65" t="s">
        <v>326</v>
      </c>
      <c r="B14" s="66" t="s">
        <v>326</v>
      </c>
      <c r="C14" s="17" t="s">
        <v>321</v>
      </c>
      <c r="D14" t="s">
        <v>306</v>
      </c>
    </row>
    <row r="15" spans="1:12" ht="12.75" customHeight="1">
      <c r="A15" s="65" t="s">
        <v>327</v>
      </c>
      <c r="B15" s="66" t="s">
        <v>328</v>
      </c>
      <c r="C15" s="17" t="s">
        <v>321</v>
      </c>
    </row>
    <row r="16" spans="1:12" ht="12.75" customHeight="1">
      <c r="A16" s="65" t="s">
        <v>329</v>
      </c>
      <c r="B16" s="66" t="s">
        <v>330</v>
      </c>
      <c r="C16" s="17" t="s">
        <v>321</v>
      </c>
      <c r="E16" t="s">
        <v>307</v>
      </c>
    </row>
    <row r="17" spans="1:5" ht="12.75" customHeight="1">
      <c r="A17" s="65" t="s">
        <v>331</v>
      </c>
      <c r="B17" s="66" t="s">
        <v>332</v>
      </c>
      <c r="C17" s="17" t="s">
        <v>321</v>
      </c>
      <c r="E17" t="s">
        <v>307</v>
      </c>
    </row>
    <row r="18" spans="1:5" ht="12.75" customHeight="1">
      <c r="A18" s="65" t="s">
        <v>333</v>
      </c>
      <c r="B18" s="66" t="s">
        <v>334</v>
      </c>
      <c r="C18" s="17" t="s">
        <v>321</v>
      </c>
      <c r="E18" t="s">
        <v>307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8D732231-4216-4543-A665-18A2886B0EB7}"/>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6DA15E8A-9251-4993-921B-8D8ABD869243}"/>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2026-02-20T18:56:13Z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2025-02-14T20:27:20Z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eeb87d05-063e-4a3d-838a-8833717c204f</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