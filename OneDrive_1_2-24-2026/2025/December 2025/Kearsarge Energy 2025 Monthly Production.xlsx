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heerajc_amgsol_com/Documents/Microsoft Teams Chat Files/"/>
    </mc:Choice>
  </mc:AlternateContent>
  <xr:revisionPtr revIDLastSave="11" documentId="13_ncr:1_{EE0E60DF-8085-4C01-8A71-6022269985CF}" xr6:coauthVersionLast="47" xr6:coauthVersionMax="47" xr10:uidLastSave="{28D27393-22DF-4001-B678-AAAA6BAB3403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E4" i="31"/>
  <c r="G4" i="29"/>
  <c r="G4" i="18"/>
  <c r="G2" i="18" s="1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<sst xmlns="http://schemas.openxmlformats.org/spreadsheetml/2006/main" count="266" uniqueCount="55">
  <si>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</si>
  <si>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</si>
  <si>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</si>
  <si>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</si>
  <si>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</si>
  <si>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</si>
  <si>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</si>
  <si>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</si>
  <si>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</si>
  <si>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</si>
  <si>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</si>
  <si>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</si>
  <si>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</si>
  <si>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</si>
  <si>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</si>
  <si>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</si>
  <si>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</si>
  <si>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</si>
  <si>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</si>
  <si>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</si>
  <si>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</si>
  <si>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</si>
  <si>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</si>
  <si>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</si>
  <si>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</si>
  <si>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</si>
  <si>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</si>
  <si>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</si>
  <si>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</si>
  <si>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</si>
  <si>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</si>
  <si>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</si>
  <si>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</si>
  <si>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</si>
  <si>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</si>
  <si>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 Inverter 1 Zone 1 tripped offline at 14:15 on 07/29 after technician replaced the breaker Inverter 1 Zone 1 is back online at 15:00 on 08/30.</t>
  </si>
  <si>
    <t>1. SR105290</t>
  </si>
  <si>
    <t>August Actual v. Expected</t>
  </si>
  <si>
    <t>August Actual v. Forecasted</t>
  </si>
  <si>
    <t>353362_x000D__x000D_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</si>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</sst>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49" fontId="35" fillId="38" borderId="0" xfId="45" applyNumberFormat="1" applyFill="1" applyBorder="1" applyAlignment="1">
      <alignment vertical="top" wrapText="1"/>
    </xf>
    <xf numFmtId="3" fontId="30" fillId="4" borderId="0" xfId="1" applyNumberFormat="1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529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D19" sqref="D1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Hubbardston Solar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SUM(C4:C87)</f>
        <v>2444701</v>
      </c>
      <c r="D2" s="6">
        <f>SUM(D4:D87)</f>
        <v>0</v>
      </c>
      <c r="E2" s="6">
        <f>C2-D2</f>
        <v>2444701</v>
      </c>
      <c r="F2" s="7">
        <f>IFERROR(E2/D2, 0)</f>
        <v>0</v>
      </c>
      <c r="G2" s="6">
        <f>SUM(G4:G87)</f>
        <v>0</v>
      </c>
      <c r="H2" s="8">
        <f>C2-G2</f>
        <v>2444701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2444701</v>
      </c>
      <c r="D4" s="13">
        <f>SUM('1st Qtr'!D4, '2nd Qtr'!D4, '3rd Qtr'!D4, '4th Qtr'!D4)</f>
        <v>0</v>
      </c>
      <c r="E4" s="13">
        <f>IF(AND(ISNUMBER(C4),ISNUMBER(D4)), C4-D4, "")</f>
        <v>2444701</v>
      </c>
      <c r="F4" s="14" t="str">
        <f>IFERROR(E4/D4, "")</f>
        <v/>
      </c>
      <c r="G4" s="15"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15" sqref="E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Hubbardston Solar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SUM(C4:C87)</f>
        <v>456483</v>
      </c>
      <c r="D2" s="6">
        <f>SUM(D4:D87)</f>
        <v>0</v>
      </c>
      <c r="E2" s="6">
        <f>C2-D2</f>
        <v>456483</v>
      </c>
      <c r="F2" s="7">
        <f>IFERROR(E2/D2, 0)</f>
        <v>0</v>
      </c>
      <c r="G2" s="6">
        <f>SUM(G4:G87)</f>
        <v>0</v>
      </c>
      <c r="H2" s="8">
        <f>C2-G2</f>
        <v>456483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456483</v>
      </c>
      <c r="D4" s="13">
        <f>SUM(Jan!D4, Feb!D4, Mar!D4)</f>
        <v>0</v>
      </c>
      <c r="E4" s="13">
        <f>IF(AND(ISNUMBER(C4),ISNUMBER(D4)), C4-D4, "")</f>
        <v>456483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I4" activePane="bottomRight" state="frozen"/>
      <selection pane="bottomRight" activeCell="I4" sqref="I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Hubbardston Solar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SUM(C4:C87)</f>
        <v>910501</v>
      </c>
      <c r="D2" s="6">
        <f>SUM(D4:D87)</f>
        <v>0</v>
      </c>
      <c r="E2" s="6">
        <f>C2-D2</f>
        <v>910501</v>
      </c>
      <c r="F2" s="7">
        <f>IFERROR(E2/D2, 0)</f>
        <v>0</v>
      </c>
      <c r="G2" s="6">
        <f>SUM(G4:G87)</f>
        <v>0</v>
      </c>
      <c r="H2" s="8">
        <f>C2-G2</f>
        <v>910501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910501</v>
      </c>
      <c r="D4" s="13">
        <f>SUM(Apr!D4, May!D4, Jun!D4)</f>
        <v>0</v>
      </c>
      <c r="E4" s="13">
        <f>IF(AND(ISNUMBER(C4),ISNUMBER(D4)), C4-D4, "")</f>
        <v>910501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15" sqref="G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Hubbardston Solar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SUM(C4:C87)</f>
        <v>642243</v>
      </c>
      <c r="D2" s="6">
        <f>SUM(D4:D87)</f>
        <v>0</v>
      </c>
      <c r="E2" s="6">
        <f>C2-D2</f>
        <v>642243</v>
      </c>
      <c r="F2" s="7">
        <f>IFERROR(E2/D2, 0)</f>
        <v>0</v>
      </c>
      <c r="G2" s="6">
        <f>SUM(G4:G87)</f>
        <v>0</v>
      </c>
      <c r="H2" s="8">
        <f>C2-G2</f>
        <v>642243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642243</v>
      </c>
      <c r="D4" s="13">
        <f>SUM(Jul!D4, Aug!D4, Sep!D4)</f>
        <v>0</v>
      </c>
      <c r="E4" s="13">
        <f>IF(AND(ISNUMBER(C4),ISNUMBER(D4)), C4-D4, "")</f>
        <v>642243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Hubbardston Solar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SUM(C4:C87)</f>
        <v>435474</v>
      </c>
      <c r="D2" s="6">
        <f>SUM(D4:D87)</f>
        <v>0</v>
      </c>
      <c r="E2" s="6">
        <f>C2-D2</f>
        <v>435474</v>
      </c>
      <c r="F2" s="7">
        <f>IFERROR(E2/D2, 0)</f>
        <v>0</v>
      </c>
      <c r="G2" s="6">
        <f>SUM(G4:G87)</f>
        <v>0</v>
      </c>
      <c r="H2" s="8">
        <f>C2-G2</f>
        <v>435474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435474</v>
      </c>
      <c r="D4" s="13">
        <f>SUM(Oct!D4, Nov!D4, Dec!D4)</f>
        <v>0</v>
      </c>
      <c r="E4" s="13">
        <f>IF(AND(ISNUMBER(C4),ISNUMBER(D4)), C4-D4, "")</f>
        <v>435474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H16" sqref="H16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SUM(C4:C60)</f>
        <v>127070</v>
      </c>
      <c r="D2" s="6">
        <f>SUM(D4:D60)</f>
        <v>0</v>
      </c>
      <c r="E2" s="6">
        <f>C2-D2</f>
        <v>127070</v>
      </c>
      <c r="F2" s="7">
        <f>IFERROR(E2/D2, 0)</f>
        <v>0</v>
      </c>
      <c r="G2" s="6">
        <f>SUM(G4:G60)</f>
        <v>0</v>
      </c>
      <c r="H2" s="8">
        <f>C2-G2</f>
        <v>127070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4.2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2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2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2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62341</v>
      </c>
      <c r="D2" s="6">
        <f>SUM(D4:D88)</f>
        <v>0</v>
      </c>
      <c r="E2" s="6">
        <f>C2-D2</f>
        <v>62341</v>
      </c>
      <c r="F2" s="7">
        <f>IFERROR(E2/D2, 0)</f>
        <v>0</v>
      </c>
      <c r="G2" s="6">
        <f>SUM(G4:G88)</f>
        <v>0</v>
      </c>
      <c r="H2" s="8">
        <f>C2-G2</f>
        <v>62341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62341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F15" sqref="F15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25</v>
      </c>
      <c r="E1" s="48"/>
      <c r="F1" s="48"/>
      <c r="G1" s="46" t="s">
        <v>26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267072</v>
      </c>
      <c r="D2" s="6">
        <f>SUM(D4:D88)</f>
        <v>0</v>
      </c>
      <c r="E2" s="6">
        <f>C2-D2</f>
        <v>267072</v>
      </c>
      <c r="F2" s="7">
        <f>IFERROR(E2/D2, 0)</f>
        <v>0</v>
      </c>
      <c r="G2" s="6">
        <f>SUM(G4:G88)</f>
        <v>0</v>
      </c>
      <c r="H2" s="8">
        <f>C2-G2</f>
        <v>267072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267072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G12" sqref="G12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27</v>
      </c>
      <c r="E1" s="48"/>
      <c r="F1" s="48"/>
      <c r="G1" s="46" t="s">
        <v>28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291503</v>
      </c>
      <c r="D2" s="6">
        <f>SUM(D4:D88)</f>
        <v>0</v>
      </c>
      <c r="E2" s="6">
        <f>C2-D2</f>
        <v>291503</v>
      </c>
      <c r="F2" s="7">
        <f>IFERROR(E2/D2, 0)</f>
        <v>0</v>
      </c>
      <c r="G2" s="6">
        <f>SUM(G4:G88)</f>
        <v>0</v>
      </c>
      <c r="H2" s="8">
        <f>C2-G2</f>
        <v>291503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291503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29</v>
      </c>
      <c r="E1" s="48"/>
      <c r="F1" s="48"/>
      <c r="G1" s="46" t="s">
        <v>30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266514</v>
      </c>
      <c r="D2" s="6">
        <f>SUM(D4:D88)</f>
        <v>0</v>
      </c>
      <c r="E2" s="6">
        <f>C2-D2</f>
        <v>266514</v>
      </c>
      <c r="F2" s="7">
        <f>IFERROR(E2/D2, 0)</f>
        <v>0</v>
      </c>
      <c r="G2" s="6">
        <f>SUM(G4:G88)</f>
        <v>0</v>
      </c>
      <c r="H2" s="8">
        <f>C2-G2</f>
        <v>266514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266514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352484</v>
      </c>
      <c r="D2" s="6">
        <f>SUM(D4:D88)</f>
        <v>0</v>
      </c>
      <c r="E2" s="6">
        <f>C2-D2</f>
        <v>352484</v>
      </c>
      <c r="F2" s="7">
        <f>IFERROR(E2/D2, 0)</f>
        <v>0</v>
      </c>
      <c r="G2" s="6">
        <f>SUM(G4:G88)</f>
        <v>0</v>
      </c>
      <c r="H2" s="8">
        <f>C2-G2</f>
        <v>352484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352484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3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H21" sqref="H20:H21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33</v>
      </c>
      <c r="E1" s="48"/>
      <c r="F1" s="48"/>
      <c r="G1" s="46" t="s">
        <v>34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348305</v>
      </c>
      <c r="D2" s="6">
        <f>SUM(D4:D88)</f>
        <v>0</v>
      </c>
      <c r="E2" s="6">
        <f>C2-D2</f>
        <v>348305</v>
      </c>
      <c r="F2" s="7">
        <f>IFERROR(E2/D2, 0)</f>
        <v>0</v>
      </c>
      <c r="G2" s="6">
        <f>SUM(G4:G88)</f>
        <v>0</v>
      </c>
      <c r="H2" s="8">
        <f>C2-G2</f>
        <v>348305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348305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 t="s">
        <v>35</v>
      </c>
      <c r="K4" s="44" t="s">
        <v>36</v>
      </c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5290" xr:uid="{B2026051-083C-4A19-B9C2-0C58FD39D5F8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C4" activePane="bottomRight" state="frozen"/>
      <selection pane="bottomRight" activeCell="H23" sqref="H23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37</v>
      </c>
      <c r="E1" s="48"/>
      <c r="F1" s="48"/>
      <c r="G1" s="46" t="s">
        <v>38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 t="s">
        <v>39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J16" sqref="J16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SUM(C4:C87)</f>
        <v>293938</v>
      </c>
      <c r="D2" s="6">
        <f>SUM(D4:D87)</f>
        <v>0</v>
      </c>
      <c r="E2" s="6">
        <f>C2-D2</f>
        <v>293938</v>
      </c>
      <c r="F2" s="7">
        <f>IFERROR(E2/D2, 0)</f>
        <v>0</v>
      </c>
      <c r="G2" s="6">
        <f>SUM(G4:G87)</f>
        <v>0</v>
      </c>
      <c r="H2" s="8">
        <f>C2-G2</f>
        <v>293938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293938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3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3.9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J25" sqref="J25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242286</v>
      </c>
      <c r="D2" s="6">
        <f>SUM(D4:D88)</f>
        <v>0</v>
      </c>
      <c r="E2" s="6">
        <f>C2-D2</f>
        <v>242286</v>
      </c>
      <c r="F2" s="7">
        <f>IFERROR(E2/D2, 0)</f>
        <v>0</v>
      </c>
      <c r="G2" s="6">
        <f>SUM(G4:G88)</f>
        <v>0</v>
      </c>
      <c r="H2" s="8">
        <f>C2-G2</f>
        <v>242286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242286</v>
      </c>
      <c r="D4" s="13" t="s">
        <v>22</v>
      </c>
      <c r="E4" s="13" t="str">
        <f>IF(AND(ISNUMBER(C4),ISNUMBER(D4)), C4-D4, "")</f>
        <v/>
      </c>
      <c r="F4" s="14"/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H8" sqref="H8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145934</v>
      </c>
      <c r="D2" s="6">
        <f>SUM(D4:D88)</f>
        <v>0</v>
      </c>
      <c r="E2" s="6">
        <f>C2-D2</f>
        <v>145934</v>
      </c>
      <c r="F2" s="7">
        <f>IFERROR(E2/D2, 0)</f>
        <v>0</v>
      </c>
      <c r="G2" s="6">
        <f>SUM(G4:G88)</f>
        <v>0</v>
      </c>
      <c r="H2" s="8">
        <f>C2-G2</f>
        <v>145934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145934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3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tabSelected="1" workbookViewId="0">
      <pane xSplit="2" ySplit="3" topLeftCell="C4" activePane="bottomRight" state="frozen"/>
      <selection pane="bottomRight" activeCell="I12" sqref="I12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Hubbardston Solar</v>
      </c>
      <c r="B1" s="47"/>
      <c r="C1" s="47"/>
      <c r="D1" s="48" t="s">
        <v>46</v>
      </c>
      <c r="E1" s="48"/>
      <c r="F1" s="48"/>
      <c r="G1" s="46" t="s">
        <v>47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SUM(C4:C88)</f>
        <v>47254</v>
      </c>
      <c r="D2" s="6">
        <f>SUM(D4:D88)</f>
        <v>0</v>
      </c>
      <c r="E2" s="6">
        <f>C2-D2</f>
        <v>47254</v>
      </c>
      <c r="F2" s="7">
        <f>IFERROR(E2/D2, 0)</f>
        <v>0</v>
      </c>
      <c r="G2" s="6">
        <f>SUM(G4:G88)</f>
        <v>0</v>
      </c>
      <c r="H2" s="8">
        <f>C2-G2</f>
        <v>47254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47254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5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25">
      <c r="A4" s="3" t="s">
        <v>49</v>
      </c>
      <c r="B4" t="s">
        <v>49</v>
      </c>
      <c r="C4" s="4" t="s">
        <v>53</v>
      </c>
      <c r="E4" t="s">
        <v>54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BF17D452-863B-4D33-8E4D-F373A8647BC4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Dheeraj Cheripelly [AGS]</cp:lastModifiedBy>
  <cp:revision/>
  <dcterms:created xsi:type="dcterms:W3CDTF">2021-01-01T16:39:53Z</dcterms:created>
  <dcterms:modified xsi:type="dcterms:W3CDTF">2026-01-16T06:22:17Z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