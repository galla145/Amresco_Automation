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41B9F2A2-7C78-4EB7-B06B-76B6EC854B6E}" xr6:coauthVersionLast="47" xr6:coauthVersionMax="47" xr10:uidLastSave="{00000000-0000-0000-0000-00000000000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5" i="18"/>
  <c r="G6" i="18"/>
  <c r="G4" i="18"/>
  <c r="D4" i="18"/>
  <c r="E6" i="72"/>
  <c r="I6" i="72"/>
  <c r="I5" i="72"/>
  <c r="I4" i="72"/>
  <c r="H6" i="72"/>
  <c r="H5" i="72"/>
  <c r="H4" i="72"/>
  <c r="E4" i="3"/>
  <c r="F4" i="3"/>
  <c r="E4" i="72"/>
  <c r="E5" i="33"/>
  <c r="F5" i="33" s="1"/>
  <c r="E5" i="32"/>
  <c r="F5" i="32" s="1"/>
  <c r="E4" i="33"/>
  <c r="F4" i="33" s="1"/>
  <c r="E4" i="32"/>
  <c r="G5" i="29"/>
  <c r="G6" i="29"/>
  <c r="G4" i="29"/>
  <c r="F6" i="72"/>
  <c r="E5" i="72"/>
  <c r="F5" i="72" s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B4" i="34" a="1"/>
  <c r="B4" i="34" s="1"/>
  <c r="A4" i="34" a="1"/>
  <c r="A4" i="34" s="1"/>
  <c r="A1" i="34" a="1"/>
  <c r="A1" i="34" s="1"/>
  <c r="D6" i="30"/>
  <c r="C6" i="30"/>
  <c r="D5" i="30"/>
  <c r="C5" i="30"/>
  <c r="D4" i="30"/>
  <c r="C4" i="30"/>
  <c r="D6" i="29"/>
  <c r="C6" i="29"/>
  <c r="D5" i="29"/>
  <c r="C5" i="29"/>
  <c r="D4" i="29"/>
  <c r="C4" i="29"/>
  <c r="D6" i="18"/>
  <c r="D6" i="34" s="1"/>
  <c r="C6" i="18"/>
  <c r="C6" i="34" s="1"/>
  <c r="D5" i="18"/>
  <c r="C5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H4" i="33"/>
  <c r="I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H4" i="32"/>
  <c r="I4" i="32" s="1"/>
  <c r="F4" i="32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C5" i="34" l="1"/>
  <c r="H2" i="33"/>
  <c r="I2" i="33" s="1"/>
  <c r="D5" i="34"/>
  <c r="E5" i="30"/>
  <c r="F5" i="30" s="1"/>
  <c r="D2" i="30"/>
  <c r="H2" i="32"/>
  <c r="I2" i="32" s="1"/>
  <c r="E4" i="30"/>
  <c r="F4" i="30" s="1"/>
  <c r="E6" i="30"/>
  <c r="F6" i="30" s="1"/>
  <c r="G4" i="34"/>
  <c r="G2" i="34" s="1"/>
  <c r="E6" i="29"/>
  <c r="F6" i="29" s="1"/>
  <c r="H6" i="29"/>
  <c r="I6" i="29" s="1"/>
  <c r="H2" i="19"/>
  <c r="I2" i="19" s="1"/>
  <c r="E2" i="20"/>
  <c r="F2" i="20" s="1"/>
  <c r="D2" i="18"/>
  <c r="E5" i="18"/>
  <c r="F5" i="18" s="1"/>
  <c r="D4" i="34"/>
  <c r="D2" i="34" s="1"/>
  <c r="E6" i="18"/>
  <c r="F6" i="18" s="1"/>
  <c r="E4" i="18"/>
  <c r="F4" i="18" s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F5" i="29" s="1"/>
  <c r="J2" i="27"/>
  <c r="H2" i="4"/>
  <c r="I2" i="4" s="1"/>
  <c r="H2" i="21"/>
  <c r="I2" i="21" s="1"/>
  <c r="J2" i="19"/>
  <c r="H2" i="20"/>
  <c r="I2" i="20" s="1"/>
  <c r="J2" i="31"/>
  <c r="J2" i="32"/>
  <c r="H2" i="3"/>
  <c r="I2" i="3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C2" i="29"/>
  <c r="C2" i="30"/>
  <c r="E4" i="29"/>
  <c r="F4" i="29" s="1"/>
  <c r="C2" i="18"/>
  <c r="H4" i="1"/>
  <c r="I4" i="1" s="1"/>
  <c r="H5" i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I6" i="1"/>
  <c r="H6" i="34"/>
  <c r="I6" i="34" s="1"/>
  <c r="I5" i="1"/>
  <c r="H5" i="34"/>
  <c r="I5" i="34" s="1"/>
  <c r="E4" i="34"/>
  <c r="F4" i="34" s="1"/>
  <c r="E2" i="29"/>
  <c r="F2" i="29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tc={0BBF01D2-908A-47F5-89A0-71E715FCAADB}</author>
  </authors>
  <commentList>
    <comment ref="C4" authorId="0" shapeId="0" xr:uid="{0BBF01D2-908A-47F5-89A0-71E715FCAADB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tc={BFC9ACCF-7598-4C66-AFB5-17BA16BB6F5E}</author>
  </authors>
  <commentList>
    <comment ref="C4" authorId="0" shapeId="0" xr:uid="{BFC9ACCF-7598-4C66-AFB5-17BA16BB6F5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tc={4BAA50DE-A3EB-4105-A5BC-191C3875AFDC}</author>
  </authors>
  <commentList>
    <comment ref="C4" authorId="0" shapeId="0" xr:uid="{4BAA50DE-A3EB-4105-A5BC-191C3875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tc={898E8C81-581C-4613-AD92-9380CC5CBAD9}</author>
  </authors>
  <commentList>
    <comment ref="C4" authorId="0" shapeId="0" xr:uid="{898E8C81-581C-4613-AD92-9380CC5CBAD9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tc={F85091A6-EA65-4C58-B87D-6E341BCB4C1E}</author>
  </authors>
  <commentList>
    <comment ref="C4" authorId="0" shapeId="0" xr:uid="{F85091A6-EA65-4C58-B87D-6E341BCB4C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tc={0D744E55-343A-43DD-8394-D2B8820FEB47}</author>
  </authors>
  <commentList>
    <comment ref="C4" authorId="0" shapeId="0" xr:uid="{0D744E55-343A-43DD-8394-D2B8820FEB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Actual value is taken from total inverters value.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<sst xmlns="http://schemas.openxmlformats.org/spreadsheetml/2006/main" count="380" uniqueCount="125">
  <si>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</si>
  <si>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</si>
  <si>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</si>
  <si>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</si>
  <si>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</si>
  <si>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</si>
  <si>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</si>
  <si>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</si>
  <si>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</si>
  <si>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</si>
  <si>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</si>
  <si>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</si>
  <si>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</si>
  <si>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</si>
  <si>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</si>
  <si>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</si>
  <si>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</si>
  <si>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</si>
  <si>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</si>
  <si>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</si>
  <si>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</si>
  <si>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</si>
  <si>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</si>
  <si>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from 12:15 to 13:30 on 01/21 for the installation of new CTs and a meter. The system's readings returned to the correct range after troubleshooting on site.
2. Inverter 1-4 experienced multiple trip events throughout the month.
3. Inverter 1-6 was offline on 01/15/25, self-resolved, and came back online at 07:30 AM on 01/20/25. Inverter again went offline on 01/27/25 andbackonline on 01/28/25
4. Inverter 3-2 tripped offline at 08:30 on 01/20/25 and later self resolved, back online on 01/21.</t>
  </si>
  <si>
    <t>1. SR094032
2.  SR094314, SR094074 &amp;  SR092118
3. SR095603, SR097617
4. SR095749</t>
  </si>
  <si>
    <t>1.Inverter 1-7 is offline through the month. due to faulting on start up from Grid Frequency failures.
2. Site was offline from 10:15 to 11:00 on 01/22 for the installation of new CTs and a meter. The system's readings returned to the correct range from 01/23
3. Inverter 1-3 was offline throughout the month due to a frozen screen issue.</t>
  </si>
  <si>
    <t>1. SR075156, SR094079
2. SR087559, SR095887
3. SR091482</t>
  </si>
  <si>
    <t>February Actual v. Expected</t>
  </si>
  <si>
    <t>February Actual v. Forecasted</t>
  </si>
  <si>
    <t>1.Inverter 1-4 experienced multiple trip events throughout the month.
2. Inverters 1-6 was offline multiple times throughout the month, including on 02/01, 02/09, 02/14, 02/21, and 02/26, with self-resolving on 02/02, 02/11, 02/15, and 02/27. On 02/18, a technician identified a Display error 121 (Grid Overvolt), reenergized the inverter, and brought it back online at 11:00 AM the same day. Additional troubleshooting was required.
3. Inverter 3-2 tripped offline at 13:30 on 02/03 and self resolved, back online at 07:45 on 02/04</t>
  </si>
  <si>
    <t>1. SR094314, SR094074 ,SR092118 &amp; SR096716
2. SR095603, SR097617
3. SR095749</t>
  </si>
  <si>
    <t>SR094074</t>
  </si>
  <si>
    <t>SR092118</t>
  </si>
  <si>
    <t>SR096716</t>
  </si>
  <si>
    <t>SR095603</t>
  </si>
  <si>
    <t>SR097617</t>
  </si>
  <si>
    <t>SR095749</t>
  </si>
  <si>
    <t>1. Inverter 1.6 is underperforming by 5kW and is undergoing further troubleshooting during the PM event.
2.  Inverter 1-7 is offline through the month. due to faulting on start up from Grid Frequency failures.
3. Inverter 1-3 was offline throughout the month due to a frozen screen issue.</t>
  </si>
  <si>
    <t>1. SR097459
2. SR075156, SR094079
3. SR091482</t>
  </si>
  <si>
    <t>SR075156</t>
  </si>
  <si>
    <t>SR094079</t>
  </si>
  <si>
    <t>SR091482</t>
  </si>
  <si>
    <t>March Actual v. Expected</t>
  </si>
  <si>
    <t>March Actual v. Forecasted</t>
  </si>
  <si>
    <t>1. Inverter 1.6 was frequently offline throughout the month.
2. Inverter 1.4 was offline on multiple days the entire month including 03/12 - 03/14 and 03/26 - 03/28</t>
  </si>
  <si>
    <t xml:space="preserve">1. SR097617
2. SR094314	</t>
  </si>
  <si>
    <t>SR094314</t>
  </si>
  <si>
    <t>1. Inverter 1.4 was offline on 03/26 and back online on 03/27
2. Inverter 1-3 was offline throughout the month due to a frozen screen issue.
3. Inverter 1.6 is underperforming by 5kW and is undergoing further troubleshooting during the PM event.</t>
  </si>
  <si>
    <t>1. SR099023	
2. SR091482
3. SR097459</t>
  </si>
  <si>
    <t>SR097459</t>
  </si>
  <si>
    <t>April Actual v. Expected</t>
  </si>
  <si>
    <t>April Actual v. Forecasted</t>
  </si>
  <si>
    <t>1.Inverter 1.4 was offline for most of the month.
2.Meter was not reporting production since 04/23.
3.Inverter 1.6  was offline on 04/06, 04/27 and inverter 1.6 produced at about half capacity on 04/18 and 04/20</t>
  </si>
  <si>
    <t>1.SR094314
2.SR095857
3.SR097617</t>
  </si>
  <si>
    <t>SR095857</t>
  </si>
  <si>
    <t>1. Meter was intermittently  communicating after CTs were replaced.
2. Inverter 1-4 was offline for most of the days of the month
3. Inverter 1-3 was offline for throughout the month</t>
  </si>
  <si>
    <t>1.SR095887
2.SR100961, SR099023
3.SR091482</t>
  </si>
  <si>
    <t>SR100961</t>
  </si>
  <si>
    <t>SR099023</t>
  </si>
  <si>
    <t>May Actual v. Expected</t>
  </si>
  <si>
    <t>May Actual v. Forecasted</t>
  </si>
  <si>
    <t>1. Meter was not reporting production since 04/23.
2. Inverter 1.4 was offline for most of the days in month
3. Inverter 1.6  was offline on 05/06, 05/08, 05/16, 05/24, 05/26, 05/27 ,05/30</t>
  </si>
  <si>
    <t>1.	SR095857
2.SR094314
3.SR097617</t>
  </si>
  <si>
    <t>1. Inverter 1-3 was offline for throughout the month
2.Inverter 1-4 was offline for most of the days of the month
3.All inverters tripped offline at 09:00 from 05/17 and remained offline for rest of the month
4.Meter was intermittently  communicating after CTs were replaced.</t>
  </si>
  <si>
    <t>1.	SR091482
2.	SR100961
3.	SR101622
4.	SR095887</t>
  </si>
  <si>
    <t>SR101622</t>
  </si>
  <si>
    <t>SR095887</t>
  </si>
  <si>
    <t>June Actual v. Expected</t>
  </si>
  <si>
    <t>June Actual v. Forecasted</t>
  </si>
  <si>
    <t>1.Meter was not reporting production since 04/23.
2.Inverter 1.4 was offline for most of the days in month.
3.Inverter 1.6  was offline on 06/05, 06/06, 06/12 ,06/15, 06/16, 06/21, 06/25, 06/26  and was produced at about half capacity on 06/03, 06/08</t>
  </si>
  <si>
    <t>1.All inverters have been re-energized at 10:45 on 06/27 except inverters 1.2 ( fuses need to be replaced) and 1.3 (Waiting for manufacturer response)
2.Meter was intermittently  communicating after CTs were replaced.</t>
  </si>
  <si>
    <t>1.SR101622
2.SR095887</t>
  </si>
  <si>
    <t>July Actual v. Expected</t>
  </si>
  <si>
    <t>July Actual v. Forecasted</t>
  </si>
  <si>
    <t>1. Meter was not reporting production since 04/23.
2. Inverter 1.4 was offline for most of the days in month.
3. Inverter 1.6 was offline on 07/04, 07/05, 07/06, 07/09, 07/14, 07/18, 07/24, 07/25 and 07/26.</t>
  </si>
  <si>
    <t>1. SR095857
2. SR094314
3. SR097616</t>
  </si>
  <si>
    <t>SR097616</t>
  </si>
  <si>
    <t>1. Inverter 1.4 has been offline since 07/21.
2. Inverters 1.2 and 1.3 have been offline since 09:00 on 05/17 — Inverter 1.2 requires fuse replacement, and Inverter 1.3 is awaiting a manufacturer response.
3. Inverter 2.4 has been offline since 07/16.
4. Meter was intermittently  communicating after CTs were replaced.</t>
  </si>
  <si>
    <t>1. SR100961
2. SR101622, SR104488
3. SR104526
4. SR095887</t>
  </si>
  <si>
    <t>SR104488</t>
  </si>
  <si>
    <t>SR104526</t>
  </si>
  <si>
    <t>August Actual v. Expected</t>
  </si>
  <si>
    <t>August Actual v. Forecasted</t>
  </si>
  <si>
    <t>1. Meter was not reporting production since 04/23.
2. Inverter 1.4 was offline for most of the days in month.
3. Inverter 1.6 was offline for most of the days in month.</t>
  </si>
  <si>
    <t>1. SR095857
2. SR094314
3. SR097617, SR106882</t>
  </si>
  <si>
    <t>SR106882</t>
  </si>
  <si>
    <t>September Actual v. Expected</t>
  </si>
  <si>
    <t>September Actual v. Forecasted</t>
  </si>
  <si>
    <t>1. Inverter 1.4 has been offline since 07/21.
2. Inverters 1.2 and 1.3 have been offline since 09:00 on 05/17 — Inverter 1.2 requires fuse replacement, and Inverter 1.3 is awaiting a manufacturer response.
3. Inverter 2.4 has been offline since 07/16.
4. Meter was intermittently  communicating after CTs were replaced.
5. Site was offline from 18:45 on 09/18 to end of the month.</t>
  </si>
  <si>
    <t>1. SR100961
2. SR101622, SR104488
3. SR104526
4. SR095887
5. SR108287</t>
  </si>
  <si>
    <t>SR108287</t>
  </si>
  <si>
    <t>October Actual v. Expected</t>
  </si>
  <si>
    <t>October Actual v. Forecasted</t>
  </si>
  <si>
    <t>Status</t>
  </si>
  <si>
    <t>1.Inverter 3.2 is offline on 10/02&amp;10/03 and later back online on 10/04
2.Inverter 1.6 was offline on 10/05, 10/09,10/12,10/13 &amp; 10/27 for whole day
3.Meter is not reporting to the DAS from 04/23</t>
  </si>
  <si>
    <t>1.SR108911
2.SR109059
3.SR095857</t>
  </si>
  <si>
    <t>1.Closed
2.Closed
3.Closed</t>
  </si>
  <si>
    <t>1.Meter was intermittently  communicating after CTs were replaced. Additionally all inverters lost communication.
2.Site lost communicating from 10/29 as additional troubleshoot with modem was required.</t>
  </si>
  <si>
    <t>1.SR095887
2.SR108287</t>
  </si>
  <si>
    <t>1.Closed
2.Pending
3.Closed</t>
  </si>
  <si>
    <t>1.Lift requires for Pyranometer cleaning</t>
  </si>
  <si>
    <t>1.SR090187</t>
  </si>
  <si>
    <t>1.Closed</t>
  </si>
  <si>
    <t>November Actual v. Expected</t>
  </si>
  <si>
    <t>November Actual v. Forecasted</t>
  </si>
  <si>
    <t>1.Meter is not reporting to the DAS from 04/23
2.Inverter 1.6 offline on 11/05 and it came back online on 11/07 and again offline on 11/10 and it acme back online on 11/11
3.Inverter 1.6 offline on 11/28 and came back online on 11/29</t>
  </si>
  <si>
    <t>1.	SR095857
2.SR110690
3.	SR111823</t>
  </si>
  <si>
    <t>SR111823</t>
  </si>
  <si>
    <t>December Actual v. Expected</t>
  </si>
  <si>
    <t>December Actual v. Forecasted</t>
  </si>
  <si>
    <t>1. Meter was not communicated for whole month.</t>
  </si>
  <si>
    <t>1. SR095857</t>
  </si>
  <si>
    <t>1. Closed</t>
  </si>
  <si>
    <t>1. Site was not communicated for whole month due to bad modem.</t>
  </si>
  <si>
    <t>1. SR108287</t>
  </si>
  <si>
    <t>1. Pending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</si>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</sst>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1"/>
      <name val="Calibri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0" fontId="35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49" fontId="23" fillId="0" borderId="0" xfId="0" applyNumberFormat="1" applyFont="1" applyAlignment="1">
      <alignment horizontal="left" vertical="top" wrapText="1"/>
    </xf>
    <xf numFmtId="3" fontId="36" fillId="0" borderId="0" xfId="0" applyNumberFormat="1" applyFont="1" applyAlignment="1">
      <alignment horizontal="right" vertical="center"/>
    </xf>
    <xf numFmtId="0" fontId="23" fillId="38" borderId="0" xfId="0" applyFont="1" applyFill="1" applyAlignment="1">
      <alignment vertical="top" wrapText="1"/>
    </xf>
    <xf numFmtId="0" fontId="35" fillId="38" borderId="0" xfId="45" applyFill="1" applyAlignment="1">
      <alignment wrapText="1"/>
    </xf>
    <xf numFmtId="49" fontId="35" fillId="0" borderId="0" xfId="45" applyNumberFormat="1" applyAlignment="1">
      <alignment horizontal="left" vertical="center" wrapText="1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epak Mogilipalem[AGS]" id="{FD6D0D1A-DDB9-4381-AFE9-3D71F3F930D1}" userId="S::deepakm@amgsol.com::9aeefa1f-30c2-475e-a831-dc68cc056f04" providerId="AD"/>
  <person displayName="Kusuma Potlada [AGS]" id="{3F98DEB1-531F-42A9-8935-250E237AF736}" userId="S::kusumapotlada@amgsol.com::a4794fd0-fb2a-418d-b379-bb3c7e6c0e3d" providerId="AD"/>
  <person displayName="Dinesh Gadde [AGS]" id="{51A05772-9D80-46EB-802A-6A91CC2E8200}" userId="S::dineshg_amgsol.com#ext#@ameresco.onmicrosoft.com::6804a09e-9e6e-4a7a-8721-4f834cc67d4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7-16T18:29:01.38" personId="{51A05772-9D80-46EB-802A-6A91CC2E8200}" id="{0BBF01D2-908A-47F5-89A0-71E715FCAADB}">
    <text>Inverters Cumulative Production value.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7-16T18:29:27.68" personId="{51A05772-9D80-46EB-802A-6A91CC2E8200}" id="{BFC9ACCF-7598-4C66-AFB5-17BA16BB6F5E}">
    <text>Inverters Cumulative Production value.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" dT="2025-10-01T06:51:15.90" personId="{FD6D0D1A-DDB9-4381-AFE9-3D71F3F930D1}" id="{4BAA50DE-A3EB-4105-A5BC-191C3875AFDC}">
    <text>Inverters Cumulative Production value.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5-10-01T06:51:23.32" personId="{FD6D0D1A-DDB9-4381-AFE9-3D71F3F930D1}" id="{898E8C81-581C-4613-AD92-9380CC5CBAD9}">
    <text>Inverters Cumulative Production value.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5-10-01T06:51:29.93" personId="{FD6D0D1A-DDB9-4381-AFE9-3D71F3F930D1}" id="{F85091A6-EA65-4C58-B87D-6E341BCB4C1E}">
    <text>Inverters Cumulative Production value.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4" dT="2025-11-18T05:58:30.59" personId="{3F98DEB1-531F-42A9-8935-250E237AF736}" id="{0D744E55-343A-43DD-8394-D2B8820FEB47}">
    <text xml:space="preserve">Actual value is taken from total inverters value.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459" TargetMode="External"/><Relationship Id="rId3" Type="http://schemas.openxmlformats.org/officeDocument/2006/relationships/hyperlink" Target="https://us3.assetplanner.com/service_request?ID=092118" TargetMode="External"/><Relationship Id="rId7" Type="http://schemas.openxmlformats.org/officeDocument/2006/relationships/hyperlink" Target="https://us3.assetplanner.com/service_request?ID=095749" TargetMode="External"/><Relationship Id="rId2" Type="http://schemas.openxmlformats.org/officeDocument/2006/relationships/hyperlink" Target="https://us3.assetplanner.com/service_request?ID=094074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7617" TargetMode="External"/><Relationship Id="rId11" Type="http://schemas.openxmlformats.org/officeDocument/2006/relationships/hyperlink" Target="https://us3.assetplanner.com/service_request?ID=091482" TargetMode="External"/><Relationship Id="rId5" Type="http://schemas.openxmlformats.org/officeDocument/2006/relationships/hyperlink" Target="https://us3.assetplanner.com/service_request?ID=095603" TargetMode="External"/><Relationship Id="rId10" Type="http://schemas.openxmlformats.org/officeDocument/2006/relationships/hyperlink" Target="https://us3.assetplanner.com/service_request?ID=094079" TargetMode="External"/><Relationship Id="rId4" Type="http://schemas.openxmlformats.org/officeDocument/2006/relationships/hyperlink" Target="https://us3.assetplanner.com/service_request?ID=096716" TargetMode="External"/><Relationship Id="rId9" Type="http://schemas.openxmlformats.org/officeDocument/2006/relationships/hyperlink" Target="https://us3.assetplanner.com/service_request?ID=07515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023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7617" TargetMode="External"/><Relationship Id="rId5" Type="http://schemas.openxmlformats.org/officeDocument/2006/relationships/hyperlink" Target="https://us3.assetplanner.com/service_request?ID=097459" TargetMode="External"/><Relationship Id="rId4" Type="http://schemas.openxmlformats.org/officeDocument/2006/relationships/hyperlink" Target="https://us3.assetplanner.com/service_request?ID=09148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091482" TargetMode="External"/><Relationship Id="rId2" Type="http://schemas.openxmlformats.org/officeDocument/2006/relationships/hyperlink" Target="https://us3.assetplanner.com/service_request?ID=095857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9023" TargetMode="External"/><Relationship Id="rId5" Type="http://schemas.openxmlformats.org/officeDocument/2006/relationships/hyperlink" Target="https://us3.assetplanner.com/service_request?ID=100961" TargetMode="External"/><Relationship Id="rId4" Type="http://schemas.openxmlformats.org/officeDocument/2006/relationships/hyperlink" Target="https://us3.assetplanner.com/service_request?ID=095887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095887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5" Type="http://schemas.openxmlformats.org/officeDocument/2006/relationships/hyperlink" Target="https://us3.assetplanner.com/service_request?ID=100961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1482" TargetMode="External"/><Relationship Id="rId9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us3.assetplanner.com/service_request?ID=095887" TargetMode="External"/><Relationship Id="rId4" Type="http://schemas.openxmlformats.org/officeDocument/2006/relationships/hyperlink" Target="https://us3.assetplanner.com/service_request?ID=10162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87" TargetMode="External"/><Relationship Id="rId3" Type="http://schemas.openxmlformats.org/officeDocument/2006/relationships/hyperlink" Target="https://us3.assetplanner.com/service_request?ID=097616" TargetMode="External"/><Relationship Id="rId7" Type="http://schemas.openxmlformats.org/officeDocument/2006/relationships/hyperlink" Target="https://us3.assetplanner.com/service_request?ID=104526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4488" TargetMode="External"/><Relationship Id="rId11" Type="http://schemas.microsoft.com/office/2017/10/relationships/threadedComment" Target="../threadedComments/threadedComment3.xml"/><Relationship Id="rId5" Type="http://schemas.openxmlformats.org/officeDocument/2006/relationships/hyperlink" Target="https://us3.assetplanner.com/service_request?ID=101622" TargetMode="External"/><Relationship Id="rId10" Type="http://schemas.openxmlformats.org/officeDocument/2006/relationships/comments" Target="../comments3.xml"/><Relationship Id="rId4" Type="http://schemas.openxmlformats.org/officeDocument/2006/relationships/hyperlink" Target="https://us3.assetplanner.com/service_request?ID=100961" TargetMode="External"/><Relationship Id="rId9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526" TargetMode="Externa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104488" TargetMode="External"/><Relationship Id="rId12" Type="http://schemas.microsoft.com/office/2017/10/relationships/threadedComment" Target="../threadedComments/threadedComment4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11" Type="http://schemas.openxmlformats.org/officeDocument/2006/relationships/comments" Target="../comments4.xml"/><Relationship Id="rId5" Type="http://schemas.openxmlformats.org/officeDocument/2006/relationships/hyperlink" Target="https://us3.assetplanner.com/service_request?ID=100961" TargetMode="External"/><Relationship Id="rId10" Type="http://schemas.openxmlformats.org/officeDocument/2006/relationships/vmlDrawing" Target="../drawings/vmlDrawing4.vml"/><Relationship Id="rId4" Type="http://schemas.openxmlformats.org/officeDocument/2006/relationships/hyperlink" Target="https://us3.assetplanner.com/service_request?ID=106882" TargetMode="External"/><Relationship Id="rId9" Type="http://schemas.openxmlformats.org/officeDocument/2006/relationships/hyperlink" Target="https://us3.assetplanner.com/service_request?ID=095887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526" TargetMode="External"/><Relationship Id="rId13" Type="http://schemas.microsoft.com/office/2017/10/relationships/threadedComment" Target="../threadedComments/threadedComment5.x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104488" TargetMode="External"/><Relationship Id="rId12" Type="http://schemas.openxmlformats.org/officeDocument/2006/relationships/comments" Target="../comments5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11" Type="http://schemas.openxmlformats.org/officeDocument/2006/relationships/vmlDrawing" Target="../drawings/vmlDrawing5.vml"/><Relationship Id="rId5" Type="http://schemas.openxmlformats.org/officeDocument/2006/relationships/hyperlink" Target="https://us3.assetplanner.com/service_request?ID=100961" TargetMode="External"/><Relationship Id="rId10" Type="http://schemas.openxmlformats.org/officeDocument/2006/relationships/hyperlink" Target="https://us3.assetplanner.com/service_request?ID=108287" TargetMode="External"/><Relationship Id="rId4" Type="http://schemas.openxmlformats.org/officeDocument/2006/relationships/hyperlink" Target="https://us3.assetplanner.com/service_request?ID=106882" TargetMode="External"/><Relationship Id="rId9" Type="http://schemas.openxmlformats.org/officeDocument/2006/relationships/hyperlink" Target="https://us3.assetplanner.com/service_request?ID=09588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887" TargetMode="External"/><Relationship Id="rId7" Type="http://schemas.microsoft.com/office/2017/10/relationships/threadedComment" Target="../threadedComments/threadedComment6.xml"/><Relationship Id="rId2" Type="http://schemas.openxmlformats.org/officeDocument/2006/relationships/hyperlink" Target="https://us3.assetplanner.com/service_request?ID=095857" TargetMode="External"/><Relationship Id="rId1" Type="http://schemas.openxmlformats.org/officeDocument/2006/relationships/hyperlink" Target="https://us3.assetplanner.com/service_request?ID=108911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hyperlink" Target="https://us3.assetplanner.com/service_request?ID=090187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887" TargetMode="External"/><Relationship Id="rId2" Type="http://schemas.openxmlformats.org/officeDocument/2006/relationships/hyperlink" Target="https://us3.assetplanner.com/service_request?ID=111823" TargetMode="External"/><Relationship Id="rId1" Type="http://schemas.openxmlformats.org/officeDocument/2006/relationships/hyperlink" Target="https://us3.assetplanner.com/service_request?ID=095857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90187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0187" TargetMode="External"/><Relationship Id="rId2" Type="http://schemas.openxmlformats.org/officeDocument/2006/relationships/hyperlink" Target="https://us3.assetplanner.com/service_request?ID=108287" TargetMode="External"/><Relationship Id="rId1" Type="http://schemas.openxmlformats.org/officeDocument/2006/relationships/hyperlink" Target="https://us3.assetplanner.com/service_request?ID=095857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E21" sqref="E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Cave Creek USD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6">
        <f>SUM(C4:C91)</f>
        <v>1218969.29</v>
      </c>
      <c r="D2" s="6">
        <f>SUM(D4:D91)</f>
        <v>813350.69</v>
      </c>
      <c r="E2" s="6">
        <f>C2-D2</f>
        <v>405618.60000000009</v>
      </c>
      <c r="F2" s="7">
        <f>IFERROR(E2/D2, 0)</f>
        <v>0.4987007510868407</v>
      </c>
      <c r="G2" s="6">
        <f>SUM(G4:G91)</f>
        <v>0</v>
      </c>
      <c r="H2" s="8">
        <f>C2-G2</f>
        <v>1218969.29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468075.65</v>
      </c>
      <c r="D4" s="14">
        <f>SUM('1st Qtr'!D4, '2nd Qtr'!D4, '3rd Qtr'!D4, '4th Qtr'!D4)</f>
        <v>447479.51</v>
      </c>
      <c r="E4" s="14">
        <f>IF(AND(ISNUMBER(C4),ISNUMBER(D4)), C4-D4, "")</f>
        <v>20596.140000000014</v>
      </c>
      <c r="F4" s="15">
        <f>IFERROR(E4/D4, 0)</f>
        <v>4.6027001325714363E-2</v>
      </c>
      <c r="G4" s="16">
        <f>SUM('1st Qtr'!G4,'2nd Qtr'!G4,'3rd Qtr'!G4,'4th Qtr'!G4)</f>
        <v>0</v>
      </c>
      <c r="H4" s="16">
        <f>SUM('1st Qtr'!H4, '2nd Qtr'!H4, '3rd Qtr'!H4, '4th Qtr'!H4)</f>
        <v>349605.65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20">
        <f>SUM('1st Qtr'!C5, '2nd Qtr'!C5, '3rd Qtr'!C5, '4th Qtr'!C5)</f>
        <v>355778.38999999996</v>
      </c>
      <c r="D5" s="20">
        <f>SUM('1st Qtr'!D5, '2nd Qtr'!D5, '3rd Qtr'!D5, '4th Qtr'!D5)</f>
        <v>365871.18</v>
      </c>
      <c r="E5" s="20">
        <f t="shared" ref="E5:E6" si="0">IF(AND(ISNUMBER(C5),ISNUMBER(D5)), C5-D5, "")</f>
        <v>-10092.790000000037</v>
      </c>
      <c r="F5" s="21">
        <f>IFERROR(E5/D5, 0)</f>
        <v>-2.7585638201948669E-2</v>
      </c>
      <c r="G5" s="44">
        <f>SUM('1st Qtr'!G5,'2nd Qtr'!G5,'3rd Qtr'!G5,'4th Qtr'!G5)</f>
        <v>0</v>
      </c>
      <c r="H5" s="44">
        <f>SUM('1st Qtr'!H5, '2nd Qtr'!H5, '3rd Qtr'!H5, '4th Qtr'!H5)</f>
        <v>305582.09999999998</v>
      </c>
      <c r="I5" s="21">
        <f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SUM('1st Qtr'!C6, '2nd Qtr'!C6, '3rd Qtr'!C6, '4th Qtr'!C6)</f>
        <v>395115.25</v>
      </c>
      <c r="D6" s="14">
        <f>SUM('1st Qtr'!D6, '2nd Qtr'!D6, '3rd Qtr'!D6, '4th Qtr'!D6)</f>
        <v>0</v>
      </c>
      <c r="E6" s="14">
        <f t="shared" si="0"/>
        <v>395115.25</v>
      </c>
      <c r="F6" s="15">
        <f>IFERROR(E6/D6, 0)</f>
        <v>0</v>
      </c>
      <c r="G6" s="16">
        <f>SUM('1st Qtr'!G6,'2nd Qtr'!G6,'3rd Qtr'!G6,'4th Qtr'!G6)</f>
        <v>0</v>
      </c>
      <c r="H6" s="16">
        <f>SUM('1st Qtr'!H6, '2nd Qtr'!H6, '3rd Qtr'!H6, '4th Qtr'!H6)</f>
        <v>294016.25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F13" sqref="F13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Cave Creek USD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6">
        <f>SUM(C4:C88)</f>
        <v>343815</v>
      </c>
      <c r="D2" s="6">
        <f>SUM(D4:D88)</f>
        <v>192646</v>
      </c>
      <c r="E2" s="6">
        <f>C2-D2</f>
        <v>151169</v>
      </c>
      <c r="F2" s="7">
        <f>IFERROR(E2/D2, 0)</f>
        <v>0.7846983586474674</v>
      </c>
      <c r="G2" s="6">
        <f>SUM(G4:G88)</f>
        <v>0</v>
      </c>
      <c r="H2" s="8">
        <f>C2-G2</f>
        <v>343815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125662</v>
      </c>
      <c r="D4" s="14">
        <f>SUM(Jan!D4, Feb!D4, Mar!D4)</f>
        <v>97376</v>
      </c>
      <c r="E4" s="14">
        <f>IF(AND(ISNUMBER(C4),ISNUMBER(D4)), C4-D4, "")</f>
        <v>28286</v>
      </c>
      <c r="F4" s="15">
        <f>IFERROR(E4/D4, 0)</f>
        <v>0.29048225435425568</v>
      </c>
      <c r="G4" s="16">
        <f>SUM(Jan!G4, Feb!G4, Mar!G4)</f>
        <v>0</v>
      </c>
      <c r="H4" s="16">
        <f>SUM(Jan!H4, Feb!H4, Mar!H4)</f>
        <v>92731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126367</v>
      </c>
      <c r="D5" s="20">
        <f>SUM(Jan!D5, Feb!D5, Mar!D5)</f>
        <v>95270</v>
      </c>
      <c r="E5" s="20">
        <f t="shared" ref="E5:E6" si="0">IF(AND(ISNUMBER(C5),ISNUMBER(D5)), C5-D5, "")</f>
        <v>31097</v>
      </c>
      <c r="F5" s="43">
        <f t="shared" ref="F5:F6" si="1">IFERROR(E5/D5, 0)</f>
        <v>0.32640915293376721</v>
      </c>
      <c r="G5" s="22">
        <f>SUM(Jan!G5, Feb!G5, Mar!G5)</f>
        <v>0</v>
      </c>
      <c r="H5" s="22">
        <f>SUM(Jan!H5, Feb!H5, Mar!H5)</f>
        <v>99602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91786</v>
      </c>
      <c r="D6" s="14">
        <f>SUM(Jan!D6, Feb!D6, Mar!D6)</f>
        <v>0</v>
      </c>
      <c r="E6" s="14">
        <f t="shared" si="0"/>
        <v>91786</v>
      </c>
      <c r="F6" s="15">
        <f t="shared" si="1"/>
        <v>0</v>
      </c>
      <c r="G6" s="16">
        <f>SUM(Jan!G6, Feb!G6, Mar!G6)</f>
        <v>0</v>
      </c>
      <c r="H6" s="16">
        <f>SUM(Jan!H6, Feb!H6, Mar!H6)</f>
        <v>64038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3" activePane="bottomLeft" state="frozen"/>
      <selection pane="bottomLeft" activeCell="D16" sqref="D16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Cave Creek USD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6">
        <f>SUM(C4:C88)</f>
        <v>346431.73</v>
      </c>
      <c r="D2" s="6">
        <f>SUM(D4:D88)</f>
        <v>267076.87</v>
      </c>
      <c r="E2" s="6">
        <f>C2-D2</f>
        <v>79354.859999999986</v>
      </c>
      <c r="F2" s="7">
        <f>IFERROR(E2/D2, 0)</f>
        <v>0.29712367079934698</v>
      </c>
      <c r="G2" s="6">
        <f>SUM(G4:G88)</f>
        <v>0</v>
      </c>
      <c r="H2" s="8">
        <f>C2-G2</f>
        <v>346431.73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134189.65</v>
      </c>
      <c r="D4" s="14">
        <f>SUM(Apr!D4, May!D4, Jun!D4)</f>
        <v>138324.76</v>
      </c>
      <c r="E4" s="14">
        <f>IF(AND(ISNUMBER(C4),ISNUMBER(D4)), C4-D4, "")</f>
        <v>-4135.1100000000151</v>
      </c>
      <c r="F4" s="15">
        <f>IFERROR(E4/D4, 0)</f>
        <v>-2.9894214166719068E-2</v>
      </c>
      <c r="G4" s="16">
        <f>SUM(Apr!G4, May!G4, Jun!G4)</f>
        <v>0</v>
      </c>
      <c r="H4" s="16">
        <f>SUM(Apr!H4, May!H4, Jun!H4)</f>
        <v>134189.65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SUM(Apr!C5, May!C5, Jun!C5)</f>
        <v>87951.829999999987</v>
      </c>
      <c r="D5" s="20">
        <f>SUM(Apr!D5, May!D5, Jun!D5)</f>
        <v>128752.11000000002</v>
      </c>
      <c r="E5" s="20">
        <f t="shared" ref="E5:E6" si="0">IF(AND(ISNUMBER(C5),ISNUMBER(D5)), C5-D5, "")</f>
        <v>-40800.280000000028</v>
      </c>
      <c r="F5" s="15">
        <f t="shared" ref="F5:F6" si="1">IFERROR(E5/D5, 0)</f>
        <v>-0.31689018533366192</v>
      </c>
      <c r="G5" s="22">
        <f>SUM(Apr!G5, May!G5, Jun!G5)</f>
        <v>0</v>
      </c>
      <c r="H5" s="22">
        <f>SUM(Apr!H5, May!H5, Jun!H5)</f>
        <v>87951.829999999987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SUM(Apr!C6, May!C6, Jun!C6)</f>
        <v>124290.25</v>
      </c>
      <c r="D6" s="14">
        <f>SUM(Apr!D6, May!D6, Jun!D6)</f>
        <v>0</v>
      </c>
      <c r="E6" s="14">
        <f t="shared" si="0"/>
        <v>124290.25</v>
      </c>
      <c r="F6" s="15">
        <f t="shared" si="1"/>
        <v>0</v>
      </c>
      <c r="G6" s="16">
        <f>SUM(Apr!G6, May!G6, Jun!G6)</f>
        <v>0</v>
      </c>
      <c r="H6" s="16">
        <f>SUM(Apr!H6, May!H6, Jun!H6)</f>
        <v>124290.25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I4:I88">
    <cfRule type="cellIs" dxfId="38" priority="1" stopIfTrue="1" operator="lessThanOrEqual">
      <formula>-0.1</formula>
    </cfRule>
    <cfRule type="expression" dxfId="37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F22" sqref="F22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Cave Creek USD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6">
        <f>SUM(C4:C88)</f>
        <v>346401.27</v>
      </c>
      <c r="D2" s="6">
        <f>SUM(D4:D88)</f>
        <v>239478.93</v>
      </c>
      <c r="E2" s="6">
        <f>C2-D2</f>
        <v>106922.34000000003</v>
      </c>
      <c r="F2" s="7">
        <f>IFERROR(E2/D2, 0)</f>
        <v>0.44647911196195855</v>
      </c>
      <c r="G2" s="6">
        <f>SUM(G4:G88)</f>
        <v>0</v>
      </c>
      <c r="H2" s="8">
        <f>C2-G2</f>
        <v>346401.27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122685</v>
      </c>
      <c r="D4" s="14">
        <f>SUM(Jul!D4, Aug!D4, Sep!D4)</f>
        <v>125607.79000000001</v>
      </c>
      <c r="E4" s="14">
        <f>IF(AND(ISNUMBER(C4),ISNUMBER(D4)), C4-D4, "")</f>
        <v>-2922.7900000000081</v>
      </c>
      <c r="F4" s="15">
        <f>IFERROR(E4/D4, 0)</f>
        <v>-2.3269177811344407E-2</v>
      </c>
      <c r="G4" s="16">
        <f>SUM(Jul!G4,Aug!G4,Sep!G4)</f>
        <v>0</v>
      </c>
      <c r="H4" s="16">
        <f>SUM(Jul!H4, Aug!H4, Sep!H4)</f>
        <v>122685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SUM(Jul!C5, Aug!C5, Sep!C5)</f>
        <v>118028.27</v>
      </c>
      <c r="D5" s="20">
        <f>SUM(Jul!D5, Aug!D5, Sep!D5)</f>
        <v>113871.14</v>
      </c>
      <c r="E5" s="20">
        <f t="shared" ref="E5:E6" si="0">IF(AND(ISNUMBER(C5),ISNUMBER(D5)), C5-D5, "")</f>
        <v>4157.1300000000047</v>
      </c>
      <c r="F5" s="15">
        <f t="shared" ref="F5:F6" si="1">IFERROR(E5/D5, 0)</f>
        <v>3.650731871130828E-2</v>
      </c>
      <c r="G5" s="22">
        <f>SUM(Jul!G5,Aug!G5,Sep!G5)</f>
        <v>0</v>
      </c>
      <c r="H5" s="22">
        <f>SUM(Jul!H5, Aug!H5, Sep!H5)</f>
        <v>118028.27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SUM(Jul!C6, Aug!C6, Sep!C6)</f>
        <v>105688</v>
      </c>
      <c r="D6" s="14">
        <f>SUM(Jul!D6, Aug!D6, Sep!D6)</f>
        <v>0</v>
      </c>
      <c r="E6" s="14">
        <f t="shared" si="0"/>
        <v>105688</v>
      </c>
      <c r="F6" s="15">
        <f t="shared" si="1"/>
        <v>0</v>
      </c>
      <c r="G6" s="16">
        <f>SUM(Jul!G6,Aug!G6,Sep!G6)</f>
        <v>0</v>
      </c>
      <c r="H6" s="16">
        <f>SUM(Jul!H6, Aug!H6, Sep!H6)</f>
        <v>105688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I4:I88">
    <cfRule type="cellIs" dxfId="34" priority="1" stopIfTrue="1" operator="lessThanOrEqual">
      <formula>-0.1</formula>
    </cfRule>
    <cfRule type="expression" dxfId="33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G17" sqref="G17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Cave Creek USD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6">
        <f>SUM(C4:C88)</f>
        <v>182321.29</v>
      </c>
      <c r="D2" s="6">
        <f>SUM(D4:D88)</f>
        <v>114148.88999999998</v>
      </c>
      <c r="E2" s="6">
        <f>C2-D2</f>
        <v>68172.400000000023</v>
      </c>
      <c r="F2" s="7">
        <f>IFERROR(E2/D2, 0)</f>
        <v>0.59722350344361674</v>
      </c>
      <c r="G2" s="6">
        <f>SUM(G4:G88)</f>
        <v>0</v>
      </c>
      <c r="H2" s="8">
        <f>C2-G2</f>
        <v>182321.29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85539</v>
      </c>
      <c r="D4" s="14">
        <f>SUM(Oct!D4, Nov!D4, Dec!D4)</f>
        <v>86170.959999999992</v>
      </c>
      <c r="E4" s="14">
        <f>IF(AND(ISNUMBER(C4),ISNUMBER(D4)), C4-D4, "")</f>
        <v>-631.95999999999185</v>
      </c>
      <c r="F4" s="15">
        <f>IFERROR(E4/D4, "")</f>
        <v>-7.3337931943660822E-3</v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SUM(Oct!C5, Nov!C5, Dec!C5)</f>
        <v>23431.29</v>
      </c>
      <c r="D5" s="20">
        <f>SUM(Oct!D5, Nov!D5, Dec!D5)</f>
        <v>27977.93</v>
      </c>
      <c r="E5" s="20">
        <f t="shared" ref="E5:E6" si="0">IF(AND(ISNUMBER(C5),ISNUMBER(D5)), C5-D5, "")</f>
        <v>-4546.6399999999994</v>
      </c>
      <c r="F5" s="21">
        <f>IFERROR(E5/D5, "")</f>
        <v>-0.1625080911990272</v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SUM(Oct!C6, Nov!C6, Dec!C6)</f>
        <v>73351</v>
      </c>
      <c r="D6" s="14">
        <f>SUM(Oct!D6, Nov!D6, Dec!D6)</f>
        <v>0</v>
      </c>
      <c r="E6" s="14">
        <f t="shared" si="0"/>
        <v>73351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A4" activePane="bottomLeft" state="frozen"/>
      <selection pane="bottomLeft" activeCell="G10" sqref="G10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Cave Creek USD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SUM(C4:C86)</f>
        <v>87444</v>
      </c>
      <c r="D2" s="6">
        <f>SUM(D4:D86)</f>
        <v>58113</v>
      </c>
      <c r="E2" s="6">
        <f>C2-D2</f>
        <v>29331</v>
      </c>
      <c r="F2" s="7">
        <f>IFERROR(E2/D2, 0)</f>
        <v>0.50472355583088124</v>
      </c>
      <c r="G2" s="6">
        <f>SUM(G4:G86)</f>
        <v>0</v>
      </c>
      <c r="H2" s="8">
        <f>C2-G2</f>
        <v>87444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29.6">
      <c r="A4" s="49" t="str" cm="1">
        <f t="array" ref="A4:A6">Sites[Site]</f>
        <v>AZ: Cave Creek - DWES</v>
      </c>
      <c r="B4" s="31" t="str" cm="1">
        <f t="array" ref="B4:B6">Sites[State]</f>
        <v>AZ</v>
      </c>
      <c r="C4" s="26">
        <v>32931</v>
      </c>
      <c r="D4" s="14">
        <v>30249</v>
      </c>
      <c r="E4" s="14">
        <f>IF(AND(ISNUMBER(C4),ISNUMBER(D4)), C4-D4, 0)</f>
        <v>2682</v>
      </c>
      <c r="F4" s="15">
        <f>IFERROR(E4/D4, 0)</f>
        <v>8.8664088069027078E-2</v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18" t="s">
        <v>24</v>
      </c>
    </row>
    <row r="5" spans="1:11" ht="72">
      <c r="A5" s="32" t="str">
        <v>AZ: Cave Creek - HTES</v>
      </c>
      <c r="B5" s="33" t="str">
        <v>AZ</v>
      </c>
      <c r="C5" s="12">
        <v>26765</v>
      </c>
      <c r="D5" s="20">
        <v>27864</v>
      </c>
      <c r="E5" s="20">
        <f>IF(AND(ISNUMBER(C5),ISNUMBER(D5)), C5-D5, 0)</f>
        <v>-1099</v>
      </c>
      <c r="F5" s="21">
        <f t="shared" ref="F5:F6" si="0">IFERROR(E5/D5, 0)</f>
        <v>-3.9441573356302037E-2</v>
      </c>
      <c r="G5" s="51" t="s">
        <v>22</v>
      </c>
      <c r="H5" s="22" t="str">
        <f>IF(AND(ISNUMBER(C5),ISNUMBER(G5)), C5-G5, "")</f>
        <v/>
      </c>
      <c r="I5" s="21" t="str">
        <f>IFERROR(H5/G5, "")</f>
        <v/>
      </c>
      <c r="J5" s="45" t="s">
        <v>25</v>
      </c>
      <c r="K5" s="58" t="s">
        <v>26</v>
      </c>
    </row>
    <row r="6" spans="1:11" ht="15.6">
      <c r="A6" s="30" t="str">
        <v>AZ: Cave Creek - LMES</v>
      </c>
      <c r="B6" s="31" t="str">
        <v>AZ</v>
      </c>
      <c r="C6" s="26">
        <v>27748</v>
      </c>
      <c r="D6" s="14" t="s">
        <v>22</v>
      </c>
      <c r="E6" s="14" t="str">
        <f>IF(AND(ISNUMBER(C6),ISNUMBER(D6)), C6-D6, "")</f>
        <v/>
      </c>
      <c r="F6" s="15">
        <f t="shared" si="0"/>
        <v>0</v>
      </c>
      <c r="G6" s="50" t="s">
        <v>22</v>
      </c>
      <c r="H6" s="16" t="str">
        <f>IF(AND(ISNUMBER(C6),ISNUMBER(G6)), C6-G6, "")</f>
        <v/>
      </c>
      <c r="I6" s="17" t="str">
        <f>IFERROR(H6/G6, 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4:F86 I4:I86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Q330"/>
  <sheetViews>
    <sheetView topLeftCell="E1" workbookViewId="0">
      <pane ySplit="2" topLeftCell="A3" activePane="bottomLeft" state="frozen"/>
      <selection pane="bottomLeft" activeCell="G8" sqref="G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65" t="str" cm="1">
        <f t="array" ref="A1">portfolio</f>
        <v>Cave Creek USD</v>
      </c>
      <c r="B1" s="65"/>
      <c r="C1" s="65"/>
      <c r="D1" s="66" t="s">
        <v>27</v>
      </c>
      <c r="E1" s="66"/>
      <c r="F1" s="66"/>
      <c r="G1" s="64" t="s">
        <v>28</v>
      </c>
      <c r="H1" s="64"/>
      <c r="I1" s="64"/>
      <c r="J1" s="5"/>
      <c r="K1" s="5"/>
    </row>
    <row r="2" spans="1:17" ht="19.5" customHeight="1">
      <c r="A2" s="67" t="s">
        <v>2</v>
      </c>
      <c r="B2" s="67"/>
      <c r="C2" s="6">
        <f>SUM(C4:C88)</f>
        <v>115381</v>
      </c>
      <c r="D2" s="6">
        <f>SUM(D4:D88)</f>
        <v>59593</v>
      </c>
      <c r="E2" s="6">
        <f>C2-D2</f>
        <v>55788</v>
      </c>
      <c r="F2" s="7">
        <f>IFERROR(E2/D2, 0)</f>
        <v>0.93615021898545137</v>
      </c>
      <c r="G2" s="6">
        <f>SUM(G4:G88)</f>
        <v>0</v>
      </c>
      <c r="H2" s="8">
        <f>C2-G2</f>
        <v>115381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7" ht="115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41596</v>
      </c>
      <c r="D4" s="14">
        <v>30973</v>
      </c>
      <c r="E4" s="14">
        <f>IF(AND(ISNUMBER(C4),ISNUMBER(D4)), C4-D4, 0)</f>
        <v>10623</v>
      </c>
      <c r="F4" s="15">
        <f>IFERROR(E4/D4, "")</f>
        <v>0.342976140509476</v>
      </c>
      <c r="G4" s="50">
        <v>0</v>
      </c>
      <c r="H4" s="16">
        <f>IF(AND(ISNUMBER(C4),ISNUMBER(G4)), C4-G4, "")</f>
        <v>41596</v>
      </c>
      <c r="I4" s="17" t="str">
        <f>IFERROR(H4/G4, "")</f>
        <v/>
      </c>
      <c r="J4" s="18" t="s">
        <v>29</v>
      </c>
      <c r="K4" s="52" t="s">
        <v>30</v>
      </c>
      <c r="L4" s="54" t="s">
        <v>31</v>
      </c>
      <c r="M4" s="54" t="s">
        <v>32</v>
      </c>
      <c r="N4" s="54" t="s">
        <v>33</v>
      </c>
      <c r="O4" s="54" t="s">
        <v>34</v>
      </c>
      <c r="P4" s="54" t="s">
        <v>35</v>
      </c>
      <c r="Q4" s="54" t="s">
        <v>36</v>
      </c>
    </row>
    <row r="5" spans="1:17" ht="72">
      <c r="A5" s="32" t="str">
        <v>AZ: Cave Creek - HTES</v>
      </c>
      <c r="B5" s="33" t="str">
        <v>AZ</v>
      </c>
      <c r="C5" s="12">
        <v>45127</v>
      </c>
      <c r="D5" s="20">
        <v>28620</v>
      </c>
      <c r="E5" s="20">
        <f t="shared" ref="E5:E6" si="0">IF(AND(ISNUMBER(C5),ISNUMBER(D5)), C5-D5, "")</f>
        <v>16507</v>
      </c>
      <c r="F5" s="21">
        <f>IFERROR(E5/D5, "")</f>
        <v>0.57676450034940596</v>
      </c>
      <c r="G5" s="51">
        <v>0</v>
      </c>
      <c r="H5" s="22">
        <f t="shared" ref="H5:H6" si="1">IF(AND(ISNUMBER(C5),ISNUMBER(G5)), C5-G5, "")</f>
        <v>45127</v>
      </c>
      <c r="I5" s="21" t="str">
        <f t="shared" ref="I5:I6" si="2">IFERROR(H5/G5, "")</f>
        <v/>
      </c>
      <c r="J5" s="45" t="s">
        <v>37</v>
      </c>
      <c r="K5" s="53" t="s">
        <v>38</v>
      </c>
      <c r="L5" s="54" t="s">
        <v>39</v>
      </c>
      <c r="M5" s="54" t="s">
        <v>40</v>
      </c>
      <c r="N5" s="54" t="s">
        <v>41</v>
      </c>
      <c r="O5" s="55"/>
      <c r="P5" s="55"/>
      <c r="Q5" s="55"/>
    </row>
    <row r="6" spans="1:17" ht="15.6">
      <c r="A6" s="30" t="str">
        <v>AZ: Cave Creek - LMES</v>
      </c>
      <c r="B6" s="31" t="str">
        <v>AZ</v>
      </c>
      <c r="C6" s="26">
        <v>28658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>
        <v>0</v>
      </c>
      <c r="H6" s="16">
        <f t="shared" si="1"/>
        <v>28658</v>
      </c>
      <c r="I6" s="17" t="str">
        <f t="shared" si="2"/>
        <v/>
      </c>
      <c r="J6" s="18"/>
      <c r="K6" s="18"/>
      <c r="L6" s="55"/>
      <c r="M6" s="55"/>
      <c r="N6" s="55"/>
      <c r="O6" s="55"/>
      <c r="P6" s="55"/>
      <c r="Q6" s="55"/>
    </row>
    <row r="7" spans="1:17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7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7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4314" xr:uid="{A9913F8A-C5CD-4B24-BECC-C8345385C9A1}"/>
    <hyperlink ref="L4" r:id="rId2" display="https://us3.assetplanner.com/service_request?ID=094074" xr:uid="{44C87AC2-D1C2-40E3-94A9-54699EC2D1C3}"/>
    <hyperlink ref="M4" r:id="rId3" display="https://us3.assetplanner.com/service_request?ID=092118" xr:uid="{AD255B55-2EC2-4957-BF45-780B71EE842A}"/>
    <hyperlink ref="N4" r:id="rId4" display="https://us3.assetplanner.com/service_request?ID=096716" xr:uid="{B8A58721-ACF9-4F51-A0EB-FF7EC4B989B0}"/>
    <hyperlink ref="O4" r:id="rId5" display="https://us3.assetplanner.com/service_request?ID=095603" xr:uid="{81569298-8DAC-4A8A-82A9-06EC49F7367E}"/>
    <hyperlink ref="P4" r:id="rId6" display="https://us3.assetplanner.com/service_request?ID=097617" xr:uid="{556421E0-1BEE-4D3F-9BE0-9E5780D53622}"/>
    <hyperlink ref="Q4" r:id="rId7" display="https://us3.assetplanner.com/service_request?ID=095749" xr:uid="{4CC47E6C-7136-465E-889C-D311BB9BC38C}"/>
    <hyperlink ref="K5" r:id="rId8" display="https://us3.assetplanner.com/service_request?ID=097459" xr:uid="{74AED1B6-1445-43AA-9F99-F31ECC1E1D65}"/>
    <hyperlink ref="L5" r:id="rId9" display="https://us3.assetplanner.com/service_request?ID=075156" xr:uid="{6A0A18E1-0DD7-4176-8C0E-D582538D5965}"/>
    <hyperlink ref="M5" r:id="rId10" display="https://us3.assetplanner.com/service_request?ID=094079" xr:uid="{06C45DBA-7015-49EB-9D8A-7C3E47748BA7}"/>
    <hyperlink ref="N5" r:id="rId11" display="https://us3.assetplanner.com/service_request?ID=091482" xr:uid="{7E4E339C-C5A5-473A-BABA-8141212A6E7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G18" sqref="G1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5" t="str" cm="1">
        <f t="array" ref="A1">portfolio</f>
        <v>Cave Creek USD</v>
      </c>
      <c r="B1" s="65"/>
      <c r="C1" s="65"/>
      <c r="D1" s="66" t="s">
        <v>42</v>
      </c>
      <c r="E1" s="66"/>
      <c r="F1" s="66"/>
      <c r="G1" s="64" t="s">
        <v>43</v>
      </c>
      <c r="H1" s="64"/>
      <c r="I1" s="64"/>
      <c r="J1" s="5"/>
      <c r="K1" s="5"/>
    </row>
    <row r="2" spans="1:14" ht="19.5" customHeight="1">
      <c r="A2" s="67" t="s">
        <v>2</v>
      </c>
      <c r="B2" s="67"/>
      <c r="C2" s="6">
        <f>SUM(C4:C88)</f>
        <v>140990</v>
      </c>
      <c r="D2" s="6">
        <f>SUM(D4:D88)</f>
        <v>74940</v>
      </c>
      <c r="E2" s="6">
        <f>C2-D2</f>
        <v>66050</v>
      </c>
      <c r="F2" s="7">
        <f>IFERROR(E2/D2, 0)</f>
        <v>0.88137176407792905</v>
      </c>
      <c r="G2" s="6">
        <f>SUM(G4:G88)</f>
        <v>0</v>
      </c>
      <c r="H2" s="8">
        <f>C2-G2</f>
        <v>140990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49" t="str" cm="1">
        <f t="array" ref="A4:A6">Sites[Site]</f>
        <v>AZ: Cave Creek - DWES</v>
      </c>
      <c r="B4" s="31" t="str" cm="1">
        <f t="array" ref="B4:B6">Sites[State]</f>
        <v>AZ</v>
      </c>
      <c r="C4" s="26">
        <v>51135</v>
      </c>
      <c r="D4" s="14">
        <v>36154</v>
      </c>
      <c r="E4" s="14">
        <f>IF(AND(ISNUMBER(C4),ISNUMBER(D4)), C4-D4, "")</f>
        <v>14981</v>
      </c>
      <c r="F4" s="15">
        <f>IFERROR(E4/D4, "")</f>
        <v>0.41436632184543898</v>
      </c>
      <c r="G4" s="50">
        <v>0</v>
      </c>
      <c r="H4" s="16">
        <f>IF(AND(ISNUMBER(C4),ISNUMBER(G4)), C4-G4, "")</f>
        <v>51135</v>
      </c>
      <c r="I4" s="17" t="str">
        <f>IFERROR(H4/G4, "")</f>
        <v/>
      </c>
      <c r="J4" s="18" t="s">
        <v>44</v>
      </c>
      <c r="K4" s="52" t="s">
        <v>45</v>
      </c>
      <c r="L4" s="54" t="s">
        <v>46</v>
      </c>
      <c r="M4" s="55"/>
      <c r="N4" s="55"/>
    </row>
    <row r="5" spans="1:14" ht="57.6">
      <c r="A5" s="32" t="str">
        <v>AZ: Cave Creek - HTES</v>
      </c>
      <c r="B5" s="33" t="str">
        <v>AZ</v>
      </c>
      <c r="C5" s="12">
        <v>54475</v>
      </c>
      <c r="D5" s="20">
        <v>38786</v>
      </c>
      <c r="E5" s="20">
        <f t="shared" ref="E5:E6" si="0">IF(AND(ISNUMBER(C5),ISNUMBER(D5)), C5-D5, "")</f>
        <v>15689</v>
      </c>
      <c r="F5" s="21">
        <f>IFERROR(E5/D5, "")</f>
        <v>0.40450162429742692</v>
      </c>
      <c r="G5" s="51">
        <v>0</v>
      </c>
      <c r="H5" s="22">
        <f t="shared" ref="H5:H6" si="1">IF(AND(ISNUMBER(C5),ISNUMBER(G5)), C5-G5, "")</f>
        <v>54475</v>
      </c>
      <c r="I5" s="21" t="str">
        <f t="shared" ref="I5:I6" si="2">IFERROR(H5/G5, "")</f>
        <v/>
      </c>
      <c r="J5" s="45" t="s">
        <v>47</v>
      </c>
      <c r="K5" s="53" t="s">
        <v>48</v>
      </c>
      <c r="L5" s="54" t="s">
        <v>41</v>
      </c>
      <c r="M5" s="54" t="s">
        <v>49</v>
      </c>
      <c r="N5" s="55"/>
    </row>
    <row r="6" spans="1:14" ht="15.6">
      <c r="A6" s="30" t="str">
        <v>AZ: Cave Creek - LMES</v>
      </c>
      <c r="B6" s="31" t="str">
        <v>AZ</v>
      </c>
      <c r="C6" s="26">
        <v>35380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>
        <v>0</v>
      </c>
      <c r="H6" s="16">
        <f t="shared" si="1"/>
        <v>35380</v>
      </c>
      <c r="I6" s="17" t="str">
        <f t="shared" si="2"/>
        <v/>
      </c>
      <c r="J6" s="18"/>
      <c r="K6" s="18"/>
      <c r="L6" s="55"/>
      <c r="M6" s="55"/>
      <c r="N6" s="55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617" xr:uid="{9F76F105-2C98-441A-808D-67C517B9BEAC}"/>
    <hyperlink ref="L4" r:id="rId2" display="https://us3.assetplanner.com/service_request?ID=094314" xr:uid="{4794F2F9-DEF6-4688-A0A8-FB8AE7AA72DB}"/>
    <hyperlink ref="K5" r:id="rId3" display="https://us3.assetplanner.com/service_request?ID=099023" xr:uid="{7352B864-2CBD-4F97-A97A-9FCC902E2CB6}"/>
    <hyperlink ref="L5" r:id="rId4" display="https://us3.assetplanner.com/service_request?ID=091482" xr:uid="{0B7BE242-B690-4C0D-8185-BABEC90C34E9}"/>
    <hyperlink ref="M5" r:id="rId5" display="https://us3.assetplanner.com/service_request?ID=097459" xr:uid="{5B4AA2BC-0D13-4758-ACB3-733209104E9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L4" sqref="L4:N6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5" t="str" cm="1">
        <f t="array" ref="A1">portfolio</f>
        <v>Cave Creek USD</v>
      </c>
      <c r="B1" s="65"/>
      <c r="C1" s="65"/>
      <c r="D1" s="66" t="s">
        <v>50</v>
      </c>
      <c r="E1" s="66"/>
      <c r="F1" s="66"/>
      <c r="G1" s="64" t="s">
        <v>51</v>
      </c>
      <c r="H1" s="64"/>
      <c r="I1" s="64"/>
      <c r="J1" s="5"/>
      <c r="K1" s="5"/>
    </row>
    <row r="2" spans="1:14" ht="19.5" customHeight="1">
      <c r="A2" s="67" t="s">
        <v>2</v>
      </c>
      <c r="B2" s="67"/>
      <c r="C2" s="6">
        <f>SUM(C4:C88)</f>
        <v>135395.82</v>
      </c>
      <c r="D2" s="6">
        <f>SUM(D4:D88)</f>
        <v>85644.97</v>
      </c>
      <c r="E2" s="6">
        <f>C2-D2</f>
        <v>49750.850000000006</v>
      </c>
      <c r="F2" s="7">
        <f>IFERROR(E2/D2, 0)</f>
        <v>0.5808963445255455</v>
      </c>
      <c r="G2" s="6">
        <f>SUM(G4:G88)</f>
        <v>0</v>
      </c>
      <c r="H2" s="8">
        <f>C2-G2</f>
        <v>135395.82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40824.36</v>
      </c>
      <c r="D4" s="14">
        <v>44419.86</v>
      </c>
      <c r="E4" s="14">
        <f>IF(AND(ISNUMBER(C4),ISNUMBER(D4)), C4-D4, "")</f>
        <v>-3595.5</v>
      </c>
      <c r="F4" s="15">
        <f>IFERROR(E4/D4, "")</f>
        <v>-8.0943523910250947E-2</v>
      </c>
      <c r="G4" s="56">
        <v>0</v>
      </c>
      <c r="H4" s="16">
        <f>IF(AND(ISNUMBER(C4),ISNUMBER(G4)), C4-G4, "")</f>
        <v>40824.36</v>
      </c>
      <c r="I4" s="17" t="str">
        <f>IFERROR(H4/G4, "")</f>
        <v/>
      </c>
      <c r="J4" s="18" t="s">
        <v>52</v>
      </c>
      <c r="K4" s="52" t="s">
        <v>53</v>
      </c>
      <c r="L4" s="54" t="s">
        <v>54</v>
      </c>
      <c r="M4" s="54" t="s">
        <v>35</v>
      </c>
      <c r="N4" s="55"/>
    </row>
    <row r="5" spans="1:14" ht="68.25" customHeight="1">
      <c r="A5" s="32" t="str">
        <v>AZ: Cave Creek - HTES</v>
      </c>
      <c r="B5" s="33" t="str">
        <v>AZ</v>
      </c>
      <c r="C5" s="12">
        <v>54418.46</v>
      </c>
      <c r="D5" s="20">
        <v>41225.11</v>
      </c>
      <c r="E5" s="20">
        <f t="shared" ref="E5:E6" si="0">IF(AND(ISNUMBER(C5),ISNUMBER(D5)), C5-D5, "")</f>
        <v>13193.349999999999</v>
      </c>
      <c r="F5" s="21">
        <f>IFERROR(E5/D5, "")</f>
        <v>0.32003189318354758</v>
      </c>
      <c r="G5" s="57">
        <v>0</v>
      </c>
      <c r="H5" s="22">
        <f t="shared" ref="H5:H6" si="1">IF(AND(ISNUMBER(C5),ISNUMBER(G5)), C5-G5, "")</f>
        <v>54418.46</v>
      </c>
      <c r="I5" s="21" t="str">
        <f t="shared" ref="I5:I6" si="2">IFERROR(H5/G5, "")</f>
        <v/>
      </c>
      <c r="J5" s="45" t="s">
        <v>55</v>
      </c>
      <c r="K5" s="53" t="s">
        <v>56</v>
      </c>
      <c r="L5" s="54" t="s">
        <v>57</v>
      </c>
      <c r="M5" s="54" t="s">
        <v>58</v>
      </c>
      <c r="N5" s="54" t="s">
        <v>41</v>
      </c>
    </row>
    <row r="6" spans="1:14" ht="29.25" customHeight="1">
      <c r="A6" s="30" t="str">
        <v>AZ: Cave Creek - LMES</v>
      </c>
      <c r="B6" s="31" t="str">
        <v>AZ</v>
      </c>
      <c r="C6" s="26">
        <v>40153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6">
        <v>0</v>
      </c>
      <c r="H6" s="16">
        <f t="shared" si="1"/>
        <v>40153</v>
      </c>
      <c r="I6" s="17" t="str">
        <f t="shared" si="2"/>
        <v/>
      </c>
      <c r="J6" s="18"/>
      <c r="K6" s="18"/>
      <c r="L6" s="55"/>
      <c r="M6" s="55"/>
      <c r="N6" s="55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4314" xr:uid="{B3C195D7-E764-48AF-9ADC-6042D2CDCB85}"/>
    <hyperlink ref="L4" r:id="rId2" display="https://us3.assetplanner.com/service_request?ID=095857" xr:uid="{67F52AEC-03BE-418F-9936-7B228EFAF727}"/>
    <hyperlink ref="M4" r:id="rId3" display="https://us3.assetplanner.com/service_request?ID=097617" xr:uid="{F6DB39B5-8EA1-40CB-8F5C-91C0A6962692}"/>
    <hyperlink ref="K5" r:id="rId4" display="https://us3.assetplanner.com/service_request?ID=095887" xr:uid="{6D61E5F7-2B9A-4064-B960-351E405E9908}"/>
    <hyperlink ref="L5" r:id="rId5" display="https://us3.assetplanner.com/service_request?ID=100961" xr:uid="{B3A36EE5-10BF-4B14-A8B6-E418EE11385E}"/>
    <hyperlink ref="M5" r:id="rId6" display="https://us3.assetplanner.com/service_request?ID=099023" xr:uid="{A79137F4-C611-4336-BA43-6425C920FD23}"/>
    <hyperlink ref="N5" r:id="rId7" display="https://us3.assetplanner.com/service_request?ID=091482" xr:uid="{B3595D58-3940-48E5-839F-C09AAF7CB146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C4" sqref="C4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5" t="str" cm="1">
        <f t="array" ref="A1">portfolio</f>
        <v>Cave Creek USD</v>
      </c>
      <c r="B1" s="65"/>
      <c r="C1" s="65"/>
      <c r="D1" s="66" t="s">
        <v>59</v>
      </c>
      <c r="E1" s="66"/>
      <c r="F1" s="66"/>
      <c r="G1" s="64" t="s">
        <v>60</v>
      </c>
      <c r="H1" s="64"/>
      <c r="I1" s="64"/>
      <c r="J1" s="5"/>
      <c r="K1" s="5"/>
    </row>
    <row r="2" spans="1:14" ht="19.5" customHeight="1">
      <c r="A2" s="67" t="s">
        <v>2</v>
      </c>
      <c r="B2" s="67"/>
      <c r="C2" s="6">
        <f>SUM(C4:C88)</f>
        <v>117359.53</v>
      </c>
      <c r="D2" s="6">
        <f>SUM(D4:D88)</f>
        <v>91017.06</v>
      </c>
      <c r="E2" s="6">
        <f>C2-D2</f>
        <v>26342.47</v>
      </c>
      <c r="F2" s="7">
        <f>IFERROR(E2/D2, 0)</f>
        <v>0.2894234333651296</v>
      </c>
      <c r="G2" s="6">
        <f>SUM(G4:G88)</f>
        <v>0</v>
      </c>
      <c r="H2" s="8">
        <f>C2-G2</f>
        <v>117359.53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46757</v>
      </c>
      <c r="D4" s="14">
        <v>46929.54</v>
      </c>
      <c r="E4" s="14">
        <f>IF(AND(ISNUMBER(C4),ISNUMBER(D4)), C4-D4, "")</f>
        <v>-172.54000000000087</v>
      </c>
      <c r="F4" s="15">
        <f>IFERROR(E4/D4, "")</f>
        <v>-3.6765755641329717E-3</v>
      </c>
      <c r="G4" s="50">
        <v>0</v>
      </c>
      <c r="H4" s="16">
        <f>IF(AND(ISNUMBER(C4),ISNUMBER(G4)), C4-G4, "")</f>
        <v>46757</v>
      </c>
      <c r="I4" s="17" t="str">
        <f>IFERROR(H4/G4, "")</f>
        <v/>
      </c>
      <c r="J4" s="18" t="s">
        <v>61</v>
      </c>
      <c r="K4" s="52" t="s">
        <v>62</v>
      </c>
      <c r="L4" s="54" t="s">
        <v>46</v>
      </c>
      <c r="M4" s="54" t="s">
        <v>35</v>
      </c>
      <c r="N4" s="55"/>
    </row>
    <row r="5" spans="1:14" ht="72">
      <c r="A5" s="32" t="str">
        <v>AZ: Cave Creek - HTES</v>
      </c>
      <c r="B5" s="33" t="str">
        <v>AZ</v>
      </c>
      <c r="C5" s="12">
        <v>27588.78</v>
      </c>
      <c r="D5" s="20">
        <v>44087.519999999997</v>
      </c>
      <c r="E5" s="20">
        <f t="shared" ref="E5:E6" si="0">IF(AND(ISNUMBER(C5),ISNUMBER(D5)), C5-D5, "")</f>
        <v>-16498.739999999998</v>
      </c>
      <c r="F5" s="21">
        <f>IFERROR(E5/D5, "")</f>
        <v>-0.37422699212838462</v>
      </c>
      <c r="G5" s="51">
        <v>0</v>
      </c>
      <c r="H5" s="22">
        <f t="shared" ref="H5:H6" si="1">IF(AND(ISNUMBER(C5),ISNUMBER(G5)), C5-G5, "")</f>
        <v>27588.78</v>
      </c>
      <c r="I5" s="21" t="str">
        <f t="shared" ref="I5:I6" si="2">IFERROR(H5/G5, "")</f>
        <v/>
      </c>
      <c r="J5" s="45" t="s">
        <v>63</v>
      </c>
      <c r="K5" s="53" t="s">
        <v>64</v>
      </c>
      <c r="L5" s="54" t="s">
        <v>57</v>
      </c>
      <c r="M5" s="54" t="s">
        <v>65</v>
      </c>
      <c r="N5" s="54" t="s">
        <v>66</v>
      </c>
    </row>
    <row r="6" spans="1:14" ht="15.6">
      <c r="A6" s="30" t="str">
        <v>AZ: Cave Creek - LMES</v>
      </c>
      <c r="B6" s="31" t="str">
        <v>AZ</v>
      </c>
      <c r="C6" s="26">
        <v>43013.75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>
        <v>0</v>
      </c>
      <c r="H6" s="16">
        <f t="shared" si="1"/>
        <v>43013.75</v>
      </c>
      <c r="I6" s="17" t="str">
        <f t="shared" si="2"/>
        <v/>
      </c>
      <c r="J6" s="18"/>
      <c r="K6" s="18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5857" xr:uid="{5351A540-8692-434F-8258-E2C9A2338F2F}"/>
    <hyperlink ref="L4" r:id="rId2" display="https://us3.assetplanner.com/service_request?ID=094314" xr:uid="{7C0EAD96-3C30-4008-9F75-EE733D129E30}"/>
    <hyperlink ref="M4" r:id="rId3" display="https://us3.assetplanner.com/service_request?ID=097617" xr:uid="{3DABE58A-7C6E-4CB6-A07B-6EE1940D995B}"/>
    <hyperlink ref="K5" r:id="rId4" display="https://us3.assetplanner.com/service_request?ID=091482" xr:uid="{44D51564-B04C-4DDD-8649-C1A9429E7614}"/>
    <hyperlink ref="L5" r:id="rId5" display="https://us3.assetplanner.com/service_request?ID=100961" xr:uid="{7A1E8519-03F5-4414-A4BC-E8113C80EB14}"/>
    <hyperlink ref="M5" r:id="rId6" display="https://us3.assetplanner.com/service_request?ID=101622" xr:uid="{D295BB57-B976-4350-BD00-38A568AB19CF}"/>
    <hyperlink ref="N5" r:id="rId7" display="https://us3.assetplanner.com/service_request?ID=095887" xr:uid="{40A7E485-83D1-4976-8A16-023E7DDA5ACF}"/>
  </hyperlinks>
  <pageMargins left="0.4" right="0.7" top="0.25" bottom="0.25" header="0.3" footer="0.3"/>
  <pageSetup fitToHeight="99" orientation="landscape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30"/>
  <sheetViews>
    <sheetView topLeftCell="D1" zoomScale="99" zoomScaleNormal="99" workbookViewId="0">
      <pane ySplit="2" topLeftCell="A3" activePane="bottomLeft" state="frozen"/>
      <selection pane="bottomLeft" activeCell="C4" sqref="C4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5" t="str" cm="1">
        <f t="array" ref="A1">portfolio</f>
        <v>Cave Creek USD</v>
      </c>
      <c r="B1" s="65"/>
      <c r="C1" s="65"/>
      <c r="D1" s="66" t="s">
        <v>67</v>
      </c>
      <c r="E1" s="66"/>
      <c r="F1" s="66"/>
      <c r="G1" s="64" t="s">
        <v>68</v>
      </c>
      <c r="H1" s="64"/>
      <c r="I1" s="64"/>
      <c r="J1" s="5"/>
      <c r="K1" s="5"/>
    </row>
    <row r="2" spans="1:13" ht="19.5" customHeight="1">
      <c r="A2" s="67" t="s">
        <v>2</v>
      </c>
      <c r="B2" s="67"/>
      <c r="C2" s="6">
        <f>SUM(C4:C88)</f>
        <v>93676.38</v>
      </c>
      <c r="D2" s="6">
        <f>SUM(D4:D88)</f>
        <v>90414.84</v>
      </c>
      <c r="E2" s="6">
        <f>C2-D2</f>
        <v>3261.5400000000081</v>
      </c>
      <c r="F2" s="7">
        <f>IFERROR(E2/D2, 0)</f>
        <v>3.6073060572799867E-2</v>
      </c>
      <c r="G2" s="6">
        <f>SUM(G4:G88)</f>
        <v>0</v>
      </c>
      <c r="H2" s="8">
        <f>C2-G2</f>
        <v>93676.38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3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46608.29</v>
      </c>
      <c r="D4" s="14">
        <v>46975.360000000001</v>
      </c>
      <c r="E4" s="14">
        <f>IF(AND(ISNUMBER(C4),ISNUMBER(D4)), C4-D4, "")</f>
        <v>-367.06999999999971</v>
      </c>
      <c r="F4" s="15">
        <f>IFERROR(E4/D4, "")</f>
        <v>-7.8140965816972923E-3</v>
      </c>
      <c r="G4" s="16">
        <v>0</v>
      </c>
      <c r="H4" s="16">
        <f>IF(AND(ISNUMBER(C4),ISNUMBER(G4)), C4-G4, "")</f>
        <v>46608.29</v>
      </c>
      <c r="I4" s="17" t="str">
        <f>IFERROR(H4/G4, "")</f>
        <v/>
      </c>
      <c r="J4" s="18" t="s">
        <v>69</v>
      </c>
      <c r="K4" s="52" t="s">
        <v>62</v>
      </c>
      <c r="L4" s="54" t="s">
        <v>46</v>
      </c>
      <c r="M4" s="54" t="s">
        <v>35</v>
      </c>
    </row>
    <row r="5" spans="1:13" ht="52.5" customHeight="1">
      <c r="A5" s="32" t="str">
        <v>AZ: Cave Creek - HTES</v>
      </c>
      <c r="B5" s="33" t="str">
        <v>AZ</v>
      </c>
      <c r="C5" s="12">
        <v>5944.59</v>
      </c>
      <c r="D5" s="20">
        <v>43439.48</v>
      </c>
      <c r="E5" s="20">
        <f t="shared" ref="E5:E6" si="0">IF(AND(ISNUMBER(C5),ISNUMBER(D5)), C5-D5, "")</f>
        <v>-37494.89</v>
      </c>
      <c r="F5" s="21">
        <f>IFERROR(E5/D5, "")</f>
        <v>-0.86315236738561318</v>
      </c>
      <c r="G5" s="22">
        <v>0</v>
      </c>
      <c r="H5" s="22">
        <f t="shared" ref="H5:H6" si="1">IF(AND(ISNUMBER(C5),ISNUMBER(G5)), C5-G5, "")</f>
        <v>5944.59</v>
      </c>
      <c r="I5" s="21" t="str">
        <f t="shared" ref="I5:I6" si="2">IFERROR(H5/G5, "")</f>
        <v/>
      </c>
      <c r="J5" s="45" t="s">
        <v>70</v>
      </c>
      <c r="K5" s="53" t="s">
        <v>71</v>
      </c>
      <c r="L5" s="54" t="s">
        <v>66</v>
      </c>
      <c r="M5" s="55"/>
    </row>
    <row r="6" spans="1:13" ht="15.6">
      <c r="A6" s="30" t="str">
        <v>AZ: Cave Creek - LMES</v>
      </c>
      <c r="B6" s="31" t="str">
        <v>AZ</v>
      </c>
      <c r="C6" s="26">
        <v>41123.5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41123.5</v>
      </c>
      <c r="I6" s="17" t="str">
        <f t="shared" si="2"/>
        <v/>
      </c>
      <c r="J6" s="18"/>
      <c r="K6" s="18"/>
    </row>
    <row r="7" spans="1:13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5857" xr:uid="{4B484BF5-B90D-4EFF-8BAD-55ABD54B4F61}"/>
    <hyperlink ref="L4" r:id="rId2" display="https://us3.assetplanner.com/service_request?ID=094314" xr:uid="{9E37A4FF-7817-4712-9AD3-F3E54ECF0996}"/>
    <hyperlink ref="M4" r:id="rId3" display="https://us3.assetplanner.com/service_request?ID=097617" xr:uid="{31E41318-6641-415C-B002-5FB74C5C855F}"/>
    <hyperlink ref="K5" r:id="rId4" display="https://us3.assetplanner.com/service_request?ID=101622" xr:uid="{E957E173-9BCC-4D82-9948-19E8A2A3A856}"/>
    <hyperlink ref="L5" r:id="rId5" display="https://us3.assetplanner.com/service_request?ID=095887" xr:uid="{4F9BEA52-6267-4FD6-B0A4-08D1DF1F30DB}"/>
  </hyperlinks>
  <pageMargins left="0.4" right="0.7" top="0.25" bottom="0.25" header="0.3" footer="0.3"/>
  <pageSetup fitToHeight="99" orientation="landscape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AF330"/>
  <sheetViews>
    <sheetView workbookViewId="0">
      <pane ySplit="2" topLeftCell="A3" activePane="bottomLeft" state="frozen"/>
      <selection pane="bottomLeft" activeCell="U5" sqref="U5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32" width="8.85546875" style="55"/>
  </cols>
  <sheetData>
    <row r="1" spans="1:15" ht="19.5" customHeight="1">
      <c r="A1" s="65" t="str" cm="1">
        <f t="array" ref="A1">portfolio</f>
        <v>Cave Creek USD</v>
      </c>
      <c r="B1" s="65"/>
      <c r="C1" s="65"/>
      <c r="D1" s="66" t="s">
        <v>72</v>
      </c>
      <c r="E1" s="66"/>
      <c r="F1" s="66"/>
      <c r="G1" s="64" t="s">
        <v>73</v>
      </c>
      <c r="H1" s="64"/>
      <c r="I1" s="64"/>
      <c r="J1" s="5"/>
      <c r="K1" s="5"/>
    </row>
    <row r="2" spans="1:15" ht="19.5" customHeight="1">
      <c r="A2" s="67" t="s">
        <v>2</v>
      </c>
      <c r="B2" s="67"/>
      <c r="C2" s="6">
        <f>SUM(C4:C88)</f>
        <v>130770.19</v>
      </c>
      <c r="D2" s="6">
        <f>SUM(D4:D88)</f>
        <v>87480.53</v>
      </c>
      <c r="E2" s="6">
        <f>C2-D2</f>
        <v>43289.66</v>
      </c>
      <c r="F2" s="7">
        <f>IFERROR(E2/D2, 0)</f>
        <v>0.49484908241868225</v>
      </c>
      <c r="G2" s="6">
        <f>SUM(G4:G88)</f>
        <v>0</v>
      </c>
      <c r="H2" s="8">
        <f>C2-G2</f>
        <v>130770.19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5" ht="63.75" customHeight="1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45559</v>
      </c>
      <c r="D4" s="14">
        <v>45632.54</v>
      </c>
      <c r="E4" s="14">
        <f>IF(AND(ISNUMBER(C4),ISNUMBER(D4)), C4-D4, "")</f>
        <v>-73.540000000000873</v>
      </c>
      <c r="F4" s="15">
        <f>IFERROR(E4/D4, "")</f>
        <v>-1.6115692880563054E-3</v>
      </c>
      <c r="G4" s="16">
        <v>0</v>
      </c>
      <c r="H4" s="16">
        <f>IF(AND(ISNUMBER(C4),ISNUMBER(G4)), C4-G4, "")</f>
        <v>45559</v>
      </c>
      <c r="I4" s="17" t="str">
        <f>IFERROR(H4/G4, "")</f>
        <v/>
      </c>
      <c r="J4" s="18" t="s">
        <v>74</v>
      </c>
      <c r="K4" s="52" t="s">
        <v>75</v>
      </c>
      <c r="L4" s="54" t="s">
        <v>46</v>
      </c>
      <c r="M4" s="54" t="s">
        <v>76</v>
      </c>
    </row>
    <row r="5" spans="1:15" ht="72">
      <c r="A5" s="32" t="str">
        <v>AZ: Cave Creek - HTES</v>
      </c>
      <c r="B5" s="33" t="str">
        <v>AZ</v>
      </c>
      <c r="C5" s="59">
        <v>46688.19</v>
      </c>
      <c r="D5" s="59">
        <v>41847.99</v>
      </c>
      <c r="E5" s="20">
        <f t="shared" ref="E5:E6" si="0">IF(AND(ISNUMBER(C5),ISNUMBER(D5)), C5-D5, "")</f>
        <v>4840.2000000000044</v>
      </c>
      <c r="F5" s="21">
        <f>IFERROR(E5/D5, "")</f>
        <v>0.11566146904546681</v>
      </c>
      <c r="G5" s="22">
        <v>0</v>
      </c>
      <c r="H5" s="22">
        <f t="shared" ref="H5:H6" si="1">IF(AND(ISNUMBER(C5),ISNUMBER(G5)), C5-G5, "")</f>
        <v>46688.19</v>
      </c>
      <c r="I5" s="21" t="str">
        <f t="shared" ref="I5:I6" si="2">IFERROR(H5/G5, "")</f>
        <v/>
      </c>
      <c r="J5" s="45" t="s">
        <v>77</v>
      </c>
      <c r="K5" s="53" t="s">
        <v>78</v>
      </c>
      <c r="L5" s="54" t="s">
        <v>65</v>
      </c>
      <c r="M5" s="54" t="s">
        <v>79</v>
      </c>
      <c r="N5" s="54" t="s">
        <v>80</v>
      </c>
      <c r="O5" s="54" t="s">
        <v>66</v>
      </c>
    </row>
    <row r="6" spans="1:15" ht="15.6">
      <c r="A6" s="30" t="str">
        <v>AZ: Cave Creek - LMES</v>
      </c>
      <c r="B6" s="31" t="str">
        <v>AZ</v>
      </c>
      <c r="C6" s="26">
        <v>38523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38523</v>
      </c>
      <c r="I6" s="17" t="str">
        <f t="shared" si="2"/>
        <v/>
      </c>
      <c r="J6" s="18"/>
      <c r="K6" s="18"/>
    </row>
    <row r="7" spans="1:15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5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5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5857" xr:uid="{AA3B9499-D56F-401F-A1CF-92AC3451D7A1}"/>
    <hyperlink ref="L4" r:id="rId2" display="https://us3.assetplanner.com/service_request?ID=094314" xr:uid="{0299D5E1-933A-48DE-B7B0-362B5861E973}"/>
    <hyperlink ref="M4" r:id="rId3" display="https://us3.assetplanner.com/service_request?ID=097616" xr:uid="{D7CA5436-D9E1-4B7D-A12E-37FDF4E90FC9}"/>
    <hyperlink ref="K5" r:id="rId4" display="https://us3.assetplanner.com/service_request?ID=100961" xr:uid="{7C334FB3-344B-49EB-A425-44C4BCFF591B}"/>
    <hyperlink ref="L5" r:id="rId5" display="https://us3.assetplanner.com/service_request?ID=101622" xr:uid="{8C0F811F-C99E-4250-96AB-4A9CDF49D2AE}"/>
    <hyperlink ref="M5" r:id="rId6" display="https://us3.assetplanner.com/service_request?ID=104488" xr:uid="{894EE3AE-7B04-4B6E-87DC-024A5BCD09A7}"/>
    <hyperlink ref="N5" r:id="rId7" display="https://us3.assetplanner.com/service_request?ID=104526" xr:uid="{9A5DE2BD-C097-4D79-979C-5375B52F841E}"/>
    <hyperlink ref="O5" r:id="rId8" display="https://us3.assetplanner.com/service_request?ID=095887" xr:uid="{41EBF680-373C-43EF-A2C7-072A42A78E14}"/>
  </hyperlinks>
  <pageMargins left="0.4" right="0.7" top="0.25" bottom="0.25" header="0.3" footer="0.3"/>
  <pageSetup fitToHeight="99" orientation="landscape"/>
  <legacy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AK330"/>
  <sheetViews>
    <sheetView topLeftCell="C1" workbookViewId="0">
      <pane ySplit="2" topLeftCell="A3" activePane="bottomLeft" state="frozen"/>
      <selection pane="bottomLeft" activeCell="I16" sqref="I16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37" width="8.85546875" style="55"/>
  </cols>
  <sheetData>
    <row r="1" spans="1:15" ht="19.5" customHeight="1">
      <c r="A1" s="65" t="str" cm="1">
        <f t="array" ref="A1">portfolio</f>
        <v>Cave Creek USD</v>
      </c>
      <c r="B1" s="65"/>
      <c r="C1" s="65"/>
      <c r="D1" s="66" t="s">
        <v>81</v>
      </c>
      <c r="E1" s="66"/>
      <c r="F1" s="66"/>
      <c r="G1" s="64" t="s">
        <v>82</v>
      </c>
      <c r="H1" s="64"/>
      <c r="I1" s="64"/>
      <c r="J1" s="5"/>
      <c r="K1" s="5"/>
    </row>
    <row r="2" spans="1:15" ht="19.5" customHeight="1">
      <c r="A2" s="67" t="s">
        <v>2</v>
      </c>
      <c r="B2" s="67"/>
      <c r="C2" s="6">
        <f>SUM(C4:C88)</f>
        <v>127315.08</v>
      </c>
      <c r="D2" s="6">
        <f>SUM(D4:D88)</f>
        <v>83751.399999999994</v>
      </c>
      <c r="E2" s="6">
        <f>C2-D2</f>
        <v>43563.680000000008</v>
      </c>
      <c r="F2" s="7">
        <f>IFERROR(E2/D2, 0)</f>
        <v>0.52015464816110546</v>
      </c>
      <c r="G2" s="6">
        <f>SUM(G4:G88)</f>
        <v>0</v>
      </c>
      <c r="H2" s="8">
        <f>C2-G2</f>
        <v>127315.08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5" ht="52.9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42565</v>
      </c>
      <c r="D4" s="14">
        <v>44053.25</v>
      </c>
      <c r="E4" s="14">
        <f>IF(AND(ISNUMBER(C4),ISNUMBER(D4)), C4-D4, "")</f>
        <v>-1488.25</v>
      </c>
      <c r="F4" s="15">
        <f>IFERROR(E4/D4, "")</f>
        <v>-3.3782978554363186E-2</v>
      </c>
      <c r="G4" s="16">
        <v>0</v>
      </c>
      <c r="H4" s="16">
        <f>IF(AND(ISNUMBER(C4),ISNUMBER(G4)), C4-G4, "")</f>
        <v>42565</v>
      </c>
      <c r="I4" s="17" t="str">
        <f>IFERROR(H4/G4, "")</f>
        <v/>
      </c>
      <c r="J4" s="60" t="s">
        <v>83</v>
      </c>
      <c r="K4" s="61" t="s">
        <v>84</v>
      </c>
      <c r="L4" s="54" t="s">
        <v>46</v>
      </c>
      <c r="M4" s="54" t="s">
        <v>35</v>
      </c>
      <c r="N4" s="54" t="s">
        <v>85</v>
      </c>
    </row>
    <row r="5" spans="1:15" ht="72">
      <c r="A5" s="32" t="str">
        <v>AZ: Cave Creek - HTES</v>
      </c>
      <c r="B5" s="33" t="str">
        <v>AZ</v>
      </c>
      <c r="C5" s="59">
        <v>48030.080000000002</v>
      </c>
      <c r="D5" s="59">
        <v>39698.15</v>
      </c>
      <c r="E5" s="20">
        <f t="shared" ref="E5:E6" si="0">IF(AND(ISNUMBER(C5),ISNUMBER(D5)), C5-D5, "")</f>
        <v>8331.93</v>
      </c>
      <c r="F5" s="21">
        <f>IFERROR(E5/D5, "")</f>
        <v>0.20988207259028444</v>
      </c>
      <c r="G5" s="22">
        <v>0</v>
      </c>
      <c r="H5" s="22">
        <f t="shared" ref="H5:H6" si="1">IF(AND(ISNUMBER(C5),ISNUMBER(G5)), C5-G5, "")</f>
        <v>48030.080000000002</v>
      </c>
      <c r="I5" s="21" t="str">
        <f t="shared" ref="I5:I6" si="2">IFERROR(H5/G5, "")</f>
        <v/>
      </c>
      <c r="J5" s="48" t="s">
        <v>77</v>
      </c>
      <c r="K5" s="62" t="s">
        <v>78</v>
      </c>
      <c r="L5" s="54" t="s">
        <v>65</v>
      </c>
      <c r="M5" s="54" t="s">
        <v>79</v>
      </c>
      <c r="N5" s="54" t="s">
        <v>80</v>
      </c>
      <c r="O5" s="54" t="s">
        <v>66</v>
      </c>
    </row>
    <row r="6" spans="1:15" ht="15.6">
      <c r="A6" s="30" t="str">
        <v>AZ: Cave Creek - LMES</v>
      </c>
      <c r="B6" s="31" t="str">
        <v>AZ</v>
      </c>
      <c r="C6" s="26">
        <v>36720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36720</v>
      </c>
      <c r="I6" s="17" t="str">
        <f t="shared" si="2"/>
        <v/>
      </c>
      <c r="J6" s="18"/>
      <c r="K6" s="18"/>
    </row>
    <row r="7" spans="1:15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5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5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5857" xr:uid="{6F0EA06E-F427-4554-961E-29972526475D}"/>
    <hyperlink ref="L4" r:id="rId2" display="https://us3.assetplanner.com/service_request?ID=094314" xr:uid="{A9B3061D-C12E-45AD-87A2-521BBAA7AC9A}"/>
    <hyperlink ref="M4" r:id="rId3" display="https://us3.assetplanner.com/service_request?ID=097617" xr:uid="{1FFD5ECC-129D-48E2-8BBA-CE9202359DFA}"/>
    <hyperlink ref="N4" r:id="rId4" display="https://us3.assetplanner.com/service_request?ID=106882" xr:uid="{280127A6-06AF-4E3B-8E63-022C9042851C}"/>
    <hyperlink ref="K5" r:id="rId5" display="https://us3.assetplanner.com/service_request?ID=100961" xr:uid="{D89C84CA-9410-4B4E-A976-3ADAA6FC1FCF}"/>
    <hyperlink ref="L5" r:id="rId6" display="https://us3.assetplanner.com/service_request?ID=101622" xr:uid="{4601C7BD-48AD-46A1-A0E8-EDC515A78874}"/>
    <hyperlink ref="M5" r:id="rId7" display="https://us3.assetplanner.com/service_request?ID=104488" xr:uid="{248AD731-0622-437A-AAB2-FD7DC0F2EE58}"/>
    <hyperlink ref="N5" r:id="rId8" display="https://us3.assetplanner.com/service_request?ID=104526" xr:uid="{3F5EA560-480D-4F0F-AFFB-FF44FD4EB881}"/>
    <hyperlink ref="O5" r:id="rId9" display="https://us3.assetplanner.com/service_request?ID=095887" xr:uid="{2FF73E24-237E-4324-850C-2FE82D4BF7CC}"/>
  </hyperlinks>
  <pageMargins left="0.4" right="0.7" top="0.25" bottom="0.25" header="0.3" footer="0.3"/>
  <pageSetup fitToHeight="99" orientation="landscape"/>
  <legacy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P330"/>
  <sheetViews>
    <sheetView topLeftCell="F1" workbookViewId="0">
      <pane ySplit="2" topLeftCell="A3" activePane="bottomLeft" state="frozen"/>
      <selection pane="bottomLeft" activeCell="J5" sqref="J5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5"/>
  </cols>
  <sheetData>
    <row r="1" spans="1:16" ht="19.5" customHeight="1">
      <c r="A1" s="65" t="str" cm="1">
        <f t="array" ref="A1">portfolio</f>
        <v>Cave Creek USD</v>
      </c>
      <c r="B1" s="65"/>
      <c r="C1" s="65"/>
      <c r="D1" s="66" t="s">
        <v>86</v>
      </c>
      <c r="E1" s="66"/>
      <c r="F1" s="66"/>
      <c r="G1" s="64" t="s">
        <v>87</v>
      </c>
      <c r="H1" s="64"/>
      <c r="I1" s="64"/>
      <c r="J1" s="5"/>
      <c r="K1" s="5"/>
    </row>
    <row r="2" spans="1:16" ht="19.5" customHeight="1">
      <c r="A2" s="67" t="s">
        <v>2</v>
      </c>
      <c r="B2" s="67"/>
      <c r="C2" s="6">
        <f>SUM(C4:C88)</f>
        <v>88316</v>
      </c>
      <c r="D2" s="6">
        <f>SUM(D4:D88)</f>
        <v>68247</v>
      </c>
      <c r="E2" s="6">
        <f>C2-D2</f>
        <v>20069</v>
      </c>
      <c r="F2" s="7">
        <f>IFERROR(E2/D2, 0)</f>
        <v>0.29406420795053262</v>
      </c>
      <c r="G2" s="6">
        <f>SUM(G4:G88)</f>
        <v>0</v>
      </c>
      <c r="H2" s="8">
        <f>C2-G2</f>
        <v>88316</v>
      </c>
      <c r="I2" s="7">
        <f>IFERROR(H2/G2, 0)</f>
        <v>0</v>
      </c>
      <c r="J2" s="47"/>
      <c r="K2" s="47"/>
    </row>
    <row r="3" spans="1:16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6" ht="52.9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34561</v>
      </c>
      <c r="D4" s="14">
        <v>35922</v>
      </c>
      <c r="E4" s="14">
        <f>IF(AND(ISNUMBER(C4),ISNUMBER(D4)), C4-D4, "")</f>
        <v>-1361</v>
      </c>
      <c r="F4" s="15">
        <f>IFERROR(E4/D4, "")</f>
        <v>-3.7887645454039311E-2</v>
      </c>
      <c r="G4" s="16">
        <v>0</v>
      </c>
      <c r="H4" s="16">
        <f>IF(AND(ISNUMBER(C4),ISNUMBER(G4)), C4-G4, "")</f>
        <v>34561</v>
      </c>
      <c r="I4" s="17" t="str">
        <f>IFERROR(H4/G4, "")</f>
        <v/>
      </c>
      <c r="J4" s="60" t="s">
        <v>83</v>
      </c>
      <c r="K4" s="61" t="s">
        <v>84</v>
      </c>
      <c r="L4" s="54" t="s">
        <v>46</v>
      </c>
      <c r="M4" s="54" t="s">
        <v>35</v>
      </c>
      <c r="N4" s="54" t="s">
        <v>85</v>
      </c>
    </row>
    <row r="5" spans="1:16" ht="86.45">
      <c r="A5" s="32" t="str">
        <v>AZ: Cave Creek - HTES</v>
      </c>
      <c r="B5" s="33" t="str">
        <v>AZ</v>
      </c>
      <c r="C5" s="22">
        <v>23310</v>
      </c>
      <c r="D5" s="22">
        <v>32325</v>
      </c>
      <c r="E5" s="20">
        <f t="shared" ref="E5:E6" si="0">IF(AND(ISNUMBER(C5),ISNUMBER(D5)), C5-D5, "")</f>
        <v>-9015</v>
      </c>
      <c r="F5" s="21">
        <f>IFERROR(E5/D5, "")</f>
        <v>-0.27888631090487237</v>
      </c>
      <c r="G5" s="22">
        <v>0</v>
      </c>
      <c r="H5" s="22">
        <f t="shared" ref="H5:H6" si="1">IF(AND(ISNUMBER(C5),ISNUMBER(G5)), C5-G5, "")</f>
        <v>23310</v>
      </c>
      <c r="I5" s="21" t="str">
        <f t="shared" ref="I5:I6" si="2">IFERROR(H5/G5, "")</f>
        <v/>
      </c>
      <c r="J5" s="48" t="s">
        <v>88</v>
      </c>
      <c r="K5" s="62" t="s">
        <v>89</v>
      </c>
      <c r="L5" s="54" t="s">
        <v>65</v>
      </c>
      <c r="M5" s="54" t="s">
        <v>79</v>
      </c>
      <c r="N5" s="54" t="s">
        <v>80</v>
      </c>
      <c r="O5" s="54" t="s">
        <v>66</v>
      </c>
      <c r="P5" s="54" t="s">
        <v>90</v>
      </c>
    </row>
    <row r="6" spans="1:16" ht="15.6">
      <c r="A6" s="30" t="str">
        <v>AZ: Cave Creek - LMES</v>
      </c>
      <c r="B6" s="31" t="str">
        <v>AZ</v>
      </c>
      <c r="C6" s="26">
        <v>30445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30445</v>
      </c>
      <c r="I6" s="17" t="str">
        <f t="shared" si="2"/>
        <v/>
      </c>
      <c r="J6" s="46"/>
      <c r="K6" s="18"/>
    </row>
    <row r="7" spans="1:16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6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6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6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6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6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6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6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6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6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5857" xr:uid="{9BC3C593-C9D4-4E72-B5BF-FD48BCB8228F}"/>
    <hyperlink ref="L4" r:id="rId2" display="https://us3.assetplanner.com/service_request?ID=094314" xr:uid="{556C1DBC-E66D-4055-9D4D-DE471C0EC1EB}"/>
    <hyperlink ref="M4" r:id="rId3" display="https://us3.assetplanner.com/service_request?ID=097617" xr:uid="{D2791F64-7333-4BF8-8B7B-743FE1CF4B1A}"/>
    <hyperlink ref="N4" r:id="rId4" display="https://us3.assetplanner.com/service_request?ID=106882" xr:uid="{BCB0A624-1124-42D7-BCD3-63DA7BDFB089}"/>
    <hyperlink ref="K5" r:id="rId5" display="https://us3.assetplanner.com/service_request?ID=100961" xr:uid="{AE01F7E9-8FF0-45A3-9B03-86151FF3D6D0}"/>
    <hyperlink ref="L5" r:id="rId6" display="https://us3.assetplanner.com/service_request?ID=101622" xr:uid="{EC5A0194-E9D0-42BB-A229-6D6C948EC8FD}"/>
    <hyperlink ref="M5" r:id="rId7" display="https://us3.assetplanner.com/service_request?ID=104488" xr:uid="{D19BB751-36F3-407A-8438-0775B3400089}"/>
    <hyperlink ref="N5" r:id="rId8" display="https://us3.assetplanner.com/service_request?ID=104526" xr:uid="{61B794FE-131A-4075-933A-D926913F27DD}"/>
    <hyperlink ref="O5" r:id="rId9" display="https://us3.assetplanner.com/service_request?ID=095887" xr:uid="{1E3B1520-198F-4E9E-B1BA-AE2B9D2D9A4B}"/>
    <hyperlink ref="P5" r:id="rId10" display="https://us3.assetplanner.com/service_request?ID=108287" xr:uid="{FB427335-1ADD-4F06-A71D-457F97847AC2}"/>
  </hyperlinks>
  <pageMargins left="0.4" right="0.7" top="0.25" bottom="0.25" header="0.3" footer="0.3"/>
  <pageSetup fitToHeight="99" orientation="landscape"/>
  <legacy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0"/>
  <sheetViews>
    <sheetView zoomScale="60" zoomScaleNormal="60" workbookViewId="0">
      <pane ySplit="2" topLeftCell="A3" activePane="bottomLeft" state="frozen"/>
      <selection pane="bottomLeft" activeCell="J17" sqref="J1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140625" customWidth="1"/>
  </cols>
  <sheetData>
    <row r="1" spans="1:13" ht="19.5" customHeight="1">
      <c r="A1" s="65" t="str" cm="1">
        <f t="array" ref="A1">portfolio</f>
        <v>Cave Creek USD</v>
      </c>
      <c r="B1" s="65"/>
      <c r="C1" s="65"/>
      <c r="D1" s="66" t="s">
        <v>91</v>
      </c>
      <c r="E1" s="66"/>
      <c r="F1" s="66"/>
      <c r="G1" s="64" t="s">
        <v>92</v>
      </c>
      <c r="H1" s="64"/>
      <c r="I1" s="64"/>
      <c r="J1" s="5"/>
      <c r="K1" s="5"/>
    </row>
    <row r="2" spans="1:13" ht="19.5" customHeight="1">
      <c r="A2" s="67" t="s">
        <v>2</v>
      </c>
      <c r="B2" s="67"/>
      <c r="C2" s="6">
        <f>SUM(C4:C88)</f>
        <v>87241.290000000008</v>
      </c>
      <c r="D2" s="6">
        <f>SUM(D4:D88)</f>
        <v>62722.89</v>
      </c>
      <c r="E2" s="6">
        <f>C2-D2</f>
        <v>24518.400000000009</v>
      </c>
      <c r="F2" s="7">
        <f>IFERROR(E2/D2, 0)</f>
        <v>0.39090035551614427</v>
      </c>
      <c r="G2" s="6">
        <f>SUM(G4:G88)</f>
        <v>0</v>
      </c>
      <c r="H2" s="8">
        <f>C2-G2</f>
        <v>87241.290000000008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27" t="s">
        <v>93</v>
      </c>
    </row>
    <row r="4" spans="1:13" ht="43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34335</v>
      </c>
      <c r="D4" s="14">
        <v>34744.959999999999</v>
      </c>
      <c r="E4" s="14">
        <f>IF(AND(ISNUMBER(C4),ISNUMBER(D4)), C4-D4, "")</f>
        <v>-409.95999999999913</v>
      </c>
      <c r="F4" s="15">
        <f>IFERROR(E4/D4, "")</f>
        <v>-1.1799121368969748E-2</v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94</v>
      </c>
      <c r="K4" s="52" t="s">
        <v>95</v>
      </c>
      <c r="L4" s="18" t="s">
        <v>96</v>
      </c>
      <c r="M4" s="63" t="s">
        <v>54</v>
      </c>
    </row>
    <row r="5" spans="1:13" ht="57.6">
      <c r="A5" s="32" t="str">
        <v>AZ: Cave Creek - HTES</v>
      </c>
      <c r="B5" s="33" t="str">
        <v>AZ</v>
      </c>
      <c r="C5" s="12">
        <v>23431.29</v>
      </c>
      <c r="D5" s="20">
        <v>27977.93</v>
      </c>
      <c r="E5" s="20">
        <f t="shared" ref="E5:E6" si="0">IF(AND(ISNUMBER(C5),ISNUMBER(D5)), C5-D5, "")</f>
        <v>-4546.6399999999994</v>
      </c>
      <c r="F5" s="21">
        <f>IFERROR(E5/D5, "")</f>
        <v>-0.1625080911990272</v>
      </c>
      <c r="G5" s="51" t="s">
        <v>22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 t="s">
        <v>97</v>
      </c>
      <c r="K5" s="53" t="s">
        <v>98</v>
      </c>
      <c r="L5" s="45" t="s">
        <v>99</v>
      </c>
    </row>
    <row r="6" spans="1:13" ht="15.6">
      <c r="A6" s="30" t="str">
        <v>AZ: Cave Creek - LMES</v>
      </c>
      <c r="B6" s="31" t="str">
        <v>AZ</v>
      </c>
      <c r="C6" s="26">
        <v>29475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 t="s">
        <v>22</v>
      </c>
      <c r="H6" s="16" t="str">
        <f t="shared" si="1"/>
        <v/>
      </c>
      <c r="I6" s="17" t="str">
        <f t="shared" si="2"/>
        <v/>
      </c>
      <c r="J6" s="18" t="s">
        <v>100</v>
      </c>
      <c r="K6" s="52" t="s">
        <v>101</v>
      </c>
      <c r="L6" s="18" t="s">
        <v>102</v>
      </c>
    </row>
    <row r="7" spans="1:13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108911" xr:uid="{F38EA72A-DEB3-44DC-9EBE-5D18EB02FD2C}"/>
    <hyperlink ref="M4" r:id="rId2" display="https://us3.assetplanner.com/service_request?ID=095857" xr:uid="{80F0FC1C-24AE-4743-BC88-1ADC81DC3C81}"/>
    <hyperlink ref="K5" r:id="rId3" display="https://us3.assetplanner.com/service_request?ID=095887" xr:uid="{6E7477CB-A397-4427-A34E-D0F162CB53C5}"/>
    <hyperlink ref="K6" r:id="rId4" display="https://us3.assetplanner.com/service_request?ID=090187" xr:uid="{34668EF5-7CC4-4300-9621-79179083116F}"/>
  </hyperlinks>
  <pageMargins left="0.4" right="0.7" top="0.25" bottom="0.25" header="0.3" footer="0.3"/>
  <pageSetup fitToHeight="99" orientation="landscape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30"/>
  <sheetViews>
    <sheetView zoomScale="70" zoomScaleNormal="70" workbookViewId="0">
      <pane ySplit="2" topLeftCell="A3" activePane="bottomLeft" state="frozen"/>
      <selection pane="bottomLeft" activeCell="N10" sqref="N10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7109375" customWidth="1"/>
  </cols>
  <sheetData>
    <row r="1" spans="1:13" ht="19.5" customHeight="1">
      <c r="A1" s="65" t="str" cm="1">
        <f t="array" ref="A1">portfolio</f>
        <v>Cave Creek USD</v>
      </c>
      <c r="B1" s="65"/>
      <c r="C1" s="65"/>
      <c r="D1" s="66" t="s">
        <v>103</v>
      </c>
      <c r="E1" s="66"/>
      <c r="F1" s="66"/>
      <c r="G1" s="64" t="s">
        <v>104</v>
      </c>
      <c r="H1" s="64"/>
      <c r="I1" s="64"/>
      <c r="J1" s="5"/>
      <c r="K1" s="5"/>
      <c r="L1" s="5"/>
    </row>
    <row r="2" spans="1:13" ht="19.5" customHeight="1">
      <c r="A2" s="67" t="s">
        <v>2</v>
      </c>
      <c r="B2" s="67"/>
      <c r="C2" s="6">
        <f>SUM(C4:C88)</f>
        <v>47461</v>
      </c>
      <c r="D2" s="6">
        <f>SUM(D4:D88)</f>
        <v>25958</v>
      </c>
      <c r="E2" s="6">
        <f>C2-D2</f>
        <v>21503</v>
      </c>
      <c r="F2" s="7">
        <f>IFERROR(E2/D2, 0)</f>
        <v>0.82837660836736271</v>
      </c>
      <c r="G2" s="6">
        <f>SUM(G4:G88)</f>
        <v>0</v>
      </c>
      <c r="H2" s="8">
        <f>C2-G2</f>
        <v>47461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27" t="s">
        <v>93</v>
      </c>
    </row>
    <row r="4" spans="1:13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25368</v>
      </c>
      <c r="D4" s="14">
        <v>25958</v>
      </c>
      <c r="E4" s="14">
        <f>IF(AND(ISNUMBER(C4),ISNUMBER(D4)), C4-D4, "")</f>
        <v>-590</v>
      </c>
      <c r="F4" s="15">
        <f>IFERROR(E4/D4, "")</f>
        <v>-2.2729023807689343E-2</v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105</v>
      </c>
      <c r="K4" s="52" t="s">
        <v>106</v>
      </c>
      <c r="L4" s="18" t="s">
        <v>96</v>
      </c>
      <c r="M4" s="63" t="s">
        <v>107</v>
      </c>
    </row>
    <row r="5" spans="1:13" ht="57.6">
      <c r="A5" s="32" t="str">
        <v>AZ: Cave Creek - HTES</v>
      </c>
      <c r="B5" s="33" t="str">
        <v>AZ</v>
      </c>
      <c r="C5" s="12">
        <v>0</v>
      </c>
      <c r="D5" s="20"/>
      <c r="E5" s="20" t="str">
        <f>IF(AND(ISNUMBER(C5),ISNUMBER(D5)), C5-D5, "")</f>
        <v/>
      </c>
      <c r="F5" s="21" t="str">
        <f>IFERROR(E5/D5, "")</f>
        <v/>
      </c>
      <c r="G5" s="51" t="s">
        <v>22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 t="s">
        <v>97</v>
      </c>
      <c r="K5" s="53" t="s">
        <v>98</v>
      </c>
      <c r="L5" s="45" t="s">
        <v>99</v>
      </c>
    </row>
    <row r="6" spans="1:13" ht="15.6">
      <c r="A6" s="30" t="str">
        <v>AZ: Cave Creek - LMES</v>
      </c>
      <c r="B6" s="31" t="str">
        <v>AZ</v>
      </c>
      <c r="C6" s="26">
        <v>22093</v>
      </c>
      <c r="D6" s="14">
        <v>0</v>
      </c>
      <c r="E6" s="14">
        <f t="shared" ref="E6" si="2">IF(AND(ISNUMBER(C6),ISNUMBER(D6)), C6-D6, "")</f>
        <v>22093</v>
      </c>
      <c r="F6" s="15" t="str">
        <f t="shared" ref="F6" si="3">IFERROR(E6/D6, "")</f>
        <v/>
      </c>
      <c r="G6" s="50" t="s">
        <v>22</v>
      </c>
      <c r="H6" s="16" t="str">
        <f t="shared" si="0"/>
        <v/>
      </c>
      <c r="I6" s="17" t="str">
        <f t="shared" si="1"/>
        <v/>
      </c>
      <c r="J6" s="18" t="s">
        <v>100</v>
      </c>
      <c r="K6" s="52" t="s">
        <v>101</v>
      </c>
      <c r="L6" s="18" t="s">
        <v>102</v>
      </c>
    </row>
    <row r="7" spans="1:13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095857" xr:uid="{DED2CDC6-5CE6-44AF-8314-DC1908414B75}"/>
    <hyperlink ref="M4" r:id="rId2" display="https://us3.assetplanner.com/service_request?ID=111823" xr:uid="{F4DFCD24-63AF-4D72-ADEE-E3A1BAB910B3}"/>
    <hyperlink ref="K5" r:id="rId3" display="https://us3.assetplanner.com/service_request?ID=095887" xr:uid="{3F6B40E9-4F1D-48F1-8B64-27F21C72D0BC}"/>
    <hyperlink ref="K6" r:id="rId4" display="https://us3.assetplanner.com/service_request?ID=090187" xr:uid="{7B915F6C-D26C-4AF3-81FE-0CA4AF13D5C3}"/>
  </hyperlinks>
  <pageMargins left="0.4" right="0.7" top="0.25" bottom="0.25" header="0.3" footer="0.3"/>
  <pageSetup fitToHeight="99" orientation="landscape"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30"/>
  <sheetViews>
    <sheetView tabSelected="1" zoomScale="70" zoomScaleNormal="70" workbookViewId="0">
      <pane ySplit="2" topLeftCell="A3" activePane="bottomLeft" state="frozen"/>
      <selection pane="bottomLeft" activeCell="J6" sqref="J6"/>
      <selection activeCell="H11" sqref="H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Cave Creek USD</v>
      </c>
      <c r="B1" s="65"/>
      <c r="C1" s="65"/>
      <c r="D1" s="66" t="s">
        <v>108</v>
      </c>
      <c r="E1" s="66"/>
      <c r="F1" s="66"/>
      <c r="G1" s="64" t="s">
        <v>109</v>
      </c>
      <c r="H1" s="64"/>
      <c r="I1" s="64"/>
      <c r="J1" s="5"/>
      <c r="K1" s="5"/>
      <c r="L1" s="5"/>
    </row>
    <row r="2" spans="1:12" ht="19.5" customHeight="1">
      <c r="A2" s="67" t="s">
        <v>2</v>
      </c>
      <c r="B2" s="67"/>
      <c r="C2" s="6">
        <f>SUM(C4:C88)</f>
        <v>47619</v>
      </c>
      <c r="D2" s="6">
        <f>SUM(D4:D88)</f>
        <v>25468</v>
      </c>
      <c r="E2" s="6">
        <f>C2-D2</f>
        <v>22151</v>
      </c>
      <c r="F2" s="7">
        <f>IFERROR(E2/D2, 0)</f>
        <v>0.86975812784670958</v>
      </c>
      <c r="G2" s="6">
        <f>SUM(G4:G88)</f>
        <v>0</v>
      </c>
      <c r="H2" s="8">
        <f>C2-G2</f>
        <v>47619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27" t="s">
        <v>93</v>
      </c>
    </row>
    <row r="4" spans="1:12" ht="80.25" customHeight="1">
      <c r="A4" s="49" t="str" cm="1">
        <f t="array" ref="A4:A6">Sites[Site]</f>
        <v>AZ: Cave Creek - DWES</v>
      </c>
      <c r="B4" s="31" t="str" cm="1">
        <f t="array" ref="B4:B6">Sites[State]</f>
        <v>AZ</v>
      </c>
      <c r="C4" s="26">
        <v>25836</v>
      </c>
      <c r="D4" s="14">
        <v>25468</v>
      </c>
      <c r="E4" s="14">
        <f>IF(AND(ISNUMBER(C4),ISNUMBER(D4)), C4-D4, "")</f>
        <v>368</v>
      </c>
      <c r="F4" s="15">
        <f>IFERROR(E4/D4, "")</f>
        <v>1.4449505261504634E-2</v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110</v>
      </c>
      <c r="K4" s="52" t="s">
        <v>111</v>
      </c>
      <c r="L4" s="18" t="s">
        <v>112</v>
      </c>
    </row>
    <row r="5" spans="1:12" ht="30.75">
      <c r="A5" s="32" t="str">
        <v>AZ: Cave Creek - HTES</v>
      </c>
      <c r="B5" s="33" t="str">
        <v>AZ</v>
      </c>
      <c r="C5" s="12">
        <v>0</v>
      </c>
      <c r="D5" s="20"/>
      <c r="E5" s="20" t="str">
        <f>IF(AND(ISNUMBER(C5),ISNUMBER(D5)), C5-D5, "")</f>
        <v/>
      </c>
      <c r="F5" s="21" t="str">
        <f>IFERROR(E5/D5, "")</f>
        <v/>
      </c>
      <c r="G5" s="51" t="s">
        <v>22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 t="s">
        <v>113</v>
      </c>
      <c r="K5" s="53" t="s">
        <v>114</v>
      </c>
      <c r="L5" s="45" t="s">
        <v>115</v>
      </c>
    </row>
    <row r="6" spans="1:12" ht="15.75">
      <c r="A6" s="30" t="str">
        <v>AZ: Cave Creek - LMES</v>
      </c>
      <c r="B6" s="31" t="str">
        <v>AZ</v>
      </c>
      <c r="C6" s="26">
        <v>21783</v>
      </c>
      <c r="D6" s="14">
        <v>0</v>
      </c>
      <c r="E6" s="14">
        <f t="shared" ref="E6" si="2">IF(AND(ISNUMBER(C6),ISNUMBER(D6)), C6-D6, "")</f>
        <v>21783</v>
      </c>
      <c r="F6" s="15" t="str">
        <f>IFERROR(E6/D6, "")</f>
        <v/>
      </c>
      <c r="G6" s="50" t="s">
        <v>22</v>
      </c>
      <c r="H6" s="16" t="str">
        <f t="shared" si="0"/>
        <v/>
      </c>
      <c r="I6" s="17" t="str">
        <f t="shared" si="1"/>
        <v/>
      </c>
      <c r="J6" s="18" t="s">
        <v>100</v>
      </c>
      <c r="K6" s="52" t="s">
        <v>101</v>
      </c>
      <c r="L6" s="18" t="s">
        <v>102</v>
      </c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88 I4:I88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hyperlinks>
    <hyperlink ref="K4" r:id="rId1" display="https://us3.assetplanner.com/service_request?ID=095857" xr:uid="{65934C51-E7F8-4EC0-9696-90510075E3ED}"/>
    <hyperlink ref="K5" r:id="rId2" display="https://us3.assetplanner.com/service_request?ID=108287" xr:uid="{2546AF6B-D272-4E13-A990-542DD0100C7A}"/>
    <hyperlink ref="K6" r:id="rId3" display="https://us3.assetplanner.com/service_request?ID=090187" xr:uid="{F10F2B01-2613-4127-ABB7-ED81FA35A702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116</v>
      </c>
      <c r="B1" t="s">
        <v>117</v>
      </c>
    </row>
    <row r="3" spans="1:7" ht="13.15">
      <c r="A3" t="s">
        <v>118</v>
      </c>
      <c r="B3" t="s">
        <v>3</v>
      </c>
      <c r="C3" t="s">
        <v>4</v>
      </c>
      <c r="D3" t="s">
        <v>119</v>
      </c>
      <c r="E3" s="2" t="s">
        <v>120</v>
      </c>
    </row>
    <row r="4" spans="1:7" ht="14.45">
      <c r="A4" t="s">
        <v>121</v>
      </c>
      <c r="B4" t="s">
        <v>121</v>
      </c>
      <c r="C4" s="4" t="s">
        <v>122</v>
      </c>
      <c r="G4" s="3"/>
    </row>
    <row r="5" spans="1:7" ht="14.45">
      <c r="A5" t="s">
        <v>123</v>
      </c>
      <c r="B5" t="s">
        <v>123</v>
      </c>
      <c r="C5" s="4" t="s">
        <v>122</v>
      </c>
      <c r="G5" s="3"/>
    </row>
    <row r="6" spans="1:7" ht="14.45">
      <c r="A6" s="4" t="s">
        <v>124</v>
      </c>
      <c r="B6" s="4" t="s">
        <v>124</v>
      </c>
      <c r="C6" s="4" t="s">
        <v>122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6E2D0AE7-A5AE-40F5-A4E6-6BFEB9221805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2024-10-18T20:23:00Z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83e129e0-390b-452c-95b4-b482b4cb2a2d</vt:lpwstr>
  </property>
  <property fmtid="{D5CDD505-2E9C-101B-9397-08002B2CF9AE}" pid="9" name="MSIP_Label_9d817c99-0b37-4a07-8277-96aa1f96b74b_ContentBits">
    <vt:lpwstr>0</vt:lpwstr>
  </property>
</Properties>
</file>