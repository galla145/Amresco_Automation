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5" documentId="13_ncr:1_{40DFE5AE-7DC1-42EF-BF34-E098249D5BD8}" xr6:coauthVersionLast="47" xr6:coauthVersionMax="47" xr10:uidLastSave="{A3661E80-7439-4BF0-A22C-7E7A8A567FF3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E4" i="21"/>
  <c r="F4" i="21" s="1"/>
  <c r="E4" i="4"/>
  <c r="F4" i="4" s="1"/>
  <c r="E4" i="20"/>
  <c r="F4" i="20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G2" i="34" s="1"/>
  <c r="E4" i="18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<sst xmlns="http://schemas.openxmlformats.org/spreadsheetml/2006/main" count="263" uniqueCount="54">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</sst>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16" sqref="E16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0</v>
      </c>
      <c r="E1" s="38"/>
      <c r="F1" s="38"/>
      <c r="G1" s="36" t="s">
        <v>1</v>
      </c>
      <c r="H1" s="36"/>
      <c r="I1" s="36"/>
    </row>
    <row r="2" spans="1:9" ht="19.5" customHeight="1">
      <c r="A2" s="39" t="s">
        <v>2</v>
      </c>
      <c r="B2" s="39"/>
      <c r="C2" s="6">
        <f>SUM(C4:C87)</f>
        <v>285213</v>
      </c>
      <c r="D2" s="6">
        <f>SUM(D4:D87)</f>
        <v>0</v>
      </c>
      <c r="E2" s="6">
        <f>C2-D2</f>
        <v>285213</v>
      </c>
      <c r="F2" s="7">
        <f>IFERROR(E2/D2, 0)</f>
        <v>0</v>
      </c>
      <c r="G2" s="6">
        <f>SUM(G4:G87)</f>
        <v>0</v>
      </c>
      <c r="H2" s="8">
        <f>C2-G2</f>
        <v>285213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285213</v>
      </c>
      <c r="D4" s="12">
        <f>SUM('1st Qtr'!D4, '2nd Qtr'!D4, '3rd Qtr'!D4, '4th Qtr'!D4)</f>
        <v>0</v>
      </c>
      <c r="E4" s="12">
        <f>IF(AND(ISNUMBER(C4),ISNUMBER(D4)), C4-D4, "")</f>
        <v>285213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10</v>
      </c>
      <c r="E1" s="38"/>
      <c r="F1" s="38"/>
      <c r="G1" s="36" t="s">
        <v>11</v>
      </c>
      <c r="H1" s="36"/>
      <c r="I1" s="36"/>
    </row>
    <row r="2" spans="1:9" ht="19.5" customHeight="1">
      <c r="A2" s="39" t="s">
        <v>2</v>
      </c>
      <c r="B2" s="39"/>
      <c r="C2" s="6">
        <f>SUM(C4:C87)</f>
        <v>65227</v>
      </c>
      <c r="D2" s="6">
        <f>SUM(D4:D87)</f>
        <v>0</v>
      </c>
      <c r="E2" s="6">
        <f>C2-D2</f>
        <v>65227</v>
      </c>
      <c r="F2" s="7">
        <f>IFERROR(E2/D2, 0)</f>
        <v>0</v>
      </c>
      <c r="G2" s="6">
        <f>SUM(G4:G87)</f>
        <v>0</v>
      </c>
      <c r="H2" s="8">
        <f>C2-G2</f>
        <v>65227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65227</v>
      </c>
      <c r="D4" s="12">
        <f>SUM(Jan!D4, Feb!D4, Mar!D4)</f>
        <v>0</v>
      </c>
      <c r="E4" s="12">
        <f>IF(AND(ISNUMBER(C4),ISNUMBER(D4)), C4-D4, "")</f>
        <v>65227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12</v>
      </c>
      <c r="E1" s="38"/>
      <c r="F1" s="38"/>
      <c r="G1" s="36" t="s">
        <v>13</v>
      </c>
      <c r="H1" s="36"/>
      <c r="I1" s="36"/>
    </row>
    <row r="2" spans="1:9" ht="19.5" customHeight="1">
      <c r="A2" s="39" t="s">
        <v>2</v>
      </c>
      <c r="B2" s="39"/>
      <c r="C2" s="6">
        <f>SUM(C4:C87)</f>
        <v>89039</v>
      </c>
      <c r="D2" s="6">
        <f>SUM(D4:D87)</f>
        <v>0</v>
      </c>
      <c r="E2" s="6">
        <f>C2-D2</f>
        <v>89039</v>
      </c>
      <c r="F2" s="7">
        <f>IFERROR(E2/D2, 0)</f>
        <v>0</v>
      </c>
      <c r="G2" s="6">
        <f>SUM(G4:G87)</f>
        <v>0</v>
      </c>
      <c r="H2" s="8">
        <f>C2-G2</f>
        <v>89039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89039</v>
      </c>
      <c r="D4" s="12">
        <f>SUM(Apr!D4, May!D4, Jun!D4)</f>
        <v>0</v>
      </c>
      <c r="E4" s="12">
        <f>IF(AND(ISNUMBER(C4),ISNUMBER(D4)), C4-D4, "")</f>
        <v>89039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G14" sqref="G1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14</v>
      </c>
      <c r="E1" s="38"/>
      <c r="F1" s="38"/>
      <c r="G1" s="36" t="s">
        <v>15</v>
      </c>
      <c r="H1" s="36"/>
      <c r="I1" s="36"/>
    </row>
    <row r="2" spans="1:9" ht="19.5" customHeight="1">
      <c r="A2" s="39" t="s">
        <v>2</v>
      </c>
      <c r="B2" s="39"/>
      <c r="C2" s="6">
        <f>SUM(C4:C87)</f>
        <v>90390</v>
      </c>
      <c r="D2" s="6">
        <f>SUM(D4:D87)</f>
        <v>0</v>
      </c>
      <c r="E2" s="6">
        <f>C2-D2</f>
        <v>90390</v>
      </c>
      <c r="F2" s="7">
        <f>IFERROR(E2/D2, 0)</f>
        <v>0</v>
      </c>
      <c r="G2" s="6">
        <f>SUM(G4:G87)</f>
        <v>0</v>
      </c>
      <c r="H2" s="8">
        <f>C2-G2</f>
        <v>90390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90390</v>
      </c>
      <c r="D4" s="12">
        <f>SUM(Jul!D4, Aug!D4, Sep!D4)</f>
        <v>0</v>
      </c>
      <c r="E4" s="12">
        <f>IF(AND(ISNUMBER(C4),ISNUMBER(D4)), C4-D4, "")</f>
        <v>90390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E9" sqref="E9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16</v>
      </c>
      <c r="E1" s="38"/>
      <c r="F1" s="38"/>
      <c r="G1" s="36" t="s">
        <v>17</v>
      </c>
      <c r="H1" s="36"/>
      <c r="I1" s="36"/>
    </row>
    <row r="2" spans="1:9" ht="19.5" customHeight="1">
      <c r="A2" s="39" t="s">
        <v>2</v>
      </c>
      <c r="B2" s="39"/>
      <c r="C2" s="6">
        <f>SUM(C4:C87)</f>
        <v>40557</v>
      </c>
      <c r="D2" s="6">
        <f>SUM(D4:D87)</f>
        <v>0</v>
      </c>
      <c r="E2" s="6">
        <f>C2-D2</f>
        <v>40557</v>
      </c>
      <c r="F2" s="7">
        <f>IFERROR(E2/D2, 0)</f>
        <v>0</v>
      </c>
      <c r="G2" s="6">
        <f>SUM(G4:G87)</f>
        <v>0</v>
      </c>
      <c r="H2" s="8">
        <f>C2-G2</f>
        <v>40557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40557</v>
      </c>
      <c r="D4" s="12">
        <f>SUM(Oct!D4, Nov!D4, Dec!D4)</f>
        <v>0</v>
      </c>
      <c r="E4" s="12">
        <f>IF(AND(ISNUMBER(C4),ISNUMBER(D4)), C4-D4, "")</f>
        <v>40557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H16" sqref="H16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18</v>
      </c>
      <c r="E1" s="38"/>
      <c r="F1" s="38"/>
      <c r="G1" s="36" t="s">
        <v>19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SUM(C4:C78)</f>
        <v>17762</v>
      </c>
      <c r="D2" s="6">
        <f>SUM(D4:D78)</f>
        <v>0</v>
      </c>
      <c r="E2" s="6">
        <f>C2-D2</f>
        <v>17762</v>
      </c>
      <c r="F2" s="7">
        <f>IFERROR(E2/D2, 0)</f>
        <v>0</v>
      </c>
      <c r="G2" s="6">
        <f>SUM(G4:G78)</f>
        <v>0</v>
      </c>
      <c r="H2" s="8">
        <f>C2-G2</f>
        <v>17762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17762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23</v>
      </c>
      <c r="E1" s="38"/>
      <c r="F1" s="38"/>
      <c r="G1" s="36" t="s">
        <v>24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19494</v>
      </c>
      <c r="D2" s="6">
        <f>SUM(D4:D87)</f>
        <v>0</v>
      </c>
      <c r="E2" s="6">
        <f>C2-D2</f>
        <v>19494</v>
      </c>
      <c r="F2" s="7">
        <f>IFERROR(E2/D2, 0)</f>
        <v>0</v>
      </c>
      <c r="G2" s="6">
        <f>SUM(G4:G87)</f>
        <v>0</v>
      </c>
      <c r="H2" s="8">
        <f>C2-G2</f>
        <v>19494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19494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25</v>
      </c>
      <c r="E1" s="38"/>
      <c r="F1" s="38"/>
      <c r="G1" s="36" t="s">
        <v>26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27971</v>
      </c>
      <c r="D2" s="6">
        <f>SUM(D4:D87)</f>
        <v>0</v>
      </c>
      <c r="E2" s="6">
        <f>C2-D2</f>
        <v>27971</v>
      </c>
      <c r="F2" s="7">
        <f>IFERROR(E2/D2, 0)</f>
        <v>0</v>
      </c>
      <c r="G2" s="6">
        <f>SUM(G4:G87)</f>
        <v>0</v>
      </c>
      <c r="H2" s="8">
        <f>C2-G2</f>
        <v>27971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27971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zoomScale="90" zoomScaleNormal="90" workbookViewId="0">
      <pane xSplit="2" ySplit="3" topLeftCell="C4" activePane="bottomRight" state="frozen"/>
      <selection pane="bottomRight" activeCell="H16" sqref="H16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27</v>
      </c>
      <c r="E1" s="38"/>
      <c r="F1" s="38"/>
      <c r="G1" s="36" t="s">
        <v>28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29339</v>
      </c>
      <c r="D2" s="6">
        <f>SUM(D4:D87)</f>
        <v>0</v>
      </c>
      <c r="E2" s="6">
        <f>C2-D2</f>
        <v>29339</v>
      </c>
      <c r="F2" s="7">
        <f>IFERROR(E2/D2, 0)</f>
        <v>0</v>
      </c>
      <c r="G2" s="6">
        <f>SUM(G4:G87)</f>
        <v>0</v>
      </c>
      <c r="H2" s="8">
        <f>C2-G2</f>
        <v>29339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29339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7" sqref="E17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29</v>
      </c>
      <c r="E1" s="38"/>
      <c r="F1" s="38"/>
      <c r="G1" s="36" t="s">
        <v>30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31999</v>
      </c>
      <c r="D2" s="6">
        <f>SUM(D4:D87)</f>
        <v>0</v>
      </c>
      <c r="E2" s="6">
        <f>C2-D2</f>
        <v>31999</v>
      </c>
      <c r="F2" s="7">
        <f>IFERROR(E2/D2, 0)</f>
        <v>0</v>
      </c>
      <c r="G2" s="6">
        <f>SUM(G4:G87)</f>
        <v>0</v>
      </c>
      <c r="H2" s="8">
        <f>C2-G2</f>
        <v>31999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31999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E11" sqref="E11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31</v>
      </c>
      <c r="E1" s="38"/>
      <c r="F1" s="38"/>
      <c r="G1" s="36" t="s">
        <v>32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27701</v>
      </c>
      <c r="D2" s="6">
        <f>SUM(D4:D87)</f>
        <v>0</v>
      </c>
      <c r="E2" s="6">
        <f>C2-D2</f>
        <v>27701</v>
      </c>
      <c r="F2" s="7">
        <f>IFERROR(E2/D2, 0)</f>
        <v>0</v>
      </c>
      <c r="G2" s="6">
        <f>SUM(G4:G87)</f>
        <v>0</v>
      </c>
      <c r="H2" s="8">
        <f>C2-G2</f>
        <v>27701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27701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33</v>
      </c>
      <c r="E1" s="38"/>
      <c r="F1" s="38"/>
      <c r="G1" s="36" t="s">
        <v>34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33392</v>
      </c>
      <c r="D2" s="6">
        <f>SUM(D4:D87)</f>
        <v>0</v>
      </c>
      <c r="E2" s="6">
        <f>C2-D2</f>
        <v>33392</v>
      </c>
      <c r="F2" s="7">
        <f>IFERROR(E2/D2, 0)</f>
        <v>0</v>
      </c>
      <c r="G2" s="6">
        <f>SUM(G4:G87)</f>
        <v>0</v>
      </c>
      <c r="H2" s="8">
        <f>C2-G2</f>
        <v>33392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33392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35</v>
      </c>
      <c r="E1" s="38"/>
      <c r="F1" s="38"/>
      <c r="G1" s="36" t="s">
        <v>36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30641</v>
      </c>
      <c r="D2" s="6">
        <f>SUM(D4:D87)</f>
        <v>0</v>
      </c>
      <c r="E2" s="6">
        <f>C2-D2</f>
        <v>30641</v>
      </c>
      <c r="F2" s="7">
        <f>IFERROR(E2/D2, 0)</f>
        <v>0</v>
      </c>
      <c r="G2" s="6">
        <f>SUM(G4:G87)</f>
        <v>0</v>
      </c>
      <c r="H2" s="8">
        <f>C2-G2</f>
        <v>30641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30641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37</v>
      </c>
      <c r="E1" s="38"/>
      <c r="F1" s="38"/>
      <c r="G1" s="36" t="s">
        <v>38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26357</v>
      </c>
      <c r="D2" s="6">
        <f>SUM(D4:D87)</f>
        <v>0</v>
      </c>
      <c r="E2" s="6">
        <f>C2-D2</f>
        <v>26357</v>
      </c>
      <c r="F2" s="7">
        <f>IFERROR(E2/D2, 0)</f>
        <v>0</v>
      </c>
      <c r="G2" s="6">
        <f>SUM(G4:G87)</f>
        <v>0</v>
      </c>
      <c r="H2" s="8">
        <f>C2-G2</f>
        <v>26357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26357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F12" sqref="F12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39</v>
      </c>
      <c r="E1" s="38"/>
      <c r="F1" s="38"/>
      <c r="G1" s="36" t="s">
        <v>40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20575</v>
      </c>
      <c r="D2" s="6">
        <f>SUM(D4:D87)</f>
        <v>0</v>
      </c>
      <c r="E2" s="6">
        <f>C2-D2</f>
        <v>20575</v>
      </c>
      <c r="F2" s="7">
        <f>IFERROR(E2/D2, 0)</f>
        <v>0</v>
      </c>
      <c r="G2" s="6">
        <f>SUM(G4:G87)</f>
        <v>0</v>
      </c>
      <c r="H2" s="8">
        <f>C2-G2</f>
        <v>20575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20575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G17" sqref="G17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41</v>
      </c>
      <c r="E1" s="38"/>
      <c r="F1" s="38"/>
      <c r="G1" s="36" t="s">
        <v>42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15169</v>
      </c>
      <c r="D2" s="6">
        <f>SUM(D4:D87)</f>
        <v>0</v>
      </c>
      <c r="E2" s="6">
        <f>C2-D2</f>
        <v>15169</v>
      </c>
      <c r="F2" s="7">
        <f>IFERROR(E2/D2, 0)</f>
        <v>0</v>
      </c>
      <c r="G2" s="6">
        <f>SUM(G4:G87)</f>
        <v>0</v>
      </c>
      <c r="H2" s="8">
        <f>C2-G2</f>
        <v>15169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15169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E10" sqref="E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43</v>
      </c>
      <c r="E1" s="38"/>
      <c r="F1" s="38"/>
      <c r="G1" s="36" t="s">
        <v>44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4813</v>
      </c>
      <c r="D2" s="6">
        <f>SUM(D4:D87)</f>
        <v>0</v>
      </c>
      <c r="E2" s="6">
        <f>C2-D2</f>
        <v>4813</v>
      </c>
      <c r="F2" s="7">
        <f>IFERROR(E2/D2, 0)</f>
        <v>0</v>
      </c>
      <c r="G2" s="6">
        <f>SUM(G4:G87)</f>
        <v>0</v>
      </c>
      <c r="H2" s="8">
        <f>C2-G2</f>
        <v>4813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4813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s="34" t="s">
        <v>46</v>
      </c>
    </row>
    <row r="3" spans="1:7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25">
      <c r="A4" s="3" t="s">
        <v>50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A2FA5E3A-AD8A-42D6-A0AB-E8BC2967454F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2025-01-13T20:37:56Z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974c0add-e563-4c82-a7d0-99ccb6d11960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