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A8DCCCFE-C194-44E3-945F-79F1C592B497}" xr6:coauthVersionLast="47" xr6:coauthVersionMax="47" xr10:uidLastSave="{00000000-0000-0000-0000-000000000000}"/>
  <bookViews>
    <workbookView xWindow="-108" yWindow="-108" windowWidth="23256" windowHeight="1245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0" l="1"/>
  <c r="H4" i="3"/>
  <c r="I4" i="3" s="1"/>
  <c r="G4" i="30"/>
  <c r="G2" i="30" s="1"/>
  <c r="G4" i="29"/>
  <c r="G4" i="18"/>
  <c r="G2" i="18" s="1"/>
  <c r="D2" i="3"/>
  <c r="F5" i="1"/>
  <c r="F5" i="4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F4" i="20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<sst xmlns="http://schemas.openxmlformats.org/spreadsheetml/2006/main" count="290" uniqueCount="64">
  <si>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</si>
  <si>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</si>
  <si>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</si>
  <si>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</si>
  <si>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</si>
  <si>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</si>
  <si>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</si>
  <si>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</si>
  <si>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</si>
  <si>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</si>
  <si>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</si>
  <si>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</si>
  <si>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 xml:space="preserve"> 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</si>
  <si>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</si>
  <si>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</si>
  <si>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</si>
  <si>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</si>
  <si>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</si>
  <si>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</si>
  <si>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</si>
  <si>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</si>
  <si>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</si>
  <si>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</si>
  <si>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</si>
  <si>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snow/rain.</t>
  </si>
  <si>
    <t>February Actual v. Expected</t>
  </si>
  <si>
    <t>February Actual v. Forecasted</t>
  </si>
  <si>
    <t>March Actual v. Expected</t>
  </si>
  <si>
    <t>March Actual v. Forecasted</t>
  </si>
  <si>
    <t xml:space="preserve">1. Inverter 1 started late for production on 03/09 due to  "DC voltage too high Wait for grid" and selfresolved on 03/09 at 10:30AM.
2. The site tripped offline at 7:30 AM on 03/18. Following a thermal event investigation on 03/19, the site will remain offline. While panel damage appears minimal, the wiring insulation may be compromised. Further investigation and repairs are required before safely re-energizing the site.
</t>
  </si>
  <si>
    <t>1.	SR098309
2. SR098691</t>
  </si>
  <si>
    <t>SR098691</t>
  </si>
  <si>
    <t>April Actual v. Expected</t>
  </si>
  <si>
    <t>April Actual v. Forecasted</t>
  </si>
  <si>
    <t>1. Site was offline from 03/18 to through out the month due to thermal event.</t>
  </si>
  <si>
    <t>1. SR098691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</si>
  <si>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</si>
  <si>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</si>
  <si>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</si>
  <si>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</si>
  <si>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</si>
  <si>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</si>
  <si>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 xml:space="preserve">                   N/A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</si>
  <si>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</si>
  <si>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</si>
  <si>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</si>
  <si>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</si>
  <si>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</si>
  <si>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</si>
  <si>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Status</t>
  </si>
  <si>
    <t>1.Closed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</si>
  <si>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</si>
  <si>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</si>
  <si>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</si>
  <si>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</si>
  <si>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</si>
  <si>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Plymouth - Seacoast Realty</t>
  </si>
  <si>
    <t>Site DAS Name</t>
  </si>
  <si>
    <t>Update</t>
  </si>
  <si>
    <t>DAS</t>
  </si>
  <si>
    <t>CDF (77 Industrial Park, Plymouth)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</si>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</sst>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4" fontId="35" fillId="0" borderId="0" xfId="0" applyNumberFormat="1" applyFont="1" applyAlignment="1">
      <alignment horizontal="right"/>
    </xf>
    <xf numFmtId="4" fontId="30" fillId="0" borderId="0" xfId="0" applyNumberFormat="1" applyFont="1" applyAlignment="1">
      <alignment horizontal="right"/>
    </xf>
    <xf numFmtId="3" fontId="35" fillId="0" borderId="0" xfId="0" applyNumberFormat="1" applyFont="1" applyAlignment="1">
      <alignment horizontal="right" wrapText="1"/>
    </xf>
    <xf numFmtId="3" fontId="35" fillId="0" borderId="0" xfId="0" applyNumberFormat="1" applyFont="1" applyAlignment="1">
      <alignment horizontal="right"/>
    </xf>
    <xf numFmtId="3" fontId="30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0" fontId="34" fillId="40" borderId="0" xfId="0" applyFont="1" applyFill="1" applyAlignment="1">
      <alignment horizontal="left" vertical="center"/>
    </xf>
    <xf numFmtId="3" fontId="30" fillId="4" borderId="0" xfId="1" applyNumberFormat="1" applyFont="1" applyFill="1" applyBorder="1" applyAlignment="1">
      <alignment horizontal="right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 inden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691" TargetMode="External"/><Relationship Id="rId1" Type="http://schemas.openxmlformats.org/officeDocument/2006/relationships/hyperlink" Target="https://us3.assetplanner.com/service_request?ID=09830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098691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691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D19" sqref="D1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0</v>
      </c>
      <c r="E1" s="64"/>
      <c r="F1" s="64"/>
      <c r="G1" s="62" t="s">
        <v>1</v>
      </c>
      <c r="H1" s="62"/>
      <c r="I1" s="62"/>
    </row>
    <row r="2" spans="1:9" ht="19.5" customHeight="1">
      <c r="A2" s="65" t="s">
        <v>2</v>
      </c>
      <c r="B2" s="65"/>
      <c r="C2" s="5">
        <f>SUM(C4:C79)</f>
        <v>76730</v>
      </c>
      <c r="D2" s="5">
        <f>SUM(D4:D79)</f>
        <v>342651.42699999997</v>
      </c>
      <c r="E2" s="5">
        <f>C2-D2</f>
        <v>-265921.42699999997</v>
      </c>
      <c r="F2" s="6">
        <f>IFERROR(E2/D2, 0)</f>
        <v>-0.77606980752483479</v>
      </c>
      <c r="G2" s="5">
        <f>SUM(G4:G79)</f>
        <v>0</v>
      </c>
      <c r="H2" s="7">
        <f>C2-G2</f>
        <v>76730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Plymouth - Seacoast Realty</v>
      </c>
      <c r="B4" s="9" t="str" cm="1">
        <f t="array" ref="B4">Sites[State]</f>
        <v>MA</v>
      </c>
      <c r="C4" s="23">
        <f>SUM('1st Qtr'!C4, '2nd Qtr'!C4, '3rd Qtr'!C4, '4th Qtr'!C4)</f>
        <v>76730</v>
      </c>
      <c r="D4" s="12">
        <f>SUM('1st Qtr'!D4, '2nd Qtr'!D4, '3rd Qtr'!D4, '4th Qtr'!D4)</f>
        <v>342651.42699999997</v>
      </c>
      <c r="E4" s="12">
        <f>IF(AND(ISNUMBER(C4),ISNUMBER(D4)), C4-D4, "")</f>
        <v>-265921.42699999997</v>
      </c>
      <c r="F4" s="13">
        <f>IFERROR(E4/D4, "")</f>
        <v>-0.77606980752483479</v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D27" sqref="D2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10</v>
      </c>
      <c r="E1" s="64"/>
      <c r="F1" s="64"/>
      <c r="G1" s="62" t="s">
        <v>11</v>
      </c>
      <c r="H1" s="62"/>
      <c r="I1" s="62"/>
    </row>
    <row r="2" spans="1:9" ht="19.5" customHeight="1">
      <c r="A2" s="65" t="s">
        <v>2</v>
      </c>
      <c r="B2" s="65"/>
      <c r="C2" s="5">
        <f>SUM(C4:C79)</f>
        <v>76730</v>
      </c>
      <c r="D2" s="5">
        <f>SUM(D4:D79)</f>
        <v>108943.44</v>
      </c>
      <c r="E2" s="5">
        <f>C2-D2</f>
        <v>-32213.440000000002</v>
      </c>
      <c r="F2" s="6">
        <f>IFERROR(E2/D2, 0)</f>
        <v>-0.29568957984069533</v>
      </c>
      <c r="G2" s="5">
        <f>SUM(G4:G79)</f>
        <v>0</v>
      </c>
      <c r="H2" s="7">
        <f>C2-G2</f>
        <v>76730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SUM(Jan!C4, Feb!C4, Mar!C4)</f>
        <v>76730</v>
      </c>
      <c r="D4" s="12">
        <f>SUM(Jan!D4, Feb!D4, Mar!D4)</f>
        <v>108943.44</v>
      </c>
      <c r="E4" s="12">
        <f>IF(AND(ISNUMBER(C4),ISNUMBER(D4)), C4-D4, "")</f>
        <v>-32213.440000000002</v>
      </c>
      <c r="F4" s="13">
        <f>IFERROR(E4/D4, "")</f>
        <v>-0.29568957984069533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54" t="s">
        <v>12</v>
      </c>
      <c r="D5" s="54" t="s">
        <v>12</v>
      </c>
      <c r="E5" s="17" t="s">
        <v>12</v>
      </c>
      <c r="F5" s="18" t="str">
        <f>IFERROR(E5/D5, "")</f>
        <v/>
      </c>
      <c r="G5" s="20"/>
      <c r="H5" s="20"/>
      <c r="I5" s="20"/>
    </row>
    <row r="6" spans="1:9" ht="13.9">
      <c r="A6" s="20"/>
      <c r="B6" s="20"/>
      <c r="C6" s="20"/>
      <c r="D6" s="20"/>
      <c r="E6" s="54" t="s">
        <v>12</v>
      </c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D25" sqref="D2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13</v>
      </c>
      <c r="E1" s="64"/>
      <c r="F1" s="64"/>
      <c r="G1" s="62" t="s">
        <v>14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161501.43199999997</v>
      </c>
      <c r="E2" s="5">
        <f>C2-D2</f>
        <v>-161501.43199999997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161501.43199999997</v>
      </c>
      <c r="E4" s="12">
        <f>IF(AND(ISNUMBER(C4),ISNUMBER(D4)), C4-D4, "")</f>
        <v>-161501.43199999997</v>
      </c>
      <c r="F4" s="13">
        <f>IFERROR(E4/D4, "")</f>
        <v>-1</v>
      </c>
      <c r="G4" s="14">
        <f>SUM(Apr!G4,May!G4,Jun!G4,)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G4" activePane="bottomRight" state="frozen"/>
      <selection pane="bottomRight" activeCell="G11" sqref="G1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15</v>
      </c>
      <c r="E1" s="64"/>
      <c r="F1" s="64"/>
      <c r="G1" s="62" t="s">
        <v>16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bottomRight" activeCell="F10" sqref="F10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MA: Plymouth - Seacoast Realty</v>
      </c>
      <c r="B1" s="63"/>
      <c r="C1" s="63"/>
      <c r="D1" s="64" t="s">
        <v>17</v>
      </c>
      <c r="E1" s="64"/>
      <c r="F1" s="64"/>
      <c r="G1" s="62" t="s">
        <v>18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72206.555000000008</v>
      </c>
      <c r="E2" s="5">
        <f>C2-D2</f>
        <v>-72206.555000000008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Plymouth - Seacoast Realty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72206.555000000008</v>
      </c>
      <c r="E4" s="12">
        <f>IF(AND(ISNUMBER(C4),ISNUMBER(D4)), C4-D4, "")</f>
        <v>-72206.555000000008</v>
      </c>
      <c r="F4" s="13">
        <f>IFERROR(E4/D4, "")</f>
        <v>-1</v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1" sqref="F11"/>
      <selection pane="bottomLeft" activeCell="A4" sqref="A4:XFD4"/>
      <selection pane="topRight" activeCell="A4" sqref="A4:XFD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19</v>
      </c>
      <c r="E1" s="64"/>
      <c r="F1" s="64"/>
      <c r="G1" s="62" t="s">
        <v>20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SUM(C4:C78)</f>
        <v>22040</v>
      </c>
      <c r="D2" s="5">
        <f>SUM(D4:D78)</f>
        <v>31721.37</v>
      </c>
      <c r="E2" s="5">
        <f>C2-D2</f>
        <v>-9681.369999999999</v>
      </c>
      <c r="F2" s="6">
        <f>IFERROR(E2/D2, 0)</f>
        <v>-0.30520024828688042</v>
      </c>
      <c r="G2" s="5">
        <f>SUM(G4:G78)</f>
        <v>0</v>
      </c>
      <c r="H2" s="7">
        <f>C2-G2</f>
        <v>22040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5" t="str" cm="1">
        <f t="array" ref="A4">Sites[Site]</f>
        <v>MA: Plymouth - Seacoast Realty</v>
      </c>
      <c r="B4" s="27" t="str" cm="1">
        <f t="array" ref="B4">Sites[State]</f>
        <v>MA</v>
      </c>
      <c r="C4" s="23">
        <v>22040</v>
      </c>
      <c r="D4" s="12">
        <v>31721.37</v>
      </c>
      <c r="E4" s="12">
        <f>IF(AND(ISNUMBER(C4),ISNUMBER(D4)), C4-D4, "")</f>
        <v>-9681.369999999999</v>
      </c>
      <c r="F4" s="13">
        <f>IFERROR(E4/D4, "")</f>
        <v>-0.30520024828688042</v>
      </c>
      <c r="G4" s="57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51" t="s">
        <v>12</v>
      </c>
      <c r="D5" s="52" t="s">
        <v>12</v>
      </c>
      <c r="E5" s="52" t="s">
        <v>12</v>
      </c>
      <c r="F5" s="51" t="s">
        <v>12</v>
      </c>
      <c r="G5" s="49"/>
      <c r="H5" s="49"/>
      <c r="I5" s="50"/>
      <c r="J5" s="39"/>
      <c r="K5" s="20"/>
    </row>
    <row r="6" spans="1:11" ht="14.45">
      <c r="A6" s="20"/>
      <c r="B6" s="29"/>
      <c r="C6" s="20"/>
      <c r="D6" s="20"/>
      <c r="E6" s="54" t="s">
        <v>12</v>
      </c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0" priority="6" stopIfTrue="1" operator="lessThanOrEqual">
      <formula>-0.1</formula>
    </cfRule>
    <cfRule type="expression" dxfId="29" priority="7">
      <formula>AND(ISNUMBER(F2), F2&gt;=0.1)</formula>
    </cfRule>
  </conditionalFormatting>
  <conditionalFormatting sqref="F4 I4:I7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F6:F78">
    <cfRule type="cellIs" dxfId="26" priority="3" stopIfTrue="1" operator="lessThanOrEqual">
      <formula>-0.1</formula>
    </cfRule>
    <cfRule type="expression" dxfId="25" priority="4">
      <formula>AND(ISNUMBER(F6), F6&gt;=0.1)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G4" sqref="G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25</v>
      </c>
      <c r="E1" s="64"/>
      <c r="F1" s="64"/>
      <c r="G1" s="62" t="s">
        <v>26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27840</v>
      </c>
      <c r="D2" s="5">
        <f>SUM(D4:D79)</f>
        <v>32921.550000000003</v>
      </c>
      <c r="E2" s="5">
        <f>C2-D2</f>
        <v>-5081.5500000000029</v>
      </c>
      <c r="F2" s="6">
        <f>IFERROR(E2/D2, 0)</f>
        <v>-0.15435330353522245</v>
      </c>
      <c r="G2" s="5">
        <f>SUM(G4:G79)</f>
        <v>0</v>
      </c>
      <c r="H2" s="7">
        <f>C2-G2</f>
        <v>27840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45" t="str" cm="1">
        <f t="array" ref="A4">Sites[Site]</f>
        <v>MA: Plymouth - Seacoast Realty</v>
      </c>
      <c r="B4" s="27" t="str" cm="1">
        <f t="array" ref="B4">Sites[State]</f>
        <v>MA</v>
      </c>
      <c r="C4" s="23">
        <v>27840</v>
      </c>
      <c r="D4" s="12">
        <v>32921.550000000003</v>
      </c>
      <c r="E4" s="12">
        <f>IF(AND(ISNUMBER(C4),ISNUMBER(D4)), C4-D4, "")</f>
        <v>-5081.5500000000029</v>
      </c>
      <c r="F4" s="13">
        <f>IFERROR(E4/D4, "")</f>
        <v>-0.15435330353522245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53"/>
      <c r="D5" s="53"/>
      <c r="E5" s="53"/>
      <c r="F5" s="18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55" t="s">
        <v>12</v>
      </c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1"/>
  <sheetViews>
    <sheetView zoomScale="80" zoomScaleNormal="80" workbookViewId="0">
      <pane xSplit="2" ySplit="3" topLeftCell="C4" activePane="bottomRight" state="frozen"/>
      <selection pane="bottomRight" activeCell="J20" sqref="J20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MA: Plymouth - Seacoast Realty</v>
      </c>
      <c r="B1" s="63"/>
      <c r="C1" s="63"/>
      <c r="D1" s="64" t="s">
        <v>27</v>
      </c>
      <c r="E1" s="64"/>
      <c r="F1" s="64"/>
      <c r="G1" s="62" t="s">
        <v>28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26850</v>
      </c>
      <c r="D2" s="5">
        <f>SUM(D4:D79)</f>
        <v>44300.52</v>
      </c>
      <c r="E2" s="5">
        <f>C2-D2</f>
        <v>-17450.519999999997</v>
      </c>
      <c r="F2" s="6">
        <f>IFERROR(E2/D2, 0)</f>
        <v>-0.39391230622123619</v>
      </c>
      <c r="G2" s="5">
        <f>SUM(G4:G79)</f>
        <v>0</v>
      </c>
      <c r="H2" s="7">
        <f>C2-G2</f>
        <v>26850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2" ht="102" customHeight="1">
      <c r="A4" s="56" t="str" cm="1">
        <f t="array" ref="A4">Sites[Site]</f>
        <v>MA: Plymouth - Seacoast Realty</v>
      </c>
      <c r="B4" s="27" t="str" cm="1">
        <f t="array" ref="B4">Sites[State]</f>
        <v>MA</v>
      </c>
      <c r="C4" s="23">
        <v>26850</v>
      </c>
      <c r="D4" s="12">
        <v>44300.52</v>
      </c>
      <c r="E4" s="12">
        <f>IF(AND(ISNUMBER(C4),ISNUMBER(D4)), C4-D4, "")</f>
        <v>-17450.519999999997</v>
      </c>
      <c r="F4" s="13">
        <f>IFERROR(E4/D4, "")</f>
        <v>-0.39391230622123619</v>
      </c>
      <c r="G4" s="59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29</v>
      </c>
      <c r="K4" s="60" t="s">
        <v>30</v>
      </c>
      <c r="L4" s="61" t="s">
        <v>31</v>
      </c>
    </row>
    <row r="5" spans="1:12" ht="14.45">
      <c r="A5" s="20"/>
      <c r="B5" s="29"/>
      <c r="C5" s="54" t="s">
        <v>12</v>
      </c>
      <c r="D5" s="54" t="s">
        <v>12</v>
      </c>
      <c r="E5" s="17" t="s">
        <v>12</v>
      </c>
      <c r="F5" s="18" t="str">
        <f>IFERROR(E5/D5, "")</f>
        <v/>
      </c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309" xr:uid="{BC194B4F-CCD7-4355-B645-459C114AA6C3}"/>
    <hyperlink ref="L4" r:id="rId2" display="https://us3.assetplanner.com/service_request?ID=098691" xr:uid="{AC01CE18-6A08-4FDC-A27F-132316A5166D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I4" activePane="bottomRight" state="frozen"/>
      <selection pane="bottomRight" activeCell="K4" sqref="K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32</v>
      </c>
      <c r="E1" s="64"/>
      <c r="F1" s="64"/>
      <c r="G1" s="62" t="s">
        <v>33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49780.000999999997</v>
      </c>
      <c r="E2" s="5">
        <f>C2-D2</f>
        <v>-49780.000999999997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49780.000999999997</v>
      </c>
      <c r="E4" s="12">
        <f>IF(AND(ISNUMBER(C4),ISNUMBER(D4)), C4-D4, "")</f>
        <v>-49780.000999999997</v>
      </c>
      <c r="F4" s="13">
        <f>IFERROR(E4/D4, "")</f>
        <v>-1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8691" xr:uid="{78CD56EC-E5A9-47D8-B3A0-5C548819C60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36</v>
      </c>
      <c r="E1" s="64"/>
      <c r="F1" s="64"/>
      <c r="G1" s="62" t="s">
        <v>37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53928.25</v>
      </c>
      <c r="E2" s="5">
        <f>C2-D2</f>
        <v>-53928.25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53928.25</v>
      </c>
      <c r="E4" s="12">
        <f>IF(AND(ISNUMBER(C4),ISNUMBER(D4)), C4-D4, "")</f>
        <v>-53928.25</v>
      </c>
      <c r="F4" s="13">
        <f>IFERROR(E4/D4, "")</f>
        <v>-1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8691" xr:uid="{628135D5-4803-4814-900E-03E3D7748F2F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38</v>
      </c>
      <c r="E1" s="64"/>
      <c r="F1" s="64"/>
      <c r="G1" s="62" t="s">
        <v>39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57793.180999999997</v>
      </c>
      <c r="E2" s="5">
        <f>C2-D2</f>
        <v>-57793.180999999997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57793.180999999997</v>
      </c>
      <c r="E4" s="12">
        <f>IF(AND(ISNUMBER(C4),ISNUMBER(D4)), C4-D4, "")</f>
        <v>-57793.180999999997</v>
      </c>
      <c r="F4" s="13">
        <f>IFERROR(E4/D4, "")</f>
        <v>-1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8691" xr:uid="{D6BBE751-6A95-40FD-BB66-3B9B2768DB2D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I20" sqref="I20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40</v>
      </c>
      <c r="E1" s="64"/>
      <c r="F1" s="64"/>
      <c r="G1" s="62" t="s">
        <v>41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 t="s">
        <v>42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098691" xr:uid="{52675C10-86E3-4737-8738-C2924D79E55A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H16" sqref="H16:H17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43</v>
      </c>
      <c r="E1" s="64"/>
      <c r="F1" s="64"/>
      <c r="G1" s="62" t="s">
        <v>44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60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tabSelected="1" workbookViewId="0">
      <pane xSplit="2" ySplit="3" topLeftCell="H4" activePane="bottomRight" state="frozen"/>
      <selection pane="bottomRight" activeCell="J15" sqref="J15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MA: Plymouth - Seacoast Realty</v>
      </c>
      <c r="B1" s="63"/>
      <c r="C1" s="63"/>
      <c r="D1" s="64" t="s">
        <v>45</v>
      </c>
      <c r="E1" s="64"/>
      <c r="F1" s="64"/>
      <c r="G1" s="62" t="s">
        <v>46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1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60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21"/>
  <sheetViews>
    <sheetView workbookViewId="0">
      <pane xSplit="2" ySplit="3" topLeftCell="C4" activePane="bottomRight" state="frozen"/>
      <selection pane="bottomRight" activeCell="L8" sqref="L8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MA: Plymouth - Seacoast Realty</v>
      </c>
      <c r="B1" s="63"/>
      <c r="C1" s="63"/>
      <c r="D1" s="64" t="s">
        <v>47</v>
      </c>
      <c r="E1" s="64"/>
      <c r="F1" s="64"/>
      <c r="G1" s="62" t="s">
        <v>48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0</v>
      </c>
      <c r="D2" s="5">
        <f>SUM(D4:D79)</f>
        <v>19103.437000000002</v>
      </c>
      <c r="E2" s="5">
        <f>C2-D2</f>
        <v>-19103.437000000002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  <c r="L3" s="24" t="s">
        <v>49</v>
      </c>
    </row>
    <row r="4" spans="1:12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19103.437000000002</v>
      </c>
      <c r="E4" s="12">
        <f>IF(AND(ISNUMBER(C4),ISNUMBER(D4)), C4-D4, "")</f>
        <v>-19103.437000000002</v>
      </c>
      <c r="F4" s="13">
        <f>IFERROR(E4/D4, "")</f>
        <v>-1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  <c r="L4" s="36" t="s">
        <v>50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098691" xr:uid="{678C4D6D-2668-42BB-A536-2C5E76910C43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21"/>
  <sheetViews>
    <sheetView workbookViewId="0">
      <pane xSplit="2" ySplit="3" topLeftCell="F4" activePane="bottomRight" state="frozen"/>
      <selection pane="bottomRight" activeCell="J4" sqref="J4:L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MA: Plymouth - Seacoast Realty</v>
      </c>
      <c r="B1" s="63"/>
      <c r="C1" s="63"/>
      <c r="D1" s="64" t="s">
        <v>51</v>
      </c>
      <c r="E1" s="64"/>
      <c r="F1" s="64"/>
      <c r="G1" s="62" t="s">
        <v>52</v>
      </c>
      <c r="H1" s="62"/>
      <c r="I1" s="62"/>
      <c r="J1" s="4"/>
      <c r="K1" s="4"/>
      <c r="L1" s="4"/>
    </row>
    <row r="2" spans="1:12" ht="19.5" customHeight="1">
      <c r="A2" s="65" t="s">
        <v>2</v>
      </c>
      <c r="B2" s="65"/>
      <c r="C2" s="5">
        <f>SUM(C4:C79)</f>
        <v>0</v>
      </c>
      <c r="D2" s="5">
        <f>SUM(D4:D79)</f>
        <v>27262.567999999999</v>
      </c>
      <c r="E2" s="5">
        <f>C2-D2</f>
        <v>-27262.567999999999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  <c r="L3" s="24" t="s">
        <v>49</v>
      </c>
    </row>
    <row r="4" spans="1:12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27262.567999999999</v>
      </c>
      <c r="E4" s="12">
        <f>IF(AND(ISNUMBER(C4),ISNUMBER(D4)), C4-D4, "")</f>
        <v>-27262.567999999999</v>
      </c>
      <c r="F4" s="13">
        <f>IFERROR(E4/D4, "")</f>
        <v>-1</v>
      </c>
      <c r="G4" s="58" t="s">
        <v>23</v>
      </c>
      <c r="H4" s="14" t="str">
        <f>IF(AND(ISNUMBER(C4),ISNUMBER(G4)), C4-G4, "")</f>
        <v/>
      </c>
      <c r="I4" s="15" t="str">
        <f>IFERROR(H4/G4, "")</f>
        <v/>
      </c>
      <c r="J4" s="36" t="s">
        <v>34</v>
      </c>
      <c r="K4" s="60" t="s">
        <v>35</v>
      </c>
      <c r="L4" s="36" t="s">
        <v>50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  <c r="L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  <c r="L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  <c r="L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  <c r="L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  <c r="L16" s="20"/>
    </row>
    <row r="17" spans="1:12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  <c r="L17" s="20"/>
    </row>
    <row r="18" spans="1:12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  <c r="L18" s="20"/>
    </row>
    <row r="19" spans="1:12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  <c r="L19" s="20"/>
    </row>
    <row r="20" spans="1:12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  <c r="L20" s="20"/>
    </row>
    <row r="21" spans="1:12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  <c r="L21" s="20"/>
    </row>
    <row r="22" spans="1:12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  <c r="L22" s="20"/>
    </row>
    <row r="23" spans="1:12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  <c r="L23" s="20"/>
    </row>
    <row r="24" spans="1:12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  <c r="L24" s="20"/>
    </row>
    <row r="25" spans="1:12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  <c r="L25" s="20"/>
    </row>
    <row r="26" spans="1:12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  <c r="L26" s="20"/>
    </row>
    <row r="27" spans="1:12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  <c r="L27" s="20"/>
    </row>
    <row r="28" spans="1:12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  <c r="L28" s="20"/>
    </row>
    <row r="29" spans="1:12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  <c r="L29" s="20"/>
    </row>
    <row r="30" spans="1:12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  <c r="L30" s="20"/>
    </row>
    <row r="31" spans="1:12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  <c r="L31" s="20"/>
    </row>
    <row r="32" spans="1:12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  <c r="L32" s="20"/>
    </row>
    <row r="33" spans="1:12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  <c r="L33" s="20"/>
    </row>
    <row r="34" spans="1:12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  <c r="L34" s="20"/>
    </row>
    <row r="35" spans="1:12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  <c r="L35" s="20"/>
    </row>
    <row r="36" spans="1:12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  <c r="L36" s="20"/>
    </row>
    <row r="37" spans="1:12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  <c r="L37" s="20"/>
    </row>
    <row r="38" spans="1:12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  <c r="L38" s="20"/>
    </row>
    <row r="39" spans="1:12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  <c r="L39" s="20"/>
    </row>
    <row r="40" spans="1:12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  <c r="L40" s="20"/>
    </row>
    <row r="41" spans="1:12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  <c r="L41" s="20"/>
    </row>
    <row r="42" spans="1:12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  <c r="L42" s="20"/>
    </row>
    <row r="43" spans="1:12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  <c r="L43" s="20"/>
    </row>
    <row r="44" spans="1:12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  <c r="L44" s="20"/>
    </row>
    <row r="45" spans="1:12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  <c r="L45" s="20"/>
    </row>
    <row r="46" spans="1:12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  <c r="L46" s="20"/>
    </row>
    <row r="47" spans="1:12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  <c r="L47" s="20"/>
    </row>
    <row r="48" spans="1:12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  <c r="L48" s="20"/>
    </row>
    <row r="49" spans="1:12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  <c r="L49" s="20"/>
    </row>
    <row r="50" spans="1:12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  <c r="L50" s="20"/>
    </row>
    <row r="51" spans="1:12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  <c r="L51" s="20"/>
    </row>
    <row r="52" spans="1:12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  <c r="L52" s="20"/>
    </row>
    <row r="53" spans="1:12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  <c r="L53" s="20"/>
    </row>
    <row r="54" spans="1:12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  <c r="L54" s="20"/>
    </row>
    <row r="55" spans="1:12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  <c r="L55" s="20"/>
    </row>
    <row r="56" spans="1:12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  <c r="L56" s="20"/>
    </row>
    <row r="57" spans="1:12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  <c r="L57" s="20"/>
    </row>
    <row r="58" spans="1:12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  <c r="L58" s="20"/>
    </row>
    <row r="59" spans="1:12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  <c r="L59" s="20"/>
    </row>
    <row r="60" spans="1:12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  <c r="L60" s="20"/>
    </row>
    <row r="61" spans="1:12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  <c r="L61" s="20"/>
    </row>
    <row r="62" spans="1:12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  <c r="L62" s="20"/>
    </row>
    <row r="63" spans="1:12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  <c r="L63" s="20"/>
    </row>
    <row r="64" spans="1:12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  <c r="L64" s="20"/>
    </row>
    <row r="65" spans="1:12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  <c r="L65" s="20"/>
    </row>
    <row r="66" spans="1:12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  <c r="L66" s="20"/>
    </row>
    <row r="67" spans="1:12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  <c r="L67" s="20"/>
    </row>
    <row r="68" spans="1:12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  <c r="L68" s="20"/>
    </row>
    <row r="69" spans="1:12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  <c r="L69" s="20"/>
    </row>
    <row r="70" spans="1:12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  <c r="L70" s="20"/>
    </row>
    <row r="71" spans="1:12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  <c r="L71" s="20"/>
    </row>
    <row r="72" spans="1:12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  <c r="L72" s="20"/>
    </row>
    <row r="73" spans="1:12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  <c r="L73" s="20"/>
    </row>
    <row r="74" spans="1:12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  <c r="L74" s="20"/>
    </row>
    <row r="75" spans="1:12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  <c r="L75" s="20"/>
    </row>
    <row r="76" spans="1:12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  <c r="L76" s="20"/>
    </row>
    <row r="77" spans="1:12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  <c r="L77" s="20"/>
    </row>
    <row r="78" spans="1:12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  <c r="L78" s="20"/>
    </row>
    <row r="79" spans="1:12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  <c r="L79" s="20"/>
    </row>
    <row r="80" spans="1:12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  <c r="L80" s="20"/>
    </row>
    <row r="81" spans="1:12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  <c r="L81" s="20"/>
    </row>
    <row r="82" spans="1:12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  <c r="L82" s="20"/>
    </row>
    <row r="83" spans="1:12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  <c r="L83" s="20"/>
    </row>
    <row r="84" spans="1:12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  <c r="L84" s="20"/>
    </row>
    <row r="85" spans="1:12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  <c r="L85" s="20"/>
    </row>
    <row r="86" spans="1:12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  <c r="L86" s="20"/>
    </row>
    <row r="87" spans="1:12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  <c r="L87" s="20"/>
    </row>
    <row r="88" spans="1:12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  <c r="L88" s="20"/>
    </row>
    <row r="89" spans="1:12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  <c r="L89" s="20"/>
    </row>
    <row r="90" spans="1:12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  <c r="L90" s="20"/>
    </row>
    <row r="91" spans="1:12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  <c r="L91" s="20"/>
    </row>
    <row r="92" spans="1:12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  <c r="L92" s="20"/>
    </row>
    <row r="93" spans="1:12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  <c r="L93" s="20"/>
    </row>
    <row r="94" spans="1:12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  <c r="L94" s="20"/>
    </row>
    <row r="95" spans="1:12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  <c r="L95" s="20"/>
    </row>
    <row r="96" spans="1:12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  <c r="L96" s="20"/>
    </row>
    <row r="97" spans="1:12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  <c r="L97" s="20"/>
    </row>
    <row r="98" spans="1:12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  <c r="L98" s="20"/>
    </row>
    <row r="99" spans="1:12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  <c r="L99" s="20"/>
    </row>
    <row r="100" spans="1:12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  <c r="L100" s="20"/>
    </row>
    <row r="101" spans="1:12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  <c r="L101" s="20"/>
    </row>
    <row r="102" spans="1:12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  <c r="L102" s="20"/>
    </row>
    <row r="103" spans="1:12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  <c r="L103" s="20"/>
    </row>
    <row r="104" spans="1:12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  <c r="L104" s="20"/>
    </row>
    <row r="105" spans="1:12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  <c r="L105" s="20"/>
    </row>
    <row r="106" spans="1:12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  <c r="L106" s="20"/>
    </row>
    <row r="107" spans="1:12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  <c r="L107" s="20"/>
    </row>
    <row r="108" spans="1:12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  <c r="L108" s="20"/>
    </row>
    <row r="109" spans="1:12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  <c r="L109" s="20"/>
    </row>
    <row r="110" spans="1:12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  <c r="L110" s="20"/>
    </row>
    <row r="111" spans="1:12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  <c r="L111" s="20"/>
    </row>
    <row r="112" spans="1:12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  <c r="L112" s="20"/>
    </row>
    <row r="113" spans="1:12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  <c r="L113" s="20"/>
    </row>
    <row r="114" spans="1:12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  <c r="L114" s="20"/>
    </row>
    <row r="115" spans="1:12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  <c r="L115" s="20"/>
    </row>
    <row r="116" spans="1:12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  <c r="L116" s="20"/>
    </row>
    <row r="117" spans="1:12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  <c r="L117" s="20"/>
    </row>
    <row r="118" spans="1:12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  <c r="L118" s="20"/>
    </row>
    <row r="119" spans="1:12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  <c r="L119" s="20"/>
    </row>
    <row r="120" spans="1:12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  <c r="L120" s="20"/>
    </row>
    <row r="121" spans="1:12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  <c r="L121" s="20"/>
    </row>
    <row r="122" spans="1:12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  <c r="L122" s="20"/>
    </row>
    <row r="123" spans="1:12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  <c r="L123" s="20"/>
    </row>
    <row r="124" spans="1:12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  <c r="L124" s="20"/>
    </row>
    <row r="125" spans="1:12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  <c r="L125" s="20"/>
    </row>
    <row r="126" spans="1:12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  <c r="L126" s="20"/>
    </row>
    <row r="127" spans="1:12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  <c r="L127" s="20"/>
    </row>
    <row r="128" spans="1:12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  <c r="L128" s="20"/>
    </row>
    <row r="129" spans="1:12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  <c r="L129" s="20"/>
    </row>
    <row r="130" spans="1:12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  <c r="L130" s="20"/>
    </row>
    <row r="131" spans="1:12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  <c r="L131" s="20"/>
    </row>
    <row r="132" spans="1:12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  <c r="L132" s="20"/>
    </row>
    <row r="133" spans="1:12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  <c r="L133" s="20"/>
    </row>
    <row r="134" spans="1:12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  <c r="L134" s="20"/>
    </row>
    <row r="135" spans="1:12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  <c r="L135" s="20"/>
    </row>
    <row r="136" spans="1:12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  <c r="L136" s="20"/>
    </row>
    <row r="137" spans="1:12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  <c r="L137" s="20"/>
    </row>
    <row r="138" spans="1:12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  <c r="L138" s="20"/>
    </row>
    <row r="139" spans="1:12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  <c r="L139" s="20"/>
    </row>
    <row r="140" spans="1:12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  <c r="L140" s="20"/>
    </row>
    <row r="141" spans="1:12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  <c r="L141" s="20"/>
    </row>
    <row r="142" spans="1:12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  <c r="L142" s="20"/>
    </row>
    <row r="143" spans="1:12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  <c r="L143" s="20"/>
    </row>
    <row r="144" spans="1:12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  <c r="L144" s="20"/>
    </row>
    <row r="145" spans="1:12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  <c r="L145" s="20"/>
    </row>
    <row r="146" spans="1:12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  <c r="L146" s="20"/>
    </row>
    <row r="147" spans="1:12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  <c r="L147" s="20"/>
    </row>
    <row r="148" spans="1:12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  <c r="L148" s="20"/>
    </row>
    <row r="149" spans="1:12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  <c r="L149" s="20"/>
    </row>
    <row r="150" spans="1:12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  <c r="L150" s="20"/>
    </row>
    <row r="151" spans="1:12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  <c r="L151" s="20"/>
    </row>
    <row r="152" spans="1:12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  <c r="L152" s="20"/>
    </row>
    <row r="153" spans="1:12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  <c r="L153" s="20"/>
    </row>
    <row r="154" spans="1:12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  <c r="L154" s="20"/>
    </row>
    <row r="155" spans="1:12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  <c r="L155" s="20"/>
    </row>
    <row r="156" spans="1:12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  <c r="L156" s="20"/>
    </row>
    <row r="157" spans="1:12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  <c r="L157" s="20"/>
    </row>
    <row r="158" spans="1:12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  <c r="L158" s="20"/>
    </row>
    <row r="159" spans="1:12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  <c r="L159" s="20"/>
    </row>
    <row r="160" spans="1:12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  <c r="L160" s="20"/>
    </row>
    <row r="161" spans="1:12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  <c r="L161" s="20"/>
    </row>
    <row r="162" spans="1:12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  <c r="L162" s="20"/>
    </row>
    <row r="163" spans="1:12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  <c r="L163" s="20"/>
    </row>
    <row r="164" spans="1:12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  <c r="L164" s="20"/>
    </row>
    <row r="165" spans="1:12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  <c r="L165" s="20"/>
    </row>
    <row r="166" spans="1:12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  <c r="L166" s="20"/>
    </row>
    <row r="167" spans="1:12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  <c r="L167" s="20"/>
    </row>
    <row r="168" spans="1:12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  <c r="L168" s="20"/>
    </row>
    <row r="169" spans="1:12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  <c r="L169" s="20"/>
    </row>
    <row r="170" spans="1:12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  <c r="L170" s="20"/>
    </row>
    <row r="171" spans="1:12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  <c r="L171" s="20"/>
    </row>
    <row r="172" spans="1:12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  <c r="L172" s="20"/>
    </row>
    <row r="173" spans="1:12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  <c r="L173" s="20"/>
    </row>
    <row r="174" spans="1:12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  <c r="L174" s="20"/>
    </row>
    <row r="175" spans="1:12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  <c r="L175" s="20"/>
    </row>
    <row r="176" spans="1:12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  <c r="L176" s="20"/>
    </row>
    <row r="177" spans="1:12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  <c r="L177" s="20"/>
    </row>
    <row r="178" spans="1:12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  <c r="L178" s="20"/>
    </row>
    <row r="179" spans="1:12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  <c r="L179" s="20"/>
    </row>
    <row r="180" spans="1:12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  <c r="L180" s="20"/>
    </row>
    <row r="181" spans="1:12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  <c r="L181" s="20"/>
    </row>
    <row r="182" spans="1:12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  <c r="L182" s="20"/>
    </row>
    <row r="183" spans="1:12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  <c r="L183" s="20"/>
    </row>
    <row r="184" spans="1:12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  <c r="L184" s="20"/>
    </row>
    <row r="185" spans="1:12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  <c r="L185" s="20"/>
    </row>
    <row r="186" spans="1:12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  <c r="L186" s="20"/>
    </row>
    <row r="187" spans="1:12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  <c r="L187" s="20"/>
    </row>
    <row r="188" spans="1:12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  <c r="L188" s="20"/>
    </row>
    <row r="189" spans="1:12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  <c r="L189" s="20"/>
    </row>
    <row r="190" spans="1:12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  <c r="L190" s="20"/>
    </row>
    <row r="191" spans="1:12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  <c r="L191" s="20"/>
    </row>
    <row r="192" spans="1:12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  <c r="L192" s="20"/>
    </row>
    <row r="193" spans="1:12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  <c r="L193" s="20"/>
    </row>
    <row r="194" spans="1:12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  <c r="L194" s="20"/>
    </row>
    <row r="195" spans="1:12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  <c r="L195" s="20"/>
    </row>
    <row r="196" spans="1:12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  <c r="L196" s="20"/>
    </row>
    <row r="197" spans="1:12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  <c r="L197" s="20"/>
    </row>
    <row r="198" spans="1:12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  <c r="L198" s="20"/>
    </row>
    <row r="199" spans="1:12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  <c r="L199" s="20"/>
    </row>
    <row r="200" spans="1:12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  <c r="L200" s="20"/>
    </row>
    <row r="201" spans="1:12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  <c r="L201" s="20"/>
    </row>
    <row r="202" spans="1:12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  <c r="L202" s="20"/>
    </row>
    <row r="203" spans="1:12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  <c r="L203" s="20"/>
    </row>
    <row r="204" spans="1:12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  <c r="L204" s="20"/>
    </row>
    <row r="205" spans="1:12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  <c r="L205" s="20"/>
    </row>
    <row r="206" spans="1:12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  <c r="L206" s="20"/>
    </row>
    <row r="207" spans="1:12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  <c r="L207" s="20"/>
    </row>
    <row r="208" spans="1:12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  <c r="L208" s="20"/>
    </row>
    <row r="209" spans="1:12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  <c r="L209" s="20"/>
    </row>
    <row r="210" spans="1:12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  <c r="L210" s="20"/>
    </row>
    <row r="211" spans="1:12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  <c r="L211" s="20"/>
    </row>
    <row r="212" spans="1:12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  <c r="L212" s="20"/>
    </row>
    <row r="213" spans="1:12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  <c r="L213" s="20"/>
    </row>
    <row r="214" spans="1:12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  <c r="L214" s="20"/>
    </row>
    <row r="215" spans="1:12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  <c r="L215" s="20"/>
    </row>
    <row r="216" spans="1:12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  <c r="L216" s="20"/>
    </row>
    <row r="217" spans="1:12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  <c r="L217" s="20"/>
    </row>
    <row r="218" spans="1:12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  <c r="L218" s="20"/>
    </row>
    <row r="219" spans="1:12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  <c r="L219" s="20"/>
    </row>
    <row r="220" spans="1:12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  <c r="L220" s="20"/>
    </row>
    <row r="221" spans="1:12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  <c r="L221" s="20"/>
    </row>
    <row r="222" spans="1:12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  <c r="L222" s="20"/>
    </row>
    <row r="223" spans="1:12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  <c r="L223" s="20"/>
    </row>
    <row r="224" spans="1:12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  <c r="L224" s="20"/>
    </row>
    <row r="225" spans="1:12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  <c r="L225" s="20"/>
    </row>
    <row r="226" spans="1:12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  <c r="L226" s="20"/>
    </row>
    <row r="227" spans="1:12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  <c r="L227" s="20"/>
    </row>
    <row r="228" spans="1:12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  <c r="L228" s="20"/>
    </row>
    <row r="229" spans="1:12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  <c r="L229" s="20"/>
    </row>
    <row r="230" spans="1:12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  <c r="L230" s="20"/>
    </row>
    <row r="231" spans="1:12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  <c r="L231" s="20"/>
    </row>
    <row r="232" spans="1:12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  <c r="L232" s="20"/>
    </row>
    <row r="233" spans="1:12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  <c r="L233" s="20"/>
    </row>
    <row r="234" spans="1:12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  <c r="L234" s="20"/>
    </row>
    <row r="235" spans="1:12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  <c r="L235" s="20"/>
    </row>
    <row r="236" spans="1:12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  <c r="L236" s="20"/>
    </row>
    <row r="237" spans="1:12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  <c r="L237" s="20"/>
    </row>
    <row r="238" spans="1:12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  <c r="L238" s="20"/>
    </row>
    <row r="239" spans="1:12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  <c r="L239" s="20"/>
    </row>
    <row r="240" spans="1:12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  <c r="L240" s="20"/>
    </row>
    <row r="241" spans="1:12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  <c r="L241" s="20"/>
    </row>
    <row r="242" spans="1:12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  <c r="L242" s="20"/>
    </row>
    <row r="243" spans="1:12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  <c r="L243" s="20"/>
    </row>
    <row r="244" spans="1:12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  <c r="L244" s="20"/>
    </row>
    <row r="245" spans="1:12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  <c r="L245" s="20"/>
    </row>
    <row r="246" spans="1:12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  <c r="L246" s="20"/>
    </row>
    <row r="247" spans="1:12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  <c r="L247" s="20"/>
    </row>
    <row r="248" spans="1:12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  <c r="L248" s="20"/>
    </row>
    <row r="249" spans="1:12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  <c r="L249" s="20"/>
    </row>
    <row r="250" spans="1:12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  <c r="L250" s="20"/>
    </row>
    <row r="251" spans="1:12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  <c r="L251" s="20"/>
    </row>
    <row r="252" spans="1:12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  <c r="L252" s="20"/>
    </row>
    <row r="253" spans="1:12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  <c r="L253" s="20"/>
    </row>
    <row r="254" spans="1:12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  <c r="L254" s="20"/>
    </row>
    <row r="255" spans="1:12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  <c r="L255" s="20"/>
    </row>
    <row r="256" spans="1:12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  <c r="L256" s="20"/>
    </row>
    <row r="257" spans="1:12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  <c r="L257" s="20"/>
    </row>
    <row r="258" spans="1:12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  <c r="L258" s="20"/>
    </row>
    <row r="259" spans="1:12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  <c r="L259" s="20"/>
    </row>
    <row r="260" spans="1:12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  <c r="L260" s="20"/>
    </row>
    <row r="261" spans="1:12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  <c r="L261" s="20"/>
    </row>
    <row r="262" spans="1:12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  <c r="L262" s="20"/>
    </row>
    <row r="263" spans="1:12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  <c r="L263" s="20"/>
    </row>
    <row r="264" spans="1:12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  <c r="L264" s="20"/>
    </row>
    <row r="265" spans="1:12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  <c r="L265" s="20"/>
    </row>
    <row r="266" spans="1:12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  <c r="L266" s="20"/>
    </row>
    <row r="267" spans="1:12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  <c r="L267" s="20"/>
    </row>
    <row r="268" spans="1:12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  <c r="L268" s="20"/>
    </row>
    <row r="269" spans="1:12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  <c r="L269" s="20"/>
    </row>
    <row r="270" spans="1:12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  <c r="L270" s="20"/>
    </row>
    <row r="271" spans="1:12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  <c r="L271" s="20"/>
    </row>
    <row r="272" spans="1:12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  <c r="L272" s="20"/>
    </row>
    <row r="273" spans="1:12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  <c r="L273" s="20"/>
    </row>
    <row r="274" spans="1:12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  <c r="L274" s="20"/>
    </row>
    <row r="275" spans="1:12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  <c r="L275" s="20"/>
    </row>
    <row r="276" spans="1:12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  <c r="L276" s="20"/>
    </row>
    <row r="277" spans="1:12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  <c r="L277" s="20"/>
    </row>
    <row r="278" spans="1:12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  <c r="L278" s="20"/>
    </row>
    <row r="279" spans="1:12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  <c r="L279" s="20"/>
    </row>
    <row r="280" spans="1:12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  <c r="L280" s="20"/>
    </row>
    <row r="281" spans="1:12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  <c r="L281" s="20"/>
    </row>
    <row r="282" spans="1:12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  <c r="L282" s="20"/>
    </row>
    <row r="283" spans="1:12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  <c r="L283" s="20"/>
    </row>
    <row r="284" spans="1:12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  <c r="L284" s="20"/>
    </row>
    <row r="285" spans="1:12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  <c r="L285" s="20"/>
    </row>
    <row r="286" spans="1:12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  <c r="L286" s="20"/>
    </row>
    <row r="287" spans="1:12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  <c r="L287" s="20"/>
    </row>
    <row r="288" spans="1:12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  <c r="L288" s="20"/>
    </row>
    <row r="289" spans="1:12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  <c r="L289" s="20"/>
    </row>
    <row r="290" spans="1:12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  <c r="L290" s="20"/>
    </row>
    <row r="291" spans="1:12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  <c r="L291" s="20"/>
    </row>
    <row r="292" spans="1:12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  <c r="L292" s="20"/>
    </row>
    <row r="293" spans="1:12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  <c r="L293" s="20"/>
    </row>
    <row r="294" spans="1:12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  <c r="L294" s="20"/>
    </row>
    <row r="295" spans="1:12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  <c r="L295" s="20"/>
    </row>
    <row r="296" spans="1:12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  <c r="L296" s="20"/>
    </row>
    <row r="297" spans="1:12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  <c r="L297" s="20"/>
    </row>
    <row r="298" spans="1:12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  <c r="L298" s="20"/>
    </row>
    <row r="299" spans="1:12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  <c r="L299" s="20"/>
    </row>
    <row r="300" spans="1:12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  <c r="L300" s="20"/>
    </row>
    <row r="301" spans="1:12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  <c r="L301" s="20"/>
    </row>
    <row r="302" spans="1:12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  <c r="L302" s="20"/>
    </row>
    <row r="303" spans="1:12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  <c r="L303" s="20"/>
    </row>
    <row r="304" spans="1:12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  <c r="L304" s="20"/>
    </row>
    <row r="305" spans="1:12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  <c r="L305" s="20"/>
    </row>
    <row r="306" spans="1:12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  <c r="L306" s="20"/>
    </row>
    <row r="307" spans="1:12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  <c r="L307" s="20"/>
    </row>
    <row r="308" spans="1:12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  <c r="L308" s="20"/>
    </row>
    <row r="309" spans="1:12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  <c r="L309" s="20"/>
    </row>
    <row r="310" spans="1:12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  <c r="L310" s="20"/>
    </row>
    <row r="311" spans="1:12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  <c r="L311" s="20"/>
    </row>
    <row r="312" spans="1:12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  <c r="L312" s="20"/>
    </row>
    <row r="313" spans="1:12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  <c r="L313" s="20"/>
    </row>
    <row r="314" spans="1:12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  <c r="L314" s="20"/>
    </row>
    <row r="315" spans="1:12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  <c r="L315" s="20"/>
    </row>
    <row r="316" spans="1:12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  <c r="L316" s="20"/>
    </row>
    <row r="317" spans="1:12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  <c r="L317" s="20"/>
    </row>
    <row r="318" spans="1:12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  <c r="L318" s="20"/>
    </row>
    <row r="319" spans="1:12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  <c r="L319" s="20"/>
    </row>
    <row r="320" spans="1:12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  <c r="L320" s="20"/>
    </row>
    <row r="321" spans="3:12" ht="14.45">
      <c r="C321" s="20"/>
      <c r="D321" s="20"/>
      <c r="E321" s="20"/>
      <c r="F321" s="21"/>
      <c r="G321" s="20"/>
      <c r="H321" s="20"/>
      <c r="I321" s="21"/>
      <c r="J321" s="20"/>
      <c r="K321" s="20"/>
      <c r="L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098691" xr:uid="{477B19B3-A743-414C-B284-E06A2EF4111D}"/>
  </hyperlinks>
  <pageMargins left="0.4" right="0.7" top="0.25" bottom="0.25" header="0.3" footer="0.3"/>
  <pageSetup fitToHeight="9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21"/>
  <sheetViews>
    <sheetView workbookViewId="0">
      <pane xSplit="2" ySplit="3" topLeftCell="C4" activePane="bottomRight" state="frozen"/>
      <selection pane="bottomRight" activeCell="D4" sqref="D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MA: Plymouth - Seacoast Realty</v>
      </c>
      <c r="B1" s="63"/>
      <c r="C1" s="63"/>
      <c r="D1" s="64" t="s">
        <v>53</v>
      </c>
      <c r="E1" s="64"/>
      <c r="F1" s="64"/>
      <c r="G1" s="62" t="s">
        <v>54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0</v>
      </c>
      <c r="D2" s="5">
        <f>SUM(D4:D79)</f>
        <v>25840.55</v>
      </c>
      <c r="E2" s="5">
        <f>C2-D2</f>
        <v>-25840.55</v>
      </c>
      <c r="F2" s="6">
        <f>IFERROR(E2/D2, 0)</f>
        <v>-1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21</v>
      </c>
      <c r="K3" s="24" t="s">
        <v>22</v>
      </c>
    </row>
    <row r="4" spans="1:12" ht="15.6">
      <c r="A4" s="28" t="str" cm="1">
        <f t="array" ref="A4">Sites[Site]</f>
        <v>MA: Plymouth - Seacoast Realty</v>
      </c>
      <c r="B4" s="27" t="str" cm="1">
        <f t="array" ref="B4">Sites[State]</f>
        <v>MA</v>
      </c>
      <c r="C4" s="23">
        <v>0</v>
      </c>
      <c r="D4" s="12">
        <v>25840.55</v>
      </c>
      <c r="E4" s="12">
        <f>IF(AND(ISNUMBER(C4),ISNUMBER(D4)), C4-D4, "")</f>
        <v>-25840.55</v>
      </c>
      <c r="F4" s="13">
        <f>IFERROR(E4/D4, "")</f>
        <v>-1</v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60" t="s">
        <v>35</v>
      </c>
      <c r="L4" t="s">
        <v>50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098691" xr:uid="{F8831CB2-7F70-46CE-AA3F-2053810407C5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2" sqref="A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55</v>
      </c>
      <c r="B1" t="s">
        <v>56</v>
      </c>
    </row>
    <row r="3" spans="1:12" ht="13.15">
      <c r="A3" t="s">
        <v>57</v>
      </c>
      <c r="B3" t="s">
        <v>3</v>
      </c>
      <c r="C3" t="s">
        <v>4</v>
      </c>
      <c r="D3" t="s">
        <v>58</v>
      </c>
      <c r="E3" s="2" t="s">
        <v>59</v>
      </c>
    </row>
    <row r="4" spans="1:12" ht="14.45">
      <c r="A4" s="44" t="s">
        <v>60</v>
      </c>
      <c r="B4" t="s">
        <v>56</v>
      </c>
      <c r="C4" s="42" t="s">
        <v>61</v>
      </c>
      <c r="D4" s="41" t="s">
        <v>62</v>
      </c>
      <c r="E4" t="s">
        <v>63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A99B54A6-2CD4-4C2B-887A-9949660CFDEE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2025-10-29T23:22:37Z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55d2e705-0703-439b-a9a0-78e6a13f18b7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