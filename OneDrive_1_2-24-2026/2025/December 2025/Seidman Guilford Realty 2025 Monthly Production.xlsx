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960E3AD-2215-4EC0-A0EE-BFAA74AB3B26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H4" i="29" s="1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H2" i="33" l="1"/>
  <c r="I2" i="33" s="1"/>
  <c r="I4" i="26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<sst xmlns="http://schemas.openxmlformats.org/spreadsheetml/2006/main" count="254" uniqueCount="58">
  <si>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</si>
  <si>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</si>
  <si>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</si>
  <si>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</si>
  <si>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</si>
  <si>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</si>
  <si>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</si>
  <si>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</si>
  <si>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</si>
  <si>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</si>
  <si>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</si>
  <si>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</si>
  <si>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</si>
  <si>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</si>
  <si>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</si>
  <si>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</si>
  <si>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</si>
  <si>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</si>
  <si>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</si>
  <si>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</si>
  <si>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</si>
  <si>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</si>
  <si>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</si>
  <si>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</si>
  <si>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</si>
  <si>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</si>
  <si>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</si>
  <si>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</si>
  <si>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</si>
  <si>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</si>
  <si>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</si>
  <si>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</si>
  <si>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</si>
  <si>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</si>
  <si>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not communicated for whole month.</t>
  </si>
  <si>
    <t>1. SR104767</t>
  </si>
  <si>
    <t>August Actual v. Expected</t>
  </si>
  <si>
    <t>August Actual v. Forecasted</t>
  </si>
  <si>
    <t>September Actual v. Expected</t>
  </si>
  <si>
    <t>September Actual v. Forecasted</t>
  </si>
  <si>
    <t>N/A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</si>
  <si>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</si>
  <si>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October Actual v. Expected</t>
  </si>
  <si>
    <t>October Actual v. Forecasted</t>
  </si>
  <si>
    <t/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</si>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</sst>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7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98141.932000000001</v>
      </c>
      <c r="D2" s="5">
        <f>SUM(D4:D79)</f>
        <v>0</v>
      </c>
      <c r="E2" s="5">
        <f>C2-D2</f>
        <v>98141.932000000001</v>
      </c>
      <c r="F2" s="6">
        <f>IFERROR(E2/D2, 0)</f>
        <v>0</v>
      </c>
      <c r="G2" s="5">
        <f>SUM(G4:G79)</f>
        <v>64149.165999999997</v>
      </c>
      <c r="H2" s="7">
        <f>C2-G2</f>
        <v>33992.766000000003</v>
      </c>
      <c r="I2" s="6">
        <f>IFERROR(H2/G2, 0)</f>
        <v>0.52990191641774431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98141.932000000001</v>
      </c>
      <c r="D4" s="12">
        <f>SUM('1st Qtr'!D4, '2nd Qtr'!D4, '3rd Qtr'!D4, '4th Qtr'!D4)</f>
        <v>0</v>
      </c>
      <c r="E4" s="12">
        <f>IF(AND(ISNUMBER(C4),ISNUMBER(D4)), C4-D4, "")</f>
        <v>98141.932000000001</v>
      </c>
      <c r="F4" s="13" t="str">
        <f>IFERROR(E4/D4, "")</f>
        <v/>
      </c>
      <c r="G4" s="14">
        <f>SUM('1st Qtr'!G4, '2nd Qtr'!G4, '3rd Qtr'!G4, '4th Qtr'!G4)</f>
        <v>64149.165999999997</v>
      </c>
      <c r="H4" s="14">
        <f>SUM('1st Qtr'!H4, '2nd Qtr'!H4, '3rd Qtr'!H4, '4th Qtr'!H4)</f>
        <v>22466.766000000003</v>
      </c>
      <c r="I4" s="15">
        <f>IFERROR(H4/G4, "")</f>
        <v>0.35022693825824647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35800.932000000001</v>
      </c>
      <c r="D4" s="12">
        <f>SUM(Jul!D4, Aug!D4, Sep!D4)</f>
        <v>0</v>
      </c>
      <c r="E4" s="12">
        <f>IF(AND(ISNUMBER(C4),ISNUMBER(D4)), C4-D4, "")</f>
        <v>35800.932000000001</v>
      </c>
      <c r="F4" s="13" t="str">
        <f>IFERROR(E4/D4, "")</f>
        <v/>
      </c>
      <c r="G4" s="14">
        <f>SUM(Jul!G4,Aug!H4,Sep!G4)</f>
        <v>28613.159</v>
      </c>
      <c r="H4" s="14">
        <f>SUM(Jul!H4, Aug!H4, Sep!H4)</f>
        <v>7187.773000000001</v>
      </c>
      <c r="I4" s="15">
        <f>IFERROR(H4/G4, "")</f>
        <v>0.25120515354491274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62341</v>
      </c>
      <c r="D2" s="5">
        <f>SUM(D4:D79)</f>
        <v>0</v>
      </c>
      <c r="E2" s="5">
        <f>C2-D2</f>
        <v>62341</v>
      </c>
      <c r="F2" s="6">
        <f>IFERROR(E2/D2, 0)</f>
        <v>0</v>
      </c>
      <c r="G2" s="5">
        <f>SUM(G4:G79)</f>
        <v>35536.006999999998</v>
      </c>
      <c r="H2" s="7">
        <f>C2-G2</f>
        <v>26804.993000000002</v>
      </c>
      <c r="I2" s="6">
        <f>IFERROR(H2/G2, 0)</f>
        <v>0.75430514745227295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62341</v>
      </c>
      <c r="D4" s="12">
        <f>SUM(Oct!D4, Nov!D4, Dec!D4)</f>
        <v>0</v>
      </c>
      <c r="E4" s="12">
        <f>IF(AND(ISNUMBER(C4),ISNUMBER(D4)), C4-D4, "")</f>
        <v>62341</v>
      </c>
      <c r="F4" s="13" t="str">
        <f>IFERROR(E4/D4, "")</f>
        <v/>
      </c>
      <c r="G4" s="14">
        <f>SUM(Oct!G4,Nov!G4,Dec!G5)</f>
        <v>35536.006999999998</v>
      </c>
      <c r="H4" s="14">
        <f>SUM(Oct!H4, Nov!H4, Dec!H4)</f>
        <v>15278.993</v>
      </c>
      <c r="I4" s="15">
        <f>IFERROR(H4/G4, "")</f>
        <v>0.42995807041573358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Seidman Guilford Realty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Seidman Guilford Realty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Seidman Guilford Realty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C4" activePane="bottomRight" state="frozen"/>
      <selection pane="bottomRight" activeCell="I19" sqref="I19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E4" activePane="bottomRight" state="frozen"/>
      <selection pane="bottomRight" activeCell="J16" sqref="J16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Seidman Guilford Realty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36" t="s">
        <v>35</v>
      </c>
      <c r="L4" s="54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K8" sqref="K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53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104767" xr:uid="{FE0D7DA8-5762-41D3-B6CD-1949880EAE5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35800.932000000001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28613.159</v>
      </c>
      <c r="H4" s="14">
        <f>IF(AND(ISNUMBER(C4),ISNUMBER(G4)), C4-G4, "")</f>
        <v>7187.773000000001</v>
      </c>
      <c r="I4" s="15">
        <f>IFERROR(H4/G4, "")</f>
        <v>0.25120515354491274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29450</v>
      </c>
      <c r="D2" s="5">
        <f>SUM(D4:D79)</f>
        <v>0</v>
      </c>
      <c r="E2" s="5">
        <f>C2-D2</f>
        <v>29450</v>
      </c>
      <c r="F2" s="6">
        <f>IFERROR(E2/D2, 0)</f>
        <v>0</v>
      </c>
      <c r="G2" s="5">
        <f>SUM(G4:G79)</f>
        <v>21931</v>
      </c>
      <c r="H2" s="7">
        <f>C2-G2</f>
        <v>7519</v>
      </c>
      <c r="I2" s="6">
        <f>IFERROR(H2/G2, 0)</f>
        <v>0.34284802334594866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29450</v>
      </c>
      <c r="D4" s="12" t="s">
        <v>40</v>
      </c>
      <c r="E4" s="12" t="s">
        <v>44</v>
      </c>
      <c r="F4" s="13" t="s">
        <v>44</v>
      </c>
      <c r="G4" s="14">
        <v>21931</v>
      </c>
      <c r="H4" s="14">
        <v>7519</v>
      </c>
      <c r="I4" s="15">
        <v>0.34284802334594866</v>
      </c>
      <c r="J4" s="36" t="s">
        <v>41</v>
      </c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18836</v>
      </c>
      <c r="D2" s="5">
        <f>SUM(D4:D79)</f>
        <v>0</v>
      </c>
      <c r="E2" s="5">
        <f>C2-D2</f>
        <v>18836</v>
      </c>
      <c r="F2" s="6">
        <f>IFERROR(E2/D2, 0)</f>
        <v>0</v>
      </c>
      <c r="G2" s="5">
        <f>SUM(G4:G79)</f>
        <v>13605.007</v>
      </c>
      <c r="H2" s="7">
        <f>C2-G2</f>
        <v>5230.9930000000004</v>
      </c>
      <c r="I2" s="6">
        <f>IFERROR(H2/G2, 0)</f>
        <v>0.38449028361396659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18836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13605.007</v>
      </c>
      <c r="H4" s="14">
        <f>IF(AND(ISNUMBER(C4),ISNUMBER(G4)), C4-G4, "")</f>
        <v>5230.9930000000004</v>
      </c>
      <c r="I4" s="15">
        <f>IFERROR(H4/G4, "")</f>
        <v>0.38449028361396659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C10" sqref="C10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14055</v>
      </c>
      <c r="D2" s="5">
        <f>SUM(D4:D79)</f>
        <v>0</v>
      </c>
      <c r="E2" s="5">
        <f>C2-D2</f>
        <v>14055</v>
      </c>
      <c r="F2" s="6">
        <f>IFERROR(E2/D2, 0)</f>
        <v>0</v>
      </c>
      <c r="G2" s="5">
        <f>SUM(G4:G79)</f>
        <v>11526</v>
      </c>
      <c r="H2" s="7">
        <f>C2-G2</f>
        <v>2529</v>
      </c>
      <c r="I2" s="6">
        <f>IFERROR(H2/G2, 0)</f>
        <v>0.21941697032795418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14055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11526</v>
      </c>
      <c r="H4" s="14">
        <f>IF(AND(ISNUMBER(C4),ISNUMBER(G4)), C4-G4, "")</f>
        <v>2529</v>
      </c>
      <c r="I4" s="15">
        <f>IFERROR(H4/G4, "")</f>
        <v>0.21941697032795418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50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23827E52-E291-4023-AEAC-B292928CF299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