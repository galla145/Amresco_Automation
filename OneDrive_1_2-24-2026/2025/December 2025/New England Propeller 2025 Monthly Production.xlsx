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09370163-3963-4E7B-A82C-CFD66C776F60}" xr6:coauthVersionLast="47" xr6:coauthVersionMax="47" xr10:uidLastSave="{0489CCCA-960C-4A83-ACD0-95B763174ED5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E4" i="30"/>
  <c r="F4" i="30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<sst xmlns="http://schemas.openxmlformats.org/spreadsheetml/2006/main" count="257" uniqueCount="64">
  <si>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</si>
  <si>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</si>
  <si>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</si>
  <si>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</si>
  <si>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</si>
  <si>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</si>
  <si>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</si>
  <si>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</si>
  <si>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</si>
  <si>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</si>
  <si>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</si>
  <si>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</si>
  <si>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</si>
  <si>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</si>
  <si>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</si>
  <si>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</si>
  <si>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</si>
  <si>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</si>
  <si>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</si>
  <si>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</si>
  <si>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</si>
  <si>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</si>
  <si>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</si>
  <si>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not started for production on 01/20, 01/21, 01/22 and low production 01/23, 01/24, 01/25 01/26 due to snow event.</t>
  </si>
  <si>
    <t>February Actual v. Expected</t>
  </si>
  <si>
    <t>February Actual v. Forecasted</t>
  </si>
  <si>
    <t>1. Site was not started for production on 02/09, 02/10, 02/11, 02/12, 02/13, 02/16 due to heavy snow.</t>
  </si>
  <si>
    <t>March Actual v. Expected</t>
  </si>
  <si>
    <t>March Actual v. Forecasted</t>
  </si>
  <si>
    <t>1.Low genaration on 03/05,03/17,03/24 due to rain.</t>
  </si>
  <si>
    <t>April Actual v. Expected</t>
  </si>
  <si>
    <t>April Actual v. Forecasted</t>
  </si>
  <si>
    <t>1. Site has low production on 04/03, 04/05, 04/06, 04/07, 04/12,  due to low irradiance.</t>
  </si>
  <si>
    <t>May Actual v. Expected</t>
  </si>
  <si>
    <t>May Actual v. Forecasted</t>
  </si>
  <si>
    <t>1. Site has low production on 05/04, 05/05, 05/06,05/09, 05/15, 05/21, 05/22, due to low irradiance.</t>
  </si>
  <si>
    <t>June Actual v. Expected</t>
  </si>
  <si>
    <t>June Actual v. Forecasted</t>
  </si>
  <si>
    <t>1. Site has low production on 06/09, 06/10, 06/17, 06/18 due to low irradiance.</t>
  </si>
  <si>
    <t>July Actual v. Expected</t>
  </si>
  <si>
    <t>July Actual v. Forecasted</t>
  </si>
  <si>
    <t>1. Site production was low on 09/07 and 09/25 due to rain and cloudy weather.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</si>
  <si>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</si>
  <si>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</si>
  <si>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</si>
  <si>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</si>
  <si>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</si>
  <si>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</si>
  <si>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</si>
  <si>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</si>
  <si>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1.Site production was low on 11/10, 11/21, 11/22,11/25, 11/26 &amp; 11/30</t>
  </si>
  <si>
    <t>December Actual v. Expected</t>
  </si>
  <si>
    <t>December Actual v. Forecasted</t>
  </si>
  <si>
    <t>1.Site production was low on 12/14 to 12/17 and again 12/27 to 12/29 due to snow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</si>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</sst>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3" fontId="30" fillId="3" borderId="0" xfId="0" applyNumberFormat="1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SUM(C4:C58)</f>
        <v>119965.75</v>
      </c>
      <c r="D2" s="5">
        <f>SUM(D4:D58)</f>
        <v>0</v>
      </c>
      <c r="E2" s="5">
        <f>C2-D2</f>
        <v>119965.75</v>
      </c>
      <c r="F2" s="6">
        <f>IFERROR(E2/D2, 0)</f>
        <v>0</v>
      </c>
      <c r="G2" s="5">
        <f>SUM(G4:G58)</f>
        <v>141828.959</v>
      </c>
      <c r="H2" s="7">
        <f>C2-G2</f>
        <v>-21863.209000000003</v>
      </c>
      <c r="I2" s="6">
        <f>IFERROR(H2/G2, 0)</f>
        <v>-0.15415193874475241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119965.75</v>
      </c>
      <c r="D4" s="11">
        <f>SUM('1st Qtr'!D4, '2nd Qtr'!D4, '3rd Qtr'!D4, '4th Qtr'!D4)</f>
        <v>0</v>
      </c>
      <c r="E4" s="11">
        <f>IF(AND(ISNUMBER(C4),ISNUMBER(D4)), C4-D4, "")</f>
        <v>119965.75</v>
      </c>
      <c r="F4" s="12" t="str">
        <f>IFERROR(E4/D4, "")</f>
        <v/>
      </c>
      <c r="G4" s="13">
        <f>SUM('1st Qtr'!G4, '2nd Qtr'!G4, '3rd Qtr'!G4, '4th Qtr'!G4)</f>
        <v>141828.959</v>
      </c>
      <c r="H4" s="13">
        <f>SUM('1st Qtr'!H4, '2nd Qtr'!H4, '3rd Qtr'!H4, '4th Qtr'!H4)</f>
        <v>-21863.209000000003</v>
      </c>
      <c r="I4" s="14">
        <f>IFERROR(H4/G4, "")</f>
        <v>-0.15415193874475241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4" activePane="bottomRight" state="frozen"/>
      <selection pane="bottomRight" activeCell="E19" sqref="E19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SUM(C4:C58)</f>
        <v>21602.75</v>
      </c>
      <c r="D2" s="5">
        <f>SUM(D4:D58)</f>
        <v>0</v>
      </c>
      <c r="E2" s="5">
        <f>C2-D2</f>
        <v>21602.75</v>
      </c>
      <c r="F2" s="6">
        <f>IFERROR(E2/D2, 0)</f>
        <v>0</v>
      </c>
      <c r="G2" s="5">
        <f>SUM(G4:G58)</f>
        <v>27183.436000000002</v>
      </c>
      <c r="H2" s="7">
        <f>C2-G2</f>
        <v>-5580.6860000000015</v>
      </c>
      <c r="I2" s="6">
        <f>IFERROR(H2/G2, 0)</f>
        <v>-0.20529729942896113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21602.75</v>
      </c>
      <c r="D4" s="11">
        <f>SUM(Jan!D4, Feb!D4, Mar!D4)</f>
        <v>0</v>
      </c>
      <c r="E4" s="11">
        <f>IF(AND(ISNUMBER(C4),ISNUMBER(D4)), C4-D4, "")</f>
        <v>21602.75</v>
      </c>
      <c r="F4" s="12" t="str">
        <f>IFERROR(E4/D4, "")</f>
        <v/>
      </c>
      <c r="G4" s="13">
        <f>SUM(Jan!G4, Feb!G4, Mar!G4)</f>
        <v>27183.436000000002</v>
      </c>
      <c r="H4" s="13">
        <f>SUM(Jan!H4, Feb!H4, Mar!H4)</f>
        <v>-5580.6860000000006</v>
      </c>
      <c r="I4" s="14">
        <f>IFERROR(H4/G4, "")</f>
        <v>-0.20529729942896108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SUM(C4:C58)</f>
        <v>38549.25</v>
      </c>
      <c r="D2" s="5">
        <f>SUM(D4:D58)</f>
        <v>0</v>
      </c>
      <c r="E2" s="5">
        <f>C2-D2</f>
        <v>38549.25</v>
      </c>
      <c r="F2" s="6">
        <f>IFERROR(E2/D2, 0)</f>
        <v>0</v>
      </c>
      <c r="G2" s="5">
        <f>SUM(G4:G58)</f>
        <v>48370.328999999998</v>
      </c>
      <c r="H2" s="7">
        <f>C2-G2</f>
        <v>-9821.0789999999979</v>
      </c>
      <c r="I2" s="6">
        <f>IFERROR(H2/G2, 0)</f>
        <v>-0.20303932602980637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38549.25</v>
      </c>
      <c r="D4" s="11">
        <f>SUM(Apr!D4, May!D4, Jun!D4)</f>
        <v>0</v>
      </c>
      <c r="E4" s="11">
        <f>IF(AND(ISNUMBER(C4),ISNUMBER(D4)), C4-D4, "")</f>
        <v>38549.25</v>
      </c>
      <c r="F4" s="12" t="str">
        <f>IFERROR(E4/D4, "")</f>
        <v/>
      </c>
      <c r="G4" s="13">
        <f>SUM(Apr!G4,May!G4,Jun!G4)</f>
        <v>48370.328999999998</v>
      </c>
      <c r="H4" s="13">
        <f>SUM(Apr!H4, May!H4, Jun!H4)</f>
        <v>-9821.0789999999979</v>
      </c>
      <c r="I4" s="14">
        <f>IFERROR(H4/G4, "")</f>
        <v>-0.20303932602980637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SUM(C4:C58)</f>
        <v>41329.25</v>
      </c>
      <c r="D2" s="5">
        <f>SUM(D4:D58)</f>
        <v>0</v>
      </c>
      <c r="E2" s="5">
        <f>C2-D2</f>
        <v>41329.25</v>
      </c>
      <c r="F2" s="6">
        <f>IFERROR(E2/D2, 0)</f>
        <v>0</v>
      </c>
      <c r="G2" s="5">
        <f>SUM(G4:G58)</f>
        <v>45061.317000000003</v>
      </c>
      <c r="H2" s="7">
        <f>C2-G2</f>
        <v>-3732.0670000000027</v>
      </c>
      <c r="I2" s="6">
        <f>IFERROR(H2/G2, 0)</f>
        <v>-8.2821969007252999E-2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41329.25</v>
      </c>
      <c r="D4" s="11">
        <f>SUM(Jul!D4, Aug!D4, Sep!D4)</f>
        <v>0</v>
      </c>
      <c r="E4" s="11">
        <f>IF(AND(ISNUMBER(C4),ISNUMBER(D4)), C4-D4, "")</f>
        <v>41329.25</v>
      </c>
      <c r="F4" s="12" t="str">
        <f>IFERROR(E4/D4, "")</f>
        <v/>
      </c>
      <c r="G4" s="13">
        <f>SUM(Jul!G4,Aug!G4,Sep!G4)</f>
        <v>45061.317000000003</v>
      </c>
      <c r="H4" s="13">
        <f>SUM(Jul!H4, Aug!H4, Sep!H4)</f>
        <v>-3732.0670000000009</v>
      </c>
      <c r="I4" s="14">
        <f>IFERROR(H4/G4, "")</f>
        <v>-8.2821969007252957E-2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SUM(C4:C58)</f>
        <v>18484.5</v>
      </c>
      <c r="D2" s="5">
        <f>SUM(D4:D58)</f>
        <v>0</v>
      </c>
      <c r="E2" s="5">
        <f>C2-D2</f>
        <v>18484.5</v>
      </c>
      <c r="F2" s="6">
        <f>IFERROR(E2/D2, 0)</f>
        <v>0</v>
      </c>
      <c r="G2" s="5">
        <f>SUM(G4:G58)</f>
        <v>21213.877</v>
      </c>
      <c r="H2" s="7">
        <f>C2-G2</f>
        <v>-2729.3770000000004</v>
      </c>
      <c r="I2" s="6">
        <f>IFERROR(H2/G2, 0)</f>
        <v>-0.12865998044581858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18484.5</v>
      </c>
      <c r="D4" s="11">
        <f>SUM(Oct!D4, Nov!D4, Dec!D4)</f>
        <v>0</v>
      </c>
      <c r="E4" s="11">
        <f>IF(AND(ISNUMBER(C4),ISNUMBER(D4)), C4-D4, "")</f>
        <v>18484.5</v>
      </c>
      <c r="F4" s="12" t="str">
        <f>IFERROR(E4/D4, "")</f>
        <v/>
      </c>
      <c r="G4" s="13">
        <f>SUM(Oct!G4,Nov!G4,Dec!G4)</f>
        <v>21213.877</v>
      </c>
      <c r="H4" s="13">
        <f>SUM(Oct!H4, Nov!H4, Dec!H4)</f>
        <v>-2729.3769999999995</v>
      </c>
      <c r="I4" s="14">
        <f>IFERROR(H4/G4, "")</f>
        <v>-0.12865998044581853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C4" activePane="bottomRight" state="frozen"/>
      <selection pane="bottomRight" activeCell="C11" sqref="C11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SUM(C4:C57)</f>
        <v>4554.75</v>
      </c>
      <c r="D2" s="5">
        <f>SUM(D4:D57)</f>
        <v>0</v>
      </c>
      <c r="E2" s="5">
        <f>C2-D2</f>
        <v>4554.75</v>
      </c>
      <c r="F2" s="6">
        <f>IFERROR(E2/D2, 0)</f>
        <v>0</v>
      </c>
      <c r="G2" s="5">
        <f>SUM(G4:G57)</f>
        <v>6298.7</v>
      </c>
      <c r="H2" s="7">
        <f>C2-G2</f>
        <v>-1743.9499999999998</v>
      </c>
      <c r="I2" s="6">
        <f>IFERROR(H2/G2, 0)</f>
        <v>-0.27687459317001917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42">
        <v>4554.75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40">
        <v>6298.7</v>
      </c>
      <c r="H4" s="13">
        <f>IF(AND(ISNUMBER(C4),ISNUMBER(G4)), C4-G4, "")</f>
        <v>-1743.9499999999998</v>
      </c>
      <c r="I4" s="14">
        <f>IFERROR(H4/G4, "")</f>
        <v>-0.27687459317001917</v>
      </c>
      <c r="J4" s="32" t="s">
        <v>23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D4" activePane="bottomRight" state="frozen"/>
      <selection pane="bottomRight" activeCell="D11" sqref="D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6076</v>
      </c>
      <c r="D2" s="5">
        <f>SUM(D4:D58)</f>
        <v>0</v>
      </c>
      <c r="E2" s="5">
        <f>C2-D2</f>
        <v>6076</v>
      </c>
      <c r="F2" s="6">
        <f>IFERROR(E2/D2, 0)</f>
        <v>0</v>
      </c>
      <c r="G2" s="5">
        <f>SUM(G4:G58)</f>
        <v>8170.6</v>
      </c>
      <c r="H2" s="7">
        <f>C2-G2</f>
        <v>-2094.6000000000004</v>
      </c>
      <c r="I2" s="6">
        <f>IFERROR(H2/G2, 0)</f>
        <v>-0.25635816219127117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6076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8170.6</v>
      </c>
      <c r="H4" s="13">
        <f>IF(AND(ISNUMBER(C4),ISNUMBER(G4)), C4-G4, "")</f>
        <v>-2094.6000000000004</v>
      </c>
      <c r="I4" s="14">
        <f>IFERROR(H4/G4, "")</f>
        <v>-0.25635816219127117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bottomRight" activeCell="G20" sqref="G20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10972</v>
      </c>
      <c r="D2" s="5">
        <f>SUM(D4:D58)</f>
        <v>0</v>
      </c>
      <c r="E2" s="5">
        <f>C2-D2</f>
        <v>10972</v>
      </c>
      <c r="F2" s="6">
        <f>IFERROR(E2/D2, 0)</f>
        <v>0</v>
      </c>
      <c r="G2" s="5">
        <f>SUM(G4:G58)</f>
        <v>12714.136</v>
      </c>
      <c r="H2" s="7">
        <f>C2-G2</f>
        <v>-1742.1360000000004</v>
      </c>
      <c r="I2" s="6">
        <f>IFERROR(H2/G2, 0)</f>
        <v>-0.13702354607501449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10972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12714.136</v>
      </c>
      <c r="H4" s="13">
        <f>IF(AND(ISNUMBER(C4),ISNUMBER(G4)), C4-G4, "")</f>
        <v>-1742.1360000000004</v>
      </c>
      <c r="I4" s="14">
        <f>IFERROR(H4/G4, "")</f>
        <v>-0.13702354607501449</v>
      </c>
      <c r="J4" s="32" t="s">
        <v>29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12540</v>
      </c>
      <c r="D2" s="5">
        <f>SUM(D4:D58)</f>
        <v>0</v>
      </c>
      <c r="E2" s="5">
        <f>C2-D2</f>
        <v>12540</v>
      </c>
      <c r="F2" s="6">
        <f>IFERROR(E2/D2, 0)</f>
        <v>0</v>
      </c>
      <c r="G2" s="5">
        <f>SUM(G4:G58)</f>
        <v>14384.657999999999</v>
      </c>
      <c r="H2" s="7">
        <f>C2-G2</f>
        <v>-1844.6579999999994</v>
      </c>
      <c r="I2" s="6">
        <f>IFERROR(H2/G2, 0)</f>
        <v>-0.12823787677120996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12540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14384.657999999999</v>
      </c>
      <c r="H4" s="13">
        <f>IF(AND(ISNUMBER(C4),ISNUMBER(G4)), C4-G4, "")</f>
        <v>-1844.6579999999994</v>
      </c>
      <c r="I4" s="14">
        <f>IFERROR(H4/G4, "")</f>
        <v>-0.12823787677120996</v>
      </c>
      <c r="J4" s="32" t="s">
        <v>32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C4" activePane="bottomRight" state="frozen"/>
      <selection pane="bottomRight" activeCell="I29" sqref="I29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12431.5</v>
      </c>
      <c r="D2" s="5">
        <f>SUM(D4:D58)</f>
        <v>0</v>
      </c>
      <c r="E2" s="5">
        <f>C2-D2</f>
        <v>12431.5</v>
      </c>
      <c r="F2" s="6">
        <f>IFERROR(E2/D2, 0)</f>
        <v>0</v>
      </c>
      <c r="G2" s="5">
        <f>SUM(G4:G58)</f>
        <v>16962.787</v>
      </c>
      <c r="H2" s="7">
        <f>C2-G2</f>
        <v>-4531.2870000000003</v>
      </c>
      <c r="I2" s="6">
        <f>IFERROR(H2/G2, 0)</f>
        <v>-0.26713104397290377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12431.5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16962.787</v>
      </c>
      <c r="H4" s="13">
        <f>IF(AND(ISNUMBER(C4),ISNUMBER(G4)), C4-G4, "")</f>
        <v>-4531.2870000000003</v>
      </c>
      <c r="I4" s="14">
        <f>IFERROR(H4/G4, "")</f>
        <v>-0.26713104397290377</v>
      </c>
      <c r="J4" s="32" t="s">
        <v>35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13577.75</v>
      </c>
      <c r="D2" s="5">
        <f>SUM(D4:D58)</f>
        <v>0</v>
      </c>
      <c r="E2" s="5">
        <f>C2-D2</f>
        <v>13577.75</v>
      </c>
      <c r="F2" s="6">
        <f>IFERROR(E2/D2, 0)</f>
        <v>0</v>
      </c>
      <c r="G2" s="5">
        <f>SUM(G4:G58)</f>
        <v>17022.883999999998</v>
      </c>
      <c r="H2" s="7">
        <f>C2-G2</f>
        <v>-3445.1339999999982</v>
      </c>
      <c r="I2" s="6">
        <f>IFERROR(H2/G2, 0)</f>
        <v>-0.20238251050762013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13577.75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17022.883999999998</v>
      </c>
      <c r="H4" s="13">
        <f>IF(AND(ISNUMBER(C4),ISNUMBER(G4)), C4-G4, "")</f>
        <v>-3445.1339999999982</v>
      </c>
      <c r="I4" s="14">
        <f>IFERROR(H4/G4, "")</f>
        <v>-0.20238251050762013</v>
      </c>
      <c r="J4" s="32" t="s">
        <v>38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14744.75</v>
      </c>
      <c r="D2" s="5">
        <f>SUM(D4:D58)</f>
        <v>0</v>
      </c>
      <c r="E2" s="5">
        <f>C2-D2</f>
        <v>14744.75</v>
      </c>
      <c r="F2" s="6">
        <f>IFERROR(E2/D2, 0)</f>
        <v>0</v>
      </c>
      <c r="G2" s="5">
        <f>SUM(G4:G58)</f>
        <v>16779</v>
      </c>
      <c r="H2" s="7">
        <f>C2-G2</f>
        <v>-2034.25</v>
      </c>
      <c r="I2" s="6">
        <f>IFERROR(H2/G2, 0)</f>
        <v>-0.1212378568448656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14744.75</v>
      </c>
      <c r="D4" s="11">
        <v>0</v>
      </c>
      <c r="E4" s="11">
        <f>IF(AND(ISNUMBER(C4),ISNUMBER(D4)), C4-D4, "")</f>
        <v>14744.75</v>
      </c>
      <c r="F4" s="12" t="str">
        <f>IFERROR(E4/D4, "")</f>
        <v/>
      </c>
      <c r="G4" s="13">
        <v>16779</v>
      </c>
      <c r="H4" s="13">
        <f>IF(AND(ISNUMBER(C4),ISNUMBER(G4)), C4-G4, "")</f>
        <v>-2034.25</v>
      </c>
      <c r="I4" s="14">
        <f>IFERROR(H4/G4, "")</f>
        <v>-0.1212378568448656</v>
      </c>
      <c r="J4" s="32" t="s">
        <v>41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G11" sqref="G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15013</v>
      </c>
      <c r="D2" s="5">
        <f>SUM(D4:D58)</f>
        <v>0</v>
      </c>
      <c r="E2" s="5">
        <f>C2-D2</f>
        <v>15013</v>
      </c>
      <c r="F2" s="6">
        <f>IFERROR(E2/D2, 0)</f>
        <v>0</v>
      </c>
      <c r="G2" s="5">
        <f>SUM(G4:G58)</f>
        <v>15591.593000000001</v>
      </c>
      <c r="H2" s="7">
        <f>C2-G2</f>
        <v>-578.59300000000076</v>
      </c>
      <c r="I2" s="6">
        <f>IFERROR(H2/G2, 0)</f>
        <v>-3.7109293450643607E-2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15013</v>
      </c>
      <c r="D4" s="11">
        <v>0</v>
      </c>
      <c r="E4" s="11">
        <f>IF(AND(ISNUMBER(C4),ISNUMBER(D4)), C4-D4, "")</f>
        <v>15013</v>
      </c>
      <c r="F4" s="12" t="str">
        <f>IFERROR(E4/D4, "")</f>
        <v/>
      </c>
      <c r="G4" s="13">
        <v>15591.593000000001</v>
      </c>
      <c r="H4" s="13">
        <f>IF(AND(ISNUMBER(C4),ISNUMBER(G4)), C4-G4, "")</f>
        <v>-578.59300000000076</v>
      </c>
      <c r="I4" s="14">
        <f>IFERROR(H4/G4, "")</f>
        <v>-3.7109293450643607E-2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I11" sqref="I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11571.5</v>
      </c>
      <c r="D2" s="5">
        <f>SUM(D4:D58)</f>
        <v>0</v>
      </c>
      <c r="E2" s="5">
        <f>C2-D2</f>
        <v>11571.5</v>
      </c>
      <c r="F2" s="6">
        <f>IFERROR(E2/D2, 0)</f>
        <v>0</v>
      </c>
      <c r="G2" s="5">
        <f>SUM(G4:G58)</f>
        <v>12690.724</v>
      </c>
      <c r="H2" s="7">
        <f>C2-G2</f>
        <v>-1119.2240000000002</v>
      </c>
      <c r="I2" s="6">
        <f>IFERROR(H2/G2, 0)</f>
        <v>-8.8192289108170674E-2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11571.5</v>
      </c>
      <c r="D4" s="11">
        <v>0</v>
      </c>
      <c r="E4" s="11">
        <f>IF(AND(ISNUMBER(C4),ISNUMBER(D4)), C4-D4, "")</f>
        <v>11571.5</v>
      </c>
      <c r="F4" s="12" t="str">
        <f>IFERROR(E4/D4, "")</f>
        <v/>
      </c>
      <c r="G4" s="13">
        <v>12690.724</v>
      </c>
      <c r="H4" s="13">
        <f>IF(AND(ISNUMBER(C4),ISNUMBER(G4)), C4-G4, "")</f>
        <v>-1119.2240000000002</v>
      </c>
      <c r="I4" s="14">
        <f>IFERROR(H4/G4, "")</f>
        <v>-8.8192289108170674E-2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D9" sqref="D9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9015.125</v>
      </c>
      <c r="D2" s="5">
        <f>SUM(D4:D58)</f>
        <v>0</v>
      </c>
      <c r="E2" s="5">
        <f>C2-D2</f>
        <v>9015.125</v>
      </c>
      <c r="F2" s="6">
        <f>IFERROR(E2/D2, 0)</f>
        <v>0</v>
      </c>
      <c r="G2" s="5">
        <f>SUM(G4:G58)</f>
        <v>9722.7559999999994</v>
      </c>
      <c r="H2" s="7">
        <f>C2-G2</f>
        <v>-707.6309999999994</v>
      </c>
      <c r="I2" s="6">
        <f>IFERROR(H2/G2, 0)</f>
        <v>-7.2780906977404289E-2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9015.125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9722.7559999999994</v>
      </c>
      <c r="H4" s="13">
        <f>IF(AND(ISNUMBER(C4),ISNUMBER(G4)), C4-G4, "")</f>
        <v>-707.6309999999994</v>
      </c>
      <c r="I4" s="14">
        <f>IFERROR(H4/G4, "")</f>
        <v>-7.2780906977404289E-2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bottomRight" activeCell="J11" sqref="J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5502</v>
      </c>
      <c r="D2" s="5">
        <f>SUM(D4:D58)</f>
        <v>0</v>
      </c>
      <c r="E2" s="5">
        <f>C2-D2</f>
        <v>5502</v>
      </c>
      <c r="F2" s="6">
        <f>IFERROR(E2/D2, 0)</f>
        <v>0</v>
      </c>
      <c r="G2" s="5">
        <f>SUM(G4:G58)</f>
        <v>6190.9189999999999</v>
      </c>
      <c r="H2" s="7">
        <f>C2-G2</f>
        <v>-688.91899999999987</v>
      </c>
      <c r="I2" s="6">
        <f>IFERROR(H2/G2, 0)</f>
        <v>-0.11127895551532815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5502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6190.9189999999999</v>
      </c>
      <c r="H4" s="13">
        <f>IF(AND(ISNUMBER(C4),ISNUMBER(G4)), C4-G4, "")</f>
        <v>-688.91899999999987</v>
      </c>
      <c r="I4" s="14">
        <f>IFERROR(H4/G4, "")</f>
        <v>-0.11127895551532815</v>
      </c>
      <c r="J4" s="32" t="s">
        <v>50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tabSelected="1" zoomScale="80" zoomScaleNormal="80" workbookViewId="0">
      <pane xSplit="2" ySplit="3" topLeftCell="C4" activePane="bottomRight" state="frozen"/>
      <selection pane="bottomRight" activeCell="F31" sqref="F3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3967.375</v>
      </c>
      <c r="D2" s="5">
        <f>SUM(D4:D58)</f>
        <v>0</v>
      </c>
      <c r="E2" s="5">
        <f>C2-D2</f>
        <v>3967.375</v>
      </c>
      <c r="F2" s="6">
        <f>IFERROR(E2/D2, 0)</f>
        <v>0</v>
      </c>
      <c r="G2" s="5">
        <f>SUM(G4:G58)</f>
        <v>5300.2020000000002</v>
      </c>
      <c r="H2" s="7">
        <f>C2-G2</f>
        <v>-1332.8270000000002</v>
      </c>
      <c r="I2" s="6">
        <f>IFERROR(H2/G2, 0)</f>
        <v>-0.2514672082309316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3967.375</v>
      </c>
      <c r="D4" s="11">
        <v>0</v>
      </c>
      <c r="E4" s="11">
        <f>IF(AND(ISNUMBER(C4),ISNUMBER(D4)), C4-D4, "")</f>
        <v>3967.375</v>
      </c>
      <c r="F4" s="12" t="str">
        <f>IFERROR(E4/D4, "")</f>
        <v/>
      </c>
      <c r="G4" s="13">
        <v>5300.2020000000002</v>
      </c>
      <c r="H4" s="13">
        <f>IF(AND(ISNUMBER(C4),ISNUMBER(G4)), C4-G4, "")</f>
        <v>-1332.8270000000002</v>
      </c>
      <c r="I4" s="14">
        <f>IFERROR(H4/G4, "")</f>
        <v>-0.2514672082309316</v>
      </c>
      <c r="J4" s="32" t="s">
        <v>53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38" t="s">
        <v>59</v>
      </c>
      <c r="B4" t="s">
        <v>60</v>
      </c>
      <c r="C4" s="36" t="s">
        <v>61</v>
      </c>
      <c r="D4" s="35" t="s">
        <v>62</v>
      </c>
      <c r="E4" t="s">
        <v>63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070E4D76-7887-4996-9D8F-6DD27F4E44D0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2026-01-22T20:52:16Z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7248307a-5867-4a2e-b5a7-a3b96443e9b0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