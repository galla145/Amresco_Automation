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355E3D4-B332-4CF1-BD9F-522BED3617FB}" xr6:coauthVersionLast="47" xr6:coauthVersionMax="47" xr10:uidLastSave="{00000000-0000-0000-0000-00000000000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2" l="1"/>
  <c r="H4" i="3"/>
  <c r="I4" i="3"/>
  <c r="G4" i="30"/>
  <c r="G4" i="29"/>
  <c r="G4" i="18"/>
  <c r="G2" i="18"/>
  <c r="A4" i="4" a="1"/>
  <c r="A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I4" i="72"/>
  <c r="G2" i="72"/>
  <c r="D2" i="72"/>
  <c r="C2" i="72"/>
  <c r="J2" i="72" s="1"/>
  <c r="A1" i="72" a="1"/>
  <c r="A1" i="72" s="1"/>
  <c r="E4" i="30" l="1"/>
  <c r="F4" i="30" s="1"/>
  <c r="G4" i="34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<sst xmlns="http://schemas.openxmlformats.org/spreadsheetml/2006/main" count="270" uniqueCount="69">
  <si>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</si>
  <si>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</si>
  <si>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</si>
  <si>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</si>
  <si>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</si>
  <si>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</si>
  <si>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</si>
  <si>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</si>
  <si>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</si>
  <si>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</si>
  <si>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</si>
  <si>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</si>
  <si>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</si>
  <si>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</si>
  <si>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</si>
  <si>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</si>
  <si>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</si>
  <si>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</si>
  <si>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</si>
  <si>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</si>
  <si>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</si>
  <si>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</si>
  <si>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</si>
  <si>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1.Low generation due to weather/snow.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</si>
  <si>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</si>
  <si>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</si>
  <si>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</si>
  <si>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</si>
  <si>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</si>
  <si>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</si>
  <si>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Site tripped offline at 16:00 on 04/29 and back online at 19:30 on 04/29.
2.  Inverter right unit was offline since 04/30 and being RMA'd</t>
  </si>
  <si>
    <t>1. SR100668
2. SR100745</t>
  </si>
  <si>
    <t>SR100745</t>
  </si>
  <si>
    <t>May Actual v. Expected</t>
  </si>
  <si>
    <t>May Actual v. Forecasted</t>
  </si>
  <si>
    <t>1.  Inverter right unit was offline since 04/30 and being RMA'd</t>
  </si>
  <si>
    <t>1. SR100745</t>
  </si>
  <si>
    <t>June Actual v. Expected</t>
  </si>
  <si>
    <t>June Actual v. Forecasted</t>
  </si>
  <si>
    <t>July Actual v. Expected</t>
  </si>
  <si>
    <t>July Actual v. Forecasted</t>
  </si>
  <si>
    <t>1. Inverter right unit is back online at 15:00 on 07/22</t>
  </si>
  <si>
    <t>1.SR100745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</si>
  <si>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</si>
  <si>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</si>
  <si>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</si>
  <si>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</si>
  <si>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</si>
  <si>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</si>
  <si>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</si>
  <si>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</si>
  <si>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Status</t>
  </si>
  <si>
    <t>1. Inverter units 1.3 and 1.4 were offline from 03:15 on 11/18 to end of the month.</t>
  </si>
  <si>
    <t>1. SR111322</t>
  </si>
  <si>
    <t xml:space="preserve">1. Pending </t>
  </si>
  <si>
    <t>December Actual v. Expected</t>
  </si>
  <si>
    <t>December Actual v. Forecasted</t>
  </si>
  <si>
    <t xml:space="preserve">Status </t>
  </si>
  <si>
    <t>1. Inverter units 1.3 and 1.4 were offline from 03:15 on 11/18 to end of the month.
2. Site production was low on 12/02,12/14,12/15,12/19,12/27 to 12/29 due to snow.</t>
  </si>
  <si>
    <t>Portfolio:</t>
  </si>
  <si>
    <t>Will Canton</t>
  </si>
  <si>
    <t>Site DAS Name</t>
  </si>
  <si>
    <t>Update</t>
  </si>
  <si>
    <t>DAS</t>
  </si>
  <si>
    <t>155 Will Drive</t>
  </si>
  <si>
    <t>MA: Canton - Will Canton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</si>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</sst>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5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5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3" fontId="31" fillId="4" borderId="0" xfId="1" applyNumberFormat="1" applyFont="1" applyFill="1" applyBorder="1" applyAlignment="1">
      <alignment horizontal="right" vertical="center"/>
    </xf>
    <xf numFmtId="49" fontId="36" fillId="38" borderId="0" xfId="48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8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9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5743ADE5-3994-4301-B263-F2E0558A95BD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8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E8009DF6-EA6A-40DC-8840-BDFC8DAB276A}"/>
    <cellStyle name="Note 2" xfId="44" xr:uid="{74FD8891-0B2B-4B5A-B89E-AB361AD9C09D}"/>
    <cellStyle name="Output" xfId="12" builtinId="21" customBuiltin="1"/>
    <cellStyle name="Percent" xfId="2" builtinId="5"/>
    <cellStyle name="Percent 2" xfId="47" xr:uid="{CC7E4D5D-9A24-428D-9E2F-A63C67CB85B6}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0745" TargetMode="External"/><Relationship Id="rId1" Type="http://schemas.openxmlformats.org/officeDocument/2006/relationships/hyperlink" Target="https://us3.assetplanner.com/service_request?ID=100668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74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74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745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111322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11322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0"/>
  <sheetViews>
    <sheetView workbookViewId="0">
      <pane xSplit="2" ySplit="3" topLeftCell="C4" activePane="bottomRight" state="frozen"/>
      <selection pane="bottomRight" activeCell="G12" sqref="G12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5">
        <f>SUM(C4:C78)</f>
        <v>133932.90150000001</v>
      </c>
      <c r="D2" s="5">
        <f>SUM(D4:D78)</f>
        <v>0</v>
      </c>
      <c r="E2" s="5">
        <f>C2-D2</f>
        <v>133932.90150000001</v>
      </c>
      <c r="F2" s="6">
        <f>IFERROR(E2/D2, 0)</f>
        <v>0</v>
      </c>
      <c r="G2" s="5">
        <f>SUM(G4:G78)</f>
        <v>143367.08199999999</v>
      </c>
      <c r="H2" s="7">
        <f>C2-G2</f>
        <v>-9434.1804999999877</v>
      </c>
      <c r="I2" s="6">
        <f>IFERROR(H2/G2, 0)</f>
        <v>-6.5804369932004253E-2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Canton - Will Canton</v>
      </c>
      <c r="B4" s="9" t="str" cm="1">
        <f t="array" ref="B4">Sites[State]</f>
        <v>MA</v>
      </c>
      <c r="C4" s="23">
        <f>SUM('1st Qtr'!C4, '2nd Qtr'!C4, '3rd Qtr'!C4, '4th Qtr'!C4)</f>
        <v>133932.90150000001</v>
      </c>
      <c r="D4" s="12">
        <f>SUM('1st Qtr'!D4, '2nd Qtr'!D4, '3rd Qtr'!D4, '4th Qtr'!D4)</f>
        <v>0</v>
      </c>
      <c r="E4" s="12">
        <f>IF(AND(ISNUMBER(C4),ISNUMBER(D4)), C4-D4, "")</f>
        <v>133932.90150000001</v>
      </c>
      <c r="F4" s="13" t="str">
        <f>IFERROR(E4/D4, "")</f>
        <v/>
      </c>
      <c r="G4" s="14">
        <f>SUM('1st Qtr'!G4, '2nd Qtr'!G4, '3rd Qtr'!G4, '4th Qtr'!G4)</f>
        <v>143367.08199999999</v>
      </c>
      <c r="H4" s="14">
        <f>SUM('1st Qtr'!H4, '2nd Qtr'!H4, '3rd Qtr'!H4, '4th Qtr'!H4)</f>
        <v>-9434.1804999999986</v>
      </c>
      <c r="I4" s="15">
        <f>IFERROR(H4/G4, "")</f>
        <v>-6.5804369932004322E-2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8 I4:I7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0"/>
  <sheetViews>
    <sheetView workbookViewId="0">
      <pane xSplit="2" ySplit="3" topLeftCell="C4" activePane="bottomRight" state="frozen"/>
      <selection pane="bottomRight" activeCell="H4" sqref="H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5">
        <f>SUM(C4:C78)</f>
        <v>26517.375500000002</v>
      </c>
      <c r="D2" s="5">
        <f>SUM(D4:D78)</f>
        <v>0</v>
      </c>
      <c r="E2" s="5">
        <f>C2-D2</f>
        <v>26517.375500000002</v>
      </c>
      <c r="F2" s="6">
        <f>IFERROR(E2/D2, 0)</f>
        <v>0</v>
      </c>
      <c r="G2" s="5">
        <f>SUM(G4:G78)</f>
        <v>27605</v>
      </c>
      <c r="H2" s="7">
        <f>C2-G2</f>
        <v>-1087.6244999999981</v>
      </c>
      <c r="I2" s="6">
        <f>IFERROR(H2/G2, 0)</f>
        <v>-3.9399547183481182E-2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SUM(Jan!C4, Feb!C4, Mar!C4)</f>
        <v>26517.375500000002</v>
      </c>
      <c r="D4" s="12">
        <f>SUM(Jan!D4, Feb!D4, Mar!D4)</f>
        <v>0</v>
      </c>
      <c r="E4" s="12">
        <f>IF(AND(ISNUMBER(C4),ISNUMBER(D4)), C4-D4, "")</f>
        <v>26517.375500000002</v>
      </c>
      <c r="F4" s="13" t="str">
        <f>IFERROR(E4/D4, "")</f>
        <v/>
      </c>
      <c r="G4" s="14">
        <f>SUM(Jan!G4, Feb!G4, Mar!G4)</f>
        <v>27605</v>
      </c>
      <c r="H4" s="14">
        <f>SUM(Jan!H4, Feb!H4, Mar!H4)</f>
        <v>-1087.6244999999999</v>
      </c>
      <c r="I4" s="15">
        <f>IFERROR(H4/G4, "")</f>
        <v>-3.9399547183481251E-2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8 I4:I7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5">
        <f>SUM(C4:C78)</f>
        <v>38450.563000000002</v>
      </c>
      <c r="D2" s="5">
        <f>SUM(D4:D78)</f>
        <v>0</v>
      </c>
      <c r="E2" s="5">
        <f>C2-D2</f>
        <v>38450.563000000002</v>
      </c>
      <c r="F2" s="6">
        <f>IFERROR(E2/D2, 0)</f>
        <v>0</v>
      </c>
      <c r="G2" s="5">
        <f>SUM(G4:G78)</f>
        <v>42873</v>
      </c>
      <c r="H2" s="7">
        <f>C2-G2</f>
        <v>-4422.4369999999981</v>
      </c>
      <c r="I2" s="6">
        <f>IFERROR(H2/G2, 0)</f>
        <v>-0.10315203041541292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SUM(Apr!C4, May!C4, Jun!C4)</f>
        <v>38450.563000000002</v>
      </c>
      <c r="D4" s="12">
        <f>SUM(Apr!D4, May!D4, Jun!D4)</f>
        <v>0</v>
      </c>
      <c r="E4" s="12">
        <f>IF(AND(ISNUMBER(C4),ISNUMBER(D4)), C4-D4, "")</f>
        <v>38450.563000000002</v>
      </c>
      <c r="F4" s="13" t="str">
        <f>IFERROR(E4/D4, "")</f>
        <v/>
      </c>
      <c r="G4" s="14">
        <f>SUM(Apr!G4,May!G4,Jun!G4)</f>
        <v>42873</v>
      </c>
      <c r="H4" s="14">
        <f>SUM(Apr!H4, May!H4, Jun!H4)</f>
        <v>-4422.4369999999999</v>
      </c>
      <c r="I4" s="15">
        <f>IFERROR(H4/G4, "")</f>
        <v>-0.10315203041541296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0"/>
  <sheetViews>
    <sheetView workbookViewId="0">
      <pane xSplit="2" ySplit="3" topLeftCell="C4" activePane="bottomRight" state="frozen"/>
      <selection pane="bottomRight" activeCell="E16" sqref="E16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5">
        <f>SUM(C4:C78)</f>
        <v>49910.937999999995</v>
      </c>
      <c r="D2" s="5">
        <f>SUM(D4:D78)</f>
        <v>0</v>
      </c>
      <c r="E2" s="5">
        <f>C2-D2</f>
        <v>49910.937999999995</v>
      </c>
      <c r="F2" s="6">
        <f>IFERROR(E2/D2, 0)</f>
        <v>0</v>
      </c>
      <c r="G2" s="5">
        <f>SUM(G4:G78)</f>
        <v>50223.081999999995</v>
      </c>
      <c r="H2" s="7">
        <f>C2-G2</f>
        <v>-312.14400000000023</v>
      </c>
      <c r="I2" s="6">
        <f>IFERROR(H2/G2, 0)</f>
        <v>-6.2151502370961674E-3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SUM(Jul!C4, Aug!C4, Sep!C4)</f>
        <v>49910.937999999995</v>
      </c>
      <c r="D4" s="12">
        <f>SUM(Jul!D4, Aug!D4, Sep!D4)</f>
        <v>0</v>
      </c>
      <c r="E4" s="12">
        <f>IF(AND(ISNUMBER(C4),ISNUMBER(D4)), C4-D4, "")</f>
        <v>49910.937999999995</v>
      </c>
      <c r="F4" s="13" t="str">
        <f>IFERROR(E4/D4, "")</f>
        <v/>
      </c>
      <c r="G4" s="14">
        <f>SUM(Jul!G4,Aug!G4,Sep!G4)</f>
        <v>50223.081999999995</v>
      </c>
      <c r="H4" s="14">
        <f>SUM(Jul!H4, Aug!H4, Sep!H4)</f>
        <v>-312.14400000000023</v>
      </c>
      <c r="I4" s="15">
        <f>IFERROR(H4/G4, "")</f>
        <v>-6.2151502370961674E-3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I23" sqref="I23:J23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5">
        <f>SUM(C4:C78)</f>
        <v>19054.025000000001</v>
      </c>
      <c r="D2" s="5">
        <f>SUM(D4:D78)</f>
        <v>0</v>
      </c>
      <c r="E2" s="5">
        <f>C2-D2</f>
        <v>19054.025000000001</v>
      </c>
      <c r="F2" s="6">
        <f>IFERROR(E2/D2, 0)</f>
        <v>0</v>
      </c>
      <c r="G2" s="5">
        <f>SUM(G4:G78)</f>
        <v>22666</v>
      </c>
      <c r="H2" s="7">
        <f>C2-G2</f>
        <v>-3611.9749999999985</v>
      </c>
      <c r="I2" s="6">
        <f>IFERROR(H2/G2, 0)</f>
        <v>-0.15935652519191734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SUM(Oct!C4, Nov!C4, Dec!C4)</f>
        <v>19054.025000000001</v>
      </c>
      <c r="D4" s="12">
        <f>SUM(Oct!D4, Nov!D4, Dec!D4)</f>
        <v>0</v>
      </c>
      <c r="E4" s="12">
        <f>IF(AND(ISNUMBER(C4),ISNUMBER(D4)), C4-D4, "")</f>
        <v>19054.025000000001</v>
      </c>
      <c r="F4" s="13" t="str">
        <f>IFERROR(E4/D4, "")</f>
        <v/>
      </c>
      <c r="G4" s="14">
        <f>SUM(Oct!G4,Nov!G4,Dec!G4)</f>
        <v>22666</v>
      </c>
      <c r="H4" s="14">
        <f>SUM(Oct!H4, Nov!H4, Dec!H4)</f>
        <v>-3611.9749999999995</v>
      </c>
      <c r="I4" s="15">
        <f>IFERROR(H4/G4, "")</f>
        <v>-0.1593565251919174</v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workbookViewId="0">
      <pane xSplit="2" ySplit="3" topLeftCell="H4" activePane="bottomRight" state="frozen"/>
      <selection pane="bottomRight" activeCell="H15" sqref="H15"/>
      <selection pane="bottomLeft" activeCell="C8" sqref="C8"/>
      <selection pane="topRight" activeCell="C8" sqref="C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SUM(C4:C77)</f>
        <v>6232</v>
      </c>
      <c r="D2" s="5">
        <f>SUM(D4:D77)</f>
        <v>0</v>
      </c>
      <c r="E2" s="5">
        <f>C2-D2</f>
        <v>6232</v>
      </c>
      <c r="F2" s="6">
        <f>IFERROR(E2/D2, 0)</f>
        <v>0</v>
      </c>
      <c r="G2" s="5">
        <f>SUM(G4:G77)</f>
        <v>6997</v>
      </c>
      <c r="H2" s="7">
        <f>C2-G2</f>
        <v>-765</v>
      </c>
      <c r="I2" s="6">
        <f>IFERROR(H2/G2, 0)</f>
        <v>-0.10933257110190081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Canton - Will Canton</v>
      </c>
      <c r="B4" s="27" t="str" cm="1">
        <f t="array" ref="B4">Sites[State]</f>
        <v>MA</v>
      </c>
      <c r="C4" s="23">
        <v>6232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6997</v>
      </c>
      <c r="H4" s="14">
        <f>IF(AND(ISNUMBER(C4),ISNUMBER(G4)), C4-G4, "")</f>
        <v>-765</v>
      </c>
      <c r="I4" s="15">
        <f>IFERROR(H4/G4, "")</f>
        <v>-0.10933257110190081</v>
      </c>
      <c r="J4" s="37" t="s">
        <v>23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38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7 I4:I77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0"/>
  <sheetViews>
    <sheetView zoomScale="90" zoomScaleNormal="90" workbookViewId="0">
      <pane xSplit="2" ySplit="3" topLeftCell="C4" activePane="bottomRight" state="frozen"/>
      <selection pane="bottomRight" activeCell="D4" sqref="D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24</v>
      </c>
      <c r="E1" s="52"/>
      <c r="F1" s="52"/>
      <c r="G1" s="50" t="s">
        <v>25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5952.6880000000001</v>
      </c>
      <c r="D2" s="5">
        <f>SUM(D4:D78)</f>
        <v>0</v>
      </c>
      <c r="E2" s="5">
        <f>C2-D2</f>
        <v>5952.6880000000001</v>
      </c>
      <c r="F2" s="6">
        <f>IFERROR(E2/D2, 0)</f>
        <v>0</v>
      </c>
      <c r="G2" s="5">
        <f>SUM(G4:G78)</f>
        <v>8738</v>
      </c>
      <c r="H2" s="7">
        <f>C2-G2</f>
        <v>-2785.3119999999999</v>
      </c>
      <c r="I2" s="6">
        <f>IFERROR(H2/G2, 0)</f>
        <v>-0.31875852597848475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Canton - Will Canton</v>
      </c>
      <c r="B4" s="27" t="str" cm="1">
        <f t="array" ref="B4">Sites[State]</f>
        <v>MA</v>
      </c>
      <c r="C4" s="23">
        <v>5952.6880000000001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8738</v>
      </c>
      <c r="H4" s="14">
        <f>IF(AND(ISNUMBER(C4),ISNUMBER(G4)), C4-G4, "")</f>
        <v>-2785.3119999999999</v>
      </c>
      <c r="I4" s="15">
        <f>IFERROR(H4/G4, "")</f>
        <v>-0.31875852597848475</v>
      </c>
      <c r="J4" s="37" t="s">
        <v>23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F19" sqref="F19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7" width="13.85546875" customWidth="1"/>
    <col min="8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26</v>
      </c>
      <c r="E1" s="52"/>
      <c r="F1" s="52"/>
      <c r="G1" s="50" t="s">
        <v>27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14332.6875</v>
      </c>
      <c r="D2" s="5">
        <f>SUM(D4:D78)</f>
        <v>0</v>
      </c>
      <c r="E2" s="5">
        <f>C2-D2</f>
        <v>14332.6875</v>
      </c>
      <c r="F2" s="6">
        <f>IFERROR(E2/D2, 0)</f>
        <v>0</v>
      </c>
      <c r="G2" s="5">
        <f>SUM(G4:G78)</f>
        <v>11870</v>
      </c>
      <c r="H2" s="7">
        <f>C2-G2</f>
        <v>2462.6875</v>
      </c>
      <c r="I2" s="6">
        <f>IFERROR(H2/G2, 0)</f>
        <v>0.20747156697556865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14332.6875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11870</v>
      </c>
      <c r="H4" s="14">
        <f>IF(AND(ISNUMBER(C4),ISNUMBER(G4)), C4-G4, "")</f>
        <v>2462.6875</v>
      </c>
      <c r="I4" s="15">
        <f>IFERROR(H4/G4, "")</f>
        <v>0.20747156697556865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0"/>
  <sheetViews>
    <sheetView zoomScale="70" zoomScaleNormal="70" workbookViewId="0">
      <pane xSplit="2" ySplit="3" topLeftCell="C4" activePane="bottomRight" state="frozen"/>
      <selection pane="bottomRight" activeCell="L1" sqref="L1:L1048576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8"/>
  </cols>
  <sheetData>
    <row r="1" spans="1:12" ht="19.5" customHeight="1">
      <c r="A1" s="51" t="str" cm="1">
        <f t="array" ref="A1">portfolio</f>
        <v>Will Canton</v>
      </c>
      <c r="B1" s="51"/>
      <c r="C1" s="51"/>
      <c r="D1" s="52" t="s">
        <v>28</v>
      </c>
      <c r="E1" s="52"/>
      <c r="F1" s="52"/>
      <c r="G1" s="50" t="s">
        <v>29</v>
      </c>
      <c r="H1" s="50"/>
      <c r="I1" s="50"/>
      <c r="J1" s="4"/>
      <c r="K1" s="4"/>
    </row>
    <row r="2" spans="1:12" ht="19.5" customHeight="1">
      <c r="A2" s="53" t="s">
        <v>2</v>
      </c>
      <c r="B2" s="53"/>
      <c r="C2" s="5">
        <f>SUM(C4:C78)</f>
        <v>15813</v>
      </c>
      <c r="D2" s="5">
        <f>SUM(D4:D78)</f>
        <v>0</v>
      </c>
      <c r="E2" s="5">
        <f>C2-D2</f>
        <v>15813</v>
      </c>
      <c r="F2" s="6">
        <f>IFERROR(E2/D2, 0)</f>
        <v>0</v>
      </c>
      <c r="G2" s="5">
        <f>SUM(G4:G78)</f>
        <v>12891</v>
      </c>
      <c r="H2" s="7">
        <f>C2-G2</f>
        <v>2922</v>
      </c>
      <c r="I2" s="6">
        <f>IFERROR(H2/G2, 0)</f>
        <v>0.22666976960670235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9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15813</v>
      </c>
      <c r="D4" s="46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12891</v>
      </c>
      <c r="H4" s="14">
        <f>IF(AND(ISNUMBER(C4),ISNUMBER(G4)), C4-G4, "")</f>
        <v>2922</v>
      </c>
      <c r="I4" s="15">
        <f>IFERROR(H4/G4, "")</f>
        <v>0.22666976960670235</v>
      </c>
      <c r="J4" s="37" t="s">
        <v>30</v>
      </c>
      <c r="K4" s="47" t="s">
        <v>31</v>
      </c>
      <c r="L4" s="49" t="s">
        <v>32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100668" xr:uid="{1E01D101-F72C-47AF-812B-54E9AD698D43}"/>
    <hyperlink ref="L4" r:id="rId2" display="https://us3.assetplanner.com/service_request?ID=100745" xr:uid="{C7CD1799-D4DE-452B-B8C1-9FC28A5F07A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33</v>
      </c>
      <c r="E1" s="52"/>
      <c r="F1" s="52"/>
      <c r="G1" s="50" t="s">
        <v>34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10437.813</v>
      </c>
      <c r="D2" s="5">
        <f>SUM(D4:D78)</f>
        <v>0</v>
      </c>
      <c r="E2" s="5">
        <f>C2-D2</f>
        <v>10437.813</v>
      </c>
      <c r="F2" s="6">
        <f>IFERROR(E2/D2, 0)</f>
        <v>0</v>
      </c>
      <c r="G2" s="5">
        <f>SUM(G4:G78)</f>
        <v>15003</v>
      </c>
      <c r="H2" s="7">
        <f>C2-G2</f>
        <v>-4565.1869999999999</v>
      </c>
      <c r="I2" s="6">
        <f>IFERROR(H2/G2, 0)</f>
        <v>-0.30428494301139769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10437.813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15003</v>
      </c>
      <c r="H4" s="14">
        <f>IF(AND(ISNUMBER(C4),ISNUMBER(G4)), C4-G4, "")</f>
        <v>-4565.1869999999999</v>
      </c>
      <c r="I4" s="15">
        <f>IFERROR(H4/G4, "")</f>
        <v>-0.30428494301139769</v>
      </c>
      <c r="J4" s="37" t="s">
        <v>35</v>
      </c>
      <c r="K4" s="47" t="s">
        <v>36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0745" xr:uid="{3A8AA724-78DB-4237-88C9-FA5213B78C12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37</v>
      </c>
      <c r="E1" s="52"/>
      <c r="F1" s="52"/>
      <c r="G1" s="50" t="s">
        <v>38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12199.75</v>
      </c>
      <c r="D2" s="5">
        <f>SUM(D4:D78)</f>
        <v>0</v>
      </c>
      <c r="E2" s="5">
        <f>C2-D2</f>
        <v>12199.75</v>
      </c>
      <c r="F2" s="6">
        <f>IFERROR(E2/D2, 0)</f>
        <v>0</v>
      </c>
      <c r="G2" s="5">
        <f>SUM(G4:G78)</f>
        <v>14979</v>
      </c>
      <c r="H2" s="7">
        <f>C2-G2</f>
        <v>-2779.25</v>
      </c>
      <c r="I2" s="6">
        <f>IFERROR(H2/G2, 0)</f>
        <v>-0.18554309366446359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12199.75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14979</v>
      </c>
      <c r="H4" s="14">
        <f>IF(AND(ISNUMBER(C4),ISNUMBER(G4)), C4-G4, "")</f>
        <v>-2779.25</v>
      </c>
      <c r="I4" s="15">
        <f>IFERROR(H4/G4, "")</f>
        <v>-0.18554309366446359</v>
      </c>
      <c r="J4" s="37" t="s">
        <v>35</v>
      </c>
      <c r="K4" s="47" t="s">
        <v>36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745" xr:uid="{98B51953-078F-4241-9244-82E59CDC27CB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0"/>
  <sheetViews>
    <sheetView workbookViewId="0">
      <pane xSplit="2" ySplit="3" topLeftCell="G4" activePane="bottomRight" state="frozen"/>
      <selection pane="bottomRight" activeCell="I21" sqref="I20:I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39</v>
      </c>
      <c r="E1" s="52"/>
      <c r="F1" s="52"/>
      <c r="G1" s="50" t="s">
        <v>40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14952.625</v>
      </c>
      <c r="D2" s="5">
        <f>SUM(D4:D78)</f>
        <v>0</v>
      </c>
      <c r="E2" s="5">
        <f>C2-D2</f>
        <v>14952.625</v>
      </c>
      <c r="F2" s="6">
        <f>IFERROR(E2/D2, 0)</f>
        <v>0</v>
      </c>
      <c r="G2" s="5">
        <f>SUM(G4:G78)</f>
        <v>19768.991999999998</v>
      </c>
      <c r="H2" s="7">
        <f>C2-G2</f>
        <v>-4816.3669999999984</v>
      </c>
      <c r="I2" s="6">
        <f>IFERROR(H2/G2, 0)</f>
        <v>-0.2436324016925091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14952.625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19768.991999999998</v>
      </c>
      <c r="H4" s="14">
        <f>IF(AND(ISNUMBER(C4),ISNUMBER(G4)), C4-G4, "")</f>
        <v>-4816.3669999999984</v>
      </c>
      <c r="I4" s="15">
        <f>IFERROR(H4/G4, "")</f>
        <v>-0.2436324016925091</v>
      </c>
      <c r="J4" s="37" t="s">
        <v>41</v>
      </c>
      <c r="K4" s="47" t="s">
        <v>42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0745" xr:uid="{0CB85410-3370-47AD-94E7-5DE94FD1D9EB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workbookViewId="0">
      <pane xSplit="2" ySplit="3" topLeftCell="C4" activePane="bottomRight" state="frozen"/>
      <selection pane="bottomRight" activeCell="I9" sqref="I9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43</v>
      </c>
      <c r="E1" s="52"/>
      <c r="F1" s="52"/>
      <c r="G1" s="50" t="s">
        <v>44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19836.062999999998</v>
      </c>
      <c r="D2" s="5">
        <f>SUM(D4:D78)</f>
        <v>0</v>
      </c>
      <c r="E2" s="5">
        <f>C2-D2</f>
        <v>19836.062999999998</v>
      </c>
      <c r="F2" s="6">
        <f>IFERROR(E2/D2, 0)</f>
        <v>0</v>
      </c>
      <c r="G2" s="5">
        <f>SUM(G4:G78)</f>
        <v>18493.59</v>
      </c>
      <c r="H2" s="7">
        <f>C2-G2</f>
        <v>1342.4729999999981</v>
      </c>
      <c r="I2" s="6">
        <f>IFERROR(H2/G2, 0)</f>
        <v>7.25912599987346E-2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19836.062999999998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18493.59</v>
      </c>
      <c r="H4" s="14">
        <f>IF(AND(ISNUMBER(C4),ISNUMBER(G4)), C4-G4, "")</f>
        <v>1342.4729999999981</v>
      </c>
      <c r="I4" s="15">
        <f>IFERROR(H4/G4, "")</f>
        <v>7.25912599987346E-2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0"/>
  <sheetViews>
    <sheetView workbookViewId="0">
      <pane xSplit="2" ySplit="3" topLeftCell="E4" activePane="bottomRight" state="frozen"/>
      <selection pane="bottomRight" activeCell="E29" sqref="E29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45</v>
      </c>
      <c r="E1" s="52"/>
      <c r="F1" s="52"/>
      <c r="G1" s="50" t="s">
        <v>46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15122.25</v>
      </c>
      <c r="D2" s="5">
        <f>SUM(D4:D78)</f>
        <v>0</v>
      </c>
      <c r="E2" s="5">
        <f>C2-D2</f>
        <v>15122.25</v>
      </c>
      <c r="F2" s="6">
        <f>IFERROR(E2/D2, 0)</f>
        <v>0</v>
      </c>
      <c r="G2" s="5">
        <f>SUM(G4:G78)</f>
        <v>11960.5</v>
      </c>
      <c r="H2" s="7">
        <f>C2-G2</f>
        <v>3161.75</v>
      </c>
      <c r="I2" s="6">
        <f>IFERROR(H2/G2, 0)</f>
        <v>0.26434931650014631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15122.25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11960.5</v>
      </c>
      <c r="H4" s="14">
        <f>IF(AND(ISNUMBER(C4),ISNUMBER(G4)), C4-G4, "")</f>
        <v>3161.75</v>
      </c>
      <c r="I4" s="15">
        <f>IFERROR(H4/G4, "")</f>
        <v>0.26434931650014631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0"/>
  <sheetViews>
    <sheetView tabSelected="1" workbookViewId="0">
      <pane xSplit="2" ySplit="3" topLeftCell="F4" activePane="bottomRight" state="frozen"/>
      <selection pane="bottomRight" activeCell="G4" sqref="G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11441.7</v>
      </c>
      <c r="D2" s="5">
        <f>SUM(D4:D78)</f>
        <v>0</v>
      </c>
      <c r="E2" s="5">
        <f>C2-D2</f>
        <v>11441.7</v>
      </c>
      <c r="F2" s="6">
        <f>IFERROR(E2/D2, 0)</f>
        <v>0</v>
      </c>
      <c r="G2" s="5">
        <f>SUM(G4:G78)</f>
        <v>10263</v>
      </c>
      <c r="H2" s="7">
        <f>C2-G2</f>
        <v>1178.7000000000007</v>
      </c>
      <c r="I2" s="6">
        <f>IFERROR(H2/G2, 0)</f>
        <v>0.11484945922244964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11441.7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10263</v>
      </c>
      <c r="H4" s="14">
        <f>IF(AND(ISNUMBER(C4),ISNUMBER(G4)), C4-G4, "")</f>
        <v>1178.7000000000007</v>
      </c>
      <c r="I4" s="15">
        <f>IFERROR(H4/G4, "")</f>
        <v>0.11484945922244964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20"/>
  <sheetViews>
    <sheetView workbookViewId="0">
      <pane xSplit="2" ySplit="3" topLeftCell="F4" activePane="bottomRight" state="frozen"/>
      <selection pane="bottomRight" activeCell="L4" sqref="L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5703125" customWidth="1"/>
  </cols>
  <sheetData>
    <row r="1" spans="1:12" ht="19.5" customHeight="1">
      <c r="A1" s="51" t="str" cm="1">
        <f t="array" ref="A1">portfolio</f>
        <v>Will Canton</v>
      </c>
      <c r="B1" s="51"/>
      <c r="C1" s="51"/>
      <c r="D1" s="52" t="s">
        <v>49</v>
      </c>
      <c r="E1" s="52"/>
      <c r="F1" s="52"/>
      <c r="G1" s="50" t="s">
        <v>50</v>
      </c>
      <c r="H1" s="50"/>
      <c r="I1" s="50"/>
      <c r="J1" s="4"/>
      <c r="K1" s="4"/>
    </row>
    <row r="2" spans="1:12" ht="19.5" customHeight="1">
      <c r="A2" s="53" t="s">
        <v>2</v>
      </c>
      <c r="B2" s="53"/>
      <c r="C2" s="5">
        <f>SUM(C4:C78)</f>
        <v>5801.7</v>
      </c>
      <c r="D2" s="5">
        <f>SUM(D4:D78)</f>
        <v>0</v>
      </c>
      <c r="E2" s="5">
        <f>C2-D2</f>
        <v>5801.7</v>
      </c>
      <c r="F2" s="6">
        <f>IFERROR(E2/D2, 0)</f>
        <v>0</v>
      </c>
      <c r="G2" s="5">
        <f>SUM(G4:G78)</f>
        <v>6439</v>
      </c>
      <c r="H2" s="7">
        <f>C2-G2</f>
        <v>-637.30000000000018</v>
      </c>
      <c r="I2" s="6">
        <f>IFERROR(H2/G2, 0)</f>
        <v>-9.8974996117409564E-2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51</v>
      </c>
    </row>
    <row r="4" spans="1:12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5801.7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6439</v>
      </c>
      <c r="H4" s="14">
        <f>IF(AND(ISNUMBER(C4),ISNUMBER(G4)), C4-G4, "")</f>
        <v>-637.30000000000018</v>
      </c>
      <c r="I4" s="15">
        <f>IFERROR(H4/G4, "")</f>
        <v>-9.8974996117409564E-2</v>
      </c>
      <c r="J4" s="37" t="s">
        <v>52</v>
      </c>
      <c r="K4" s="47" t="s">
        <v>53</v>
      </c>
      <c r="L4" s="37" t="s">
        <v>54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11322" xr:uid="{E6D5F773-2BDD-4F86-A06A-355F5B12CF47}"/>
  </hyperlinks>
  <pageMargins left="0.4" right="0.7" top="0.25" bottom="0.25" header="0.3" footer="0.3"/>
  <pageSetup fitToHeight="9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20"/>
  <sheetViews>
    <sheetView workbookViewId="0">
      <pane xSplit="2" ySplit="3" topLeftCell="G4" activePane="bottomRight" state="frozen"/>
      <selection pane="bottomRight" activeCell="J10" sqref="J10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85546875" customWidth="1"/>
  </cols>
  <sheetData>
    <row r="1" spans="1:12" ht="19.5" customHeight="1">
      <c r="A1" s="51" t="str" cm="1">
        <f t="array" ref="A1">portfolio</f>
        <v>Will Canton</v>
      </c>
      <c r="B1" s="51"/>
      <c r="C1" s="51"/>
      <c r="D1" s="52" t="s">
        <v>55</v>
      </c>
      <c r="E1" s="52"/>
      <c r="F1" s="52"/>
      <c r="G1" s="50" t="s">
        <v>56</v>
      </c>
      <c r="H1" s="50"/>
      <c r="I1" s="50"/>
      <c r="J1" s="4"/>
      <c r="K1" s="4"/>
    </row>
    <row r="2" spans="1:12" ht="19.5" customHeight="1">
      <c r="A2" s="53" t="s">
        <v>2</v>
      </c>
      <c r="B2" s="53"/>
      <c r="C2" s="5">
        <f>SUM(C4:C78)</f>
        <v>1810.625</v>
      </c>
      <c r="D2" s="5">
        <f>SUM(D4:D78)</f>
        <v>0</v>
      </c>
      <c r="E2" s="5">
        <f>C2-D2</f>
        <v>1810.625</v>
      </c>
      <c r="F2" s="6">
        <f>IFERROR(E2/D2, 0)</f>
        <v>0</v>
      </c>
      <c r="G2" s="5">
        <f>SUM(G4:G78)</f>
        <v>5964</v>
      </c>
      <c r="H2" s="7">
        <f>C2-G2</f>
        <v>-4153.375</v>
      </c>
      <c r="I2" s="6">
        <f>IFERROR(H2/G2, 0)</f>
        <v>-0.69640761234071091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57</v>
      </c>
    </row>
    <row r="4" spans="1:12" ht="28.9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1810.625</v>
      </c>
      <c r="D4" s="12">
        <v>0</v>
      </c>
      <c r="E4" s="12">
        <f>IF(AND(ISNUMBER(C4),ISNUMBER(D4)), C4-D4, "")</f>
        <v>1810.625</v>
      </c>
      <c r="F4" s="13" t="str">
        <f>IFERROR(E4/D4, "")</f>
        <v/>
      </c>
      <c r="G4" s="14">
        <v>5964</v>
      </c>
      <c r="H4" s="14">
        <f>IF(AND(ISNUMBER(C4),ISNUMBER(G4)), C4-G4, "")</f>
        <v>-4153.375</v>
      </c>
      <c r="I4" s="15">
        <f>IFERROR(H4/G4, "")</f>
        <v>-0.69640761234071091</v>
      </c>
      <c r="J4" s="37" t="s">
        <v>58</v>
      </c>
      <c r="K4" s="47" t="s">
        <v>53</v>
      </c>
      <c r="L4" s="37" t="s">
        <v>54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111322" xr:uid="{84109D6D-C8EE-4E4E-8825-3F95CC04DC0D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21" sqref="C21"/>
      <selection activeCell="C21" sqref="C2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59</v>
      </c>
      <c r="B1" t="s">
        <v>60</v>
      </c>
    </row>
    <row r="3" spans="1:12" ht="13.15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12" ht="14.45">
      <c r="A4" s="44" t="s">
        <v>64</v>
      </c>
      <c r="B4" t="s">
        <v>65</v>
      </c>
      <c r="C4" s="42" t="s">
        <v>66</v>
      </c>
      <c r="D4" s="41" t="s">
        <v>67</v>
      </c>
      <c r="E4" t="s">
        <v>68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9"/>
      <c r="L10" s="39"/>
    </row>
    <row r="11" spans="1:12" ht="12.75" customHeight="1">
      <c r="A11" s="44"/>
      <c r="C11" s="42"/>
      <c r="D11" s="41"/>
      <c r="K11" s="39"/>
      <c r="L11" s="39"/>
    </row>
    <row r="12" spans="1:12" ht="12.75" customHeight="1">
      <c r="A12" s="44"/>
      <c r="C12" s="42"/>
      <c r="D12" s="41"/>
      <c r="K12" s="39"/>
      <c r="L12" s="39"/>
    </row>
    <row r="13" spans="1:12" ht="12.75" customHeight="1">
      <c r="A13" s="44"/>
      <c r="C13" s="42"/>
      <c r="D13" s="41"/>
      <c r="K13" s="39"/>
      <c r="L13" s="39"/>
    </row>
    <row r="14" spans="1:12" ht="12.75" customHeight="1">
      <c r="A14" s="44"/>
      <c r="C14" s="42"/>
      <c r="D14" s="41"/>
      <c r="K14" s="39"/>
      <c r="L14" s="39"/>
    </row>
    <row r="15" spans="1:12" ht="12.75" customHeight="1">
      <c r="A15" s="44"/>
      <c r="C15" s="42"/>
      <c r="D15" s="41"/>
      <c r="K15" s="39"/>
      <c r="L15" s="39"/>
    </row>
    <row r="16" spans="1:12" ht="12.75" customHeight="1">
      <c r="A16" s="44"/>
      <c r="C16" s="42"/>
      <c r="D16" s="41"/>
      <c r="K16" s="39"/>
      <c r="L16" s="39"/>
    </row>
    <row r="17" spans="1:12" ht="12.75" customHeight="1">
      <c r="A17" s="44"/>
      <c r="C17" s="42"/>
      <c r="D17" s="41"/>
      <c r="K17" s="39"/>
      <c r="L17" s="39"/>
    </row>
    <row r="18" spans="1:12" ht="12.75" customHeight="1">
      <c r="A18" s="44"/>
      <c r="C18" s="42"/>
      <c r="D18" s="41"/>
      <c r="K18" s="39"/>
      <c r="L18" s="39"/>
    </row>
    <row r="19" spans="1:12" ht="12.75" customHeight="1">
      <c r="A19" s="44"/>
      <c r="C19" s="42"/>
      <c r="D19" s="41"/>
      <c r="K19" s="39"/>
      <c r="L19" s="39"/>
    </row>
    <row r="20" spans="1:12" ht="12.75" customHeight="1">
      <c r="A20" s="44"/>
      <c r="C20" s="42"/>
      <c r="D20" s="41"/>
      <c r="K20" s="39"/>
      <c r="L20" s="39"/>
    </row>
    <row r="21" spans="1:12" ht="12.75" customHeight="1">
      <c r="A21" s="44"/>
      <c r="C21" s="42"/>
      <c r="D21" s="41"/>
      <c r="K21" s="39"/>
      <c r="L21" s="39"/>
    </row>
    <row r="22" spans="1:12" ht="12.75" customHeight="1">
      <c r="A22" s="44"/>
      <c r="C22" s="42"/>
      <c r="D22" s="41"/>
      <c r="K22" s="39"/>
      <c r="L22" s="39"/>
    </row>
    <row r="23" spans="1:12" ht="12.75" customHeight="1">
      <c r="A23" s="44"/>
      <c r="C23" s="42"/>
      <c r="D23" s="41"/>
      <c r="K23" s="39"/>
      <c r="L23" s="39"/>
    </row>
    <row r="24" spans="1:12" ht="12.75" customHeight="1">
      <c r="A24" s="44"/>
      <c r="C24" s="42"/>
      <c r="D24" s="41"/>
      <c r="K24" s="39"/>
      <c r="L24" s="39"/>
    </row>
    <row r="25" spans="1:12" ht="12.75" customHeight="1">
      <c r="A25" s="44"/>
      <c r="C25" s="42"/>
      <c r="D25" s="41"/>
      <c r="K25" s="39"/>
      <c r="L25" s="39"/>
    </row>
    <row r="26" spans="1:12" ht="12.75" customHeight="1">
      <c r="K26" s="39"/>
      <c r="L26" s="39"/>
    </row>
    <row r="27" spans="1:12" ht="12.75" customHeight="1">
      <c r="K27" s="39"/>
      <c r="L27" s="39"/>
    </row>
    <row r="28" spans="1:12" ht="12.75" customHeight="1">
      <c r="K28" s="39"/>
      <c r="L28" s="39"/>
    </row>
    <row r="29" spans="1:12" ht="12.75" customHeight="1">
      <c r="K29" s="39"/>
      <c r="L29" s="39"/>
    </row>
    <row r="30" spans="1:12" ht="12.75" customHeight="1">
      <c r="K30" s="39"/>
      <c r="L30" s="39"/>
    </row>
    <row r="31" spans="1:12" ht="12.75" customHeight="1">
      <c r="K31" s="39"/>
      <c r="L31" s="3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656EF4FC-8D39-4DD1-B1EF-01CE9DA00B0C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2026-02-20T17:44:10Z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2024-08-23T16:42:57Z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dc22e5cf-c814-4878-b801-787b82aea9d3</vt:lpwstr>
  </property>
  <property fmtid="{D5CDD505-2E9C-101B-9397-08002B2CF9AE}" pid="9" name="MSIP_Label_9d817c99-0b37-4a07-8277-96aa1f96b74b_ContentBits">
    <vt:lpwstr>0</vt:lpwstr>
  </property>
</Properties>
</file>