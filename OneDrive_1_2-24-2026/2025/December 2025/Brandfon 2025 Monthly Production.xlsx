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2B66A13-1B53-4D4D-B136-DE0CA3036D0C}" xr6:coauthVersionLast="47" xr6:coauthVersionMax="47" xr10:uidLastSave="{00000000-0000-0000-0000-000000000000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5" i="34" s="1"/>
  <c r="F5" i="34" s="1"/>
  <c r="C4" i="34"/>
  <c r="D2" i="29"/>
  <c r="D2" i="18"/>
  <c r="E5" i="18"/>
  <c r="F5" i="18" s="1"/>
  <c r="E5" i="30"/>
  <c r="F5" i="30" s="1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I5" i="18"/>
  <c r="H5" i="34"/>
  <c r="I5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<sst xmlns="http://schemas.openxmlformats.org/spreadsheetml/2006/main" count="348" uniqueCount="100">
  <si>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</si>
  <si>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</si>
  <si>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</si>
  <si>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</si>
  <si>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</si>
  <si>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</si>
  <si>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</si>
  <si>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</si>
  <si>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</si>
  <si>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</si>
  <si>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</si>
  <si>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</si>
  <si>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</si>
  <si>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</si>
  <si>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</si>
  <si>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</si>
  <si>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</si>
  <si>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</si>
  <si>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</si>
  <si>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</si>
  <si>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</si>
  <si>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</si>
  <si>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</si>
  <si>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5 experienced a late start at 12:00 on 01/01. Additionally, it went offline on 01/18 due to an insulation fault and came back online on 01/20.
2.Inverter 2 was offline on 01/19 due to Insulation resist/Ground Fuse fault and self-resolved on 01/20.
3. Low generation due to snow/rain.</t>
  </si>
  <si>
    <t>1.SR095178
2.SR095703</t>
  </si>
  <si>
    <t>SR095703</t>
  </si>
  <si>
    <t>February Actual v. Expected</t>
  </si>
  <si>
    <t>February Actual v. Forecasted</t>
  </si>
  <si>
    <t>1. Inverter 5 experienced late starts on 02/01, 02/03, 02/04, and 02/07 due to an insulation resistance/ground fuse fault.
2. Inverter 2 was offline since mornig and back online at 14:15 on 02/01 due to  Insulation fault.
3. Low generation due to snow/rain.</t>
  </si>
  <si>
    <t>March Actual v. Expected</t>
  </si>
  <si>
    <t>March Actual v. Forecasted</t>
  </si>
  <si>
    <t>1.Inverter 3 tripped offline at 13:45 on 05/25/24, reporting "Power output outside specified range." Inverter 3 is currently locked out and will require a PUK code for access. Further troubleshooting will need to be performed by SMA.</t>
  </si>
  <si>
    <t>1. SR085236</t>
  </si>
  <si>
    <t>1. Inverter 3 producing ~4kW down compared to peer inverters, possibly string down since 08/30/24.
2. Inverter 2 is derating by 2 kW on high irradiance days. First occurrence on 4/29/24. Possible fan issue.</t>
  </si>
  <si>
    <t>1. 	SR089771
2. 	SR085289</t>
  </si>
  <si>
    <t>SR085289</t>
  </si>
  <si>
    <t>April Actual v. Expected</t>
  </si>
  <si>
    <t>April Actual v. Forecasted</t>
  </si>
  <si>
    <t>1. Inverter 3 was offline for whole month.</t>
  </si>
  <si>
    <t xml:space="preserve">1. Inverter 3 producing ~4kW down compared to peer inverters, possibly string down since 08/30/24.
</t>
  </si>
  <si>
    <t>1.SR089771
2.SR103756</t>
  </si>
  <si>
    <t>SR103756</t>
  </si>
  <si>
    <t>May Actual v. Expected</t>
  </si>
  <si>
    <t>May Actual v. Forecasted</t>
  </si>
  <si>
    <t xml:space="preserve">1. Inverter 3 producing ~4kW down compared to peer inverters, possibly
 string down since 08/30/24.
</t>
  </si>
  <si>
    <t>1. SR089771
2.SR103756</t>
  </si>
  <si>
    <t>June Actual v. Expected</t>
  </si>
  <si>
    <t>June Actual v. Forecasted</t>
  </si>
  <si>
    <t xml:space="preserve">1. Inverter 3 producing ~4kW down compared to peer inverters, possibly
 string down since 08/30/24.
2. Inverter 2 dropped production to 50% at 9:45am on 06/11due to DC A input tripped offline and reporting "Fault / Input A defective / </t>
  </si>
  <si>
    <t>1. SR089771
2. SR102859</t>
  </si>
  <si>
    <t>SR102859</t>
  </si>
  <si>
    <t>July Actual v. Expected</t>
  </si>
  <si>
    <t>July Actual v. Forecasted</t>
  </si>
  <si>
    <t>1.SR085236</t>
  </si>
  <si>
    <t>August Actual v. Expected</t>
  </si>
  <si>
    <t>August Actual v. Forecasted</t>
  </si>
  <si>
    <t>1.SR085236, SR107494</t>
  </si>
  <si>
    <t>SR107494</t>
  </si>
  <si>
    <t>1. Site was expired in AE on 08/28/25.</t>
  </si>
  <si>
    <t>1. SR107761</t>
  </si>
  <si>
    <t>September Actual v. Expected</t>
  </si>
  <si>
    <t>September Actual v. Forecasted</t>
  </si>
  <si>
    <t>1. Inverter 3 was offline for whole month.
2. Inverter 1 has been experiencing a late start issue, consistently starting at 12:00 every day since 09/03. This issue has occurred on most days in this month.</t>
  </si>
  <si>
    <t>1.SR085236, SR107494
2. SR107339</t>
  </si>
  <si>
    <t>October Actual v. Expected</t>
  </si>
  <si>
    <t>October Actual v. Forecasted</t>
  </si>
  <si>
    <t>Status</t>
  </si>
  <si>
    <t>1. Inverter 3 was offline from 10/01 to 10/07 at 16:45
2.  Inverter 1 running with 5 of 6 strings, string 3b needs further troubleshooting. Inverter 3 is running with 1 of 6 strings for whole month.</t>
  </si>
  <si>
    <t>1. SR107494
2. SR108556</t>
  </si>
  <si>
    <t>1. Pending
2. Pending</t>
  </si>
  <si>
    <t>SR108556</t>
  </si>
  <si>
    <t>1. Inverters 3 and 4 were offline for whole month.
2. Inverter 2 was dropping production to 50% on good irradiance day for whole month.</t>
  </si>
  <si>
    <t>1. SR104215
2. SR103756, SR085289</t>
  </si>
  <si>
    <t>1. Denied
2. Pending</t>
  </si>
  <si>
    <t>November Actual v. Expected</t>
  </si>
  <si>
    <t>November Actual v. Forecasted</t>
  </si>
  <si>
    <t>1.  Inverter 1 running with 5 of 6 strings, string 3b needs further troubleshooting. Inverter 3 is running with 1 of 6 strings for whole month.</t>
  </si>
  <si>
    <t>1. SR108556</t>
  </si>
  <si>
    <t xml:space="preserve">1. Pending
</t>
  </si>
  <si>
    <t>December Actual v. Expected</t>
  </si>
  <si>
    <t>December Actual v. Forecasted</t>
  </si>
  <si>
    <t>1.  Inverter 1 running with 5 of 6 strings, string 3b needs further troubleshooting. Inverter 3 is running with 1 of 6 strings for whole month.
2.Inverter 2 was offline on 12/27 and it came back online at 14:00 on 12/29
3.Inverters have no communication on 12/27 , 12/14</t>
  </si>
  <si>
    <t>1.	SR108556 ,SR113238
2.	SR113725</t>
  </si>
  <si>
    <t>1.closed,pending
2.Closed</t>
  </si>
  <si>
    <t>SR113238</t>
  </si>
  <si>
    <t>SR113725</t>
  </si>
  <si>
    <t xml:space="preserve">1. Inverters 3 and 4 were offline for whole month.
2. Inverter 2 was dropping production to 50% on good irradiance day for whole month.
3.Inverters not started production on 12/27, 12/28 due snow
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</si>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</sst>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555555"/>
      <name val="Open Sans"/>
      <family val="2"/>
      <charset val="1"/>
    </font>
    <font>
      <sz val="11"/>
      <color rgb="FF000000"/>
      <name val="Aptos Narrow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7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" fontId="36" fillId="0" borderId="0" xfId="0" applyNumberFormat="1" applyFont="1"/>
    <xf numFmtId="4" fontId="32" fillId="0" borderId="0" xfId="0" applyNumberFormat="1" applyFont="1"/>
    <xf numFmtId="0" fontId="37" fillId="0" borderId="0" xfId="0" applyFont="1"/>
    <xf numFmtId="3" fontId="30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0" fontId="38" fillId="0" borderId="0" xfId="45" applyAlignment="1">
      <alignment vertical="top"/>
    </xf>
    <xf numFmtId="49" fontId="38" fillId="0" borderId="0" xfId="45" applyNumberFormat="1" applyAlignment="1">
      <alignment vertical="top" wrapText="1"/>
    </xf>
    <xf numFmtId="49" fontId="38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8" fillId="0" borderId="0" xfId="45" applyAlignment="1">
      <alignment horizontal="left" vertical="top"/>
    </xf>
    <xf numFmtId="49" fontId="38" fillId="0" borderId="0" xfId="45" applyNumberFormat="1" applyAlignment="1">
      <alignment horizontal="left" vertical="top" wrapText="1"/>
    </xf>
    <xf numFmtId="0" fontId="0" fillId="0" borderId="0" xfId="0" applyAlignment="1">
      <alignment vertical="top"/>
    </xf>
    <xf numFmtId="49" fontId="38" fillId="38" borderId="0" xfId="45" applyNumberFormat="1" applyFill="1" applyBorder="1" applyAlignment="1">
      <alignment horizontal="left" vertical="top" wrapText="1"/>
    </xf>
    <xf numFmtId="0" fontId="23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528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85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523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761" TargetMode="External"/><Relationship Id="rId2" Type="http://schemas.openxmlformats.org/officeDocument/2006/relationships/hyperlink" Target="https://us3.assetplanner.com/service_request?ID=107494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5" TargetMode="External"/><Relationship Id="rId2" Type="http://schemas.openxmlformats.org/officeDocument/2006/relationships/hyperlink" Target="https://us3.assetplanner.com/service_request?ID=108556" TargetMode="External"/><Relationship Id="rId1" Type="http://schemas.openxmlformats.org/officeDocument/2006/relationships/hyperlink" Target="https://us3.assetplanner.com/service_request?ID=107494" TargetMode="External"/><Relationship Id="rId5" Type="http://schemas.openxmlformats.org/officeDocument/2006/relationships/hyperlink" Target="https://us3.assetplanner.com/service_request?ID=085289" TargetMode="External"/><Relationship Id="rId4" Type="http://schemas.openxmlformats.org/officeDocument/2006/relationships/hyperlink" Target="https://us3.assetplanner.com/service_request?ID=103756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56" TargetMode="External"/><Relationship Id="rId2" Type="http://schemas.openxmlformats.org/officeDocument/2006/relationships/hyperlink" Target="https://us3.assetplanner.com/service_request?ID=104215" TargetMode="External"/><Relationship Id="rId1" Type="http://schemas.openxmlformats.org/officeDocument/2006/relationships/hyperlink" Target="https://us3.assetplanner.com/service_request?ID=108556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85289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3725" TargetMode="External"/><Relationship Id="rId2" Type="http://schemas.openxmlformats.org/officeDocument/2006/relationships/hyperlink" Target="https://us3.assetplanner.com/service_request?ID=113238" TargetMode="External"/><Relationship Id="rId1" Type="http://schemas.openxmlformats.org/officeDocument/2006/relationships/hyperlink" Target="https://us3.assetplanner.com/service_request?ID=108556" TargetMode="External"/><Relationship Id="rId6" Type="http://schemas.openxmlformats.org/officeDocument/2006/relationships/hyperlink" Target="https://us3.assetplanner.com/service_request?ID=085289" TargetMode="External"/><Relationship Id="rId5" Type="http://schemas.openxmlformats.org/officeDocument/2006/relationships/hyperlink" Target="https://us3.assetplanner.com/service_request?ID=103756" TargetMode="External"/><Relationship Id="rId4" Type="http://schemas.openxmlformats.org/officeDocument/2006/relationships/hyperlink" Target="https://us3.assetplanner.com/service_request?ID=10421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E22" sqref="E22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BRANDFON</v>
      </c>
      <c r="B1" s="72"/>
      <c r="C1" s="72"/>
      <c r="D1" s="73" t="s">
        <v>0</v>
      </c>
      <c r="E1" s="73"/>
      <c r="F1" s="73"/>
      <c r="G1" s="71" t="s">
        <v>1</v>
      </c>
      <c r="H1" s="71"/>
      <c r="I1" s="71"/>
    </row>
    <row r="2" spans="1:9" ht="19.5" customHeight="1">
      <c r="A2" s="74" t="s">
        <v>2</v>
      </c>
      <c r="B2" s="74"/>
      <c r="C2" s="5">
        <f>SUM(C4:C65)</f>
        <v>240398.902</v>
      </c>
      <c r="D2" s="5">
        <f>SUM(D4:D65)</f>
        <v>0</v>
      </c>
      <c r="E2" s="5">
        <f>C2-D2</f>
        <v>240398.902</v>
      </c>
      <c r="F2" s="6">
        <f>IFERROR(E2/D2, 0)</f>
        <v>0</v>
      </c>
      <c r="G2" s="5">
        <f>SUM(G4:G65)</f>
        <v>159282.97700000001</v>
      </c>
      <c r="H2" s="7">
        <f>C2-G2</f>
        <v>81115.924999999988</v>
      </c>
      <c r="I2" s="6">
        <f>IFERROR(H2/G2, 0)</f>
        <v>0.50925671109223414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129939.84199999999</v>
      </c>
      <c r="D4" s="13">
        <f>SUM('1st Qtr'!D4, '2nd Qtr'!D4, '3rd Qtr'!D4, '4th Qtr'!D4)</f>
        <v>0</v>
      </c>
      <c r="E4" s="13">
        <f>IF(AND(ISNUMBER(C4),ISNUMBER(D4)), C4-D4, "")</f>
        <v>129939.84199999999</v>
      </c>
      <c r="F4" s="14" t="str">
        <f>IFERROR(E4/D4, "")</f>
        <v/>
      </c>
      <c r="G4" s="15">
        <f>SUM('1st Qtr'!G4, '2nd Qtr'!G4, '3rd Qtr'!G4, '4th Qtr'!G4)</f>
        <v>159282.97700000001</v>
      </c>
      <c r="H4" s="15">
        <f>SUM('1st Qtr'!H4, '2nd Qtr'!H4, '3rd Qtr'!H4, '4th Qtr'!H4)</f>
        <v>-35238.697000000007</v>
      </c>
      <c r="I4" s="16">
        <f>IFERROR(H4/G4, "")</f>
        <v>-0.22123328973189649</v>
      </c>
    </row>
    <row r="5" spans="1:9" ht="15.6">
      <c r="A5" s="17" t="str">
        <v>New Haven - Brandfon Hyundai</v>
      </c>
      <c r="B5" s="10" t="str">
        <v>CT</v>
      </c>
      <c r="C5" s="11">
        <f>SUM('1st Qtr'!C5, '2nd Qtr'!C5, '3rd Qtr'!C5, '4th Qtr'!C5)</f>
        <v>110459.06</v>
      </c>
      <c r="D5" s="18">
        <f>SUM(Jan!D5, Feb!D5, Mar!D5)</f>
        <v>0</v>
      </c>
      <c r="E5" s="18">
        <f t="shared" ref="E5" si="0">IF(AND(ISNUMBER(C5),ISNUMBER(D5)), C5-D5, "")</f>
        <v>110459.06</v>
      </c>
      <c r="F5" s="19" t="str">
        <f>IFERROR(E5/D5, "")</f>
        <v/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E17" sqref="E17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BRANDFON</v>
      </c>
      <c r="B1" s="72"/>
      <c r="C1" s="72"/>
      <c r="D1" s="73" t="s">
        <v>10</v>
      </c>
      <c r="E1" s="73"/>
      <c r="F1" s="73"/>
      <c r="G1" s="71" t="s">
        <v>11</v>
      </c>
      <c r="H1" s="71"/>
      <c r="I1" s="71"/>
    </row>
    <row r="2" spans="1:9" ht="19.5" customHeight="1">
      <c r="A2" s="74" t="s">
        <v>2</v>
      </c>
      <c r="B2" s="74"/>
      <c r="C2" s="5">
        <f>SUM(C4:C65)</f>
        <v>50544.54</v>
      </c>
      <c r="D2" s="5">
        <f>SUM(D4:D65)</f>
        <v>0</v>
      </c>
      <c r="E2" s="5">
        <f>C2-D2</f>
        <v>50544.54</v>
      </c>
      <c r="F2" s="6">
        <f>IFERROR(E2/D2, 0)</f>
        <v>0</v>
      </c>
      <c r="G2" s="5">
        <f>SUM(G4:G65)</f>
        <v>32021</v>
      </c>
      <c r="H2" s="7">
        <f>C2-G2</f>
        <v>18523.54</v>
      </c>
      <c r="I2" s="6">
        <f>IFERROR(H2/G2, 0)</f>
        <v>0.57848099684581999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23518.690000000002</v>
      </c>
      <c r="D4" s="13">
        <f>SUM(Jan!D4, Feb!D4, Mar!D4)</f>
        <v>0</v>
      </c>
      <c r="E4" s="13">
        <f>IF(AND(ISNUMBER(C4),ISNUMBER(D4)), C4-D4, "")</f>
        <v>23518.690000000002</v>
      </c>
      <c r="F4" s="14" t="str">
        <f>IFERROR(E4/D4, "")</f>
        <v/>
      </c>
      <c r="G4" s="15">
        <f>SUM(Jan!G4, Feb!G4, Mar!G4)</f>
        <v>32021</v>
      </c>
      <c r="H4" s="15">
        <f>SUM(Jan!H4, Feb!H4, Mar!H4)</f>
        <v>-8502.3100000000013</v>
      </c>
      <c r="I4" s="16">
        <f>IFERROR(H4/G4, "")</f>
        <v>-0.26552293807189037</v>
      </c>
    </row>
    <row r="5" spans="1:9" ht="15.6">
      <c r="A5" s="46" t="str">
        <v>New Haven - Brandfon Hyundai</v>
      </c>
      <c r="B5" s="10" t="str">
        <v>CT</v>
      </c>
      <c r="C5" s="11">
        <f>SUM(Jan!C5, Feb!C5, Mar!C5)</f>
        <v>27025.85</v>
      </c>
      <c r="D5" s="18">
        <f>SUM(Jan!D5, Feb!D5, Mar!D5)</f>
        <v>0</v>
      </c>
      <c r="E5" s="18">
        <f t="shared" ref="E5" si="0">IF(AND(ISNUMBER(C5),ISNUMBER(D5)), C5-D5, "")</f>
        <v>27025.85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14" sqref="G14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BRANDFON</v>
      </c>
      <c r="B1" s="72"/>
      <c r="C1" s="72"/>
      <c r="D1" s="73" t="s">
        <v>12</v>
      </c>
      <c r="E1" s="73"/>
      <c r="F1" s="73"/>
      <c r="G1" s="71" t="s">
        <v>13</v>
      </c>
      <c r="H1" s="71"/>
      <c r="I1" s="71"/>
    </row>
    <row r="2" spans="1:9" ht="19.5" customHeight="1">
      <c r="A2" s="74" t="s">
        <v>2</v>
      </c>
      <c r="B2" s="74"/>
      <c r="C2" s="5">
        <f>SUM(C4:C65)</f>
        <v>86478.22</v>
      </c>
      <c r="D2" s="5">
        <f>SUM(D4:D65)</f>
        <v>0</v>
      </c>
      <c r="E2" s="5">
        <f>C2-D2</f>
        <v>86478.22</v>
      </c>
      <c r="F2" s="6">
        <f>IFERROR(E2/D2, 0)</f>
        <v>0</v>
      </c>
      <c r="G2" s="5">
        <f>SUM(G4:G65)</f>
        <v>58574</v>
      </c>
      <c r="H2" s="7">
        <f>C2-G2</f>
        <v>27904.22</v>
      </c>
      <c r="I2" s="6">
        <f>IFERROR(H2/G2, 0)</f>
        <v>0.47639259739816303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39954</v>
      </c>
      <c r="D4" s="13">
        <f>SUM(Apr!D4, May!D4, Jun!D4)</f>
        <v>0</v>
      </c>
      <c r="E4" s="13">
        <f>IF(AND(ISNUMBER(C4),ISNUMBER(D4)), C4-D4, "")</f>
        <v>39954</v>
      </c>
      <c r="F4" s="14" t="str">
        <f>IFERROR(E4/D4, "")</f>
        <v/>
      </c>
      <c r="G4" s="15">
        <f>SUM(Apr!G4,May!G4,Jun!G4)</f>
        <v>58574</v>
      </c>
      <c r="H4" s="15">
        <f>SUM(Apr!H4, May!H4, Jun!H4)</f>
        <v>-18620</v>
      </c>
      <c r="I4" s="16">
        <f>IFERROR(H4/G4, "")</f>
        <v>-0.31788848294465122</v>
      </c>
    </row>
    <row r="5" spans="1:9" ht="15.6">
      <c r="A5" s="46" t="str">
        <v>New Haven - Brandfon Hyundai</v>
      </c>
      <c r="B5" s="10" t="str">
        <v>CT</v>
      </c>
      <c r="C5" s="11">
        <f>SUM(Apr!C5, May!C5, Jun!C5)</f>
        <v>46524.22</v>
      </c>
      <c r="D5" s="18">
        <f>SUM(Apr!D5, May!D5, Jun!D5)</f>
        <v>0</v>
      </c>
      <c r="E5" s="18">
        <f t="shared" ref="E5" si="0">IF(AND(ISNUMBER(C5),ISNUMBER(D5)), C5-D5, "")</f>
        <v>46524.22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14" sqref="G14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BRANDFON</v>
      </c>
      <c r="B1" s="72"/>
      <c r="C1" s="72"/>
      <c r="D1" s="73" t="s">
        <v>14</v>
      </c>
      <c r="E1" s="73"/>
      <c r="F1" s="73"/>
      <c r="G1" s="71" t="s">
        <v>15</v>
      </c>
      <c r="H1" s="71"/>
      <c r="I1" s="71"/>
    </row>
    <row r="2" spans="1:9" ht="19.5" customHeight="1">
      <c r="A2" s="74" t="s">
        <v>2</v>
      </c>
      <c r="B2" s="74"/>
      <c r="C2" s="5">
        <f>SUM(C4:C65)</f>
        <v>73414.542000000001</v>
      </c>
      <c r="D2" s="5">
        <f>SUM(D4:D65)</f>
        <v>0</v>
      </c>
      <c r="E2" s="5">
        <f>C2-D2</f>
        <v>73414.542000000001</v>
      </c>
      <c r="F2" s="6">
        <f>IFERROR(E2/D2, 0)</f>
        <v>0</v>
      </c>
      <c r="G2" s="5">
        <f>SUM(G4:G65)</f>
        <v>50079.976999999999</v>
      </c>
      <c r="H2" s="7">
        <f>C2-G2</f>
        <v>23334.565000000002</v>
      </c>
      <c r="I2" s="6">
        <f>IFERROR(H2/G2, 0)</f>
        <v>0.46594600073398601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47893.951999999997</v>
      </c>
      <c r="D4" s="13">
        <f>SUM(Jul!D4, Aug!D4, Sep!D4)</f>
        <v>0</v>
      </c>
      <c r="E4" s="13">
        <f>IF(AND(ISNUMBER(C4),ISNUMBER(D4)), C4-D4, "")</f>
        <v>47893.951999999997</v>
      </c>
      <c r="F4" s="14" t="str">
        <f>IFERROR(E4/D4, "")</f>
        <v/>
      </c>
      <c r="G4" s="15">
        <f>SUM(Jul!G4,Aug!G4,Sep!G4)</f>
        <v>50079.976999999999</v>
      </c>
      <c r="H4" s="15">
        <f>SUM(Jul!H4, Aug!H4, Sep!H4)</f>
        <v>-2186.0250000000033</v>
      </c>
      <c r="I4" s="16">
        <f>IFERROR(H4/G4, "")</f>
        <v>-4.3650678992923728E-2</v>
      </c>
    </row>
    <row r="5" spans="1:9" ht="15.6">
      <c r="A5" s="46" t="str">
        <v>New Haven - Brandfon Hyundai</v>
      </c>
      <c r="B5" s="10" t="str">
        <v>CT</v>
      </c>
      <c r="C5" s="11">
        <f>SUM(Jul!C5, Aug!C5, Sep!C5)</f>
        <v>25520.59</v>
      </c>
      <c r="D5" s="18">
        <f>SUM(Jul!D5, Aug!D5, Sep!D5)</f>
        <v>0</v>
      </c>
      <c r="E5" s="18">
        <f t="shared" ref="E5" si="0">IF(AND(ISNUMBER(C5),ISNUMBER(D5)), C5-D5, "")</f>
        <v>25520.59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K4" activePane="bottomRight" state="frozen"/>
      <selection pane="bottomRight" activeCell="K23" sqref="K23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2" t="str" cm="1">
        <f t="array" ref="A1">portfolio</f>
        <v>BRANDFON</v>
      </c>
      <c r="B1" s="72"/>
      <c r="C1" s="72"/>
      <c r="D1" s="73" t="s">
        <v>16</v>
      </c>
      <c r="E1" s="73"/>
      <c r="F1" s="73"/>
      <c r="G1" s="71" t="s">
        <v>17</v>
      </c>
      <c r="H1" s="71"/>
      <c r="I1" s="71"/>
    </row>
    <row r="2" spans="1:9" ht="19.5" customHeight="1">
      <c r="A2" s="74" t="s">
        <v>2</v>
      </c>
      <c r="B2" s="74"/>
      <c r="C2" s="5">
        <f>SUM(C4:C65)</f>
        <v>29961.600000000002</v>
      </c>
      <c r="D2" s="5">
        <f>SUM(D4:D65)</f>
        <v>0</v>
      </c>
      <c r="E2" s="5">
        <f>C2-D2</f>
        <v>29961.600000000002</v>
      </c>
      <c r="F2" s="6">
        <f>IFERROR(E2/D2, 0)</f>
        <v>0</v>
      </c>
      <c r="G2" s="5">
        <f>SUM(G4:G65)</f>
        <v>18608</v>
      </c>
      <c r="H2" s="7">
        <f>C2-G2</f>
        <v>11353.600000000002</v>
      </c>
      <c r="I2" s="6">
        <f>IFERROR(H2/G2, 0)</f>
        <v>0.61014617368873614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18573.2</v>
      </c>
      <c r="D4" s="13">
        <f>SUM(Oct!D4, Nov!D4, Dec!D4)</f>
        <v>0</v>
      </c>
      <c r="E4" s="13">
        <f>IF(AND(ISNUMBER(C4),ISNUMBER(D4)), C4-D4, "")</f>
        <v>18573.2</v>
      </c>
      <c r="F4" s="14" t="str">
        <f>IFERROR(E4/D4, "")</f>
        <v/>
      </c>
      <c r="G4" s="15">
        <f>SUM(Oct!G4,Nov!G4,Dec!G40)</f>
        <v>18608</v>
      </c>
      <c r="H4" s="15">
        <f>SUM(Oct!H4, Nov!H4, Dec!H4)</f>
        <v>-5930.3619999999992</v>
      </c>
      <c r="I4" s="16">
        <f>IFERROR(H4/G4, "")</f>
        <v>-0.31869959157351674</v>
      </c>
    </row>
    <row r="5" spans="1:9" ht="15.6">
      <c r="A5" s="46" t="str">
        <v>New Haven - Brandfon Hyundai</v>
      </c>
      <c r="B5" s="10" t="str">
        <v>CT</v>
      </c>
      <c r="C5" s="11">
        <f>SUM(Oct!C5, Nov!C5, Dec!C5)</f>
        <v>11388.400000000001</v>
      </c>
      <c r="D5" s="18">
        <f>SUM(Oct!D5, Nov!D5, Dec!D5)</f>
        <v>0</v>
      </c>
      <c r="E5" s="18">
        <f t="shared" ref="E5" si="0">IF(AND(ISNUMBER(C5),ISNUMBER(D5)), C5-D5, "")</f>
        <v>11388.400000000001</v>
      </c>
      <c r="F5" s="19" t="str">
        <f>IFERROR(E5/D5, "")</f>
        <v/>
      </c>
      <c r="G5" s="20">
        <f>SUM(Oct!G5,Nov!G5,Dec!G41)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06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5" customWidth="1"/>
    <col min="4" max="5" width="13.28515625" customWidth="1"/>
    <col min="6" max="6" width="15.28515625" style="1" bestFit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18</v>
      </c>
      <c r="E1" s="73"/>
      <c r="F1" s="73"/>
      <c r="G1" s="71" t="s">
        <v>19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SUM(C4:C64)</f>
        <v>11534.15</v>
      </c>
      <c r="D2" s="5">
        <f>SUM(D4:D64)</f>
        <v>0</v>
      </c>
      <c r="E2" s="5">
        <f>C2-D2</f>
        <v>11534.15</v>
      </c>
      <c r="F2" s="6">
        <f>IFERROR(E2/D2, 0)</f>
        <v>0</v>
      </c>
      <c r="G2" s="5">
        <f>SUM(G4:G64)</f>
        <v>6972</v>
      </c>
      <c r="H2" s="7">
        <f>C2-G2</f>
        <v>4562.1499999999996</v>
      </c>
      <c r="I2" s="6">
        <f>IFERROR(H2/G2, 0)</f>
        <v>0.65435312679288582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2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5527.7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6972</v>
      </c>
      <c r="H4" s="15">
        <f>IF(AND(ISNUMBER(C4),ISNUMBER(G4)), C4-G4, "")</f>
        <v>-1444.3000000000002</v>
      </c>
      <c r="I4" s="16">
        <f>IFERROR(H4/G4, "")</f>
        <v>-0.20715720022948941</v>
      </c>
      <c r="J4" s="40" t="s">
        <v>23</v>
      </c>
      <c r="K4" s="61" t="s">
        <v>24</v>
      </c>
      <c r="L4" s="62" t="s">
        <v>25</v>
      </c>
    </row>
    <row r="5" spans="1:12" ht="15.6">
      <c r="A5" s="49" t="str">
        <v>New Haven - Brandfon Hyundai</v>
      </c>
      <c r="B5" s="30" t="str">
        <v>CT</v>
      </c>
      <c r="C5" s="11">
        <v>6006.45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60" t="s">
        <v>22</v>
      </c>
      <c r="H5" s="20" t="str">
        <f t="shared" ref="H5" si="2">IF(AND(ISNUMBER(C5),ISNUMBER(G5)), C5-G5, "")</f>
        <v/>
      </c>
      <c r="I5" s="19" t="str">
        <f t="shared" ref="I5" si="3">IFERROR(H5/G5, "")</f>
        <v/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5.6">
      <c r="A15" s="21"/>
      <c r="B15" s="32"/>
      <c r="C15" s="21"/>
      <c r="D15" s="21"/>
      <c r="E15" s="21"/>
      <c r="F15" s="57"/>
      <c r="G15" s="21"/>
      <c r="H15" s="21"/>
      <c r="I15" s="22"/>
      <c r="J15" s="21"/>
      <c r="K15" s="21"/>
    </row>
    <row r="16" spans="1:12" ht="15.6">
      <c r="A16" s="21"/>
      <c r="B16" s="32"/>
      <c r="C16" s="57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58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F16:F64">
    <cfRule type="cellIs" dxfId="30" priority="8" stopIfTrue="1" operator="lessThanOrEqual">
      <formula>-0.1</formula>
    </cfRule>
    <cfRule type="expression" dxfId="29" priority="9">
      <formula>AND(ISNUMBER(F2), F2&gt;=0.1)</formula>
    </cfRule>
  </conditionalFormatting>
  <conditionalFormatting sqref="F4:F1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4" r:id="rId1" display="https://us3.assetplanner.com/service_request?ID=095178" xr:uid="{C02F37E0-BBAF-42C3-A94A-96DF1B86E5F6}"/>
    <hyperlink ref="L4" r:id="rId2" display="https://us3.assetplanner.com/service_request?ID=095703" xr:uid="{ED919059-3B68-418B-A13B-B0206F1EFA8B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07"/>
  <sheetViews>
    <sheetView workbookViewId="0">
      <pane xSplit="2" ySplit="3" topLeftCell="C4" activePane="bottomRight" state="frozen"/>
      <selection pane="bottomRight" activeCell="J7" sqref="J7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26</v>
      </c>
      <c r="E1" s="73"/>
      <c r="F1" s="73"/>
      <c r="G1" s="71" t="s">
        <v>27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14122.42</v>
      </c>
      <c r="D2" s="5">
        <f>SUM(D4:D65)</f>
        <v>0</v>
      </c>
      <c r="E2" s="5">
        <f>C2-D2</f>
        <v>14122.42</v>
      </c>
      <c r="F2" s="6">
        <f>IFERROR(E2/D2, 0)</f>
        <v>0</v>
      </c>
      <c r="G2" s="5">
        <f>SUM(G4:G65)</f>
        <v>9497</v>
      </c>
      <c r="H2" s="7">
        <f>C2-G2</f>
        <v>4625.42</v>
      </c>
      <c r="I2" s="6">
        <f>IFERROR(H2/G2, 0)</f>
        <v>0.48704011793197854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2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6524.59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9497</v>
      </c>
      <c r="H4" s="15">
        <f>IF(AND(ISNUMBER(C4),ISNUMBER(G4)), C4-G4, "")</f>
        <v>-2972.41</v>
      </c>
      <c r="I4" s="16">
        <f>IFERROR(H4/G4, "")</f>
        <v>-0.31298410024218171</v>
      </c>
      <c r="J4" s="40" t="s">
        <v>28</v>
      </c>
      <c r="K4" s="61" t="s">
        <v>24</v>
      </c>
      <c r="L4" s="62" t="s">
        <v>25</v>
      </c>
    </row>
    <row r="5" spans="1:12" ht="15.6">
      <c r="A5" s="49" t="str">
        <v>New Haven - Brandfon Hyundai</v>
      </c>
      <c r="B5" s="30" t="str">
        <v>CT</v>
      </c>
      <c r="C5" s="11">
        <v>7597.83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59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5178" xr:uid="{3CD14A64-ABCC-4BAE-A998-4705D868FD61}"/>
    <hyperlink ref="L4" r:id="rId2" display="https://us3.assetplanner.com/service_request?ID=095703" xr:uid="{1A7AE9DC-B430-47C0-AC7C-58F8D01A95F5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07"/>
  <sheetViews>
    <sheetView workbookViewId="0">
      <pane xSplit="2" ySplit="3" topLeftCell="C4" activePane="bottomRight" state="frozen"/>
      <selection pane="bottomRight" activeCell="J5" sqref="J5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29</v>
      </c>
      <c r="E1" s="73"/>
      <c r="F1" s="73"/>
      <c r="G1" s="71" t="s">
        <v>30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24887.97</v>
      </c>
      <c r="D2" s="5">
        <f>SUM(D4:D65)</f>
        <v>0</v>
      </c>
      <c r="E2" s="5">
        <f>C2-D2</f>
        <v>24887.97</v>
      </c>
      <c r="F2" s="6">
        <f>IFERROR(E2/D2, 0)</f>
        <v>0</v>
      </c>
      <c r="G2" s="5">
        <f>SUM(G4:G65)</f>
        <v>15552</v>
      </c>
      <c r="H2" s="7">
        <f>C2-G2</f>
        <v>9335.9700000000012</v>
      </c>
      <c r="I2" s="6">
        <f>IFERROR(H2/G2, 0)</f>
        <v>0.60030671296296301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54" customHeight="1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11466.4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15552</v>
      </c>
      <c r="H4" s="15">
        <f>IF(AND(ISNUMBER(C4),ISNUMBER(G4)), C4-G4, "")</f>
        <v>-4085.6000000000004</v>
      </c>
      <c r="I4" s="16">
        <f>IFERROR(H4/G4, "")</f>
        <v>-0.26270576131687245</v>
      </c>
      <c r="J4" s="40" t="s">
        <v>31</v>
      </c>
      <c r="K4" s="61" t="s">
        <v>32</v>
      </c>
    </row>
    <row r="5" spans="1:12" ht="67.5" customHeight="1">
      <c r="A5" s="49" t="str">
        <v>New Haven - Brandfon Hyundai</v>
      </c>
      <c r="B5" s="30" t="str">
        <v>CT</v>
      </c>
      <c r="C5" s="11">
        <v>13421.57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33</v>
      </c>
      <c r="K5" s="63" t="s">
        <v>34</v>
      </c>
      <c r="L5" s="62" t="s">
        <v>35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7" stopIfTrue="1" operator="lessThanOrEqual">
      <formula>-0.1</formula>
    </cfRule>
    <cfRule type="expression" dxfId="23" priority="8">
      <formula>AND(ISNUMBER(F2), F2&gt;=0.1)</formula>
    </cfRule>
  </conditionalFormatting>
  <conditionalFormatting sqref="F4:F65 I4:I65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85236" xr:uid="{925F75C3-1592-424B-8C92-BF6EC74F84D0}"/>
    <hyperlink ref="K5" r:id="rId2" display="https://us3.assetplanner.com/service_request?ID=089771" xr:uid="{2ACD78F9-47FE-4A60-8255-C7549DAC359F}"/>
    <hyperlink ref="L5" r:id="rId3" display="https://us3.assetplanner.com/service_request?ID=085289" xr:uid="{888D884C-4996-4C9A-ADCC-A01224F206C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07"/>
  <sheetViews>
    <sheetView workbookViewId="0">
      <pane xSplit="2" ySplit="3" topLeftCell="G4" activePane="bottomRight" state="frozen"/>
      <selection pane="bottomRight" activeCell="L1" sqref="L1:L1048576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5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36</v>
      </c>
      <c r="E1" s="73"/>
      <c r="F1" s="73"/>
      <c r="G1" s="71" t="s">
        <v>37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29010.07</v>
      </c>
      <c r="D2" s="5">
        <f>SUM(D4:D65)</f>
        <v>0</v>
      </c>
      <c r="E2" s="5">
        <f>C2-D2</f>
        <v>29010.07</v>
      </c>
      <c r="F2" s="6">
        <f>IFERROR(E2/D2, 0)</f>
        <v>0</v>
      </c>
      <c r="G2" s="5">
        <f>SUM(G4:G65)</f>
        <v>17255</v>
      </c>
      <c r="H2" s="7">
        <f>C2-G2</f>
        <v>11755.07</v>
      </c>
      <c r="I2" s="6">
        <f>IFERROR(H2/G2, 0)</f>
        <v>0.68125586786438708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13321.6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17255</v>
      </c>
      <c r="H4" s="15">
        <f>IF(AND(ISNUMBER(C4),ISNUMBER(G4)), C4-G4, "")</f>
        <v>-3933.3999999999996</v>
      </c>
      <c r="I4" s="16">
        <f>IFERROR(H4/G4, "")</f>
        <v>-0.22795711388003476</v>
      </c>
      <c r="J4" s="40" t="s">
        <v>38</v>
      </c>
      <c r="K4" s="61" t="s">
        <v>32</v>
      </c>
    </row>
    <row r="5" spans="1:12" ht="43.15">
      <c r="A5" s="29" t="str">
        <v>New Haven - Brandfon Hyundai</v>
      </c>
      <c r="B5" s="30" t="str">
        <v>CT</v>
      </c>
      <c r="C5" s="11">
        <v>15688.47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39</v>
      </c>
      <c r="K5" s="64" t="s">
        <v>40</v>
      </c>
      <c r="L5" s="66" t="s">
        <v>41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85236" xr:uid="{DD460518-53EE-4400-AC34-007E8B0D28D4}"/>
    <hyperlink ref="K5" r:id="rId2" display="https://us3.assetplanner.com/service_request?ID=089771" xr:uid="{BA9A4248-FE41-4B5C-939A-FBCAA5AF2E61}"/>
    <hyperlink ref="L5" r:id="rId3" display="https://us3.assetplanner.com/service_request?ID=103756" xr:uid="{58498EE2-0352-48E1-B08C-6B23573E98B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07"/>
  <sheetViews>
    <sheetView workbookViewId="0">
      <pane xSplit="2" ySplit="3" topLeftCell="C4" activePane="bottomRight" state="frozen"/>
      <selection pane="bottomRight" activeCell="J4" sqref="J4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5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42</v>
      </c>
      <c r="E1" s="73"/>
      <c r="F1" s="73"/>
      <c r="G1" s="71" t="s">
        <v>43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27751.23</v>
      </c>
      <c r="D2" s="5">
        <f>SUM(D4:D65)</f>
        <v>0</v>
      </c>
      <c r="E2" s="5">
        <f>C2-D2</f>
        <v>27751.23</v>
      </c>
      <c r="F2" s="6">
        <f>IFERROR(E2/D2, 0)</f>
        <v>0</v>
      </c>
      <c r="G2" s="5">
        <f>SUM(G4:G65)</f>
        <v>20385</v>
      </c>
      <c r="H2" s="7">
        <f>C2-G2</f>
        <v>7366.23</v>
      </c>
      <c r="I2" s="6">
        <f>IFERROR(H2/G2, 0)</f>
        <v>0.36135540838852093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12823.1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20385</v>
      </c>
      <c r="H4" s="15">
        <f>IF(AND(ISNUMBER(C4),ISNUMBER(G4)), C4-G4, "")</f>
        <v>-7561.9</v>
      </c>
      <c r="I4" s="16">
        <f>IFERROR(H4/G4, "")</f>
        <v>-0.37095413294088792</v>
      </c>
      <c r="J4" s="40" t="s">
        <v>38</v>
      </c>
      <c r="K4" s="61" t="s">
        <v>32</v>
      </c>
    </row>
    <row r="5" spans="1:12" ht="57" customHeight="1">
      <c r="A5" s="29" t="str">
        <v>New Haven - Brandfon Hyundai</v>
      </c>
      <c r="B5" s="30" t="str">
        <v>CT</v>
      </c>
      <c r="C5" s="11">
        <v>14928.13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70" t="s">
        <v>44</v>
      </c>
      <c r="K5" s="63" t="s">
        <v>45</v>
      </c>
      <c r="L5" s="66" t="s">
        <v>41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85236" xr:uid="{0A567D9A-825E-481F-843F-AFBD7B1D0BA2}"/>
    <hyperlink ref="K5" r:id="rId2" display="https://us3.assetplanner.com/service_request?ID=089771" xr:uid="{7435DE8B-865F-4965-8944-BFC3C14DE0A7}"/>
    <hyperlink ref="L5" r:id="rId3" display="https://us3.assetplanner.com/service_request?ID=103756" xr:uid="{F8A1EE9E-A68C-42C4-9444-A10D35B0A40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07"/>
  <sheetViews>
    <sheetView zoomScale="90" zoomScaleNormal="90" workbookViewId="0">
      <pane xSplit="2" ySplit="3" topLeftCell="J4" activePane="bottomRight" state="frozen"/>
      <selection pane="bottomRight" activeCell="J5" sqref="J5:K5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5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46</v>
      </c>
      <c r="E1" s="73"/>
      <c r="F1" s="73"/>
      <c r="G1" s="71" t="s">
        <v>47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29716.92</v>
      </c>
      <c r="D2" s="5">
        <f>SUM(D4:D65)</f>
        <v>0</v>
      </c>
      <c r="E2" s="5">
        <f>C2-D2</f>
        <v>29716.92</v>
      </c>
      <c r="F2" s="6">
        <f>IFERROR(E2/D2, 0)</f>
        <v>0</v>
      </c>
      <c r="G2" s="5">
        <f>SUM(G4:G65)</f>
        <v>20934</v>
      </c>
      <c r="H2" s="7">
        <f>C2-G2</f>
        <v>8782.9199999999983</v>
      </c>
      <c r="I2" s="6">
        <f>IFERROR(H2/G2, 0)</f>
        <v>0.41955288048151324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13809.3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20934</v>
      </c>
      <c r="H4" s="15">
        <f>IF(AND(ISNUMBER(C4),ISNUMBER(G4)), C4-G4, "")</f>
        <v>-7124.7000000000007</v>
      </c>
      <c r="I4" s="16">
        <f>IFERROR(H4/G4, "")</f>
        <v>-0.3403410719403841</v>
      </c>
      <c r="J4" s="40" t="s">
        <v>38</v>
      </c>
      <c r="K4" s="61" t="s">
        <v>32</v>
      </c>
    </row>
    <row r="5" spans="1:12" ht="57.6">
      <c r="A5" s="29" t="str">
        <v>New Haven - Brandfon Hyundai</v>
      </c>
      <c r="B5" s="30" t="str">
        <v>CT</v>
      </c>
      <c r="C5" s="11">
        <v>15907.62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48</v>
      </c>
      <c r="K5" s="67" t="s">
        <v>49</v>
      </c>
      <c r="L5" s="66" t="s">
        <v>50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85236" xr:uid="{7849E198-AE93-437E-BE5F-ACD13EF08F44}"/>
    <hyperlink ref="K5" r:id="rId2" display="https://us3.assetplanner.com/service_request?ID=089771" xr:uid="{B6E5C929-5352-46CE-A47E-ABC2456B7489}"/>
    <hyperlink ref="L5" r:id="rId3" display="https://us3.assetplanner.com/service_request?ID=102859" xr:uid="{8569492C-067F-4E89-B0C3-0CD0275D95E2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07"/>
  <sheetViews>
    <sheetView workbookViewId="0">
      <pane xSplit="2" ySplit="3" topLeftCell="H4" activePane="bottomRight" state="frozen"/>
      <selection pane="bottomRight" activeCell="H21" sqref="H21"/>
      <selection pane="bottomLeft" activeCell="H21" sqref="H21"/>
      <selection pane="topRight" activeCell="H21" sqref="H21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8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51</v>
      </c>
      <c r="E1" s="73"/>
      <c r="F1" s="73"/>
      <c r="G1" s="71" t="s">
        <v>52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26189.32</v>
      </c>
      <c r="D2" s="5">
        <f>SUM(D4:D65)</f>
        <v>0</v>
      </c>
      <c r="E2" s="5">
        <f>C2-D2</f>
        <v>26189.32</v>
      </c>
      <c r="F2" s="6">
        <f>IFERROR(E2/D2, 0)</f>
        <v>0</v>
      </c>
      <c r="G2" s="5">
        <f>SUM(G4:G65)</f>
        <v>18886.578000000001</v>
      </c>
      <c r="H2" s="7">
        <f>C2-G2</f>
        <v>7302.7419999999984</v>
      </c>
      <c r="I2" s="6">
        <f>IFERROR(H2/G2, 0)</f>
        <v>0.38666305775455978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15612.9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18886.578000000001</v>
      </c>
      <c r="H4" s="15">
        <f>IF(AND(ISNUMBER(C4),ISNUMBER(G4)), C4-G4, "")</f>
        <v>-3273.6780000000017</v>
      </c>
      <c r="I4" s="16">
        <f>IFERROR(H4/G4, "")</f>
        <v>-0.17333357053882401</v>
      </c>
      <c r="J4" s="40" t="s">
        <v>38</v>
      </c>
      <c r="K4" s="61" t="s">
        <v>53</v>
      </c>
      <c r="L4" s="62"/>
    </row>
    <row r="5" spans="1:12" ht="15.6">
      <c r="A5" s="29" t="str">
        <v>New Haven - Brandfon Hyundai</v>
      </c>
      <c r="B5" s="30" t="str">
        <v>CT</v>
      </c>
      <c r="C5" s="11">
        <v>10576.42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64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85236" xr:uid="{963A6499-7ED0-4997-A025-503A1A259C7D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07"/>
  <sheetViews>
    <sheetView workbookViewId="0">
      <pane xSplit="2" ySplit="3" topLeftCell="H4" activePane="bottomRight" state="frozen"/>
      <selection pane="bottomRight" activeCell="H21" sqref="H21"/>
      <selection pane="bottomLeft" activeCell="H21" sqref="H21"/>
      <selection pane="topRight" activeCell="H21" sqref="H21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8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54</v>
      </c>
      <c r="E1" s="73"/>
      <c r="F1" s="73"/>
      <c r="G1" s="71" t="s">
        <v>55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29393.222000000002</v>
      </c>
      <c r="D2" s="5">
        <f>SUM(D4:D65)</f>
        <v>0</v>
      </c>
      <c r="E2" s="5">
        <f>C2-D2</f>
        <v>29393.222000000002</v>
      </c>
      <c r="F2" s="6">
        <f>IFERROR(E2/D2, 0)</f>
        <v>0</v>
      </c>
      <c r="G2" s="5">
        <f>SUM(G4:G65)</f>
        <v>17176.131000000001</v>
      </c>
      <c r="H2" s="7">
        <f>C2-G2</f>
        <v>12217.091</v>
      </c>
      <c r="I2" s="6">
        <f>IFERROR(H2/G2, 0)</f>
        <v>0.71128305903116362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26.4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21029.552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17176.131000000001</v>
      </c>
      <c r="H4" s="15">
        <f>IF(AND(ISNUMBER(C4),ISNUMBER(G4)), C4-G4, "")</f>
        <v>3853.4209999999985</v>
      </c>
      <c r="I4" s="16">
        <f>IFERROR(H4/G4, "")</f>
        <v>0.2243474388964545</v>
      </c>
      <c r="J4" s="40" t="s">
        <v>38</v>
      </c>
      <c r="K4" s="61" t="s">
        <v>56</v>
      </c>
      <c r="L4" s="62" t="s">
        <v>57</v>
      </c>
    </row>
    <row r="5" spans="1:12" ht="15.6">
      <c r="A5" s="29" t="str">
        <v>New Haven - Brandfon Hyundai</v>
      </c>
      <c r="B5" s="30" t="str">
        <v>CT</v>
      </c>
      <c r="C5" s="11">
        <v>8363.67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58</v>
      </c>
      <c r="K5" s="64" t="s">
        <v>59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85236" xr:uid="{79BBDE72-1EB8-4EFD-893D-F7347AA0B422}"/>
    <hyperlink ref="L4" r:id="rId2" display="https://us3.assetplanner.com/service_request?ID=107494" xr:uid="{2678471F-DCCF-4053-876E-4C692C9F2B9C}"/>
    <hyperlink ref="K5" r:id="rId3" display="https://us3.assetplanner.com/service_request?ID=107761" xr:uid="{069FCA8F-DCBA-4BC6-9541-5CEE2FCF264E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07"/>
  <sheetViews>
    <sheetView workbookViewId="0">
      <pane xSplit="2" ySplit="3" topLeftCell="F4" activePane="bottomRight" state="frozen"/>
      <selection pane="bottomRight" activeCell="C23" sqref="C23"/>
      <selection pane="bottomLeft" activeCell="H21" sqref="H21"/>
      <selection pane="topRight" activeCell="H21" sqref="H21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8"/>
  </cols>
  <sheetData>
    <row r="1" spans="1:12" ht="19.5" customHeight="1">
      <c r="A1" s="72" t="str" cm="1">
        <f t="array" ref="A1">portfolio</f>
        <v>BRANDFON</v>
      </c>
      <c r="B1" s="72"/>
      <c r="C1" s="72"/>
      <c r="D1" s="73" t="s">
        <v>60</v>
      </c>
      <c r="E1" s="73"/>
      <c r="F1" s="73"/>
      <c r="G1" s="71" t="s">
        <v>61</v>
      </c>
      <c r="H1" s="71"/>
      <c r="I1" s="71"/>
      <c r="J1" s="4"/>
      <c r="K1" s="4"/>
    </row>
    <row r="2" spans="1:12" ht="19.5" customHeight="1">
      <c r="A2" s="74" t="s">
        <v>2</v>
      </c>
      <c r="B2" s="74"/>
      <c r="C2" s="5">
        <f>SUM(C4:C65)</f>
        <v>17832</v>
      </c>
      <c r="D2" s="5">
        <f>SUM(D4:D65)</f>
        <v>0</v>
      </c>
      <c r="E2" s="5">
        <f>C2-D2</f>
        <v>17832</v>
      </c>
      <c r="F2" s="6">
        <f>IFERROR(E2/D2, 0)</f>
        <v>0</v>
      </c>
      <c r="G2" s="5">
        <f>SUM(G4:G65)</f>
        <v>14017.268</v>
      </c>
      <c r="H2" s="7">
        <f>C2-G2</f>
        <v>3814.732</v>
      </c>
      <c r="I2" s="6">
        <f>IFERROR(H2/G2, 0)</f>
        <v>0.27214518549549027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3.1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11251.5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14017.268</v>
      </c>
      <c r="H4" s="15">
        <f>IF(AND(ISNUMBER(C4),ISNUMBER(G4)), C4-G4, "")</f>
        <v>-2765.768</v>
      </c>
      <c r="I4" s="16">
        <f>IFERROR(H4/G4, "")</f>
        <v>-0.19731148751668301</v>
      </c>
      <c r="J4" s="40" t="s">
        <v>62</v>
      </c>
      <c r="K4" s="61" t="s">
        <v>63</v>
      </c>
      <c r="L4" s="62"/>
    </row>
    <row r="5" spans="1:12" ht="15.6">
      <c r="A5" s="29" t="str">
        <v>New Haven - Brandfon Hyundai</v>
      </c>
      <c r="B5" s="30" t="str">
        <v>CT</v>
      </c>
      <c r="C5" s="11">
        <v>6580.5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58</v>
      </c>
      <c r="K5" s="64" t="s">
        <v>59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07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28515625" customWidth="1"/>
    <col min="13" max="15" width="8.85546875" style="65"/>
  </cols>
  <sheetData>
    <row r="1" spans="1:14" ht="19.5" customHeight="1">
      <c r="A1" s="72" t="str" cm="1">
        <f t="array" ref="A1">portfolio</f>
        <v>BRANDFON</v>
      </c>
      <c r="B1" s="72"/>
      <c r="C1" s="72"/>
      <c r="D1" s="73" t="s">
        <v>64</v>
      </c>
      <c r="E1" s="73"/>
      <c r="F1" s="73"/>
      <c r="G1" s="71" t="s">
        <v>65</v>
      </c>
      <c r="H1" s="71"/>
      <c r="I1" s="71"/>
      <c r="J1" s="4"/>
      <c r="K1" s="4"/>
      <c r="L1" s="4"/>
    </row>
    <row r="2" spans="1:14" ht="19.5" customHeight="1">
      <c r="A2" s="74" t="s">
        <v>2</v>
      </c>
      <c r="B2" s="74"/>
      <c r="C2" s="5">
        <f>SUM(C4:C65)</f>
        <v>13877.900000000001</v>
      </c>
      <c r="D2" s="5">
        <f>SUM(D4:D65)</f>
        <v>0</v>
      </c>
      <c r="E2" s="5">
        <f>C2-D2</f>
        <v>13877.900000000001</v>
      </c>
      <c r="F2" s="6">
        <f>IFERROR(E2/D2, 0)</f>
        <v>0</v>
      </c>
      <c r="G2" s="5">
        <f>SUM(G4:G65)</f>
        <v>11695</v>
      </c>
      <c r="H2" s="7">
        <f>C2-G2</f>
        <v>2182.9000000000015</v>
      </c>
      <c r="I2" s="6">
        <f>IFERROR(H2/G2, 0)</f>
        <v>0.18665241556220619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66</v>
      </c>
    </row>
    <row r="4" spans="1:14" ht="43.1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8613.1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11695</v>
      </c>
      <c r="H4" s="15">
        <f>IF(AND(ISNUMBER(C4),ISNUMBER(G4)), C4-G4, "")</f>
        <v>-3081.8999999999996</v>
      </c>
      <c r="I4" s="16">
        <f>IFERROR(H4/G4, "")</f>
        <v>-0.2635228730226592</v>
      </c>
      <c r="J4" s="40" t="s">
        <v>67</v>
      </c>
      <c r="K4" s="69" t="s">
        <v>68</v>
      </c>
      <c r="L4" s="56" t="s">
        <v>69</v>
      </c>
      <c r="M4" s="66" t="s">
        <v>70</v>
      </c>
    </row>
    <row r="5" spans="1:14" ht="43.15">
      <c r="A5" s="29" t="str">
        <v>New Haven - Brandfon Hyundai</v>
      </c>
      <c r="B5" s="30" t="str">
        <v>CT</v>
      </c>
      <c r="C5" s="11">
        <v>5264.8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 t="s">
        <v>71</v>
      </c>
      <c r="K5" s="67" t="s">
        <v>72</v>
      </c>
      <c r="L5" s="55" t="s">
        <v>73</v>
      </c>
      <c r="M5" s="66" t="s">
        <v>41</v>
      </c>
      <c r="N5" s="66" t="s">
        <v>35</v>
      </c>
    </row>
    <row r="6" spans="1:14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  <c r="L6" s="21"/>
    </row>
    <row r="7" spans="1:14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7494" xr:uid="{022EEC58-A7C4-45E4-9087-787B89601ADC}"/>
    <hyperlink ref="M4" r:id="rId2" display="https://us3.assetplanner.com/service_request?ID=108556" xr:uid="{7ABF4DA5-7B6E-4A93-8CC8-A3C9CA8994D7}"/>
    <hyperlink ref="K5" r:id="rId3" display="https://us3.assetplanner.com/service_request?ID=104215" xr:uid="{45B87701-7CD2-42D3-9BB2-ACBBCD32571C}"/>
    <hyperlink ref="M5" r:id="rId4" display="https://us3.assetplanner.com/service_request?ID=103756" xr:uid="{9ED55EFA-5AB3-4658-972C-B45CAD6F7E35}"/>
    <hyperlink ref="N5" r:id="rId5" display="https://us3.assetplanner.com/service_request?ID=085289" xr:uid="{6387FA8C-09BF-4DB2-9CCC-BAE9520BC416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07"/>
  <sheetViews>
    <sheetView zoomScale="70" zoomScaleNormal="70" workbookViewId="0">
      <pane xSplit="2" ySplit="3" topLeftCell="C4" activePane="bottomRight" state="frozen"/>
      <selection pane="bottomRight" activeCell="L1" sqref="L1:L1048576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140625" customWidth="1"/>
    <col min="13" max="14" width="8.85546875" style="65"/>
  </cols>
  <sheetData>
    <row r="1" spans="1:14" ht="19.5" customHeight="1">
      <c r="A1" s="72" t="str" cm="1">
        <f t="array" ref="A1">portfolio</f>
        <v>BRANDFON</v>
      </c>
      <c r="B1" s="72"/>
      <c r="C1" s="72"/>
      <c r="D1" s="73" t="s">
        <v>74</v>
      </c>
      <c r="E1" s="73"/>
      <c r="F1" s="73"/>
      <c r="G1" s="71" t="s">
        <v>75</v>
      </c>
      <c r="H1" s="71"/>
      <c r="I1" s="71"/>
      <c r="J1" s="4"/>
      <c r="K1" s="4"/>
      <c r="L1" s="4"/>
    </row>
    <row r="2" spans="1:14" ht="19.5" customHeight="1">
      <c r="A2" s="74" t="s">
        <v>2</v>
      </c>
      <c r="B2" s="74"/>
      <c r="C2" s="5">
        <f>SUM(C4:C65)</f>
        <v>9130.4</v>
      </c>
      <c r="D2" s="5">
        <f>SUM(D4:D65)</f>
        <v>0</v>
      </c>
      <c r="E2" s="5">
        <f>C2-D2</f>
        <v>9130.4</v>
      </c>
      <c r="F2" s="6">
        <f>IFERROR(E2/D2, 0)</f>
        <v>0</v>
      </c>
      <c r="G2" s="5">
        <f>SUM(G4:G65)</f>
        <v>6913</v>
      </c>
      <c r="H2" s="7">
        <f>C2-G2</f>
        <v>2217.3999999999996</v>
      </c>
      <c r="I2" s="6">
        <f>IFERROR(H2/G2, 0)</f>
        <v>0.32075799218863005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66</v>
      </c>
    </row>
    <row r="4" spans="1:14" ht="28.9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5659.5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6913</v>
      </c>
      <c r="H4" s="15">
        <f>IF(AND(ISNUMBER(C4),ISNUMBER(G4)), C4-G4, "")</f>
        <v>-1253.5</v>
      </c>
      <c r="I4" s="16">
        <f>IFERROR(H4/G4, "")</f>
        <v>-0.1813250397801244</v>
      </c>
      <c r="J4" s="40" t="s">
        <v>76</v>
      </c>
      <c r="K4" s="61" t="s">
        <v>77</v>
      </c>
      <c r="L4" s="40" t="s">
        <v>78</v>
      </c>
    </row>
    <row r="5" spans="1:14" ht="43.15">
      <c r="A5" s="29" t="str">
        <v>New Haven - Brandfon Hyundai</v>
      </c>
      <c r="B5" s="30" t="str">
        <v>CT</v>
      </c>
      <c r="C5" s="11">
        <v>3470.9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 t="s">
        <v>71</v>
      </c>
      <c r="K5" s="67" t="s">
        <v>72</v>
      </c>
      <c r="L5" s="55" t="s">
        <v>73</v>
      </c>
      <c r="M5" s="66" t="s">
        <v>41</v>
      </c>
      <c r="N5" s="66" t="s">
        <v>35</v>
      </c>
    </row>
    <row r="6" spans="1:14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  <c r="L6" s="21"/>
    </row>
    <row r="7" spans="1:14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8556" xr:uid="{4A5A2DED-C8D2-48B3-AB4D-D43F9FEB39D5}"/>
    <hyperlink ref="K5" r:id="rId2" display="https://us3.assetplanner.com/service_request?ID=104215" xr:uid="{EBF74749-1415-455E-854D-E79EB47374A6}"/>
    <hyperlink ref="M5" r:id="rId3" display="https://us3.assetplanner.com/service_request?ID=103756" xr:uid="{02AB7685-D97D-4A77-B35E-04FACA34B505}"/>
    <hyperlink ref="N5" r:id="rId4" display="https://us3.assetplanner.com/service_request?ID=085289" xr:uid="{F9A2F85B-CF44-4D06-A9B6-FE68CC421918}"/>
  </hyperlinks>
  <pageMargins left="0.4" right="0.7" top="0.25" bottom="0.25" header="0.3" footer="0.3"/>
  <pageSetup fitToHeight="99" orientation="landscape"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07"/>
  <sheetViews>
    <sheetView tabSelected="1" zoomScale="80" zoomScaleNormal="80" workbookViewId="0">
      <pane xSplit="2" ySplit="3" topLeftCell="F4" activePane="bottomRight" state="frozen"/>
      <selection pane="bottomRight" activeCell="K7" sqref="K7"/>
      <selection pane="bottomLeft" activeCell="J27" sqref="J27"/>
      <selection pane="topRight" activeCell="J27" sqref="J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  <col min="13" max="14" width="8.85546875" style="65"/>
  </cols>
  <sheetData>
    <row r="1" spans="1:14" ht="19.5" customHeight="1">
      <c r="A1" s="72" t="str" cm="1">
        <f t="array" ref="A1">portfolio</f>
        <v>BRANDFON</v>
      </c>
      <c r="B1" s="72"/>
      <c r="C1" s="72"/>
      <c r="D1" s="73" t="s">
        <v>79</v>
      </c>
      <c r="E1" s="73"/>
      <c r="F1" s="73"/>
      <c r="G1" s="71" t="s">
        <v>80</v>
      </c>
      <c r="H1" s="71"/>
      <c r="I1" s="71"/>
      <c r="J1" s="4"/>
      <c r="K1" s="4"/>
      <c r="L1" s="4"/>
    </row>
    <row r="2" spans="1:14" ht="19.5" customHeight="1">
      <c r="A2" s="74" t="s">
        <v>2</v>
      </c>
      <c r="B2" s="74"/>
      <c r="C2" s="5">
        <f>SUM(C4:C65)</f>
        <v>6953.3</v>
      </c>
      <c r="D2" s="5">
        <f>SUM(D4:D65)</f>
        <v>0</v>
      </c>
      <c r="E2" s="5">
        <f>C2-D2</f>
        <v>6953.3</v>
      </c>
      <c r="F2" s="6">
        <f>IFERROR(E2/D2, 0)</f>
        <v>0</v>
      </c>
      <c r="G2" s="5">
        <f>SUM(G4:G65)</f>
        <v>5895.5619999999999</v>
      </c>
      <c r="H2" s="7">
        <f>C2-G2</f>
        <v>1057.7380000000003</v>
      </c>
      <c r="I2" s="6">
        <f>IFERROR(H2/G2, 0)</f>
        <v>0.17941258187090567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66</v>
      </c>
    </row>
    <row r="4" spans="1:14" ht="57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4300.6000000000004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5895.5619999999999</v>
      </c>
      <c r="H4" s="15">
        <f>IF(AND(ISNUMBER(C4),ISNUMBER(G4)), C4-G4, "")</f>
        <v>-1594.9619999999995</v>
      </c>
      <c r="I4" s="16">
        <f>IFERROR(H4/G4, "")</f>
        <v>-0.27053604049961644</v>
      </c>
      <c r="J4" s="40" t="s">
        <v>81</v>
      </c>
      <c r="K4" s="61" t="s">
        <v>82</v>
      </c>
      <c r="L4" s="40" t="s">
        <v>83</v>
      </c>
      <c r="M4" s="66" t="s">
        <v>84</v>
      </c>
      <c r="N4" s="66" t="s">
        <v>85</v>
      </c>
    </row>
    <row r="5" spans="1:14" ht="72">
      <c r="A5" s="29" t="str">
        <v>New Haven - Brandfon Hyundai</v>
      </c>
      <c r="B5" s="30" t="str">
        <v>CT</v>
      </c>
      <c r="C5" s="11">
        <v>2652.7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 t="s">
        <v>86</v>
      </c>
      <c r="K5" s="67" t="s">
        <v>72</v>
      </c>
      <c r="L5" s="55" t="s">
        <v>73</v>
      </c>
      <c r="M5" s="66" t="s">
        <v>41</v>
      </c>
      <c r="N5" s="66" t="s">
        <v>35</v>
      </c>
    </row>
    <row r="6" spans="1:14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  <c r="L6" s="21"/>
    </row>
    <row r="7" spans="1:14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08556" xr:uid="{EE9A2FCF-5896-4BC0-9997-8C9FD0504049}"/>
    <hyperlink ref="M4" r:id="rId2" display="https://us3.assetplanner.com/service_request?ID=113238" xr:uid="{DD5E5C6C-D36F-41BA-8500-F1B0E557205A}"/>
    <hyperlink ref="N4" r:id="rId3" display="https://us3.assetplanner.com/service_request?ID=113725" xr:uid="{9106CFA7-7BC0-45A5-A961-9CA9F60D3165}"/>
    <hyperlink ref="K5" r:id="rId4" display="https://us3.assetplanner.com/service_request?ID=104215" xr:uid="{F0179F66-B1D0-4C3B-9C97-74BB0003CB19}"/>
    <hyperlink ref="M5" r:id="rId5" display="https://us3.assetplanner.com/service_request?ID=103756" xr:uid="{9F35EFDC-CE9D-465A-A545-18114CC2A9A4}"/>
    <hyperlink ref="N5" r:id="rId6" display="https://us3.assetplanner.com/service_request?ID=085289" xr:uid="{E0082671-5E28-4D1C-AA6E-8E50FC0A1B58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87</v>
      </c>
      <c r="B1" t="s">
        <v>88</v>
      </c>
    </row>
    <row r="3" spans="1:12" ht="13.15">
      <c r="A3" t="s">
        <v>89</v>
      </c>
      <c r="B3" t="s">
        <v>3</v>
      </c>
      <c r="C3" t="s">
        <v>4</v>
      </c>
      <c r="D3" t="s">
        <v>90</v>
      </c>
      <c r="E3" s="2" t="s">
        <v>91</v>
      </c>
    </row>
    <row r="4" spans="1:12" ht="14.45">
      <c r="A4" s="50" t="s">
        <v>92</v>
      </c>
      <c r="B4" s="51" t="s">
        <v>93</v>
      </c>
      <c r="C4" s="51" t="s">
        <v>94</v>
      </c>
      <c r="D4" t="s">
        <v>95</v>
      </c>
      <c r="E4" t="s">
        <v>96</v>
      </c>
      <c r="G4" s="3"/>
    </row>
    <row r="5" spans="1:12" ht="14.45">
      <c r="A5" s="52" t="s">
        <v>97</v>
      </c>
      <c r="B5" s="53" t="s">
        <v>98</v>
      </c>
      <c r="C5" s="54" t="s">
        <v>94</v>
      </c>
      <c r="D5" t="s">
        <v>99</v>
      </c>
      <c r="E5" t="s">
        <v>96</v>
      </c>
      <c r="G5" s="3"/>
    </row>
    <row r="6" spans="1:12" ht="14.45">
      <c r="A6" s="47"/>
      <c r="C6" s="44"/>
      <c r="D6" s="43"/>
      <c r="G6" s="3"/>
    </row>
    <row r="7" spans="1:12" ht="12.75" customHeight="1">
      <c r="A7" s="47"/>
      <c r="C7" s="44"/>
      <c r="D7" s="43"/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791DA4-8F1E-4F53-8ABD-395670BCF321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2025-10-17T14:51:10Z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cf16a9e2-cac7-4b47-a40a-9ded83b15fa6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