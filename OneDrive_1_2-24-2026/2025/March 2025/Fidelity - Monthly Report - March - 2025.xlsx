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8" documentId="13_ncr:1_{58CBA474-D478-4D2E-873C-1372DF90A23C}" xr6:coauthVersionLast="47" xr6:coauthVersionMax="47" xr10:uidLastSave="{049AAEDC-7BE6-468D-877E-34B6E4230AB5}"/>
  <bookViews>
    <workbookView xWindow="-120" yWindow="-120" windowWidth="29040" windowHeight="15720" tabRatio="713" firstSheet="5" activeTab="6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8" l="1"/>
  <c r="I99" i="33"/>
  <c r="J10" i="18"/>
  <c r="J7" i="18"/>
  <c r="I98" i="33"/>
  <c r="N98" i="33"/>
  <c r="N99" i="33"/>
  <c r="M98" i="33"/>
  <c r="O98" i="33" s="1"/>
  <c r="M99" i="33"/>
  <c r="J7" i="36"/>
  <c r="L98" i="33"/>
  <c r="L99" i="33"/>
  <c r="K109" i="33"/>
  <c r="J13" i="12"/>
  <c r="F98" i="33"/>
  <c r="F99" i="33"/>
  <c r="J10" i="12"/>
  <c r="J7" i="12"/>
  <c r="J13" i="36"/>
  <c r="J10" i="36"/>
  <c r="O99" i="33" l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J109" i="33"/>
  <c r="L109" i="33" s="1"/>
  <c r="H109" i="33"/>
  <c r="G109" i="33"/>
  <c r="E109" i="33"/>
  <c r="N109" i="33" s="1"/>
  <c r="D109" i="33"/>
  <c r="N97" i="33"/>
  <c r="M97" i="33"/>
  <c r="L97" i="33"/>
  <c r="I97" i="33"/>
  <c r="F97" i="33"/>
  <c r="K50" i="32"/>
  <c r="J14" i="36" s="1"/>
  <c r="J50" i="32"/>
  <c r="J14" i="18" s="1"/>
  <c r="I50" i="32"/>
  <c r="J14" i="12" s="1"/>
  <c r="L90" i="33"/>
  <c r="J90" i="33"/>
  <c r="I89" i="33"/>
  <c r="L89" i="33"/>
  <c r="F89" i="33"/>
  <c r="I88" i="33"/>
  <c r="J8" i="18"/>
  <c r="J6" i="18"/>
  <c r="G90" i="33" s="1"/>
  <c r="I90" i="33" s="1"/>
  <c r="L88" i="33"/>
  <c r="J8" i="36"/>
  <c r="J6" i="36"/>
  <c r="F88" i="33"/>
  <c r="J8" i="12"/>
  <c r="J6" i="12"/>
  <c r="D90" i="33" s="1"/>
  <c r="F90" i="33" s="1"/>
  <c r="I87" i="33"/>
  <c r="M109" i="33" l="1"/>
  <c r="O109" i="33"/>
  <c r="O97" i="33"/>
  <c r="I109" i="33"/>
  <c r="F109" i="33"/>
  <c r="L87" i="33"/>
  <c r="F87" i="33"/>
  <c r="L86" i="33"/>
  <c r="F86" i="33"/>
  <c r="I86" i="33"/>
  <c r="L84" i="33"/>
  <c r="L85" i="33"/>
  <c r="F84" i="33"/>
  <c r="F85" i="33"/>
  <c r="I84" i="33"/>
  <c r="I85" i="33"/>
  <c r="F50" i="32" l="1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<sst xmlns="http://schemas.openxmlformats.org/spreadsheetml/2006/main" count="553" uniqueCount="94">
  <si>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</si>
  <si>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</si>
  <si>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</si>
  <si>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</si>
  <si>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</si>
  <si>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</si>
  <si>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</si>
  <si>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</si>
  <si>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</si>
  <si>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</si>
  <si>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</si>
  <si>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</si>
  <si>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</si>
  <si>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</si>
  <si>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</si>
  <si>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</si>
  <si>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</si>
  <si>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</si>
  <si>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</si>
  <si>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</si>
  <si>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</si>
  <si>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</si>
  <si>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</si>
  <si>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</si>
  <si>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March' 2025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</si>
  <si>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</si>
  <si>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</si>
  <si>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</si>
  <si>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</si>
  <si>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</si>
  <si>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</si>
  <si>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</si>
  <si>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</si>
  <si>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Note: The production meter has been reporting erroneous values overnight throughout the entire month. We reached out to AlsoEnergy( #529959 )and manually corrected the data by considering 6:00 AM to 7:00 PM as the production hours.</t>
  </si>
  <si>
    <t>O&amp;M Activity</t>
  </si>
  <si>
    <t>Performance Notes</t>
  </si>
  <si>
    <t>Smithfield</t>
  </si>
  <si>
    <t>Westlake</t>
  </si>
  <si>
    <t>March 2025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</si>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</sst>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1" fillId="0" borderId="5" xfId="6" applyFont="1" applyBorder="1" applyAlignment="1">
      <alignment horizontal="right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 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Merrimack!$G$32:$G$62</c:f>
              <c:numCache>
                <c:formatCode>0</c:formatCode>
                <c:ptCount val="31"/>
                <c:pt idx="0">
                  <c:v>6605.75</c:v>
                </c:pt>
                <c:pt idx="1">
                  <c:v>15700.25</c:v>
                </c:pt>
                <c:pt idx="2">
                  <c:v>15679.75</c:v>
                </c:pt>
                <c:pt idx="3">
                  <c:v>7926.25</c:v>
                </c:pt>
                <c:pt idx="4">
                  <c:v>1973.5</c:v>
                </c:pt>
                <c:pt idx="5">
                  <c:v>5813</c:v>
                </c:pt>
                <c:pt idx="6">
                  <c:v>14357.75</c:v>
                </c:pt>
                <c:pt idx="7">
                  <c:v>10694.25</c:v>
                </c:pt>
                <c:pt idx="8">
                  <c:v>12718</c:v>
                </c:pt>
                <c:pt idx="9">
                  <c:v>14746.25</c:v>
                </c:pt>
                <c:pt idx="10">
                  <c:v>14438.25</c:v>
                </c:pt>
                <c:pt idx="11">
                  <c:v>11568.25</c:v>
                </c:pt>
                <c:pt idx="12">
                  <c:v>10859</c:v>
                </c:pt>
                <c:pt idx="13">
                  <c:v>14523</c:v>
                </c:pt>
                <c:pt idx="14">
                  <c:v>13515</c:v>
                </c:pt>
                <c:pt idx="15">
                  <c:v>3249</c:v>
                </c:pt>
                <c:pt idx="16">
                  <c:v>1652.001</c:v>
                </c:pt>
                <c:pt idx="17">
                  <c:v>11533</c:v>
                </c:pt>
                <c:pt idx="18">
                  <c:v>15922</c:v>
                </c:pt>
                <c:pt idx="19">
                  <c:v>6722</c:v>
                </c:pt>
                <c:pt idx="20">
                  <c:v>9686</c:v>
                </c:pt>
                <c:pt idx="21">
                  <c:v>14692</c:v>
                </c:pt>
                <c:pt idx="22">
                  <c:v>16807</c:v>
                </c:pt>
                <c:pt idx="23">
                  <c:v>930</c:v>
                </c:pt>
                <c:pt idx="24">
                  <c:v>8043</c:v>
                </c:pt>
                <c:pt idx="25">
                  <c:v>10118</c:v>
                </c:pt>
                <c:pt idx="26">
                  <c:v>12508</c:v>
                </c:pt>
                <c:pt idx="27">
                  <c:v>15253</c:v>
                </c:pt>
                <c:pt idx="28">
                  <c:v>1306</c:v>
                </c:pt>
                <c:pt idx="29">
                  <c:v>1929</c:v>
                </c:pt>
                <c:pt idx="30">
                  <c:v>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Merrimack!$H$32:$H$62</c:f>
              <c:numCache>
                <c:formatCode>0</c:formatCode>
                <c:ptCount val="31"/>
                <c:pt idx="0">
                  <c:v>2911.3270000000002</c:v>
                </c:pt>
                <c:pt idx="1">
                  <c:v>6992.7280000000001</c:v>
                </c:pt>
                <c:pt idx="2">
                  <c:v>7038.7439999999997</c:v>
                </c:pt>
                <c:pt idx="3">
                  <c:v>3295.24</c:v>
                </c:pt>
                <c:pt idx="4">
                  <c:v>804.30430000000001</c:v>
                </c:pt>
                <c:pt idx="5">
                  <c:v>2557.3000000000002</c:v>
                </c:pt>
                <c:pt idx="6">
                  <c:v>6526.9920000000002</c:v>
                </c:pt>
                <c:pt idx="7">
                  <c:v>4902.9049999999997</c:v>
                </c:pt>
                <c:pt idx="8">
                  <c:v>5690.607</c:v>
                </c:pt>
                <c:pt idx="9">
                  <c:v>6695.3580000000002</c:v>
                </c:pt>
                <c:pt idx="10">
                  <c:v>6545.6819999999998</c:v>
                </c:pt>
                <c:pt idx="11">
                  <c:v>4820.7150000000001</c:v>
                </c:pt>
                <c:pt idx="12">
                  <c:v>4623.2179999999998</c:v>
                </c:pt>
                <c:pt idx="13">
                  <c:v>6534.59</c:v>
                </c:pt>
                <c:pt idx="14">
                  <c:v>5951.741</c:v>
                </c:pt>
                <c:pt idx="15">
                  <c:v>1303.81</c:v>
                </c:pt>
                <c:pt idx="16">
                  <c:v>661.79549999999995</c:v>
                </c:pt>
                <c:pt idx="17">
                  <c:v>5016.7650000000003</c:v>
                </c:pt>
                <c:pt idx="18">
                  <c:v>7236.1469999999999</c:v>
                </c:pt>
                <c:pt idx="19">
                  <c:v>2903.0790000000002</c:v>
                </c:pt>
                <c:pt idx="20">
                  <c:v>4271.5309999999999</c:v>
                </c:pt>
                <c:pt idx="21">
                  <c:v>6649.8879999999999</c:v>
                </c:pt>
                <c:pt idx="22">
                  <c:v>7668.0290000000005</c:v>
                </c:pt>
                <c:pt idx="23">
                  <c:v>382.12950000000001</c:v>
                </c:pt>
                <c:pt idx="24">
                  <c:v>3349.232</c:v>
                </c:pt>
                <c:pt idx="25">
                  <c:v>4330.2460000000001</c:v>
                </c:pt>
                <c:pt idx="26">
                  <c:v>6017.3810000000003</c:v>
                </c:pt>
                <c:pt idx="27">
                  <c:v>6746.7160000000003</c:v>
                </c:pt>
                <c:pt idx="28">
                  <c:v>509.24369999999999</c:v>
                </c:pt>
                <c:pt idx="29">
                  <c:v>758.39290000000005</c:v>
                </c:pt>
                <c:pt idx="30">
                  <c:v>1420.9960000000001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Smithfield!$G$32:$G$62</c:f>
              <c:numCache>
                <c:formatCode>0</c:formatCode>
                <c:ptCount val="31"/>
                <c:pt idx="0">
                  <c:v>6383.25</c:v>
                </c:pt>
                <c:pt idx="1">
                  <c:v>19212.25</c:v>
                </c:pt>
                <c:pt idx="2">
                  <c:v>19237.5</c:v>
                </c:pt>
                <c:pt idx="3">
                  <c:v>12292.25</c:v>
                </c:pt>
                <c:pt idx="4">
                  <c:v>5376.75</c:v>
                </c:pt>
                <c:pt idx="5">
                  <c:v>4677.75</c:v>
                </c:pt>
                <c:pt idx="6">
                  <c:v>15039.25</c:v>
                </c:pt>
                <c:pt idx="7">
                  <c:v>16450.25</c:v>
                </c:pt>
                <c:pt idx="8">
                  <c:v>16470</c:v>
                </c:pt>
                <c:pt idx="9">
                  <c:v>17696</c:v>
                </c:pt>
                <c:pt idx="10">
                  <c:v>19013.75</c:v>
                </c:pt>
                <c:pt idx="11">
                  <c:v>17839.75</c:v>
                </c:pt>
                <c:pt idx="12">
                  <c:v>17004.5</c:v>
                </c:pt>
                <c:pt idx="13">
                  <c:v>18455.75</c:v>
                </c:pt>
                <c:pt idx="14">
                  <c:v>14590.75</c:v>
                </c:pt>
                <c:pt idx="15">
                  <c:v>6247.75</c:v>
                </c:pt>
                <c:pt idx="16">
                  <c:v>2440</c:v>
                </c:pt>
                <c:pt idx="17">
                  <c:v>15186.5</c:v>
                </c:pt>
                <c:pt idx="18">
                  <c:v>19815.5</c:v>
                </c:pt>
                <c:pt idx="19">
                  <c:v>10964.5</c:v>
                </c:pt>
                <c:pt idx="20">
                  <c:v>12538.75</c:v>
                </c:pt>
                <c:pt idx="21">
                  <c:v>17995.25</c:v>
                </c:pt>
                <c:pt idx="22">
                  <c:v>21106.25</c:v>
                </c:pt>
                <c:pt idx="23">
                  <c:v>1680.75</c:v>
                </c:pt>
                <c:pt idx="24">
                  <c:v>17972.25</c:v>
                </c:pt>
                <c:pt idx="25">
                  <c:v>11377.25</c:v>
                </c:pt>
                <c:pt idx="26">
                  <c:v>16260.25</c:v>
                </c:pt>
                <c:pt idx="27">
                  <c:v>17808.75</c:v>
                </c:pt>
                <c:pt idx="28">
                  <c:v>3770.5</c:v>
                </c:pt>
                <c:pt idx="29">
                  <c:v>4384.25</c:v>
                </c:pt>
                <c:pt idx="30">
                  <c:v>4730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Smithfield!$H$32:$H$62</c:f>
              <c:numCache>
                <c:formatCode>0</c:formatCode>
                <c:ptCount val="31"/>
                <c:pt idx="0">
                  <c:v>1882.326</c:v>
                </c:pt>
                <c:pt idx="1">
                  <c:v>5670.7250000000004</c:v>
                </c:pt>
                <c:pt idx="2">
                  <c:v>5707.4560000000001</c:v>
                </c:pt>
                <c:pt idx="3">
                  <c:v>3575.73</c:v>
                </c:pt>
                <c:pt idx="4">
                  <c:v>1541.212</c:v>
                </c:pt>
                <c:pt idx="5">
                  <c:v>1383.288</c:v>
                </c:pt>
                <c:pt idx="6">
                  <c:v>4601.3609999999999</c:v>
                </c:pt>
                <c:pt idx="7">
                  <c:v>5077.4809999999998</c:v>
                </c:pt>
                <c:pt idx="8">
                  <c:v>4984.6469999999999</c:v>
                </c:pt>
                <c:pt idx="9">
                  <c:v>5443.4089999999997</c:v>
                </c:pt>
                <c:pt idx="10">
                  <c:v>5843.7910000000002</c:v>
                </c:pt>
                <c:pt idx="11">
                  <c:v>5358.8050000000003</c:v>
                </c:pt>
                <c:pt idx="12">
                  <c:v>5129.4040000000005</c:v>
                </c:pt>
                <c:pt idx="13">
                  <c:v>5596.81</c:v>
                </c:pt>
                <c:pt idx="14">
                  <c:v>4430.4309999999996</c:v>
                </c:pt>
                <c:pt idx="15">
                  <c:v>1816.4110000000001</c:v>
                </c:pt>
                <c:pt idx="16">
                  <c:v>698.09640000000002</c:v>
                </c:pt>
                <c:pt idx="17">
                  <c:v>4494.8159999999998</c:v>
                </c:pt>
                <c:pt idx="18">
                  <c:v>6155.71</c:v>
                </c:pt>
                <c:pt idx="19">
                  <c:v>3268.6060000000002</c:v>
                </c:pt>
                <c:pt idx="20">
                  <c:v>3766.1840000000002</c:v>
                </c:pt>
                <c:pt idx="21">
                  <c:v>5477.2380000000003</c:v>
                </c:pt>
                <c:pt idx="22">
                  <c:v>6575.9579999999996</c:v>
                </c:pt>
                <c:pt idx="23">
                  <c:v>464.19200000000001</c:v>
                </c:pt>
                <c:pt idx="24">
                  <c:v>5742.4530000000004</c:v>
                </c:pt>
                <c:pt idx="25">
                  <c:v>3347.991</c:v>
                </c:pt>
                <c:pt idx="26">
                  <c:v>5198.6139999999996</c:v>
                </c:pt>
                <c:pt idx="27">
                  <c:v>5464.9880000000003</c:v>
                </c:pt>
                <c:pt idx="28">
                  <c:v>1036.521</c:v>
                </c:pt>
                <c:pt idx="29">
                  <c:v>1216.508</c:v>
                </c:pt>
                <c:pt idx="30">
                  <c:v>1361.6679999999999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Westlake!$G$32:$G$62</c:f>
              <c:numCache>
                <c:formatCode>0</c:formatCode>
                <c:ptCount val="31"/>
                <c:pt idx="0">
                  <c:v>20096</c:v>
                </c:pt>
                <c:pt idx="1">
                  <c:v>15354</c:v>
                </c:pt>
                <c:pt idx="2">
                  <c:v>4701</c:v>
                </c:pt>
                <c:pt idx="3">
                  <c:v>14769</c:v>
                </c:pt>
                <c:pt idx="4">
                  <c:v>21580</c:v>
                </c:pt>
                <c:pt idx="5">
                  <c:v>12752</c:v>
                </c:pt>
                <c:pt idx="6">
                  <c:v>15796</c:v>
                </c:pt>
                <c:pt idx="7">
                  <c:v>3335</c:v>
                </c:pt>
                <c:pt idx="8">
                  <c:v>7245</c:v>
                </c:pt>
                <c:pt idx="9">
                  <c:v>21597</c:v>
                </c:pt>
                <c:pt idx="10">
                  <c:v>21726</c:v>
                </c:pt>
                <c:pt idx="11">
                  <c:v>18246</c:v>
                </c:pt>
                <c:pt idx="12">
                  <c:v>15657</c:v>
                </c:pt>
                <c:pt idx="13">
                  <c:v>18299</c:v>
                </c:pt>
                <c:pt idx="14">
                  <c:v>17135</c:v>
                </c:pt>
                <c:pt idx="15">
                  <c:v>22199</c:v>
                </c:pt>
                <c:pt idx="16">
                  <c:v>21935</c:v>
                </c:pt>
                <c:pt idx="17">
                  <c:v>20986</c:v>
                </c:pt>
                <c:pt idx="18">
                  <c:v>22279</c:v>
                </c:pt>
                <c:pt idx="19">
                  <c:v>22722</c:v>
                </c:pt>
                <c:pt idx="20">
                  <c:v>22352</c:v>
                </c:pt>
                <c:pt idx="21">
                  <c:v>21812</c:v>
                </c:pt>
                <c:pt idx="22">
                  <c:v>18174</c:v>
                </c:pt>
                <c:pt idx="23">
                  <c:v>22519</c:v>
                </c:pt>
                <c:pt idx="24">
                  <c:v>18108</c:v>
                </c:pt>
                <c:pt idx="25">
                  <c:v>16111</c:v>
                </c:pt>
                <c:pt idx="26">
                  <c:v>17280</c:v>
                </c:pt>
                <c:pt idx="27">
                  <c:v>9391</c:v>
                </c:pt>
                <c:pt idx="28">
                  <c:v>15494</c:v>
                </c:pt>
                <c:pt idx="29">
                  <c:v>17302</c:v>
                </c:pt>
                <c:pt idx="30">
                  <c:v>20771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Westlake!$H$32:$H$62</c:f>
              <c:numCache>
                <c:formatCode>0</c:formatCode>
                <c:ptCount val="31"/>
                <c:pt idx="0">
                  <c:v>7051.317</c:v>
                </c:pt>
                <c:pt idx="1">
                  <c:v>5108.95</c:v>
                </c:pt>
                <c:pt idx="2">
                  <c:v>1196.7249999999999</c:v>
                </c:pt>
                <c:pt idx="3">
                  <c:v>5369.14</c:v>
                </c:pt>
                <c:pt idx="4">
                  <c:v>8199.5679999999993</c:v>
                </c:pt>
                <c:pt idx="5">
                  <c:v>4028.018</c:v>
                </c:pt>
                <c:pt idx="6">
                  <c:v>5412.348</c:v>
                </c:pt>
                <c:pt idx="7">
                  <c:v>772.7808</c:v>
                </c:pt>
                <c:pt idx="8">
                  <c:v>2360.7689999999998</c:v>
                </c:pt>
                <c:pt idx="9">
                  <c:v>8046.0910000000003</c:v>
                </c:pt>
                <c:pt idx="10">
                  <c:v>8153.7120000000004</c:v>
                </c:pt>
                <c:pt idx="11">
                  <c:v>6385.1180000000004</c:v>
                </c:pt>
                <c:pt idx="12">
                  <c:v>5935.0439999999999</c:v>
                </c:pt>
                <c:pt idx="13">
                  <c:v>6361.7550000000001</c:v>
                </c:pt>
                <c:pt idx="14">
                  <c:v>6134.9920000000002</c:v>
                </c:pt>
                <c:pt idx="15">
                  <c:v>8386.74</c:v>
                </c:pt>
                <c:pt idx="16">
                  <c:v>8199.6679999999997</c:v>
                </c:pt>
                <c:pt idx="17">
                  <c:v>7543.7539999999999</c:v>
                </c:pt>
                <c:pt idx="18">
                  <c:v>8621.0310000000009</c:v>
                </c:pt>
                <c:pt idx="19">
                  <c:v>8839.9889999999996</c:v>
                </c:pt>
                <c:pt idx="20">
                  <c:v>8384.3610000000008</c:v>
                </c:pt>
                <c:pt idx="21">
                  <c:v>7913.8909999999996</c:v>
                </c:pt>
                <c:pt idx="22">
                  <c:v>6864.6040000000003</c:v>
                </c:pt>
                <c:pt idx="23">
                  <c:v>8614.7900000000009</c:v>
                </c:pt>
                <c:pt idx="24">
                  <c:v>6385.8289999999997</c:v>
                </c:pt>
                <c:pt idx="25">
                  <c:v>5622.4440000000004</c:v>
                </c:pt>
                <c:pt idx="26">
                  <c:v>6106.3010000000004</c:v>
                </c:pt>
                <c:pt idx="27">
                  <c:v>2990.7579999999998</c:v>
                </c:pt>
                <c:pt idx="28">
                  <c:v>5484.7539999999999</c:v>
                </c:pt>
                <c:pt idx="29">
                  <c:v>6403.1289999999999</c:v>
                </c:pt>
                <c:pt idx="30">
                  <c:v>7824.0410000000002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132503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E17" sqref="E17"/>
    </sheetView>
  </sheetViews>
  <sheetFormatPr defaultRowHeight="15"/>
  <cols>
    <col min="23" max="23" width="12.5703125" customWidth="1"/>
  </cols>
  <sheetData>
    <row r="1" spans="1:31">
      <c r="A1" s="171" t="s">
        <v>0</v>
      </c>
      <c r="B1" s="172"/>
      <c r="C1" s="172"/>
      <c r="D1" s="172"/>
      <c r="E1" s="173"/>
      <c r="F1" s="165" t="s">
        <v>1</v>
      </c>
      <c r="G1" s="166"/>
      <c r="H1" s="166"/>
      <c r="I1" s="166"/>
      <c r="J1" s="166"/>
      <c r="K1" s="16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4" t="s">
        <v>2</v>
      </c>
      <c r="B2" s="175"/>
      <c r="C2" s="175"/>
      <c r="D2" s="175"/>
      <c r="E2" s="175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7" t="s">
        <v>4</v>
      </c>
      <c r="B3" s="168"/>
      <c r="C3" s="168"/>
      <c r="D3" s="168"/>
      <c r="E3" s="168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7.25">
      <c r="A4" s="167" t="s">
        <v>6</v>
      </c>
      <c r="B4" s="168"/>
      <c r="C4" s="168"/>
      <c r="D4" s="168"/>
      <c r="E4" s="168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7.25">
      <c r="A5" s="167" t="s">
        <v>8</v>
      </c>
      <c r="B5" s="168"/>
      <c r="C5" s="168"/>
      <c r="D5" s="168"/>
      <c r="E5" s="168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7" t="s">
        <v>10</v>
      </c>
      <c r="B6" s="168"/>
      <c r="C6" s="168"/>
      <c r="D6" s="168"/>
      <c r="E6" s="168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7" t="s">
        <v>12</v>
      </c>
      <c r="B7" s="168"/>
      <c r="C7" s="168"/>
      <c r="D7" s="168"/>
      <c r="E7" s="168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7" t="s">
        <v>14</v>
      </c>
      <c r="B8" s="168"/>
      <c r="C8" s="168"/>
      <c r="D8" s="168"/>
      <c r="E8" s="168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7" t="s">
        <v>16</v>
      </c>
      <c r="B9" s="168"/>
      <c r="C9" s="168"/>
      <c r="D9" s="168"/>
      <c r="E9" s="168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7" t="s">
        <v>18</v>
      </c>
      <c r="B10" s="168"/>
      <c r="C10" s="168"/>
      <c r="D10" s="168"/>
      <c r="E10" s="168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69" t="s">
        <v>20</v>
      </c>
      <c r="B11" s="170"/>
      <c r="C11" s="170"/>
      <c r="D11" s="170"/>
      <c r="E11" s="170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3"/>
  <sheetViews>
    <sheetView zoomScale="90" zoomScaleNormal="90" workbookViewId="0">
      <selection activeCell="J14" sqref="J14"/>
    </sheetView>
  </sheetViews>
  <sheetFormatPr defaultRowHeight="1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.75">
      <c r="E1" s="177" t="s">
        <v>22</v>
      </c>
      <c r="F1" s="177"/>
      <c r="G1" s="177"/>
      <c r="H1" s="177"/>
      <c r="I1" s="177"/>
      <c r="J1" s="177"/>
    </row>
    <row r="2" spans="3:13">
      <c r="E2" s="178" t="s">
        <v>23</v>
      </c>
      <c r="F2" s="178"/>
      <c r="G2" s="178"/>
      <c r="H2" s="178"/>
      <c r="I2" s="178"/>
      <c r="J2" s="178"/>
    </row>
    <row r="3" spans="3:13">
      <c r="E3" s="179" t="s">
        <v>24</v>
      </c>
      <c r="F3" s="180"/>
      <c r="G3" s="180"/>
      <c r="H3" s="180"/>
      <c r="I3" s="180"/>
      <c r="J3" s="180"/>
    </row>
    <row r="5" spans="3:13">
      <c r="C5" s="181" t="s">
        <v>25</v>
      </c>
      <c r="D5" s="182"/>
      <c r="E5" s="182"/>
      <c r="F5" s="182"/>
      <c r="G5" s="182"/>
      <c r="H5" s="182"/>
      <c r="I5" s="182"/>
      <c r="J5" s="182"/>
      <c r="K5" s="182"/>
      <c r="L5" s="183"/>
    </row>
    <row r="6" spans="3:13">
      <c r="C6" s="20"/>
      <c r="D6" s="21"/>
      <c r="E6" s="172" t="s">
        <v>2</v>
      </c>
      <c r="F6" s="172"/>
      <c r="G6" s="172"/>
      <c r="H6" s="172"/>
      <c r="I6" s="172"/>
      <c r="J6" s="22">
        <f>SUM(G32:G62)</f>
        <v>304936.25099999999</v>
      </c>
      <c r="K6" s="21" t="s">
        <v>26</v>
      </c>
      <c r="L6" s="23"/>
    </row>
    <row r="7" spans="3:13">
      <c r="C7" s="3"/>
      <c r="D7" s="2"/>
      <c r="E7" s="176" t="s">
        <v>4</v>
      </c>
      <c r="F7" s="176"/>
      <c r="G7" s="176"/>
      <c r="H7" s="176"/>
      <c r="I7" s="176"/>
      <c r="J7" s="8">
        <f>'Predicted Data'!D19</f>
        <v>315967.90000000002</v>
      </c>
      <c r="K7" s="69"/>
      <c r="L7" s="4"/>
    </row>
    <row r="8" spans="3:13" ht="17.25">
      <c r="C8" s="3"/>
      <c r="D8" s="2"/>
      <c r="E8" s="176" t="s">
        <v>6</v>
      </c>
      <c r="F8" s="176"/>
      <c r="G8" s="176"/>
      <c r="H8" s="176"/>
      <c r="I8" s="176"/>
      <c r="J8" s="8">
        <f>SUM(H32:H62)</f>
        <v>135116.83289999998</v>
      </c>
      <c r="K8" s="2" t="s">
        <v>26</v>
      </c>
      <c r="L8" s="4"/>
    </row>
    <row r="9" spans="3:13" ht="17.25">
      <c r="C9" s="3"/>
      <c r="D9" s="2"/>
      <c r="E9" s="176" t="s">
        <v>8</v>
      </c>
      <c r="F9" s="176"/>
      <c r="G9" s="176"/>
      <c r="H9" s="176"/>
      <c r="I9" s="176"/>
      <c r="J9" s="79"/>
      <c r="K9" s="69"/>
      <c r="L9" s="4"/>
    </row>
    <row r="10" spans="3:13">
      <c r="C10" s="3"/>
      <c r="D10" s="2"/>
      <c r="E10" s="176" t="s">
        <v>10</v>
      </c>
      <c r="F10" s="176"/>
      <c r="G10" s="176"/>
      <c r="H10" s="176"/>
      <c r="I10" s="176"/>
      <c r="J10" s="85">
        <f>'Plant Health'!H99</f>
        <v>299552.9276</v>
      </c>
      <c r="K10" s="2" t="s">
        <v>26</v>
      </c>
      <c r="L10" s="4"/>
    </row>
    <row r="11" spans="3:13">
      <c r="C11" s="3"/>
      <c r="D11" s="2"/>
      <c r="E11" s="176" t="s">
        <v>12</v>
      </c>
      <c r="F11" s="176"/>
      <c r="G11" s="176"/>
      <c r="H11" s="176"/>
      <c r="I11" s="176"/>
      <c r="J11" s="31">
        <f>J6/J10</f>
        <v>1.017971192747575</v>
      </c>
      <c r="K11" s="2"/>
      <c r="L11" s="4"/>
      <c r="M11" s="61"/>
    </row>
    <row r="12" spans="3:13">
      <c r="C12" s="3"/>
      <c r="D12" s="2"/>
      <c r="E12" s="176" t="s">
        <v>16</v>
      </c>
      <c r="F12" s="176"/>
      <c r="G12" s="176"/>
      <c r="H12" s="176"/>
      <c r="I12" s="176"/>
      <c r="J12" s="31">
        <f>J6/J7</f>
        <v>0.96508617172820388</v>
      </c>
      <c r="K12" s="2"/>
      <c r="L12" s="4"/>
    </row>
    <row r="13" spans="3:13">
      <c r="C13" s="3"/>
      <c r="D13" s="2"/>
      <c r="E13" s="176" t="s">
        <v>18</v>
      </c>
      <c r="F13" s="176"/>
      <c r="G13" s="176"/>
      <c r="H13" s="176"/>
      <c r="I13" s="176"/>
      <c r="J13" s="31">
        <f>Availability!J40</f>
        <v>1</v>
      </c>
      <c r="K13" s="2"/>
      <c r="L13" s="4"/>
    </row>
    <row r="14" spans="3:13">
      <c r="C14" s="5"/>
      <c r="D14" s="6"/>
      <c r="E14" s="185" t="s">
        <v>20</v>
      </c>
      <c r="F14" s="185"/>
      <c r="G14" s="185"/>
      <c r="H14" s="185"/>
      <c r="I14" s="185"/>
      <c r="J14" s="9">
        <f>Availability!J50</f>
        <v>0.99333333333333329</v>
      </c>
      <c r="K14" s="6"/>
      <c r="L14" s="7"/>
    </row>
    <row r="16" spans="3:13">
      <c r="C16" s="184" t="s">
        <v>27</v>
      </c>
      <c r="D16" s="184"/>
      <c r="E16" s="184"/>
      <c r="F16" s="184"/>
      <c r="G16" s="184"/>
      <c r="H16" s="184"/>
      <c r="I16" s="184"/>
      <c r="J16" s="184"/>
      <c r="K16" s="184"/>
      <c r="L16" s="184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4" t="s">
        <v>28</v>
      </c>
      <c r="G30" s="184"/>
      <c r="H30" s="184"/>
      <c r="I30" s="184"/>
      <c r="J30" s="11"/>
      <c r="K30" s="11"/>
      <c r="L30" s="11"/>
    </row>
    <row r="31" spans="3:12" s="10" customFormat="1" ht="44.1" customHeight="1">
      <c r="E31" s="13"/>
      <c r="F31" s="158" t="s">
        <v>29</v>
      </c>
      <c r="G31" s="159" t="s">
        <v>30</v>
      </c>
      <c r="H31" s="159" t="s">
        <v>31</v>
      </c>
      <c r="I31" s="159" t="s">
        <v>32</v>
      </c>
      <c r="J31" s="12"/>
      <c r="K31" s="13"/>
    </row>
    <row r="32" spans="3:12" ht="63.6" customHeight="1">
      <c r="E32" s="2"/>
      <c r="F32" s="160">
        <v>45717</v>
      </c>
      <c r="G32" s="161">
        <v>6605.75</v>
      </c>
      <c r="H32" s="162">
        <v>2911.3270000000002</v>
      </c>
      <c r="I32" s="162">
        <v>37.141300000000001</v>
      </c>
      <c r="J32" s="2"/>
      <c r="K32" s="151" t="s">
        <v>33</v>
      </c>
    </row>
    <row r="33" spans="5:15">
      <c r="E33" s="2"/>
      <c r="F33" s="160">
        <v>45718</v>
      </c>
      <c r="G33" s="161">
        <v>15700.25</v>
      </c>
      <c r="H33" s="162">
        <v>6992.7280000000001</v>
      </c>
      <c r="I33" s="162">
        <v>19.401579999999999</v>
      </c>
      <c r="J33" s="2"/>
      <c r="K33" s="14"/>
    </row>
    <row r="34" spans="5:15">
      <c r="E34" s="2"/>
      <c r="F34" s="160">
        <v>45719</v>
      </c>
      <c r="G34" s="161">
        <v>15679.75</v>
      </c>
      <c r="H34" s="162">
        <v>7038.7439999999997</v>
      </c>
      <c r="I34" s="162">
        <v>19.383759999999999</v>
      </c>
      <c r="J34" s="2"/>
      <c r="K34" s="14"/>
    </row>
    <row r="35" spans="5:15">
      <c r="E35" s="2"/>
      <c r="F35" s="160">
        <v>45720</v>
      </c>
      <c r="G35" s="161">
        <v>7926.25</v>
      </c>
      <c r="H35" s="162">
        <v>3295.24</v>
      </c>
      <c r="I35" s="162">
        <v>35.77534</v>
      </c>
      <c r="J35" s="2"/>
      <c r="K35" s="14"/>
    </row>
    <row r="36" spans="5:15">
      <c r="E36" s="2"/>
      <c r="F36" s="160">
        <v>45721</v>
      </c>
      <c r="G36" s="161">
        <v>1973.5</v>
      </c>
      <c r="H36" s="162">
        <v>804.30430000000001</v>
      </c>
      <c r="I36" s="162">
        <v>43.346049999999998</v>
      </c>
      <c r="J36" s="2"/>
      <c r="K36" s="14"/>
    </row>
    <row r="37" spans="5:15">
      <c r="E37" s="2"/>
      <c r="F37" s="160">
        <v>45722</v>
      </c>
      <c r="G37" s="161">
        <v>5813</v>
      </c>
      <c r="H37" s="162">
        <v>2557.3000000000002</v>
      </c>
      <c r="I37" s="162">
        <v>49.478900000000003</v>
      </c>
      <c r="J37" s="2"/>
      <c r="K37" s="14"/>
    </row>
    <row r="38" spans="5:15">
      <c r="E38" s="2"/>
      <c r="F38" s="160">
        <v>45723</v>
      </c>
      <c r="G38" s="161">
        <v>14357.75</v>
      </c>
      <c r="H38" s="162">
        <v>6526.9920000000002</v>
      </c>
      <c r="I38" s="162">
        <v>34.218159999999997</v>
      </c>
      <c r="J38" s="2"/>
      <c r="K38" s="14"/>
    </row>
    <row r="39" spans="5:15">
      <c r="E39" s="2"/>
      <c r="F39" s="160">
        <v>45724</v>
      </c>
      <c r="G39" s="161">
        <v>10694.25</v>
      </c>
      <c r="H39" s="162">
        <v>4902.9049999999997</v>
      </c>
      <c r="I39" s="162">
        <v>33.027749999999997</v>
      </c>
      <c r="J39" s="2"/>
      <c r="K39" s="14"/>
    </row>
    <row r="40" spans="5:15">
      <c r="E40" s="2"/>
      <c r="F40" s="160">
        <v>45725</v>
      </c>
      <c r="G40" s="161">
        <v>12718</v>
      </c>
      <c r="H40" s="162">
        <v>5690.607</v>
      </c>
      <c r="I40" s="162">
        <v>33.803060000000002</v>
      </c>
      <c r="J40" s="2"/>
      <c r="K40" s="14"/>
    </row>
    <row r="41" spans="5:15">
      <c r="E41" s="2"/>
      <c r="F41" s="160">
        <v>45726</v>
      </c>
      <c r="G41" s="161">
        <v>14746.25</v>
      </c>
      <c r="H41" s="162">
        <v>6695.3580000000002</v>
      </c>
      <c r="I41" s="162">
        <v>40.234789999999997</v>
      </c>
      <c r="J41" s="2"/>
      <c r="K41" s="14"/>
    </row>
    <row r="42" spans="5:15">
      <c r="E42" s="2"/>
      <c r="F42" s="160">
        <v>45727</v>
      </c>
      <c r="G42" s="161">
        <v>14438.25</v>
      </c>
      <c r="H42" s="162">
        <v>6545.6819999999998</v>
      </c>
      <c r="I42" s="162">
        <v>43.917830000000002</v>
      </c>
      <c r="J42" s="2"/>
      <c r="K42" s="14"/>
    </row>
    <row r="43" spans="5:15">
      <c r="E43" s="2"/>
      <c r="F43" s="160">
        <v>45728</v>
      </c>
      <c r="G43" s="161">
        <v>11568.25</v>
      </c>
      <c r="H43" s="162">
        <v>4820.7150000000001</v>
      </c>
      <c r="I43" s="162">
        <v>39.387909999999998</v>
      </c>
      <c r="J43" s="2"/>
      <c r="K43" s="14"/>
    </row>
    <row r="44" spans="5:15">
      <c r="E44" s="2"/>
      <c r="F44" s="160">
        <v>45729</v>
      </c>
      <c r="G44" s="161">
        <v>10859</v>
      </c>
      <c r="H44" s="162">
        <v>4623.2179999999998</v>
      </c>
      <c r="I44" s="162">
        <v>37.017029999999998</v>
      </c>
      <c r="J44" s="2"/>
      <c r="K44" s="14"/>
    </row>
    <row r="45" spans="5:15">
      <c r="E45" s="2"/>
      <c r="F45" s="160">
        <v>45730</v>
      </c>
      <c r="G45" s="161">
        <v>14523</v>
      </c>
      <c r="H45" s="162">
        <v>6534.59</v>
      </c>
      <c r="I45" s="162">
        <v>40.098750000000003</v>
      </c>
      <c r="J45" s="2"/>
      <c r="K45" s="14"/>
    </row>
    <row r="46" spans="5:15">
      <c r="E46" s="2"/>
      <c r="F46" s="160">
        <v>45731</v>
      </c>
      <c r="G46" s="161">
        <v>13515</v>
      </c>
      <c r="H46" s="162">
        <v>5951.741</v>
      </c>
      <c r="I46" s="162">
        <v>46.607970000000002</v>
      </c>
      <c r="J46" s="2"/>
      <c r="K46" s="14"/>
    </row>
    <row r="47" spans="5:15">
      <c r="E47" s="2"/>
      <c r="F47" s="160">
        <v>45732</v>
      </c>
      <c r="G47" s="161">
        <v>3249</v>
      </c>
      <c r="H47" s="162">
        <v>1303.81</v>
      </c>
      <c r="I47" s="162">
        <v>57.58831</v>
      </c>
      <c r="J47" s="2"/>
      <c r="K47" s="14"/>
    </row>
    <row r="48" spans="5:15">
      <c r="E48" s="2"/>
      <c r="F48" s="160">
        <v>45733</v>
      </c>
      <c r="G48" s="161">
        <v>1652.001</v>
      </c>
      <c r="H48" s="162">
        <v>661.79549999999995</v>
      </c>
      <c r="I48" s="162">
        <v>52.529919999999997</v>
      </c>
      <c r="J48" s="2"/>
      <c r="K48" s="14"/>
      <c r="M48" s="2"/>
      <c r="N48" s="2"/>
      <c r="O48" s="2"/>
    </row>
    <row r="49" spans="5:15">
      <c r="E49" s="2"/>
      <c r="F49" s="160">
        <v>45734</v>
      </c>
      <c r="G49" s="161">
        <v>11533</v>
      </c>
      <c r="H49" s="162">
        <v>5016.7650000000003</v>
      </c>
      <c r="I49" s="162">
        <v>42.179000000000002</v>
      </c>
      <c r="J49" s="2"/>
      <c r="K49" s="14"/>
      <c r="M49" s="2"/>
      <c r="N49" s="2"/>
      <c r="O49" s="2"/>
    </row>
    <row r="50" spans="5:15">
      <c r="E50" s="2"/>
      <c r="F50" s="160">
        <v>45735</v>
      </c>
      <c r="G50" s="161">
        <v>15922</v>
      </c>
      <c r="H50" s="162">
        <v>7236.1469999999999</v>
      </c>
      <c r="I50" s="162">
        <v>42.586739999999999</v>
      </c>
      <c r="J50" s="2"/>
      <c r="K50" s="14"/>
    </row>
    <row r="51" spans="5:15">
      <c r="E51" s="2"/>
      <c r="F51" s="160">
        <v>45736</v>
      </c>
      <c r="G51" s="161">
        <v>6722</v>
      </c>
      <c r="H51" s="162">
        <v>2903.0790000000002</v>
      </c>
      <c r="I51" s="162">
        <v>47.82705</v>
      </c>
      <c r="J51" s="2"/>
      <c r="K51" s="14"/>
    </row>
    <row r="52" spans="5:15">
      <c r="E52" s="2"/>
      <c r="F52" s="160">
        <v>45737</v>
      </c>
      <c r="G52" s="161">
        <v>9686</v>
      </c>
      <c r="H52" s="162">
        <v>4271.5309999999999</v>
      </c>
      <c r="I52" s="162">
        <v>43.069240000000001</v>
      </c>
      <c r="J52" s="2"/>
      <c r="K52" s="14"/>
    </row>
    <row r="53" spans="5:15">
      <c r="E53" s="2"/>
      <c r="F53" s="160">
        <v>45738</v>
      </c>
      <c r="G53" s="161">
        <v>14692</v>
      </c>
      <c r="H53" s="162">
        <v>6649.8879999999999</v>
      </c>
      <c r="I53" s="162">
        <v>46.052889999999998</v>
      </c>
      <c r="J53" s="2"/>
      <c r="K53" s="14"/>
    </row>
    <row r="54" spans="5:15">
      <c r="E54" s="2"/>
      <c r="F54" s="160">
        <v>45739</v>
      </c>
      <c r="G54" s="161">
        <v>16807</v>
      </c>
      <c r="H54" s="162">
        <v>7668.0290000000005</v>
      </c>
      <c r="I54" s="162">
        <v>33.805660000000003</v>
      </c>
      <c r="J54" s="2"/>
      <c r="K54" s="14"/>
    </row>
    <row r="55" spans="5:15">
      <c r="E55" s="2"/>
      <c r="F55" s="160">
        <v>45740</v>
      </c>
      <c r="G55" s="161">
        <v>930</v>
      </c>
      <c r="H55" s="162">
        <v>382.12950000000001</v>
      </c>
      <c r="I55" s="162">
        <v>32.894060000000003</v>
      </c>
      <c r="J55" s="2"/>
      <c r="K55" s="14"/>
    </row>
    <row r="56" spans="5:15">
      <c r="E56" s="2"/>
      <c r="F56" s="160">
        <v>45741</v>
      </c>
      <c r="G56" s="161">
        <v>8043</v>
      </c>
      <c r="H56" s="162">
        <v>3349.232</v>
      </c>
      <c r="I56" s="162">
        <v>38.314570000000003</v>
      </c>
      <c r="J56" s="2"/>
      <c r="K56" s="14"/>
    </row>
    <row r="57" spans="5:15">
      <c r="E57" s="2"/>
      <c r="F57" s="160">
        <v>45742</v>
      </c>
      <c r="G57" s="161">
        <v>10118</v>
      </c>
      <c r="H57" s="162">
        <v>4330.2460000000001</v>
      </c>
      <c r="I57" s="162">
        <v>38.140839999999997</v>
      </c>
      <c r="J57" s="2"/>
      <c r="K57" s="14"/>
    </row>
    <row r="58" spans="5:15">
      <c r="E58" s="2"/>
      <c r="F58" s="160">
        <v>45743</v>
      </c>
      <c r="G58" s="161">
        <v>12508</v>
      </c>
      <c r="H58" s="162">
        <v>6017.3810000000003</v>
      </c>
      <c r="I58" s="162">
        <v>37.169919999999998</v>
      </c>
      <c r="J58" s="2"/>
      <c r="K58" s="14"/>
    </row>
    <row r="59" spans="5:15">
      <c r="E59" s="2"/>
      <c r="F59" s="160">
        <v>45744</v>
      </c>
      <c r="G59" s="161">
        <v>15253</v>
      </c>
      <c r="H59" s="162">
        <v>6746.7160000000003</v>
      </c>
      <c r="I59" s="162">
        <v>45.431319999999999</v>
      </c>
      <c r="J59" s="2"/>
      <c r="K59" s="14"/>
    </row>
    <row r="60" spans="5:15">
      <c r="E60" s="2"/>
      <c r="F60" s="160">
        <v>45745</v>
      </c>
      <c r="G60" s="161">
        <v>1306</v>
      </c>
      <c r="H60" s="162">
        <v>509.24369999999999</v>
      </c>
      <c r="I60" s="162">
        <v>35.867829999999998</v>
      </c>
      <c r="J60" s="2"/>
      <c r="K60" s="14"/>
    </row>
    <row r="61" spans="5:15">
      <c r="E61" s="2"/>
      <c r="F61" s="160">
        <v>45746</v>
      </c>
      <c r="G61" s="161">
        <v>1929</v>
      </c>
      <c r="H61" s="162">
        <v>758.39290000000005</v>
      </c>
      <c r="I61" s="162">
        <v>36.524830000000001</v>
      </c>
      <c r="J61" s="2"/>
      <c r="K61" s="14"/>
    </row>
    <row r="62" spans="5:15" s="2" customFormat="1">
      <c r="F62" s="160">
        <v>45747</v>
      </c>
      <c r="G62" s="161">
        <v>3468</v>
      </c>
      <c r="H62" s="162">
        <v>1420.9960000000001</v>
      </c>
      <c r="I62" s="162">
        <v>47.867759999999997</v>
      </c>
      <c r="K62" s="14"/>
    </row>
    <row r="63" spans="5:15" s="2" customFormat="1">
      <c r="F63" s="157"/>
      <c r="G63" s="155"/>
      <c r="H63" s="155"/>
      <c r="I63" s="156"/>
      <c r="K63" s="14"/>
    </row>
    <row r="64" spans="5:15">
      <c r="F64" s="143"/>
      <c r="G64" s="137"/>
      <c r="H64" s="2"/>
      <c r="I64" s="2"/>
    </row>
    <row r="65" spans="3:12">
      <c r="C65" s="181" t="s">
        <v>34</v>
      </c>
      <c r="D65" s="182"/>
      <c r="E65" s="182"/>
      <c r="F65" s="182"/>
      <c r="G65" s="182"/>
      <c r="H65" s="182"/>
      <c r="I65" s="182"/>
      <c r="J65" s="182"/>
      <c r="K65" s="182"/>
      <c r="L65" s="183"/>
    </row>
    <row r="66" spans="3:12" ht="15" customHeight="1">
      <c r="C66" s="189"/>
      <c r="D66" s="190"/>
      <c r="E66" s="190"/>
      <c r="F66" s="190"/>
      <c r="G66" s="190"/>
      <c r="H66" s="190"/>
      <c r="I66" s="190"/>
      <c r="J66" s="190"/>
      <c r="K66" s="190"/>
      <c r="L66" s="191"/>
    </row>
    <row r="67" spans="3:12">
      <c r="C67" s="192"/>
      <c r="D67" s="193"/>
      <c r="E67" s="193"/>
      <c r="F67" s="193"/>
      <c r="G67" s="193"/>
      <c r="H67" s="193"/>
      <c r="I67" s="193"/>
      <c r="J67" s="193"/>
      <c r="K67" s="193"/>
      <c r="L67" s="194"/>
    </row>
    <row r="68" spans="3:12">
      <c r="C68" s="195"/>
      <c r="D68" s="196"/>
      <c r="E68" s="196"/>
      <c r="F68" s="196"/>
      <c r="G68" s="196"/>
      <c r="H68" s="196"/>
      <c r="I68" s="196"/>
      <c r="J68" s="196"/>
      <c r="K68" s="196"/>
      <c r="L68" s="197"/>
    </row>
    <row r="70" spans="3:12">
      <c r="C70" s="186" t="s">
        <v>35</v>
      </c>
      <c r="D70" s="187"/>
      <c r="E70" s="187"/>
      <c r="F70" s="187"/>
      <c r="G70" s="187"/>
      <c r="H70" s="187"/>
      <c r="I70" s="187"/>
      <c r="J70" s="187"/>
      <c r="K70" s="187"/>
      <c r="L70" s="188"/>
    </row>
    <row r="71" spans="3:12" ht="14.85" customHeight="1">
      <c r="C71" s="189"/>
      <c r="D71" s="190"/>
      <c r="E71" s="190"/>
      <c r="F71" s="190"/>
      <c r="G71" s="190"/>
      <c r="H71" s="190"/>
      <c r="I71" s="190"/>
      <c r="J71" s="190"/>
      <c r="K71" s="190"/>
      <c r="L71" s="191"/>
    </row>
    <row r="72" spans="3:12">
      <c r="C72" s="192"/>
      <c r="D72" s="193"/>
      <c r="E72" s="193"/>
      <c r="F72" s="193"/>
      <c r="G72" s="193"/>
      <c r="H72" s="193"/>
      <c r="I72" s="193"/>
      <c r="J72" s="193"/>
      <c r="K72" s="193"/>
      <c r="L72" s="194"/>
    </row>
    <row r="73" spans="3:12">
      <c r="C73" s="195"/>
      <c r="D73" s="196"/>
      <c r="E73" s="196"/>
      <c r="F73" s="196"/>
      <c r="G73" s="196"/>
      <c r="H73" s="196"/>
      <c r="I73" s="196"/>
      <c r="J73" s="196"/>
      <c r="K73" s="196"/>
      <c r="L73" s="197"/>
    </row>
  </sheetData>
  <mergeCells count="19">
    <mergeCell ref="C70:L70"/>
    <mergeCell ref="C65:L65"/>
    <mergeCell ref="E13:I13"/>
    <mergeCell ref="F30:I30"/>
    <mergeCell ref="C71:L73"/>
    <mergeCell ref="C66:L68"/>
    <mergeCell ref="E8:I8"/>
    <mergeCell ref="E9:I9"/>
    <mergeCell ref="E10:I10"/>
    <mergeCell ref="E11:I11"/>
    <mergeCell ref="C16:L16"/>
    <mergeCell ref="E14:I14"/>
    <mergeCell ref="E12:I12"/>
    <mergeCell ref="E7:I7"/>
    <mergeCell ref="E1:J1"/>
    <mergeCell ref="E2:J2"/>
    <mergeCell ref="E3:J3"/>
    <mergeCell ref="C5:L5"/>
    <mergeCell ref="E6:I6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4"/>
  <sheetViews>
    <sheetView topLeftCell="A33" zoomScale="85" zoomScaleNormal="85" workbookViewId="0">
      <selection activeCell="J10" sqref="J10"/>
    </sheetView>
  </sheetViews>
  <sheetFormatPr defaultRowHeight="1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.75">
      <c r="E1" s="177" t="s">
        <v>36</v>
      </c>
      <c r="F1" s="177"/>
      <c r="G1" s="177"/>
      <c r="H1" s="177"/>
      <c r="I1" s="177"/>
      <c r="J1" s="177"/>
    </row>
    <row r="2" spans="3:18">
      <c r="E2" s="178" t="s">
        <v>23</v>
      </c>
      <c r="F2" s="178"/>
      <c r="G2" s="178"/>
      <c r="H2" s="178"/>
      <c r="I2" s="178"/>
      <c r="J2" s="178"/>
    </row>
    <row r="3" spans="3:18" ht="14.25" customHeight="1">
      <c r="E3" s="179" t="s">
        <v>24</v>
      </c>
      <c r="F3" s="180"/>
      <c r="G3" s="180"/>
      <c r="H3" s="180"/>
      <c r="I3" s="180"/>
      <c r="J3" s="180"/>
    </row>
    <row r="5" spans="3:18">
      <c r="C5" s="181" t="s">
        <v>25</v>
      </c>
      <c r="D5" s="182"/>
      <c r="E5" s="182"/>
      <c r="F5" s="182"/>
      <c r="G5" s="182"/>
      <c r="H5" s="182"/>
      <c r="I5" s="182"/>
      <c r="J5" s="182"/>
      <c r="K5" s="182"/>
      <c r="L5" s="183"/>
      <c r="R5" s="26"/>
    </row>
    <row r="6" spans="3:18">
      <c r="C6" s="20"/>
      <c r="D6" s="21"/>
      <c r="E6" s="172" t="s">
        <v>2</v>
      </c>
      <c r="F6" s="172"/>
      <c r="G6" s="172"/>
      <c r="H6" s="172"/>
      <c r="I6" s="172"/>
      <c r="J6" s="22">
        <f>SUM(G32:G62)</f>
        <v>404018.25</v>
      </c>
      <c r="K6" s="2"/>
      <c r="L6" s="23"/>
      <c r="R6" s="26"/>
    </row>
    <row r="7" spans="3:18">
      <c r="C7" s="3"/>
      <c r="D7" s="2"/>
      <c r="E7" s="176" t="s">
        <v>4</v>
      </c>
      <c r="F7" s="176"/>
      <c r="G7" s="176"/>
      <c r="H7" s="176"/>
      <c r="I7" s="176"/>
      <c r="J7" s="8">
        <f>'Predicted Data'!D7</f>
        <v>344525.3</v>
      </c>
      <c r="K7" s="69"/>
      <c r="L7" s="4"/>
      <c r="R7" s="26"/>
    </row>
    <row r="8" spans="3:18" ht="17.25">
      <c r="C8" s="3"/>
      <c r="D8" s="2"/>
      <c r="E8" s="176" t="s">
        <v>6</v>
      </c>
      <c r="F8" s="176"/>
      <c r="G8" s="176"/>
      <c r="H8" s="176"/>
      <c r="I8" s="176"/>
      <c r="J8" s="8">
        <f>SUM(H32:H62)</f>
        <v>122312.83039999999</v>
      </c>
      <c r="K8" s="2"/>
      <c r="L8" s="4"/>
      <c r="R8" s="26"/>
    </row>
    <row r="9" spans="3:18" ht="17.25">
      <c r="C9" s="3"/>
      <c r="D9" s="2"/>
      <c r="E9" s="176" t="s">
        <v>8</v>
      </c>
      <c r="F9" s="176"/>
      <c r="G9" s="176"/>
      <c r="H9" s="176"/>
      <c r="I9" s="176"/>
      <c r="J9" s="79"/>
      <c r="K9" s="69"/>
      <c r="L9" s="4"/>
      <c r="R9" s="44"/>
    </row>
    <row r="10" spans="3:18">
      <c r="C10" s="3"/>
      <c r="D10" s="2"/>
      <c r="E10" s="176" t="s">
        <v>10</v>
      </c>
      <c r="F10" s="176"/>
      <c r="G10" s="176"/>
      <c r="H10" s="176"/>
      <c r="I10" s="176"/>
      <c r="J10" s="84">
        <f>'Plant Health'!E99</f>
        <v>365174.32600000006</v>
      </c>
      <c r="K10" s="2"/>
      <c r="L10" s="4"/>
      <c r="R10" s="26"/>
    </row>
    <row r="11" spans="3:18">
      <c r="C11" s="3"/>
      <c r="D11" s="2"/>
      <c r="E11" s="176" t="s">
        <v>12</v>
      </c>
      <c r="F11" s="176"/>
      <c r="G11" s="176"/>
      <c r="H11" s="176"/>
      <c r="I11" s="176"/>
      <c r="J11" s="31">
        <f>J6/J10</f>
        <v>1.1063709062613563</v>
      </c>
      <c r="K11" s="2"/>
      <c r="L11" s="4"/>
      <c r="R11" s="26"/>
    </row>
    <row r="12" spans="3:18">
      <c r="C12" s="3"/>
      <c r="D12" s="2"/>
      <c r="E12" s="176" t="s">
        <v>16</v>
      </c>
      <c r="F12" s="176"/>
      <c r="G12" s="176"/>
      <c r="H12" s="176"/>
      <c r="I12" s="176"/>
      <c r="J12" s="31">
        <f>J6/J7</f>
        <v>1.1726809322856697</v>
      </c>
      <c r="K12" s="2"/>
      <c r="L12" s="4"/>
      <c r="R12" s="26"/>
    </row>
    <row r="13" spans="3:18">
      <c r="C13" s="3"/>
      <c r="D13" s="2"/>
      <c r="E13" s="176" t="s">
        <v>18</v>
      </c>
      <c r="F13" s="176"/>
      <c r="G13" s="176"/>
      <c r="H13" s="176"/>
      <c r="I13" s="176"/>
      <c r="J13" s="31">
        <f>Availability!I40</f>
        <v>1</v>
      </c>
      <c r="K13" s="2"/>
      <c r="L13" s="4"/>
      <c r="R13" s="26"/>
    </row>
    <row r="14" spans="3:18">
      <c r="C14" s="5"/>
      <c r="D14" s="6"/>
      <c r="E14" s="185" t="s">
        <v>20</v>
      </c>
      <c r="F14" s="185"/>
      <c r="G14" s="185"/>
      <c r="H14" s="185"/>
      <c r="I14" s="185"/>
      <c r="J14" s="9">
        <f>Availability!I50</f>
        <v>0.99796666666666667</v>
      </c>
      <c r="K14" s="6"/>
      <c r="L14" s="7"/>
      <c r="R14" s="26"/>
    </row>
    <row r="15" spans="3:18">
      <c r="R15" s="26"/>
    </row>
    <row r="16" spans="3:18">
      <c r="C16" s="181" t="s">
        <v>27</v>
      </c>
      <c r="D16" s="182"/>
      <c r="E16" s="182"/>
      <c r="F16" s="182"/>
      <c r="G16" s="182"/>
      <c r="H16" s="182"/>
      <c r="I16" s="182"/>
      <c r="J16" s="182"/>
      <c r="K16" s="182"/>
      <c r="L16" s="183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198" t="s">
        <v>28</v>
      </c>
      <c r="G30" s="198"/>
      <c r="H30" s="198"/>
      <c r="I30" s="199"/>
      <c r="J30" s="11"/>
      <c r="K30" s="11"/>
      <c r="L30" s="11"/>
      <c r="R30" s="26"/>
    </row>
    <row r="31" spans="5:24" s="10" customFormat="1" ht="44.1" customHeight="1">
      <c r="E31" s="13"/>
      <c r="F31" s="138" t="s">
        <v>29</v>
      </c>
      <c r="G31" s="163" t="s">
        <v>30</v>
      </c>
      <c r="H31" s="164" t="s">
        <v>31</v>
      </c>
      <c r="I31" s="163" t="s">
        <v>32</v>
      </c>
      <c r="J31" s="12"/>
      <c r="K31" s="13"/>
      <c r="R31" s="45"/>
      <c r="X31"/>
    </row>
    <row r="32" spans="5:24">
      <c r="E32" s="2"/>
      <c r="F32" s="154">
        <v>45717</v>
      </c>
      <c r="G32" s="162">
        <v>6383.25</v>
      </c>
      <c r="H32" s="162">
        <v>1882.326</v>
      </c>
      <c r="I32" s="162">
        <v>39.915089999999999</v>
      </c>
      <c r="J32" s="14"/>
      <c r="K32" s="14"/>
      <c r="R32" s="26"/>
    </row>
    <row r="33" spans="5:18">
      <c r="E33" s="2"/>
      <c r="F33" s="154">
        <v>45718</v>
      </c>
      <c r="G33" s="162">
        <v>19212.25</v>
      </c>
      <c r="H33" s="162">
        <v>5670.7250000000004</v>
      </c>
      <c r="I33" s="162">
        <v>20.32207</v>
      </c>
      <c r="J33" s="14"/>
      <c r="K33" s="14"/>
      <c r="R33" s="26"/>
    </row>
    <row r="34" spans="5:18">
      <c r="E34" s="2"/>
      <c r="F34" s="154">
        <v>45719</v>
      </c>
      <c r="G34" s="162">
        <v>19237.5</v>
      </c>
      <c r="H34" s="162">
        <v>5707.4560000000001</v>
      </c>
      <c r="I34" s="162">
        <v>19.48847</v>
      </c>
      <c r="J34" s="14"/>
      <c r="K34" s="14"/>
      <c r="R34" s="26"/>
    </row>
    <row r="35" spans="5:18">
      <c r="E35" s="2"/>
      <c r="F35" s="154">
        <v>45720</v>
      </c>
      <c r="G35" s="162">
        <v>12292.25</v>
      </c>
      <c r="H35" s="162">
        <v>3575.73</v>
      </c>
      <c r="I35" s="162">
        <v>35.672699999999999</v>
      </c>
      <c r="J35" s="14"/>
      <c r="K35" s="14"/>
      <c r="R35" s="26"/>
    </row>
    <row r="36" spans="5:18">
      <c r="E36" s="2"/>
      <c r="F36" s="154">
        <v>45721</v>
      </c>
      <c r="G36" s="162">
        <v>5376.75</v>
      </c>
      <c r="H36" s="162">
        <v>1541.212</v>
      </c>
      <c r="I36" s="162">
        <v>49.699509999999997</v>
      </c>
      <c r="J36" s="14"/>
      <c r="K36" s="14"/>
      <c r="R36" s="26"/>
    </row>
    <row r="37" spans="5:18">
      <c r="E37" s="2"/>
      <c r="F37" s="154">
        <v>45722</v>
      </c>
      <c r="G37" s="162">
        <v>4677.75</v>
      </c>
      <c r="H37" s="162">
        <v>1383.288</v>
      </c>
      <c r="I37" s="162">
        <v>49.352429999999998</v>
      </c>
      <c r="J37" s="14"/>
      <c r="K37" s="14"/>
      <c r="R37" s="26"/>
    </row>
    <row r="38" spans="5:18">
      <c r="E38" s="2"/>
      <c r="F38" s="154">
        <v>45723</v>
      </c>
      <c r="G38" s="162">
        <v>15039.25</v>
      </c>
      <c r="H38" s="162">
        <v>4601.3609999999999</v>
      </c>
      <c r="I38" s="162">
        <v>33.574210000000001</v>
      </c>
      <c r="J38" s="14"/>
      <c r="K38" s="14"/>
    </row>
    <row r="39" spans="5:18">
      <c r="E39" s="2"/>
      <c r="F39" s="154">
        <v>45724</v>
      </c>
      <c r="G39" s="162">
        <v>16450.25</v>
      </c>
      <c r="H39" s="162">
        <v>5077.4809999999998</v>
      </c>
      <c r="I39" s="162">
        <v>33.365389999999998</v>
      </c>
      <c r="J39" s="14"/>
      <c r="K39" s="14"/>
    </row>
    <row r="40" spans="5:18">
      <c r="E40" s="2"/>
      <c r="F40" s="154">
        <v>45725</v>
      </c>
      <c r="G40" s="162">
        <v>16470</v>
      </c>
      <c r="H40" s="162">
        <v>4984.6469999999999</v>
      </c>
      <c r="I40" s="162">
        <v>32.879570000000001</v>
      </c>
      <c r="J40" s="14"/>
      <c r="K40" s="14"/>
    </row>
    <row r="41" spans="5:18">
      <c r="E41" s="2"/>
      <c r="F41" s="154">
        <v>45726</v>
      </c>
      <c r="G41" s="162">
        <v>17696</v>
      </c>
      <c r="H41" s="162">
        <v>5443.4089999999997</v>
      </c>
      <c r="I41" s="162">
        <v>43.237279999999998</v>
      </c>
      <c r="J41" s="14"/>
      <c r="K41" s="14"/>
    </row>
    <row r="42" spans="5:18">
      <c r="E42" s="2"/>
      <c r="F42" s="154">
        <v>45727</v>
      </c>
      <c r="G42" s="162">
        <v>19013.75</v>
      </c>
      <c r="H42" s="162">
        <v>5843.7910000000002</v>
      </c>
      <c r="I42" s="162">
        <v>46.004429999999999</v>
      </c>
      <c r="J42" s="14"/>
      <c r="K42" s="14"/>
    </row>
    <row r="43" spans="5:18">
      <c r="E43" s="2"/>
      <c r="F43" s="154">
        <v>45728</v>
      </c>
      <c r="G43" s="162">
        <v>17839.75</v>
      </c>
      <c r="H43" s="162">
        <v>5358.8050000000003</v>
      </c>
      <c r="I43" s="162">
        <v>43.759480000000003</v>
      </c>
      <c r="J43" s="14"/>
      <c r="K43" s="14"/>
    </row>
    <row r="44" spans="5:18">
      <c r="E44" s="2"/>
      <c r="F44" s="154">
        <v>45729</v>
      </c>
      <c r="G44" s="162">
        <v>17004.5</v>
      </c>
      <c r="H44" s="162">
        <v>5129.4040000000005</v>
      </c>
      <c r="I44" s="162">
        <v>41.310420000000001</v>
      </c>
      <c r="J44" s="14"/>
      <c r="K44" s="14"/>
    </row>
    <row r="45" spans="5:18">
      <c r="E45" s="2"/>
      <c r="F45" s="154">
        <v>45730</v>
      </c>
      <c r="G45" s="162">
        <v>18455.75</v>
      </c>
      <c r="H45" s="162">
        <v>5596.81</v>
      </c>
      <c r="I45" s="162">
        <v>46.248309999999996</v>
      </c>
      <c r="J45" s="14"/>
      <c r="K45" s="14"/>
    </row>
    <row r="46" spans="5:18">
      <c r="E46" s="2"/>
      <c r="F46" s="154">
        <v>45731</v>
      </c>
      <c r="G46" s="162">
        <v>14590.75</v>
      </c>
      <c r="H46" s="162">
        <v>4430.4309999999996</v>
      </c>
      <c r="I46" s="162">
        <v>46.14658</v>
      </c>
      <c r="J46" s="14"/>
      <c r="K46" s="14"/>
    </row>
    <row r="47" spans="5:18">
      <c r="E47" s="2"/>
      <c r="F47" s="154">
        <v>45732</v>
      </c>
      <c r="G47" s="162">
        <v>6247.75</v>
      </c>
      <c r="H47" s="162">
        <v>1816.4110000000001</v>
      </c>
      <c r="I47" s="162">
        <v>56.67268</v>
      </c>
      <c r="J47" s="14"/>
      <c r="K47" s="14"/>
    </row>
    <row r="48" spans="5:18">
      <c r="E48" s="2"/>
      <c r="F48" s="154">
        <v>45733</v>
      </c>
      <c r="G48" s="162">
        <v>2440</v>
      </c>
      <c r="H48" s="162">
        <v>698.09640000000002</v>
      </c>
      <c r="I48" s="162">
        <v>53.893619999999999</v>
      </c>
      <c r="J48" s="14"/>
      <c r="K48" s="14"/>
    </row>
    <row r="49" spans="5:11">
      <c r="E49" s="2"/>
      <c r="F49" s="154">
        <v>45734</v>
      </c>
      <c r="G49" s="162">
        <v>15186.5</v>
      </c>
      <c r="H49" s="162">
        <v>4494.8159999999998</v>
      </c>
      <c r="I49" s="162">
        <v>43.286700000000003</v>
      </c>
      <c r="J49" s="14"/>
      <c r="K49" s="14"/>
    </row>
    <row r="50" spans="5:11">
      <c r="E50" s="2"/>
      <c r="F50" s="154">
        <v>45735</v>
      </c>
      <c r="G50" s="162">
        <v>19815.5</v>
      </c>
      <c r="H50" s="162">
        <v>6155.71</v>
      </c>
      <c r="I50" s="162">
        <v>45.490110000000001</v>
      </c>
      <c r="J50" s="14"/>
      <c r="K50" s="14"/>
    </row>
    <row r="51" spans="5:11">
      <c r="E51" s="2"/>
      <c r="F51" s="154">
        <v>45736</v>
      </c>
      <c r="G51" s="162">
        <v>10964.5</v>
      </c>
      <c r="H51" s="162">
        <v>3268.6060000000002</v>
      </c>
      <c r="I51" s="162">
        <v>47.633710000000001</v>
      </c>
      <c r="J51" s="14"/>
      <c r="K51" s="14"/>
    </row>
    <row r="52" spans="5:11">
      <c r="E52" s="2"/>
      <c r="F52" s="154">
        <v>45737</v>
      </c>
      <c r="G52" s="162">
        <v>12538.75</v>
      </c>
      <c r="H52" s="162">
        <v>3766.1840000000002</v>
      </c>
      <c r="I52" s="162">
        <v>43.974469999999997</v>
      </c>
      <c r="J52" s="14"/>
      <c r="K52" s="14"/>
    </row>
    <row r="53" spans="5:11">
      <c r="E53" s="2"/>
      <c r="F53" s="154">
        <v>45738</v>
      </c>
      <c r="G53" s="162">
        <v>17995.25</v>
      </c>
      <c r="H53" s="162">
        <v>5477.2380000000003</v>
      </c>
      <c r="I53" s="162">
        <v>46.142690000000002</v>
      </c>
      <c r="J53" s="14"/>
      <c r="K53" s="14"/>
    </row>
    <row r="54" spans="5:11">
      <c r="E54" s="2"/>
      <c r="F54" s="154">
        <v>45739</v>
      </c>
      <c r="G54" s="162">
        <v>21106.25</v>
      </c>
      <c r="H54" s="162">
        <v>6575.9579999999996</v>
      </c>
      <c r="I54" s="162">
        <v>34.447409999999998</v>
      </c>
      <c r="J54" s="14"/>
      <c r="K54" s="14"/>
    </row>
    <row r="55" spans="5:11">
      <c r="E55" s="2"/>
      <c r="F55" s="154">
        <v>45740</v>
      </c>
      <c r="G55" s="162">
        <v>1680.75</v>
      </c>
      <c r="H55" s="162">
        <v>464.19200000000001</v>
      </c>
      <c r="I55" s="162">
        <v>36.41028</v>
      </c>
      <c r="J55" s="14"/>
      <c r="K55" s="14"/>
    </row>
    <row r="56" spans="5:11">
      <c r="E56" s="2"/>
      <c r="F56" s="154">
        <v>45741</v>
      </c>
      <c r="G56" s="162">
        <v>17972.25</v>
      </c>
      <c r="H56" s="162">
        <v>5742.4530000000004</v>
      </c>
      <c r="I56" s="162">
        <v>45.048169999999999</v>
      </c>
      <c r="J56" s="14"/>
      <c r="K56" s="14"/>
    </row>
    <row r="57" spans="5:11">
      <c r="E57" s="2"/>
      <c r="F57" s="154">
        <v>45742</v>
      </c>
      <c r="G57" s="162">
        <v>11377.25</v>
      </c>
      <c r="H57" s="162">
        <v>3347.991</v>
      </c>
      <c r="I57" s="162">
        <v>43.391190000000002</v>
      </c>
      <c r="J57" s="14"/>
      <c r="K57" s="14"/>
    </row>
    <row r="58" spans="5:11">
      <c r="E58" s="2"/>
      <c r="F58" s="154">
        <v>45743</v>
      </c>
      <c r="G58" s="162">
        <v>16260.25</v>
      </c>
      <c r="H58" s="162">
        <v>5198.6139999999996</v>
      </c>
      <c r="I58" s="162">
        <v>37.651020000000003</v>
      </c>
      <c r="J58" s="14"/>
      <c r="K58" s="14"/>
    </row>
    <row r="59" spans="5:11">
      <c r="E59" s="2"/>
      <c r="F59" s="154">
        <v>45744</v>
      </c>
      <c r="G59" s="162">
        <v>17808.75</v>
      </c>
      <c r="H59" s="162">
        <v>5464.9880000000003</v>
      </c>
      <c r="I59" s="162">
        <v>48.3249</v>
      </c>
      <c r="J59" s="14"/>
      <c r="K59" s="14"/>
    </row>
    <row r="60" spans="5:11">
      <c r="E60" s="2"/>
      <c r="F60" s="154">
        <v>45745</v>
      </c>
      <c r="G60" s="162">
        <v>3770.5</v>
      </c>
      <c r="H60" s="162">
        <v>1036.521</v>
      </c>
      <c r="I60" s="162">
        <v>40.524940000000001</v>
      </c>
      <c r="J60" s="14"/>
      <c r="K60" s="14"/>
    </row>
    <row r="61" spans="5:11">
      <c r="E61" s="2"/>
      <c r="F61" s="154">
        <v>45746</v>
      </c>
      <c r="G61" s="162">
        <v>4384.25</v>
      </c>
      <c r="H61" s="162">
        <v>1216.508</v>
      </c>
      <c r="I61" s="162">
        <v>40.343060000000001</v>
      </c>
      <c r="J61" s="14"/>
      <c r="K61" s="14"/>
    </row>
    <row r="62" spans="5:11">
      <c r="E62" s="2"/>
      <c r="F62" s="154">
        <v>45747</v>
      </c>
      <c r="G62" s="162">
        <v>4730</v>
      </c>
      <c r="H62" s="162">
        <v>1361.6679999999999</v>
      </c>
      <c r="I62" s="162">
        <v>53.822189999999999</v>
      </c>
      <c r="J62" s="14"/>
      <c r="K62" s="14"/>
    </row>
    <row r="63" spans="5:11">
      <c r="F63" s="152"/>
      <c r="G63" s="2"/>
      <c r="H63" s="2"/>
      <c r="I63" s="2"/>
    </row>
    <row r="64" spans="5:11">
      <c r="F64" s="139"/>
      <c r="G64" s="2"/>
      <c r="H64" s="2"/>
      <c r="I64" s="2"/>
    </row>
    <row r="65" spans="3:12">
      <c r="C65" s="186" t="s">
        <v>34</v>
      </c>
      <c r="D65" s="187"/>
      <c r="E65" s="187"/>
      <c r="F65" s="187"/>
      <c r="G65" s="187"/>
      <c r="H65" s="187"/>
      <c r="I65" s="187"/>
      <c r="J65" s="187"/>
      <c r="K65" s="187"/>
      <c r="L65" s="188"/>
    </row>
    <row r="66" spans="3:12" ht="15" customHeight="1">
      <c r="C66" s="189"/>
      <c r="D66" s="190"/>
      <c r="E66" s="190"/>
      <c r="F66" s="190"/>
      <c r="G66" s="190"/>
      <c r="H66" s="190"/>
      <c r="I66" s="190"/>
      <c r="J66" s="190"/>
      <c r="K66" s="190"/>
      <c r="L66" s="191"/>
    </row>
    <row r="67" spans="3:12">
      <c r="C67" s="192"/>
      <c r="D67" s="193"/>
      <c r="E67" s="193"/>
      <c r="F67" s="193"/>
      <c r="G67" s="193"/>
      <c r="H67" s="193"/>
      <c r="I67" s="193"/>
      <c r="J67" s="193"/>
      <c r="K67" s="193"/>
      <c r="L67" s="194"/>
    </row>
    <row r="68" spans="3:12">
      <c r="C68" s="195"/>
      <c r="D68" s="196"/>
      <c r="E68" s="196"/>
      <c r="F68" s="196"/>
      <c r="G68" s="196"/>
      <c r="H68" s="196"/>
      <c r="I68" s="196"/>
      <c r="J68" s="196"/>
      <c r="K68" s="196"/>
      <c r="L68" s="197"/>
    </row>
    <row r="69" spans="3:12"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3:12">
      <c r="C70" s="186" t="s">
        <v>35</v>
      </c>
      <c r="D70" s="187"/>
      <c r="E70" s="187"/>
      <c r="F70" s="187"/>
      <c r="G70" s="187"/>
      <c r="H70" s="187"/>
      <c r="I70" s="187"/>
      <c r="J70" s="187"/>
      <c r="K70" s="187"/>
      <c r="L70" s="188"/>
    </row>
    <row r="71" spans="3:12" ht="14.85" customHeight="1">
      <c r="C71" s="189"/>
      <c r="D71" s="190"/>
      <c r="E71" s="190"/>
      <c r="F71" s="190"/>
      <c r="G71" s="190"/>
      <c r="H71" s="190"/>
      <c r="I71" s="190"/>
      <c r="J71" s="190"/>
      <c r="K71" s="190"/>
      <c r="L71" s="191"/>
    </row>
    <row r="72" spans="3:12">
      <c r="C72" s="192"/>
      <c r="D72" s="193"/>
      <c r="E72" s="193"/>
      <c r="F72" s="193"/>
      <c r="G72" s="193"/>
      <c r="H72" s="193"/>
      <c r="I72" s="193"/>
      <c r="J72" s="193"/>
      <c r="K72" s="193"/>
      <c r="L72" s="194"/>
    </row>
    <row r="73" spans="3:12">
      <c r="C73" s="195"/>
      <c r="D73" s="196"/>
      <c r="E73" s="196"/>
      <c r="F73" s="196"/>
      <c r="G73" s="196"/>
      <c r="H73" s="196"/>
      <c r="I73" s="196"/>
      <c r="J73" s="196"/>
      <c r="K73" s="196"/>
      <c r="L73" s="197"/>
    </row>
    <row r="74" spans="3:12">
      <c r="C74" s="57"/>
      <c r="D74" s="57"/>
      <c r="E74" s="57"/>
      <c r="F74" s="57"/>
      <c r="G74" s="57"/>
      <c r="H74" s="57"/>
      <c r="I74" s="57"/>
      <c r="J74" s="57"/>
      <c r="K74" s="57"/>
      <c r="L74" s="57"/>
    </row>
  </sheetData>
  <mergeCells count="19">
    <mergeCell ref="C71:L73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5:L65"/>
    <mergeCell ref="C70:L70"/>
    <mergeCell ref="C66:L68"/>
    <mergeCell ref="E1:J1"/>
    <mergeCell ref="E2:J2"/>
    <mergeCell ref="E3:J3"/>
    <mergeCell ref="E8:I8"/>
    <mergeCell ref="E9:I9"/>
    <mergeCell ref="E6:I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3"/>
  <sheetViews>
    <sheetView topLeftCell="A5" zoomScale="80" zoomScaleNormal="80" workbookViewId="0">
      <selection activeCell="J14" sqref="J14"/>
    </sheetView>
  </sheetViews>
  <sheetFormatPr defaultColWidth="9" defaultRowHeight="1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.75">
      <c r="E1" s="201" t="s">
        <v>37</v>
      </c>
      <c r="F1" s="201"/>
      <c r="G1" s="201"/>
      <c r="H1" s="201"/>
      <c r="I1" s="201"/>
      <c r="J1" s="201"/>
    </row>
    <row r="2" spans="3:13">
      <c r="E2" s="202" t="s">
        <v>23</v>
      </c>
      <c r="F2" s="202"/>
      <c r="G2" s="202"/>
      <c r="H2" s="202"/>
      <c r="I2" s="202"/>
      <c r="J2" s="202"/>
    </row>
    <row r="3" spans="3:13" ht="14.25" customHeight="1">
      <c r="E3" s="179" t="s">
        <v>38</v>
      </c>
      <c r="F3" s="180"/>
      <c r="G3" s="180"/>
      <c r="H3" s="180"/>
      <c r="I3" s="180"/>
      <c r="J3" s="180"/>
    </row>
    <row r="5" spans="3:13">
      <c r="C5" s="203" t="s">
        <v>25</v>
      </c>
      <c r="D5" s="204"/>
      <c r="E5" s="204"/>
      <c r="F5" s="204"/>
      <c r="G5" s="204"/>
      <c r="H5" s="204"/>
      <c r="I5" s="204"/>
      <c r="J5" s="204"/>
      <c r="K5" s="204"/>
      <c r="L5" s="205"/>
    </row>
    <row r="6" spans="3:13">
      <c r="C6" s="107"/>
      <c r="D6" s="108"/>
      <c r="E6" s="206" t="s">
        <v>2</v>
      </c>
      <c r="F6" s="206"/>
      <c r="G6" s="206"/>
      <c r="H6" s="206"/>
      <c r="I6" s="206"/>
      <c r="J6" s="109">
        <f>SUM(G32:G62)</f>
        <v>537723</v>
      </c>
      <c r="K6" s="108"/>
      <c r="L6" s="110"/>
    </row>
    <row r="7" spans="3:13">
      <c r="C7" s="111"/>
      <c r="E7" s="200" t="s">
        <v>4</v>
      </c>
      <c r="F7" s="200"/>
      <c r="G7" s="200"/>
      <c r="H7" s="200"/>
      <c r="I7" s="200"/>
      <c r="J7" s="112">
        <f>'Predicted Data'!D31</f>
        <v>409489</v>
      </c>
      <c r="K7" s="113"/>
      <c r="L7" s="114"/>
    </row>
    <row r="8" spans="3:13" ht="17.25">
      <c r="C8" s="111"/>
      <c r="E8" s="200" t="s">
        <v>6</v>
      </c>
      <c r="F8" s="200"/>
      <c r="G8" s="200"/>
      <c r="H8" s="200"/>
      <c r="I8" s="200"/>
      <c r="J8" s="112">
        <f>SUM(H32:H62)</f>
        <v>194702.41179999997</v>
      </c>
      <c r="L8" s="114"/>
    </row>
    <row r="9" spans="3:13" ht="17.25">
      <c r="C9" s="111"/>
      <c r="E9" s="200" t="s">
        <v>8</v>
      </c>
      <c r="F9" s="200"/>
      <c r="G9" s="200"/>
      <c r="H9" s="200"/>
      <c r="I9" s="200"/>
      <c r="J9" s="115"/>
      <c r="K9" s="113"/>
      <c r="L9" s="114"/>
    </row>
    <row r="10" spans="3:13">
      <c r="C10" s="111"/>
      <c r="E10" s="200" t="s">
        <v>10</v>
      </c>
      <c r="F10" s="200"/>
      <c r="G10" s="200"/>
      <c r="H10" s="200"/>
      <c r="I10" s="200"/>
      <c r="J10" s="116">
        <f>'Plant Health'!K97</f>
        <v>330650.56599999988</v>
      </c>
      <c r="L10" s="114"/>
    </row>
    <row r="11" spans="3:13">
      <c r="C11" s="111"/>
      <c r="E11" s="200" t="s">
        <v>12</v>
      </c>
      <c r="F11" s="200"/>
      <c r="G11" s="200"/>
      <c r="H11" s="200"/>
      <c r="I11" s="200"/>
      <c r="J11" s="117">
        <f>J6/J10</f>
        <v>1.6262576123943493</v>
      </c>
      <c r="L11" s="114"/>
      <c r="M11" s="118"/>
    </row>
    <row r="12" spans="3:13">
      <c r="C12" s="111"/>
      <c r="E12" s="200" t="s">
        <v>16</v>
      </c>
      <c r="F12" s="200"/>
      <c r="G12" s="200"/>
      <c r="H12" s="200"/>
      <c r="I12" s="200"/>
      <c r="J12" s="117">
        <f>J6/J7</f>
        <v>1.3131561531567393</v>
      </c>
      <c r="L12" s="114"/>
    </row>
    <row r="13" spans="3:13">
      <c r="C13" s="111"/>
      <c r="E13" s="200" t="s">
        <v>18</v>
      </c>
      <c r="F13" s="200"/>
      <c r="G13" s="200"/>
      <c r="H13" s="200"/>
      <c r="I13" s="200"/>
      <c r="J13" s="117">
        <f>Availability!K38</f>
        <v>0.99429999999999996</v>
      </c>
      <c r="L13" s="114"/>
    </row>
    <row r="14" spans="3:13">
      <c r="C14" s="119"/>
      <c r="D14" s="120"/>
      <c r="E14" s="216" t="s">
        <v>20</v>
      </c>
      <c r="F14" s="216"/>
      <c r="G14" s="216"/>
      <c r="H14" s="216"/>
      <c r="I14" s="216"/>
      <c r="J14" s="121">
        <f>Availability!K50</f>
        <v>0.99809999999999999</v>
      </c>
      <c r="K14" s="120"/>
      <c r="L14" s="122"/>
    </row>
    <row r="16" spans="3:13">
      <c r="C16" s="203" t="s">
        <v>27</v>
      </c>
      <c r="D16" s="204"/>
      <c r="E16" s="204"/>
      <c r="F16" s="204"/>
      <c r="G16" s="204"/>
      <c r="H16" s="204"/>
      <c r="I16" s="204"/>
      <c r="J16" s="204"/>
      <c r="K16" s="204"/>
      <c r="L16" s="205"/>
    </row>
    <row r="30" spans="5:12">
      <c r="E30" s="123"/>
      <c r="F30" s="217" t="s">
        <v>28</v>
      </c>
      <c r="G30" s="217"/>
      <c r="H30" s="217"/>
      <c r="I30" s="217"/>
      <c r="J30" s="123"/>
      <c r="K30" s="123"/>
      <c r="L30" s="123"/>
    </row>
    <row r="31" spans="5:12" s="126" customFormat="1" ht="44.1" customHeight="1">
      <c r="E31" s="124"/>
      <c r="F31" s="125" t="s">
        <v>29</v>
      </c>
      <c r="G31" s="141" t="s">
        <v>30</v>
      </c>
      <c r="H31" s="141" t="s">
        <v>31</v>
      </c>
      <c r="I31" s="141" t="s">
        <v>32</v>
      </c>
      <c r="K31" s="124"/>
    </row>
    <row r="32" spans="5:12">
      <c r="F32" s="140">
        <v>45717</v>
      </c>
      <c r="G32" s="162">
        <v>20096</v>
      </c>
      <c r="H32" s="162">
        <v>7051.317</v>
      </c>
      <c r="I32" s="162">
        <v>63.490020000000001</v>
      </c>
      <c r="K32" s="127"/>
    </row>
    <row r="33" spans="6:11">
      <c r="F33" s="140">
        <v>45718</v>
      </c>
      <c r="G33" s="162">
        <v>15354</v>
      </c>
      <c r="H33" s="162">
        <v>5108.95</v>
      </c>
      <c r="I33" s="162">
        <v>63.77272</v>
      </c>
      <c r="K33" s="127"/>
    </row>
    <row r="34" spans="6:11">
      <c r="F34" s="140">
        <v>45719</v>
      </c>
      <c r="G34" s="162">
        <v>4701</v>
      </c>
      <c r="H34" s="162">
        <v>1196.7249999999999</v>
      </c>
      <c r="I34" s="162">
        <v>62.888710000000003</v>
      </c>
      <c r="K34" s="127"/>
    </row>
    <row r="35" spans="6:11">
      <c r="F35" s="140">
        <v>45720</v>
      </c>
      <c r="G35" s="162">
        <v>14769</v>
      </c>
      <c r="H35" s="162">
        <v>5369.14</v>
      </c>
      <c r="I35" s="162">
        <v>59.34966</v>
      </c>
      <c r="K35" s="127"/>
    </row>
    <row r="36" spans="6:11">
      <c r="F36" s="140">
        <v>45721</v>
      </c>
      <c r="G36" s="162">
        <v>21580</v>
      </c>
      <c r="H36" s="162">
        <v>8199.5679999999993</v>
      </c>
      <c r="I36" s="162">
        <v>48.459359999999997</v>
      </c>
      <c r="K36" s="127"/>
    </row>
    <row r="37" spans="6:11">
      <c r="F37" s="140">
        <v>45722</v>
      </c>
      <c r="G37" s="162">
        <v>12752</v>
      </c>
      <c r="H37" s="162">
        <v>4028.018</v>
      </c>
      <c r="I37" s="162">
        <v>54.248950000000001</v>
      </c>
      <c r="K37" s="127"/>
    </row>
    <row r="38" spans="6:11">
      <c r="F38" s="140">
        <v>45723</v>
      </c>
      <c r="G38" s="162">
        <v>15796</v>
      </c>
      <c r="H38" s="162">
        <v>5412.348</v>
      </c>
      <c r="I38" s="162">
        <v>67.68526</v>
      </c>
      <c r="K38" s="127"/>
    </row>
    <row r="39" spans="6:11">
      <c r="F39" s="140">
        <v>45724</v>
      </c>
      <c r="G39" s="162">
        <v>3335</v>
      </c>
      <c r="H39" s="162">
        <v>772.7808</v>
      </c>
      <c r="I39" s="162">
        <v>48.26896</v>
      </c>
      <c r="K39" s="127"/>
    </row>
    <row r="40" spans="6:11">
      <c r="F40" s="140">
        <v>45725</v>
      </c>
      <c r="G40" s="162">
        <v>7245</v>
      </c>
      <c r="H40" s="162">
        <v>2360.7689999999998</v>
      </c>
      <c r="I40" s="162">
        <v>45.997860000000003</v>
      </c>
      <c r="K40" s="127"/>
    </row>
    <row r="41" spans="6:11">
      <c r="F41" s="140">
        <v>45726</v>
      </c>
      <c r="G41" s="162">
        <v>21597</v>
      </c>
      <c r="H41" s="162">
        <v>8046.0910000000003</v>
      </c>
      <c r="I41" s="162">
        <v>56.332349999999998</v>
      </c>
      <c r="K41" s="127"/>
    </row>
    <row r="42" spans="6:11">
      <c r="F42" s="140">
        <v>45727</v>
      </c>
      <c r="G42" s="162">
        <v>21726</v>
      </c>
      <c r="H42" s="162">
        <v>8153.7120000000004</v>
      </c>
      <c r="I42" s="162">
        <v>67.313509999999994</v>
      </c>
      <c r="K42" s="127"/>
    </row>
    <row r="43" spans="6:11">
      <c r="F43" s="140">
        <v>45728</v>
      </c>
      <c r="G43" s="162">
        <v>18246</v>
      </c>
      <c r="H43" s="162">
        <v>6385.1180000000004</v>
      </c>
      <c r="I43" s="162">
        <v>71.670850000000002</v>
      </c>
      <c r="K43" s="127"/>
    </row>
    <row r="44" spans="6:11">
      <c r="F44" s="140">
        <v>45729</v>
      </c>
      <c r="G44" s="162">
        <v>15657</v>
      </c>
      <c r="H44" s="162">
        <v>5935.0439999999999</v>
      </c>
      <c r="I44" s="162">
        <v>72.471860000000007</v>
      </c>
      <c r="K44" s="127"/>
    </row>
    <row r="45" spans="6:11">
      <c r="F45" s="140">
        <v>45730</v>
      </c>
      <c r="G45" s="162">
        <v>18299</v>
      </c>
      <c r="H45" s="162">
        <v>6361.7550000000001</v>
      </c>
      <c r="I45" s="162">
        <v>73.555719999999994</v>
      </c>
      <c r="K45" s="127"/>
    </row>
    <row r="46" spans="6:11">
      <c r="F46" s="140">
        <v>45731</v>
      </c>
      <c r="G46" s="162">
        <v>17135</v>
      </c>
      <c r="H46" s="162">
        <v>6134.9920000000002</v>
      </c>
      <c r="I46" s="162">
        <v>62.077599999999997</v>
      </c>
      <c r="K46" s="127"/>
    </row>
    <row r="47" spans="6:11">
      <c r="F47" s="140">
        <v>45732</v>
      </c>
      <c r="G47" s="162">
        <v>22199</v>
      </c>
      <c r="H47" s="162">
        <v>8386.74</v>
      </c>
      <c r="I47" s="162">
        <v>54.647489999999998</v>
      </c>
      <c r="K47" s="127"/>
    </row>
    <row r="48" spans="6:11">
      <c r="F48" s="140">
        <v>45733</v>
      </c>
      <c r="G48" s="162">
        <v>21935</v>
      </c>
      <c r="H48" s="162">
        <v>8199.6679999999997</v>
      </c>
      <c r="I48" s="162">
        <v>67.736509999999996</v>
      </c>
      <c r="K48" s="127"/>
    </row>
    <row r="49" spans="6:20">
      <c r="F49" s="140">
        <v>45734</v>
      </c>
      <c r="G49" s="162">
        <v>20986</v>
      </c>
      <c r="H49" s="162">
        <v>7543.7539999999999</v>
      </c>
      <c r="I49" s="162">
        <v>71.558229999999995</v>
      </c>
      <c r="K49" s="127"/>
    </row>
    <row r="50" spans="6:20">
      <c r="F50" s="140">
        <v>45735</v>
      </c>
      <c r="G50" s="162">
        <v>22279</v>
      </c>
      <c r="H50" s="162">
        <v>8621.0310000000009</v>
      </c>
      <c r="I50" s="162">
        <v>60.719619999999999</v>
      </c>
      <c r="K50" s="127"/>
    </row>
    <row r="51" spans="6:20">
      <c r="F51" s="140">
        <v>45736</v>
      </c>
      <c r="G51" s="162">
        <v>22722</v>
      </c>
      <c r="H51" s="162">
        <v>8839.9889999999996</v>
      </c>
      <c r="I51" s="162">
        <v>51.255650000000003</v>
      </c>
      <c r="K51" s="127"/>
    </row>
    <row r="52" spans="6:20">
      <c r="F52" s="140">
        <v>45737</v>
      </c>
      <c r="G52" s="162">
        <v>22352</v>
      </c>
      <c r="H52" s="162">
        <v>8384.3610000000008</v>
      </c>
      <c r="I52" s="162">
        <v>60.618209999999998</v>
      </c>
      <c r="K52" s="127"/>
    </row>
    <row r="53" spans="6:20">
      <c r="F53" s="140">
        <v>45738</v>
      </c>
      <c r="G53" s="162">
        <v>21812</v>
      </c>
      <c r="H53" s="162">
        <v>7913.8909999999996</v>
      </c>
      <c r="I53" s="162">
        <v>67.622699999999995</v>
      </c>
      <c r="K53" s="127"/>
    </row>
    <row r="54" spans="6:20">
      <c r="F54" s="140">
        <v>45739</v>
      </c>
      <c r="G54" s="162">
        <v>18174</v>
      </c>
      <c r="H54" s="162">
        <v>6864.6040000000003</v>
      </c>
      <c r="I54" s="162">
        <v>71.147000000000006</v>
      </c>
      <c r="K54" s="127"/>
    </row>
    <row r="55" spans="6:20">
      <c r="F55" s="140">
        <v>45740</v>
      </c>
      <c r="G55" s="162">
        <v>22519</v>
      </c>
      <c r="H55" s="162">
        <v>8614.7900000000009</v>
      </c>
      <c r="I55" s="162">
        <v>64.606650000000002</v>
      </c>
      <c r="K55" s="127"/>
    </row>
    <row r="56" spans="6:20">
      <c r="F56" s="140">
        <v>45741</v>
      </c>
      <c r="G56" s="162">
        <v>18108</v>
      </c>
      <c r="H56" s="162">
        <v>6385.8289999999997</v>
      </c>
      <c r="I56" s="162">
        <v>73.692080000000004</v>
      </c>
      <c r="K56" s="127"/>
    </row>
    <row r="57" spans="6:20">
      <c r="F57" s="140">
        <v>45742</v>
      </c>
      <c r="G57" s="162">
        <v>16111</v>
      </c>
      <c r="H57" s="162">
        <v>5622.4440000000004</v>
      </c>
      <c r="I57" s="162">
        <v>73.402280000000005</v>
      </c>
      <c r="K57" s="127"/>
    </row>
    <row r="58" spans="6:20">
      <c r="F58" s="140">
        <v>45743</v>
      </c>
      <c r="G58" s="162">
        <v>17280</v>
      </c>
      <c r="H58" s="162">
        <v>6106.3010000000004</v>
      </c>
      <c r="I58" s="162">
        <v>69.451030000000003</v>
      </c>
      <c r="K58" s="127"/>
      <c r="R58" s="112"/>
      <c r="S58" s="112"/>
      <c r="T58" s="112"/>
    </row>
    <row r="59" spans="6:20">
      <c r="F59" s="140">
        <v>45744</v>
      </c>
      <c r="G59" s="162">
        <v>9391</v>
      </c>
      <c r="H59" s="162">
        <v>2990.7579999999998</v>
      </c>
      <c r="I59" s="162">
        <v>67.917810000000003</v>
      </c>
      <c r="K59" s="127"/>
    </row>
    <row r="60" spans="6:20">
      <c r="F60" s="140">
        <v>45745</v>
      </c>
      <c r="G60" s="162">
        <v>15494</v>
      </c>
      <c r="H60" s="162">
        <v>5484.7539999999999</v>
      </c>
      <c r="I60" s="162">
        <v>73.90428</v>
      </c>
      <c r="K60" s="127"/>
      <c r="R60" s="112"/>
      <c r="S60" s="112"/>
      <c r="T60" s="112"/>
    </row>
    <row r="61" spans="6:20">
      <c r="F61" s="140">
        <v>45746</v>
      </c>
      <c r="G61" s="162">
        <v>17302</v>
      </c>
      <c r="H61" s="162">
        <v>6403.1289999999999</v>
      </c>
      <c r="I61" s="162">
        <v>71.465800000000002</v>
      </c>
      <c r="K61" s="127"/>
    </row>
    <row r="62" spans="6:20">
      <c r="F62" s="140">
        <v>45747</v>
      </c>
      <c r="G62" s="162">
        <v>20771</v>
      </c>
      <c r="H62" s="162">
        <v>7824.0410000000002</v>
      </c>
      <c r="I62" s="162">
        <v>59.87321</v>
      </c>
      <c r="K62" s="127"/>
    </row>
    <row r="63" spans="6:20">
      <c r="F63" s="152"/>
      <c r="G63" s="150"/>
      <c r="H63" s="150"/>
      <c r="I63" s="150"/>
    </row>
    <row r="64" spans="6:20">
      <c r="F64" s="153"/>
      <c r="G64" s="128"/>
    </row>
    <row r="65" spans="3:12">
      <c r="C65" s="203" t="s">
        <v>34</v>
      </c>
      <c r="D65" s="204"/>
      <c r="E65" s="204"/>
      <c r="F65" s="204"/>
      <c r="G65" s="204"/>
      <c r="H65" s="204"/>
      <c r="I65" s="204"/>
      <c r="J65" s="204"/>
      <c r="K65" s="204"/>
      <c r="L65" s="205"/>
    </row>
    <row r="66" spans="3:12" ht="15" customHeight="1">
      <c r="C66" s="207"/>
      <c r="D66" s="208"/>
      <c r="E66" s="208"/>
      <c r="F66" s="208"/>
      <c r="G66" s="208"/>
      <c r="H66" s="208"/>
      <c r="I66" s="208"/>
      <c r="J66" s="208"/>
      <c r="K66" s="208"/>
      <c r="L66" s="209"/>
    </row>
    <row r="67" spans="3:12">
      <c r="C67" s="210"/>
      <c r="D67" s="211"/>
      <c r="E67" s="211"/>
      <c r="F67" s="211"/>
      <c r="G67" s="211"/>
      <c r="H67" s="211"/>
      <c r="I67" s="211"/>
      <c r="J67" s="211"/>
      <c r="K67" s="211"/>
      <c r="L67" s="212"/>
    </row>
    <row r="68" spans="3:12">
      <c r="C68" s="213"/>
      <c r="D68" s="214"/>
      <c r="E68" s="214"/>
      <c r="F68" s="214"/>
      <c r="G68" s="214"/>
      <c r="H68" s="214"/>
      <c r="I68" s="214"/>
      <c r="J68" s="214"/>
      <c r="K68" s="214"/>
      <c r="L68" s="215"/>
    </row>
    <row r="70" spans="3:12">
      <c r="C70" s="218" t="s">
        <v>35</v>
      </c>
      <c r="D70" s="219"/>
      <c r="E70" s="219"/>
      <c r="F70" s="219"/>
      <c r="G70" s="219"/>
      <c r="H70" s="219"/>
      <c r="I70" s="219"/>
      <c r="J70" s="219"/>
      <c r="K70" s="219"/>
      <c r="L70" s="220"/>
    </row>
    <row r="71" spans="3:12" ht="14.85" customHeight="1">
      <c r="C71" s="207"/>
      <c r="D71" s="208"/>
      <c r="E71" s="208"/>
      <c r="F71" s="208"/>
      <c r="G71" s="208"/>
      <c r="H71" s="208"/>
      <c r="I71" s="208"/>
      <c r="J71" s="208"/>
      <c r="K71" s="208"/>
      <c r="L71" s="209"/>
    </row>
    <row r="72" spans="3:12">
      <c r="C72" s="210"/>
      <c r="D72" s="211"/>
      <c r="E72" s="211"/>
      <c r="F72" s="211"/>
      <c r="G72" s="211"/>
      <c r="H72" s="211"/>
      <c r="I72" s="211"/>
      <c r="J72" s="211"/>
      <c r="K72" s="211"/>
      <c r="L72" s="212"/>
    </row>
    <row r="73" spans="3:12">
      <c r="C73" s="213"/>
      <c r="D73" s="214"/>
      <c r="E73" s="214"/>
      <c r="F73" s="214"/>
      <c r="G73" s="214"/>
      <c r="H73" s="214"/>
      <c r="I73" s="214"/>
      <c r="J73" s="214"/>
      <c r="K73" s="214"/>
      <c r="L73" s="215"/>
    </row>
  </sheetData>
  <mergeCells count="19">
    <mergeCell ref="C71:L73"/>
    <mergeCell ref="E14:I14"/>
    <mergeCell ref="C16:L16"/>
    <mergeCell ref="F30:I30"/>
    <mergeCell ref="C65:L65"/>
    <mergeCell ref="C66:L68"/>
    <mergeCell ref="C70:L70"/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topLeftCell="A29" zoomScaleNormal="100" workbookViewId="0">
      <selection activeCell="P45" sqref="P45"/>
    </sheetView>
  </sheetViews>
  <sheetFormatPr defaultRowHeight="1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24" t="s">
        <v>39</v>
      </c>
      <c r="D4" s="225"/>
      <c r="E4" s="226"/>
      <c r="G4" s="224" t="s">
        <v>40</v>
      </c>
      <c r="H4" s="225"/>
      <c r="I4" s="226"/>
    </row>
    <row r="5" spans="3:9">
      <c r="C5" s="1"/>
      <c r="D5" s="42" t="s">
        <v>36</v>
      </c>
      <c r="E5" s="42" t="s">
        <v>22</v>
      </c>
      <c r="G5" s="1"/>
      <c r="H5" s="42" t="s">
        <v>36</v>
      </c>
      <c r="I5" s="42" t="s">
        <v>22</v>
      </c>
    </row>
    <row r="6" spans="3:9">
      <c r="C6" s="43" t="s">
        <v>41</v>
      </c>
      <c r="D6" s="46"/>
      <c r="E6" s="46"/>
      <c r="G6" s="43" t="s">
        <v>41</v>
      </c>
      <c r="H6" s="62">
        <v>0.99899000000000004</v>
      </c>
      <c r="I6" s="62">
        <v>0.99677000000000004</v>
      </c>
    </row>
    <row r="7" spans="3:9">
      <c r="C7" s="43" t="s">
        <v>42</v>
      </c>
      <c r="D7" s="46"/>
      <c r="E7" s="46"/>
      <c r="G7" s="43" t="s">
        <v>42</v>
      </c>
      <c r="H7" s="62">
        <v>0.99977000000000005</v>
      </c>
      <c r="I7" s="62">
        <v>0.96015000000000006</v>
      </c>
    </row>
    <row r="8" spans="3:9">
      <c r="C8" s="43" t="s">
        <v>43</v>
      </c>
      <c r="D8" s="46"/>
      <c r="E8" s="46"/>
      <c r="G8" s="43" t="s">
        <v>43</v>
      </c>
      <c r="H8" s="62">
        <v>0.99834999999999996</v>
      </c>
      <c r="I8" s="62">
        <v>0.99973000000000001</v>
      </c>
    </row>
    <row r="9" spans="3:9">
      <c r="C9" s="43" t="s">
        <v>44</v>
      </c>
      <c r="D9" s="46"/>
      <c r="E9" s="46"/>
      <c r="G9" s="43" t="s">
        <v>44</v>
      </c>
      <c r="H9" s="62">
        <v>1</v>
      </c>
      <c r="I9" s="62">
        <v>1</v>
      </c>
    </row>
    <row r="10" spans="3:9">
      <c r="C10" s="43" t="s">
        <v>45</v>
      </c>
      <c r="D10" s="46"/>
      <c r="E10" s="46"/>
      <c r="G10" s="43" t="s">
        <v>45</v>
      </c>
      <c r="H10" s="62">
        <v>1</v>
      </c>
      <c r="I10" s="62">
        <v>1</v>
      </c>
    </row>
    <row r="11" spans="3:9">
      <c r="C11" s="43" t="s">
        <v>46</v>
      </c>
      <c r="D11" s="46"/>
      <c r="E11" s="46"/>
      <c r="G11" s="43" t="s">
        <v>46</v>
      </c>
      <c r="H11" s="62">
        <v>1</v>
      </c>
      <c r="I11" s="62">
        <v>0.99909999999999999</v>
      </c>
    </row>
    <row r="12" spans="3:9">
      <c r="C12" s="43" t="s">
        <v>47</v>
      </c>
      <c r="D12" s="46">
        <v>0.98024</v>
      </c>
      <c r="E12" s="46">
        <v>1</v>
      </c>
      <c r="G12" s="43" t="s">
        <v>47</v>
      </c>
      <c r="H12" s="62">
        <v>1</v>
      </c>
      <c r="I12" s="62">
        <v>1</v>
      </c>
    </row>
    <row r="13" spans="3:9">
      <c r="C13" s="43" t="s">
        <v>48</v>
      </c>
      <c r="D13" s="46">
        <v>0.98093999999999992</v>
      </c>
      <c r="E13" s="46">
        <v>1</v>
      </c>
      <c r="G13" s="43" t="s">
        <v>48</v>
      </c>
      <c r="H13" s="90">
        <v>0.998</v>
      </c>
      <c r="I13" s="91">
        <v>1</v>
      </c>
    </row>
    <row r="14" spans="3:9">
      <c r="C14" s="43" t="s">
        <v>49</v>
      </c>
      <c r="D14" s="46">
        <v>0.97177999999999998</v>
      </c>
      <c r="E14" s="46">
        <v>1</v>
      </c>
      <c r="G14" s="43" t="s">
        <v>49</v>
      </c>
      <c r="H14" s="90">
        <v>1</v>
      </c>
      <c r="I14" s="91">
        <v>0.97929999999999995</v>
      </c>
    </row>
    <row r="15" spans="3:9">
      <c r="C15" s="43" t="s">
        <v>50</v>
      </c>
      <c r="D15" s="46">
        <v>0.99820999999999993</v>
      </c>
      <c r="E15" s="46">
        <v>0.99462000000000006</v>
      </c>
      <c r="G15" s="43" t="s">
        <v>50</v>
      </c>
      <c r="H15" s="62">
        <v>1</v>
      </c>
      <c r="I15" s="62">
        <v>1</v>
      </c>
    </row>
    <row r="16" spans="3:9">
      <c r="C16" s="43" t="s">
        <v>51</v>
      </c>
      <c r="D16" s="46">
        <v>1</v>
      </c>
      <c r="E16" s="46">
        <v>1</v>
      </c>
      <c r="G16" s="43" t="s">
        <v>51</v>
      </c>
      <c r="H16" s="62">
        <v>1</v>
      </c>
      <c r="I16" s="46">
        <v>0.98499999999999999</v>
      </c>
    </row>
    <row r="17" spans="3:12">
      <c r="C17" s="43" t="s">
        <v>52</v>
      </c>
      <c r="D17" s="46">
        <v>1</v>
      </c>
      <c r="E17" s="46">
        <v>0.99820999999999993</v>
      </c>
      <c r="G17" s="43" t="s">
        <v>52</v>
      </c>
      <c r="H17" s="46">
        <v>0.98167000000000004</v>
      </c>
      <c r="I17" s="46">
        <v>1</v>
      </c>
    </row>
    <row r="18" spans="3:12">
      <c r="C18" s="56" t="s">
        <v>53</v>
      </c>
      <c r="D18" s="52">
        <f>AVERAGE(D6:D17)</f>
        <v>0.98852833333333334</v>
      </c>
      <c r="E18" s="52">
        <f>AVERAGE(E6:E17)</f>
        <v>0.99880500000000005</v>
      </c>
      <c r="G18" s="56" t="s">
        <v>53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24" t="s">
        <v>54</v>
      </c>
      <c r="D20" s="225"/>
      <c r="E20" s="226"/>
      <c r="G20" s="221" t="s">
        <v>55</v>
      </c>
      <c r="H20" s="227"/>
      <c r="I20" s="222"/>
      <c r="K20" s="221" t="s">
        <v>55</v>
      </c>
      <c r="L20" s="222"/>
    </row>
    <row r="21" spans="3:12">
      <c r="C21" s="1"/>
      <c r="D21" s="42" t="s">
        <v>36</v>
      </c>
      <c r="E21" s="42" t="s">
        <v>22</v>
      </c>
      <c r="G21" s="1"/>
      <c r="H21" s="42" t="s">
        <v>36</v>
      </c>
      <c r="I21" s="42" t="s">
        <v>22</v>
      </c>
      <c r="K21" s="1"/>
      <c r="L21" s="42" t="s">
        <v>37</v>
      </c>
    </row>
    <row r="22" spans="3:12">
      <c r="C22" s="43" t="s">
        <v>41</v>
      </c>
      <c r="D22" s="62">
        <v>1</v>
      </c>
      <c r="E22" s="62">
        <v>1</v>
      </c>
      <c r="G22" s="43" t="s">
        <v>41</v>
      </c>
      <c r="H22" s="62">
        <v>1</v>
      </c>
      <c r="I22" s="62">
        <v>0.99860000000000004</v>
      </c>
      <c r="K22" s="43" t="s">
        <v>41</v>
      </c>
      <c r="L22" s="62">
        <v>0.9647</v>
      </c>
    </row>
    <row r="23" spans="3:12">
      <c r="C23" s="43" t="s">
        <v>42</v>
      </c>
      <c r="D23" s="62">
        <v>1</v>
      </c>
      <c r="E23" s="62">
        <v>0.99867000000000006</v>
      </c>
      <c r="G23" s="43" t="s">
        <v>42</v>
      </c>
      <c r="H23" s="62">
        <v>1</v>
      </c>
      <c r="I23" s="62">
        <v>0.99960000000000004</v>
      </c>
      <c r="K23" s="43" t="s">
        <v>42</v>
      </c>
      <c r="L23" s="62">
        <v>0.82140000000000002</v>
      </c>
    </row>
    <row r="24" spans="3:12">
      <c r="C24" s="43" t="s">
        <v>43</v>
      </c>
      <c r="D24" s="62">
        <v>1</v>
      </c>
      <c r="E24" s="62">
        <v>1</v>
      </c>
      <c r="G24" s="43" t="s">
        <v>43</v>
      </c>
      <c r="H24" s="62">
        <v>1</v>
      </c>
      <c r="I24" s="62">
        <v>1</v>
      </c>
      <c r="K24" s="43" t="s">
        <v>43</v>
      </c>
      <c r="L24" s="62">
        <v>1</v>
      </c>
    </row>
    <row r="25" spans="3:12">
      <c r="C25" s="43" t="s">
        <v>44</v>
      </c>
      <c r="D25" s="62">
        <v>1</v>
      </c>
      <c r="E25" s="62">
        <v>1</v>
      </c>
      <c r="G25" s="43" t="s">
        <v>44</v>
      </c>
      <c r="H25" s="62">
        <v>1</v>
      </c>
      <c r="I25" s="62">
        <v>1</v>
      </c>
      <c r="K25" s="43" t="s">
        <v>44</v>
      </c>
      <c r="L25" s="62">
        <v>1</v>
      </c>
    </row>
    <row r="26" spans="3:12">
      <c r="C26" s="43" t="s">
        <v>45</v>
      </c>
      <c r="D26" s="62">
        <v>0.99953999999999998</v>
      </c>
      <c r="E26" s="62">
        <v>0.99919000000000002</v>
      </c>
      <c r="G26" s="43" t="s">
        <v>45</v>
      </c>
      <c r="H26" s="62">
        <v>1</v>
      </c>
      <c r="I26" s="62">
        <v>1</v>
      </c>
      <c r="K26" s="43" t="s">
        <v>45</v>
      </c>
      <c r="L26" s="62">
        <v>1</v>
      </c>
    </row>
    <row r="27" spans="3:12">
      <c r="C27" s="43" t="s">
        <v>46</v>
      </c>
      <c r="D27" s="62">
        <v>1</v>
      </c>
      <c r="E27" s="62">
        <v>1</v>
      </c>
      <c r="G27" s="43" t="s">
        <v>46</v>
      </c>
      <c r="H27" s="62">
        <v>1</v>
      </c>
      <c r="I27" s="62">
        <v>0.88139999999999996</v>
      </c>
      <c r="K27" s="43" t="s">
        <v>46</v>
      </c>
      <c r="L27" s="136">
        <v>1</v>
      </c>
    </row>
    <row r="28" spans="3:12">
      <c r="C28" s="43" t="s">
        <v>47</v>
      </c>
      <c r="D28" s="62">
        <v>1</v>
      </c>
      <c r="E28" s="62">
        <v>1</v>
      </c>
      <c r="G28" s="43" t="s">
        <v>47</v>
      </c>
      <c r="H28" s="62">
        <v>0.99544999999999995</v>
      </c>
      <c r="I28" s="62">
        <v>1</v>
      </c>
      <c r="K28" s="43" t="s">
        <v>47</v>
      </c>
      <c r="L28" s="136">
        <v>1</v>
      </c>
    </row>
    <row r="29" spans="3:12">
      <c r="C29" s="43" t="s">
        <v>48</v>
      </c>
      <c r="D29" s="62">
        <v>1</v>
      </c>
      <c r="E29" s="62">
        <v>0.99942999999999993</v>
      </c>
      <c r="G29" s="43" t="s">
        <v>48</v>
      </c>
      <c r="H29" s="62">
        <v>1</v>
      </c>
      <c r="I29" s="62">
        <v>1</v>
      </c>
      <c r="K29" s="43" t="s">
        <v>48</v>
      </c>
      <c r="L29" s="62">
        <v>0.98</v>
      </c>
    </row>
    <row r="30" spans="3:12">
      <c r="C30" s="43" t="s">
        <v>49</v>
      </c>
      <c r="D30" s="62">
        <v>1</v>
      </c>
      <c r="E30" s="62">
        <v>1</v>
      </c>
      <c r="G30" s="43" t="s">
        <v>49</v>
      </c>
      <c r="H30" s="62">
        <v>1</v>
      </c>
      <c r="I30" s="62">
        <v>1</v>
      </c>
      <c r="K30" s="43" t="s">
        <v>49</v>
      </c>
      <c r="L30" s="62">
        <v>1</v>
      </c>
    </row>
    <row r="31" spans="3:12">
      <c r="C31" s="43" t="s">
        <v>50</v>
      </c>
      <c r="D31" s="46">
        <v>1</v>
      </c>
      <c r="E31" s="46">
        <v>0.99968000000000001</v>
      </c>
      <c r="G31" s="43" t="s">
        <v>50</v>
      </c>
      <c r="H31" s="62">
        <v>0.99950000000000006</v>
      </c>
      <c r="I31" s="62">
        <v>1</v>
      </c>
      <c r="K31" s="43" t="s">
        <v>50</v>
      </c>
      <c r="L31" s="62">
        <v>1</v>
      </c>
    </row>
    <row r="32" spans="3:12">
      <c r="C32" s="43" t="s">
        <v>51</v>
      </c>
      <c r="D32" s="46">
        <v>1</v>
      </c>
      <c r="E32" s="46">
        <v>0.99951999999999996</v>
      </c>
      <c r="G32" s="43" t="s">
        <v>51</v>
      </c>
      <c r="H32" s="62">
        <v>1</v>
      </c>
      <c r="I32" s="46" t="s">
        <v>56</v>
      </c>
      <c r="K32" s="43" t="s">
        <v>51</v>
      </c>
      <c r="L32" s="142">
        <v>0.96</v>
      </c>
    </row>
    <row r="33" spans="3:12">
      <c r="C33" s="43" t="s">
        <v>52</v>
      </c>
      <c r="D33" s="46">
        <v>1</v>
      </c>
      <c r="E33" s="46">
        <v>1</v>
      </c>
      <c r="G33" s="43" t="s">
        <v>52</v>
      </c>
      <c r="H33" s="46">
        <v>1</v>
      </c>
      <c r="I33" s="46">
        <v>1</v>
      </c>
      <c r="K33" s="43" t="s">
        <v>52</v>
      </c>
      <c r="L33" s="46">
        <v>1</v>
      </c>
    </row>
    <row r="34" spans="3:12">
      <c r="C34" s="56" t="s">
        <v>53</v>
      </c>
      <c r="D34" s="52">
        <f>AVERAGE(D22:D33)</f>
        <v>0.99996166666666664</v>
      </c>
      <c r="E34" s="52">
        <f>AVERAGE(E22:E33)</f>
        <v>0.99970749999999997</v>
      </c>
      <c r="G34" s="56" t="s">
        <v>53</v>
      </c>
      <c r="H34" s="52">
        <f>AVERAGE(H22:H33)</f>
        <v>0.99957916666666657</v>
      </c>
      <c r="I34" s="52">
        <f>AVERAGE(I22:I33)</f>
        <v>0.98905454545454541</v>
      </c>
      <c r="K34" s="56" t="s">
        <v>53</v>
      </c>
      <c r="L34" s="52">
        <f>AVERAGE(L22:L33)</f>
        <v>0.9771749999999999</v>
      </c>
    </row>
    <row r="36" spans="3:12">
      <c r="C36" s="223" t="s">
        <v>57</v>
      </c>
      <c r="D36" s="223"/>
      <c r="E36" s="223"/>
      <c r="F36" s="223"/>
      <c r="H36" s="223" t="s">
        <v>58</v>
      </c>
      <c r="I36" s="223"/>
      <c r="J36" s="223"/>
      <c r="K36" s="223"/>
    </row>
    <row r="37" spans="3:12">
      <c r="C37" s="1"/>
      <c r="D37" s="42" t="s">
        <v>36</v>
      </c>
      <c r="E37" s="42" t="s">
        <v>22</v>
      </c>
      <c r="F37" s="42" t="s">
        <v>37</v>
      </c>
      <c r="H37" s="1"/>
      <c r="I37" s="42" t="s">
        <v>36</v>
      </c>
      <c r="J37" s="42" t="s">
        <v>22</v>
      </c>
      <c r="K37" s="42" t="s">
        <v>37</v>
      </c>
    </row>
    <row r="38" spans="3:12">
      <c r="C38" s="43" t="s">
        <v>41</v>
      </c>
      <c r="D38" s="62">
        <v>1</v>
      </c>
      <c r="E38" s="62">
        <v>0.98660000000000003</v>
      </c>
      <c r="F38" s="62">
        <v>1</v>
      </c>
      <c r="H38" s="43" t="s">
        <v>41</v>
      </c>
      <c r="I38" s="62">
        <v>0.99419999999999997</v>
      </c>
      <c r="J38" s="62">
        <v>0.99180000000000001</v>
      </c>
      <c r="K38" s="62">
        <v>0.99429999999999996</v>
      </c>
    </row>
    <row r="39" spans="3:12">
      <c r="C39" s="43" t="s">
        <v>42</v>
      </c>
      <c r="D39" s="62">
        <v>0.99970000000000003</v>
      </c>
      <c r="E39" s="62">
        <v>1</v>
      </c>
      <c r="F39" s="62">
        <v>0.99809999999999999</v>
      </c>
      <c r="H39" s="43" t="s">
        <v>42</v>
      </c>
      <c r="I39" s="62">
        <v>0.99970000000000003</v>
      </c>
      <c r="J39" s="62">
        <v>0.98819999999999997</v>
      </c>
      <c r="K39" s="62">
        <v>1</v>
      </c>
    </row>
    <row r="40" spans="3:12">
      <c r="C40" s="43" t="s">
        <v>43</v>
      </c>
      <c r="D40" s="62">
        <v>1</v>
      </c>
      <c r="E40" s="62">
        <v>1</v>
      </c>
      <c r="F40" s="62">
        <v>0.99750000000000005</v>
      </c>
      <c r="H40" s="43" t="s">
        <v>43</v>
      </c>
      <c r="I40" s="62">
        <v>1</v>
      </c>
      <c r="J40" s="62">
        <v>1</v>
      </c>
      <c r="K40" s="62">
        <v>1</v>
      </c>
    </row>
    <row r="41" spans="3:12">
      <c r="C41" s="43" t="s">
        <v>44</v>
      </c>
      <c r="D41" s="62">
        <v>1</v>
      </c>
      <c r="E41" s="62">
        <v>1</v>
      </c>
      <c r="F41" s="62">
        <v>1</v>
      </c>
      <c r="H41" s="43" t="s">
        <v>44</v>
      </c>
      <c r="I41" s="62"/>
      <c r="J41" s="62"/>
      <c r="K41" s="62"/>
    </row>
    <row r="42" spans="3:12">
      <c r="C42" s="43" t="s">
        <v>45</v>
      </c>
      <c r="D42" s="62">
        <v>1</v>
      </c>
      <c r="E42" s="62">
        <v>1</v>
      </c>
      <c r="F42" s="62">
        <v>1</v>
      </c>
      <c r="H42" s="43" t="s">
        <v>45</v>
      </c>
      <c r="I42" s="62"/>
      <c r="J42" s="62"/>
      <c r="K42" s="62"/>
    </row>
    <row r="43" spans="3:12">
      <c r="C43" s="43" t="s">
        <v>46</v>
      </c>
      <c r="D43" s="62">
        <v>1</v>
      </c>
      <c r="E43" s="62">
        <v>1</v>
      </c>
      <c r="F43" s="62">
        <v>1</v>
      </c>
      <c r="H43" s="43" t="s">
        <v>46</v>
      </c>
      <c r="I43" s="62"/>
      <c r="J43" s="62"/>
      <c r="K43" s="62"/>
    </row>
    <row r="44" spans="3:12">
      <c r="C44" s="43" t="s">
        <v>47</v>
      </c>
      <c r="D44" s="62">
        <v>1</v>
      </c>
      <c r="E44" s="149">
        <v>1</v>
      </c>
      <c r="F44" s="62">
        <v>1</v>
      </c>
      <c r="H44" s="43" t="s">
        <v>47</v>
      </c>
      <c r="I44" s="62"/>
      <c r="J44" s="149"/>
      <c r="K44" s="62"/>
    </row>
    <row r="45" spans="3:12">
      <c r="C45" s="43" t="s">
        <v>48</v>
      </c>
      <c r="D45" s="62">
        <v>0.98780000000000001</v>
      </c>
      <c r="E45" s="149">
        <v>1</v>
      </c>
      <c r="F45" s="62">
        <v>1</v>
      </c>
      <c r="H45" s="43" t="s">
        <v>48</v>
      </c>
      <c r="I45" s="62"/>
      <c r="J45" s="149"/>
      <c r="K45" s="62"/>
    </row>
    <row r="46" spans="3:12">
      <c r="C46" s="43" t="s">
        <v>49</v>
      </c>
      <c r="D46" s="62">
        <v>1</v>
      </c>
      <c r="E46" s="149">
        <v>1</v>
      </c>
      <c r="F46" s="62">
        <v>1</v>
      </c>
      <c r="H46" s="43" t="s">
        <v>49</v>
      </c>
      <c r="I46" s="62"/>
      <c r="J46" s="149"/>
      <c r="K46" s="62"/>
    </row>
    <row r="47" spans="3:12">
      <c r="C47" s="43" t="s">
        <v>50</v>
      </c>
      <c r="D47" s="62">
        <v>1</v>
      </c>
      <c r="E47" s="62">
        <v>1</v>
      </c>
      <c r="F47" s="62">
        <v>0.97189999999999999</v>
      </c>
      <c r="H47" s="43" t="s">
        <v>50</v>
      </c>
      <c r="I47" s="62"/>
      <c r="J47" s="62"/>
      <c r="K47" s="62"/>
    </row>
    <row r="48" spans="3:12">
      <c r="C48" s="43" t="s">
        <v>51</v>
      </c>
      <c r="D48" s="62">
        <v>1</v>
      </c>
      <c r="E48" s="46">
        <v>1</v>
      </c>
      <c r="F48" s="62">
        <v>0.99109999999999998</v>
      </c>
      <c r="H48" s="43" t="s">
        <v>51</v>
      </c>
      <c r="I48" s="62"/>
      <c r="J48" s="46"/>
      <c r="K48" s="62"/>
    </row>
    <row r="49" spans="3:11">
      <c r="C49" s="43" t="s">
        <v>52</v>
      </c>
      <c r="D49" s="46">
        <v>0.99750000000000005</v>
      </c>
      <c r="E49" s="46">
        <v>1</v>
      </c>
      <c r="F49" s="46">
        <v>1</v>
      </c>
      <c r="H49" s="43" t="s">
        <v>52</v>
      </c>
      <c r="I49" s="46"/>
      <c r="J49" s="46"/>
      <c r="K49" s="46"/>
    </row>
    <row r="50" spans="3:11">
      <c r="C50" s="56" t="s">
        <v>53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53</v>
      </c>
      <c r="I50" s="52">
        <f>AVERAGE(I38:I49)</f>
        <v>0.99796666666666667</v>
      </c>
      <c r="J50" s="52">
        <f>AVERAGE(J38:J49)</f>
        <v>0.99333333333333329</v>
      </c>
      <c r="K50" s="52">
        <f>AVERAGE(K38:K49)</f>
        <v>0.99809999999999999</v>
      </c>
    </row>
  </sheetData>
  <mergeCells count="7"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09"/>
  <sheetViews>
    <sheetView topLeftCell="A85" zoomScaleNormal="100" workbookViewId="0">
      <selection activeCell="R100" sqref="R100"/>
    </sheetView>
  </sheetViews>
  <sheetFormatPr defaultColWidth="9.140625" defaultRowHeight="1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28" t="s">
        <v>59</v>
      </c>
      <c r="D4" s="229"/>
      <c r="E4" s="229"/>
      <c r="F4" s="229"/>
      <c r="G4" s="229"/>
      <c r="H4" s="229"/>
      <c r="I4" s="229"/>
      <c r="J4" s="77"/>
      <c r="K4" s="77"/>
      <c r="L4" s="78"/>
    </row>
    <row r="5" spans="3:12" ht="15.75">
      <c r="C5" s="42"/>
      <c r="D5" s="234" t="s">
        <v>36</v>
      </c>
      <c r="E5" s="235"/>
      <c r="F5" s="236"/>
      <c r="G5" s="234" t="s">
        <v>22</v>
      </c>
      <c r="H5" s="235"/>
      <c r="I5" s="236"/>
      <c r="J5" s="231" t="s">
        <v>60</v>
      </c>
      <c r="K5" s="232"/>
      <c r="L5" s="233"/>
    </row>
    <row r="6" spans="3:12">
      <c r="C6" s="42"/>
      <c r="D6" s="42" t="s">
        <v>61</v>
      </c>
      <c r="E6" s="42" t="s">
        <v>62</v>
      </c>
      <c r="F6" s="42" t="s">
        <v>63</v>
      </c>
      <c r="G6" s="42" t="s">
        <v>61</v>
      </c>
      <c r="H6" s="42" t="s">
        <v>62</v>
      </c>
      <c r="I6" s="42" t="s">
        <v>63</v>
      </c>
      <c r="J6" s="49" t="s">
        <v>61</v>
      </c>
      <c r="K6" s="49" t="s">
        <v>62</v>
      </c>
      <c r="L6" s="49" t="s">
        <v>63</v>
      </c>
    </row>
    <row r="7" spans="3:12">
      <c r="C7" s="47" t="s">
        <v>41</v>
      </c>
      <c r="D7" s="86" t="s">
        <v>64</v>
      </c>
      <c r="E7" s="86" t="s">
        <v>64</v>
      </c>
      <c r="F7" s="86" t="s">
        <v>64</v>
      </c>
      <c r="G7" s="86" t="s">
        <v>64</v>
      </c>
      <c r="H7" s="86" t="s">
        <v>64</v>
      </c>
      <c r="I7" s="86" t="s">
        <v>64</v>
      </c>
      <c r="J7" s="86" t="s">
        <v>64</v>
      </c>
      <c r="K7" s="86" t="s">
        <v>64</v>
      </c>
      <c r="L7" s="86" t="s">
        <v>64</v>
      </c>
    </row>
    <row r="8" spans="3:12">
      <c r="C8" s="47" t="s">
        <v>42</v>
      </c>
      <c r="D8" s="86" t="s">
        <v>64</v>
      </c>
      <c r="E8" s="86" t="s">
        <v>64</v>
      </c>
      <c r="F8" s="86" t="s">
        <v>64</v>
      </c>
      <c r="G8" s="86" t="s">
        <v>64</v>
      </c>
      <c r="H8" s="86" t="s">
        <v>64</v>
      </c>
      <c r="I8" s="86" t="s">
        <v>64</v>
      </c>
      <c r="J8" s="86" t="s">
        <v>64</v>
      </c>
      <c r="K8" s="86" t="s">
        <v>64</v>
      </c>
      <c r="L8" s="86" t="s">
        <v>64</v>
      </c>
    </row>
    <row r="9" spans="3:12">
      <c r="C9" s="47" t="s">
        <v>43</v>
      </c>
      <c r="D9" s="86" t="s">
        <v>64</v>
      </c>
      <c r="E9" s="86" t="s">
        <v>64</v>
      </c>
      <c r="F9" s="86" t="s">
        <v>64</v>
      </c>
      <c r="G9" s="86" t="s">
        <v>64</v>
      </c>
      <c r="H9" s="86" t="s">
        <v>64</v>
      </c>
      <c r="I9" s="86" t="s">
        <v>64</v>
      </c>
      <c r="J9" s="86" t="s">
        <v>64</v>
      </c>
      <c r="K9" s="86" t="s">
        <v>64</v>
      </c>
      <c r="L9" s="86" t="s">
        <v>64</v>
      </c>
    </row>
    <row r="10" spans="3:12">
      <c r="C10" s="47" t="s">
        <v>44</v>
      </c>
      <c r="D10" s="86" t="s">
        <v>64</v>
      </c>
      <c r="E10" s="86" t="s">
        <v>64</v>
      </c>
      <c r="F10" s="86" t="s">
        <v>64</v>
      </c>
      <c r="G10" s="86" t="s">
        <v>64</v>
      </c>
      <c r="H10" s="86" t="s">
        <v>64</v>
      </c>
      <c r="I10" s="86" t="s">
        <v>64</v>
      </c>
      <c r="J10" s="86" t="s">
        <v>64</v>
      </c>
      <c r="K10" s="86" t="s">
        <v>64</v>
      </c>
      <c r="L10" s="86" t="s">
        <v>64</v>
      </c>
    </row>
    <row r="11" spans="3:12">
      <c r="C11" s="47" t="s">
        <v>45</v>
      </c>
      <c r="D11" s="86" t="s">
        <v>64</v>
      </c>
      <c r="E11" s="86" t="s">
        <v>64</v>
      </c>
      <c r="F11" s="86" t="s">
        <v>64</v>
      </c>
      <c r="G11" s="86" t="s">
        <v>64</v>
      </c>
      <c r="H11" s="86" t="s">
        <v>64</v>
      </c>
      <c r="I11" s="86" t="s">
        <v>64</v>
      </c>
      <c r="J11" s="86" t="s">
        <v>64</v>
      </c>
      <c r="K11" s="86" t="s">
        <v>64</v>
      </c>
      <c r="L11" s="86" t="s">
        <v>64</v>
      </c>
    </row>
    <row r="12" spans="3:12">
      <c r="C12" s="47" t="s">
        <v>46</v>
      </c>
      <c r="D12" s="86" t="s">
        <v>64</v>
      </c>
      <c r="E12" s="86" t="s">
        <v>64</v>
      </c>
      <c r="F12" s="86" t="s">
        <v>64</v>
      </c>
      <c r="G12" s="86" t="s">
        <v>64</v>
      </c>
      <c r="H12" s="86" t="s">
        <v>64</v>
      </c>
      <c r="I12" s="86" t="s">
        <v>64</v>
      </c>
      <c r="J12" s="86" t="s">
        <v>64</v>
      </c>
      <c r="K12" s="86" t="s">
        <v>64</v>
      </c>
      <c r="L12" s="86" t="s">
        <v>64</v>
      </c>
    </row>
    <row r="13" spans="3:12">
      <c r="C13" s="47" t="s">
        <v>47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48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64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49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64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50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51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52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65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28" t="s">
        <v>66</v>
      </c>
      <c r="D22" s="229"/>
      <c r="E22" s="229"/>
      <c r="F22" s="229"/>
      <c r="G22" s="229"/>
      <c r="H22" s="229"/>
      <c r="I22" s="229"/>
      <c r="J22" s="77"/>
      <c r="K22" s="77"/>
      <c r="L22" s="78"/>
    </row>
    <row r="23" spans="3:12" ht="15.75">
      <c r="C23" s="42"/>
      <c r="D23" s="234" t="s">
        <v>36</v>
      </c>
      <c r="E23" s="235"/>
      <c r="F23" s="236"/>
      <c r="G23" s="234" t="s">
        <v>22</v>
      </c>
      <c r="H23" s="235"/>
      <c r="I23" s="236"/>
      <c r="J23" s="231" t="s">
        <v>60</v>
      </c>
      <c r="K23" s="232"/>
      <c r="L23" s="233"/>
    </row>
    <row r="24" spans="3:12">
      <c r="C24" s="42"/>
      <c r="D24" s="42" t="s">
        <v>61</v>
      </c>
      <c r="E24" s="42" t="s">
        <v>62</v>
      </c>
      <c r="F24" s="42" t="s">
        <v>63</v>
      </c>
      <c r="G24" s="42" t="s">
        <v>61</v>
      </c>
      <c r="H24" s="42" t="s">
        <v>62</v>
      </c>
      <c r="I24" s="42" t="s">
        <v>63</v>
      </c>
      <c r="J24" s="49" t="s">
        <v>61</v>
      </c>
      <c r="K24" s="49" t="s">
        <v>62</v>
      </c>
      <c r="L24" s="49" t="s">
        <v>63</v>
      </c>
    </row>
    <row r="25" spans="3:12">
      <c r="C25" s="47" t="s">
        <v>41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42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43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44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45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46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47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48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49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50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51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52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65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28" t="s">
        <v>67</v>
      </c>
      <c r="D40" s="229"/>
      <c r="E40" s="229"/>
      <c r="F40" s="229"/>
      <c r="G40" s="229"/>
      <c r="H40" s="229"/>
      <c r="I40" s="229"/>
      <c r="J40" s="77"/>
      <c r="K40" s="77"/>
      <c r="L40" s="78"/>
    </row>
    <row r="41" spans="3:43" ht="15.75">
      <c r="C41" s="42"/>
      <c r="D41" s="234" t="s">
        <v>36</v>
      </c>
      <c r="E41" s="235"/>
      <c r="F41" s="236"/>
      <c r="G41" s="234" t="s">
        <v>22</v>
      </c>
      <c r="H41" s="235"/>
      <c r="I41" s="236"/>
      <c r="J41" s="231" t="s">
        <v>60</v>
      </c>
      <c r="K41" s="232"/>
      <c r="L41" s="233"/>
    </row>
    <row r="42" spans="3:43">
      <c r="C42" s="42"/>
      <c r="D42" s="42" t="s">
        <v>61</v>
      </c>
      <c r="E42" s="42" t="s">
        <v>62</v>
      </c>
      <c r="F42" s="42" t="s">
        <v>63</v>
      </c>
      <c r="G42" s="42" t="s">
        <v>61</v>
      </c>
      <c r="H42" s="42" t="s">
        <v>62</v>
      </c>
      <c r="I42" s="42" t="s">
        <v>63</v>
      </c>
      <c r="J42" s="49" t="s">
        <v>61</v>
      </c>
      <c r="K42" s="49" t="s">
        <v>62</v>
      </c>
      <c r="L42" s="49" t="s">
        <v>63</v>
      </c>
    </row>
    <row r="43" spans="3:43">
      <c r="C43" s="47" t="s">
        <v>41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42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43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44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45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46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47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7"/>
      <c r="AO49" s="237"/>
      <c r="AP49" s="237"/>
      <c r="AQ49" s="237"/>
    </row>
    <row r="50" spans="3:43" ht="15.75">
      <c r="C50" s="47" t="s">
        <v>48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38"/>
      <c r="AP50" s="238"/>
      <c r="AQ50" s="238"/>
    </row>
    <row r="51" spans="3:43">
      <c r="C51" s="47" t="s">
        <v>49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>
      <c r="C52" s="47" t="s">
        <v>50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>
      <c r="C53" s="47" t="s">
        <v>51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>
      <c r="C54" s="47" t="s">
        <v>52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>
      <c r="C55" s="49" t="s">
        <v>65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28" t="s">
        <v>68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75">
      <c r="C59" s="42"/>
      <c r="D59" s="231" t="s">
        <v>36</v>
      </c>
      <c r="E59" s="232"/>
      <c r="F59" s="233"/>
      <c r="G59" s="231" t="s">
        <v>22</v>
      </c>
      <c r="H59" s="232"/>
      <c r="I59" s="233"/>
      <c r="J59" s="231" t="s">
        <v>37</v>
      </c>
      <c r="K59" s="232"/>
      <c r="L59" s="233"/>
      <c r="M59" s="231" t="s">
        <v>60</v>
      </c>
      <c r="N59" s="232"/>
      <c r="O59" s="233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61</v>
      </c>
      <c r="E60" s="42" t="s">
        <v>62</v>
      </c>
      <c r="F60" s="42" t="s">
        <v>63</v>
      </c>
      <c r="G60" s="42" t="s">
        <v>61</v>
      </c>
      <c r="H60" s="42" t="s">
        <v>62</v>
      </c>
      <c r="I60" s="42" t="s">
        <v>63</v>
      </c>
      <c r="J60" s="42" t="s">
        <v>61</v>
      </c>
      <c r="K60" s="42" t="s">
        <v>62</v>
      </c>
      <c r="L60" s="42" t="s">
        <v>63</v>
      </c>
      <c r="M60" s="49" t="s">
        <v>61</v>
      </c>
      <c r="N60" s="49" t="s">
        <v>62</v>
      </c>
      <c r="O60" s="49" t="s">
        <v>63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41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42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43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44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45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46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47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48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49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50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51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52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65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28" t="s">
        <v>69</v>
      </c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30"/>
    </row>
    <row r="77" spans="3:43" ht="15.75">
      <c r="C77" s="42"/>
      <c r="D77" s="231" t="s">
        <v>36</v>
      </c>
      <c r="E77" s="232"/>
      <c r="F77" s="233"/>
      <c r="G77" s="231" t="s">
        <v>22</v>
      </c>
      <c r="H77" s="232"/>
      <c r="I77" s="233"/>
      <c r="J77" s="231" t="s">
        <v>37</v>
      </c>
      <c r="K77" s="232"/>
      <c r="L77" s="233"/>
      <c r="M77" s="231" t="s">
        <v>60</v>
      </c>
      <c r="N77" s="232"/>
      <c r="O77" s="233"/>
    </row>
    <row r="78" spans="3:43">
      <c r="C78" s="42"/>
      <c r="D78" s="42" t="s">
        <v>61</v>
      </c>
      <c r="E78" s="42" t="s">
        <v>62</v>
      </c>
      <c r="F78" s="42" t="s">
        <v>63</v>
      </c>
      <c r="G78" s="42" t="s">
        <v>61</v>
      </c>
      <c r="H78" s="42" t="s">
        <v>62</v>
      </c>
      <c r="I78" s="42" t="s">
        <v>63</v>
      </c>
      <c r="J78" s="42" t="s">
        <v>61</v>
      </c>
      <c r="K78" s="42" t="s">
        <v>62</v>
      </c>
      <c r="L78" s="42" t="s">
        <v>63</v>
      </c>
      <c r="M78" s="49" t="s">
        <v>61</v>
      </c>
      <c r="N78" s="49" t="s">
        <v>62</v>
      </c>
      <c r="O78" s="49" t="s">
        <v>63</v>
      </c>
    </row>
    <row r="79" spans="3:43">
      <c r="C79" s="47" t="s">
        <v>41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>
      <c r="C80" s="47" t="s">
        <v>42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43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70</v>
      </c>
    </row>
    <row r="82" spans="3:16">
      <c r="C82" s="47" t="s">
        <v>44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45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46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47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48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49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50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51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>
      <c r="C90" s="47" t="s">
        <v>52</v>
      </c>
      <c r="D90" s="86">
        <f>Smithfield!J6</f>
        <v>404018.25</v>
      </c>
      <c r="E90" s="86">
        <v>200509</v>
      </c>
      <c r="F90" s="46">
        <f t="shared" si="29"/>
        <v>2.014963168735568</v>
      </c>
      <c r="G90" s="86">
        <f>Merrimack!J6</f>
        <v>304936.25099999999</v>
      </c>
      <c r="H90" s="86">
        <v>186514</v>
      </c>
      <c r="I90" s="46">
        <f>G90/H90</f>
        <v>1.6349241933581393</v>
      </c>
      <c r="J90" s="86">
        <f>Westlake!J6</f>
        <v>537723</v>
      </c>
      <c r="K90" s="86">
        <v>250803</v>
      </c>
      <c r="L90" s="46">
        <f t="shared" si="31"/>
        <v>2.1440054544802094</v>
      </c>
      <c r="M90" s="50">
        <f t="shared" si="35"/>
        <v>1246677.5009999999</v>
      </c>
      <c r="N90" s="50">
        <f t="shared" si="34"/>
        <v>637826</v>
      </c>
      <c r="O90" s="51">
        <f t="shared" si="32"/>
        <v>1.9545730355927791</v>
      </c>
    </row>
    <row r="91" spans="3:16">
      <c r="C91" s="49" t="s">
        <v>65</v>
      </c>
      <c r="D91" s="53">
        <f>SUM(D79:D90)</f>
        <v>4668193.95</v>
      </c>
      <c r="E91" s="53">
        <f>SUM(E79:E90)</f>
        <v>4199996.8692999994</v>
      </c>
      <c r="F91" s="55">
        <f>D91/E91</f>
        <v>1.1114755784991892</v>
      </c>
      <c r="G91" s="53">
        <f>SUM(G79:G90)</f>
        <v>3664468.5959999999</v>
      </c>
      <c r="H91" s="53">
        <f>SUM(H79:H90)</f>
        <v>3528167.0586000006</v>
      </c>
      <c r="I91" s="55">
        <f t="shared" ref="I91" si="36">G91/H91</f>
        <v>1.0386323932898134</v>
      </c>
      <c r="J91" s="53">
        <f>SUM(J79:J90)</f>
        <v>5676861.0000000009</v>
      </c>
      <c r="K91" s="53">
        <f>SUM(K79:K90)</f>
        <v>5141104.1964999996</v>
      </c>
      <c r="L91" s="55">
        <f>J91/K91</f>
        <v>1.1042104542181304</v>
      </c>
      <c r="M91" s="54">
        <f t="shared" si="35"/>
        <v>14009523.546</v>
      </c>
      <c r="N91" s="54">
        <f t="shared" si="34"/>
        <v>12869268.124399999</v>
      </c>
      <c r="O91" s="55">
        <f t="shared" ref="O91" si="37">M91/N91</f>
        <v>1.0886029734230254</v>
      </c>
    </row>
    <row r="94" spans="3:16">
      <c r="C94" s="228" t="s">
        <v>69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30"/>
    </row>
    <row r="95" spans="3:16" ht="15.75">
      <c r="C95" s="42"/>
      <c r="D95" s="231" t="s">
        <v>36</v>
      </c>
      <c r="E95" s="232"/>
      <c r="F95" s="233"/>
      <c r="G95" s="231" t="s">
        <v>22</v>
      </c>
      <c r="H95" s="232"/>
      <c r="I95" s="233"/>
      <c r="J95" s="231" t="s">
        <v>37</v>
      </c>
      <c r="K95" s="232"/>
      <c r="L95" s="233"/>
      <c r="M95" s="231" t="s">
        <v>60</v>
      </c>
      <c r="N95" s="232"/>
      <c r="O95" s="233"/>
    </row>
    <row r="96" spans="3:16">
      <c r="C96" s="42"/>
      <c r="D96" s="42" t="s">
        <v>61</v>
      </c>
      <c r="E96" s="42" t="s">
        <v>62</v>
      </c>
      <c r="F96" s="42" t="s">
        <v>63</v>
      </c>
      <c r="G96" s="42" t="s">
        <v>61</v>
      </c>
      <c r="H96" s="42" t="s">
        <v>62</v>
      </c>
      <c r="I96" s="42" t="s">
        <v>63</v>
      </c>
      <c r="J96" s="42" t="s">
        <v>61</v>
      </c>
      <c r="K96" s="42" t="s">
        <v>62</v>
      </c>
      <c r="L96" s="42" t="s">
        <v>63</v>
      </c>
      <c r="M96" s="49" t="s">
        <v>61</v>
      </c>
      <c r="N96" s="49" t="s">
        <v>62</v>
      </c>
      <c r="O96" s="49" t="s">
        <v>63</v>
      </c>
    </row>
    <row r="97" spans="3:15">
      <c r="C97" s="47" t="s">
        <v>41</v>
      </c>
      <c r="D97" s="48">
        <v>194299.75</v>
      </c>
      <c r="E97" s="48">
        <v>261206.57600000006</v>
      </c>
      <c r="F97" s="46">
        <f t="shared" ref="F97:F99" si="38">D97/E97</f>
        <v>0.74385474123744866</v>
      </c>
      <c r="G97" s="48">
        <v>152720.45000000001</v>
      </c>
      <c r="H97" s="48">
        <v>225291.31930000006</v>
      </c>
      <c r="I97" s="46">
        <f t="shared" ref="I97:I99" si="39">G97/H97</f>
        <v>0.67787986893820795</v>
      </c>
      <c r="J97" s="48">
        <v>359558</v>
      </c>
      <c r="K97" s="48">
        <v>330650.56599999988</v>
      </c>
      <c r="L97" s="46">
        <f t="shared" ref="L97:L99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>
      <c r="C98" s="47" t="s">
        <v>42</v>
      </c>
      <c r="D98" s="48">
        <v>232765.75</v>
      </c>
      <c r="E98" s="48">
        <v>275819.69799999992</v>
      </c>
      <c r="F98" s="46">
        <f t="shared" si="38"/>
        <v>0.8439054631986439</v>
      </c>
      <c r="G98" s="48">
        <v>125322.75</v>
      </c>
      <c r="H98" s="48">
        <v>234467.2997</v>
      </c>
      <c r="I98" s="46">
        <f t="shared" si="39"/>
        <v>0.53449990749392329</v>
      </c>
      <c r="J98" s="48">
        <v>346482</v>
      </c>
      <c r="K98" s="48">
        <v>304224.79679999995</v>
      </c>
      <c r="L98" s="46">
        <f t="shared" si="40"/>
        <v>1.1389012455410736</v>
      </c>
      <c r="M98" s="50">
        <f t="shared" ref="M98:M99" si="42">SUM(D98,G98,J98)</f>
        <v>704570.5</v>
      </c>
      <c r="N98" s="50">
        <f t="shared" ref="N98:N99" si="43">SUM(E98,H98,K98)</f>
        <v>814511.79449999984</v>
      </c>
      <c r="O98" s="51">
        <f t="shared" si="41"/>
        <v>0.86502185082845984</v>
      </c>
    </row>
    <row r="99" spans="3:15">
      <c r="C99" s="93" t="s">
        <v>43</v>
      </c>
      <c r="D99" s="92">
        <v>404018.25</v>
      </c>
      <c r="E99" s="94">
        <v>365174.32600000006</v>
      </c>
      <c r="F99" s="46">
        <f t="shared" si="38"/>
        <v>1.1063709062613563</v>
      </c>
      <c r="G99" s="48">
        <v>304936.25099999999</v>
      </c>
      <c r="H99" s="48">
        <v>299552.9276</v>
      </c>
      <c r="I99" s="46">
        <f t="shared" si="39"/>
        <v>1.017971192747575</v>
      </c>
      <c r="J99" s="48">
        <v>537723</v>
      </c>
      <c r="K99" s="48">
        <v>487139.34199999989</v>
      </c>
      <c r="L99" s="46">
        <f t="shared" si="40"/>
        <v>1.1038381703935547</v>
      </c>
      <c r="M99" s="50">
        <f t="shared" si="42"/>
        <v>1246677.5009999999</v>
      </c>
      <c r="N99" s="50">
        <f t="shared" si="43"/>
        <v>1151866.5955999999</v>
      </c>
      <c r="O99" s="51">
        <f t="shared" si="41"/>
        <v>1.0823106649347825</v>
      </c>
    </row>
    <row r="100" spans="3:15">
      <c r="C100" s="47" t="s">
        <v>44</v>
      </c>
      <c r="D100" s="92"/>
      <c r="E100" s="48"/>
      <c r="F100" s="46"/>
      <c r="G100" s="103"/>
      <c r="H100" s="48"/>
      <c r="I100" s="46"/>
      <c r="J100" s="86"/>
      <c r="K100" s="48"/>
      <c r="L100" s="46"/>
      <c r="M100" s="50"/>
      <c r="N100" s="50"/>
      <c r="O100" s="51"/>
    </row>
    <row r="101" spans="3:15">
      <c r="C101" s="47" t="s">
        <v>45</v>
      </c>
      <c r="D101" s="105"/>
      <c r="E101" s="48"/>
      <c r="F101" s="46"/>
      <c r="G101" s="105"/>
      <c r="H101" s="48"/>
      <c r="I101" s="46"/>
      <c r="J101" s="48"/>
      <c r="K101" s="48"/>
      <c r="L101" s="46"/>
      <c r="M101" s="50"/>
      <c r="N101" s="50"/>
      <c r="O101" s="51"/>
    </row>
    <row r="102" spans="3:15">
      <c r="C102" s="47" t="s">
        <v>46</v>
      </c>
      <c r="D102" s="48"/>
      <c r="E102" s="48"/>
      <c r="F102" s="46"/>
      <c r="G102" s="48"/>
      <c r="H102" s="48"/>
      <c r="I102" s="46"/>
      <c r="J102" s="48"/>
      <c r="K102" s="48"/>
      <c r="L102" s="46"/>
      <c r="M102" s="50"/>
      <c r="N102" s="50"/>
      <c r="O102" s="51"/>
    </row>
    <row r="103" spans="3:15">
      <c r="C103" s="47" t="s">
        <v>47</v>
      </c>
      <c r="D103" s="48"/>
      <c r="E103" s="48"/>
      <c r="F103" s="46"/>
      <c r="G103" s="48"/>
      <c r="H103" s="48"/>
      <c r="I103" s="46"/>
      <c r="J103" s="48"/>
      <c r="K103" s="48"/>
      <c r="L103" s="46"/>
      <c r="M103" s="50"/>
      <c r="N103" s="50"/>
      <c r="O103" s="51"/>
    </row>
    <row r="104" spans="3:15">
      <c r="C104" s="47" t="s">
        <v>48</v>
      </c>
      <c r="D104" s="86"/>
      <c r="E104" s="86"/>
      <c r="F104" s="46"/>
      <c r="G104" s="86"/>
      <c r="H104" s="86"/>
      <c r="I104" s="46"/>
      <c r="J104" s="86"/>
      <c r="K104" s="86"/>
      <c r="L104" s="46"/>
      <c r="M104" s="50"/>
      <c r="N104" s="50"/>
      <c r="O104" s="51"/>
    </row>
    <row r="105" spans="3:15">
      <c r="C105" s="47" t="s">
        <v>49</v>
      </c>
      <c r="D105" s="86"/>
      <c r="E105" s="86"/>
      <c r="F105" s="46"/>
      <c r="G105" s="48"/>
      <c r="H105" s="86"/>
      <c r="I105" s="46"/>
      <c r="J105" s="86"/>
      <c r="K105" s="86"/>
      <c r="L105" s="46"/>
      <c r="M105" s="50"/>
      <c r="N105" s="50"/>
      <c r="O105" s="51"/>
    </row>
    <row r="106" spans="3:15">
      <c r="C106" s="47" t="s">
        <v>50</v>
      </c>
      <c r="D106" s="86"/>
      <c r="E106" s="19"/>
      <c r="F106" s="46"/>
      <c r="G106" s="48"/>
      <c r="H106" s="86"/>
      <c r="I106" s="46"/>
      <c r="J106" s="86"/>
      <c r="K106" s="19"/>
      <c r="L106" s="46"/>
      <c r="M106" s="50"/>
      <c r="N106" s="50"/>
      <c r="O106" s="51"/>
    </row>
    <row r="107" spans="3:15">
      <c r="C107" s="47" t="s">
        <v>51</v>
      </c>
      <c r="D107" s="48"/>
      <c r="E107" s="48"/>
      <c r="F107" s="46"/>
      <c r="G107" s="48"/>
      <c r="H107" s="48"/>
      <c r="I107" s="46"/>
      <c r="J107" s="86"/>
      <c r="K107" s="105"/>
      <c r="L107" s="46"/>
      <c r="M107" s="50"/>
      <c r="N107" s="50"/>
      <c r="O107" s="51"/>
    </row>
    <row r="108" spans="3:15">
      <c r="C108" s="47" t="s">
        <v>52</v>
      </c>
      <c r="D108" s="86"/>
      <c r="E108" s="86"/>
      <c r="F108" s="46"/>
      <c r="G108" s="86"/>
      <c r="H108" s="86"/>
      <c r="I108" s="46"/>
      <c r="J108" s="86"/>
      <c r="K108" s="86"/>
      <c r="L108" s="46"/>
      <c r="M108" s="50"/>
      <c r="N108" s="50"/>
      <c r="O108" s="51"/>
    </row>
    <row r="109" spans="3:15">
      <c r="C109" s="49" t="s">
        <v>65</v>
      </c>
      <c r="D109" s="53">
        <f>SUM(D97:D108)</f>
        <v>831083.75</v>
      </c>
      <c r="E109" s="53">
        <f>SUM(E97:E108)</f>
        <v>902200.60000000009</v>
      </c>
      <c r="F109" s="55">
        <f>D109/E109</f>
        <v>0.92117401606693672</v>
      </c>
      <c r="G109" s="53">
        <f>SUM(G97:G108)</f>
        <v>582979.451</v>
      </c>
      <c r="H109" s="53">
        <f>SUM(H97:H108)</f>
        <v>759311.5466</v>
      </c>
      <c r="I109" s="55">
        <f t="shared" ref="I109" si="44">G109/H109</f>
        <v>0.76777372030022539</v>
      </c>
      <c r="J109" s="53">
        <f>SUM(J97:J108)</f>
        <v>1243763</v>
      </c>
      <c r="K109" s="53">
        <f>SUM(K97:K108)</f>
        <v>1122014.7047999997</v>
      </c>
      <c r="L109" s="55">
        <f>J109/K109</f>
        <v>1.1085086449216386</v>
      </c>
      <c r="M109" s="54">
        <f t="shared" ref="M109" si="45">SUM(D109,G109,J109)</f>
        <v>2657826.2009999999</v>
      </c>
      <c r="N109" s="54">
        <f t="shared" ref="N109" si="46">SUM(E109,H109,K109)</f>
        <v>2783526.8514</v>
      </c>
      <c r="O109" s="55">
        <f t="shared" si="41"/>
        <v>0.95484122945076755</v>
      </c>
    </row>
  </sheetData>
  <mergeCells count="29">
    <mergeCell ref="C76:O76"/>
    <mergeCell ref="D77:F77"/>
    <mergeCell ref="G77:I77"/>
    <mergeCell ref="J77:L77"/>
    <mergeCell ref="M77:O77"/>
    <mergeCell ref="D59:F59"/>
    <mergeCell ref="AN49:AQ49"/>
    <mergeCell ref="AO50:AQ50"/>
    <mergeCell ref="G59:I59"/>
    <mergeCell ref="M59:O59"/>
    <mergeCell ref="J59:L59"/>
    <mergeCell ref="C58:O58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C94:O94"/>
    <mergeCell ref="D95:F95"/>
    <mergeCell ref="G95:I95"/>
    <mergeCell ref="J95:L95"/>
    <mergeCell ref="M95:O95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tabSelected="1" topLeftCell="A8" workbookViewId="0">
      <selection activeCell="M16" sqref="M16"/>
    </sheetView>
  </sheetViews>
  <sheetFormatPr defaultRowHeight="1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47.25">
      <c r="A4" s="70" t="s">
        <v>71</v>
      </c>
      <c r="B4" s="71" t="s">
        <v>72</v>
      </c>
      <c r="C4" s="71" t="s">
        <v>73</v>
      </c>
      <c r="D4" s="72" t="s">
        <v>4</v>
      </c>
      <c r="E4" s="73" t="s">
        <v>74</v>
      </c>
      <c r="F4" s="60"/>
      <c r="G4" s="60"/>
      <c r="H4" s="60"/>
    </row>
    <row r="5" spans="1:8">
      <c r="A5" s="1" t="s">
        <v>36</v>
      </c>
      <c r="B5" s="1">
        <v>1</v>
      </c>
      <c r="C5" s="1">
        <f>2025</f>
        <v>2025</v>
      </c>
      <c r="D5" s="104">
        <v>173872.6</v>
      </c>
      <c r="E5" s="80"/>
    </row>
    <row r="6" spans="1:8">
      <c r="A6" s="1" t="s">
        <v>36</v>
      </c>
      <c r="B6" s="1">
        <v>2</v>
      </c>
      <c r="C6" s="1">
        <f>2025</f>
        <v>2025</v>
      </c>
      <c r="D6" s="104">
        <v>223465.4</v>
      </c>
      <c r="E6" s="81"/>
    </row>
    <row r="7" spans="1:8">
      <c r="A7" s="1" t="s">
        <v>36</v>
      </c>
      <c r="B7" s="1">
        <v>3</v>
      </c>
      <c r="C7" s="1">
        <f>2025</f>
        <v>2025</v>
      </c>
      <c r="D7" s="104">
        <v>344525.3</v>
      </c>
      <c r="E7" s="81"/>
    </row>
    <row r="8" spans="1:8">
      <c r="A8" s="1" t="s">
        <v>36</v>
      </c>
      <c r="B8" s="1">
        <v>4</v>
      </c>
      <c r="C8" s="1">
        <f>2025</f>
        <v>2025</v>
      </c>
      <c r="D8" s="104">
        <v>439674.5</v>
      </c>
      <c r="E8" s="81"/>
    </row>
    <row r="9" spans="1:8">
      <c r="A9" s="1" t="s">
        <v>36</v>
      </c>
      <c r="B9" s="1">
        <v>5</v>
      </c>
      <c r="C9" s="1">
        <f>2025</f>
        <v>2025</v>
      </c>
      <c r="D9" s="104">
        <v>455091.20000000001</v>
      </c>
      <c r="E9" s="81"/>
    </row>
    <row r="10" spans="1:8">
      <c r="A10" s="1" t="s">
        <v>36</v>
      </c>
      <c r="B10" s="1">
        <v>6</v>
      </c>
      <c r="C10" s="1">
        <f>2025</f>
        <v>2025</v>
      </c>
      <c r="D10" s="104">
        <v>491177.6</v>
      </c>
      <c r="E10" s="81"/>
    </row>
    <row r="11" spans="1:8">
      <c r="A11" s="1" t="s">
        <v>36</v>
      </c>
      <c r="B11" s="1">
        <v>7</v>
      </c>
      <c r="C11" s="1">
        <f>2025</f>
        <v>2025</v>
      </c>
      <c r="D11" s="104">
        <v>524395</v>
      </c>
      <c r="E11" s="81"/>
    </row>
    <row r="12" spans="1:8">
      <c r="A12" s="1" t="s">
        <v>36</v>
      </c>
      <c r="B12" s="1">
        <v>8</v>
      </c>
      <c r="C12" s="1">
        <f>2025</f>
        <v>2025</v>
      </c>
      <c r="D12" s="104">
        <v>488163.4</v>
      </c>
      <c r="E12" s="81"/>
    </row>
    <row r="13" spans="1:8">
      <c r="A13" s="1" t="s">
        <v>36</v>
      </c>
      <c r="B13" s="1">
        <v>9</v>
      </c>
      <c r="C13" s="1">
        <f>2025</f>
        <v>2025</v>
      </c>
      <c r="D13" s="104">
        <v>412507.2</v>
      </c>
      <c r="E13" s="81"/>
    </row>
    <row r="14" spans="1:8">
      <c r="A14" s="1" t="s">
        <v>36</v>
      </c>
      <c r="B14" s="1">
        <v>10</v>
      </c>
      <c r="C14" s="1">
        <f>2025</f>
        <v>2025</v>
      </c>
      <c r="D14" s="104">
        <v>292225.09999999998</v>
      </c>
      <c r="E14" s="81"/>
    </row>
    <row r="15" spans="1:8">
      <c r="A15" s="1" t="s">
        <v>36</v>
      </c>
      <c r="B15" s="1">
        <v>11</v>
      </c>
      <c r="C15" s="1">
        <f>2025</f>
        <v>2025</v>
      </c>
      <c r="D15" s="104">
        <v>204482.1</v>
      </c>
      <c r="E15" s="81"/>
    </row>
    <row r="16" spans="1:8">
      <c r="A16" s="1" t="s">
        <v>36</v>
      </c>
      <c r="B16" s="1">
        <v>12</v>
      </c>
      <c r="C16" s="1">
        <f>2025</f>
        <v>2025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2025</f>
        <v>2025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2025</f>
        <v>2025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2025</f>
        <v>2025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2025</f>
        <v>2025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2025</f>
        <v>2025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2025</f>
        <v>2025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2025</f>
        <v>2025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2025</f>
        <v>2025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2025</f>
        <v>2025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2025</f>
        <v>2025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2025</f>
        <v>2025</v>
      </c>
      <c r="D27" s="104">
        <v>186483.9</v>
      </c>
      <c r="E27" s="81"/>
      <c r="F27" s="89"/>
    </row>
    <row r="28" spans="1:6">
      <c r="A28" s="147" t="s">
        <v>22</v>
      </c>
      <c r="B28" s="147">
        <v>12</v>
      </c>
      <c r="C28" s="1">
        <f>2025</f>
        <v>2025</v>
      </c>
      <c r="D28" s="148">
        <v>140863.4</v>
      </c>
      <c r="E28" s="82"/>
      <c r="F28" s="89"/>
    </row>
    <row r="29" spans="1:6">
      <c r="A29" s="144" t="s">
        <v>37</v>
      </c>
      <c r="B29" s="144">
        <v>1</v>
      </c>
      <c r="C29" s="1">
        <f>2025</f>
        <v>2025</v>
      </c>
      <c r="D29" s="135">
        <v>359065</v>
      </c>
      <c r="E29" s="81"/>
    </row>
    <row r="30" spans="1:6">
      <c r="A30" s="144" t="s">
        <v>37</v>
      </c>
      <c r="B30" s="144">
        <v>2</v>
      </c>
      <c r="C30" s="1">
        <f>2025</f>
        <v>2025</v>
      </c>
      <c r="D30" s="135">
        <v>341764</v>
      </c>
      <c r="E30" s="81"/>
    </row>
    <row r="31" spans="1:6">
      <c r="A31" s="144" t="s">
        <v>37</v>
      </c>
      <c r="B31" s="144">
        <v>3</v>
      </c>
      <c r="C31" s="1">
        <f>2025</f>
        <v>2025</v>
      </c>
      <c r="D31" s="135">
        <v>409489</v>
      </c>
      <c r="E31" s="81"/>
    </row>
    <row r="32" spans="1:6">
      <c r="A32" s="144" t="s">
        <v>37</v>
      </c>
      <c r="B32" s="144">
        <v>4</v>
      </c>
      <c r="C32" s="1">
        <f>2025</f>
        <v>2025</v>
      </c>
      <c r="D32" s="135">
        <v>426854</v>
      </c>
      <c r="E32" s="81"/>
    </row>
    <row r="33" spans="1:5">
      <c r="A33" s="144" t="s">
        <v>37</v>
      </c>
      <c r="B33" s="144">
        <v>5</v>
      </c>
      <c r="C33" s="1">
        <f>2025</f>
        <v>2025</v>
      </c>
      <c r="D33" s="135">
        <v>491560</v>
      </c>
      <c r="E33" s="81"/>
    </row>
    <row r="34" spans="1:5">
      <c r="A34" s="144" t="s">
        <v>37</v>
      </c>
      <c r="B34" s="144">
        <v>6</v>
      </c>
      <c r="C34" s="1">
        <f>2025</f>
        <v>2025</v>
      </c>
      <c r="D34" s="135">
        <v>511081</v>
      </c>
      <c r="E34" s="81"/>
    </row>
    <row r="35" spans="1:5">
      <c r="A35" s="144" t="s">
        <v>37</v>
      </c>
      <c r="B35" s="144">
        <v>7</v>
      </c>
      <c r="C35" s="1">
        <f>2025</f>
        <v>2025</v>
      </c>
      <c r="D35" s="145">
        <v>528500</v>
      </c>
      <c r="E35" s="81"/>
    </row>
    <row r="36" spans="1:5">
      <c r="A36" s="144" t="s">
        <v>37</v>
      </c>
      <c r="B36" s="144">
        <v>8</v>
      </c>
      <c r="C36" s="1">
        <f>2025</f>
        <v>2025</v>
      </c>
      <c r="D36" s="135">
        <v>491649</v>
      </c>
      <c r="E36" s="81"/>
    </row>
    <row r="37" spans="1:5">
      <c r="A37" s="144" t="s">
        <v>37</v>
      </c>
      <c r="B37" s="144">
        <v>9</v>
      </c>
      <c r="C37" s="1">
        <f>2025</f>
        <v>2025</v>
      </c>
      <c r="D37" s="135">
        <v>422985</v>
      </c>
      <c r="E37" s="81"/>
    </row>
    <row r="38" spans="1:5">
      <c r="A38" s="144" t="s">
        <v>37</v>
      </c>
      <c r="B38" s="144">
        <v>10</v>
      </c>
      <c r="C38" s="1">
        <f>2025</f>
        <v>2025</v>
      </c>
      <c r="D38" s="135">
        <v>426835</v>
      </c>
      <c r="E38" s="81"/>
    </row>
    <row r="39" spans="1:5">
      <c r="A39" s="144" t="s">
        <v>37</v>
      </c>
      <c r="B39" s="144">
        <v>11</v>
      </c>
      <c r="C39" s="1">
        <f>2025</f>
        <v>2025</v>
      </c>
      <c r="D39" s="135">
        <v>378158</v>
      </c>
      <c r="E39" s="81"/>
    </row>
    <row r="40" spans="1:5">
      <c r="A40" s="144" t="s">
        <v>37</v>
      </c>
      <c r="B40" s="144">
        <v>12</v>
      </c>
      <c r="C40" s="1">
        <f>2025</f>
        <v>2025</v>
      </c>
      <c r="D40" s="146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75</v>
      </c>
      <c r="B1" s="17" t="s">
        <v>76</v>
      </c>
      <c r="C1" s="17" t="s">
        <v>77</v>
      </c>
      <c r="D1" s="32"/>
      <c r="H1" s="178" t="s">
        <v>78</v>
      </c>
      <c r="I1" s="178"/>
      <c r="J1" s="178"/>
      <c r="K1" s="178"/>
      <c r="L1" s="178"/>
      <c r="M1" s="178"/>
      <c r="N1" s="178"/>
      <c r="O1" s="178"/>
      <c r="Q1" s="32" t="s">
        <v>79</v>
      </c>
    </row>
    <row r="2" spans="1:17">
      <c r="A2" s="33" t="s">
        <v>80</v>
      </c>
      <c r="B2" s="34" t="s">
        <v>81</v>
      </c>
      <c r="C2" s="34" t="s">
        <v>82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41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42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83</v>
      </c>
      <c r="F5" s="19"/>
      <c r="G5" t="s">
        <v>84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44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45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46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47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48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49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50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51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52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75</v>
      </c>
      <c r="B1" s="17" t="s">
        <v>76</v>
      </c>
      <c r="C1" s="17" t="s">
        <v>77</v>
      </c>
      <c r="G1" t="s">
        <v>85</v>
      </c>
      <c r="P1" t="s">
        <v>86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41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42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84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44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45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46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47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48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49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87</v>
      </c>
      <c r="F12" s="26" t="s">
        <v>50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51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52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75</v>
      </c>
      <c r="B1" s="17" t="s">
        <v>76</v>
      </c>
      <c r="C1" s="17" t="s">
        <v>77</v>
      </c>
      <c r="G1" s="178" t="s">
        <v>88</v>
      </c>
      <c r="H1" s="178"/>
      <c r="I1" s="178"/>
      <c r="J1" s="178"/>
      <c r="K1" s="178"/>
      <c r="L1" s="178"/>
      <c r="M1" s="178"/>
      <c r="N1" s="178"/>
      <c r="P1" s="32" t="s">
        <v>89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41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42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84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44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45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46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47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48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90</v>
      </c>
      <c r="E11" s="26"/>
      <c r="F11" t="s">
        <v>49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50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51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52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75</v>
      </c>
      <c r="B1" s="17" t="s">
        <v>76</v>
      </c>
      <c r="C1" s="17" t="s">
        <v>77</v>
      </c>
      <c r="G1" s="178" t="s">
        <v>91</v>
      </c>
      <c r="H1" s="178"/>
      <c r="I1" s="178"/>
      <c r="J1" s="178"/>
      <c r="K1" s="178"/>
      <c r="L1" s="178"/>
      <c r="M1" s="178"/>
      <c r="N1" s="178"/>
      <c r="P1" s="32" t="s">
        <v>92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41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42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84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44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45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46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47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48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93</v>
      </c>
      <c r="E11" s="26"/>
      <c r="F11" t="s">
        <v>49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50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51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52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5757AC-F572-4FD6-8D98-A3A4BF832404}"/>
</file>

<file path=customXml/itemProps2.xml><?xml version="1.0" encoding="utf-8"?>
<ds:datastoreItem xmlns:ds="http://schemas.openxmlformats.org/officeDocument/2006/customXml" ds:itemID="{AE4FB608-2C95-4CB3-B789-2A06D4831A94}"/>
</file>

<file path=customXml/itemProps3.xml><?xml version="1.0" encoding="utf-8"?>
<ds:datastoreItem xmlns:ds="http://schemas.openxmlformats.org/officeDocument/2006/customXml" ds:itemID="{457C4860-6CD1-4A9E-BBE8-79BAFE1C7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Guest User</cp:lastModifiedBy>
  <cp:revision/>
  <dcterms:created xsi:type="dcterms:W3CDTF">2013-05-02T09:51:31Z</dcterms:created>
  <dcterms:modified xsi:type="dcterms:W3CDTF">2025-04-14T09:07:55Z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