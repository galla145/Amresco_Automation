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4E6291C-8CCF-4954-B672-A25E467160CD}" xr6:coauthVersionLast="47" xr6:coauthVersionMax="47" xr10:uidLastSave="{00000000-0000-0000-0000-000000000000}"/>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H9" i="4"/>
  <c r="E6" i="4"/>
  <c r="F6" i="4" s="1"/>
  <c r="E7" i="4"/>
  <c r="F7" i="4" s="1"/>
  <c r="E8" i="4"/>
  <c r="E9" i="4"/>
  <c r="E10" i="4"/>
  <c r="F8" i="4"/>
  <c r="F9" i="4"/>
  <c r="F10" i="4"/>
  <c r="I6" i="4"/>
  <c r="I9" i="4"/>
  <c r="I10" i="4"/>
  <c r="I5" i="72"/>
  <c r="I10" i="72"/>
  <c r="E7" i="3"/>
  <c r="E8" i="3"/>
  <c r="E9" i="3"/>
  <c r="E10" i="3"/>
  <c r="F6" i="3"/>
  <c r="F7" i="3"/>
  <c r="F8" i="3"/>
  <c r="F9" i="3"/>
  <c r="F10" i="3"/>
  <c r="I10" i="3"/>
  <c r="H9" i="3"/>
  <c r="H10" i="3"/>
  <c r="I10" i="18"/>
  <c r="I8" i="18"/>
  <c r="H10" i="18"/>
  <c r="G10" i="18"/>
  <c r="H8" i="18"/>
  <c r="H9" i="18"/>
  <c r="F10" i="18"/>
  <c r="E10" i="18"/>
  <c r="D10" i="18"/>
  <c r="C10" i="18"/>
  <c r="H9" i="29"/>
  <c r="H10" i="29"/>
  <c r="G9" i="29"/>
  <c r="G10" i="29"/>
  <c r="F9" i="29"/>
  <c r="F10" i="29"/>
  <c r="E10" i="29"/>
  <c r="D10" i="29"/>
  <c r="C10" i="29"/>
  <c r="G10" i="1"/>
  <c r="G10" i="34" s="1"/>
  <c r="D10" i="1"/>
  <c r="D10" i="34" s="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I9" i="18"/>
  <c r="G8" i="18"/>
  <c r="G9" i="18"/>
  <c r="D9" i="18"/>
  <c r="E9" i="18" s="1"/>
  <c r="F9" i="18" s="1"/>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E9" i="29" s="1"/>
  <c r="G5" i="29"/>
  <c r="G6" i="29"/>
  <c r="G7" i="29"/>
  <c r="G8" i="29"/>
  <c r="G4" i="29"/>
  <c r="H9" i="28"/>
  <c r="I9" i="28" s="1"/>
  <c r="E9" i="28"/>
  <c r="F9" i="28" s="1"/>
  <c r="E6" i="26"/>
  <c r="G4" i="18"/>
  <c r="G5" i="18"/>
  <c r="G6" i="18"/>
  <c r="G7" i="18"/>
  <c r="E4" i="4"/>
  <c r="E5" i="72"/>
  <c r="F5" i="72" s="1"/>
  <c r="E6" i="72"/>
  <c r="F6" i="72" s="1"/>
  <c r="E7" i="72"/>
  <c r="F7" i="72" s="1"/>
  <c r="E8" i="72"/>
  <c r="F8" i="72" s="1"/>
  <c r="H9" i="34" l="1"/>
  <c r="I9" i="3"/>
  <c r="H9" i="1"/>
  <c r="H10" i="1"/>
  <c r="H10" i="34" s="1"/>
  <c r="I10" i="34" s="1"/>
  <c r="I9" i="1"/>
  <c r="G8" i="34"/>
  <c r="E10" i="1"/>
  <c r="F10" i="1" s="1"/>
  <c r="C10" i="34"/>
  <c r="E10" i="34" s="1"/>
  <c r="F10" i="34" s="1"/>
  <c r="I10" i="1"/>
  <c r="E9" i="1"/>
  <c r="F9" i="1" s="1"/>
  <c r="I9" i="30"/>
  <c r="C9" i="34"/>
  <c r="G9" i="34"/>
  <c r="I9" i="34" s="1"/>
  <c r="D9" i="34"/>
  <c r="I9" i="29"/>
  <c r="C2" i="3"/>
  <c r="E9" i="34" l="1"/>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H7" i="29" s="1"/>
  <c r="E7" i="26"/>
  <c r="F7" i="26" s="1"/>
  <c r="H6" i="26"/>
  <c r="H6" i="29" s="1"/>
  <c r="F6" i="26"/>
  <c r="H5" i="26"/>
  <c r="E5" i="26"/>
  <c r="F5" i="26" s="1"/>
  <c r="H4" i="26"/>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H8" i="1" l="1"/>
  <c r="H7" i="34"/>
  <c r="I7" i="34" s="1"/>
  <c r="C6" i="34"/>
  <c r="E8" i="1"/>
  <c r="F8" i="1" s="1"/>
  <c r="C8" i="34"/>
  <c r="I8" i="26"/>
  <c r="H8" i="29"/>
  <c r="I8" i="29" s="1"/>
  <c r="D5" i="34"/>
  <c r="I4" i="26"/>
  <c r="H4" i="29"/>
  <c r="I4" i="29" s="1"/>
  <c r="D6" i="34"/>
  <c r="D7" i="34"/>
  <c r="I8" i="21"/>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6" i="34"/>
  <c r="F6" i="34" s="1"/>
  <c r="E5" i="1"/>
  <c r="F5" i="1" s="1"/>
  <c r="E6" i="1"/>
  <c r="F6" i="1" s="1"/>
  <c r="H4" i="30"/>
  <c r="I4" i="30" s="1"/>
  <c r="E7" i="30"/>
  <c r="F7" i="30" s="1"/>
  <c r="H7" i="30"/>
  <c r="I7" i="30" s="1"/>
  <c r="H5" i="30"/>
  <c r="I5" i="30" s="1"/>
  <c r="I8" i="30"/>
  <c r="E7" i="29"/>
  <c r="F7" i="29" s="1"/>
  <c r="I6" i="26"/>
  <c r="I5" i="29"/>
  <c r="I7" i="26"/>
  <c r="H6" i="18"/>
  <c r="I6" i="18" s="1"/>
  <c r="H4" i="18"/>
  <c r="I4" i="18" s="1"/>
  <c r="H7" i="18"/>
  <c r="I7"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8" i="34" l="1"/>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<sst xmlns="http://schemas.openxmlformats.org/spreadsheetml/2006/main" count="344" uniqueCount="132">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</sst>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7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6" sqref="G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Agilitas Energy</v>
      </c>
      <c r="B1" s="71"/>
      <c r="C1" s="71"/>
      <c r="D1" s="72" t="s">
        <v>0</v>
      </c>
      <c r="E1" s="72"/>
      <c r="F1" s="72"/>
      <c r="G1" s="70" t="s">
        <v>1</v>
      </c>
      <c r="H1" s="70"/>
      <c r="I1" s="70"/>
    </row>
    <row r="2" spans="1:9" ht="19.5" customHeight="1">
      <c r="A2" s="73" t="s">
        <v>2</v>
      </c>
      <c r="B2" s="73"/>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147392.76206344238</v>
      </c>
      <c r="D4" s="12">
        <f>SUM('1st Qtr'!D4, '2nd Qtr'!D4, '3rd Qtr'!D4, '4th Qtr'!D4)</f>
        <v>185255.87</v>
      </c>
      <c r="E4" s="12">
        <f>IF(AND(ISNUMBER(C4),ISNUMBER(D4)), C4-D4, "")</f>
        <v>-37863.107936557615</v>
      </c>
      <c r="F4" s="13">
        <f>IFERROR(E4/D4, "")</f>
        <v>-0.20438277036272923</v>
      </c>
      <c r="G4" s="14">
        <f>SUM('1st Qtr'!G4, '2nd Qtr'!G4, '3rd Qtr'!G4, '4th Qtr'!G4)</f>
        <v>166677.47999999998</v>
      </c>
      <c r="H4" s="14">
        <f>SUM('1st Qtr'!H4, '2nd Qtr'!H4, '3rd Qtr'!H4, '4th Qtr'!H4)</f>
        <v>-19284.717936557594</v>
      </c>
      <c r="I4" s="15">
        <f>IFERROR(H4/G4, "")</f>
        <v>-0.11570080095137986</v>
      </c>
    </row>
    <row r="5" spans="1:9" ht="15.6">
      <c r="A5" s="50" t="str">
        <v>Auburn - Leicester Street Solar</v>
      </c>
      <c r="B5" s="28" t="str">
        <v>MA</v>
      </c>
      <c r="C5" s="16">
        <f>SUM('1st Qtr'!C5, '2nd Qtr'!C5, '3rd Qtr'!C5, '4th Qtr'!C5)</f>
        <v>1498297</v>
      </c>
      <c r="D5" s="16">
        <f>SUM('1st Qtr'!D5, '2nd Qtr'!D5, '3rd Qtr'!D5, '4th Qtr'!D5)</f>
        <v>2480547.2000000002</v>
      </c>
      <c r="E5" s="16">
        <f t="shared" ref="E5:E10" si="0">IF(AND(ISNUMBER(C5),ISNUMBER(D5)), C5-D5, "")</f>
        <v>-982250.20000000019</v>
      </c>
      <c r="F5" s="17">
        <f>IFERROR(E5/D5, "")</f>
        <v>-0.3959812576837885</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2264045.6707102829</v>
      </c>
      <c r="D6" s="12">
        <f>SUM('1st Qtr'!D6, '2nd Qtr'!D6, '3rd Qtr'!D6, '4th Qtr'!D6)</f>
        <v>2265143.5999999996</v>
      </c>
      <c r="E6" s="12">
        <f t="shared" si="0"/>
        <v>-1097.9292897167616</v>
      </c>
      <c r="F6" s="13">
        <f t="shared" ref="F6:F10" si="1">IFERROR(E6/D6, "")</f>
        <v>-4.847062630893519E-4</v>
      </c>
      <c r="G6" s="14">
        <f>SUM('1st Qtr'!G6, '2nd Qtr'!G6, '3rd Qtr'!G6, '4th Qtr'!G6)</f>
        <v>1544599.2999999998</v>
      </c>
      <c r="H6" s="14">
        <f>SUM('1st Qtr'!H6, '2nd Qtr'!H6, '3rd Qtr'!H6, '4th Qtr'!H6)</f>
        <v>719446.37071028305</v>
      </c>
      <c r="I6" s="15">
        <f t="shared" ref="I6:I10" si="2">IFERROR(H6/G6, "")</f>
        <v>0.46578188317855845</v>
      </c>
    </row>
    <row r="7" spans="1:9" ht="15.6">
      <c r="A7" s="50" t="str">
        <v>Dover - Littleworth Road</v>
      </c>
      <c r="B7" s="28" t="str">
        <v>NH</v>
      </c>
      <c r="C7" s="16">
        <f>SUM('1st Qtr'!C7, '2nd Qtr'!C7, '3rd Qtr'!C7, '4th Qtr'!C7)</f>
        <v>41948</v>
      </c>
      <c r="D7" s="16">
        <f>SUM('1st Qtr'!D7, '2nd Qtr'!D7, '3rd Qtr'!D7, '4th Qtr'!D7)</f>
        <v>0</v>
      </c>
      <c r="E7" s="16">
        <f t="shared" si="0"/>
        <v>41948</v>
      </c>
      <c r="F7" s="17" t="str">
        <f t="shared" si="1"/>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162763</v>
      </c>
      <c r="D8" s="12">
        <f>SUM('1st Qtr'!D8, '2nd Qtr'!D8, '3rd Qtr'!D8, '4th Qtr'!D8)</f>
        <v>0</v>
      </c>
      <c r="E8" s="12">
        <f t="shared" si="0"/>
        <v>162763</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1244561.999661762</v>
      </c>
      <c r="D9" s="16">
        <f>SUM('1st Qtr'!D9, '2nd Qtr'!D9, '3rd Qtr'!D9, '4th Qtr'!D9)</f>
        <v>1525430.5</v>
      </c>
      <c r="E9" s="16">
        <f t="shared" si="0"/>
        <v>-280868.50033823797</v>
      </c>
      <c r="F9" s="17">
        <f t="shared" si="1"/>
        <v>-0.18412408847091885</v>
      </c>
      <c r="G9" s="18">
        <f>SUM('1st Qtr'!G9, '2nd Qtr'!G9, '3rd Qtr'!G9, '4th Qtr'!G9)</f>
        <v>1315623.8</v>
      </c>
      <c r="H9" s="18">
        <f>SUM(Jan!H9, Feb!H9, Mar!H9)</f>
        <v>-71061.800338238012</v>
      </c>
      <c r="I9" s="17">
        <f t="shared" si="2"/>
        <v>-5.4013769238773282E-2</v>
      </c>
    </row>
    <row r="10" spans="1:9" ht="15.6">
      <c r="A10" s="51" t="str">
        <v>Dedham - 100 Rustcraft Rd</v>
      </c>
      <c r="B10" s="26" t="str">
        <v>MA</v>
      </c>
      <c r="C10" s="22">
        <f>SUM('1st Qtr'!C10, '2nd Qtr'!C10, '3rd Qtr'!C10, '4th Qtr'!C10)</f>
        <v>175762.5</v>
      </c>
      <c r="D10" s="12">
        <f>SUM('1st Qtr'!D10, '2nd Qtr'!D10, '3rd Qtr'!D10, '4th Qtr'!D10)</f>
        <v>301216.66200000001</v>
      </c>
      <c r="E10" s="12">
        <f t="shared" si="0"/>
        <v>-125454.16200000001</v>
      </c>
      <c r="F10" s="13">
        <f t="shared" si="1"/>
        <v>-0.41649144229611046</v>
      </c>
      <c r="G10" s="14">
        <f>SUM('1st Qtr'!G10, '2nd Qtr'!G10, '3rd Qtr'!G10, '4th Qtr'!G10)</f>
        <v>237287.655</v>
      </c>
      <c r="H10" s="14">
        <f>SUM('1st Qtr'!H10, '2nd Qtr'!H10, '3rd Qtr'!H10, '4th Qtr'!H10)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0" sqref="H10"/>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Agilitas Energy</v>
      </c>
      <c r="B1" s="71"/>
      <c r="C1" s="71"/>
      <c r="D1" s="72" t="s">
        <v>10</v>
      </c>
      <c r="E1" s="72"/>
      <c r="F1" s="72"/>
      <c r="G1" s="70" t="s">
        <v>11</v>
      </c>
      <c r="H1" s="70"/>
      <c r="I1" s="70"/>
    </row>
    <row r="2" spans="1:9" ht="19.5" customHeight="1">
      <c r="A2" s="73" t="s">
        <v>2</v>
      </c>
      <c r="B2" s="73"/>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3" sqref="H13"/>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Agilitas Energy</v>
      </c>
      <c r="B1" s="71"/>
      <c r="C1" s="71"/>
      <c r="D1" s="72" t="s">
        <v>12</v>
      </c>
      <c r="E1" s="72"/>
      <c r="F1" s="72"/>
      <c r="G1" s="70" t="s">
        <v>13</v>
      </c>
      <c r="H1" s="70"/>
      <c r="I1" s="70"/>
    </row>
    <row r="2" spans="1:9" ht="19.5" customHeight="1">
      <c r="A2" s="73" t="s">
        <v>2</v>
      </c>
      <c r="B2" s="73"/>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0</v>
      </c>
      <c r="D4" s="12">
        <f>SUM(Apr!D4, May!D4, Jun!D4)</f>
        <v>0</v>
      </c>
      <c r="E4" s="12">
        <f>IF(AND(ISNUMBER(C4),ISNUMBER(D4)), C4-D4, "")</f>
        <v>0</v>
      </c>
      <c r="F4" s="13" t="str">
        <f>IFERROR(E4/D4, "")</f>
        <v/>
      </c>
      <c r="G4" s="14">
        <f>SUM(Apr!G4+May!G4+Jun!G4)</f>
        <v>0</v>
      </c>
      <c r="H4" s="14">
        <f>SUM(Apr!H4, May!H4, Jun!H4)</f>
        <v>0</v>
      </c>
      <c r="I4" s="15" t="str">
        <f>IFERROR(H4/G4, "")</f>
        <v/>
      </c>
    </row>
    <row r="5" spans="1:9" ht="15.6">
      <c r="A5" s="47" t="str">
        <v>Auburn - Leicester Street Solar</v>
      </c>
      <c r="B5" s="10" t="str">
        <v>MA</v>
      </c>
      <c r="C5" s="11">
        <f>SUM(Apr!C5, May!C5, Jun!C5)</f>
        <v>0</v>
      </c>
      <c r="D5" s="16">
        <f>SUM(Apr!D5, May!D5, Jun!D5)</f>
        <v>0</v>
      </c>
      <c r="E5" s="16">
        <f t="shared" ref="E5:E10" si="0">IF(AND(ISNUMBER(C5),ISNUMBER(D5)), C5-D5, "")</f>
        <v>0</v>
      </c>
      <c r="F5" s="17" t="str">
        <f>IFERROR(E5/D5, "")</f>
        <v/>
      </c>
      <c r="G5" s="18">
        <f>SUM(Apr!G5+May!G5+Jun!G5)</f>
        <v>0</v>
      </c>
      <c r="H5" s="18">
        <f>SUM(Apr!H5, May!H5, Jun!H5)</f>
        <v>0</v>
      </c>
      <c r="I5" s="17" t="str">
        <f>IFERROR(H5/G5, "")</f>
        <v/>
      </c>
    </row>
    <row r="6" spans="1:9" ht="15.6">
      <c r="A6" s="46" t="str">
        <v>Rochester - Old Middleboro</v>
      </c>
      <c r="B6" s="9" t="str">
        <v>MA</v>
      </c>
      <c r="C6" s="22">
        <f>SUM(Apr!C6, May!C6, Jun!C6)</f>
        <v>0</v>
      </c>
      <c r="D6" s="12">
        <f>SUM(Apr!D6, May!D6, Jun!D6)</f>
        <v>0</v>
      </c>
      <c r="E6" s="12">
        <f t="shared" si="0"/>
        <v>0</v>
      </c>
      <c r="F6" s="13" t="str">
        <f t="shared" ref="F6:F10" si="1">IFERROR(E6/D6, "")</f>
        <v/>
      </c>
      <c r="G6" s="14">
        <f>SUM(Apr!G6+May!G6+Jun!G6)</f>
        <v>0</v>
      </c>
      <c r="H6" s="14">
        <f>SUM(Apr!H6, May!H6, Jun!H6)</f>
        <v>0</v>
      </c>
      <c r="I6" s="15" t="str">
        <f t="shared" ref="I6:I9" si="2">IFERROR(H6/G6, "")</f>
        <v/>
      </c>
    </row>
    <row r="7" spans="1:9" ht="15.6">
      <c r="A7" s="47" t="str">
        <v>Dover - Littleworth Road</v>
      </c>
      <c r="B7" s="10" t="str">
        <v>NH</v>
      </c>
      <c r="C7" s="11">
        <f>SUM(Apr!C7, May!C7, Jun!C7)</f>
        <v>0</v>
      </c>
      <c r="D7" s="16">
        <f>SUM(Apr!D7, May!D7, Jun!D7)</f>
        <v>0</v>
      </c>
      <c r="E7" s="16">
        <f t="shared" si="0"/>
        <v>0</v>
      </c>
      <c r="F7" s="17" t="str">
        <f t="shared" si="1"/>
        <v/>
      </c>
      <c r="G7" s="18">
        <f>SUM(Apr!G7+May!G7+Jun!G7)</f>
        <v>0</v>
      </c>
      <c r="H7" s="18">
        <f>SUM(Apr!H7, May!H7, Jun!H7)</f>
        <v>0</v>
      </c>
      <c r="I7" s="17" t="str">
        <f t="shared" si="2"/>
        <v/>
      </c>
    </row>
    <row r="8" spans="1:9" ht="15.6">
      <c r="A8" s="46" t="str">
        <v>Milton - Landfill</v>
      </c>
      <c r="B8" s="9" t="str">
        <v>NH</v>
      </c>
      <c r="C8" s="22">
        <f>SUM(Apr!C8, May!C8, Jun!C8)</f>
        <v>0</v>
      </c>
      <c r="D8" s="12">
        <f>SUM(Apr!D8, May!D8, Jun!D8)</f>
        <v>0</v>
      </c>
      <c r="E8" s="12">
        <f t="shared" si="0"/>
        <v>0</v>
      </c>
      <c r="F8" s="13" t="str">
        <f t="shared" si="1"/>
        <v/>
      </c>
      <c r="G8" s="14">
        <f>SUM(Apr!G8+May!G8+Jun!G8)</f>
        <v>0</v>
      </c>
      <c r="H8" s="14">
        <f>SUM(Apr!H8, May!H8, Jun!H8)</f>
        <v>0</v>
      </c>
      <c r="I8" s="15" t="str">
        <f>IFERROR(H8/G8, "")</f>
        <v/>
      </c>
    </row>
    <row r="9" spans="1:9" ht="15.6">
      <c r="A9" s="47" t="str">
        <v>Hopkinton - 71 Frankland Rd</v>
      </c>
      <c r="B9" s="10" t="str">
        <v>MA</v>
      </c>
      <c r="C9" s="11">
        <f>SUM(Apr!C9, May!C9, Jun!C9)</f>
        <v>0</v>
      </c>
      <c r="D9" s="16">
        <f>SUM(Apr!D9, May!D9, Jun!D9)</f>
        <v>0</v>
      </c>
      <c r="E9" s="16">
        <f t="shared" si="0"/>
        <v>0</v>
      </c>
      <c r="F9" s="17" t="str">
        <f t="shared" si="1"/>
        <v/>
      </c>
      <c r="G9" s="18">
        <f>SUM(Apr!G9+May!G9+Jun!G9)</f>
        <v>0</v>
      </c>
      <c r="H9" s="18">
        <f>SUM(Apr!H9, May!H9, Jun!H9)</f>
        <v>0</v>
      </c>
      <c r="I9" s="17" t="str">
        <f t="shared" si="2"/>
        <v/>
      </c>
    </row>
    <row r="10" spans="1:9" ht="15.6">
      <c r="A10" s="46" t="str">
        <v>Dedham - 100 Rustcraft Rd</v>
      </c>
      <c r="B10" s="9" t="str">
        <v>MA</v>
      </c>
      <c r="C10" s="22">
        <f>SUM(Apr!C10, May!C10, Jun!C10)</f>
        <v>0</v>
      </c>
      <c r="D10" s="12">
        <f>SUM(Apr!D10, May!D10, Jun!D10)</f>
        <v>0</v>
      </c>
      <c r="E10" s="12">
        <f t="shared" si="0"/>
        <v>0</v>
      </c>
      <c r="F10" s="13" t="str">
        <f t="shared" si="1"/>
        <v/>
      </c>
      <c r="G10" s="14">
        <f>SUM(Apr!G10+May!G10+Jun!G10)</f>
        <v>0</v>
      </c>
      <c r="H10" s="14">
        <f>SUM(Apr!H10, May!H10, Jun!H10)</f>
        <v>0</v>
      </c>
      <c r="I10" s="15" t="str">
        <f>IFERROR(H10/G10, "")</f>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Agilitas Energy</v>
      </c>
      <c r="B1" s="71"/>
      <c r="C1" s="71"/>
      <c r="D1" s="72" t="s">
        <v>14</v>
      </c>
      <c r="E1" s="72"/>
      <c r="F1" s="72"/>
      <c r="G1" s="70" t="s">
        <v>15</v>
      </c>
      <c r="H1" s="70"/>
      <c r="I1" s="70"/>
    </row>
    <row r="2" spans="1:9" ht="19.5" customHeight="1">
      <c r="A2" s="73" t="s">
        <v>2</v>
      </c>
      <c r="B2" s="73"/>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Auburn - Leicester Street Solar</v>
      </c>
      <c r="B5" s="10" t="str">
        <v>MA</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Rochester - Old Middleboro</v>
      </c>
      <c r="B6" s="9" t="str">
        <v>MA</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Dover - Littleworth Road</v>
      </c>
      <c r="B7" s="10" t="str">
        <v>NH</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Milton - Landfill</v>
      </c>
      <c r="B8" s="9" t="str">
        <v>NH</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Hopkinton - 71 Frankland Rd</v>
      </c>
      <c r="B9" s="10" t="str">
        <v>MA</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Dedham - 100 Rustcraft Rd</v>
      </c>
      <c r="B10" s="9" t="str">
        <v>MA</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1" t="str" cm="1">
        <f t="array" ref="A1">portfolio</f>
        <v>Agilitas Energy</v>
      </c>
      <c r="B1" s="71"/>
      <c r="C1" s="71"/>
      <c r="D1" s="72" t="s">
        <v>16</v>
      </c>
      <c r="E1" s="72"/>
      <c r="F1" s="72"/>
      <c r="G1" s="70" t="s">
        <v>17</v>
      </c>
      <c r="H1" s="70"/>
      <c r="I1" s="70"/>
    </row>
    <row r="2" spans="1:9" ht="19.5" customHeight="1">
      <c r="A2" s="73" t="s">
        <v>2</v>
      </c>
      <c r="B2" s="73"/>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1" t="str" cm="1">
        <f t="array" ref="A1">portfolio</f>
        <v>Agilitas Energy</v>
      </c>
      <c r="B1" s="71"/>
      <c r="C1" s="71"/>
      <c r="D1" s="72" t="s">
        <v>18</v>
      </c>
      <c r="E1" s="72"/>
      <c r="F1" s="72"/>
      <c r="G1" s="70" t="s">
        <v>19</v>
      </c>
      <c r="H1" s="70"/>
      <c r="I1" s="70"/>
      <c r="J1" s="4"/>
      <c r="K1" s="4"/>
    </row>
    <row r="2" spans="1:13" ht="19.5" customHeight="1">
      <c r="A2" s="73" t="s">
        <v>2</v>
      </c>
      <c r="B2" s="73"/>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1" t="str" cm="1">
        <f t="array" ref="A1">portfolio</f>
        <v>Agilitas Energy</v>
      </c>
      <c r="B1" s="71"/>
      <c r="C1" s="71"/>
      <c r="D1" s="72" t="s">
        <v>43</v>
      </c>
      <c r="E1" s="72"/>
      <c r="F1" s="72"/>
      <c r="G1" s="70" t="s">
        <v>44</v>
      </c>
      <c r="H1" s="70"/>
      <c r="I1" s="70"/>
      <c r="J1" s="4"/>
      <c r="K1" s="4"/>
    </row>
    <row r="2" spans="1:14" ht="19.5" customHeight="1">
      <c r="A2" s="73" t="s">
        <v>2</v>
      </c>
      <c r="B2" s="73"/>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tabSelected="1" zoomScale="50" zoomScaleNormal="50" workbookViewId="0">
      <pane xSplit="2" ySplit="3" topLeftCell="C6" activePane="bottomRight" state="frozen"/>
      <selection pane="bottomRight" activeCell="U9" sqref="U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1" t="str" cm="1">
        <f t="array" ref="A1">portfolio</f>
        <v>Agilitas Energy</v>
      </c>
      <c r="B1" s="71"/>
      <c r="C1" s="71"/>
      <c r="D1" s="72" t="s">
        <v>63</v>
      </c>
      <c r="E1" s="72"/>
      <c r="F1" s="72"/>
      <c r="G1" s="70" t="s">
        <v>64</v>
      </c>
      <c r="H1" s="70"/>
      <c r="I1" s="70"/>
      <c r="J1" s="4"/>
      <c r="K1" s="4"/>
    </row>
    <row r="2" spans="1:17" ht="19.5" customHeight="1">
      <c r="A2" s="73" t="s">
        <v>2</v>
      </c>
      <c r="B2" s="73"/>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2"/>
  <sheetViews>
    <sheetView workbookViewId="0">
      <pane xSplit="2" ySplit="3" topLeftCell="J6"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90</v>
      </c>
      <c r="E1" s="72"/>
      <c r="F1" s="72"/>
      <c r="G1" s="70" t="s">
        <v>91</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53"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85.5" customHeight="1">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76.5"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workbookViewId="0">
      <pane xSplit="2" ySplit="3" topLeftCell="J6"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92</v>
      </c>
      <c r="E1" s="72"/>
      <c r="F1" s="72"/>
      <c r="G1" s="70" t="s">
        <v>93</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94</v>
      </c>
      <c r="E1" s="72"/>
      <c r="F1" s="72"/>
      <c r="G1" s="70" t="s">
        <v>95</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34.9"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71" t="str" cm="1">
        <f t="array" ref="A1">portfolio</f>
        <v>Agilitas Energy</v>
      </c>
      <c r="B1" s="71"/>
      <c r="C1" s="71"/>
      <c r="D1" s="72" t="s">
        <v>96</v>
      </c>
      <c r="E1" s="72"/>
      <c r="F1" s="72"/>
      <c r="G1" s="70" t="s">
        <v>97</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IF(AND(ISNUMBER(C6),ISNUMBER(D6)), C6-D6, "")</f>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98</v>
      </c>
      <c r="E1" s="72"/>
      <c r="F1" s="72"/>
      <c r="G1" s="70" t="s">
        <v>99</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100</v>
      </c>
      <c r="E1" s="72"/>
      <c r="F1" s="72"/>
      <c r="G1" s="70" t="s">
        <v>101</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102</v>
      </c>
      <c r="E1" s="72"/>
      <c r="F1" s="72"/>
      <c r="G1" s="70" t="s">
        <v>103</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71" t="str" cm="1">
        <f t="array" ref="A1">portfolio</f>
        <v>Agilitas Energy</v>
      </c>
      <c r="B1" s="71"/>
      <c r="C1" s="71"/>
      <c r="D1" s="72" t="s">
        <v>104</v>
      </c>
      <c r="E1" s="72"/>
      <c r="F1" s="72"/>
      <c r="G1" s="70" t="s">
        <v>105</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1" t="str" cm="1">
        <f t="array" ref="A1">portfolio</f>
        <v>Agilitas Energy</v>
      </c>
      <c r="B1" s="71"/>
      <c r="C1" s="71"/>
      <c r="D1" s="72" t="s">
        <v>106</v>
      </c>
      <c r="E1" s="72"/>
      <c r="F1" s="72"/>
      <c r="G1" s="70" t="s">
        <v>107</v>
      </c>
      <c r="H1" s="70"/>
      <c r="I1" s="70"/>
      <c r="J1" s="4"/>
      <c r="K1" s="4"/>
    </row>
    <row r="2" spans="1:11" ht="19.5" customHeight="1">
      <c r="A2" s="73" t="s">
        <v>2</v>
      </c>
      <c r="B2" s="73"/>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25" sqref="A25"/>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108</v>
      </c>
      <c r="B1" t="s">
        <v>109</v>
      </c>
    </row>
    <row r="3" spans="1:12" ht="13.15">
      <c r="A3" t="s">
        <v>110</v>
      </c>
      <c r="B3" t="s">
        <v>3</v>
      </c>
      <c r="C3" t="s">
        <v>4</v>
      </c>
      <c r="D3" t="s">
        <v>111</v>
      </c>
      <c r="E3" s="2" t="s">
        <v>112</v>
      </c>
    </row>
    <row r="4" spans="1:12" ht="14.45">
      <c r="A4" s="48" t="s">
        <v>113</v>
      </c>
      <c r="B4" t="s">
        <v>114</v>
      </c>
      <c r="C4" s="45" t="s">
        <v>115</v>
      </c>
      <c r="D4" s="44" t="s">
        <v>116</v>
      </c>
      <c r="E4" t="s">
        <v>117</v>
      </c>
      <c r="G4" s="3"/>
    </row>
    <row r="5" spans="1:12" ht="14.45">
      <c r="A5" s="48" t="s">
        <v>118</v>
      </c>
      <c r="B5" t="s">
        <v>119</v>
      </c>
      <c r="C5" s="45" t="s">
        <v>115</v>
      </c>
      <c r="D5" s="44" t="s">
        <v>116</v>
      </c>
      <c r="E5" t="s">
        <v>117</v>
      </c>
      <c r="G5" s="3"/>
    </row>
    <row r="6" spans="1:12" ht="14.45">
      <c r="A6" s="48" t="s">
        <v>120</v>
      </c>
      <c r="B6" t="s">
        <v>121</v>
      </c>
      <c r="C6" s="45" t="s">
        <v>115</v>
      </c>
      <c r="D6" s="44" t="s">
        <v>116</v>
      </c>
      <c r="E6" t="s">
        <v>117</v>
      </c>
      <c r="G6" s="3"/>
    </row>
    <row r="7" spans="1:12" ht="12.75" customHeight="1">
      <c r="A7" s="48" t="s">
        <v>122</v>
      </c>
      <c r="B7" t="s">
        <v>123</v>
      </c>
      <c r="C7" s="45" t="s">
        <v>124</v>
      </c>
      <c r="D7" s="44"/>
      <c r="E7" t="s">
        <v>125</v>
      </c>
    </row>
    <row r="8" spans="1:12" ht="12.75" customHeight="1">
      <c r="A8" s="48" t="s">
        <v>126</v>
      </c>
      <c r="B8" t="s">
        <v>127</v>
      </c>
      <c r="C8" s="45" t="s">
        <v>124</v>
      </c>
      <c r="D8" s="44"/>
      <c r="E8" t="s">
        <v>125</v>
      </c>
    </row>
    <row r="9" spans="1:12" ht="12.75" customHeight="1">
      <c r="A9" s="54" t="s">
        <v>128</v>
      </c>
      <c r="B9" s="55" t="s">
        <v>129</v>
      </c>
      <c r="C9" s="45" t="s">
        <v>115</v>
      </c>
      <c r="D9" t="s">
        <v>116</v>
      </c>
      <c r="E9" t="s">
        <v>117</v>
      </c>
      <c r="K9" s="42"/>
      <c r="L9" s="42"/>
    </row>
    <row r="10" spans="1:12" ht="12.75" customHeight="1">
      <c r="A10" s="54" t="s">
        <v>130</v>
      </c>
      <c r="B10" s="55" t="s">
        <v>131</v>
      </c>
      <c r="C10" s="45" t="s">
        <v>115</v>
      </c>
      <c r="D10" t="s">
        <v>116</v>
      </c>
      <c r="E10" t="s">
        <v>117</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42476333-D9A4-43BE-B80A-769A6B9B1C8D}"/>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Dileep Siriki [Libsys]</cp:lastModifiedBy>
  <cp:revision/>
  <dcterms:created xsi:type="dcterms:W3CDTF">2021-01-01T16:39:53Z</dcterms:created>
  <dcterms:modified xsi:type="dcterms:W3CDTF">2025-06-25T19:38:59Z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