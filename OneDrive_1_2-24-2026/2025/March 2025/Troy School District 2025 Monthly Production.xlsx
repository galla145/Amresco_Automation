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83EBABD6-36B2-4932-A06E-59649EA3C48E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9" l="1"/>
  <c r="G7" i="29"/>
  <c r="G8" i="29"/>
  <c r="G9" i="29"/>
  <c r="G5" i="29"/>
  <c r="G4" i="29"/>
  <c r="G6" i="18"/>
  <c r="G7" i="18"/>
  <c r="G8" i="18"/>
  <c r="G9" i="18"/>
  <c r="G5" i="18"/>
  <c r="G4" i="18"/>
  <c r="E4" i="72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D9" i="34"/>
  <c r="D8" i="34"/>
  <c r="D7" i="34"/>
  <c r="D6" i="34"/>
  <c r="D5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9" i="29"/>
  <c r="C9" i="29"/>
  <c r="D8" i="29"/>
  <c r="C8" i="29"/>
  <c r="D7" i="29"/>
  <c r="C7" i="29"/>
  <c r="D6" i="29"/>
  <c r="C6" i="29"/>
  <c r="D5" i="29"/>
  <c r="C5" i="29"/>
  <c r="D4" i="29"/>
  <c r="C4" i="29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6" i="18" l="1"/>
  <c r="F6" i="18" s="1"/>
  <c r="E6" i="30"/>
  <c r="F6" i="30" s="1"/>
  <c r="E6" i="29"/>
  <c r="F6" i="29" s="1"/>
  <c r="E9" i="29"/>
  <c r="F9" i="29" s="1"/>
  <c r="H9" i="29"/>
  <c r="I9" i="29" s="1"/>
  <c r="E8" i="29"/>
  <c r="F8" i="29" s="1"/>
  <c r="D2" i="29"/>
  <c r="E5" i="29"/>
  <c r="F5" i="29" s="1"/>
  <c r="D2" i="18"/>
  <c r="E8" i="18"/>
  <c r="F8" i="18" s="1"/>
  <c r="H6" i="30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H9" i="34"/>
  <c r="I9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tc={5502E32E-EA25-4375-830B-D7201034A9B7}</author>
    <author>tc={19908291-39E5-48E8-ADBD-D18B690EAAC1}</author>
    <author>tc={15A665D4-5CA4-40C7-9D51-C8A60BE35F4F}</author>
    <author>tc={B041F97E-109F-4676-BB05-0E67BD9E8337}</author>
    <author>tc={39EF8A12-B4F0-4E06-BC9B-15ECBAA2BB50}</author>
  </authors>
  <commentList>
    <comment ref="D4" authorId="0" shapeId="0" xr:uid="{5502E32E-EA25-4375-830B-D7201034A9B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19908291-39E5-48E8-ADBD-D18B690EAAC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15A665D4-5CA4-40C7-9D51-C8A60BE35F4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041F97E-109F-4676-BB05-0E67BD9E833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9EF8A12-B4F0-4E06-BC9B-15ECBAA2BB5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tc={C5553AA2-C40F-4BC2-9230-FAA33DC88F98}</author>
    <author>tc={01FAC6D4-81CA-4EA0-9B50-1E235ADE7284}</author>
    <author>tc={66037218-5119-4150-A511-0405ADBE71A5}</author>
    <author>tc={4B2EB466-2812-4246-884A-89723116166C}</author>
    <author>tc={AC8952D9-97D9-4D3B-8E0A-44A9D150E287}</author>
  </authors>
  <commentList>
    <comment ref="D4" authorId="0" shapeId="0" xr:uid="{C5553AA2-C40F-4BC2-9230-FAA33DC8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01FAC6D4-81CA-4EA0-9B50-1E235ADE7284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66037218-5119-4150-A511-0405ADBE71A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4B2EB466-2812-4246-884A-89723116166C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AC8952D9-97D9-4D3B-8E0A-44A9D150E28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tc={8850B165-5CA4-4B27-B336-5AE603CCE8C5}</author>
    <author>tc={B032335B-56A3-4992-B050-AC6FEA48E72E}</author>
    <author>tc={95541D59-87E7-4A23-A987-250CCB7DB5E1}</author>
    <author>tc={90A03E3D-A8FA-4F4D-BD7D-1C1E49498F8B}</author>
    <author>tc={5009E02D-DAA6-4451-9B0E-7C1B8131D526}</author>
  </authors>
  <commentList>
    <comment ref="D4" authorId="0" shapeId="0" xr:uid="{8850B165-5CA4-4B27-B336-5AE603CCE8C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B032335B-56A3-4992-B050-AC6FEA48E72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95541D59-87E7-4A23-A987-250CCB7DB5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90A03E3D-A8FA-4F4D-BD7D-1C1E49498F8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5009E02D-DAA6-4451-9B0E-7C1B8131D52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tc={9A0E6939-2DAA-4B6E-A78A-AD3D0D55F9CE}</author>
    <author>tc={46C4B7E8-83D3-4961-9EF6-AF6D02352E63}</author>
    <author>tc={C490C181-98DA-4593-AE05-C732E1782985}</author>
    <author>tc={348E943D-2FDB-4DB4-B661-3833AFF342A8}</author>
    <author>tc={3B829DE0-21A9-460D-B27A-39F2E27C2902}</author>
  </authors>
  <commentList>
    <comment ref="D4" authorId="0" shapeId="0" xr:uid="{9A0E6939-2DAA-4B6E-A78A-AD3D0D55F9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
</t>
      </text>
    </comment>
    <comment ref="D5" authorId="1" shapeId="0" xr:uid="{46C4B7E8-83D3-4961-9EF6-AF6D02352E6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490C181-98DA-4593-AE05-C732E178298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348E943D-2FDB-4DB4-B661-3833AFF3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B829DE0-21A9-460D-B27A-39F2E27C29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tc={F6458B33-9B33-4A77-AC10-89DF44A6DAF8}</author>
    <author>tc={D5AFEF53-8390-4BCF-A2A2-89C18CA4D078}</author>
    <author>tc={430DFAB9-72AA-4424-917A-AC67B48E7E23}</author>
    <author>tc={99A38ADF-37E8-4058-8B0D-D48CC2690018}</author>
    <author>tc={51B9C412-DBF2-445F-A129-BF3A0BD4C5D1}</author>
  </authors>
  <commentList>
    <comment ref="D4" authorId="0" shapeId="0" xr:uid="{F6458B33-9B33-4A77-AC10-89DF44A6DAF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D5AFEF53-8390-4BCF-A2A2-89C18CA4D07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430DFAB9-72AA-4424-917A-AC67B48E7E2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9A38ADF-37E8-4058-8B0D-D48CC269001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51B9C412-DBF2-445F-A129-BF3A0BD4C5D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tc={5256FC0C-6903-4BC1-88E3-DBCD234445C5}</author>
  </authors>
  <commentList>
    <comment ref="D4" authorId="0" shapeId="0" xr:uid="{5256FC0C-6903-4BC1-88E3-DBCD2344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tc={45B1799B-CD17-4EB5-9CB7-1D284709FC8B}</author>
    <author>tc={66DDE5BC-DA88-4748-91AF-CFE5B8268D89}</author>
    <author>tc={3EFF22BE-9EC5-4171-A99C-3000AB9F8133}</author>
    <author>tc={666E3D53-A946-4D2E-9ABB-510755FE90E2}</author>
    <author>tc={926BE923-B18E-42CE-8803-13B1F23F1382}</author>
  </authors>
  <commentList>
    <comment ref="D4" authorId="0" shapeId="0" xr:uid="{45B1799B-CD17-4EB5-9CB7-1D284709FC8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66DDE5BC-DA88-4748-91AF-CFE5B8268D8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3EFF22BE-9EC5-4171-A99C-3000AB9F813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666E3D53-A946-4D2E-9ABB-510755FE90E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926BE923-B18E-42CE-8803-13B1F23F138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tc={6079D441-BBE4-420A-9C1B-5F2943D7F459}</author>
    <author>tc={FC6E6EF4-5045-4E01-A5FC-7B8249249F8E}</author>
    <author>tc={5DC661E8-B346-488C-AABB-6D22B94C84D2}</author>
    <author>tc={B6DA3073-0A67-46B3-8175-82B09D4F530E}</author>
    <author>tc={07E75B0F-A9D5-4352-83FA-E12B4965D7A3}</author>
  </authors>
  <commentList>
    <comment ref="D4" authorId="0" shapeId="0" xr:uid="{6079D441-BBE4-420A-9C1B-5F2943D7F45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FC6E6EF4-5045-4E01-A5FC-7B8249249F8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5DC661E8-B346-488C-AABB-6D22B94C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6DA3073-0A67-46B3-8175-82B09D4F530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07E75B0F-A9D5-4352-83FA-E12B4965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tc={E007D360-A36A-4640-9EA7-1B6C23511362}</author>
    <author>tc={C2D15422-6D8C-4608-B02B-B0F0CC5427E1}</author>
    <author>tc={8C03C4CD-F1E6-470E-A55C-0E0DB680FF0D}</author>
    <author>tc={0269FA90-544F-4138-9F23-16A68C243748}</author>
    <author>tc={80B36D22-EBA9-402D-A358-077899D4FFCA}</author>
  </authors>
  <commentList>
    <comment ref="D4" authorId="0" shapeId="0" xr:uid="{E007D360-A36A-4640-9EA7-1B6C2351136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C2D15422-6D8C-4608-B02B-B0F0CC54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8C03C4CD-F1E6-470E-A55C-0E0DB680FF0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0269FA90-544F-4138-9F23-16A68C24374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80B36D22-EBA9-402D-A358-077899D4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tc={5D0C1146-AE43-4C78-8CD2-5797C82B4001}</author>
    <author>tc={8C4D49ED-6228-4543-9F64-79B74BD9337B}</author>
    <author>tc={C302B5E1-7FE5-49F3-8C8A-5707A44D3E9B}</author>
    <author>tc={95AAF360-F73F-49B8-9360-DB14DCAE5AD5}</author>
    <author>tc={227F81CB-3512-4A7D-AEB9-DCC33DAAF31E}</author>
  </authors>
  <commentList>
    <comment ref="D4" authorId="0" shapeId="0" xr:uid="{5D0C1146-AE43-4C78-8CD2-5797C82B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8C4D49ED-6228-4543-9F64-79B74BD9337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302B5E1-7FE5-49F3-8C8A-5707A44D3E9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5AAF360-F73F-49B8-9360-DB14DCAE5AD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227F81CB-3512-4A7D-AEB9-DCC33DAAF31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<sst xmlns="http://schemas.openxmlformats.org/spreadsheetml/2006/main" count="300" uniqueCount="69">
  <si>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</si>
  <si>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</si>
  <si>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</si>
  <si>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</si>
  <si>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</si>
  <si>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</si>
  <si>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</si>
  <si>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</si>
  <si>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</si>
  <si>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</si>
  <si>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</si>
  <si>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</si>
  <si>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</si>
  <si>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</si>
  <si>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</si>
  <si>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</si>
  <si>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</si>
  <si>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</si>
  <si>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</si>
  <si>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</si>
  <si>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</si>
  <si>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</si>
  <si>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</si>
  <si>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Inverters 2, 3, 4, and 5 were tripped offline at 8:30 AM on 01/30/25 due to a permanent static GFCI fault (16) and issue self-resolved on 01/31/25.</t>
  </si>
  <si>
    <t>1. SR096152</t>
  </si>
  <si>
    <t xml:space="preserve">1. Low generation due to snow/rain </t>
  </si>
  <si>
    <t>February Actual v. Expected</t>
  </si>
  <si>
    <t>February Actual v. Forecasted</t>
  </si>
  <si>
    <t>1.Inverters 2, 3, 4, and 5 were tripped offline at 9:30 AM on 02/06 due to a permanent static GFCI fault (16) and self-resolved on 02/07. Inverters 3, 4, and 5 tripped offline again at 1:15 PM on 02/08 and were later resolved on 02/09. Upon the technician's arrival on 02/11, the parameters were adjusted, and the inverters were brought back online.</t>
  </si>
  <si>
    <t xml:space="preserve">1. SR096152
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</si>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</sst>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164" fontId="28" fillId="0" borderId="0" xfId="1" applyNumberFormat="1" applyFont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right" vertical="center" wrapText="1"/>
    </xf>
    <xf numFmtId="164" fontId="28" fillId="0" borderId="0" xfId="1" applyNumberFormat="1" applyFont="1" applyBorder="1" applyAlignment="1">
      <alignment horizontal="righ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F2101760-07CB-4940-80FB-C36454AC45AA}" userId="S::kusumapotlada@amgsol.com::a4794fd0-fb2a-418d-b379-bb3c7e6c0e3d" providerId="AD"/>
  <person displayName="Jayasri  Garapati [AGS]" id="{C34EC6BB-8E1B-4337-8CB2-A343FCFD5DEE}" userId="S::JayasriGarapati@amgsol.com::282c909e-c88d-461e-8dcb-55676bfed37e" providerId="AD"/>
  <person displayName="Guest User" id="{2A186F63-0C68-4C4D-8D29-062DB64B58AB}" userId="S::urn:spo:anon#e84203b1262b69a51109c13abdfdc0a0c7dc35435f99d8d59e7121f8ae24660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2-13T07:18:53.16" personId="{F2101760-07CB-4940-80FB-C36454AC45AA}" id="{5502E32E-EA25-4375-830B-D7201034A9B7}">
    <text>Expected Energy not available from April.</text>
  </threadedComment>
  <threadedComment ref="D5" dT="2025-02-13T07:18:57.50" personId="{F2101760-07CB-4940-80FB-C36454AC45AA}" id="{19908291-39E5-48E8-ADBD-D18B690EAAC1}">
    <text>Expected Energy not available from April.</text>
  </threadedComment>
  <threadedComment ref="D6" dT="2025-02-13T07:19:02.05" personId="{F2101760-07CB-4940-80FB-C36454AC45AA}" id="{15A665D4-5CA4-40C7-9D51-C8A60BE35F4F}">
    <text>Expected Energy not available from April.</text>
  </threadedComment>
  <threadedComment ref="D7" dT="2025-02-13T07:19:06.89" personId="{F2101760-07CB-4940-80FB-C36454AC45AA}" id="{B041F97E-109F-4676-BB05-0E67BD9E8337}">
    <text>Expected Energy not available from April.</text>
  </threadedComment>
  <threadedComment ref="D9" dT="2025-02-13T07:19:11.53" personId="{F2101760-07CB-4940-80FB-C36454AC45AA}" id="{39EF8A12-B4F0-4E06-BC9B-15ECBAA2BB50}">
    <text>Expected Energy not available from April.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3-12T06:36:40.90" personId="{F2101760-07CB-4940-80FB-C36454AC45AA}" id="{C5553AA2-C40F-4BC2-9230-FAA33DC88F98}">
    <text>Expected Energy not available from April - 2024.</text>
  </threadedComment>
  <threadedComment ref="D5" dT="2025-03-12T06:36:45.15" personId="{F2101760-07CB-4940-80FB-C36454AC45AA}" id="{01FAC6D4-81CA-4EA0-9B50-1E235ADE7284}">
    <text>Expected Energy not available from April - 2024.</text>
  </threadedComment>
  <threadedComment ref="D6" dT="2025-03-12T06:36:49.54" personId="{F2101760-07CB-4940-80FB-C36454AC45AA}" id="{66037218-5119-4150-A511-0405ADBE71A5}">
    <text>Expected Energy not available from April - 2024.</text>
  </threadedComment>
  <threadedComment ref="D7" dT="2025-03-12T06:36:54.81" personId="{F2101760-07CB-4940-80FB-C36454AC45AA}" id="{4B2EB466-2812-4246-884A-89723116166C}">
    <text>Expected Energy not available from April - 2024.</text>
  </threadedComment>
  <threadedComment ref="D9" dT="2025-03-12T06:36:59.85" personId="{F2101760-07CB-4940-80FB-C36454AC45AA}" id="{AC8952D9-97D9-4D3B-8E0A-44A9D150E287}">
    <text>Expected Energy not available from April - 2024.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5-03-12T06:36:40.90" personId="{F2101760-07CB-4940-80FB-C36454AC45AA}" id="{8850B165-5CA4-4B27-B336-5AE603CCE8C5}">
    <text>Expected Energy not available from April - 2024.</text>
  </threadedComment>
  <threadedComment ref="D5" dT="2025-03-12T06:36:45.15" personId="{F2101760-07CB-4940-80FB-C36454AC45AA}" id="{B032335B-56A3-4992-B050-AC6FEA48E72E}">
    <text>Expected Energy not available from April - 2024.</text>
  </threadedComment>
  <threadedComment ref="D6" dT="2025-03-12T06:36:49.54" personId="{F2101760-07CB-4940-80FB-C36454AC45AA}" id="{95541D59-87E7-4A23-A987-250CCB7DB5E1}">
    <text>Expected Energy not available from April - 2024.</text>
  </threadedComment>
  <threadedComment ref="D7" dT="2025-03-12T06:36:54.81" personId="{F2101760-07CB-4940-80FB-C36454AC45AA}" id="{90A03E3D-A8FA-4F4D-BD7D-1C1E49498F8B}">
    <text>Expected Energy not available from April - 2024.</text>
  </threadedComment>
  <threadedComment ref="D9" dT="2025-03-12T06:36:59.85" personId="{F2101760-07CB-4940-80FB-C36454AC45AA}" id="{5009E02D-DAA6-4451-9B0E-7C1B8131D526}">
    <text>Expected Energy not available from April - 2024.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7-10T07:08:42.39" personId="{2A186F63-0C68-4C4D-8D29-062DB64B58AB}" id="{9A0E6939-2DAA-4B6E-A78A-AD3D0D55F9CE}">
    <text xml:space="preserve">Expected Energy not available from April.
</text>
  </threadedComment>
  <threadedComment ref="D5" dT="2024-07-10T07:08:52.27" personId="{2A186F63-0C68-4C4D-8D29-062DB64B58AB}" id="{46C4B7E8-83D3-4961-9EF6-AF6D02352E63}">
    <text>Expected Energy not available from April.</text>
  </threadedComment>
  <threadedComment ref="D6" dT="2024-07-10T07:09:04.08" personId="{2A186F63-0C68-4C4D-8D29-062DB64B58AB}" id="{C490C181-98DA-4593-AE05-C732E1782985}">
    <text>Expected Energy not available from April.</text>
  </threadedComment>
  <threadedComment ref="D7" dT="2024-07-10T07:09:12.06" personId="{2A186F63-0C68-4C4D-8D29-062DB64B58AB}" id="{348E943D-2FDB-4DB4-B661-3833AFF342A8}">
    <text>Expected Energy not available from April.</text>
  </threadedComment>
  <threadedComment ref="D9" dT="2024-07-10T07:09:22.86" personId="{2A186F63-0C68-4C4D-8D29-062DB64B58AB}" id="{3B829DE0-21A9-460D-B27A-39F2E27C2902}">
    <text>Expected Energy not available from April.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1-07T06:36:15.93" personId="{F2101760-07CB-4940-80FB-C36454AC45AA}" id="{F6458B33-9B33-4A77-AC10-89DF44A6DAF8}">
    <text>Expected Energy not available from April.</text>
  </threadedComment>
  <threadedComment ref="D5" dT="2025-01-07T06:36:19.65" personId="{F2101760-07CB-4940-80FB-C36454AC45AA}" id="{D5AFEF53-8390-4BCF-A2A2-89C18CA4D078}">
    <text>Expected Energy not available from April.</text>
  </threadedComment>
  <threadedComment ref="D6" dT="2025-01-07T06:36:23.71" personId="{F2101760-07CB-4940-80FB-C36454AC45AA}" id="{430DFAB9-72AA-4424-917A-AC67B48E7E23}">
    <text>Expected Energy not available from April.</text>
  </threadedComment>
  <threadedComment ref="D7" dT="2025-01-07T06:36:28.27" personId="{F2101760-07CB-4940-80FB-C36454AC45AA}" id="{99A38ADF-37E8-4058-8B0D-D48CC2690018}">
    <text>Expected Energy not available from April.</text>
  </threadedComment>
  <threadedComment ref="D9" dT="2025-01-07T06:36:32.04" personId="{F2101760-07CB-4940-80FB-C36454AC45AA}" id="{51B9C412-DBF2-445F-A129-BF3A0BD4C5D1}">
    <text>Expected Energy not available from April.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4" dT="2025-01-07T06:36:41.02" personId="{F2101760-07CB-4940-80FB-C36454AC45AA}" id="{5256FC0C-6903-4BC1-88E3-DBCD234445C5}">
    <text>Expected Energy not available from April.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4" dT="2025-01-07T06:36:21.99" personId="{C34EC6BB-8E1B-4337-8CB2-A343FCFD5DEE}" id="{45B1799B-CD17-4EB5-9CB7-1D284709FC8B}">
    <text>Expected energy not available from April</text>
  </threadedComment>
  <threadedComment ref="D5" dT="2025-01-07T06:36:27.88" personId="{C34EC6BB-8E1B-4337-8CB2-A343FCFD5DEE}" id="{66DDE5BC-DA88-4748-91AF-CFE5B8268D89}">
    <text>Expected energy not available from April</text>
  </threadedComment>
  <threadedComment ref="D6" dT="2025-01-07T06:36:33.29" personId="{C34EC6BB-8E1B-4337-8CB2-A343FCFD5DEE}" id="{3EFF22BE-9EC5-4171-A99C-3000AB9F8133}">
    <text>Expected energy not available from April</text>
  </threadedComment>
  <threadedComment ref="D7" dT="2025-01-07T06:36:42.56" personId="{C34EC6BB-8E1B-4337-8CB2-A343FCFD5DEE}" id="{666E3D53-A946-4D2E-9ABB-510755FE90E2}">
    <text>Expected energy not available from April</text>
  </threadedComment>
  <threadedComment ref="D9" dT="2025-01-07T06:36:47.85" personId="{C34EC6BB-8E1B-4337-8CB2-A343FCFD5DEE}" id="{926BE923-B18E-42CE-8803-13B1F23F1382}">
    <text>Expected energy not available from April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4" dT="2025-01-07T06:35:25.43" personId="{F2101760-07CB-4940-80FB-C36454AC45AA}" id="{6079D441-BBE4-420A-9C1B-5F2943D7F459}">
    <text>Expected Energy not available from April.</text>
  </threadedComment>
  <threadedComment ref="D5" dT="2025-01-07T06:35:29.40" personId="{F2101760-07CB-4940-80FB-C36454AC45AA}" id="{FC6E6EF4-5045-4E01-A5FC-7B8249249F8E}">
    <text>Expected Energy not available from April.</text>
  </threadedComment>
  <threadedComment ref="D6" dT="2025-01-07T06:35:34.46" personId="{F2101760-07CB-4940-80FB-C36454AC45AA}" id="{5DC661E8-B346-488C-AABB-6D22B94C84D2}">
    <text>Expected Energy not available from April.</text>
  </threadedComment>
  <threadedComment ref="D7" dT="2025-01-07T06:35:38.98" personId="{F2101760-07CB-4940-80FB-C36454AC45AA}" id="{B6DA3073-0A67-46B3-8175-82B09D4F530E}">
    <text>Expected Energy not available from April.</text>
  </threadedComment>
  <threadedComment ref="D9" dT="2025-01-07T06:35:43.02" personId="{F2101760-07CB-4940-80FB-C36454AC45AA}" id="{07E75B0F-A9D5-4352-83FA-E12B4965D7A3}">
    <text>Expected Energy not available from April.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dT="2025-01-07T06:35:27.30" personId="{C34EC6BB-8E1B-4337-8CB2-A343FCFD5DEE}" id="{E007D360-A36A-4640-9EA7-1B6C23511362}">
    <text>Expected energy not available from April</text>
  </threadedComment>
  <threadedComment ref="D5" dT="2025-01-07T06:35:38.30" personId="{C34EC6BB-8E1B-4337-8CB2-A343FCFD5DEE}" id="{C2D15422-6D8C-4608-B02B-B0F0CC5427E1}">
    <text>Expected energy not available from April</text>
  </threadedComment>
  <threadedComment ref="D6" dT="2025-01-07T06:35:46.95" personId="{C34EC6BB-8E1B-4337-8CB2-A343FCFD5DEE}" id="{8C03C4CD-F1E6-470E-A55C-0E0DB680FF0D}">
    <text>Expected energy not available from April</text>
  </threadedComment>
  <threadedComment ref="D7" dT="2025-01-07T06:35:53.98" personId="{C34EC6BB-8E1B-4337-8CB2-A343FCFD5DEE}" id="{0269FA90-544F-4138-9F23-16A68C243748}">
    <text>Expected energy not available from April</text>
  </threadedComment>
  <threadedComment ref="D9" dT="2025-01-07T06:35:55.16" personId="{F2101760-07CB-4940-80FB-C36454AC45AA}" id="{80B36D22-EBA9-402D-A358-077899D4FFCA}">
    <text>Expected Energy not available from April.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4" dT="2025-01-07T06:34:53.63" personId="{F2101760-07CB-4940-80FB-C36454AC45AA}" id="{5D0C1146-AE43-4C78-8CD2-5797C82B4001}">
    <text>Expected Energy not available from April.</text>
  </threadedComment>
  <threadedComment ref="D5" dT="2025-01-07T06:35:00.29" personId="{F2101760-07CB-4940-80FB-C36454AC45AA}" id="{8C4D49ED-6228-4543-9F64-79B74BD9337B}">
    <text>Expected Energy not available from April.</text>
  </threadedComment>
  <threadedComment ref="D6" dT="2025-01-07T06:35:05.43" personId="{F2101760-07CB-4940-80FB-C36454AC45AA}" id="{C302B5E1-7FE5-49F3-8C8A-5707A44D3E9B}">
    <text>Expected Energy not available from April.</text>
  </threadedComment>
  <threadedComment ref="D7" dT="2025-01-07T06:35:11.38" personId="{F2101760-07CB-4940-80FB-C36454AC45AA}" id="{95AAF360-F73F-49B8-9360-DB14DCAE5AD5}">
    <text>Expected Energy not available from April.</text>
  </threadedComment>
  <threadedComment ref="D9" dT="2025-01-07T06:35:16.69" personId="{F2101760-07CB-4940-80FB-C36454AC45AA}" id="{227F81CB-3512-4A7D-AEB9-DCC33DAAF31E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us3.assetplanner.com/service_request?ID=096152" TargetMode="Externa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9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G7" sqref="G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Troy School District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SUM(C4:C77)</f>
        <v>461942.57</v>
      </c>
      <c r="D2" s="5">
        <f>SUM(D4:D77)</f>
        <v>103007.17</v>
      </c>
      <c r="E2" s="5">
        <f>C2-D2</f>
        <v>358935.4</v>
      </c>
      <c r="F2" s="6">
        <f>IFERROR(E2/D2, 0)</f>
        <v>3.4845671422678639</v>
      </c>
      <c r="G2" s="5">
        <f>SUM(G4:G77)</f>
        <v>0</v>
      </c>
      <c r="H2" s="7">
        <f>C2-G2</f>
        <v>461942.57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68519.5</v>
      </c>
      <c r="D4" s="13">
        <f>SUM('1st Qtr'!D4, '2nd Qtr'!D4, '3rd Qtr'!D4, '4th Qtr'!D4)</f>
        <v>0</v>
      </c>
      <c r="E4" s="13">
        <f>IF(AND(ISNUMBER(C4),ISNUMBER(D4)), C4-D4, "")</f>
        <v>68519.5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Joliet - Heritage Trail</v>
      </c>
      <c r="B5" s="10" t="str">
        <v>IL</v>
      </c>
      <c r="C5" s="11">
        <f>SUM(Jan!C5, Feb!C5, Mar!C5)</f>
        <v>71279.5</v>
      </c>
      <c r="D5" s="18">
        <f>SUM(Jan!D5, Feb!D5, Mar!D5)</f>
        <v>0</v>
      </c>
      <c r="E5" s="18">
        <f t="shared" ref="E5:E9" si="0">IF(AND(ISNUMBER(C5),ISNUMBER(D5)), C5-D5, "")</f>
        <v>71279.5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Plainfield - Troy</v>
      </c>
      <c r="B6" s="9" t="str">
        <v>IL</v>
      </c>
      <c r="C6" s="24">
        <f>SUM(Jan!C6, Feb!C6, Mar!C6)</f>
        <v>84493.07</v>
      </c>
      <c r="D6" s="13">
        <f>SUM(Jan!D6, Feb!D6, Mar!D6)</f>
        <v>0</v>
      </c>
      <c r="E6" s="13">
        <f t="shared" si="0"/>
        <v>84493.07</v>
      </c>
      <c r="F6" s="14" t="str">
        <f t="shared" ref="F6:F9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9" si="2">IFERROR(H6/G6, "")</f>
        <v/>
      </c>
    </row>
    <row r="7" spans="1:9" ht="15.6">
      <c r="A7" s="17" t="str">
        <v>Plainfield - William B Orenic</v>
      </c>
      <c r="B7" s="10" t="str">
        <v>IL</v>
      </c>
      <c r="C7" s="11">
        <f>SUM(Jan!C7, Feb!C7, Mar!C7)</f>
        <v>76819</v>
      </c>
      <c r="D7" s="18">
        <f>SUM(Jan!D7, Feb!D7, Mar!D7)</f>
        <v>0</v>
      </c>
      <c r="E7" s="18">
        <f t="shared" si="0"/>
        <v>76819</v>
      </c>
      <c r="F7" s="19" t="str">
        <f t="shared" si="1"/>
        <v/>
      </c>
      <c r="G7" s="20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Shorewood - Cronin</v>
      </c>
      <c r="B8" s="9" t="str">
        <v>IL</v>
      </c>
      <c r="C8" s="24">
        <f>SUM(Jan!C8, Feb!C8, Mar!C8)</f>
        <v>84906.5</v>
      </c>
      <c r="D8" s="13">
        <f>SUM(Jan!D8, Feb!D8, Mar!D8)</f>
        <v>103007.17</v>
      </c>
      <c r="E8" s="13">
        <f t="shared" si="0"/>
        <v>-18100.669999999998</v>
      </c>
      <c r="F8" s="14">
        <f t="shared" si="1"/>
        <v>-0.17572242786594369</v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Shorewood - Hofer</v>
      </c>
      <c r="B9" s="10" t="str">
        <v>IL</v>
      </c>
      <c r="C9" s="11">
        <f>SUM(Jan!C9, Feb!C9, Mar!C9)</f>
        <v>75925</v>
      </c>
      <c r="D9" s="18">
        <f>SUM(Jan!D9, Feb!D9, Mar!D9)</f>
        <v>0</v>
      </c>
      <c r="E9" s="18">
        <f t="shared" si="0"/>
        <v>75925</v>
      </c>
      <c r="F9" s="19" t="str">
        <f t="shared" si="1"/>
        <v/>
      </c>
      <c r="G9" s="20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D4" activePane="bottomRight" state="frozen"/>
      <selection pane="bottomRight" activeCell="G6" sqref="G6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Troy School District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SUM(C4:C77)</f>
        <v>461942.57</v>
      </c>
      <c r="D2" s="5">
        <f>SUM(D4:D77)</f>
        <v>103007.17</v>
      </c>
      <c r="E2" s="5">
        <f>C2-D2</f>
        <v>358935.4</v>
      </c>
      <c r="F2" s="6">
        <f>IFERROR(E2/D2, 0)</f>
        <v>3.4845671422678639</v>
      </c>
      <c r="G2" s="5">
        <f>SUM(G4:G77)</f>
        <v>0</v>
      </c>
      <c r="H2" s="7">
        <f>C2-G2</f>
        <v>461942.57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68519.5</v>
      </c>
      <c r="D4" s="13">
        <f>SUM(Jan!D4, Feb!D4, Mar!D4)</f>
        <v>0</v>
      </c>
      <c r="E4" s="13">
        <f>IF(AND(ISNUMBER(C4),ISNUMBER(D4)), C4-D4, "")</f>
        <v>68519.5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SUM(Jan!C5, Feb!C5, Mar!C5)</f>
        <v>71279.5</v>
      </c>
      <c r="D5" s="18">
        <f>SUM(Jan!D5, Feb!D5, Mar!D5)</f>
        <v>0</v>
      </c>
      <c r="E5" s="18">
        <f t="shared" ref="E5:E9" si="0">IF(AND(ISNUMBER(C5),ISNUMBER(D5)), C5-D5, "")</f>
        <v>71279.5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SUM(Jan!C6, Feb!C6, Mar!C6)</f>
        <v>84493.07</v>
      </c>
      <c r="D6" s="13">
        <f>SUM(Jan!D6, Feb!D6, Mar!D6)</f>
        <v>0</v>
      </c>
      <c r="E6" s="13">
        <f t="shared" si="0"/>
        <v>84493.07</v>
      </c>
      <c r="F6" s="14" t="str">
        <f t="shared" ref="F6:F9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SUM(Jan!C7, Feb!C7, Mar!C7)</f>
        <v>76819</v>
      </c>
      <c r="D7" s="18">
        <f>SUM(Jan!D7, Feb!D7, Mar!D7)</f>
        <v>0</v>
      </c>
      <c r="E7" s="18">
        <f t="shared" si="0"/>
        <v>76819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SUM(Jan!C8, Feb!C8, Mar!C8)</f>
        <v>84906.5</v>
      </c>
      <c r="D8" s="13">
        <f>SUM(Jan!D8, Feb!D8, Mar!D8)</f>
        <v>103007.17</v>
      </c>
      <c r="E8" s="13">
        <f t="shared" si="0"/>
        <v>-18100.669999999998</v>
      </c>
      <c r="F8" s="14">
        <f t="shared" si="1"/>
        <v>-0.17572242786594369</v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SUM(Jan!C9, Feb!C9, Mar!C9)</f>
        <v>75925</v>
      </c>
      <c r="D9" s="18">
        <f>SUM(Jan!D9, Feb!D9, Mar!D9)</f>
        <v>0</v>
      </c>
      <c r="E9" s="18">
        <f t="shared" si="0"/>
        <v>75925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D4" activePane="bottomRight" state="frozen"/>
      <selection pane="bottomRight" activeCell="G16" sqref="G16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Troy School District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SUM(Apr!C5, May!C5, Jun!C5)</f>
        <v>0</v>
      </c>
      <c r="D5" s="18">
        <f>SUM(Apr!D5, May!D5, Jun!D5)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9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14" sqref="G14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Troy School District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SUM(Jul!C5, Aug!C5, Sep!C5)</f>
        <v>0</v>
      </c>
      <c r="D5" s="18">
        <f>SUM(Jul!D5, Aug!D5, Sep!D5)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9" si="1">IFERROR(E6/D6, "")</f>
        <v/>
      </c>
      <c r="G6" s="15">
        <f>SUM(Oct!G6,Nov!G6,Dec!G6)</f>
        <v>0</v>
      </c>
      <c r="H6" s="15">
        <f>SUM(Jul!H6, Aug!H6, Sep!H6)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18">
        <f>SUM(Oct!G7,Nov!G7,Dec!G7)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SUM(Jul!C8, Aug!C9, Sep!C8)</f>
        <v>0</v>
      </c>
      <c r="D8" s="13">
        <f>SUM(Jul!D8, Aug!D9, Sep!D8)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SUM(Jul!H8, Aug!H9, Sep!H8)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SUM(Jul!C9, Aug!C10, Sep!C9)</f>
        <v>0</v>
      </c>
      <c r="D9" s="18">
        <f>SUM(Jul!D9, Aug!D10, Sep!D9)</f>
        <v>0</v>
      </c>
      <c r="E9" s="18">
        <f t="shared" si="0"/>
        <v>0</v>
      </c>
      <c r="F9" s="19" t="str">
        <f t="shared" si="1"/>
        <v/>
      </c>
      <c r="G9" s="18">
        <f>SUM(Oct!G9,Nov!G9,Dec!G9)</f>
        <v>0</v>
      </c>
      <c r="H9" s="20">
        <f>SUM(Jul!H9, Aug!H10, Sep!H9)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9" activePane="bottomRight" state="frozen"/>
      <selection pane="bottomRight" activeCell="E21" sqref="E21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Troy School District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F4" activePane="bottomRight" state="frozen"/>
      <selection pane="bottomRight" activeCell="J11" sqref="J11"/>
      <selection pane="bottomLeft" activeCell="F21" sqref="F21"/>
      <selection pane="topRight" activeCell="F21" sqref="F2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SUM(C4:C76)</f>
        <v>89649</v>
      </c>
      <c r="D2" s="5">
        <f>SUM(D4:D76)</f>
        <v>28100</v>
      </c>
      <c r="E2" s="5">
        <f>C2-D2</f>
        <v>61549</v>
      </c>
      <c r="F2" s="6">
        <f>IFERROR(E2/D2, 0)</f>
        <v>2.1903558718861209</v>
      </c>
      <c r="G2" s="5">
        <f>SUM(G4:G76)</f>
        <v>0</v>
      </c>
      <c r="H2" s="7">
        <f>C2-G2</f>
        <v>89649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12686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48" t="str">
        <v>Joliet - Heritage Trail</v>
      </c>
      <c r="B5" s="31" t="str">
        <v>IL</v>
      </c>
      <c r="C5" s="11">
        <v>13469</v>
      </c>
      <c r="D5" s="18" t="s">
        <v>22</v>
      </c>
      <c r="E5" s="18" t="str">
        <f t="shared" ref="E5:E9" si="0">IF(AND(ISNUMBER(C5),ISNUMBER(D5)), C5-D5, "")</f>
        <v/>
      </c>
      <c r="F5" s="19" t="str">
        <f t="shared" ref="F5:F9" si="1">IFERROR(E5/D5, "")</f>
        <v/>
      </c>
      <c r="G5" s="59" t="s">
        <v>22</v>
      </c>
      <c r="H5" s="20" t="str">
        <f t="shared" ref="H5:H6" si="2">IF(AND(ISNUMBER(C5),ISNUMBER(G5)), C5-G5, "")</f>
        <v/>
      </c>
      <c r="I5" s="19" t="str">
        <f t="shared" ref="I5:I6" si="3">IFERROR(H5/G5, "")</f>
        <v/>
      </c>
      <c r="J5" s="51"/>
      <c r="K5" s="51"/>
    </row>
    <row r="6" spans="1:11" ht="15.6">
      <c r="A6" s="47" t="str">
        <v>Plainfield - Troy</v>
      </c>
      <c r="B6" s="29" t="str">
        <v>IL</v>
      </c>
      <c r="C6" s="24">
        <v>16785</v>
      </c>
      <c r="D6" s="13" t="s">
        <v>22</v>
      </c>
      <c r="E6" s="13" t="str">
        <f t="shared" si="0"/>
        <v/>
      </c>
      <c r="F6" s="14" t="str">
        <f t="shared" si="1"/>
        <v/>
      </c>
      <c r="G6" s="58" t="s">
        <v>22</v>
      </c>
      <c r="H6" s="15" t="str">
        <f t="shared" si="2"/>
        <v/>
      </c>
      <c r="I6" s="16" t="str">
        <f t="shared" si="3"/>
        <v/>
      </c>
      <c r="J6" s="50"/>
      <c r="K6" s="50"/>
    </row>
    <row r="7" spans="1:11" ht="28.9">
      <c r="A7" s="48" t="str">
        <v>Plainfield - William B Orenic</v>
      </c>
      <c r="B7" s="31" t="str">
        <v>IL</v>
      </c>
      <c r="C7" s="11">
        <v>15189</v>
      </c>
      <c r="D7" s="18" t="s">
        <v>22</v>
      </c>
      <c r="E7" s="18" t="str">
        <f t="shared" si="0"/>
        <v/>
      </c>
      <c r="F7" s="19" t="str">
        <f t="shared" si="1"/>
        <v/>
      </c>
      <c r="G7" s="59" t="s">
        <v>22</v>
      </c>
      <c r="H7" s="20" t="str">
        <f t="shared" ref="H7:H9" si="4">IF(AND(ISNUMBER(C7),ISNUMBER(G7)), C7-G7, "")</f>
        <v/>
      </c>
      <c r="I7" s="19" t="str">
        <f t="shared" ref="I7:I9" si="5">IFERROR(H7/G7, "")</f>
        <v/>
      </c>
      <c r="J7" s="51" t="s">
        <v>23</v>
      </c>
      <c r="K7" s="51" t="s">
        <v>24</v>
      </c>
    </row>
    <row r="8" spans="1:11" ht="15.6">
      <c r="A8" s="47" t="str">
        <v>Shorewood - Cronin</v>
      </c>
      <c r="B8" s="29" t="str">
        <v>IL</v>
      </c>
      <c r="C8" s="24">
        <v>16823</v>
      </c>
      <c r="D8" s="13">
        <v>28100</v>
      </c>
      <c r="E8" s="13">
        <f t="shared" si="0"/>
        <v>-11277</v>
      </c>
      <c r="F8" s="14">
        <f t="shared" si="1"/>
        <v>-0.4013167259786477</v>
      </c>
      <c r="G8" s="58" t="s">
        <v>22</v>
      </c>
      <c r="H8" s="15" t="str">
        <f t="shared" si="4"/>
        <v/>
      </c>
      <c r="I8" s="16" t="str">
        <f t="shared" si="5"/>
        <v/>
      </c>
      <c r="J8" s="50" t="s">
        <v>25</v>
      </c>
      <c r="K8" s="50"/>
    </row>
    <row r="9" spans="1:11" ht="15.6">
      <c r="A9" s="48" t="str">
        <v>Shorewood - Hofer</v>
      </c>
      <c r="B9" s="31" t="str">
        <v>IL</v>
      </c>
      <c r="C9" s="11">
        <v>14697</v>
      </c>
      <c r="D9" s="18" t="s">
        <v>22</v>
      </c>
      <c r="E9" s="18" t="str">
        <f t="shared" si="0"/>
        <v/>
      </c>
      <c r="F9" s="19" t="str">
        <f t="shared" si="1"/>
        <v/>
      </c>
      <c r="G9" s="59" t="s">
        <v>22</v>
      </c>
      <c r="H9" s="20" t="str">
        <f t="shared" si="4"/>
        <v/>
      </c>
      <c r="I9" s="19" t="str">
        <f t="shared" si="5"/>
        <v/>
      </c>
      <c r="J9" s="51" t="s">
        <v>25</v>
      </c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16" stopIfTrue="1" operator="lessThanOrEqual">
      <formula>-0.1</formula>
    </cfRule>
    <cfRule type="expression" dxfId="27" priority="17">
      <formula>AND(ISNUMBER(F2), F2&gt;=0.1)</formula>
    </cfRule>
  </conditionalFormatting>
  <conditionalFormatting sqref="F4:F76 I4:I7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E4" activePane="bottomRight" state="frozen"/>
      <selection pane="bottomRight" activeCell="J18" sqref="J1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26</v>
      </c>
      <c r="E1" s="63"/>
      <c r="F1" s="63"/>
      <c r="G1" s="61" t="s">
        <v>27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146034.66</v>
      </c>
      <c r="D2" s="5">
        <f>SUM(D4:D77)</f>
        <v>31465</v>
      </c>
      <c r="E2" s="5">
        <f>C2-D2</f>
        <v>114569.66</v>
      </c>
      <c r="F2" s="6">
        <f>IFERROR(E2/D2, 0)</f>
        <v>3.6411778166216431</v>
      </c>
      <c r="G2" s="5">
        <f>SUM(G4:G77)</f>
        <v>0</v>
      </c>
      <c r="H2" s="7">
        <f>C2-G2</f>
        <v>146034.66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21859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48" t="str">
        <v>Joliet - Heritage Trail</v>
      </c>
      <c r="B5" s="31" t="str">
        <v>IL</v>
      </c>
      <c r="C5" s="11">
        <v>22097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49" t="str">
        <v>Plainfield - Troy</v>
      </c>
      <c r="B6" s="29" t="str">
        <v>IL</v>
      </c>
      <c r="C6" s="24">
        <v>27054.16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78" customHeight="1">
      <c r="A7" s="48" t="str">
        <v>Plainfield - William B Orenic</v>
      </c>
      <c r="B7" s="31" t="str">
        <v>IL</v>
      </c>
      <c r="C7" s="11">
        <v>24770.5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 t="s">
        <v>28</v>
      </c>
      <c r="K7" s="60" t="s">
        <v>29</v>
      </c>
    </row>
    <row r="8" spans="1:11" ht="15.6">
      <c r="A8" s="49" t="str">
        <v>Shorewood - Cronin</v>
      </c>
      <c r="B8" s="29" t="str">
        <v>IL</v>
      </c>
      <c r="C8" s="24">
        <v>26290</v>
      </c>
      <c r="D8" s="13">
        <v>31465</v>
      </c>
      <c r="E8" s="13">
        <f t="shared" si="0"/>
        <v>-5175</v>
      </c>
      <c r="F8" s="14">
        <f t="shared" si="3"/>
        <v>-0.16446845701573176</v>
      </c>
      <c r="G8" s="58" t="s">
        <v>22</v>
      </c>
      <c r="H8" s="15" t="str">
        <f t="shared" si="1"/>
        <v/>
      </c>
      <c r="I8" s="16" t="str">
        <f t="shared" si="2"/>
        <v/>
      </c>
      <c r="J8" s="50" t="s">
        <v>25</v>
      </c>
      <c r="K8" s="50"/>
    </row>
    <row r="9" spans="1:11" ht="15.6">
      <c r="A9" s="48" t="str">
        <v>Shorewood - Hofer</v>
      </c>
      <c r="B9" s="31" t="str">
        <v>IL</v>
      </c>
      <c r="C9" s="11">
        <v>23964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 t="s">
        <v>25</v>
      </c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7" r:id="rId1" display="https://us3.assetplanner.com/service_request?ID=096152" xr:uid="{17C1E723-2F0B-4748-AF6A-0BD657D1F064}"/>
  </hyperlinks>
  <pageMargins left="0.4" right="0.7" top="0.25" bottom="0.25" header="0.3" footer="0.3"/>
  <pageSetup fitToHeight="99" orientation="landscape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H17" sqref="H17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30</v>
      </c>
      <c r="E1" s="63"/>
      <c r="F1" s="63"/>
      <c r="G1" s="61" t="s">
        <v>31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226258.91</v>
      </c>
      <c r="D2" s="5">
        <f>SUM(D4:D77)</f>
        <v>43442.17</v>
      </c>
      <c r="E2" s="5">
        <f>C2-D2</f>
        <v>182816.74</v>
      </c>
      <c r="F2" s="6">
        <f>IFERROR(E2/D2, 0)</f>
        <v>4.2082782697089023</v>
      </c>
      <c r="G2" s="5">
        <f>SUM(G4:G77)</f>
        <v>0</v>
      </c>
      <c r="H2" s="7">
        <f>C2-G2</f>
        <v>226258.91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33974.5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>
        <v>35713.5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>
        <v>40653.910000000003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>
        <v>36859.5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>
        <v>41793.5</v>
      </c>
      <c r="D8" s="13">
        <v>43442.17</v>
      </c>
      <c r="E8" s="13">
        <f t="shared" si="0"/>
        <v>-1648.6699999999983</v>
      </c>
      <c r="F8" s="14">
        <f t="shared" si="3"/>
        <v>-3.7950912673100773E-2</v>
      </c>
      <c r="G8" s="58" t="s">
        <v>22</v>
      </c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>
        <v>37264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32</v>
      </c>
      <c r="E1" s="63"/>
      <c r="F1" s="63"/>
      <c r="G1" s="61" t="s">
        <v>33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34</v>
      </c>
      <c r="E1" s="63"/>
      <c r="F1" s="63"/>
      <c r="G1" s="61" t="s">
        <v>35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36</v>
      </c>
      <c r="E1" s="63"/>
      <c r="F1" s="63"/>
      <c r="G1" s="61" t="s">
        <v>37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38</v>
      </c>
      <c r="E1" s="63"/>
      <c r="F1" s="63"/>
      <c r="G1" s="61" t="s">
        <v>39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40</v>
      </c>
      <c r="E1" s="63"/>
      <c r="F1" s="63"/>
      <c r="G1" s="61" t="s">
        <v>41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10" si="0">IF(AND(ISNUMBER(C5),ISNUMBER(D5)), C5-D5, "")</f>
        <v/>
      </c>
      <c r="F5" s="19" t="str">
        <f>IFERROR(E5/D5, "")</f>
        <v/>
      </c>
      <c r="G5" s="20"/>
      <c r="H5" s="20" t="str">
        <f t="shared" ref="H5:H10" si="1">IF(AND(ISNUMBER(C5),ISNUMBER(G5)), C5-G5, "")</f>
        <v/>
      </c>
      <c r="I5" s="19" t="str">
        <f t="shared" ref="I5:I10" si="2">IFERROR(H5/G5, "")</f>
        <v/>
      </c>
      <c r="J5" s="51"/>
      <c r="K5" s="51"/>
    </row>
    <row r="6" spans="1:11" ht="66.75" customHeight="1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10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3"/>
    </row>
    <row r="8" spans="1:11" ht="15.6">
      <c r="A8" s="28" t="str">
        <v>Shorewood - Cronin</v>
      </c>
      <c r="B8" s="29" t="str">
        <v>IL</v>
      </c>
      <c r="C8" s="24"/>
      <c r="D8" s="13"/>
      <c r="E8" s="13"/>
      <c r="F8" s="14"/>
      <c r="G8" s="15"/>
      <c r="H8" s="15"/>
      <c r="I8" s="16"/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3"/>
    </row>
    <row r="10" spans="1:11" ht="15.6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1"/>
      <c r="K10" s="52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zoomScale="90" zoomScaleNormal="90" workbookViewId="0">
      <pane xSplit="2" ySplit="3" topLeftCell="J22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42</v>
      </c>
      <c r="E1" s="63"/>
      <c r="F1" s="63"/>
      <c r="G1" s="61" t="s">
        <v>43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44</v>
      </c>
      <c r="E1" s="63"/>
      <c r="F1" s="63"/>
      <c r="G1" s="61" t="s">
        <v>45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54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55"/>
      <c r="D8" s="56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54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46</v>
      </c>
      <c r="E1" s="63"/>
      <c r="F1" s="63"/>
      <c r="G1" s="61" t="s">
        <v>47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57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57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D4" sqref="D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Troy School District</v>
      </c>
      <c r="B1" s="62"/>
      <c r="C1" s="62"/>
      <c r="D1" s="63" t="s">
        <v>48</v>
      </c>
      <c r="E1" s="63"/>
      <c r="F1" s="63"/>
      <c r="G1" s="61" t="s">
        <v>49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6" t="s">
        <v>55</v>
      </c>
      <c r="B4" t="s">
        <v>56</v>
      </c>
      <c r="C4" s="43" t="s">
        <v>57</v>
      </c>
      <c r="D4" s="42"/>
      <c r="E4" t="s">
        <v>58</v>
      </c>
      <c r="G4" s="3"/>
    </row>
    <row r="5" spans="1:12" ht="14.45">
      <c r="A5" s="46" t="s">
        <v>59</v>
      </c>
      <c r="B5" t="s">
        <v>60</v>
      </c>
      <c r="C5" s="43" t="s">
        <v>57</v>
      </c>
      <c r="D5" s="42"/>
      <c r="E5" t="s">
        <v>58</v>
      </c>
      <c r="G5" s="3"/>
    </row>
    <row r="6" spans="1:12" ht="14.45">
      <c r="A6" s="46" t="s">
        <v>61</v>
      </c>
      <c r="B6" t="s">
        <v>62</v>
      </c>
      <c r="C6" s="43" t="s">
        <v>57</v>
      </c>
      <c r="D6" s="42"/>
      <c r="E6" t="s">
        <v>58</v>
      </c>
      <c r="G6" s="3"/>
    </row>
    <row r="7" spans="1:12" ht="12.75" customHeight="1">
      <c r="A7" s="46" t="s">
        <v>63</v>
      </c>
      <c r="B7" t="s">
        <v>64</v>
      </c>
      <c r="C7" s="43" t="s">
        <v>57</v>
      </c>
      <c r="D7" s="42"/>
      <c r="E7" t="s">
        <v>58</v>
      </c>
    </row>
    <row r="8" spans="1:12" ht="12.75" customHeight="1">
      <c r="A8" s="46" t="s">
        <v>65</v>
      </c>
      <c r="B8" t="s">
        <v>66</v>
      </c>
      <c r="C8" s="43" t="s">
        <v>57</v>
      </c>
      <c r="D8" s="42"/>
      <c r="E8" t="s">
        <v>58</v>
      </c>
    </row>
    <row r="9" spans="1:12" ht="12.75" customHeight="1">
      <c r="A9" s="46" t="s">
        <v>67</v>
      </c>
      <c r="B9" t="s">
        <v>68</v>
      </c>
      <c r="C9" s="43" t="s">
        <v>57</v>
      </c>
      <c r="D9" s="42"/>
      <c r="E9" t="s">
        <v>58</v>
      </c>
    </row>
    <row r="10" spans="1:12" ht="12.75" customHeight="1">
      <c r="A10" s="46"/>
      <c r="C10" s="43"/>
      <c r="D10" s="42"/>
      <c r="K10" s="41"/>
      <c r="L10" s="41"/>
    </row>
    <row r="11" spans="1:12" ht="12.75" customHeight="1">
      <c r="A11" s="46"/>
      <c r="C11" s="43"/>
      <c r="D11" s="42"/>
      <c r="K11" s="41"/>
      <c r="L11" s="41"/>
    </row>
    <row r="12" spans="1:12" ht="12.75" customHeight="1">
      <c r="A12" s="46"/>
      <c r="C12" s="43"/>
      <c r="D12" s="42"/>
      <c r="K12" s="41"/>
      <c r="L12" s="41"/>
    </row>
    <row r="13" spans="1:12" ht="12.75" customHeight="1">
      <c r="A13" s="46"/>
      <c r="C13" s="43"/>
      <c r="D13" s="42"/>
      <c r="K13" s="41"/>
      <c r="L13" s="41"/>
    </row>
    <row r="14" spans="1:12" ht="12.75" customHeight="1">
      <c r="A14" s="46"/>
      <c r="C14" s="43"/>
      <c r="D14" s="42"/>
      <c r="K14" s="41"/>
      <c r="L14" s="41"/>
    </row>
    <row r="15" spans="1:12" ht="12.75" customHeight="1">
      <c r="A15" s="46"/>
      <c r="C15" s="43"/>
      <c r="D15" s="42"/>
      <c r="K15" s="41"/>
      <c r="L15" s="41"/>
    </row>
    <row r="16" spans="1:12" ht="12.75" customHeight="1">
      <c r="A16" s="46"/>
      <c r="C16" s="43"/>
      <c r="D16" s="42"/>
      <c r="K16" s="41"/>
      <c r="L16" s="41"/>
    </row>
    <row r="17" spans="1:12" ht="12.75" customHeight="1">
      <c r="A17" s="46"/>
      <c r="C17" s="43"/>
      <c r="D17" s="42"/>
      <c r="K17" s="41"/>
      <c r="L17" s="41"/>
    </row>
    <row r="18" spans="1:12" ht="12.75" customHeight="1">
      <c r="A18" s="46"/>
      <c r="C18" s="43"/>
      <c r="D18" s="42"/>
      <c r="K18" s="41"/>
      <c r="L18" s="41"/>
    </row>
    <row r="19" spans="1:12" ht="12.75" customHeight="1">
      <c r="A19" s="46"/>
      <c r="C19" s="43"/>
      <c r="D19" s="42"/>
      <c r="K19" s="41"/>
      <c r="L19" s="41"/>
    </row>
    <row r="20" spans="1:12" ht="12.75" customHeight="1">
      <c r="A20" s="46"/>
      <c r="C20" s="43"/>
      <c r="D20" s="42"/>
      <c r="K20" s="41"/>
      <c r="L20" s="41"/>
    </row>
    <row r="21" spans="1:12" ht="12.75" customHeight="1">
      <c r="A21" s="46"/>
      <c r="C21" s="43"/>
      <c r="D21" s="42"/>
      <c r="K21" s="41"/>
      <c r="L21" s="41"/>
    </row>
    <row r="22" spans="1:12" ht="12.75" customHeight="1">
      <c r="A22" s="46"/>
      <c r="C22" s="43"/>
      <c r="D22" s="42"/>
      <c r="K22" s="41"/>
      <c r="L22" s="41"/>
    </row>
    <row r="23" spans="1:12" ht="12.75" customHeight="1">
      <c r="A23" s="46"/>
      <c r="C23" s="43"/>
      <c r="D23" s="42"/>
      <c r="K23" s="41"/>
      <c r="L23" s="41"/>
    </row>
    <row r="24" spans="1:12" ht="12.75" customHeight="1">
      <c r="A24" s="46"/>
      <c r="C24" s="43"/>
      <c r="D24" s="42"/>
      <c r="K24" s="41"/>
      <c r="L24" s="41"/>
    </row>
    <row r="25" spans="1:12" ht="12.75" customHeight="1">
      <c r="A25" s="46"/>
      <c r="C25" s="43"/>
      <c r="D25" s="42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4A046526-4F0E-4B43-B48F-4D7C52A07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2025-06-30T11:32:40Z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