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3" documentId="13_ncr:1_{C8C67F22-7363-4E79-93E5-45F64ACF9157}" xr6:coauthVersionLast="47" xr6:coauthVersionMax="47" xr10:uidLastSave="{48BCC9DF-25F4-4C4F-9B28-F6669DA4D55A}"/>
  <bookViews>
    <workbookView xWindow="-108" yWindow="-108" windowWidth="23256" windowHeight="1389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G2" i="18" s="1"/>
  <c r="H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<sst xmlns="http://schemas.openxmlformats.org/spreadsheetml/2006/main" count="245" uniqueCount="56">
  <si>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</si>
  <si>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</si>
  <si>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</si>
  <si>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</si>
  <si>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</si>
  <si>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</si>
  <si>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</si>
  <si>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</si>
  <si>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</si>
  <si>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</si>
  <si>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</si>
  <si>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</si>
  <si>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</si>
  <si>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</si>
  <si>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</si>
  <si>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</si>
  <si>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</si>
  <si>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</si>
  <si>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</si>
  <si>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</si>
  <si>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</si>
  <si>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</si>
  <si>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</si>
  <si>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Low generation due to rain/snow.</t>
  </si>
  <si>
    <t>February Actual v. Expected</t>
  </si>
  <si>
    <t>February Actual v. Forecasted</t>
  </si>
  <si>
    <t>1.Low generation due to weather/snow.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</si>
  <si>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</si>
  <si>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</si>
  <si>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</si>
  <si>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</si>
  <si>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</si>
  <si>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</si>
  <si>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</si>
  <si>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</si>
  <si>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</si>
  <si>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</si>
  <si>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</si>
  <si>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</si>
  <si>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</si>
  <si>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</si>
  <si>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</si>
  <si>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</si>
  <si>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</si>
  <si>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</si>
  <si>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</si>
  <si>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</si>
  <si>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</si>
  <si>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111 Hayes Memorial Drive</t>
  </si>
  <si>
    <t>Site DAS Name</t>
  </si>
  <si>
    <t>Update</t>
  </si>
  <si>
    <t>DAS</t>
  </si>
  <si>
    <t>MA: Marlborough - 111 Hayes Memorial Dr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</si>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</sst>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F14" sqref="F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111 Hayes Memorial Drive</v>
      </c>
      <c r="B1" s="50"/>
      <c r="C1" s="50"/>
      <c r="D1" s="51" t="s">
        <v>0</v>
      </c>
      <c r="E1" s="51"/>
      <c r="F1" s="51"/>
      <c r="G1" s="49" t="s">
        <v>1</v>
      </c>
      <c r="H1" s="49"/>
      <c r="I1" s="49"/>
    </row>
    <row r="2" spans="1:9" ht="19.5" customHeight="1">
      <c r="A2" s="52" t="s">
        <v>2</v>
      </c>
      <c r="B2" s="52"/>
      <c r="C2" s="5">
        <f>SUM(C4:C79)</f>
        <v>48264.026874999996</v>
      </c>
      <c r="D2" s="5">
        <f>SUM(D4:D79)</f>
        <v>0</v>
      </c>
      <c r="E2" s="5">
        <f>C2-D2</f>
        <v>48264.026874999996</v>
      </c>
      <c r="F2" s="6">
        <f>IFERROR(E2/D2, 0)</f>
        <v>0</v>
      </c>
      <c r="G2" s="5">
        <f>SUM(G4:G79)</f>
        <v>69229.305999999997</v>
      </c>
      <c r="H2" s="7">
        <f>C2-G2</f>
        <v>-20965.279125000001</v>
      </c>
      <c r="I2" s="6">
        <f>IFERROR(H2/G2, 0)</f>
        <v>-0.30283821023715018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SUM('1st Qtr'!C4, '2nd Qtr'!C4, '3rd Qtr'!C4, '4th Qtr'!C4)</f>
        <v>48264.026874999996</v>
      </c>
      <c r="D4" s="12">
        <f>SUM('1st Qtr'!D4, '2nd Qtr'!D4, '3rd Qtr'!D4, '4th Qtr'!D4)</f>
        <v>0</v>
      </c>
      <c r="E4" s="12">
        <f>IF(AND(ISNUMBER(C4),ISNUMBER(D4)), C4-D4, "")</f>
        <v>48264.026874999996</v>
      </c>
      <c r="F4" s="13" t="str">
        <f>IFERROR(E4/D4, "")</f>
        <v/>
      </c>
      <c r="G4" s="14">
        <f>SUM('1st Qtr'!G4, '2nd Qtr'!G4, '3rd Qtr'!G4, '4th Qtr'!G4)</f>
        <v>69229.305999999997</v>
      </c>
      <c r="H4" s="14">
        <f>SUM('1st Qtr'!H4, '2nd Qtr'!H4, '3rd Qtr'!H4, '4th Qtr'!H4)</f>
        <v>-20965.279125000001</v>
      </c>
      <c r="I4" s="15">
        <f>IFERROR(H4/G4, "")</f>
        <v>-0.30283821023715018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I4" sqref="I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111 Hayes Memorial Drive</v>
      </c>
      <c r="B1" s="50"/>
      <c r="C1" s="50"/>
      <c r="D1" s="51" t="s">
        <v>10</v>
      </c>
      <c r="E1" s="51"/>
      <c r="F1" s="51"/>
      <c r="G1" s="49" t="s">
        <v>11</v>
      </c>
      <c r="H1" s="49"/>
      <c r="I1" s="49"/>
    </row>
    <row r="2" spans="1:9" ht="19.5" customHeight="1">
      <c r="A2" s="52" t="s">
        <v>2</v>
      </c>
      <c r="B2" s="52"/>
      <c r="C2" s="5">
        <f>SUM(C4:C79)</f>
        <v>48264.026874999996</v>
      </c>
      <c r="D2" s="5">
        <f>SUM(D4:D79)</f>
        <v>0</v>
      </c>
      <c r="E2" s="5">
        <f>C2-D2</f>
        <v>48264.026874999996</v>
      </c>
      <c r="F2" s="6">
        <f>IFERROR(E2/D2, 0)</f>
        <v>0</v>
      </c>
      <c r="G2" s="5">
        <f>SUM(G4:G79)</f>
        <v>69229.305999999997</v>
      </c>
      <c r="H2" s="7">
        <f>C2-G2</f>
        <v>-20965.279125000001</v>
      </c>
      <c r="I2" s="6">
        <f>IFERROR(H2/G2, 0)</f>
        <v>-0.30283821023715018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SUM(Jan!C4, Feb!C4, Mar!C4)</f>
        <v>48264.026874999996</v>
      </c>
      <c r="D4" s="12">
        <f>SUM(Jan!D4, Feb!D4, Mar!D4)</f>
        <v>0</v>
      </c>
      <c r="E4" s="12">
        <f>IF(AND(ISNUMBER(C4),ISNUMBER(D4)), C4-D4, "")</f>
        <v>48264.026874999996</v>
      </c>
      <c r="F4" s="13" t="str">
        <f>IFERROR(E4/D4, "")</f>
        <v/>
      </c>
      <c r="G4" s="14">
        <f>SUM(Jan!G4, Feb!G4, Mar!G4)</f>
        <v>69229.305999999997</v>
      </c>
      <c r="H4" s="14">
        <f>SUM(Jan!H4, Feb!H4, Mar!H4)</f>
        <v>-20965.279125000001</v>
      </c>
      <c r="I4" s="15">
        <f>IFERROR(H4/G4, "")</f>
        <v>-0.30283821023715018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G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111 Hayes Memorial Drive</v>
      </c>
      <c r="B1" s="50"/>
      <c r="C1" s="50"/>
      <c r="D1" s="51" t="s">
        <v>12</v>
      </c>
      <c r="E1" s="51"/>
      <c r="F1" s="51"/>
      <c r="G1" s="49" t="s">
        <v>13</v>
      </c>
      <c r="H1" s="49"/>
      <c r="I1" s="49"/>
    </row>
    <row r="2" spans="1:9" ht="19.5" customHeight="1">
      <c r="A2" s="52" t="s">
        <v>2</v>
      </c>
      <c r="B2" s="5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G5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111 Hayes Memorial Drive</v>
      </c>
      <c r="B1" s="50"/>
      <c r="C1" s="50"/>
      <c r="D1" s="51" t="s">
        <v>14</v>
      </c>
      <c r="E1" s="51"/>
      <c r="F1" s="51"/>
      <c r="G1" s="49" t="s">
        <v>15</v>
      </c>
      <c r="H1" s="49"/>
      <c r="I1" s="49"/>
    </row>
    <row r="2" spans="1:9" ht="19.5" customHeight="1">
      <c r="A2" s="52" t="s">
        <v>2</v>
      </c>
      <c r="B2" s="5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SUM(Jun!G4,Jul!G4,Aug!G4)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D12" activePane="bottomRight" state="frozen"/>
      <selection pane="bottomRight" activeCell="D12" sqref="D1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111 Hayes Memorial Drive</v>
      </c>
      <c r="B1" s="50"/>
      <c r="C1" s="50"/>
      <c r="D1" s="51" t="s">
        <v>16</v>
      </c>
      <c r="E1" s="51"/>
      <c r="F1" s="51"/>
      <c r="G1" s="49" t="s">
        <v>17</v>
      </c>
      <c r="H1" s="49"/>
      <c r="I1" s="49"/>
    </row>
    <row r="2" spans="1:9" ht="19.5" customHeight="1">
      <c r="A2" s="52" t="s">
        <v>2</v>
      </c>
      <c r="B2" s="5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zoomScale="80" zoomScaleNormal="80" workbookViewId="0">
      <pane xSplit="2" ySplit="3" topLeftCell="C4" activePane="bottomRight" state="frozen"/>
      <selection pane="bottomRight" activeCell="E7" sqref="E7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111 Hayes Memorial Drive</v>
      </c>
      <c r="B1" s="50"/>
      <c r="C1" s="50"/>
      <c r="D1" s="51" t="s">
        <v>18</v>
      </c>
      <c r="E1" s="51"/>
      <c r="F1" s="51"/>
      <c r="G1" s="49" t="s">
        <v>19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SUM(C4:C78)</f>
        <v>10839.375</v>
      </c>
      <c r="D2" s="5">
        <f>SUM(D4:D78)</f>
        <v>0</v>
      </c>
      <c r="E2" s="5">
        <f>C2-D2</f>
        <v>10839.375</v>
      </c>
      <c r="F2" s="6">
        <f>IFERROR(E2/D2, 0)</f>
        <v>0</v>
      </c>
      <c r="G2" s="5">
        <f>SUM(G4:G78)</f>
        <v>18979.806</v>
      </c>
      <c r="H2" s="7">
        <f>C2-G2</f>
        <v>-8140.4310000000005</v>
      </c>
      <c r="I2" s="6">
        <f>IFERROR(H2/G2, 0)</f>
        <v>-0.42889958938463335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6" t="s">
        <v>5</v>
      </c>
      <c r="D3" s="47" t="s">
        <v>6</v>
      </c>
      <c r="E3" s="31" t="s">
        <v>7</v>
      </c>
      <c r="F3" s="32" t="s">
        <v>8</v>
      </c>
      <c r="G3" s="48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10839.375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18979.806</v>
      </c>
      <c r="H4" s="14">
        <f>IF(AND(ISNUMBER(C4),ISNUMBER(G4)), C4-G4, "")</f>
        <v>-8140.4310000000005</v>
      </c>
      <c r="I4" s="15">
        <f>IFERROR(H4/G4, "")</f>
        <v>-0.42889958938463335</v>
      </c>
      <c r="J4" s="36" t="s">
        <v>23</v>
      </c>
      <c r="K4" s="36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8 I4:I7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zoomScale="70" zoomScaleNormal="70" workbookViewId="0">
      <pane xSplit="2" ySplit="3" topLeftCell="C4" activePane="bottomRight" state="frozen"/>
      <selection pane="bottomRight" activeCell="E17" sqref="E17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111 Hayes Memorial Drive</v>
      </c>
      <c r="B1" s="50"/>
      <c r="C1" s="50"/>
      <c r="D1" s="51" t="s">
        <v>24</v>
      </c>
      <c r="E1" s="51"/>
      <c r="F1" s="51"/>
      <c r="G1" s="49" t="s">
        <v>25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SUM(C4:C79)</f>
        <v>6484.875</v>
      </c>
      <c r="D2" s="5">
        <f>SUM(D4:D79)</f>
        <v>0</v>
      </c>
      <c r="E2" s="5">
        <f>C2-D2</f>
        <v>6484.875</v>
      </c>
      <c r="F2" s="6">
        <f>IFERROR(E2/D2, 0)</f>
        <v>0</v>
      </c>
      <c r="G2" s="5">
        <f>SUM(G4:G79)</f>
        <v>21502.5</v>
      </c>
      <c r="H2" s="7">
        <f>C2-G2</f>
        <v>-15017.625</v>
      </c>
      <c r="I2" s="6">
        <f>IFERROR(H2/G2, 0)</f>
        <v>-0.69841297523543777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6484.875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21502.5</v>
      </c>
      <c r="H4" s="14">
        <f>IF(AND(ISNUMBER(C4),ISNUMBER(G4)), C4-G4, "")</f>
        <v>-15017.625</v>
      </c>
      <c r="I4" s="15">
        <f>IFERROR(H4/G4, "")</f>
        <v>-0.69841297523543777</v>
      </c>
      <c r="J4" s="36" t="s">
        <v>26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tabSelected="1" zoomScale="80" zoomScaleNormal="80" workbookViewId="0">
      <pane xSplit="2" ySplit="3" topLeftCell="C4" activePane="bottomRight" state="frozen"/>
      <selection pane="bottomRight" activeCell="H16" sqref="H16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111 Hayes Memorial Drive</v>
      </c>
      <c r="B1" s="50"/>
      <c r="C1" s="50"/>
      <c r="D1" s="51" t="s">
        <v>27</v>
      </c>
      <c r="E1" s="51"/>
      <c r="F1" s="51"/>
      <c r="G1" s="49" t="s">
        <v>28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SUM(C4:C79)</f>
        <v>30939.776875</v>
      </c>
      <c r="D2" s="5">
        <f>SUM(D4:D79)</f>
        <v>0</v>
      </c>
      <c r="E2" s="5">
        <f>C2-D2</f>
        <v>30939.776875</v>
      </c>
      <c r="F2" s="6">
        <f>IFERROR(E2/D2, 0)</f>
        <v>0</v>
      </c>
      <c r="G2" s="5">
        <f>SUM(G4:G79)</f>
        <v>28747</v>
      </c>
      <c r="H2" s="7">
        <f>C2-G2</f>
        <v>2192.7768749999996</v>
      </c>
      <c r="I2" s="6">
        <f>IFERROR(H2/G2, 0)</f>
        <v>7.6278459491425171E-2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30939.776875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28747</v>
      </c>
      <c r="H4" s="14">
        <f>IF(AND(ISNUMBER(C4),ISNUMBER(G4)), C4-G4, "")</f>
        <v>2192.7768749999996</v>
      </c>
      <c r="I4" s="15">
        <f>IFERROR(H4/G4, "")</f>
        <v>7.6278459491425171E-2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zoomScale="80" zoomScaleNormal="80" workbookViewId="0">
      <pane xSplit="2" ySplit="3" topLeftCell="E4" activePane="bottomRight" state="frozen"/>
      <selection pane="bottomRight" activeCell="J20" sqref="J20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111 Hayes Memorial Drive</v>
      </c>
      <c r="B1" s="50"/>
      <c r="C1" s="50"/>
      <c r="D1" s="51" t="s">
        <v>29</v>
      </c>
      <c r="E1" s="51"/>
      <c r="F1" s="51"/>
      <c r="G1" s="49" t="s">
        <v>30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69.75" customHeight="1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zoomScale="80" zoomScaleNormal="80" workbookViewId="0">
      <pane xSplit="2" ySplit="3" topLeftCell="D4" activePane="bottomRight" state="frozen"/>
      <selection pane="bottomRight" activeCell="J20" sqref="J20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111 Hayes Memorial Drive</v>
      </c>
      <c r="B1" s="50"/>
      <c r="C1" s="50"/>
      <c r="D1" s="51" t="s">
        <v>31</v>
      </c>
      <c r="E1" s="51"/>
      <c r="F1" s="51"/>
      <c r="G1" s="49" t="s">
        <v>32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20" sqref="J20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111 Hayes Memorial Drive</v>
      </c>
      <c r="B1" s="50"/>
      <c r="C1" s="50"/>
      <c r="D1" s="51" t="s">
        <v>33</v>
      </c>
      <c r="E1" s="51"/>
      <c r="F1" s="51"/>
      <c r="G1" s="49" t="s">
        <v>34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20" sqref="J20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111 Hayes Memorial Drive</v>
      </c>
      <c r="B1" s="50"/>
      <c r="C1" s="50"/>
      <c r="D1" s="51" t="s">
        <v>35</v>
      </c>
      <c r="E1" s="51"/>
      <c r="F1" s="51"/>
      <c r="G1" s="49" t="s">
        <v>36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20" sqref="J20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111 Hayes Memorial Drive</v>
      </c>
      <c r="B1" s="50"/>
      <c r="C1" s="50"/>
      <c r="D1" s="51" t="s">
        <v>37</v>
      </c>
      <c r="E1" s="51"/>
      <c r="F1" s="51"/>
      <c r="G1" s="49" t="s">
        <v>38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20" sqref="J20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111 Hayes Memorial Drive</v>
      </c>
      <c r="B1" s="50"/>
      <c r="C1" s="50"/>
      <c r="D1" s="51" t="s">
        <v>39</v>
      </c>
      <c r="E1" s="51"/>
      <c r="F1" s="51"/>
      <c r="G1" s="49" t="s">
        <v>40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20" sqref="J20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111 Hayes Memorial Drive</v>
      </c>
      <c r="B1" s="50"/>
      <c r="C1" s="50"/>
      <c r="D1" s="51" t="s">
        <v>41</v>
      </c>
      <c r="E1" s="51"/>
      <c r="F1" s="51"/>
      <c r="G1" s="49" t="s">
        <v>42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20" sqref="J20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111 Hayes Memorial Drive</v>
      </c>
      <c r="B1" s="50"/>
      <c r="C1" s="50"/>
      <c r="D1" s="51" t="s">
        <v>43</v>
      </c>
      <c r="E1" s="51"/>
      <c r="F1" s="51"/>
      <c r="G1" s="49" t="s">
        <v>44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20" sqref="J20"/>
      <selection pane="bottomLeft" activeCell="J10" sqref="J10"/>
      <selection pane="topRight" activeCell="J10" sqref="J1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111 Hayes Memorial Drive</v>
      </c>
      <c r="B1" s="50"/>
      <c r="C1" s="50"/>
      <c r="D1" s="51" t="s">
        <v>45</v>
      </c>
      <c r="E1" s="51"/>
      <c r="F1" s="51"/>
      <c r="G1" s="49" t="s">
        <v>46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47</v>
      </c>
      <c r="B1" t="s">
        <v>48</v>
      </c>
    </row>
    <row r="3" spans="1:12" ht="13.15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12" ht="14.45">
      <c r="A4" s="44" t="s">
        <v>48</v>
      </c>
      <c r="B4" t="s">
        <v>52</v>
      </c>
      <c r="C4" s="42" t="s">
        <v>53</v>
      </c>
      <c r="D4" s="41" t="s">
        <v>54</v>
      </c>
      <c r="E4" t="s">
        <v>55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C0BCDC1E-6052-4E48-9BAF-94A40814E7C2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2025-04-16T11:36:38Z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