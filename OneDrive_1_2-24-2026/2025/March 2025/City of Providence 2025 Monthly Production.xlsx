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DA6B241A-1B08-4D7F-A3D9-BDD5BBC7F134}" xr6:coauthVersionLast="47" xr6:coauthVersionMax="47" xr10:uidLastSave="{00000000-0000-0000-0000-000000000000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<sst xmlns="http://schemas.openxmlformats.org/spreadsheetml/2006/main" count="248" uniqueCount="55">
  <si>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</si>
  <si>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</si>
  <si>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</si>
  <si>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</si>
  <si>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</si>
  <si>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</si>
  <si>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</si>
  <si>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</si>
  <si>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</si>
  <si>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</si>
  <si>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</si>
  <si>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</si>
  <si>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</si>
  <si>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</si>
  <si>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</si>
  <si>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</si>
  <si>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</si>
  <si>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</si>
  <si>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</si>
  <si>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</si>
  <si>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</si>
  <si>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</si>
  <si>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</si>
  <si>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rain/snow.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</si>
  <si>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</si>
  <si>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</si>
  <si>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</si>
  <si>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</si>
  <si>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</si>
  <si>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</si>
  <si>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</si>
  <si>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</si>
  <si>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</si>
  <si>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</si>
  <si>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</si>
  <si>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</si>
  <si>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</si>
  <si>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</si>
  <si>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</si>
  <si>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</si>
  <si>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</si>
  <si>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</si>
  <si>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</si>
  <si>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</si>
  <si>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</si>
  <si>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</si>
  <si>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</si>
  <si>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Providence</t>
  </si>
  <si>
    <t>Site DAS Name</t>
  </si>
  <si>
    <t>Update</t>
  </si>
  <si>
    <t>DAS</t>
  </si>
  <si>
    <t>RI - Providence Water</t>
  </si>
  <si>
    <t>RI</t>
  </si>
  <si>
    <t>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</si>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</sst>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11" sqref="D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2" t="str" cm="1">
        <f t="array" ref="A1">portfolio</f>
        <v>City of Providence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SUM(C4:C79)</f>
        <v>148953.4</v>
      </c>
      <c r="D2" s="5">
        <f>SUM(D4:D79)</f>
        <v>0</v>
      </c>
      <c r="E2" s="5">
        <f>C2-D2</f>
        <v>148953.4</v>
      </c>
      <c r="F2" s="6">
        <f>IFERROR(E2/D2, 0)</f>
        <v>0</v>
      </c>
      <c r="G2" s="5">
        <f>SUM(G4:G79)</f>
        <v>0</v>
      </c>
      <c r="H2" s="7">
        <f>C2-G2</f>
        <v>148953.4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City of Providence</v>
      </c>
      <c r="B4" s="9" t="str" cm="1">
        <f t="array" ref="B4">Sites[State]</f>
        <v>RI</v>
      </c>
      <c r="C4" s="23">
        <f>SUM('1st Qtr'!C4, '2nd Qtr'!C4, '3rd Qtr'!C4, '4th Qtr'!C4)</f>
        <v>148953.4</v>
      </c>
      <c r="D4" s="12">
        <f>SUM('1st Qtr'!D4, '2nd Qtr'!D4, '3rd Qtr'!D4, '4th Qtr'!D4)</f>
        <v>0</v>
      </c>
      <c r="E4" s="12">
        <f>IF(AND(ISNUMBER(C4),ISNUMBER(D4)), C4-D4, "")</f>
        <v>148953.4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2" t="str" cm="1">
        <f t="array" ref="A1">portfolio</f>
        <v>City of Providence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SUM(C4:C79)</f>
        <v>148953.4</v>
      </c>
      <c r="D2" s="5">
        <f>SUM(D4:D79)</f>
        <v>0</v>
      </c>
      <c r="E2" s="5">
        <f>C2-D2</f>
        <v>148953.4</v>
      </c>
      <c r="F2" s="6">
        <f>IFERROR(E2/D2, 0)</f>
        <v>0</v>
      </c>
      <c r="G2" s="5">
        <f>SUM(G4:G79)</f>
        <v>0</v>
      </c>
      <c r="H2" s="7">
        <f>C2-G2</f>
        <v>148953.4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City of Providence</v>
      </c>
      <c r="B4" s="9" t="str" cm="1">
        <f t="array" ref="B4">Sites[State]</f>
        <v>RI</v>
      </c>
      <c r="C4" s="23">
        <f>SUM(Jan!C4, Feb!C4, Mar!C4)</f>
        <v>148953.4</v>
      </c>
      <c r="D4" s="12">
        <f>SUM(Jan!D4, Feb!D4, Mar!D4)</f>
        <v>0</v>
      </c>
      <c r="E4" s="12">
        <f>IF(AND(ISNUMBER(C4),ISNUMBER(D4)), C4-D4, "")</f>
        <v>148953.4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2" t="str" cm="1">
        <f t="array" ref="A1">portfolio</f>
        <v>City of Providence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City of Providence</v>
      </c>
      <c r="B4" s="9" t="str" cm="1">
        <f t="array" ref="B4">Sites[State]</f>
        <v>RI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2" t="str" cm="1">
        <f t="array" ref="A1">portfolio</f>
        <v>City of Providence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City of Providence</v>
      </c>
      <c r="B4" s="9" t="str" cm="1">
        <f t="array" ref="B4">Sites[State]</f>
        <v>RI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G20" sqref="G20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2" t="str" cm="1">
        <f t="array" ref="A1">portfolio</f>
        <v>City of Providence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City of Providence</v>
      </c>
      <c r="B4" s="9" t="str" cm="1">
        <f t="array" ref="B4">Sites[State]</f>
        <v>RI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tabSelected="1" workbookViewId="0">
      <pane xSplit="2" ySplit="3" topLeftCell="D4" activePane="bottomRight" state="frozen"/>
      <selection pane="bottomRight" activeCell="G15" sqref="G1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SUM(C4:C78)</f>
        <v>34521.599999999999</v>
      </c>
      <c r="D2" s="5">
        <f>SUM(D4:D78)</f>
        <v>0</v>
      </c>
      <c r="E2" s="5">
        <f>C2-D2</f>
        <v>34521.599999999999</v>
      </c>
      <c r="F2" s="6">
        <f>IFERROR(E2/D2, 0)</f>
        <v>0</v>
      </c>
      <c r="G2" s="5">
        <f>SUM(G4:G78)</f>
        <v>0</v>
      </c>
      <c r="H2" s="7">
        <f>C2-G2</f>
        <v>34521.599999999999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49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City of Providence</v>
      </c>
      <c r="B4" s="27" t="str" cm="1">
        <f t="array" ref="B4">Sites[State]</f>
        <v>RI</v>
      </c>
      <c r="C4" s="23">
        <v>34521.599999999999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46" t="s">
        <v>23</v>
      </c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5:I78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5:F78">
    <cfRule type="cellIs" dxfId="28" priority="3" stopIfTrue="1" operator="lessThanOrEqual">
      <formula>-0.1</formula>
    </cfRule>
    <cfRule type="expression" dxfId="27" priority="4">
      <formula>AND(ISNUMBER(F5), F5&gt;=0.1)</formula>
    </cfRule>
  </conditionalFormatting>
  <conditionalFormatting sqref="F4 I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D4" activePane="bottomRight" state="frozen"/>
      <selection pane="bottomRight" activeCell="J4" sqref="J4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24</v>
      </c>
      <c r="E1" s="53"/>
      <c r="F1" s="53"/>
      <c r="G1" s="51" t="s">
        <v>25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43458.3</v>
      </c>
      <c r="D2" s="5">
        <f>SUM(D4:D79)</f>
        <v>0</v>
      </c>
      <c r="E2" s="5">
        <f>C2-D2</f>
        <v>43458.3</v>
      </c>
      <c r="F2" s="6">
        <f>IFERROR(E2/D2, 0)</f>
        <v>0</v>
      </c>
      <c r="G2" s="5">
        <f>SUM(G4:G79)</f>
        <v>0</v>
      </c>
      <c r="H2" s="7">
        <f>C2-G2</f>
        <v>43458.3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City of Providence</v>
      </c>
      <c r="B4" s="27" t="str" cm="1">
        <f t="array" ref="B4">Sites[State]</f>
        <v>RI</v>
      </c>
      <c r="C4" s="23">
        <v>43458.3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46" t="s">
        <v>23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G22" sqref="G22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26</v>
      </c>
      <c r="E1" s="53"/>
      <c r="F1" s="53"/>
      <c r="G1" s="51" t="s">
        <v>27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70973.5</v>
      </c>
      <c r="D2" s="5">
        <f>SUM(D4:D79)</f>
        <v>0</v>
      </c>
      <c r="E2" s="5">
        <f>C2-D2</f>
        <v>70973.5</v>
      </c>
      <c r="F2" s="6">
        <f>IFERROR(E2/D2, 0)</f>
        <v>0</v>
      </c>
      <c r="G2" s="5">
        <f>SUM(G4:G79)</f>
        <v>0</v>
      </c>
      <c r="H2" s="7">
        <f>C2-G2</f>
        <v>70973.5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70973.5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28</v>
      </c>
      <c r="E1" s="53"/>
      <c r="F1" s="53"/>
      <c r="G1" s="51" t="s">
        <v>29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30</v>
      </c>
      <c r="E1" s="53"/>
      <c r="F1" s="53"/>
      <c r="G1" s="51" t="s">
        <v>31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32</v>
      </c>
      <c r="E1" s="53"/>
      <c r="F1" s="53"/>
      <c r="G1" s="51" t="s">
        <v>33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34</v>
      </c>
      <c r="E1" s="53"/>
      <c r="F1" s="53"/>
      <c r="G1" s="51" t="s">
        <v>35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38</v>
      </c>
      <c r="E1" s="53"/>
      <c r="F1" s="53"/>
      <c r="G1" s="51" t="s">
        <v>39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G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40</v>
      </c>
      <c r="E1" s="53"/>
      <c r="F1" s="53"/>
      <c r="G1" s="51" t="s">
        <v>41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D15" sqref="D15"/>
      <selection pane="bottomLeft" activeCell="D15" sqref="D15"/>
      <selection pane="topRight" activeCell="D15" sqref="D15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City of Providence</v>
      </c>
      <c r="B1" s="52"/>
      <c r="C1" s="52"/>
      <c r="D1" s="53" t="s">
        <v>44</v>
      </c>
      <c r="E1" s="53"/>
      <c r="F1" s="53"/>
      <c r="G1" s="51" t="s">
        <v>45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4" t="s">
        <v>51</v>
      </c>
      <c r="B4" t="s">
        <v>47</v>
      </c>
      <c r="C4" s="42" t="s">
        <v>52</v>
      </c>
      <c r="D4" s="41" t="s">
        <v>53</v>
      </c>
      <c r="E4" t="s">
        <v>54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A8436672-EA2A-465B-A5E9-A97765266FBC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