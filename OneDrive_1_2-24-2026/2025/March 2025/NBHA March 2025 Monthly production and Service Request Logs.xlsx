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2C8F0366-657B-40BE-8F1E-09F3A81D2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Request" sheetId="3" r:id="rId1"/>
    <sheet name="Sites" sheetId="1" r:id="rId2"/>
  </sheets>
  <definedNames>
    <definedName name="__bookmark_1">Sites!$A$3:$B$7</definedName>
    <definedName name="__bookmark_2">Sites!$A$9:$T$22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3" l="1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<sst xmlns="http://schemas.openxmlformats.org/spreadsheetml/2006/main" count="705" uniqueCount="194">
  <si>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</si>
  <si>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</si>
  <si>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</si>
  <si>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</si>
  <si>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</si>
  <si>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</si>
  <si>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</si>
  <si>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</si>
  <si>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</si>
  <si>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</si>
  <si>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</si>
  <si>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</si>
  <si>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</si>
  <si>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</si>
  <si>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</si>
  <si>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Satellite - 2 Gemini Dr - Inverter 24</t>
  </si>
  <si>
    <t>5</t>
  </si>
  <si>
    <t>03/19/25 Inverter 24 stopped communicating on 3/16.  Production not confirmed.  Reporting AC voltage surge.</t>
  </si>
  <si>
    <t>Amanda Harper</t>
  </si>
  <si>
    <t>New</t>
  </si>
  <si>
    <t/>
  </si>
  <si>
    <t>PV-Monitoring-ROC</t>
  </si>
  <si>
    <t>Ameresco Production Not Confirmed - Site Outage</t>
  </si>
  <si>
    <t>Still an issue</t>
  </si>
  <si>
    <t>Brickenwood - 185 Harvard - Inverter 28</t>
  </si>
  <si>
    <t>6</t>
  </si>
  <si>
    <t>03/11/25 - Inverter 28 stopped communicating 2/28.  Production not confirmed.</t>
  </si>
  <si>
    <t>Ameresco - Inverter Troubleshooting</t>
  </si>
  <si>
    <t>Brickenwood - 235 Harvard - Inverter 56</t>
  </si>
  <si>
    <t>7</t>
  </si>
  <si>
    <t>03/05/25 - Issue still exists.
02/25/25 - Inverter 56 stopped communicating 2/19.  Production not confirmed.</t>
  </si>
  <si>
    <t>Dottin Place 1 - Amanda Ave Bldg 12 (92) - Inverter 6</t>
  </si>
  <si>
    <t>03/05/25 - Issue still exists.
02/18/25 Inverter 6 stopped communicating 2/10/25, production not confirmed.</t>
  </si>
  <si>
    <t>Westlawn - 197 Liberty St Bldg 21 - Inverter 11</t>
  </si>
  <si>
    <t>03/05/25 - Issue still exists.
02/08/25 - Issue still exists.
01/02/25 Inverter 11 stopped communicating 12/24.  Production not confirmed.</t>
  </si>
  <si>
    <t>1006999</t>
  </si>
  <si>
    <t>Westlawn - 197 Liberty St Bldg 23 - Inverter 10</t>
  </si>
  <si>
    <t>03/05/25 - Issue still exists.
02/08/25 - Issue still exists
01/02/25 Inverter 10 stopped communicating 12/24.  Production not confirmed.</t>
  </si>
  <si>
    <t>Westlawn - 197 Liberty St Bldg 29 - Inverter 5</t>
  </si>
  <si>
    <t>7 - approximately</t>
  </si>
  <si>
    <t>03/05/25 - Issue still exists.
02/08/25 - Issue still exists
01/08/25 - Issue still exists.
11/18/24 Inverter 5 stopped communicating on 10/31.  Possibly offline.</t>
  </si>
  <si>
    <t>Ameresco UM - Communications Failure / Production Not Confirmed</t>
  </si>
  <si>
    <t>Adams St - 14 Adams St - Inverter 2</t>
  </si>
  <si>
    <t>14.4</t>
  </si>
  <si>
    <t>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</si>
  <si>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</si>
  <si>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</si>
  <si>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03/05/25 - Issue still exists.
02/08/25 - Issue still exists
01/08/25 - Issue still exists.
12/02/24 - Issue still exists. 
11/17/24 Inverter 1 tripped offline 11/5</t>
  </si>
  <si>
    <t>Shawmut Village - 113 Mashpee CT - Inverter 45</t>
  </si>
  <si>
    <t>03/05/25 - Issue still exists.
02/08/25 - Issue still exists
01/08/25 - Issue still exists.
10/29/24 Inv 45 stopped communicating 10/22.  Production not confirmed.</t>
  </si>
  <si>
    <t>Presidential - 28 Monroe Dr Bldg 16 - Inverter 17</t>
  </si>
  <si>
    <t>9</t>
  </si>
  <si>
    <t>03/05/25 - Issue still exists.
02/08/25 - Issue still exists
01/08/25 - Issue still exists.
10/16/24 Inverter 17 tripped offline at 4pm on 10/8.</t>
  </si>
  <si>
    <t>Brickenwood - 150 Hathaway - Inverter 5</t>
  </si>
  <si>
    <t>03/05/25 - Issue still exists.
02/08/25 - Issue still exists.
01/08/25 - issue still exists.
10/15/24 Inverter 5 stopped communicating 10/7.  Production not confirmed</t>
  </si>
  <si>
    <t>Shawmut Village - 99 Navaho CT - Inverter 24</t>
  </si>
  <si>
    <t>03/31/25 - Inverter 24 stopped communicating 03/23/25.  Production not confirmed.
08/12/24 - Inverter 24 stopped communicating 08/05/24.  Production not confirmed.</t>
  </si>
  <si>
    <t>resolved</t>
  </si>
  <si>
    <t>Shawmut Village - 109 Navaho CT - Inverter 40</t>
  </si>
  <si>
    <t>03/31/25 - Inverter 40 stopped communicating 3/18, production not confirmed.
01/24/25 - Inverter resumed communication 1/22.
01/08/25 - Still an issue.
07/26/24 - Inverter 40 stopped communicating on 7/19.  Production not confirmed.</t>
  </si>
  <si>
    <t>Westlawn - 197 Liberty St Bldg 22 - Inverter 12</t>
  </si>
  <si>
    <t>03/05/25 - Issue still exists.
02/08/25 - Issue still exists.
01/08/25 - Issue still exists.
7/16/24 Inverter 12 stopped communicating on 7/6/24.  Production is not confirmed.</t>
  </si>
  <si>
    <t>Shawmut Village - 131 Dakota CT - Inverter 38</t>
  </si>
  <si>
    <t>03/05/25 - Issue still exists.
02/08/25 - Issue still exists.
01/08/25 - Issue still exists.
7/15/24 Inverter 38 stopped communicating on 7/6/24, production not confirmed.</t>
  </si>
  <si>
    <t>Shawmut Village - 155 Gay Head CT - Inverter 33</t>
  </si>
  <si>
    <t>03/05/25 - Issue still exists.
02/08/25 - Issue still exists.
01/08/25 - Issue still exists.
7/15/24 Inverter 33 stopped communicating on 7/6/24, production not confirmed.</t>
  </si>
  <si>
    <t>Westlawn - 197 Liberty St Bldg 7 - Inverter 4</t>
  </si>
  <si>
    <t>03/05/25 - Issue still exists.
02/08/25 - Issue still exists.
01/08/25 - issue still exists.
7/2/24: Inverter 4 stopped communicating on 5/2, cannot confirm production.</t>
  </si>
  <si>
    <t>Shawmut Village - 138 Dakota CT (Now 149 Dakota CT) - Inverter 52</t>
  </si>
  <si>
    <t>03/05/25 - Issue still exists.
02/08/25 - Still an issue.
01/08/25 - Still an issue.
6/28/24 Inverter 52 is not communicating since 4/21, possibly offline</t>
  </si>
  <si>
    <t>Satellite - 83 Libra Dr - Inverter 8</t>
  </si>
  <si>
    <t>03/19/24 - Inv 8 has stopped communicating 3/15.  Possibly offline.
06/27/24 - Inv 8 is not communicating, possibly offline.  Last data 5/12.</t>
  </si>
  <si>
    <t>Brickenwood - 58 Yale - Inverter 49</t>
  </si>
  <si>
    <t>03/05/25 - Issue still exists.
02/08/25 - Issue still exists.
01/08/25 - Issue still exists.
6/3/24 - inverter 49 stopped communicating on 5/25/24; possibly offline.</t>
  </si>
  <si>
    <t>Pending Return Visit</t>
  </si>
  <si>
    <t>PV Monitoring - Minor</t>
  </si>
  <si>
    <t>23.4</t>
  </si>
  <si>
    <t>03/05/25 - Issue still exists.
02/09/25 - Issue still exists.
01/08/25 - Issue still exists.
5/17/24 - Presidential inverters 18, 27 have stopped communicating, possibly offline.</t>
  </si>
  <si>
    <t>21.8</t>
  </si>
  <si>
    <t>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</si>
  <si>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</si>
  <si>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Shawmut Village - 102 Navaho CT - Inverter 53</t>
  </si>
  <si>
    <t>03/31/25 - Inverter 53 is not communicating since 3/23.  Possibly offline.
4/18 - Shawmut Inverter 53 is not communicating, possibly offline.</t>
  </si>
  <si>
    <t>Shawmut Village - 105 Navaho CT - Inverter 46</t>
  </si>
  <si>
    <t>03/05/25 - Issue still exists.
02/08/25 - Issue still exists.
01/08/25 - Issue still exists.
4/19 - Inverter 46 is not communicating, possibly offline.</t>
  </si>
  <si>
    <t>Brickenwood - 88 Malden - Inverter 27</t>
  </si>
  <si>
    <t>7 - inverter comms ?</t>
  </si>
  <si>
    <t>02/08/25 - Issue still exists.
01/08/25 - Issue still exists.
12/02/24 - Issue still exists.
11/7/24 - Inverter 27 stopped communicating, possibly offline.</t>
  </si>
  <si>
    <t>Brickenwood - 21 Malden - Inverter 18</t>
  </si>
  <si>
    <t>10-approximately</t>
  </si>
  <si>
    <t>03/05/25 - Issue still exists.
02/08/25 - Issue still exists.
01/08/25 - Issue still exists.
12/02/24 - Re-occurring issue; inverter last communicated 11/11/24. Possibly offline. 
03/19/24 - Inverter 18 stopped communicating, possibly offline.</t>
  </si>
  <si>
    <t>Presidential - 310 Mt-Pleasant St Bldg 2 - Inverter 1</t>
  </si>
  <si>
    <t>03/05/25 - Issue still exists.
02/08/25 - Still an issue. 
01/08/25 - Inverter 1 is still in offline.
3/4 - Inverter 1 is offline.</t>
  </si>
  <si>
    <t>Brickenwood - 240 Harvard - Inverter 46</t>
  </si>
  <si>
    <t>03/05/25 - Issue still exists.
02/08/25 - Issue still exists.
01/08/25 - Issue still exists.
3/4 - Inverter 46 at Brickenwood is offline.</t>
  </si>
  <si>
    <t>Dottin Place 1 - Amanda Ave Bldg 7 (82) - Inverter 9</t>
  </si>
  <si>
    <t>-</t>
  </si>
  <si>
    <t>03/05/25 - Issue still exists.
02/08/25 - Issue still exists. 
01/08/25 - Issue still exists. 
12/1 - inverter 9 stopped communicating, possibly offline. 
3/1 - Inverter 9 stopped communicating, possibly offline.</t>
  </si>
  <si>
    <t>Shawmut Village - 135 Dakota CT - Inverter 12</t>
  </si>
  <si>
    <t>03/05/25 - Issue still exists.
02/08/25 - Issue still exists.
01/08/25 - Issue still exists.
12/02/24 - 
03/01/24 - Inverter 12 lost communications; production cannot be confirmed.</t>
  </si>
  <si>
    <t>still an issue</t>
  </si>
  <si>
    <t>Westlawn - 197 Liberty St Bldg 33 - Inverter 26</t>
  </si>
  <si>
    <t>3 - Inverter comms ?</t>
  </si>
  <si>
    <t>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</si>
  <si>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</si>
  <si>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10</t>
  </si>
  <si>
    <t>03/05/25 - Issue still exists.
02/08/25 - Issue still exists.
01/08/25 - Issue still exists.
2/20/24 - Inverter 23 stopped communicating; cannot confirm production.</t>
  </si>
  <si>
    <t>Adams St - 14 Adams St - Inverter 3</t>
  </si>
  <si>
    <t>03/05/25 - Issue still exists.
02/08/25 - Issue still exists.
12/02/24 - Inverter 3 is offline (re-occurring issue).
12/31/23 - Inverter 3 is offline and reporting "Isolation Fault".</t>
  </si>
  <si>
    <t>Shawmut Village - 21 Mohawk CT - Inverter 8</t>
  </si>
  <si>
    <t>03/05/25 - Issue still exists.
02/08/25 - Issue still exists.
01/08/25 - Issue still exists.
12/02/24 - Inverter 8 last communicated 7/6/24
11/07/23 - Inverter 8 stopped communicating, possibly offline.</t>
  </si>
  <si>
    <t>Shawmut Village - 111 Mashpee CT - Inverter 49</t>
  </si>
  <si>
    <t>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</si>
  <si>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</si>
  <si>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</si>
  <si>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03/05/25 - Issue still exists.
02/08/25 - Issue still exists.
01/08/25 - Issue still exists.
10/5/23 - Inverter 11 stopped communicating, possibly offline.</t>
  </si>
  <si>
    <t>Shawmut Village - 161 Gay Head CT - Inverter 54</t>
  </si>
  <si>
    <t>6 - ?</t>
  </si>
  <si>
    <t>03/05/25 - Issue still exists.
02/08/25 - Issue still exists.
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</si>
  <si>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</si>
  <si>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</si>
  <si>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</si>
  <si>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</si>
  <si>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7.6</t>
  </si>
  <si>
    <t>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</si>
  <si>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</si>
  <si>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</si>
  <si>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</si>
  <si>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03/05/25 - Issue still exists.
02/08/25 - Issue still exists.
01/08/25 - Issue still exists.
10/17/23 - Inverter 35 is still offline 
07/11/23 - Inverter 35 tripped offline.</t>
  </si>
  <si>
    <t>Dottin Place 1 - Amanda Ave Bldg 5 (61) - Inverter 4</t>
  </si>
  <si>
    <t>03/05/25 - Issue still exists.
02/08/2025 - Issue still exists.
01/08/2025 - Issue still exists.
07/07/2023 - Inverter 4 tripped offline.</t>
  </si>
  <si>
    <t>03/05/25 - Issue still exists.
02/08/25 - Issue still exists.
01/08/25 - Issue still exists.
05/22/23 - Inverter 46 tripped offline.</t>
  </si>
  <si>
    <t>Shawmut Village - 63 Apache CT - Inverter 42</t>
  </si>
  <si>
    <t>03/05/25 - Issue still exists.
02/08/2025 - Issue still exists.
01/08/2025 - Issue still exists.
10/17/2023 - Inverter is still not communicating from 05/07, possibly offline
5/9 - Inverter 42 stopped communicating, possibly offline.</t>
  </si>
  <si>
    <t>Shawmut Village - 157 Gay Head CT - Inverter 51</t>
  </si>
  <si>
    <t>03/05/25 - Issue still exists.
02/08/2025 - Issue still exists.
01/08/2025 - Issue still exists.
4/25 - Shawmut Village inverter 51 no comms today.</t>
  </si>
  <si>
    <t>Shawmut Village - 67 Apache CT - Inverter 48</t>
  </si>
  <si>
    <t>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</si>
  <si>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</si>
  <si>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</si>
  <si>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03/05/25 - Issue still exists.
02/08/25 - Issue still exists
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</si>
  <si>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</si>
  <si>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</si>
  <si>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</si>
  <si>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</si>
  <si>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Report's period:</t>
  </si>
  <si>
    <r>
      <t>03/01/2025</t>
    </r>
    <r>
      <rPr>
        <sz val="10"/>
        <color rgb="FF303030"/>
        <rFont val="Calibri"/>
        <family val="2"/>
      </rPr>
      <t xml:space="preserve"> - 03/31/2025</t>
    </r>
  </si>
  <si>
    <t>Sites:</t>
  </si>
  <si>
    <t>Manually selected sites</t>
  </si>
  <si>
    <t># of sites:</t>
  </si>
  <si>
    <t>Generated on:</t>
  </si>
  <si>
    <t>04/07/2025 00:42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</si>
  <si>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</si>
  <si>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</si>
  <si>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</si>
  <si>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</si>
  <si>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</si>
  <si>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</si>
  <si>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</si>
  <si>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</si>
  <si>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</si>
  <si>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</si>
  <si>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</si>
  <si>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</si>
  <si>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</si>
  <si>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</si>
  <si>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</si>
  <si>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</si>
  <si>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</si>
  <si>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</si>
  <si>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</si>
  <si>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</si>
  <si>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</si>
  <si>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</si>
  <si>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NBHA Ben Rose</t>
  </si>
  <si>
    <t>03/03/2022</t>
  </si>
  <si>
    <t>2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</si>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</sst>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4">
    <font>
      <sz val="11"/>
      <color indexed="8"/>
      <name val="Aptos Narrow"/>
      <family val="2"/>
      <scheme val="minor"/>
    </font>
    <font>
      <sz val="10"/>
      <color rgb="FF000000"/>
      <name val="Verdana"/>
      <family val="2"/>
    </font>
    <font>
      <sz val="16"/>
      <color rgb="FFD41317"/>
      <name val="Calibri"/>
      <family val="2"/>
    </font>
    <font>
      <b/>
      <sz val="10"/>
      <color rgb="FF303030"/>
      <name val="Calibri"/>
      <family val="2"/>
    </font>
    <font>
      <sz val="10"/>
      <color rgb="FF303030"/>
      <name val="Calibri"/>
      <family val="2"/>
    </font>
    <font>
      <sz val="10"/>
      <color rgb="FF000000"/>
      <name val="Arial"/>
      <family val="2"/>
    </font>
    <font>
      <sz val="12"/>
      <color rgb="FFD41317"/>
      <name val="Calibri"/>
      <family val="2"/>
    </font>
    <font>
      <sz val="11"/>
      <name val="Calibri"/>
      <family val="2"/>
    </font>
    <font>
      <b/>
      <sz val="10"/>
      <color rgb="FFD41317"/>
      <name val="Calibri"/>
      <family val="2"/>
    </font>
    <font>
      <sz val="10"/>
      <color rgb="FF428BCA"/>
      <name val="Calibri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b/>
      <sz val="10"/>
      <color rgb="FFFFFFFF"/>
      <name val="Arial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10" fillId="5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11" fillId="0" borderId="0" xfId="0" applyFont="1"/>
    <xf numFmtId="0" fontId="0" fillId="0" borderId="0" xfId="0" applyAlignment="1">
      <alignment wrapText="1"/>
    </xf>
    <xf numFmtId="0" fontId="12" fillId="5" borderId="0" xfId="0" applyFont="1" applyFill="1" applyAlignment="1">
      <alignment horizontal="center" vertical="center" wrapText="1"/>
    </xf>
    <xf numFmtId="0" fontId="1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3E7D-BD7F-4D21-BD3C-C0BD3AF99E61}">
  <dimension ref="A1:N50"/>
  <sheetViews>
    <sheetView tabSelected="1" topLeftCell="E7" workbookViewId="0">
      <selection activeCell="N11" sqref="N11:N12"/>
    </sheetView>
  </sheetViews>
  <sheetFormatPr defaultRowHeight="14.4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10" width="17.7109375" customWidth="1"/>
    <col min="11" max="11" width="33.7109375" customWidth="1"/>
    <col min="12" max="14" width="17.7109375" customWidth="1"/>
  </cols>
  <sheetData>
    <row r="1" spans="1:14" ht="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20" t="s">
        <v>7</v>
      </c>
    </row>
    <row r="2" spans="1:14" ht="29.25">
      <c r="A2" t="s">
        <v>13</v>
      </c>
      <c r="B2" t="s">
        <v>14</v>
      </c>
      <c r="C2" t="s">
        <v>15</v>
      </c>
      <c r="D2" t="s">
        <v>16</v>
      </c>
      <c r="E2" s="17">
        <v>45735.623611111114</v>
      </c>
      <c r="F2" s="19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8" t="str">
        <f>HYPERLINK("https://us.assetplanner.com/service_request?ID=98772","SR098772")</f>
        <v>SR098772</v>
      </c>
      <c r="M2" t="s">
        <v>20</v>
      </c>
      <c r="N2" s="21" t="s">
        <v>23</v>
      </c>
    </row>
    <row r="3" spans="1:14" ht="15">
      <c r="A3" t="s">
        <v>13</v>
      </c>
      <c r="B3" t="s">
        <v>14</v>
      </c>
      <c r="C3" t="s">
        <v>24</v>
      </c>
      <c r="D3" t="s">
        <v>25</v>
      </c>
      <c r="E3" s="17">
        <v>45727.492361111108</v>
      </c>
      <c r="F3" t="s">
        <v>26</v>
      </c>
      <c r="G3" t="s">
        <v>18</v>
      </c>
      <c r="H3" t="s">
        <v>19</v>
      </c>
      <c r="I3" t="s">
        <v>20</v>
      </c>
      <c r="J3" t="s">
        <v>21</v>
      </c>
      <c r="K3" t="s">
        <v>27</v>
      </c>
      <c r="L3" s="18" t="str">
        <f>HYPERLINK("https://us.assetplanner.com/service_request?ID=98386","SR098386")</f>
        <v>SR098386</v>
      </c>
      <c r="M3" t="s">
        <v>20</v>
      </c>
      <c r="N3" s="21" t="s">
        <v>23</v>
      </c>
    </row>
    <row r="4" spans="1:14" ht="15">
      <c r="A4" t="s">
        <v>13</v>
      </c>
      <c r="B4" t="s">
        <v>14</v>
      </c>
      <c r="C4" t="s">
        <v>28</v>
      </c>
      <c r="D4" t="s">
        <v>29</v>
      </c>
      <c r="E4" s="17">
        <v>45713.54583333333</v>
      </c>
      <c r="F4" t="s">
        <v>30</v>
      </c>
      <c r="G4" t="s">
        <v>18</v>
      </c>
      <c r="H4" t="s">
        <v>19</v>
      </c>
      <c r="I4" t="s">
        <v>20</v>
      </c>
      <c r="J4" t="s">
        <v>21</v>
      </c>
      <c r="K4" t="s">
        <v>27</v>
      </c>
      <c r="L4" s="18" t="str">
        <f>HYPERLINK("https://us.assetplanner.com/service_request?ID=97766","SR097766")</f>
        <v>SR097766</v>
      </c>
      <c r="M4" t="s">
        <v>20</v>
      </c>
      <c r="N4" s="21" t="s">
        <v>23</v>
      </c>
    </row>
    <row r="5" spans="1:14" ht="15">
      <c r="A5" t="s">
        <v>13</v>
      </c>
      <c r="B5" t="s">
        <v>14</v>
      </c>
      <c r="C5" t="s">
        <v>31</v>
      </c>
      <c r="D5" t="s">
        <v>16</v>
      </c>
      <c r="E5" s="17">
        <v>45706.615277777775</v>
      </c>
      <c r="F5" t="s">
        <v>32</v>
      </c>
      <c r="G5" t="s">
        <v>18</v>
      </c>
      <c r="H5" t="s">
        <v>19</v>
      </c>
      <c r="I5" t="s">
        <v>20</v>
      </c>
      <c r="J5" t="s">
        <v>21</v>
      </c>
      <c r="K5" t="s">
        <v>27</v>
      </c>
      <c r="L5" s="18" t="str">
        <f>HYPERLINK("https://us.assetplanner.com/service_request?ID=97346","SR097346")</f>
        <v>SR097346</v>
      </c>
      <c r="M5" t="s">
        <v>20</v>
      </c>
      <c r="N5" s="21" t="s">
        <v>23</v>
      </c>
    </row>
    <row r="6" spans="1:14" ht="43.5">
      <c r="A6" t="s">
        <v>13</v>
      </c>
      <c r="B6" t="s">
        <v>14</v>
      </c>
      <c r="C6" t="s">
        <v>33</v>
      </c>
      <c r="D6" t="s">
        <v>29</v>
      </c>
      <c r="E6" s="17">
        <v>45659.621527777781</v>
      </c>
      <c r="F6" s="19" t="s">
        <v>34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s="18" t="str">
        <f>HYPERLINK("https://us.assetplanner.com/service_request?ID=95246","SR095246")</f>
        <v>SR095246</v>
      </c>
      <c r="M6" t="s">
        <v>35</v>
      </c>
      <c r="N6" s="21" t="s">
        <v>23</v>
      </c>
    </row>
    <row r="7" spans="1:14" ht="43.5">
      <c r="A7" t="s">
        <v>13</v>
      </c>
      <c r="B7" t="s">
        <v>14</v>
      </c>
      <c r="C7" t="s">
        <v>36</v>
      </c>
      <c r="D7" t="s">
        <v>29</v>
      </c>
      <c r="E7" s="17">
        <v>45659.620138888888</v>
      </c>
      <c r="F7" s="19" t="s">
        <v>37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s="18" t="str">
        <f>HYPERLINK("https://us.assetplanner.com/service_request?ID=95244","SR095244")</f>
        <v>SR095244</v>
      </c>
      <c r="M7" t="s">
        <v>35</v>
      </c>
      <c r="N7" s="21" t="s">
        <v>23</v>
      </c>
    </row>
    <row r="8" spans="1:14" ht="15">
      <c r="A8" t="s">
        <v>13</v>
      </c>
      <c r="B8" t="s">
        <v>14</v>
      </c>
      <c r="C8" t="s">
        <v>38</v>
      </c>
      <c r="D8" t="s">
        <v>39</v>
      </c>
      <c r="E8" s="17">
        <v>45614.522916666669</v>
      </c>
      <c r="F8" t="s">
        <v>40</v>
      </c>
      <c r="G8" t="s">
        <v>18</v>
      </c>
      <c r="H8" t="s">
        <v>19</v>
      </c>
      <c r="I8" t="s">
        <v>20</v>
      </c>
      <c r="J8" t="s">
        <v>21</v>
      </c>
      <c r="K8" t="s">
        <v>41</v>
      </c>
      <c r="L8" s="18" t="str">
        <f>HYPERLINK("https://us.assetplanner.com/service_request?ID=93379","SR093379")</f>
        <v>SR093379</v>
      </c>
      <c r="M8" t="s">
        <v>20</v>
      </c>
      <c r="N8" s="21" t="s">
        <v>23</v>
      </c>
    </row>
    <row r="9" spans="1:14" ht="15">
      <c r="A9" t="s">
        <v>13</v>
      </c>
      <c r="B9" t="s">
        <v>14</v>
      </c>
      <c r="C9" t="s">
        <v>42</v>
      </c>
      <c r="D9" t="s">
        <v>43</v>
      </c>
      <c r="E9" s="17">
        <v>45613.522222222222</v>
      </c>
      <c r="F9" t="s">
        <v>44</v>
      </c>
      <c r="G9" t="s">
        <v>18</v>
      </c>
      <c r="H9" t="s">
        <v>19</v>
      </c>
      <c r="I9" t="s">
        <v>20</v>
      </c>
      <c r="J9" t="s">
        <v>21</v>
      </c>
      <c r="K9" t="s">
        <v>45</v>
      </c>
      <c r="L9" s="18" t="str">
        <f>HYPERLINK("https://us.assetplanner.com/service_request?ID=93350","SR093350")</f>
        <v>SR093350</v>
      </c>
      <c r="M9" t="s">
        <v>20</v>
      </c>
      <c r="N9" s="21" t="s">
        <v>23</v>
      </c>
    </row>
    <row r="10" spans="1:14" ht="15">
      <c r="A10" t="s">
        <v>13</v>
      </c>
      <c r="B10" t="s">
        <v>14</v>
      </c>
      <c r="C10" t="s">
        <v>46</v>
      </c>
      <c r="D10" t="s">
        <v>43</v>
      </c>
      <c r="E10" s="17">
        <v>45613.521527777775</v>
      </c>
      <c r="F10" t="s">
        <v>47</v>
      </c>
      <c r="G10" t="s">
        <v>18</v>
      </c>
      <c r="H10" t="s">
        <v>19</v>
      </c>
      <c r="I10" t="s">
        <v>20</v>
      </c>
      <c r="J10" t="s">
        <v>21</v>
      </c>
      <c r="K10" t="s">
        <v>45</v>
      </c>
      <c r="L10" s="18" t="str">
        <f>HYPERLINK("https://us.assetplanner.com/service_request?ID=93349","SR093349")</f>
        <v>SR093349</v>
      </c>
      <c r="M10" t="s">
        <v>20</v>
      </c>
      <c r="N10" s="21" t="s">
        <v>23</v>
      </c>
    </row>
    <row r="11" spans="1:14" ht="15">
      <c r="A11" t="s">
        <v>13</v>
      </c>
      <c r="B11" t="s">
        <v>14</v>
      </c>
      <c r="C11" t="s">
        <v>48</v>
      </c>
      <c r="D11" t="s">
        <v>29</v>
      </c>
      <c r="E11" s="17">
        <v>45594.56527777778</v>
      </c>
      <c r="F11" t="s">
        <v>49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s="18" t="str">
        <f>HYPERLINK("https://us.assetplanner.com/service_request?ID=92738","SR092738")</f>
        <v>SR092738</v>
      </c>
      <c r="M11" t="s">
        <v>20</v>
      </c>
      <c r="N11" s="21" t="s">
        <v>23</v>
      </c>
    </row>
    <row r="12" spans="1:14" ht="15">
      <c r="A12" t="s">
        <v>13</v>
      </c>
      <c r="B12" t="s">
        <v>14</v>
      </c>
      <c r="C12" t="s">
        <v>50</v>
      </c>
      <c r="D12" t="s">
        <v>51</v>
      </c>
      <c r="E12" s="17">
        <v>45581.544444444444</v>
      </c>
      <c r="F12" t="s">
        <v>52</v>
      </c>
      <c r="G12" t="s">
        <v>18</v>
      </c>
      <c r="H12" t="s">
        <v>19</v>
      </c>
      <c r="I12" t="s">
        <v>20</v>
      </c>
      <c r="J12" t="s">
        <v>21</v>
      </c>
      <c r="K12" t="s">
        <v>45</v>
      </c>
      <c r="L12" s="18" t="str">
        <f>HYPERLINK("https://us.assetplanner.com/service_request?ID=92211","SR092211")</f>
        <v>SR092211</v>
      </c>
      <c r="M12" t="s">
        <v>20</v>
      </c>
      <c r="N12" s="21" t="s">
        <v>23</v>
      </c>
    </row>
    <row r="13" spans="1:14" ht="15">
      <c r="A13" t="s">
        <v>13</v>
      </c>
      <c r="B13" t="s">
        <v>14</v>
      </c>
      <c r="C13" t="s">
        <v>53</v>
      </c>
      <c r="D13" t="s">
        <v>29</v>
      </c>
      <c r="E13" s="17">
        <v>45580.54791666667</v>
      </c>
      <c r="F13" t="s">
        <v>54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s="18" t="str">
        <f>HYPERLINK("https://us.assetplanner.com/service_request?ID=92164","SR092164")</f>
        <v>SR092164</v>
      </c>
      <c r="M13" t="s">
        <v>20</v>
      </c>
      <c r="N13" s="21" t="s">
        <v>23</v>
      </c>
    </row>
    <row r="14" spans="1:14" ht="15">
      <c r="A14" t="s">
        <v>13</v>
      </c>
      <c r="B14" t="s">
        <v>14</v>
      </c>
      <c r="C14" t="s">
        <v>55</v>
      </c>
      <c r="D14" t="s">
        <v>25</v>
      </c>
      <c r="E14" s="17">
        <v>45516.52847222222</v>
      </c>
      <c r="F14" t="s">
        <v>56</v>
      </c>
      <c r="G14" t="s">
        <v>18</v>
      </c>
      <c r="H14" t="s">
        <v>19</v>
      </c>
      <c r="I14" t="s">
        <v>20</v>
      </c>
      <c r="J14" t="s">
        <v>21</v>
      </c>
      <c r="K14" t="s">
        <v>41</v>
      </c>
      <c r="L14" s="18" t="str">
        <f>HYPERLINK("https://us.assetplanner.com/service_request?ID=88926","SR088926")</f>
        <v>SR088926</v>
      </c>
      <c r="M14" t="s">
        <v>20</v>
      </c>
      <c r="N14" s="21" t="s">
        <v>57</v>
      </c>
    </row>
    <row r="15" spans="1:14" ht="15">
      <c r="A15" t="s">
        <v>13</v>
      </c>
      <c r="B15" t="s">
        <v>14</v>
      </c>
      <c r="C15" t="s">
        <v>58</v>
      </c>
      <c r="D15" t="s">
        <v>16</v>
      </c>
      <c r="E15" s="17">
        <v>45499.635416666664</v>
      </c>
      <c r="F15" t="s">
        <v>59</v>
      </c>
      <c r="G15" t="s">
        <v>18</v>
      </c>
      <c r="H15" t="s">
        <v>19</v>
      </c>
      <c r="I15" t="s">
        <v>20</v>
      </c>
      <c r="J15" t="s">
        <v>21</v>
      </c>
      <c r="K15" t="s">
        <v>41</v>
      </c>
      <c r="L15" s="18" t="str">
        <f>HYPERLINK("https://us.assetplanner.com/service_request?ID=88285","SR088285")</f>
        <v>SR088285</v>
      </c>
      <c r="M15" t="s">
        <v>20</v>
      </c>
      <c r="N15" s="21" t="s">
        <v>23</v>
      </c>
    </row>
    <row r="16" spans="1:14" ht="15">
      <c r="A16" t="s">
        <v>13</v>
      </c>
      <c r="B16" t="s">
        <v>14</v>
      </c>
      <c r="C16" t="s">
        <v>60</v>
      </c>
      <c r="D16" t="s">
        <v>29</v>
      </c>
      <c r="E16" s="17">
        <v>45489.556944444441</v>
      </c>
      <c r="F16" t="s">
        <v>61</v>
      </c>
      <c r="G16" t="s">
        <v>18</v>
      </c>
      <c r="H16" t="s">
        <v>19</v>
      </c>
      <c r="I16" t="s">
        <v>20</v>
      </c>
      <c r="J16" t="s">
        <v>21</v>
      </c>
      <c r="K16" t="s">
        <v>41</v>
      </c>
      <c r="L16" s="18" t="str">
        <f>HYPERLINK("https://us.assetplanner.com/service_request?ID=87778","SR087778")</f>
        <v>SR087778</v>
      </c>
      <c r="M16" t="s">
        <v>20</v>
      </c>
      <c r="N16" s="21" t="s">
        <v>23</v>
      </c>
    </row>
    <row r="17" spans="1:14" ht="15">
      <c r="A17" t="s">
        <v>13</v>
      </c>
      <c r="B17" t="s">
        <v>14</v>
      </c>
      <c r="C17" t="s">
        <v>62</v>
      </c>
      <c r="D17" t="s">
        <v>29</v>
      </c>
      <c r="E17" s="17">
        <v>45488.645138888889</v>
      </c>
      <c r="F17" t="s">
        <v>63</v>
      </c>
      <c r="G17" t="s">
        <v>18</v>
      </c>
      <c r="H17" t="s">
        <v>19</v>
      </c>
      <c r="I17" t="s">
        <v>20</v>
      </c>
      <c r="J17" t="s">
        <v>21</v>
      </c>
      <c r="K17" t="s">
        <v>41</v>
      </c>
      <c r="L17" s="18" t="str">
        <f>HYPERLINK("https://us.assetplanner.com/service_request?ID=87728","SR087728")</f>
        <v>SR087728</v>
      </c>
      <c r="M17" t="s">
        <v>20</v>
      </c>
      <c r="N17" s="21" t="s">
        <v>23</v>
      </c>
    </row>
    <row r="18" spans="1:14" ht="15">
      <c r="A18" t="s">
        <v>13</v>
      </c>
      <c r="B18" t="s">
        <v>14</v>
      </c>
      <c r="C18" t="s">
        <v>64</v>
      </c>
      <c r="D18" t="s">
        <v>29</v>
      </c>
      <c r="E18" s="17">
        <v>45488.643750000003</v>
      </c>
      <c r="F18" t="s">
        <v>65</v>
      </c>
      <c r="G18" t="s">
        <v>18</v>
      </c>
      <c r="H18" t="s">
        <v>19</v>
      </c>
      <c r="I18" t="s">
        <v>20</v>
      </c>
      <c r="J18" t="s">
        <v>21</v>
      </c>
      <c r="K18" t="s">
        <v>41</v>
      </c>
      <c r="L18" s="18" t="str">
        <f>HYPERLINK("https://us.assetplanner.com/service_request?ID=87727","SR087727")</f>
        <v>SR087727</v>
      </c>
      <c r="M18" t="s">
        <v>20</v>
      </c>
      <c r="N18" s="21" t="s">
        <v>23</v>
      </c>
    </row>
    <row r="19" spans="1:14" ht="15">
      <c r="A19" t="s">
        <v>13</v>
      </c>
      <c r="B19" t="s">
        <v>14</v>
      </c>
      <c r="C19" t="s">
        <v>66</v>
      </c>
      <c r="D19" t="s">
        <v>29</v>
      </c>
      <c r="E19" s="17">
        <v>45475.541666666664</v>
      </c>
      <c r="F19" t="s">
        <v>67</v>
      </c>
      <c r="G19" t="s">
        <v>18</v>
      </c>
      <c r="H19" t="s">
        <v>19</v>
      </c>
      <c r="I19" t="s">
        <v>20</v>
      </c>
      <c r="J19" t="s">
        <v>21</v>
      </c>
      <c r="K19" t="s">
        <v>41</v>
      </c>
      <c r="L19" s="18" t="str">
        <f>HYPERLINK("https://us.assetplanner.com/service_request?ID=87282","SR087282")</f>
        <v>SR087282</v>
      </c>
      <c r="M19" t="s">
        <v>20</v>
      </c>
      <c r="N19" s="21" t="s">
        <v>23</v>
      </c>
    </row>
    <row r="20" spans="1:14" ht="15">
      <c r="A20" t="s">
        <v>13</v>
      </c>
      <c r="B20" t="s">
        <v>14</v>
      </c>
      <c r="C20" t="s">
        <v>68</v>
      </c>
      <c r="D20" t="s">
        <v>16</v>
      </c>
      <c r="E20" s="17">
        <v>45471.618750000001</v>
      </c>
      <c r="F20" t="s">
        <v>69</v>
      </c>
      <c r="G20" t="s">
        <v>18</v>
      </c>
      <c r="H20" t="s">
        <v>19</v>
      </c>
      <c r="I20" t="s">
        <v>20</v>
      </c>
      <c r="J20" t="s">
        <v>21</v>
      </c>
      <c r="K20" t="s">
        <v>41</v>
      </c>
      <c r="L20" s="18" t="str">
        <f>HYPERLINK("https://us.assetplanner.com/service_request?ID=87105","SR087105")</f>
        <v>SR087105</v>
      </c>
      <c r="M20" t="s">
        <v>20</v>
      </c>
      <c r="N20" s="21" t="s">
        <v>23</v>
      </c>
    </row>
    <row r="21" spans="1:14" ht="15">
      <c r="A21" t="s">
        <v>13</v>
      </c>
      <c r="B21" t="s">
        <v>14</v>
      </c>
      <c r="C21" t="s">
        <v>70</v>
      </c>
      <c r="D21" t="s">
        <v>25</v>
      </c>
      <c r="E21" s="17">
        <v>45470.609027777777</v>
      </c>
      <c r="F21" t="s">
        <v>71</v>
      </c>
      <c r="G21" t="s">
        <v>18</v>
      </c>
      <c r="H21" t="s">
        <v>19</v>
      </c>
      <c r="I21" t="s">
        <v>20</v>
      </c>
      <c r="J21" t="s">
        <v>21</v>
      </c>
      <c r="K21" t="s">
        <v>41</v>
      </c>
      <c r="L21" s="18" t="str">
        <f>HYPERLINK("https://us.assetplanner.com/service_request?ID=87049","SR087049")</f>
        <v>SR087049</v>
      </c>
      <c r="M21" t="s">
        <v>20</v>
      </c>
      <c r="N21" s="21" t="s">
        <v>23</v>
      </c>
    </row>
    <row r="22" spans="1:14" ht="15">
      <c r="A22" t="s">
        <v>13</v>
      </c>
      <c r="B22" t="s">
        <v>14</v>
      </c>
      <c r="C22" t="s">
        <v>72</v>
      </c>
      <c r="D22" t="s">
        <v>16</v>
      </c>
      <c r="E22" s="17">
        <v>45446.525694444441</v>
      </c>
      <c r="F22" t="s">
        <v>73</v>
      </c>
      <c r="G22" t="s">
        <v>18</v>
      </c>
      <c r="H22" t="s">
        <v>8</v>
      </c>
      <c r="I22" t="s">
        <v>74</v>
      </c>
      <c r="J22" t="s">
        <v>75</v>
      </c>
      <c r="K22" t="s">
        <v>45</v>
      </c>
      <c r="L22" s="18" t="str">
        <f>HYPERLINK("https://us.assetplanner.com/service_request?ID=85484","SR085484")</f>
        <v>SR085484</v>
      </c>
      <c r="M22" t="s">
        <v>35</v>
      </c>
      <c r="N22" s="21" t="s">
        <v>23</v>
      </c>
    </row>
    <row r="23" spans="1:14" ht="15">
      <c r="A23" t="s">
        <v>13</v>
      </c>
      <c r="B23" t="s">
        <v>14</v>
      </c>
      <c r="C23" t="s">
        <v>20</v>
      </c>
      <c r="D23" t="s">
        <v>76</v>
      </c>
      <c r="E23" s="17">
        <v>45429.52847222222</v>
      </c>
      <c r="F23" t="s">
        <v>77</v>
      </c>
      <c r="G23" t="s">
        <v>18</v>
      </c>
      <c r="H23" t="s">
        <v>19</v>
      </c>
      <c r="I23" t="s">
        <v>20</v>
      </c>
      <c r="J23" t="s">
        <v>21</v>
      </c>
      <c r="K23" t="s">
        <v>45</v>
      </c>
      <c r="L23" s="18" t="str">
        <f>HYPERLINK("https://us.assetplanner.com/service_request?ID=84807","SR084807")</f>
        <v>SR084807</v>
      </c>
      <c r="M23" t="s">
        <v>35</v>
      </c>
      <c r="N23" s="21" t="s">
        <v>23</v>
      </c>
    </row>
    <row r="24" spans="1:14" ht="15">
      <c r="A24" t="s">
        <v>13</v>
      </c>
      <c r="B24" t="s">
        <v>14</v>
      </c>
      <c r="C24" t="s">
        <v>20</v>
      </c>
      <c r="D24" t="s">
        <v>78</v>
      </c>
      <c r="E24" s="17">
        <v>45423.568749999999</v>
      </c>
      <c r="F24" t="s">
        <v>79</v>
      </c>
      <c r="G24" t="s">
        <v>18</v>
      </c>
      <c r="H24" t="s">
        <v>19</v>
      </c>
      <c r="I24" t="s">
        <v>20</v>
      </c>
      <c r="J24" t="s">
        <v>21</v>
      </c>
      <c r="K24" t="s">
        <v>80</v>
      </c>
      <c r="L24" s="18" t="str">
        <f>HYPERLINK("https://us.assetplanner.com/service_request?ID=84580","SR084580")</f>
        <v>SR084580</v>
      </c>
      <c r="M24" t="s">
        <v>35</v>
      </c>
      <c r="N24" s="21" t="s">
        <v>23</v>
      </c>
    </row>
    <row r="25" spans="1:14" ht="15">
      <c r="A25" t="s">
        <v>13</v>
      </c>
      <c r="B25" t="s">
        <v>14</v>
      </c>
      <c r="C25" t="s">
        <v>81</v>
      </c>
      <c r="D25" t="s">
        <v>29</v>
      </c>
      <c r="E25" s="17">
        <v>45401.536805555559</v>
      </c>
      <c r="F25" t="s">
        <v>82</v>
      </c>
      <c r="G25" t="s">
        <v>18</v>
      </c>
      <c r="H25" t="s">
        <v>19</v>
      </c>
      <c r="I25" t="s">
        <v>20</v>
      </c>
      <c r="J25" t="s">
        <v>21</v>
      </c>
      <c r="K25" t="s">
        <v>45</v>
      </c>
      <c r="L25" s="18" t="str">
        <f>HYPERLINK("https://us.assetplanner.com/service_request?ID=83628","SR083628")</f>
        <v>SR083628</v>
      </c>
      <c r="M25" t="s">
        <v>35</v>
      </c>
      <c r="N25" s="21" t="s">
        <v>23</v>
      </c>
    </row>
    <row r="26" spans="1:14" ht="15">
      <c r="A26" t="s">
        <v>13</v>
      </c>
      <c r="B26" t="s">
        <v>14</v>
      </c>
      <c r="C26" t="s">
        <v>83</v>
      </c>
      <c r="D26" t="s">
        <v>16</v>
      </c>
      <c r="E26" s="17">
        <v>45401.535416666666</v>
      </c>
      <c r="F26" t="s">
        <v>84</v>
      </c>
      <c r="G26" t="s">
        <v>18</v>
      </c>
      <c r="H26" t="s">
        <v>19</v>
      </c>
      <c r="I26" t="s">
        <v>20</v>
      </c>
      <c r="J26" t="s">
        <v>21</v>
      </c>
      <c r="K26" t="s">
        <v>45</v>
      </c>
      <c r="L26" s="18" t="str">
        <f>HYPERLINK("https://us.assetplanner.com/service_request?ID=83627","SR083627")</f>
        <v>SR083627</v>
      </c>
      <c r="M26" t="s">
        <v>35</v>
      </c>
      <c r="N26" s="21" t="s">
        <v>23</v>
      </c>
    </row>
    <row r="27" spans="1:14" ht="15">
      <c r="A27" t="s">
        <v>13</v>
      </c>
      <c r="B27" t="s">
        <v>14</v>
      </c>
      <c r="C27" t="s">
        <v>85</v>
      </c>
      <c r="D27" t="s">
        <v>86</v>
      </c>
      <c r="E27" s="17">
        <v>45372.53125</v>
      </c>
      <c r="F27" t="s">
        <v>87</v>
      </c>
      <c r="G27" t="s">
        <v>18</v>
      </c>
      <c r="H27" t="s">
        <v>19</v>
      </c>
      <c r="I27" t="s">
        <v>20</v>
      </c>
      <c r="J27" t="s">
        <v>21</v>
      </c>
      <c r="K27" t="s">
        <v>45</v>
      </c>
      <c r="L27" s="18" t="str">
        <f>HYPERLINK("https://us.assetplanner.com/service_request?ID=82331","SR082331")</f>
        <v>SR082331</v>
      </c>
      <c r="M27" t="s">
        <v>35</v>
      </c>
      <c r="N27" s="21" t="s">
        <v>23</v>
      </c>
    </row>
    <row r="28" spans="1:14" ht="15">
      <c r="A28" t="s">
        <v>13</v>
      </c>
      <c r="B28" t="s">
        <v>14</v>
      </c>
      <c r="C28" t="s">
        <v>88</v>
      </c>
      <c r="D28" t="s">
        <v>89</v>
      </c>
      <c r="E28" s="17">
        <v>45370.520833333336</v>
      </c>
      <c r="F28" t="s">
        <v>90</v>
      </c>
      <c r="G28" t="s">
        <v>18</v>
      </c>
      <c r="H28" t="s">
        <v>19</v>
      </c>
      <c r="I28" t="s">
        <v>20</v>
      </c>
      <c r="J28" t="s">
        <v>21</v>
      </c>
      <c r="K28" t="s">
        <v>45</v>
      </c>
      <c r="L28" s="18" t="str">
        <f>HYPERLINK("https://us.assetplanner.com/service_request?ID=82124","SR082124")</f>
        <v>SR082124</v>
      </c>
      <c r="M28" t="s">
        <v>35</v>
      </c>
      <c r="N28" s="21" t="s">
        <v>23</v>
      </c>
    </row>
    <row r="29" spans="1:14" ht="15">
      <c r="A29" t="s">
        <v>13</v>
      </c>
      <c r="B29" t="s">
        <v>14</v>
      </c>
      <c r="C29" t="s">
        <v>91</v>
      </c>
      <c r="D29" t="s">
        <v>43</v>
      </c>
      <c r="E29" s="17">
        <v>45355.539583333331</v>
      </c>
      <c r="F29" t="s">
        <v>92</v>
      </c>
      <c r="G29" t="s">
        <v>18</v>
      </c>
      <c r="H29" t="s">
        <v>19</v>
      </c>
      <c r="I29" t="s">
        <v>20</v>
      </c>
      <c r="J29" t="s">
        <v>21</v>
      </c>
      <c r="K29" t="s">
        <v>45</v>
      </c>
      <c r="L29" s="18" t="str">
        <f>HYPERLINK("https://us.assetplanner.com/service_request?ID=81556","SR081556")</f>
        <v>SR081556</v>
      </c>
      <c r="M29" t="s">
        <v>35</v>
      </c>
      <c r="N29" s="21" t="s">
        <v>23</v>
      </c>
    </row>
    <row r="30" spans="1:14" ht="15">
      <c r="A30" t="s">
        <v>13</v>
      </c>
      <c r="B30" t="s">
        <v>14</v>
      </c>
      <c r="C30" t="s">
        <v>93</v>
      </c>
      <c r="D30" t="s">
        <v>25</v>
      </c>
      <c r="E30" s="17">
        <v>45355.538194444445</v>
      </c>
      <c r="F30" t="s">
        <v>94</v>
      </c>
      <c r="G30" t="s">
        <v>18</v>
      </c>
      <c r="H30" t="s">
        <v>19</v>
      </c>
      <c r="I30" t="s">
        <v>20</v>
      </c>
      <c r="J30" t="s">
        <v>21</v>
      </c>
      <c r="K30" t="s">
        <v>45</v>
      </c>
      <c r="L30" s="18" t="str">
        <f>HYPERLINK("https://us.assetplanner.com/service_request?ID=81555","SR081555")</f>
        <v>SR081555</v>
      </c>
      <c r="M30" t="s">
        <v>35</v>
      </c>
      <c r="N30" s="21" t="s">
        <v>23</v>
      </c>
    </row>
    <row r="31" spans="1:14" ht="15">
      <c r="A31" t="s">
        <v>13</v>
      </c>
      <c r="B31" t="s">
        <v>14</v>
      </c>
      <c r="C31" t="s">
        <v>95</v>
      </c>
      <c r="D31" t="s">
        <v>96</v>
      </c>
      <c r="E31" s="17">
        <v>45352.625694444447</v>
      </c>
      <c r="F31" t="s">
        <v>97</v>
      </c>
      <c r="G31" t="s">
        <v>18</v>
      </c>
      <c r="H31" t="s">
        <v>19</v>
      </c>
      <c r="I31" t="s">
        <v>20</v>
      </c>
      <c r="J31" t="s">
        <v>21</v>
      </c>
      <c r="K31" t="s">
        <v>41</v>
      </c>
      <c r="L31" s="18" t="str">
        <f>HYPERLINK("https://us.assetplanner.com/service_request?ID=81508","SR081508")</f>
        <v>SR081508</v>
      </c>
      <c r="M31" t="s">
        <v>35</v>
      </c>
      <c r="N31" s="21" t="s">
        <v>23</v>
      </c>
    </row>
    <row r="32" spans="1:14" ht="15">
      <c r="A32" t="s">
        <v>13</v>
      </c>
      <c r="B32" t="s">
        <v>14</v>
      </c>
      <c r="C32" t="s">
        <v>98</v>
      </c>
      <c r="D32" t="s">
        <v>86</v>
      </c>
      <c r="E32" s="17">
        <v>45352.62222222222</v>
      </c>
      <c r="F32" t="s">
        <v>99</v>
      </c>
      <c r="G32" t="s">
        <v>18</v>
      </c>
      <c r="H32" t="s">
        <v>19</v>
      </c>
      <c r="I32" t="s">
        <v>20</v>
      </c>
      <c r="J32" t="s">
        <v>21</v>
      </c>
      <c r="K32" t="s">
        <v>41</v>
      </c>
      <c r="L32" s="18" t="str">
        <f>HYPERLINK("https://us.assetplanner.com/service_request?ID=81505","SR081505")</f>
        <v>SR081505</v>
      </c>
      <c r="M32" t="s">
        <v>35</v>
      </c>
      <c r="N32" s="21" t="s">
        <v>100</v>
      </c>
    </row>
    <row r="33" spans="1:14" ht="15">
      <c r="A33" t="s">
        <v>13</v>
      </c>
      <c r="B33" t="s">
        <v>14</v>
      </c>
      <c r="C33" t="s">
        <v>101</v>
      </c>
      <c r="D33" t="s">
        <v>102</v>
      </c>
      <c r="E33" s="17">
        <v>45352.620833333334</v>
      </c>
      <c r="F33" t="s">
        <v>103</v>
      </c>
      <c r="G33" t="s">
        <v>18</v>
      </c>
      <c r="H33" t="s">
        <v>19</v>
      </c>
      <c r="I33" t="s">
        <v>20</v>
      </c>
      <c r="J33" t="s">
        <v>21</v>
      </c>
      <c r="K33" t="s">
        <v>41</v>
      </c>
      <c r="L33" s="18" t="str">
        <f>HYPERLINK("https://us.assetplanner.com/service_request?ID=81504","SR081504")</f>
        <v>SR081504</v>
      </c>
      <c r="M33" t="s">
        <v>35</v>
      </c>
      <c r="N33" s="21" t="s">
        <v>100</v>
      </c>
    </row>
    <row r="34" spans="1:14" ht="15">
      <c r="A34" t="s">
        <v>13</v>
      </c>
      <c r="B34" t="s">
        <v>14</v>
      </c>
      <c r="C34" t="s">
        <v>104</v>
      </c>
      <c r="D34" t="s">
        <v>105</v>
      </c>
      <c r="E34" s="17">
        <v>45342.586111111108</v>
      </c>
      <c r="F34" t="s">
        <v>106</v>
      </c>
      <c r="G34" t="s">
        <v>18</v>
      </c>
      <c r="H34" t="s">
        <v>19</v>
      </c>
      <c r="I34" t="s">
        <v>20</v>
      </c>
      <c r="J34" t="s">
        <v>21</v>
      </c>
      <c r="K34" t="s">
        <v>41</v>
      </c>
      <c r="L34" s="18" t="str">
        <f>HYPERLINK("https://us.assetplanner.com/service_request?ID=81129","SR081129")</f>
        <v>SR081129</v>
      </c>
      <c r="M34" t="s">
        <v>35</v>
      </c>
      <c r="N34" s="21" t="s">
        <v>100</v>
      </c>
    </row>
    <row r="35" spans="1:14" ht="15">
      <c r="A35" t="s">
        <v>13</v>
      </c>
      <c r="B35" t="s">
        <v>14</v>
      </c>
      <c r="C35" t="s">
        <v>107</v>
      </c>
      <c r="D35" t="s">
        <v>43</v>
      </c>
      <c r="E35" s="17">
        <v>45291.197222222225</v>
      </c>
      <c r="F35" t="s">
        <v>108</v>
      </c>
      <c r="G35" t="s">
        <v>18</v>
      </c>
      <c r="H35" t="s">
        <v>19</v>
      </c>
      <c r="I35" t="s">
        <v>20</v>
      </c>
      <c r="J35" t="s">
        <v>21</v>
      </c>
      <c r="K35" t="s">
        <v>45</v>
      </c>
      <c r="L35" s="18" t="str">
        <f>HYPERLINK("https://us.assetplanner.com/service_request?ID=79845","SR079845")</f>
        <v>SR079845</v>
      </c>
      <c r="M35" t="s">
        <v>35</v>
      </c>
      <c r="N35" s="21" t="s">
        <v>23</v>
      </c>
    </row>
    <row r="36" spans="1:14" ht="15">
      <c r="A36" t="s">
        <v>13</v>
      </c>
      <c r="B36" t="s">
        <v>14</v>
      </c>
      <c r="C36" t="s">
        <v>109</v>
      </c>
      <c r="D36" t="s">
        <v>86</v>
      </c>
      <c r="E36" s="17">
        <v>45237.53402777778</v>
      </c>
      <c r="F36" t="s">
        <v>110</v>
      </c>
      <c r="G36" t="s">
        <v>18</v>
      </c>
      <c r="H36" t="s">
        <v>19</v>
      </c>
      <c r="I36" t="s">
        <v>20</v>
      </c>
      <c r="J36" t="s">
        <v>21</v>
      </c>
      <c r="K36" t="s">
        <v>45</v>
      </c>
      <c r="L36" s="18" t="str">
        <f>HYPERLINK("https://us.assetplanner.com/service_request?ID=78119","SR078119")</f>
        <v>SR078119</v>
      </c>
      <c r="M36" t="s">
        <v>35</v>
      </c>
      <c r="N36" s="21" t="s">
        <v>23</v>
      </c>
    </row>
    <row r="37" spans="1:14" ht="15">
      <c r="A37" t="s">
        <v>13</v>
      </c>
      <c r="B37" t="s">
        <v>14</v>
      </c>
      <c r="C37" t="s">
        <v>111</v>
      </c>
      <c r="D37" t="s">
        <v>25</v>
      </c>
      <c r="E37" s="17">
        <v>45216.152083333334</v>
      </c>
      <c r="F37" t="s">
        <v>112</v>
      </c>
      <c r="G37" t="s">
        <v>18</v>
      </c>
      <c r="H37" t="s">
        <v>19</v>
      </c>
      <c r="I37" t="s">
        <v>20</v>
      </c>
      <c r="J37" t="s">
        <v>21</v>
      </c>
      <c r="K37" t="s">
        <v>45</v>
      </c>
      <c r="L37" s="18" t="str">
        <f>HYPERLINK("https://us.assetplanner.com/service_request?ID=77517","SR077517")</f>
        <v>SR077517</v>
      </c>
      <c r="M37" t="s">
        <v>35</v>
      </c>
      <c r="N37" s="21" t="s">
        <v>100</v>
      </c>
    </row>
    <row r="38" spans="1:14" ht="15">
      <c r="A38" t="s">
        <v>13</v>
      </c>
      <c r="B38" t="s">
        <v>14</v>
      </c>
      <c r="C38" t="s">
        <v>113</v>
      </c>
      <c r="D38" t="s">
        <v>114</v>
      </c>
      <c r="E38" s="17">
        <v>45204.594444444447</v>
      </c>
      <c r="F38" t="s">
        <v>115</v>
      </c>
      <c r="G38" t="s">
        <v>18</v>
      </c>
      <c r="H38" t="s">
        <v>19</v>
      </c>
      <c r="I38" t="s">
        <v>20</v>
      </c>
      <c r="J38" t="s">
        <v>21</v>
      </c>
      <c r="K38" t="s">
        <v>80</v>
      </c>
      <c r="L38" s="18" t="str">
        <f>HYPERLINK("https://us.assetplanner.com/service_request?ID=77287","SR077287")</f>
        <v>SR077287</v>
      </c>
      <c r="M38" t="s">
        <v>35</v>
      </c>
      <c r="N38" s="21" t="s">
        <v>23</v>
      </c>
    </row>
    <row r="39" spans="1:14" ht="15">
      <c r="A39" t="s">
        <v>13</v>
      </c>
      <c r="B39" t="s">
        <v>14</v>
      </c>
      <c r="C39" t="s">
        <v>116</v>
      </c>
      <c r="D39" t="s">
        <v>117</v>
      </c>
      <c r="E39" s="17">
        <v>45177.527777777781</v>
      </c>
      <c r="F39" t="s">
        <v>118</v>
      </c>
      <c r="G39" t="s">
        <v>18</v>
      </c>
      <c r="H39" t="s">
        <v>19</v>
      </c>
      <c r="I39" t="s">
        <v>20</v>
      </c>
      <c r="J39" t="s">
        <v>21</v>
      </c>
      <c r="K39" t="s">
        <v>45</v>
      </c>
      <c r="L39" s="18" t="str">
        <f>HYPERLINK("https://us.assetplanner.com/service_request?ID=75876","SR075876")</f>
        <v>SR075876</v>
      </c>
      <c r="M39" t="s">
        <v>119</v>
      </c>
      <c r="N39" s="21" t="s">
        <v>23</v>
      </c>
    </row>
    <row r="40" spans="1:14" ht="15">
      <c r="A40" t="s">
        <v>13</v>
      </c>
      <c r="B40" t="s">
        <v>14</v>
      </c>
      <c r="C40" t="s">
        <v>120</v>
      </c>
      <c r="D40" t="s">
        <v>43</v>
      </c>
      <c r="E40" s="17">
        <v>45169.620138888888</v>
      </c>
      <c r="F40" t="s">
        <v>121</v>
      </c>
      <c r="G40" t="s">
        <v>18</v>
      </c>
      <c r="H40" t="s">
        <v>19</v>
      </c>
      <c r="I40" t="s">
        <v>20</v>
      </c>
      <c r="J40" t="s">
        <v>21</v>
      </c>
      <c r="K40" t="s">
        <v>45</v>
      </c>
      <c r="L40" s="18" t="str">
        <f>HYPERLINK("https://us.assetplanner.com/service_request?ID=75642","SR075642")</f>
        <v>SR075642</v>
      </c>
      <c r="M40" t="s">
        <v>35</v>
      </c>
      <c r="N40" s="21" t="s">
        <v>23</v>
      </c>
    </row>
    <row r="41" spans="1:14" ht="15">
      <c r="A41" t="s">
        <v>13</v>
      </c>
      <c r="B41" t="s">
        <v>14</v>
      </c>
      <c r="C41" t="s">
        <v>122</v>
      </c>
      <c r="D41" t="s">
        <v>123</v>
      </c>
      <c r="E41" s="17">
        <v>45147.531944444447</v>
      </c>
      <c r="F41" t="s">
        <v>124</v>
      </c>
      <c r="G41" t="s">
        <v>18</v>
      </c>
      <c r="H41" t="s">
        <v>19</v>
      </c>
      <c r="I41" t="s">
        <v>20</v>
      </c>
      <c r="J41" t="s">
        <v>21</v>
      </c>
      <c r="K41" t="s">
        <v>45</v>
      </c>
      <c r="L41" s="18" t="str">
        <f>HYPERLINK("https://us.assetplanner.com/service_request?ID=74887","SR074887")</f>
        <v>SR074887</v>
      </c>
      <c r="M41" t="s">
        <v>35</v>
      </c>
      <c r="N41" s="21" t="s">
        <v>23</v>
      </c>
    </row>
    <row r="42" spans="1:14" ht="15">
      <c r="A42" t="s">
        <v>13</v>
      </c>
      <c r="B42" t="s">
        <v>14</v>
      </c>
      <c r="C42" t="s">
        <v>125</v>
      </c>
      <c r="D42" t="s">
        <v>25</v>
      </c>
      <c r="E42" s="17">
        <v>45120.525694444441</v>
      </c>
      <c r="F42" t="s">
        <v>126</v>
      </c>
      <c r="G42" t="s">
        <v>18</v>
      </c>
      <c r="H42" t="s">
        <v>19</v>
      </c>
      <c r="I42" t="s">
        <v>20</v>
      </c>
      <c r="J42" t="s">
        <v>21</v>
      </c>
      <c r="K42" t="s">
        <v>80</v>
      </c>
      <c r="L42" s="18" t="str">
        <f>HYPERLINK("https://us.assetplanner.com/service_request?ID=73825","SR073825")</f>
        <v>SR073825</v>
      </c>
      <c r="M42" t="s">
        <v>35</v>
      </c>
      <c r="N42" s="21" t="s">
        <v>23</v>
      </c>
    </row>
    <row r="43" spans="1:14" ht="15">
      <c r="A43" t="s">
        <v>13</v>
      </c>
      <c r="B43" t="s">
        <v>14</v>
      </c>
      <c r="C43" t="s">
        <v>127</v>
      </c>
      <c r="D43" t="s">
        <v>105</v>
      </c>
      <c r="E43" s="17">
        <v>45118.582638888889</v>
      </c>
      <c r="F43" t="s">
        <v>128</v>
      </c>
      <c r="G43" t="s">
        <v>18</v>
      </c>
      <c r="H43" t="s">
        <v>19</v>
      </c>
      <c r="I43" t="s">
        <v>20</v>
      </c>
      <c r="J43" t="s">
        <v>21</v>
      </c>
      <c r="K43" t="s">
        <v>45</v>
      </c>
      <c r="L43" s="18" t="str">
        <f>HYPERLINK("https://us.assetplanner.com/service_request?ID=73743","SR073743")</f>
        <v>SR073743</v>
      </c>
      <c r="M43" t="s">
        <v>35</v>
      </c>
      <c r="N43" s="21" t="s">
        <v>23</v>
      </c>
    </row>
    <row r="44" spans="1:14" ht="15">
      <c r="A44" t="s">
        <v>13</v>
      </c>
      <c r="B44" t="s">
        <v>14</v>
      </c>
      <c r="C44" t="s">
        <v>129</v>
      </c>
      <c r="D44" t="s">
        <v>25</v>
      </c>
      <c r="E44" s="17">
        <v>45114.202777777777</v>
      </c>
      <c r="F44" t="s">
        <v>130</v>
      </c>
      <c r="G44" t="s">
        <v>18</v>
      </c>
      <c r="H44" t="s">
        <v>19</v>
      </c>
      <c r="I44" t="s">
        <v>20</v>
      </c>
      <c r="J44" t="s">
        <v>21</v>
      </c>
      <c r="K44" t="s">
        <v>45</v>
      </c>
      <c r="L44" s="18" t="str">
        <f>HYPERLINK("https://us.assetplanner.com/service_request?ID=73621","SR073621")</f>
        <v>SR073621</v>
      </c>
      <c r="M44" t="s">
        <v>35</v>
      </c>
      <c r="N44" s="21" t="s">
        <v>23</v>
      </c>
    </row>
    <row r="45" spans="1:14" ht="15">
      <c r="A45" t="s">
        <v>13</v>
      </c>
      <c r="B45" t="s">
        <v>14</v>
      </c>
      <c r="C45" t="s">
        <v>93</v>
      </c>
      <c r="D45" t="s">
        <v>123</v>
      </c>
      <c r="E45" s="17">
        <v>45068.599305555559</v>
      </c>
      <c r="F45" t="s">
        <v>131</v>
      </c>
      <c r="G45" t="s">
        <v>18</v>
      </c>
      <c r="H45" t="s">
        <v>19</v>
      </c>
      <c r="I45" t="s">
        <v>20</v>
      </c>
      <c r="J45" t="s">
        <v>21</v>
      </c>
      <c r="K45" t="s">
        <v>45</v>
      </c>
      <c r="L45" s="18" t="str">
        <f>HYPERLINK("https://us.assetplanner.com/service_request?ID=71782","SR071782")</f>
        <v>SR071782</v>
      </c>
      <c r="M45" t="s">
        <v>35</v>
      </c>
      <c r="N45" s="21" t="s">
        <v>23</v>
      </c>
    </row>
    <row r="46" spans="1:14" ht="15">
      <c r="A46" t="s">
        <v>13</v>
      </c>
      <c r="B46" t="s">
        <v>14</v>
      </c>
      <c r="C46" t="s">
        <v>132</v>
      </c>
      <c r="D46" t="s">
        <v>16</v>
      </c>
      <c r="E46" s="17">
        <v>45055.59097222222</v>
      </c>
      <c r="F46" t="s">
        <v>133</v>
      </c>
      <c r="G46" t="s">
        <v>18</v>
      </c>
      <c r="H46" t="s">
        <v>19</v>
      </c>
      <c r="I46" t="s">
        <v>20</v>
      </c>
      <c r="J46" t="s">
        <v>21</v>
      </c>
      <c r="K46" t="s">
        <v>45</v>
      </c>
      <c r="L46" s="18" t="str">
        <f>HYPERLINK("https://us.assetplanner.com/service_request?ID=71467","SR071467")</f>
        <v>SR071467</v>
      </c>
      <c r="M46" t="s">
        <v>35</v>
      </c>
      <c r="N46" s="21" t="s">
        <v>23</v>
      </c>
    </row>
    <row r="47" spans="1:14" ht="15">
      <c r="A47" t="s">
        <v>13</v>
      </c>
      <c r="B47" t="s">
        <v>14</v>
      </c>
      <c r="C47" t="s">
        <v>134</v>
      </c>
      <c r="D47" t="s">
        <v>29</v>
      </c>
      <c r="E47" s="17">
        <v>45041.59652777778</v>
      </c>
      <c r="F47" t="s">
        <v>135</v>
      </c>
      <c r="G47" t="s">
        <v>18</v>
      </c>
      <c r="H47" t="s">
        <v>19</v>
      </c>
      <c r="I47" t="s">
        <v>20</v>
      </c>
      <c r="J47" t="s">
        <v>21</v>
      </c>
      <c r="K47" t="s">
        <v>45</v>
      </c>
      <c r="L47" s="18" t="str">
        <f>HYPERLINK("https://us.assetplanner.com/service_request?ID=71089","SR071089")</f>
        <v>SR071089</v>
      </c>
      <c r="M47" t="s">
        <v>20</v>
      </c>
      <c r="N47" s="21" t="s">
        <v>23</v>
      </c>
    </row>
    <row r="48" spans="1:14" ht="15">
      <c r="A48" t="s">
        <v>13</v>
      </c>
      <c r="B48" t="s">
        <v>14</v>
      </c>
      <c r="C48" t="s">
        <v>136</v>
      </c>
      <c r="D48" t="s">
        <v>123</v>
      </c>
      <c r="E48" s="17">
        <v>45037.523611111108</v>
      </c>
      <c r="F48" t="s">
        <v>137</v>
      </c>
      <c r="G48" t="s">
        <v>18</v>
      </c>
      <c r="H48" t="s">
        <v>19</v>
      </c>
      <c r="I48" t="s">
        <v>20</v>
      </c>
      <c r="J48" t="s">
        <v>21</v>
      </c>
      <c r="K48" t="s">
        <v>45</v>
      </c>
      <c r="L48" s="18" t="str">
        <f>HYPERLINK("https://us.assetplanner.com/service_request?ID=70992","SR070992")</f>
        <v>SR070992</v>
      </c>
      <c r="M48" t="s">
        <v>35</v>
      </c>
      <c r="N48" s="21" t="s">
        <v>23</v>
      </c>
    </row>
    <row r="49" spans="1:14" ht="15">
      <c r="A49" t="s">
        <v>13</v>
      </c>
      <c r="B49" t="s">
        <v>14</v>
      </c>
      <c r="C49" t="s">
        <v>138</v>
      </c>
      <c r="D49" t="s">
        <v>139</v>
      </c>
      <c r="E49" s="17">
        <v>44929.522916666669</v>
      </c>
      <c r="F49" t="s">
        <v>140</v>
      </c>
      <c r="G49" t="s">
        <v>18</v>
      </c>
      <c r="H49" t="s">
        <v>19</v>
      </c>
      <c r="I49" t="s">
        <v>20</v>
      </c>
      <c r="J49" t="s">
        <v>21</v>
      </c>
      <c r="K49" t="s">
        <v>45</v>
      </c>
      <c r="L49" s="18" t="str">
        <f>HYPERLINK("https://us.assetplanner.com/service_request?ID=68143","SR068143")</f>
        <v>SR068143</v>
      </c>
      <c r="M49" t="s">
        <v>35</v>
      </c>
      <c r="N49" s="21" t="s">
        <v>23</v>
      </c>
    </row>
    <row r="50" spans="1:14">
      <c r="A50" t="s">
        <v>141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M5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>
      <selection activeCell="A29" sqref="A29"/>
    </sheetView>
  </sheetViews>
  <sheetFormatPr defaultRowHeight="14.4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>
      <c r="A2" s="2" t="s">
        <v>142</v>
      </c>
    </row>
    <row r="3" spans="1:33">
      <c r="A3" s="3" t="s">
        <v>143</v>
      </c>
      <c r="B3" s="4" t="s">
        <v>144</v>
      </c>
    </row>
    <row r="4" spans="1:33">
      <c r="A4" s="3" t="s">
        <v>145</v>
      </c>
      <c r="B4" s="5" t="s">
        <v>146</v>
      </c>
    </row>
    <row r="5" spans="1:33">
      <c r="A5" s="3" t="s">
        <v>147</v>
      </c>
      <c r="B5" s="4" t="s">
        <v>148</v>
      </c>
    </row>
    <row r="6" spans="1:33">
      <c r="A6" s="3" t="s">
        <v>149</v>
      </c>
      <c r="B6" s="6">
        <v>11</v>
      </c>
    </row>
    <row r="7" spans="1:33">
      <c r="A7" s="3" t="s">
        <v>150</v>
      </c>
      <c r="B7" s="4" t="s">
        <v>151</v>
      </c>
    </row>
    <row r="8" spans="1:33">
      <c r="A8" s="7"/>
    </row>
    <row r="9" spans="1:33" ht="16.5" customHeight="1">
      <c r="A9" s="22" t="s">
        <v>152</v>
      </c>
      <c r="B9" s="23"/>
      <c r="C9" s="23"/>
      <c r="D9" s="23"/>
      <c r="E9" s="23"/>
      <c r="F9" s="23"/>
      <c r="G9" s="24"/>
      <c r="H9" s="8" t="s">
        <v>153</v>
      </c>
      <c r="I9" s="22" t="s">
        <v>154</v>
      </c>
      <c r="J9" s="23"/>
      <c r="K9" s="24"/>
      <c r="L9" s="22" t="s">
        <v>155</v>
      </c>
      <c r="M9" s="23"/>
      <c r="N9" s="24"/>
      <c r="O9" s="22" t="s">
        <v>156</v>
      </c>
      <c r="P9" s="23"/>
      <c r="Q9" s="24"/>
      <c r="R9" s="22" t="s">
        <v>157</v>
      </c>
      <c r="S9" s="23"/>
      <c r="T9" s="24"/>
    </row>
    <row r="10" spans="1:33">
      <c r="A10" s="9" t="s">
        <v>158</v>
      </c>
      <c r="B10" s="9" t="s">
        <v>159</v>
      </c>
      <c r="C10" s="9" t="s">
        <v>160</v>
      </c>
      <c r="D10" s="9" t="s">
        <v>161</v>
      </c>
      <c r="E10" s="9" t="s">
        <v>162</v>
      </c>
      <c r="F10" s="9" t="s">
        <v>163</v>
      </c>
      <c r="G10" s="9" t="s">
        <v>164</v>
      </c>
      <c r="H10" s="9" t="s">
        <v>165</v>
      </c>
      <c r="I10" s="9" t="s">
        <v>166</v>
      </c>
      <c r="J10" s="9" t="s">
        <v>167</v>
      </c>
      <c r="K10" s="9" t="s">
        <v>168</v>
      </c>
      <c r="L10" s="9" t="s">
        <v>166</v>
      </c>
      <c r="M10" s="9" t="s">
        <v>167</v>
      </c>
      <c r="N10" s="9" t="s">
        <v>168</v>
      </c>
      <c r="O10" s="9" t="s">
        <v>166</v>
      </c>
      <c r="P10" s="9" t="s">
        <v>167</v>
      </c>
      <c r="Q10" s="9" t="s">
        <v>168</v>
      </c>
      <c r="R10" s="9" t="s">
        <v>166</v>
      </c>
      <c r="S10" s="9" t="s">
        <v>167</v>
      </c>
      <c r="T10" s="9" t="s">
        <v>168</v>
      </c>
    </row>
    <row r="11" spans="1:33">
      <c r="A11" s="10">
        <v>1</v>
      </c>
      <c r="B11" s="11" t="s">
        <v>169</v>
      </c>
      <c r="C11" s="10" t="s">
        <v>170</v>
      </c>
      <c r="D11" s="10" t="s">
        <v>171</v>
      </c>
      <c r="E11" s="10" t="s">
        <v>172</v>
      </c>
      <c r="F11" s="10" t="s">
        <v>173</v>
      </c>
      <c r="G11" s="10">
        <v>69.254999999999995</v>
      </c>
      <c r="H11" s="12" t="s">
        <v>16</v>
      </c>
      <c r="I11" s="10">
        <v>0</v>
      </c>
      <c r="J11" s="10">
        <v>0</v>
      </c>
      <c r="K11" s="12"/>
      <c r="L11" s="10">
        <v>0</v>
      </c>
      <c r="M11" s="10">
        <v>0</v>
      </c>
      <c r="N11" s="12"/>
      <c r="O11" s="10">
        <v>4706.6000000000004</v>
      </c>
      <c r="P11" s="10">
        <v>68</v>
      </c>
      <c r="Q11" s="12"/>
      <c r="R11" s="10">
        <v>44845.4</v>
      </c>
      <c r="S11" s="10">
        <v>647.5</v>
      </c>
      <c r="T11" s="12"/>
    </row>
    <row r="12" spans="1:33">
      <c r="A12" s="10">
        <v>2</v>
      </c>
      <c r="B12" s="11" t="s">
        <v>174</v>
      </c>
      <c r="C12" s="10" t="s">
        <v>170</v>
      </c>
      <c r="D12" s="10" t="s">
        <v>171</v>
      </c>
      <c r="E12" s="10" t="s">
        <v>172</v>
      </c>
      <c r="F12" s="10" t="s">
        <v>175</v>
      </c>
      <c r="G12" s="10">
        <v>152.42500000000001</v>
      </c>
      <c r="H12" s="12" t="s">
        <v>176</v>
      </c>
      <c r="I12" s="10">
        <v>16071.2</v>
      </c>
      <c r="J12" s="10">
        <v>105.4</v>
      </c>
      <c r="K12" s="12"/>
      <c r="L12" s="10">
        <v>10340.700000000001</v>
      </c>
      <c r="M12" s="10">
        <v>67.8</v>
      </c>
      <c r="N12" s="12"/>
      <c r="O12" s="10">
        <v>14631</v>
      </c>
      <c r="P12" s="10">
        <v>96</v>
      </c>
      <c r="Q12" s="12"/>
      <c r="R12" s="10">
        <v>177965.1</v>
      </c>
      <c r="S12" s="10">
        <v>1167.5999999999999</v>
      </c>
      <c r="T12" s="12"/>
    </row>
    <row r="13" spans="1:33">
      <c r="A13" s="10">
        <v>3</v>
      </c>
      <c r="B13" s="11" t="s">
        <v>177</v>
      </c>
      <c r="C13" s="10" t="s">
        <v>170</v>
      </c>
      <c r="D13" s="10" t="s">
        <v>171</v>
      </c>
      <c r="E13" s="10" t="s">
        <v>172</v>
      </c>
      <c r="F13" s="10" t="s">
        <v>178</v>
      </c>
      <c r="G13" s="10">
        <v>572.32500000000005</v>
      </c>
      <c r="H13" s="12" t="s">
        <v>25</v>
      </c>
      <c r="I13" s="10">
        <v>54751.4</v>
      </c>
      <c r="J13" s="10">
        <v>95.7</v>
      </c>
      <c r="K13" s="12"/>
      <c r="L13" s="10">
        <v>38334.1</v>
      </c>
      <c r="M13" s="10">
        <v>67</v>
      </c>
      <c r="N13" s="12"/>
      <c r="O13" s="10">
        <v>54147.199999999997</v>
      </c>
      <c r="P13" s="10">
        <v>94.6</v>
      </c>
      <c r="Q13" s="12"/>
      <c r="R13" s="10">
        <v>651579.80000000005</v>
      </c>
      <c r="S13" s="10">
        <v>1138.5</v>
      </c>
      <c r="T13" s="12"/>
    </row>
    <row r="14" spans="1:33">
      <c r="A14" s="10">
        <v>4</v>
      </c>
      <c r="B14" s="11" t="s">
        <v>179</v>
      </c>
      <c r="C14" s="10" t="s">
        <v>170</v>
      </c>
      <c r="D14" s="10" t="s">
        <v>171</v>
      </c>
      <c r="E14" s="10" t="s">
        <v>172</v>
      </c>
      <c r="F14" s="10" t="s">
        <v>180</v>
      </c>
      <c r="G14" s="10">
        <v>49.4</v>
      </c>
      <c r="H14" s="12" t="s">
        <v>181</v>
      </c>
      <c r="I14" s="10">
        <v>5360.2</v>
      </c>
      <c r="J14" s="10">
        <v>108.5</v>
      </c>
      <c r="K14" s="12"/>
      <c r="L14" s="10">
        <v>3661.3</v>
      </c>
      <c r="M14" s="10">
        <v>74.099999999999994</v>
      </c>
      <c r="N14" s="12"/>
      <c r="O14" s="10">
        <v>5129</v>
      </c>
      <c r="P14" s="10">
        <v>103.8</v>
      </c>
      <c r="Q14" s="12"/>
      <c r="R14" s="10">
        <v>60678.400000000001</v>
      </c>
      <c r="S14" s="10">
        <v>1228.3</v>
      </c>
      <c r="T14" s="12"/>
    </row>
    <row r="15" spans="1:33">
      <c r="A15" s="10">
        <v>5</v>
      </c>
      <c r="B15" s="11" t="s">
        <v>182</v>
      </c>
      <c r="C15" s="10" t="s">
        <v>170</v>
      </c>
      <c r="D15" s="10" t="s">
        <v>171</v>
      </c>
      <c r="E15" s="10" t="s">
        <v>172</v>
      </c>
      <c r="F15" s="10" t="s">
        <v>183</v>
      </c>
      <c r="G15" s="10">
        <v>64.349999999999994</v>
      </c>
      <c r="H15" s="12" t="s">
        <v>181</v>
      </c>
      <c r="I15" s="10">
        <v>6655.3</v>
      </c>
      <c r="J15" s="10">
        <v>103.4</v>
      </c>
      <c r="K15" s="12"/>
      <c r="L15" s="10">
        <v>4205</v>
      </c>
      <c r="M15" s="10">
        <v>65.3</v>
      </c>
      <c r="N15" s="12"/>
      <c r="O15" s="10">
        <v>4922.3</v>
      </c>
      <c r="P15" s="10">
        <v>76.5</v>
      </c>
      <c r="Q15" s="12"/>
      <c r="R15" s="10">
        <v>65323.9</v>
      </c>
      <c r="S15" s="10">
        <v>1015.1</v>
      </c>
      <c r="T15" s="12"/>
    </row>
    <row r="16" spans="1:33">
      <c r="A16" s="10">
        <v>6</v>
      </c>
      <c r="B16" s="11" t="s">
        <v>184</v>
      </c>
      <c r="C16" s="10" t="s">
        <v>170</v>
      </c>
      <c r="D16" s="10" t="s">
        <v>171</v>
      </c>
      <c r="E16" s="10" t="s">
        <v>172</v>
      </c>
      <c r="F16" s="10" t="s">
        <v>180</v>
      </c>
      <c r="G16" s="10">
        <v>88.4</v>
      </c>
      <c r="H16" s="12" t="s">
        <v>181</v>
      </c>
      <c r="I16" s="10">
        <v>6377.6</v>
      </c>
      <c r="J16" s="10">
        <v>72.099999999999994</v>
      </c>
      <c r="K16" s="12"/>
      <c r="L16" s="10">
        <v>4413.8</v>
      </c>
      <c r="M16" s="10">
        <v>49.9</v>
      </c>
      <c r="N16" s="12"/>
      <c r="O16" s="10">
        <v>7961.9</v>
      </c>
      <c r="P16" s="10">
        <v>90.1</v>
      </c>
      <c r="Q16" s="12"/>
      <c r="R16" s="10">
        <v>94026.6</v>
      </c>
      <c r="S16" s="10">
        <v>1063.5999999999999</v>
      </c>
      <c r="T16" s="12"/>
    </row>
    <row r="17" spans="1:20">
      <c r="A17" s="10">
        <v>7</v>
      </c>
      <c r="B17" s="11" t="s">
        <v>185</v>
      </c>
      <c r="C17" s="10" t="s">
        <v>170</v>
      </c>
      <c r="D17" s="10" t="s">
        <v>171</v>
      </c>
      <c r="E17" s="10" t="s">
        <v>172</v>
      </c>
      <c r="F17" s="10" t="s">
        <v>186</v>
      </c>
      <c r="G17" s="10">
        <v>117</v>
      </c>
      <c r="H17" s="12" t="s">
        <v>181</v>
      </c>
      <c r="I17" s="10">
        <v>12324.7</v>
      </c>
      <c r="J17" s="10">
        <v>105.3</v>
      </c>
      <c r="K17" s="12"/>
      <c r="L17" s="10">
        <v>8432.9</v>
      </c>
      <c r="M17" s="10">
        <v>72.099999999999994</v>
      </c>
      <c r="N17" s="12"/>
      <c r="O17" s="10">
        <v>11612.9</v>
      </c>
      <c r="P17" s="10">
        <v>99.3</v>
      </c>
      <c r="Q17" s="12"/>
      <c r="R17" s="10">
        <v>141360.9</v>
      </c>
      <c r="S17" s="10">
        <v>1208.2</v>
      </c>
      <c r="T17" s="12"/>
    </row>
    <row r="18" spans="1:20">
      <c r="A18" s="10">
        <v>8</v>
      </c>
      <c r="B18" s="11" t="s">
        <v>187</v>
      </c>
      <c r="C18" s="10" t="s">
        <v>170</v>
      </c>
      <c r="D18" s="10" t="s">
        <v>171</v>
      </c>
      <c r="E18" s="10" t="s">
        <v>172</v>
      </c>
      <c r="F18" s="10" t="s">
        <v>188</v>
      </c>
      <c r="G18" s="10">
        <v>468.65</v>
      </c>
      <c r="H18" s="12" t="s">
        <v>176</v>
      </c>
      <c r="I18" s="10">
        <v>39136.400000000001</v>
      </c>
      <c r="J18" s="10">
        <v>83.5</v>
      </c>
      <c r="K18" s="12"/>
      <c r="L18" s="10">
        <v>28041.5</v>
      </c>
      <c r="M18" s="10">
        <v>59.8</v>
      </c>
      <c r="N18" s="12"/>
      <c r="O18" s="10">
        <v>37325.4</v>
      </c>
      <c r="P18" s="10">
        <v>79.599999999999994</v>
      </c>
      <c r="Q18" s="12"/>
      <c r="R18" s="10">
        <v>454552.3</v>
      </c>
      <c r="S18" s="10">
        <v>969.9</v>
      </c>
      <c r="T18" s="12"/>
    </row>
    <row r="19" spans="1:20">
      <c r="A19" s="10">
        <v>9</v>
      </c>
      <c r="B19" s="11" t="s">
        <v>189</v>
      </c>
      <c r="C19" s="10" t="s">
        <v>170</v>
      </c>
      <c r="D19" s="10" t="s">
        <v>171</v>
      </c>
      <c r="E19" s="10" t="s">
        <v>172</v>
      </c>
      <c r="F19" s="10" t="s">
        <v>190</v>
      </c>
      <c r="G19" s="10">
        <v>169</v>
      </c>
      <c r="H19" s="12" t="s">
        <v>176</v>
      </c>
      <c r="I19" s="10">
        <v>17348</v>
      </c>
      <c r="J19" s="10">
        <v>102.7</v>
      </c>
      <c r="K19" s="12"/>
      <c r="L19" s="10">
        <v>12908.6</v>
      </c>
      <c r="M19" s="10">
        <v>76.400000000000006</v>
      </c>
      <c r="N19" s="12"/>
      <c r="O19" s="10">
        <v>14683.1</v>
      </c>
      <c r="P19" s="10">
        <v>86.9</v>
      </c>
      <c r="Q19" s="12"/>
      <c r="R19" s="10">
        <v>161673.4</v>
      </c>
      <c r="S19" s="10">
        <v>956.6</v>
      </c>
      <c r="T19" s="12"/>
    </row>
    <row r="20" spans="1:20">
      <c r="A20" s="10">
        <v>10</v>
      </c>
      <c r="B20" s="11" t="s">
        <v>191</v>
      </c>
      <c r="C20" s="10" t="s">
        <v>170</v>
      </c>
      <c r="D20" s="10" t="s">
        <v>171</v>
      </c>
      <c r="E20" s="10" t="s">
        <v>172</v>
      </c>
      <c r="F20" s="10" t="s">
        <v>192</v>
      </c>
      <c r="G20" s="10">
        <v>443.625</v>
      </c>
      <c r="H20" s="12" t="s">
        <v>16</v>
      </c>
      <c r="I20" s="10">
        <v>33206.300000000003</v>
      </c>
      <c r="J20" s="10">
        <v>74.900000000000006</v>
      </c>
      <c r="K20" s="12"/>
      <c r="L20" s="10">
        <v>23794.7</v>
      </c>
      <c r="M20" s="10">
        <v>53.6</v>
      </c>
      <c r="N20" s="12"/>
      <c r="O20" s="10">
        <v>39272.6</v>
      </c>
      <c r="P20" s="10">
        <v>88.5</v>
      </c>
      <c r="Q20" s="12"/>
      <c r="R20" s="10">
        <v>386717.7</v>
      </c>
      <c r="S20" s="10">
        <v>871.7</v>
      </c>
      <c r="T20" s="12"/>
    </row>
    <row r="21" spans="1:20">
      <c r="A21" s="10">
        <v>11</v>
      </c>
      <c r="B21" s="11" t="s">
        <v>193</v>
      </c>
      <c r="C21" s="10" t="s">
        <v>170</v>
      </c>
      <c r="D21" s="10" t="s">
        <v>171</v>
      </c>
      <c r="E21" s="10" t="s">
        <v>172</v>
      </c>
      <c r="F21" s="10" t="s">
        <v>175</v>
      </c>
      <c r="G21" s="10">
        <v>267.8</v>
      </c>
      <c r="H21" s="12" t="s">
        <v>176</v>
      </c>
      <c r="I21" s="10">
        <v>20391.5</v>
      </c>
      <c r="J21" s="10">
        <v>76.099999999999994</v>
      </c>
      <c r="K21" s="12"/>
      <c r="L21" s="10">
        <v>12941.5</v>
      </c>
      <c r="M21" s="10">
        <v>48.3</v>
      </c>
      <c r="N21" s="12"/>
      <c r="O21" s="10">
        <v>24671.5</v>
      </c>
      <c r="P21" s="10">
        <v>92.1</v>
      </c>
      <c r="Q21" s="12"/>
      <c r="R21" s="10">
        <v>265847.5</v>
      </c>
      <c r="S21" s="10">
        <v>992.7</v>
      </c>
      <c r="T21" s="12"/>
    </row>
    <row r="22" spans="1:20">
      <c r="A22" s="13" t="s">
        <v>141</v>
      </c>
      <c r="B22" s="14"/>
      <c r="C22" s="14"/>
      <c r="D22" s="14"/>
      <c r="E22" s="14"/>
      <c r="F22" s="14"/>
      <c r="G22" s="15">
        <v>2462.23</v>
      </c>
      <c r="H22" s="14"/>
      <c r="I22" s="13">
        <v>211622.6</v>
      </c>
      <c r="J22" s="14"/>
      <c r="K22" s="14"/>
      <c r="L22" s="13">
        <v>147074.1</v>
      </c>
      <c r="M22" s="14"/>
      <c r="N22" s="14"/>
      <c r="O22" s="13">
        <v>219063.5</v>
      </c>
      <c r="P22" s="14"/>
      <c r="Q22" s="14"/>
      <c r="R22" s="13">
        <v>2504571</v>
      </c>
      <c r="S22" s="14"/>
      <c r="T22" s="14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55A65ED-12FF-4790-8830-F4B8A1C1E27C}"/>
</file>

<file path=customXml/itemProps2.xml><?xml version="1.0" encoding="utf-8"?>
<ds:datastoreItem xmlns:ds="http://schemas.openxmlformats.org/officeDocument/2006/customXml" ds:itemID="{265F9711-7FB2-4EF8-9931-73AD36C3929A}"/>
</file>

<file path=customXml/itemProps3.xml><?xml version="1.0" encoding="utf-8"?>
<ds:datastoreItem xmlns:ds="http://schemas.openxmlformats.org/officeDocument/2006/customXml" ds:itemID="{C6AE40C7-B212-41F9-AF73-1FCA2CB84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2025-04-07T04:43:04Z</dcterms:created>
  <dcterms:modified xsi:type="dcterms:W3CDTF">2025-04-10T19:03:21Z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