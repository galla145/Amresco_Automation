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82055D28-94E0-4C67-ADC9-E63BB117CCAC}" xr6:coauthVersionLast="47" xr6:coauthVersionMax="47" xr10:uidLastSave="{00000000-0000-0000-0000-000000000000}"/>
  <bookViews>
    <workbookView xWindow="-108" yWindow="-108" windowWidth="23256" windowHeight="1389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3" l="1"/>
  <c r="H4" i="32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E4" i="33"/>
  <c r="F4" i="33" s="1"/>
  <c r="G2" i="33"/>
  <c r="D2" i="33"/>
  <c r="C2" i="33"/>
  <c r="A1" i="33" a="1"/>
  <c r="A1" i="33" s="1"/>
  <c r="I4" i="32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<sst xmlns="http://schemas.openxmlformats.org/spreadsheetml/2006/main" count="252" uniqueCount="57">
  <si>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</si>
  <si>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</si>
  <si>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</si>
  <si>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</si>
  <si>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</si>
  <si>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</si>
  <si>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</si>
  <si>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</si>
  <si>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</si>
  <si>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</si>
  <si>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</si>
  <si>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</si>
  <si>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</si>
  <si>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</si>
  <si>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</si>
  <si>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</si>
  <si>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</si>
  <si>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</si>
  <si>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</si>
  <si>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</si>
  <si>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</si>
  <si>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</si>
  <si>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</si>
  <si>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The site stopped communication at 03:14PM on 01/31.</t>
  </si>
  <si>
    <t>1.SR096201</t>
  </si>
  <si>
    <t>February Actual v. Expected</t>
  </si>
  <si>
    <t>February Actual v. Forecasted</t>
  </si>
  <si>
    <t>1.The site stopped communicating at 3:00 PM on 01/31. Upon the technician's arrival on 02/03, it was stated that the site was online, but communication continued to be down until the owner arranged new internet services.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</si>
  <si>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</si>
  <si>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</si>
  <si>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</si>
  <si>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</si>
  <si>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</si>
  <si>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</si>
  <si>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</si>
  <si>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</si>
  <si>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</si>
  <si>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</si>
  <si>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</si>
  <si>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</si>
  <si>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</si>
  <si>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</si>
  <si>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</si>
  <si>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</si>
  <si>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</si>
  <si>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</si>
  <si>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</si>
  <si>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</si>
  <si>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</si>
  <si>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CT: Guilford - Safety Zone</t>
  </si>
  <si>
    <t>Site DAS Name</t>
  </si>
  <si>
    <t>Update</t>
  </si>
  <si>
    <t>DAS</t>
  </si>
  <si>
    <t>The Safety Zone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</si>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</sst>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5" fillId="46" borderId="0" xfId="0" applyFont="1" applyFill="1" applyAlignment="1">
      <alignment horizontal="right" vertical="center"/>
    </xf>
    <xf numFmtId="3" fontId="35" fillId="47" borderId="0" xfId="0" applyNumberFormat="1" applyFont="1" applyFill="1" applyAlignment="1">
      <alignment horizontal="right" vertical="center"/>
    </xf>
    <xf numFmtId="9" fontId="36" fillId="38" borderId="12" xfId="45" applyNumberFormat="1" applyFill="1" applyBorder="1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49" fontId="36" fillId="38" borderId="0" xfId="45" applyNumberForma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620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20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20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3" sqref="H2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CT: Guilford - Safety Zone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SUM(C4:C79)</f>
        <v>17456</v>
      </c>
      <c r="D2" s="5">
        <f>SUM(D4:D79)</f>
        <v>0</v>
      </c>
      <c r="E2" s="5">
        <f>C2-D2</f>
        <v>17456</v>
      </c>
      <c r="F2" s="6">
        <f>IFERROR(E2/D2, 0)</f>
        <v>0</v>
      </c>
      <c r="G2" s="5">
        <f>SUM(G4:G79)</f>
        <v>0</v>
      </c>
      <c r="H2" s="7">
        <f>C2-G2</f>
        <v>17456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Safety Zone</v>
      </c>
      <c r="B4" s="9" t="str" cm="1">
        <f t="array" ref="B4">Sites[State]</f>
        <v>CT</v>
      </c>
      <c r="C4" s="23">
        <f>SUM('1st Qtr'!C4, '2nd Qtr'!C4, '3rd Qtr'!C4, '4th Qtr'!C4)</f>
        <v>17456</v>
      </c>
      <c r="D4" s="12">
        <f>SUM('1st Qtr'!D4, '2nd Qtr'!D4, '3rd Qtr'!D4, '4th Qtr'!D4)</f>
        <v>0</v>
      </c>
      <c r="E4" s="12">
        <f>IF(AND(ISNUMBER(C4),ISNUMBER(D4)), C4-D4, "")</f>
        <v>17456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L18" sqref="L18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CT: Guilford - Safety Zone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SUM(C4:C79)</f>
        <v>17456</v>
      </c>
      <c r="D2" s="5">
        <f>SUM(D4:D79)</f>
        <v>0</v>
      </c>
      <c r="E2" s="5">
        <f>C2-D2</f>
        <v>17456</v>
      </c>
      <c r="F2" s="6">
        <f>IFERROR(E2/D2, 0)</f>
        <v>0</v>
      </c>
      <c r="G2" s="5">
        <f>SUM(G4:G79)</f>
        <v>0</v>
      </c>
      <c r="H2" s="7">
        <f>C2-G2</f>
        <v>17456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SUM(Jan!C4, Feb!C4, Mar!C4)</f>
        <v>17456</v>
      </c>
      <c r="D4" s="12">
        <f>SUM(Jan!D4, Feb!D4, Mar!D4)</f>
        <v>0</v>
      </c>
      <c r="E4" s="12">
        <f>IF(AND(ISNUMBER(C4),ISNUMBER(D4)), C4-D4, "")</f>
        <v>17456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H11" sqref="H11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CT: Guilford - Safety Zone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N35" sqref="N3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CT: Guilford - Safety Zone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F12" sqref="F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CT: Guilford - Safety Zone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tabSelected="1" workbookViewId="0">
      <pane xSplit="2" ySplit="3" topLeftCell="D4" activePane="bottomRight" state="frozen"/>
      <selection pane="bottomRight" activeCell="H19" sqref="H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SUM(C4:C78)</f>
        <v>17456</v>
      </c>
      <c r="D2" s="5">
        <f>SUM(D4:D78)</f>
        <v>0</v>
      </c>
      <c r="E2" s="5">
        <f>C2-D2</f>
        <v>17456</v>
      </c>
      <c r="F2" s="6">
        <f>IFERROR(E2/D2, 0)</f>
        <v>0</v>
      </c>
      <c r="G2" s="5">
        <f>SUM(G4:G78)</f>
        <v>0</v>
      </c>
      <c r="H2" s="7">
        <f>C2-G2</f>
        <v>17456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50">
        <v>17456</v>
      </c>
      <c r="D4" s="53" t="s">
        <v>22</v>
      </c>
      <c r="E4" s="12" t="str">
        <f>IF(AND(ISNUMBER(C4),ISNUMBER(D4)), C4-D4, "")</f>
        <v/>
      </c>
      <c r="F4" s="40" t="str">
        <f>IFERROR(E4/D4, "")</f>
        <v/>
      </c>
      <c r="G4" s="54" t="s">
        <v>22</v>
      </c>
      <c r="H4" s="14" t="str">
        <f>IF(AND(ISNUMBER(C4),ISNUMBER(G4)), C4-G4, "")</f>
        <v/>
      </c>
      <c r="I4" s="15" t="str">
        <f>IFERROR(H4/G4, "")</f>
        <v/>
      </c>
      <c r="J4" s="47" t="s">
        <v>23</v>
      </c>
      <c r="K4" s="55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96201" xr:uid="{59C9B4B1-62BE-421F-BC2E-C20B0B6C55B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H18" sqref="H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25</v>
      </c>
      <c r="E1" s="60"/>
      <c r="F1" s="60"/>
      <c r="G1" s="58" t="s">
        <v>26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43.15">
      <c r="A4" s="52" t="str" cm="1">
        <f t="array" ref="A4">Sites[Site]</f>
        <v>CT: Guilford - Safety Zone</v>
      </c>
      <c r="B4" s="27" t="str" cm="1">
        <f t="array" ref="B4">Sites[State]</f>
        <v>CT</v>
      </c>
      <c r="C4" s="23">
        <v>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6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7" t="s">
        <v>24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201" xr:uid="{A79DBC2F-6557-4239-A610-CBA1B3C49D2A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90" zoomScaleNormal="90" workbookViewId="0">
      <pane xSplit="2" ySplit="3" topLeftCell="C4" activePane="bottomRight" state="frozen"/>
      <selection pane="bottomRight" activeCell="G18" sqref="G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28</v>
      </c>
      <c r="E1" s="60"/>
      <c r="F1" s="60"/>
      <c r="G1" s="58" t="s">
        <v>29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3.25" customHeight="1">
      <c r="A4" s="52" t="str" cm="1">
        <f t="array" ref="A4">Sites[Site]</f>
        <v>CT: Guilford - Safety Zone</v>
      </c>
      <c r="B4" s="27" t="str" cm="1">
        <f t="array" ref="B4">Sites[State]</f>
        <v>CT</v>
      </c>
      <c r="C4" s="23">
        <v>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6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7" t="s">
        <v>24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6201" xr:uid="{B9E74F83-6C12-4A1A-AAFA-B200491DC82E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30</v>
      </c>
      <c r="E1" s="60"/>
      <c r="F1" s="60"/>
      <c r="G1" s="58" t="s">
        <v>31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32</v>
      </c>
      <c r="E1" s="60"/>
      <c r="F1" s="60"/>
      <c r="G1" s="58" t="s">
        <v>33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34</v>
      </c>
      <c r="E1" s="60"/>
      <c r="F1" s="60"/>
      <c r="G1" s="58" t="s">
        <v>35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36</v>
      </c>
      <c r="E1" s="60"/>
      <c r="F1" s="60"/>
      <c r="G1" s="58" t="s">
        <v>37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H9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38</v>
      </c>
      <c r="E1" s="60"/>
      <c r="F1" s="60"/>
      <c r="G1" s="58" t="s">
        <v>39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F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40</v>
      </c>
      <c r="E1" s="60"/>
      <c r="F1" s="60"/>
      <c r="G1" s="58" t="s">
        <v>41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D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42</v>
      </c>
      <c r="E1" s="60"/>
      <c r="F1" s="60"/>
      <c r="G1" s="58" t="s">
        <v>43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44</v>
      </c>
      <c r="E1" s="60"/>
      <c r="F1" s="60"/>
      <c r="G1" s="58" t="s">
        <v>45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I18" sqref="I18"/>
      <selection pane="bottomLeft" activeCell="I18" sqref="I18"/>
      <selection pane="topRight" activeCell="I18" sqref="I1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CT: Guilford - Safety Zone</v>
      </c>
      <c r="B1" s="59"/>
      <c r="C1" s="59"/>
      <c r="D1" s="60" t="s">
        <v>46</v>
      </c>
      <c r="E1" s="60"/>
      <c r="F1" s="60"/>
      <c r="G1" s="58" t="s">
        <v>47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5" t="s">
        <v>53</v>
      </c>
      <c r="B4" t="s">
        <v>49</v>
      </c>
      <c r="C4" s="43" t="s">
        <v>54</v>
      </c>
      <c r="D4" s="42" t="s">
        <v>55</v>
      </c>
      <c r="E4" t="s">
        <v>56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9905FEB8-A57E-4DC4-8477-4914C9229AD9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Srinivasa Krishnan [Libsys]</cp:lastModifiedBy>
  <cp:revision/>
  <dcterms:created xsi:type="dcterms:W3CDTF">2021-01-01T16:39:53Z</dcterms:created>
  <dcterms:modified xsi:type="dcterms:W3CDTF">2026-01-30T17:23:41Z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2024-10-18T20:12:11Z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e6b26769-2ac3-4d60-a35e-1d825aec4a78</vt:lpwstr>
  </property>
  <property fmtid="{D5CDD505-2E9C-101B-9397-08002B2CF9AE}" pid="9" name="MSIP_Label_9d817c99-0b37-4a07-8277-96aa1f96b74b_ContentBits">
    <vt:lpwstr>0</vt:lpwstr>
  </property>
</Properties>
</file>