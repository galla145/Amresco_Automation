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3" documentId="13_ncr:1_{D3570153-468B-4EA5-96C9-E9645089C3C2}" xr6:coauthVersionLast="47" xr6:coauthVersionMax="47" xr10:uidLastSave="{6EA82E73-0B23-40B3-8ADB-83581F1014D2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2" i="29" s="1"/>
  <c r="G4" i="30"/>
  <c r="G2" i="30" s="1"/>
  <c r="A4" i="26" a="1"/>
  <c r="A4" i="26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<sst xmlns="http://schemas.openxmlformats.org/spreadsheetml/2006/main" count="255" uniqueCount="61">
  <si>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</si>
  <si>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</si>
  <si>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</si>
  <si>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</si>
  <si>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</si>
  <si>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</si>
  <si>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</si>
  <si>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</si>
  <si>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</si>
  <si>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</si>
  <si>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</si>
  <si>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</si>
  <si>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</si>
  <si>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</si>
  <si>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</si>
  <si>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</si>
  <si>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</si>
  <si>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</si>
  <si>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</si>
  <si>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</si>
  <si>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</si>
  <si>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</si>
  <si>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</si>
  <si>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 xml:space="preserve">1. Aerial thermal inspection indicates that Arrays 3A and 3B connected to Inverter 1 are offline and the DMGI for Inverter 1 is due for replacement.
2. Low generation due to snow/rain.
</t>
  </si>
  <si>
    <t xml:space="preserve">1.SR092880,SR089716,
PM4611
</t>
  </si>
  <si>
    <t>SR089716</t>
  </si>
  <si>
    <t>February Actual v. Expected</t>
  </si>
  <si>
    <t>February Actual v. Forecasted</t>
  </si>
  <si>
    <t>1.Aerial thermal inspection indicates that Arrays 3A and 3B connected to Inverter 1 are offline and the DMGI for Inverter 1 is due for replacement.
2. Low generation due to snow/rain.</t>
  </si>
  <si>
    <t>1.SR092880,SR089716,
PM4611</t>
  </si>
  <si>
    <t>March Actual v. Expected</t>
  </si>
  <si>
    <t>March Actual v. Forecasted</t>
  </si>
  <si>
    <t>1.Aerial thermal inspection indicates that Arrays 3A and 3B connected to Inverter 1 are offline and the DMGI for Inverter 1 is due for replacement.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</si>
  <si>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</si>
  <si>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</si>
  <si>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</si>
  <si>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</si>
  <si>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</si>
  <si>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</si>
  <si>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</si>
  <si>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</si>
  <si>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</si>
  <si>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</si>
  <si>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</si>
  <si>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</si>
  <si>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</si>
  <si>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</si>
  <si>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</si>
  <si>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</si>
  <si>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</si>
  <si>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</si>
  <si>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</si>
  <si>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Lee Company</t>
  </si>
  <si>
    <t>Site DAS Name</t>
  </si>
  <si>
    <t>Update</t>
  </si>
  <si>
    <t>DAS</t>
  </si>
  <si>
    <t>Lee Building 41</t>
  </si>
  <si>
    <t>CT: Westbrook - Building #41</t>
  </si>
  <si>
    <t>CT</t>
  </si>
  <si>
    <t>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</si>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</sst>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89716" TargetMode="External"/><Relationship Id="rId1" Type="http://schemas.openxmlformats.org/officeDocument/2006/relationships/hyperlink" Target="https://us3.assetplanner.com/service_request?ID=0928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9716" TargetMode="External"/><Relationship Id="rId1" Type="http://schemas.openxmlformats.org/officeDocument/2006/relationships/hyperlink" Target="https://us3.assetplanner.com/service_request?ID=09288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9716" TargetMode="External"/><Relationship Id="rId1" Type="http://schemas.openxmlformats.org/officeDocument/2006/relationships/hyperlink" Target="https://us3.assetplanner.com/service_request?ID=09288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E7" sqref="E7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Lee Company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SUM(C4:C72)</f>
        <v>37375.046880000002</v>
      </c>
      <c r="D2" s="5">
        <f>SUM(D4:D72)</f>
        <v>0</v>
      </c>
      <c r="E2" s="5">
        <f>C2-D2</f>
        <v>37375.046880000002</v>
      </c>
      <c r="F2" s="6">
        <f>IFERROR(E2/D2, 0)</f>
        <v>0</v>
      </c>
      <c r="G2" s="5">
        <f>SUM(G4:G72)</f>
        <v>0</v>
      </c>
      <c r="H2" s="7">
        <f>C2-G2</f>
        <v>37375.046880000002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Westbrook - Building #41</v>
      </c>
      <c r="B4" s="9" t="str" cm="1">
        <f t="array" ref="B4">Sites[State]</f>
        <v>CT</v>
      </c>
      <c r="C4" s="18">
        <f>SUM('1st Qtr'!C4, '2nd Qtr'!C4, '3rd Qtr'!C4, '4th Qtr'!C4)</f>
        <v>37375.046880000002</v>
      </c>
      <c r="D4" s="11">
        <f>SUM('1st Qtr'!D4, '2nd Qtr'!D4, '3rd Qtr'!D4, '4th Qtr'!D4)</f>
        <v>0</v>
      </c>
      <c r="E4" s="11">
        <f>IF(AND(ISNUMBER(C4),ISNUMBER(D4)), C4-D4, "")</f>
        <v>37375.046880000002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E10" sqref="E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Lee Company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SUM(C4:C72)</f>
        <v>37375.046880000002</v>
      </c>
      <c r="D2" s="5">
        <f>SUM(D4:D72)</f>
        <v>0</v>
      </c>
      <c r="E2" s="5">
        <f>C2-D2</f>
        <v>37375.046880000002</v>
      </c>
      <c r="F2" s="6">
        <f>IFERROR(E2/D2, 0)</f>
        <v>0</v>
      </c>
      <c r="G2" s="5">
        <f>SUM(G4:G72)</f>
        <v>0</v>
      </c>
      <c r="H2" s="7">
        <f>C2-G2</f>
        <v>37375.046880000002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SUM(Jan!C4, Feb!C4, Mar!C4)</f>
        <v>37375.046880000002</v>
      </c>
      <c r="D4" s="11">
        <f>SUM(Jan!D4, Feb!D4, Mar!D4)</f>
        <v>0</v>
      </c>
      <c r="E4" s="11">
        <f>IF(AND(ISNUMBER(C4),ISNUMBER(D4)), C4-D4, "")</f>
        <v>37375.046880000002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Lee Company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Lee Company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Lee Company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13"/>
  <sheetViews>
    <sheetView workbookViewId="0">
      <pane xSplit="2" ySplit="3" topLeftCell="C4" activePane="bottomRight" state="frozen"/>
      <selection pane="bottomRight" activeCell="H19" sqref="H19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6" t="str" cm="1">
        <f t="array" ref="A1">portfolio</f>
        <v>Lee Company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2" ht="19.5" customHeight="1">
      <c r="A2" s="48" t="s">
        <v>2</v>
      </c>
      <c r="B2" s="48"/>
      <c r="C2" s="5">
        <f>SUM(C4:C71)</f>
        <v>7940.359375</v>
      </c>
      <c r="D2" s="5">
        <f>SUM(D4:D71)</f>
        <v>0</v>
      </c>
      <c r="E2" s="5">
        <f>C2-D2</f>
        <v>7940.359375</v>
      </c>
      <c r="F2" s="6">
        <f>IFERROR(E2/D2, 0)</f>
        <v>0</v>
      </c>
      <c r="G2" s="5">
        <f>SUM(G4:G71)</f>
        <v>0</v>
      </c>
      <c r="H2" s="7">
        <f>C2-G2</f>
        <v>7940.359375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49.5" customHeight="1">
      <c r="A4" s="41" t="str" cm="1">
        <f t="array" ref="A4">Sites[Site]</f>
        <v>CT: Westbrook - Building #41</v>
      </c>
      <c r="B4" s="22" t="str" cm="1">
        <f t="array" ref="B4">Sites[State]</f>
        <v>CT</v>
      </c>
      <c r="C4" s="18">
        <v>7940.359375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2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23</v>
      </c>
      <c r="K4" s="43" t="s">
        <v>24</v>
      </c>
      <c r="L4" s="44" t="s">
        <v>25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5:I71 F5:F71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 I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2880" xr:uid="{BD719A58-0C43-4B82-B291-590DDB654A6E}"/>
    <hyperlink ref="L4" r:id="rId2" display="https://us3.assetplanner.com/service_request?ID=089716" xr:uid="{9883A3DC-B6EC-41D8-856A-458EC4040A7A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14"/>
  <sheetViews>
    <sheetView workbookViewId="0">
      <pane xSplit="2" ySplit="3" topLeftCell="C4" activePane="bottomRight" state="frozen"/>
      <selection pane="bottomRight" activeCell="G21" sqref="G21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6" t="str" cm="1">
        <f t="array" ref="A1">portfolio</f>
        <v>Lee Company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2" ht="19.5" customHeight="1">
      <c r="A2" s="48" t="s">
        <v>2</v>
      </c>
      <c r="B2" s="48"/>
      <c r="C2" s="5">
        <f>SUM(C4:C72)</f>
        <v>11022.765625</v>
      </c>
      <c r="D2" s="5">
        <f>SUM(D4:D72)</f>
        <v>0</v>
      </c>
      <c r="E2" s="5">
        <f>C2-D2</f>
        <v>11022.765625</v>
      </c>
      <c r="F2" s="6">
        <f>IFERROR(E2/D2, 0)</f>
        <v>0</v>
      </c>
      <c r="G2" s="5">
        <f>SUM(G4:G72)</f>
        <v>0</v>
      </c>
      <c r="H2" s="7">
        <f>C2-G2</f>
        <v>11022.765625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45.75">
      <c r="A4" s="38" t="str" cm="1">
        <f t="array" ref="A4">Sites[Site]</f>
        <v>CT: Westbrook - Building #41</v>
      </c>
      <c r="B4" s="22" t="str" cm="1">
        <f t="array" ref="B4">Sites[State]</f>
        <v>CT</v>
      </c>
      <c r="C4" s="18">
        <v>11022.765625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2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28</v>
      </c>
      <c r="K4" s="43" t="s">
        <v>29</v>
      </c>
      <c r="L4" s="44" t="s">
        <v>25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2880" xr:uid="{55A439EA-6E8E-4288-BCE9-024DCA05AEBD}"/>
    <hyperlink ref="L4" r:id="rId2" display="https://us3.assetplanner.com/service_request?ID=089716" xr:uid="{0B359927-EF2A-4277-8DB1-EB081425769A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4"/>
  <sheetViews>
    <sheetView tabSelected="1" workbookViewId="0">
      <pane xSplit="2" ySplit="3" topLeftCell="C4" activePane="bottomRight" state="frozen"/>
      <selection pane="bottomRight" activeCell="I12" sqref="I12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6" t="str" cm="1">
        <f t="array" ref="A1">portfolio</f>
        <v>Lee Company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2" ht="19.5" customHeight="1">
      <c r="A2" s="48" t="s">
        <v>2</v>
      </c>
      <c r="B2" s="48"/>
      <c r="C2" s="5">
        <f>SUM(C4:C72)</f>
        <v>18411.921880000002</v>
      </c>
      <c r="D2" s="5">
        <f>SUM(D4:D72)</f>
        <v>0</v>
      </c>
      <c r="E2" s="5">
        <f>C2-D2</f>
        <v>18411.921880000002</v>
      </c>
      <c r="F2" s="6">
        <f>IFERROR(E2/D2, 0)</f>
        <v>0</v>
      </c>
      <c r="G2" s="5">
        <f>SUM(G4:G72)</f>
        <v>0</v>
      </c>
      <c r="H2" s="7">
        <f>C2-G2</f>
        <v>18411.921880000002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34.5" customHeight="1">
      <c r="A4" s="41" t="str" cm="1">
        <f t="array" ref="A4">Sites[Site]</f>
        <v>CT: Westbrook - Building #41</v>
      </c>
      <c r="B4" s="22" t="str" cm="1">
        <f t="array" ref="B4">Sites[State]</f>
        <v>CT</v>
      </c>
      <c r="C4" s="18">
        <v>18411.921880000002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2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43" t="s">
        <v>29</v>
      </c>
      <c r="L4" s="44" t="s">
        <v>25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2880" xr:uid="{AAAC8E91-D86C-4236-9B10-A3AF2B2E7202}"/>
    <hyperlink ref="L4" r:id="rId2" display="https://us3.assetplanner.com/service_request?ID=089716" xr:uid="{C1FF0A3E-5EC2-4EC5-BF44-766574502D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4"/>
  <sheetViews>
    <sheetView workbookViewId="0">
      <pane xSplit="2" ySplit="3" topLeftCell="C4" activePane="bottomRight" state="frozen"/>
      <selection pane="bottomRight" activeCell="H10" sqref="H10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Lee Company</v>
      </c>
      <c r="B1" s="46"/>
      <c r="C1" s="46"/>
      <c r="D1" s="47" t="s">
        <v>33</v>
      </c>
      <c r="E1" s="47"/>
      <c r="F1" s="47"/>
      <c r="G1" s="45" t="s">
        <v>34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4"/>
  <sheetViews>
    <sheetView workbookViewId="0">
      <pane xSplit="2" ySplit="3" topLeftCell="G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Lee Company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Lee Company</v>
      </c>
      <c r="B1" s="46"/>
      <c r="C1" s="46"/>
      <c r="D1" s="47" t="s">
        <v>37</v>
      </c>
      <c r="E1" s="47"/>
      <c r="F1" s="47"/>
      <c r="G1" s="45" t="s">
        <v>38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Lee Company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Lee Company</v>
      </c>
      <c r="B1" s="46"/>
      <c r="C1" s="46"/>
      <c r="D1" s="47" t="s">
        <v>41</v>
      </c>
      <c r="E1" s="47"/>
      <c r="F1" s="47"/>
      <c r="G1" s="45" t="s">
        <v>42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Lee Company</v>
      </c>
      <c r="B1" s="46"/>
      <c r="C1" s="46"/>
      <c r="D1" s="47" t="s">
        <v>43</v>
      </c>
      <c r="E1" s="47"/>
      <c r="F1" s="47"/>
      <c r="G1" s="45" t="s">
        <v>44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Lee Company</v>
      </c>
      <c r="B1" s="46"/>
      <c r="C1" s="46"/>
      <c r="D1" s="47" t="s">
        <v>45</v>
      </c>
      <c r="E1" s="47"/>
      <c r="F1" s="47"/>
      <c r="G1" s="45" t="s">
        <v>46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Lee Company</v>
      </c>
      <c r="B1" s="46"/>
      <c r="C1" s="46"/>
      <c r="D1" s="47" t="s">
        <v>47</v>
      </c>
      <c r="E1" s="47"/>
      <c r="F1" s="47"/>
      <c r="G1" s="45" t="s">
        <v>48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Lee Company</v>
      </c>
      <c r="B1" s="46"/>
      <c r="C1" s="46"/>
      <c r="D1" s="47" t="s">
        <v>49</v>
      </c>
      <c r="E1" s="47"/>
      <c r="F1" s="47"/>
      <c r="G1" s="45" t="s">
        <v>50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6" sqref="C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51</v>
      </c>
      <c r="B1" s="39" t="s">
        <v>52</v>
      </c>
    </row>
    <row r="3" spans="1:12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45">
      <c r="A4" s="37" t="s">
        <v>56</v>
      </c>
      <c r="B4" t="s">
        <v>57</v>
      </c>
      <c r="C4" s="35" t="s">
        <v>58</v>
      </c>
      <c r="D4" s="40" t="s">
        <v>59</v>
      </c>
      <c r="E4" s="39" t="s">
        <v>60</v>
      </c>
      <c r="G4" s="3"/>
    </row>
    <row r="5" spans="1:12" ht="14.45">
      <c r="A5" s="37"/>
      <c r="C5" s="35"/>
      <c r="D5" s="34"/>
      <c r="G5" s="3"/>
    </row>
    <row r="6" spans="1:12" ht="14.4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3"/>
      <c r="L10" s="33"/>
    </row>
    <row r="11" spans="1:12" ht="12.75" customHeight="1">
      <c r="A11" s="37"/>
      <c r="C11" s="35"/>
      <c r="D11" s="34"/>
      <c r="K11" s="33"/>
      <c r="L11" s="33"/>
    </row>
    <row r="12" spans="1:12" ht="12.75" customHeight="1">
      <c r="A12" s="37"/>
      <c r="C12" s="35"/>
      <c r="D12" s="34"/>
      <c r="K12" s="33"/>
      <c r="L12" s="33"/>
    </row>
    <row r="13" spans="1:12" ht="12.75" customHeight="1">
      <c r="A13" s="37"/>
      <c r="C13" s="35"/>
      <c r="D13" s="34"/>
      <c r="K13" s="33"/>
      <c r="L13" s="33"/>
    </row>
    <row r="14" spans="1:12" ht="12.75" customHeight="1">
      <c r="A14" s="37"/>
      <c r="C14" s="35"/>
      <c r="D14" s="34"/>
      <c r="K14" s="33"/>
      <c r="L14" s="33"/>
    </row>
    <row r="15" spans="1:12" ht="12.75" customHeight="1">
      <c r="A15" s="37"/>
      <c r="C15" s="35"/>
      <c r="D15" s="34"/>
      <c r="K15" s="33"/>
      <c r="L15" s="33"/>
    </row>
    <row r="16" spans="1:12" ht="12.75" customHeight="1">
      <c r="A16" s="37"/>
      <c r="C16" s="35"/>
      <c r="D16" s="34"/>
      <c r="K16" s="33"/>
      <c r="L16" s="33"/>
    </row>
    <row r="17" spans="1:12" ht="12.75" customHeight="1">
      <c r="A17" s="37"/>
      <c r="C17" s="35"/>
      <c r="D17" s="34"/>
      <c r="K17" s="33"/>
      <c r="L17" s="33"/>
    </row>
    <row r="18" spans="1:12" ht="12.75" customHeight="1">
      <c r="A18" s="37"/>
      <c r="C18" s="35"/>
      <c r="D18" s="34"/>
      <c r="K18" s="33"/>
      <c r="L18" s="33"/>
    </row>
    <row r="19" spans="1:12" ht="12.75" customHeight="1">
      <c r="A19" s="37"/>
      <c r="C19" s="35"/>
      <c r="D19" s="34"/>
      <c r="K19" s="33"/>
      <c r="L19" s="33"/>
    </row>
    <row r="20" spans="1:12" ht="12.75" customHeight="1">
      <c r="A20" s="37"/>
      <c r="C20" s="35"/>
      <c r="D20" s="34"/>
      <c r="K20" s="33"/>
      <c r="L20" s="33"/>
    </row>
    <row r="21" spans="1:12" ht="12.75" customHeight="1">
      <c r="A21" s="37"/>
      <c r="C21" s="35"/>
      <c r="D21" s="34"/>
      <c r="K21" s="33"/>
      <c r="L21" s="33"/>
    </row>
    <row r="22" spans="1:12" ht="12.75" customHeight="1">
      <c r="A22" s="37"/>
      <c r="C22" s="35"/>
      <c r="D22" s="34"/>
      <c r="K22" s="33"/>
      <c r="L22" s="33"/>
    </row>
    <row r="23" spans="1:12" ht="12.75" customHeight="1">
      <c r="A23" s="37"/>
      <c r="C23" s="35"/>
      <c r="D23" s="34"/>
      <c r="K23" s="33"/>
      <c r="L23" s="33"/>
    </row>
    <row r="24" spans="1:12" ht="12.75" customHeight="1">
      <c r="A24" s="37"/>
      <c r="C24" s="35"/>
      <c r="D24" s="34"/>
      <c r="K24" s="33"/>
      <c r="L24" s="33"/>
    </row>
    <row r="25" spans="1:12" ht="12.75" customHeight="1">
      <c r="A25" s="37"/>
      <c r="C25" s="35"/>
      <c r="D25" s="34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42D6C69D-DAEF-4203-84DF-118E1F51E047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2025-07-14T17:30:23Z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2025-03-11T16:26:23Z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16a3144c-a4b1-4d24-a8f3-ed598bd96e10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