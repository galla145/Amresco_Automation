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4" documentId="13_ncr:1_{FCD25721-EB63-4CB7-BA15-7BC217CC3E57}" xr6:coauthVersionLast="47" xr6:coauthVersionMax="47" xr10:uidLastSave="{86961BAA-CF9E-4D57-A6AF-FCE4B0B434BD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18"/>
  <c r="F4" i="18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<sst xmlns="http://schemas.openxmlformats.org/spreadsheetml/2006/main" count="256" uniqueCount="63">
  <si>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</si>
  <si>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</si>
  <si>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</si>
  <si>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</si>
  <si>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</si>
  <si>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</si>
  <si>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</si>
  <si>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</si>
  <si>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</si>
  <si>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</si>
  <si>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</si>
  <si>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</si>
  <si>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</si>
  <si>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</si>
  <si>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</si>
  <si>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</si>
  <si>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</si>
  <si>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</si>
  <si>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</si>
  <si>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</si>
  <si>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</si>
  <si>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</si>
  <si>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</si>
  <si>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8 was being RMA'D since 12/17/24.</t>
  </si>
  <si>
    <t>1.SR093239</t>
  </si>
  <si>
    <t>February Actual v. Expected</t>
  </si>
  <si>
    <t>February Actual v. Forecasted</t>
  </si>
  <si>
    <t>1. The site experienced a brief outage from 9:00 AM to 11:30 AM on 02/14. However, inverters 2, 6, 7, and 13 remained offline after the site came back online. Inverters 6 and 13 self-resolved on 02/15. On 02/18, a technician found that inverter 2 was still offline and is being RMA’d, while inverter 7 was also offline, with its DC relay board being RMA’d.
2. Inverter 8 was being RMA'D since 12/17/24.</t>
  </si>
  <si>
    <t>1.SR097109
2.SR093239</t>
  </si>
  <si>
    <t>SR093239</t>
  </si>
  <si>
    <t>March Actual v. Expected</t>
  </si>
  <si>
    <t>March Actual v. Forecasted</t>
  </si>
  <si>
    <t>1. Inverter 2 tripped offline at 16:30 on 02/13 and is being RMA’d. After troubleshooting by the technician, the inverter was brought back online at 17:30 on 03/05.Additionally, Inverter 7 tripped offline at 16:15 on 02/13, with its DC relay board being RMA’d.
2.  Inverter 1 is derating due to multiple tripping events for whole month.
3. Inverter 8 was being RMA'D since 12/17/24.</t>
  </si>
  <si>
    <t>1. SR097109,	
SR098499
2. SR089210
3. SR093239</t>
  </si>
  <si>
    <t>SR098499</t>
  </si>
  <si>
    <t>SR089210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</si>
  <si>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</si>
  <si>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</si>
  <si>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</si>
  <si>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</si>
  <si>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</si>
  <si>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</si>
  <si>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</si>
  <si>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</si>
  <si>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</si>
  <si>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</si>
  <si>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</si>
  <si>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</si>
  <si>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</si>
  <si>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</si>
  <si>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</si>
  <si>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</si>
  <si>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</si>
  <si>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</si>
  <si>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</si>
  <si>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Canton Ice House</t>
  </si>
  <si>
    <t>Site DAS Name</t>
  </si>
  <si>
    <t>Update</t>
  </si>
  <si>
    <t>DAS</t>
  </si>
  <si>
    <t>MA: Canton - Canton Ice House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</si>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</sst>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horizontal="right"/>
    </xf>
    <xf numFmtId="0" fontId="35" fillId="46" borderId="13" xfId="0" applyFont="1" applyFill="1" applyBorder="1" applyAlignment="1">
      <alignment horizontal="right"/>
    </xf>
    <xf numFmtId="9" fontId="30" fillId="38" borderId="14" xfId="2" applyFont="1" applyFill="1" applyBorder="1" applyAlignment="1">
      <alignment horizontal="left"/>
    </xf>
    <xf numFmtId="49" fontId="30" fillId="38" borderId="0" xfId="2" applyNumberFormat="1" applyFont="1" applyFill="1" applyBorder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0" fontId="32" fillId="0" borderId="0" xfId="0" applyFont="1" applyAlignment="1">
      <alignment vertical="center"/>
    </xf>
    <xf numFmtId="9" fontId="36" fillId="38" borderId="14" xfId="45" applyNumberFormat="1" applyFill="1" applyBorder="1" applyAlignment="1">
      <alignment horizontal="left"/>
    </xf>
    <xf numFmtId="49" fontId="36" fillId="38" borderId="0" xfId="45" applyNumberFormat="1" applyFill="1" applyBorder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0" fontId="36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23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3239" TargetMode="External"/><Relationship Id="rId1" Type="http://schemas.openxmlformats.org/officeDocument/2006/relationships/hyperlink" Target="https://us3.assetplanner.com/service_request?ID=097109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9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7109" TargetMode="External"/><Relationship Id="rId4" Type="http://schemas.openxmlformats.org/officeDocument/2006/relationships/hyperlink" Target="https://us3.assetplanner.com/service_request?ID=093239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294"/>
  <sheetViews>
    <sheetView workbookViewId="0">
      <pane xSplit="2" ySplit="3" topLeftCell="C4" activePane="bottomRight" state="frozen"/>
      <selection pane="bottomRight" activeCell="J4" sqref="J4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Canton Ice House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SUM(C4:C52)</f>
        <v>82843.460986830702</v>
      </c>
      <c r="D2" s="5">
        <f>SUM(D4:D52)</f>
        <v>0</v>
      </c>
      <c r="E2" s="5">
        <f>C2-D2</f>
        <v>82843.460986830702</v>
      </c>
      <c r="F2" s="6">
        <f>IFERROR(E2/D2, 0)</f>
        <v>0</v>
      </c>
      <c r="G2" s="5">
        <f>SUM(G4:G52)</f>
        <v>0</v>
      </c>
      <c r="H2" s="7">
        <f>C2-G2</f>
        <v>82843.460986830702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Canton - Canton Ice House</v>
      </c>
      <c r="B4" s="9" t="str" cm="1">
        <f t="array" ref="B4">Sites[State]</f>
        <v>MA</v>
      </c>
      <c r="C4" s="18">
        <f>SUM('1st Qtr'!C4, '2nd Qtr'!C4, '3rd Qtr'!C4, '4th Qtr'!C4)</f>
        <v>82843.460986830702</v>
      </c>
      <c r="D4" s="11">
        <f>SUM('1st Qtr'!D4, '2nd Qtr'!D4, '3rd Qtr'!D4, '4th Qtr'!D4)</f>
        <v>0</v>
      </c>
      <c r="E4" s="11">
        <f>IF(AND(ISNUMBER(C4),ISNUMBER(D4)), C4-D4, "")</f>
        <v>82843.460986830702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2 I4:I5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294"/>
  <sheetViews>
    <sheetView workbookViewId="0">
      <pane xSplit="2" ySplit="3" topLeftCell="C4" activePane="bottomRight" state="frozen"/>
      <selection pane="bottomRight" activeCell="I4" sqref="I4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Canton Ice House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SUM(C4:C52)</f>
        <v>82843.460986830702</v>
      </c>
      <c r="D2" s="5">
        <f>SUM(D4:D52)</f>
        <v>0</v>
      </c>
      <c r="E2" s="5">
        <f>C2-D2</f>
        <v>82843.460986830702</v>
      </c>
      <c r="F2" s="6">
        <f>IFERROR(E2/D2, 0)</f>
        <v>0</v>
      </c>
      <c r="G2" s="5">
        <f>SUM(G4:G52)</f>
        <v>0</v>
      </c>
      <c r="H2" s="7">
        <f>C2-G2</f>
        <v>82843.460986830702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SUM(Jan!C4, Feb!C4, Mar!C4)</f>
        <v>82843.460986830702</v>
      </c>
      <c r="D4" s="11">
        <f>SUM(Jan!D4, Feb!D4, Mar!D4)</f>
        <v>0</v>
      </c>
      <c r="E4" s="11">
        <f>IF(AND(ISNUMBER(C4),ISNUMBER(D4)), C4-D4, "")</f>
        <v>82843.460986830702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2 I4:I5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Canton Ice House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294"/>
  <sheetViews>
    <sheetView workbookViewId="0">
      <pane xSplit="2" ySplit="3" topLeftCell="C4" activePane="bottomRight" state="frozen"/>
      <selection pane="bottomRight" activeCell="G5" sqref="G5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Canton Ice House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294"/>
  <sheetViews>
    <sheetView workbookViewId="0">
      <pane xSplit="2" ySplit="3" topLeftCell="C4" activePane="bottomRight" state="frozen"/>
      <selection pane="bottomRight" activeCell="G13" sqref="G13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Canton Ice House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4" activePane="bottomRight" state="frozen"/>
      <selection pane="bottomRight" activeCell="J8" sqref="J8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Canton Ice House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SUM(C4:C51)</f>
        <v>18838.55</v>
      </c>
      <c r="D2" s="5">
        <f>SUM(D4:D51)</f>
        <v>0</v>
      </c>
      <c r="E2" s="5">
        <f>C2-D2</f>
        <v>18838.55</v>
      </c>
      <c r="F2" s="6">
        <f>IFERROR(E2/D2, 0)</f>
        <v>0</v>
      </c>
      <c r="G2" s="5">
        <f>SUM(G4:G51)</f>
        <v>0</v>
      </c>
      <c r="H2" s="7">
        <f>C2-G2</f>
        <v>18838.55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Canton - Canton Ice House</v>
      </c>
      <c r="B4" s="22" t="str" cm="1">
        <f t="array" ref="B4">Sites[State]</f>
        <v>MA</v>
      </c>
      <c r="C4" s="40">
        <v>18838.55</v>
      </c>
      <c r="D4" s="41" t="s">
        <v>22</v>
      </c>
      <c r="E4" s="11" t="str">
        <f>IF(AND(ISNUMBER(C4),ISNUMBER(D4)), C4-D4, "")</f>
        <v/>
      </c>
      <c r="F4" s="34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2" t="s">
        <v>23</v>
      </c>
      <c r="K4" s="48" t="s">
        <v>24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47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</sheetData>
  <mergeCells count="4">
    <mergeCell ref="D1:F1"/>
    <mergeCell ref="A1:C1"/>
    <mergeCell ref="G1:I1"/>
    <mergeCell ref="A2:B2"/>
  </mergeCells>
  <conditionalFormatting sqref="F2 I2 I4:I51 F5:F5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3239" xr:uid="{FC043C7E-AA04-4542-B855-8C0971EB8F7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294"/>
  <sheetViews>
    <sheetView zoomScale="70" zoomScaleNormal="70" workbookViewId="0">
      <pane xSplit="2" ySplit="3" topLeftCell="C4" activePane="bottomRight" state="frozen"/>
      <selection pane="bottomRight" activeCell="H16" sqref="H16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3" t="str" cm="1">
        <f t="array" ref="A1">portfolio</f>
        <v>Canton Ice House</v>
      </c>
      <c r="B1" s="53"/>
      <c r="C1" s="53"/>
      <c r="D1" s="54" t="s">
        <v>25</v>
      </c>
      <c r="E1" s="54"/>
      <c r="F1" s="54"/>
      <c r="G1" s="52" t="s">
        <v>26</v>
      </c>
      <c r="H1" s="52"/>
      <c r="I1" s="52"/>
      <c r="J1" s="4"/>
      <c r="K1" s="4"/>
    </row>
    <row r="2" spans="1:12" ht="19.5" customHeight="1">
      <c r="A2" s="55" t="s">
        <v>2</v>
      </c>
      <c r="B2" s="55"/>
      <c r="C2" s="5">
        <f>SUM(C4:C52)</f>
        <v>18144.561000000002</v>
      </c>
      <c r="D2" s="5">
        <f>SUM(D4:D52)</f>
        <v>0</v>
      </c>
      <c r="E2" s="5">
        <f>C2-D2</f>
        <v>18144.561000000002</v>
      </c>
      <c r="F2" s="6">
        <f>IFERROR(E2/D2, 0)</f>
        <v>0</v>
      </c>
      <c r="G2" s="5">
        <f>SUM(G4:G52)</f>
        <v>0</v>
      </c>
      <c r="H2" s="7">
        <f>C2-G2</f>
        <v>18144.561000000002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91.5">
      <c r="A4" s="46" t="str" cm="1">
        <f t="array" ref="A4">Sites[Site]</f>
        <v>MA: Canton - Canton Ice House</v>
      </c>
      <c r="B4" s="22" t="str" cm="1">
        <f t="array" ref="B4">Sites[State]</f>
        <v>MA</v>
      </c>
      <c r="C4" s="18">
        <v>18144.561000000002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3" t="s">
        <v>27</v>
      </c>
      <c r="K4" s="49" t="s">
        <v>28</v>
      </c>
      <c r="L4" s="51" t="s">
        <v>29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109" xr:uid="{8097C47E-5729-47F7-8EBB-781943FBDC30}"/>
    <hyperlink ref="L4" r:id="rId2" display="https://us3.assetplanner.com/service_request?ID=093239" xr:uid="{3DDF7072-AED5-48C8-96F5-302BF02B0D9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294"/>
  <sheetViews>
    <sheetView tabSelected="1" workbookViewId="0">
      <pane xSplit="2" ySplit="3" topLeftCell="C4" activePane="bottomRight" state="frozen"/>
      <selection pane="bottomRight" activeCell="E13" sqref="E13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3" t="str" cm="1">
        <f t="array" ref="A1">portfolio</f>
        <v>Canton Ice House</v>
      </c>
      <c r="B1" s="53"/>
      <c r="C1" s="53"/>
      <c r="D1" s="54" t="s">
        <v>30</v>
      </c>
      <c r="E1" s="54"/>
      <c r="F1" s="54"/>
      <c r="G1" s="52" t="s">
        <v>31</v>
      </c>
      <c r="H1" s="52"/>
      <c r="I1" s="52"/>
      <c r="J1" s="4"/>
      <c r="K1" s="4"/>
    </row>
    <row r="2" spans="1:14" ht="19.5" customHeight="1">
      <c r="A2" s="55" t="s">
        <v>2</v>
      </c>
      <c r="B2" s="55"/>
      <c r="C2" s="5">
        <f>SUM(C4:C52)</f>
        <v>45860.349986830697</v>
      </c>
      <c r="D2" s="5">
        <f>SUM(D4:D52)</f>
        <v>0</v>
      </c>
      <c r="E2" s="5">
        <f>C2-D2</f>
        <v>45860.349986830697</v>
      </c>
      <c r="F2" s="6">
        <f>IFERROR(E2/D2, 0)</f>
        <v>0</v>
      </c>
      <c r="G2" s="5">
        <f>SUM(G4:G52)</f>
        <v>0</v>
      </c>
      <c r="H2" s="7">
        <f>C2-G2</f>
        <v>45860.349986830697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91.5">
      <c r="A4" s="45" t="str" cm="1">
        <f t="array" ref="A4">Sites[Site]</f>
        <v>MA: Canton - Canton Ice House</v>
      </c>
      <c r="B4" s="22" t="str" cm="1">
        <f t="array" ref="B4">Sites[State]</f>
        <v>MA</v>
      </c>
      <c r="C4" s="44">
        <v>45860.349986830697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32</v>
      </c>
      <c r="K4" s="50" t="s">
        <v>33</v>
      </c>
      <c r="L4" s="51" t="s">
        <v>34</v>
      </c>
      <c r="M4" s="51" t="s">
        <v>35</v>
      </c>
      <c r="N4" s="51" t="s">
        <v>29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7109" xr:uid="{AEBE7585-D178-4F73-BAF9-CD53028F6092}"/>
    <hyperlink ref="L4" r:id="rId2" display="https://us3.assetplanner.com/service_request?ID=098499" xr:uid="{04F8E067-FC91-47CC-AFA7-EBEBC8492B4A}"/>
    <hyperlink ref="M4" r:id="rId3" display="https://us3.assetplanner.com/service_request?ID=089210" xr:uid="{99F096BB-B6CE-439B-9DB3-DB63FC7E388C}"/>
    <hyperlink ref="N4" r:id="rId4" display="https://us3.assetplanner.com/service_request?ID=093239" xr:uid="{C86D522F-615E-4D67-BFB1-20B78C9FACE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294"/>
  <sheetViews>
    <sheetView workbookViewId="0">
      <pane xSplit="2" ySplit="3" topLeftCell="C4" activePane="bottomRight" state="frozen"/>
      <selection pane="bottomRight" activeCell="H18" sqref="H18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Canton Ice House</v>
      </c>
      <c r="B1" s="53"/>
      <c r="C1" s="53"/>
      <c r="D1" s="54" t="s">
        <v>36</v>
      </c>
      <c r="E1" s="54"/>
      <c r="F1" s="54"/>
      <c r="G1" s="52" t="s">
        <v>37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7.5" customHeight="1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294"/>
  <sheetViews>
    <sheetView workbookViewId="0">
      <pane xSplit="2" ySplit="3" topLeftCell="C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Canton Ice House</v>
      </c>
      <c r="B1" s="53"/>
      <c r="C1" s="53"/>
      <c r="D1" s="54" t="s">
        <v>38</v>
      </c>
      <c r="E1" s="54"/>
      <c r="F1" s="54"/>
      <c r="G1" s="52" t="s">
        <v>39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3.25" customHeight="1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294"/>
  <sheetViews>
    <sheetView workbookViewId="0">
      <pane xSplit="2" ySplit="3" topLeftCell="C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Canton Ice House</v>
      </c>
      <c r="B1" s="53"/>
      <c r="C1" s="53"/>
      <c r="D1" s="54" t="s">
        <v>40</v>
      </c>
      <c r="E1" s="54"/>
      <c r="F1" s="54"/>
      <c r="G1" s="52" t="s">
        <v>41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294"/>
  <sheetViews>
    <sheetView workbookViewId="0">
      <pane xSplit="2" ySplit="3" topLeftCell="C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Canton Ice House</v>
      </c>
      <c r="B1" s="53"/>
      <c r="C1" s="53"/>
      <c r="D1" s="54" t="s">
        <v>42</v>
      </c>
      <c r="E1" s="54"/>
      <c r="F1" s="54"/>
      <c r="G1" s="52" t="s">
        <v>43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94"/>
  <sheetViews>
    <sheetView workbookViewId="0">
      <pane xSplit="2" ySplit="3" topLeftCell="G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Canton Ice House</v>
      </c>
      <c r="B1" s="53"/>
      <c r="C1" s="53"/>
      <c r="D1" s="54" t="s">
        <v>44</v>
      </c>
      <c r="E1" s="54"/>
      <c r="F1" s="54"/>
      <c r="G1" s="52" t="s">
        <v>45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94"/>
  <sheetViews>
    <sheetView workbookViewId="0">
      <pane xSplit="2" ySplit="3" topLeftCell="F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Canton Ice House</v>
      </c>
      <c r="B1" s="53"/>
      <c r="C1" s="53"/>
      <c r="D1" s="54" t="s">
        <v>46</v>
      </c>
      <c r="E1" s="54"/>
      <c r="F1" s="54"/>
      <c r="G1" s="52" t="s">
        <v>47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94"/>
  <sheetViews>
    <sheetView workbookViewId="0">
      <pane xSplit="2" ySplit="3" topLeftCell="D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Canton Ice House</v>
      </c>
      <c r="B1" s="53"/>
      <c r="C1" s="53"/>
      <c r="D1" s="54" t="s">
        <v>48</v>
      </c>
      <c r="E1" s="54"/>
      <c r="F1" s="54"/>
      <c r="G1" s="52" t="s">
        <v>49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94"/>
  <sheetViews>
    <sheetView workbookViewId="0">
      <pane xSplit="2" ySplit="3" topLeftCell="H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Canton Ice House</v>
      </c>
      <c r="B1" s="53"/>
      <c r="C1" s="53"/>
      <c r="D1" s="54" t="s">
        <v>50</v>
      </c>
      <c r="E1" s="54"/>
      <c r="F1" s="54"/>
      <c r="G1" s="52" t="s">
        <v>51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94"/>
  <sheetViews>
    <sheetView workbookViewId="0">
      <pane xSplit="2" ySplit="3" topLeftCell="C4" activePane="bottomRight" state="frozen"/>
      <selection pane="bottomRight" activeCell="D24" sqref="D2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Canton Ice House</v>
      </c>
      <c r="B1" s="53"/>
      <c r="C1" s="53"/>
      <c r="D1" s="54" t="s">
        <v>52</v>
      </c>
      <c r="E1" s="54"/>
      <c r="F1" s="54"/>
      <c r="G1" s="52" t="s">
        <v>53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>
        <v>0</v>
      </c>
      <c r="E4" s="11" t="str">
        <f>IF(AND(ISNUMBER(C4),ISNUMBER(D4)), C4-D4, "")</f>
        <v/>
      </c>
      <c r="F4" s="12" t="str">
        <f>IFERROR(E4/D4, "")</f>
        <v/>
      </c>
      <c r="G4" s="13">
        <v>0</v>
      </c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54</v>
      </c>
      <c r="B1" t="s">
        <v>55</v>
      </c>
    </row>
    <row r="3" spans="1:12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45">
      <c r="A4" s="38" t="s">
        <v>55</v>
      </c>
      <c r="B4" t="s">
        <v>59</v>
      </c>
      <c r="C4" s="36" t="s">
        <v>60</v>
      </c>
      <c r="D4" s="35" t="s">
        <v>61</v>
      </c>
      <c r="E4" t="s">
        <v>62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D0A63025-B1C2-4D63-BF86-07975571A50C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2025-06-25T19:43:11Z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