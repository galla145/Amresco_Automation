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3557BD48-B0E9-4378-8EF8-9016F71093B8}" xr6:coauthVersionLast="47" xr6:coauthVersionMax="47" xr10:uidLastSave="{00000000-0000-0000-0000-000000000000}"/>
  <bookViews>
    <workbookView xWindow="28680" yWindow="-120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C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4" l="1"/>
  <c r="I2" i="4" s="1"/>
  <c r="H2" i="33"/>
  <c r="I2" i="33" s="1"/>
  <c r="H2" i="31"/>
  <c r="I2" i="31" s="1"/>
  <c r="G4" i="34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<sst xmlns="http://schemas.openxmlformats.org/spreadsheetml/2006/main" count="248" uniqueCount="57">
  <si>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</si>
  <si>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</si>
  <si>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</si>
  <si>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</si>
  <si>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</si>
  <si>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</si>
  <si>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</si>
  <si>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</si>
  <si>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</si>
  <si>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</si>
  <si>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</si>
  <si>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</si>
  <si>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</si>
  <si>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</si>
  <si>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</si>
  <si>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</si>
  <si>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</si>
  <si>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</si>
  <si>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</si>
  <si>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</si>
  <si>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</si>
  <si>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</si>
  <si>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</si>
  <si>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stopped communicating on 08/31/23. No meter in PowerTrack to confirm production inverter is likely offline.</t>
  </si>
  <si>
    <t>1.SR099075</t>
  </si>
  <si>
    <t>February Actual v. Expected</t>
  </si>
  <si>
    <t>February Actual v. Forecasted</t>
  </si>
  <si>
    <t>1.Inverter stopped communicating on 08/31/23. No meter in PowerTrack to confirm production inverter is likely offline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</si>
  <si>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</si>
  <si>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</si>
  <si>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</si>
  <si>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</si>
  <si>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</si>
  <si>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</si>
  <si>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</si>
  <si>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</si>
  <si>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</si>
  <si>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</si>
  <si>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</si>
  <si>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</si>
  <si>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</si>
  <si>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</si>
  <si>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</si>
  <si>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</si>
  <si>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</si>
  <si>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</si>
  <si>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</si>
  <si>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</si>
  <si>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</si>
  <si>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Las Cruces - East Mesa WTP</t>
  </si>
  <si>
    <t>Site DAS Name</t>
  </si>
  <si>
    <t>Update</t>
  </si>
  <si>
    <t>DAS</t>
  </si>
  <si>
    <t>East Mesa Water Reclamation Plant</t>
  </si>
  <si>
    <t>NM: Las Cruces - East Mesa WTP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</si>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</sst>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right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907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075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07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18" sqref="G18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Las Cruces - East Mesa WTP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6">
        <f>SUM(C4:C60)</f>
        <v>0</v>
      </c>
      <c r="D2" s="6">
        <f>SUM(D4:D60)</f>
        <v>21563.412</v>
      </c>
      <c r="E2" s="6">
        <f>C2-D2</f>
        <v>-21563.412</v>
      </c>
      <c r="F2" s="7">
        <f>IFERROR(E2/D2, 0)</f>
        <v>-1</v>
      </c>
      <c r="G2" s="6">
        <f>SUM(G4:G60)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NM: Las Cruces - East Mesa WTP</v>
      </c>
      <c r="B4" s="10" t="str" cm="1">
        <f t="array" ref="B4">Sites[State]</f>
        <v>MA</v>
      </c>
      <c r="C4" s="26">
        <f>SUM('1st Qtr'!C4, '2nd Qtr'!C4, '3rd Qtr'!C4, '4th Qtr'!C4)</f>
        <v>0</v>
      </c>
      <c r="D4" s="14">
        <f>SUM('1st Qtr'!D4, '2nd Qtr'!D4, '3rd Qtr'!D4, '4th Qtr'!D4)</f>
        <v>21563.412</v>
      </c>
      <c r="E4" s="14">
        <f>IF(AND(ISNUMBER(C4),ISNUMBER(D4)), C4-D4, "")</f>
        <v>-21563.412</v>
      </c>
      <c r="F4" s="15">
        <f>IFERROR(E4/D4, "")</f>
        <v>-1</v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E21" sqref="E21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Las Cruces - East Mesa WTP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6">
        <f>SUM(C4:C68)</f>
        <v>0</v>
      </c>
      <c r="D2" s="6">
        <f>SUM(D4:D68)</f>
        <v>21563.412</v>
      </c>
      <c r="E2" s="6">
        <f>C2-D2</f>
        <v>-21563.412</v>
      </c>
      <c r="F2" s="7">
        <f>IFERROR(E2/D2, 0)</f>
        <v>-1</v>
      </c>
      <c r="G2" s="6">
        <f>SUM(G4:G68)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NM: Las Cruces - East Mesa WTP</v>
      </c>
      <c r="B4" s="10" t="str" cm="1">
        <f t="array" ref="B4">Sites[State]</f>
        <v>MA</v>
      </c>
      <c r="C4" s="26">
        <f>SUM(Jan!C4, Feb!C4, Mar!C4)</f>
        <v>0</v>
      </c>
      <c r="D4" s="14">
        <f>SUM(Jan!D4, Feb!D4, Mar!D4)</f>
        <v>21563.412</v>
      </c>
      <c r="E4" s="14">
        <f>IF(AND(ISNUMBER(C4),ISNUMBER(D4)), C4-D4, "")</f>
        <v>-21563.412</v>
      </c>
      <c r="F4" s="15">
        <f>IFERROR(E4/D4, "")</f>
        <v>-1</v>
      </c>
      <c r="G4" s="16">
        <f>SUM(Jan!G4, Feb!G4, Mar!G4)</f>
        <v>0</v>
      </c>
      <c r="H4" s="16">
        <f>SUM(Jan!H4, Feb!H4, Mar!H4)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C15" sqref="C1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Las Cruces - East Mesa WTP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NM: Las Cruces - East Mesa WTP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Las Cruces - East Mesa WTP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NM: Las Cruces - East Mesa WTP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19" sqref="E1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Las Cruces - East Mesa WTP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NM: Las Cruces - East Mesa WTP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K1" sqref="K1:K1048576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Las Cruces - East Mesa WTP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NM: Las Cruces - East Mesa WTP</v>
      </c>
      <c r="B4" s="30" t="str" cm="1">
        <f t="array" ref="B4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43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23</v>
      </c>
      <c r="K4" s="44" t="s">
        <v>24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hyperlinks>
    <hyperlink ref="K4" r:id="rId1" display="https://us3.assetplanner.com/service_request?ID=099075" xr:uid="{9C796DE4-FB49-4E9E-AD42-94793B3F5B75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K1" sqref="K1:K1048576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Las Cruces - East Mesa WTP</v>
      </c>
      <c r="B1" s="46"/>
      <c r="C1" s="46"/>
      <c r="D1" s="47" t="s">
        <v>25</v>
      </c>
      <c r="E1" s="47"/>
      <c r="F1" s="47"/>
      <c r="G1" s="45" t="s">
        <v>26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NM: Las Cruces - East Mesa WTP</v>
      </c>
      <c r="B4" s="30" t="str" cm="1">
        <f t="array" ref="B4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43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27</v>
      </c>
      <c r="K4" s="44" t="s">
        <v>24</v>
      </c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9075" xr:uid="{856529BF-638B-410A-A364-18B05729FBD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abSelected="1" workbookViewId="0">
      <pane ySplit="2" topLeftCell="A3" activePane="bottomLeft" state="frozen"/>
      <selection pane="bottomLeft" activeCell="J12" sqref="J12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Las Cruces - East Mesa WTP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21563.412</v>
      </c>
      <c r="E2" s="6">
        <f>C2-D2</f>
        <v>-21563.412</v>
      </c>
      <c r="F2" s="7">
        <f>IFERROR(E2/D2, 0)</f>
        <v>-1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NM: Las Cruces - East Mesa WTP</v>
      </c>
      <c r="B4" s="30" t="str" cm="1">
        <f t="array" ref="B4">Sites[State]</f>
        <v>MA</v>
      </c>
      <c r="C4" s="26">
        <v>0</v>
      </c>
      <c r="D4" s="14">
        <v>21563.412</v>
      </c>
      <c r="E4" s="14">
        <f>IF(AND(ISNUMBER(C4),ISNUMBER(D4)), C4-D4, "")</f>
        <v>-21563.412</v>
      </c>
      <c r="F4" s="15">
        <f>IFERROR(E4/D4, "")</f>
        <v>-1</v>
      </c>
      <c r="G4" s="42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27</v>
      </c>
      <c r="K4" s="44" t="s">
        <v>24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4" r:id="rId1" display="https://us3.assetplanner.com/service_request?ID=099075" xr:uid="{914DBA69-7221-4B76-A1FA-D6729C4CF343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Las Cruces - East Mesa WTP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NM: Las Cruces - East Mesa WTP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Las Cruces - East Mesa WTP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NM: Las Cruces - East Mesa WTP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Las Cruces - East Mesa WTP</v>
      </c>
      <c r="B1" s="46"/>
      <c r="C1" s="46"/>
      <c r="D1" s="47" t="s">
        <v>34</v>
      </c>
      <c r="E1" s="47"/>
      <c r="F1" s="47"/>
      <c r="G1" s="45" t="s">
        <v>35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NM: Las Cruces - East Mesa WTP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Las Cruces - East Mesa WTP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NM: Las Cruces - East Mesa WTP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opLeftCell="B1"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Las Cruces - East Mesa WTP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NM: Las Cruces - East Mesa WTP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Las Cruces - East Mesa WTP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NM: Las Cruces - East Mesa WTP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opLeftCell="B1"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Las Cruces - East Mesa WTP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NM: Las Cruces - East Mesa WTP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Las Cruces - East Mesa WTP</v>
      </c>
      <c r="B1" s="46"/>
      <c r="C1" s="46"/>
      <c r="D1" s="47" t="s">
        <v>44</v>
      </c>
      <c r="E1" s="47"/>
      <c r="F1" s="47"/>
      <c r="G1" s="45" t="s">
        <v>45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NM: Las Cruces - East Mesa WTP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F27" sqref="F26:F27"/>
      <selection activeCell="C32" sqref="C32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Las Cruces - East Mesa WTP</v>
      </c>
      <c r="B1" s="46"/>
      <c r="C1" s="46"/>
      <c r="D1" s="47" t="s">
        <v>46</v>
      </c>
      <c r="E1" s="47"/>
      <c r="F1" s="47"/>
      <c r="G1" s="45" t="s">
        <v>47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NM: Las Cruces - East Mesa WTP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A11" sqref="A11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45">
      <c r="A4" t="s">
        <v>53</v>
      </c>
      <c r="B4" t="s">
        <v>54</v>
      </c>
      <c r="C4" s="4" t="s">
        <v>55</v>
      </c>
      <c r="E4" t="s">
        <v>56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247B22C5-B9D9-4D40-9F98-B6234C1BCFC6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