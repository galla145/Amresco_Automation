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29F4973-0B79-4CC5-9BBD-B1E6ACAB76AE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<sst xmlns="http://schemas.openxmlformats.org/spreadsheetml/2006/main" count="252" uniqueCount="62">
  <si>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</si>
  <si>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</si>
  <si>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</si>
  <si>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</si>
  <si>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</si>
  <si>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</si>
  <si>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</si>
  <si>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</si>
  <si>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</si>
  <si>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</si>
  <si>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</si>
  <si>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</si>
  <si>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</si>
  <si>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</si>
  <si>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</si>
  <si>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</si>
  <si>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</si>
  <si>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</si>
  <si>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</si>
  <si>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</si>
  <si>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</si>
  <si>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</si>
  <si>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</si>
  <si>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1.All trackers were stuck since 12/19/24.</t>
  </si>
  <si>
    <t>1.SR092973</t>
  </si>
  <si>
    <t>February Actual v. Expected</t>
  </si>
  <si>
    <t>February Actual v. Forecasted</t>
  </si>
  <si>
    <t>March Actual v. Expected</t>
  </si>
  <si>
    <t>March Actual v. Forecasted</t>
  </si>
  <si>
    <t>1.Inverter 2 tripped offline at 16:00 on 03/02 due to Grid Line Voltage Out of Range and back online at 8:45AM on 03/03. Again tripped offline from 12:00PM to 12:45PM on 03/11 due to Grid Line Voltage Out of Range.
2.Site tripped offline at 17:00 on 03/30 due to storm and remained offline whole month.
3.All trackers were stuck since 12/19/24 and Volmont site team working on trackers.</t>
  </si>
  <si>
    <t>1.SR097973
2.SR099153
3.SR092973</t>
  </si>
  <si>
    <t>SR099153</t>
  </si>
  <si>
    <t>SR092973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</si>
  <si>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</si>
  <si>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</si>
  <si>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</si>
  <si>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</si>
  <si>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</si>
  <si>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</si>
  <si>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</si>
  <si>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</si>
  <si>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</si>
  <si>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</si>
  <si>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2. SR089346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</si>
  <si>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</si>
  <si>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</si>
  <si>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</si>
  <si>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</si>
  <si>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</si>
  <si>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</si>
  <si>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</si>
  <si>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</si>
  <si>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</si>
  <si>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</si>
  <si>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Valmont Industries</t>
  </si>
  <si>
    <t>Site DAS Name</t>
  </si>
  <si>
    <t>Update</t>
  </si>
  <si>
    <t>DAS</t>
  </si>
  <si>
    <t>Valmont Bristol</t>
  </si>
  <si>
    <t>Valmont</t>
  </si>
  <si>
    <t>IN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</si>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</sst>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9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973" TargetMode="External"/><Relationship Id="rId2" Type="http://schemas.openxmlformats.org/officeDocument/2006/relationships/hyperlink" Target="https://us3.assetplanner.com/service_request?ID=099153" TargetMode="External"/><Relationship Id="rId1" Type="http://schemas.openxmlformats.org/officeDocument/2006/relationships/hyperlink" Target="https://us3.assetplanner.com/service_request?ID=09797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Valmont Industries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SUM(C4:C72)</f>
        <v>150698.18799999999</v>
      </c>
      <c r="D2" s="5">
        <f>SUM(D4:D72)</f>
        <v>112449.57</v>
      </c>
      <c r="E2" s="5">
        <f>C2-D2</f>
        <v>38248.617999999988</v>
      </c>
      <c r="F2" s="6">
        <f>IFERROR(E2/D2, 0)</f>
        <v>0.34014018906430665</v>
      </c>
      <c r="G2" s="5">
        <f>SUM(G4:G72)</f>
        <v>0</v>
      </c>
      <c r="H2" s="7">
        <f>C2-G2</f>
        <v>150698.18799999999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Valmont</v>
      </c>
      <c r="B4" s="9" t="str" cm="1">
        <f t="array" ref="B4">Sites[State]</f>
        <v>IN</v>
      </c>
      <c r="C4" s="18">
        <f>SUM('1st Qtr'!C4, '2nd Qtr'!C4, '3rd Qtr'!C4, '4th Qtr'!C4)</f>
        <v>150698.18799999999</v>
      </c>
      <c r="D4" s="11">
        <f>SUM('1st Qtr'!D4, '2nd Qtr'!D4, '3rd Qtr'!D4, '4th Qtr'!D4)</f>
        <v>112449.57</v>
      </c>
      <c r="E4" s="11">
        <f>IF(AND(ISNUMBER(C4),ISNUMBER(D4)), C4-D4, "")</f>
        <v>38248.617999999988</v>
      </c>
      <c r="F4" s="12">
        <f>IFERROR(E4/D4, "")</f>
        <v>0.34014018906430665</v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Valmont Industries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SUM(C4:C72)</f>
        <v>150698.18799999999</v>
      </c>
      <c r="D2" s="5">
        <f>SUM(D4:D72)</f>
        <v>112449.57</v>
      </c>
      <c r="E2" s="5">
        <f>C2-D2</f>
        <v>38248.617999999988</v>
      </c>
      <c r="F2" s="6">
        <f>IFERROR(E2/D2, 0)</f>
        <v>0.34014018906430665</v>
      </c>
      <c r="G2" s="5">
        <f>SUM(G4:G72)</f>
        <v>0</v>
      </c>
      <c r="H2" s="7">
        <f>C2-G2</f>
        <v>150698.18799999999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SUM(Jan!C4, Feb!C4, Mar!C4)</f>
        <v>150698.18799999999</v>
      </c>
      <c r="D4" s="11">
        <f>SUM(Jan!D4, Feb!D4, Mar!D4)</f>
        <v>112449.57</v>
      </c>
      <c r="E4" s="11">
        <f>IF(AND(ISNUMBER(C4),ISNUMBER(D4)), C4-D4, "")</f>
        <v>38248.617999999988</v>
      </c>
      <c r="F4" s="12">
        <f>IFERROR(E4/D4, "")</f>
        <v>0.34014018906430665</v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Valmont Industries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Valmont Industries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10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Valmont Industries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I19" sqref="I1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SUM(C4:C71)</f>
        <v>26968.675999999999</v>
      </c>
      <c r="D2" s="5">
        <f>SUM(D4:D71)</f>
        <v>22909.665000000001</v>
      </c>
      <c r="E2" s="5">
        <f>C2-D2</f>
        <v>4059.0109999999986</v>
      </c>
      <c r="F2" s="6">
        <f>IFERROR(E2/D2, 0)</f>
        <v>0.17717461167590179</v>
      </c>
      <c r="G2" s="5">
        <f>SUM(G4:G71)</f>
        <v>0</v>
      </c>
      <c r="H2" s="7">
        <f>C2-G2</f>
        <v>26968.675999999999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1">
        <v>26968.675999999999</v>
      </c>
      <c r="D4" s="11">
        <v>22909.665000000001</v>
      </c>
      <c r="E4" s="11">
        <f>IF(AND(ISNUMBER(C4),ISNUMBER(D4)), C4-D4, "")</f>
        <v>4059.0109999999986</v>
      </c>
      <c r="F4" s="34">
        <f>IFERROR(E4/D4, "")</f>
        <v>0.17717461167590179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32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tabSelected="1" workbookViewId="0">
      <pane xSplit="2" ySplit="3" topLeftCell="E4" activePane="bottomRight" state="frozen"/>
      <selection pane="bottomRight" activeCell="J15" sqref="J1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25</v>
      </c>
      <c r="E1" s="50"/>
      <c r="F1" s="50"/>
      <c r="G1" s="48" t="s">
        <v>26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41511.574000000001</v>
      </c>
      <c r="D2" s="5">
        <f>SUM(D4:D72)</f>
        <v>30572.197</v>
      </c>
      <c r="E2" s="5">
        <f>C2-D2</f>
        <v>10939.377</v>
      </c>
      <c r="F2" s="6">
        <f>IFERROR(E2/D2, 0)</f>
        <v>0.35782109476790303</v>
      </c>
      <c r="G2" s="5">
        <f>SUM(G4:G72)</f>
        <v>0</v>
      </c>
      <c r="H2" s="7">
        <f>C2-G2</f>
        <v>41511.574000000001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8">
        <v>41511.574000000001</v>
      </c>
      <c r="D4" s="11">
        <v>30572.197</v>
      </c>
      <c r="E4" s="11">
        <f>IF(AND(ISNUMBER(C4),ISNUMBER(D4)), C4-D4, "")</f>
        <v>10939.377</v>
      </c>
      <c r="F4" s="12">
        <f>IFERROR(E4/D4, "")</f>
        <v>0.35782109476790303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46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2973" xr:uid="{2BAD2BAE-DE8C-4704-B107-EBB5EA573D4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14"/>
  <sheetViews>
    <sheetView workbookViewId="0">
      <pane xSplit="2" ySplit="3" topLeftCell="F4" activePane="bottomRight" state="frozen"/>
      <selection pane="bottomRight" activeCell="J11" sqref="J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49" t="str" cm="1">
        <f t="array" ref="A1">portfolio</f>
        <v>Valmont Industries</v>
      </c>
      <c r="B1" s="49"/>
      <c r="C1" s="49"/>
      <c r="D1" s="50" t="s">
        <v>27</v>
      </c>
      <c r="E1" s="50"/>
      <c r="F1" s="50"/>
      <c r="G1" s="48" t="s">
        <v>28</v>
      </c>
      <c r="H1" s="48"/>
      <c r="I1" s="48"/>
      <c r="J1" s="4"/>
      <c r="K1" s="4"/>
    </row>
    <row r="2" spans="1:13" ht="19.5" customHeight="1">
      <c r="A2" s="51" t="s">
        <v>2</v>
      </c>
      <c r="B2" s="51"/>
      <c r="C2" s="5">
        <f>SUM(C4:C72)</f>
        <v>82217.937999999995</v>
      </c>
      <c r="D2" s="5">
        <f>SUM(D4:D72)</f>
        <v>58967.707999999999</v>
      </c>
      <c r="E2" s="5">
        <f>C2-D2</f>
        <v>23250.229999999996</v>
      </c>
      <c r="F2" s="6">
        <f>IFERROR(E2/D2, 0)</f>
        <v>0.39428749715013506</v>
      </c>
      <c r="G2" s="5">
        <f>SUM(G4:G72)</f>
        <v>0</v>
      </c>
      <c r="H2" s="7">
        <f>C2-G2</f>
        <v>82217.937999999995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86.45">
      <c r="A4" s="42" t="str" cm="1">
        <f t="array" ref="A4">Sites[Site]</f>
        <v>Valmont</v>
      </c>
      <c r="B4" s="22" t="str" cm="1">
        <f t="array" ref="B4">Sites[State]</f>
        <v>IN</v>
      </c>
      <c r="C4" s="18">
        <v>82217.937999999995</v>
      </c>
      <c r="D4" s="11">
        <v>58967.707999999999</v>
      </c>
      <c r="E4" s="11">
        <f>IF(AND(ISNUMBER(C4),ISNUMBER(D4)), C4-D4, "")</f>
        <v>23250.229999999996</v>
      </c>
      <c r="F4" s="12">
        <f>IFERROR(E4/D4, "")</f>
        <v>0.39428749715013506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29</v>
      </c>
      <c r="K4" s="46" t="s">
        <v>30</v>
      </c>
      <c r="L4" s="47" t="s">
        <v>31</v>
      </c>
      <c r="M4" s="47" t="s">
        <v>32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973" xr:uid="{28DBF72E-CADA-4EFB-ABD8-E8CA8BB8FE6E}"/>
    <hyperlink ref="L4" r:id="rId2" display="https://us3.assetplanner.com/service_request?ID=099153" xr:uid="{14EE2AF3-DAA7-4BD6-BD32-1B7803AC1A0C}"/>
    <hyperlink ref="M4" r:id="rId3" display="https://us3.assetplanner.com/service_request?ID=092973" xr:uid="{EABE1376-6622-428C-9225-FB0508BF9E7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33</v>
      </c>
      <c r="E1" s="50"/>
      <c r="F1" s="50"/>
      <c r="G1" s="48" t="s">
        <v>34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G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35</v>
      </c>
      <c r="E1" s="50"/>
      <c r="F1" s="50"/>
      <c r="G1" s="48" t="s">
        <v>36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G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37</v>
      </c>
      <c r="E1" s="50"/>
      <c r="F1" s="50"/>
      <c r="G1" s="48" t="s">
        <v>38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D8" sqref="D8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39</v>
      </c>
      <c r="E1" s="50"/>
      <c r="F1" s="50"/>
      <c r="G1" s="48" t="s">
        <v>40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J12" sqref="J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41</v>
      </c>
      <c r="E1" s="50"/>
      <c r="F1" s="50"/>
      <c r="G1" s="48" t="s">
        <v>42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42" t="str" cm="1">
        <f t="array" ref="A4">Sites[Site]</f>
        <v>Valmont</v>
      </c>
      <c r="B4" s="22" t="str" cm="1">
        <f t="array" ref="B4">Sites[State]</f>
        <v>IN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50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Valmont Industries</v>
      </c>
      <c r="B1" s="49"/>
      <c r="C1" s="49"/>
      <c r="D1" s="50" t="s">
        <v>51</v>
      </c>
      <c r="E1" s="50"/>
      <c r="F1" s="50"/>
      <c r="G1" s="48" t="s">
        <v>52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s="40" t="s">
        <v>54</v>
      </c>
    </row>
    <row r="3" spans="1:12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45">
      <c r="A4" s="38" t="s">
        <v>58</v>
      </c>
      <c r="B4" t="s">
        <v>59</v>
      </c>
      <c r="C4" s="36" t="s">
        <v>60</v>
      </c>
      <c r="D4" s="41"/>
      <c r="E4" s="40" t="s">
        <v>61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491BF830-44FD-4751-8931-E9020ADE1298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