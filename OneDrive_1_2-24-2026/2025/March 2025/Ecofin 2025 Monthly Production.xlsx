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4" documentId="13_ncr:1_{3EC85AA5-2BD1-44CE-93DD-D2F79A194326}" xr6:coauthVersionLast="47" xr6:coauthVersionMax="47" xr10:uidLastSave="{1905730D-F05C-4644-B7BA-2DAB447C05FC}"/>
  <bookViews>
    <workbookView xWindow="28680" yWindow="-120" windowWidth="29040" windowHeight="15720"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4" l="1"/>
  <c r="I4" i="4" s="1"/>
  <c r="E7" i="4"/>
  <c r="F13" i="4"/>
  <c r="E13" i="4"/>
  <c r="I10" i="4"/>
  <c r="I11" i="4"/>
  <c r="I12" i="4"/>
  <c r="I13" i="4"/>
  <c r="H10" i="4"/>
  <c r="H11" i="4"/>
  <c r="H11" i="1" s="1"/>
  <c r="H12" i="4"/>
  <c r="H13" i="4"/>
  <c r="F9" i="4"/>
  <c r="F10" i="4"/>
  <c r="F11" i="4"/>
  <c r="F12" i="4"/>
  <c r="E9" i="4"/>
  <c r="E10" i="4"/>
  <c r="E11" i="4"/>
  <c r="E12" i="4"/>
  <c r="I6" i="3"/>
  <c r="I7" i="3"/>
  <c r="I8" i="3"/>
  <c r="I11" i="3"/>
  <c r="I12" i="3"/>
  <c r="I13" i="3"/>
  <c r="E5" i="3"/>
  <c r="E8" i="3"/>
  <c r="F11" i="3"/>
  <c r="F12" i="3"/>
  <c r="F13" i="3"/>
  <c r="H9" i="3"/>
  <c r="I9" i="3" s="1"/>
  <c r="H10" i="3"/>
  <c r="I10" i="3" s="1"/>
  <c r="H11" i="3"/>
  <c r="H12" i="3"/>
  <c r="H13" i="3"/>
  <c r="E9" i="3"/>
  <c r="F9" i="3" s="1"/>
  <c r="E10" i="3"/>
  <c r="F10" i="3" s="1"/>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E8" i="19"/>
  <c r="H7" i="19"/>
  <c r="E7" i="19"/>
  <c r="F7" i="19" s="1"/>
  <c r="H6" i="19"/>
  <c r="I6" i="19" s="1"/>
  <c r="E6" i="19"/>
  <c r="F6" i="19" s="1"/>
  <c r="E5" i="19"/>
  <c r="H17" i="19"/>
  <c r="E17" i="19"/>
  <c r="H16" i="19"/>
  <c r="E16" i="19"/>
  <c r="H15" i="19"/>
  <c r="E15" i="19"/>
  <c r="H14" i="19"/>
  <c r="E14" i="19"/>
  <c r="H13" i="19"/>
  <c r="E13" i="19"/>
  <c r="F13" i="19" s="1"/>
  <c r="H12" i="19"/>
  <c r="E12" i="19"/>
  <c r="H9" i="21"/>
  <c r="I9" i="21" s="1"/>
  <c r="H10" i="21"/>
  <c r="I10" i="21" s="1"/>
  <c r="H11" i="21"/>
  <c r="I11" i="21" s="1"/>
  <c r="H12" i="21"/>
  <c r="I12" i="2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E6" i="27"/>
  <c r="F6" i="27" s="1"/>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I7" i="19"/>
  <c r="I5" i="19"/>
  <c r="F5" i="19"/>
  <c r="I4" i="19"/>
  <c r="G2" i="19"/>
  <c r="D2" i="19"/>
  <c r="C2" i="19"/>
  <c r="J2" i="19" s="1"/>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H10" i="1" l="1"/>
  <c r="C5" i="34"/>
  <c r="C13" i="34"/>
  <c r="C7" i="34"/>
  <c r="G11" i="34"/>
  <c r="G7" i="34"/>
  <c r="G2" i="29"/>
  <c r="G6" i="34"/>
  <c r="D8" i="34"/>
  <c r="G5" i="34"/>
  <c r="C8" i="34"/>
  <c r="G13" i="34"/>
  <c r="C11" i="34"/>
  <c r="D9" i="34"/>
  <c r="D13" i="34"/>
  <c r="E13" i="34" s="1"/>
  <c r="F13" i="34" s="1"/>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E7" i="34"/>
  <c r="F7" i="34" s="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<sst xmlns="http://schemas.openxmlformats.org/spreadsheetml/2006/main" count="354" uniqueCount="147">
  <si>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</si>
  <si>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</si>
  <si>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</si>
  <si>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</si>
  <si>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</si>
  <si>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</si>
  <si>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</si>
  <si>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</si>
  <si>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</si>
  <si>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</si>
  <si>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</si>
  <si>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</si>
  <si>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</si>
  <si>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</si>
  <si>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</si>
  <si>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</si>
  <si>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</si>
  <si>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</si>
  <si>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</si>
  <si>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</si>
  <si>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</si>
  <si>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</si>
  <si>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</si>
  <si>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</si>
  <si>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</si>
  <si>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</si>
  <si>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</si>
  <si>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</si>
  <si>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</si>
  <si>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</si>
  <si>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</si>
  <si>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</si>
  <si>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</si>
  <si>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</si>
  <si>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</si>
  <si>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</si>
  <si>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</si>
  <si>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</si>
  <si>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</si>
  <si>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</si>
  <si>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</si>
  <si>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</si>
  <si>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</si>
  <si>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</si>
  <si>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</si>
  <si>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</si>
  <si>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</si>
  <si>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</si>
  <si>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</si>
  <si>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</si>
  <si>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</si>
  <si>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</si>
  <si>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</si>
  <si>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</si>
  <si>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</si>
  <si>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</si>
  <si>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</si>
  <si>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</si>
  <si>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</si>
  <si>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</si>
  <si>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</si>
  <si>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</si>
  <si>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</si>
  <si>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</si>
  <si>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</si>
  <si>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</si>
  <si>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</si>
  <si>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</si>
  <si>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</si>
  <si>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</si>
  <si>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</si>
  <si>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</si>
  <si>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</si>
  <si>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</si>
  <si>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</si>
  <si>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</si>
  <si>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</si>
  <si>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</si>
  <si>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</si>
  <si>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</si>
  <si>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</si>
  <si>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</si>
  <si>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</si>
  <si>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</si>
  <si>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</si>
  <si>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</si>
  <si>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</si>
  <si>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</si>
  <si>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</si>
  <si>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</si>
  <si>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</si>
  <si>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</si>
  <si>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</si>
  <si>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</si>
  <si>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</si>
  <si>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</si>
  <si>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</si>
  <si>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</si>
  <si>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</si>
  <si>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</si>
  <si>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</si>
  <si>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</si>
  <si>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</si>
  <si>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</si>
  <si>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</si>
  <si>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</si>
  <si>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</si>
  <si>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</si>
  <si>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</si>
  <si>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</si>
  <si>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</si>
  <si>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</si>
  <si>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</si>
  <si>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</si>
  <si>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</si>
  <si>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</si>
  <si>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</si>
  <si>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</si>
  <si>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</si>
  <si>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</si>
  <si>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</si>
  <si>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</si>
  <si>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</si>
  <si>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</si>
  <si>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</si>
  <si>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</si>
  <si>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</si>
  <si>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</si>
  <si>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</si>
  <si>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</si>
  <si>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</si>
  <si>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</si>
  <si>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</si>
  <si>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</si>
  <si>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</si>
  <si>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</si>
  <si>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</si>
  <si>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</si>
  <si>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</si>
  <si>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</si>
  <si>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AEF</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</si>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</sst>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7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I20" sqref="I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0</v>
      </c>
      <c r="E1" s="71"/>
      <c r="F1" s="71"/>
      <c r="G1" s="69" t="s">
        <v>1</v>
      </c>
      <c r="H1" s="69"/>
      <c r="I1" s="69"/>
    </row>
    <row r="2" spans="1:9" ht="19.5" customHeight="1">
      <c r="A2" s="72" t="s">
        <v>2</v>
      </c>
      <c r="B2" s="72"/>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207937</v>
      </c>
      <c r="D4" s="14">
        <f>SUM('1st Qtr'!D4, '2nd Qtr'!D4, '3rd Qtr'!D4, '4th Qtr'!D4)</f>
        <v>274034.57530000003</v>
      </c>
      <c r="E4" s="14">
        <f>IF(AND(ISNUMBER(C4),ISNUMBER(D4)), C4-D4, "")</f>
        <v>-66097.575300000026</v>
      </c>
      <c r="F4" s="15">
        <f>IFERROR(E4/D4, "")</f>
        <v>-0.24120159008270961</v>
      </c>
      <c r="G4" s="16">
        <f>SUM('1st Qtr'!G4, '2nd Qtr'!G4, '3rd Qtr'!G4, '4th Qtr'!G4)</f>
        <v>222541.9</v>
      </c>
      <c r="H4" s="16">
        <f>SUM('1st Qtr'!H4, '2nd Qtr'!H4, '3rd Qtr'!H4, '4th Qtr'!H4)</f>
        <v>-14604.899999999994</v>
      </c>
      <c r="I4" s="56">
        <f>IFERROR(H4/G4, "")</f>
        <v>-6.5627641356526545E-2</v>
      </c>
    </row>
    <row r="5" spans="1:9" ht="15.6">
      <c r="A5" s="18" t="str">
        <v>San Luis Valley</v>
      </c>
      <c r="B5" s="11" t="str">
        <v>CO</v>
      </c>
      <c r="C5" s="19">
        <f>SUM('1st Qtr'!C5, '2nd Qtr'!C5, '3rd Qtr'!C5, '4th Qtr'!C5)</f>
        <v>547486.375</v>
      </c>
      <c r="D5" s="19">
        <f>SUM('1st Qtr'!D5, '2nd Qtr'!D5, '3rd Qtr'!D5, '4th Qtr'!D5)</f>
        <v>553969.5</v>
      </c>
      <c r="E5" s="19">
        <f t="shared" ref="E5:E6" si="0">IF(AND(ISNUMBER(C5),ISNUMBER(D5)), C5-D5, "")</f>
        <v>-6483.125</v>
      </c>
      <c r="F5" s="20">
        <f>IFERROR(E5/D5, "")</f>
        <v>-1.1703035997469175E-2</v>
      </c>
      <c r="G5" s="21">
        <f>SUM('1st Qtr'!G5, '2nd Qtr'!G5, '3rd Qtr'!G5, '4th Qtr'!G5)</f>
        <v>0</v>
      </c>
      <c r="H5" s="57">
        <f>SUM('1st Qtr'!H5, '2nd Qtr'!H5, '3rd Qtr'!H5, '4th Qtr'!H5)</f>
        <v>728098.06570000004</v>
      </c>
      <c r="I5" s="20" t="str">
        <f>IFERROR(H5/G5, "")</f>
        <v/>
      </c>
    </row>
    <row r="6" spans="1:9" ht="15.6">
      <c r="A6" s="13" t="str">
        <v>Golden NREL 2</v>
      </c>
      <c r="B6" s="10" t="str">
        <v>CO</v>
      </c>
      <c r="C6" s="25">
        <f>SUM('1st Qtr'!C6, '2nd Qtr'!C6, '3rd Qtr'!C6, '4th Qtr'!C6)</f>
        <v>24178</v>
      </c>
      <c r="D6" s="14">
        <f>SUM('1st Qtr'!D6, '2nd Qtr'!D6, '3rd Qtr'!D6, '4th Qtr'!D6)</f>
        <v>22334.862131000002</v>
      </c>
      <c r="E6" s="14">
        <f t="shared" si="0"/>
        <v>1843.1378689999983</v>
      </c>
      <c r="F6" s="15">
        <f t="shared" ref="F6:F13" si="1">IFERROR(E6/D6, "")</f>
        <v>8.2522912305860521E-2</v>
      </c>
      <c r="G6" s="16">
        <f>SUM('1st Qtr'!G6, '2nd Qtr'!G6, '3rd Qtr'!G6, '4th Qtr'!G6)</f>
        <v>28588.3</v>
      </c>
      <c r="H6" s="16">
        <f>SUM('1st Qtr'!H6, '2nd Qtr'!H6, '3rd Qtr'!H6, '4th Qtr'!H6)</f>
        <v>-4410.2999999999993</v>
      </c>
      <c r="I6" s="17">
        <f t="shared" ref="I6:I13" si="2">IFERROR(H6/G6, "")</f>
        <v>-0.15426940391698699</v>
      </c>
    </row>
    <row r="7" spans="1:9" ht="15.6">
      <c r="A7" s="18" t="str">
        <v>Golden NREL Wind 3</v>
      </c>
      <c r="B7" s="11" t="str">
        <v>CO</v>
      </c>
      <c r="C7" s="19">
        <f>SUM('1st Qtr'!C7, '2nd Qtr'!C7, '3rd Qtr'!C7, '4th Qtr'!C7)</f>
        <v>193034.7190475</v>
      </c>
      <c r="D7" s="19">
        <f>SUM('1st Qtr'!D7, '2nd Qtr'!D7, '3rd Qtr'!D7, '4th Qtr'!D7)</f>
        <v>270721.61499999999</v>
      </c>
      <c r="E7" s="19">
        <f t="shared" ref="E7:E13" si="3">IF(AND(ISNUMBER(C7),ISNUMBER(D7)), C7-D7, "")</f>
        <v>-77686.895952499995</v>
      </c>
      <c r="F7" s="20">
        <f t="shared" si="1"/>
        <v>-0.28696229502213927</v>
      </c>
      <c r="G7" s="21">
        <f>SUM('1st Qtr'!G7, '2nd Qtr'!G7, '3rd Qtr'!G7, '4th Qtr'!G7)</f>
        <v>0</v>
      </c>
      <c r="H7" s="21">
        <f>SUM('1st Qtr'!H7, '2nd Qtr'!H7, '3rd Qtr'!H7, '4th Qtr'!H7)</f>
        <v>193034.7190475</v>
      </c>
      <c r="I7" s="20" t="str">
        <f t="shared" si="2"/>
        <v/>
      </c>
    </row>
    <row r="8" spans="1:9" ht="15.6">
      <c r="A8" s="13" t="str">
        <v>Pratt Solar Farm</v>
      </c>
      <c r="B8" s="10" t="str">
        <v>KS</v>
      </c>
      <c r="C8" s="25">
        <f>SUM('1st Qtr'!C8, '2nd Qtr'!C8, '3rd Qtr'!C8, '4th Qtr'!C8)</f>
        <v>1654930</v>
      </c>
      <c r="D8" s="14">
        <f>SUM('1st Qtr'!D8, '2nd Qtr'!D8, '3rd Qtr'!D8, '4th Qtr'!D8)</f>
        <v>3097059.909</v>
      </c>
      <c r="E8" s="14">
        <f t="shared" si="3"/>
        <v>-1442129.909</v>
      </c>
      <c r="F8" s="15">
        <f t="shared" si="1"/>
        <v>-0.46564482166108462</v>
      </c>
      <c r="G8" s="16">
        <f>SUM('1st Qtr'!G8, '2nd Qtr'!G8, '3rd Qtr'!G8, '4th Qtr'!G8)</f>
        <v>2716093.9299999997</v>
      </c>
      <c r="H8" s="16">
        <f>SUM('1st Qtr'!H8, '2nd Qtr'!H8, '3rd Qtr'!H8, '4th Qtr'!H8)</f>
        <v>-1061163.9300000002</v>
      </c>
      <c r="I8" s="17">
        <f t="shared" si="2"/>
        <v>-0.39069485715466412</v>
      </c>
    </row>
    <row r="9" spans="1:9" ht="12.75" customHeight="1">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H19" sqref="H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10</v>
      </c>
      <c r="E1" s="71"/>
      <c r="F1" s="71"/>
      <c r="G1" s="69" t="s">
        <v>11</v>
      </c>
      <c r="H1" s="69"/>
      <c r="I1" s="69"/>
    </row>
    <row r="2" spans="1:9" ht="19.5" customHeight="1">
      <c r="A2" s="72" t="s">
        <v>2</v>
      </c>
      <c r="B2" s="72"/>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customHeight="1">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G11" sqref="G11"/>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12</v>
      </c>
      <c r="E1" s="71"/>
      <c r="F1" s="71"/>
      <c r="G1" s="69" t="s">
        <v>13</v>
      </c>
      <c r="H1" s="69"/>
      <c r="I1" s="69"/>
    </row>
    <row r="2" spans="1:9" ht="19.5" customHeight="1">
      <c r="A2" s="72" t="s">
        <v>2</v>
      </c>
      <c r="B2" s="72"/>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0</v>
      </c>
      <c r="D4" s="14">
        <f>SUM(Apr!D4, May!D4, Jun!D4)</f>
        <v>0</v>
      </c>
      <c r="E4" s="14">
        <f>IF(AND(ISNUMBER(C4),ISNUMBER(D4)), C4-D4, "")</f>
        <v>0</v>
      </c>
      <c r="F4" s="15" t="str">
        <f>IFERROR(E4/D4, "")</f>
        <v/>
      </c>
      <c r="G4" s="16">
        <f>SUM(Apr!G4+May!G4+Jun!G4)</f>
        <v>0</v>
      </c>
      <c r="H4" s="16">
        <f>SUM(Apr!H4, May!H4, Jun!H4)</f>
        <v>0</v>
      </c>
      <c r="I4" s="17" t="str">
        <f>IFERROR(H4/G4, "")</f>
        <v/>
      </c>
    </row>
    <row r="5" spans="1:9" ht="15.6">
      <c r="A5" s="18" t="str">
        <v>San Luis Valley</v>
      </c>
      <c r="B5" s="11" t="str">
        <v>CO</v>
      </c>
      <c r="C5" s="12">
        <f>SUM(Apr!C5, May!C5, Jun!C5)</f>
        <v>0</v>
      </c>
      <c r="D5" s="19">
        <f>SUM(Apr!D5, May!D5, Jun!D5)</f>
        <v>0</v>
      </c>
      <c r="E5" s="19">
        <f t="shared" ref="E5:E6" si="0">IF(AND(ISNUMBER(C5),ISNUMBER(D5)), C5-D5, "")</f>
        <v>0</v>
      </c>
      <c r="F5" s="20" t="str">
        <f>IFERROR(E5/D5, "")</f>
        <v/>
      </c>
      <c r="G5" s="21">
        <f>SUM(Apr!G5+May!G5+Jun!G5)</f>
        <v>0</v>
      </c>
      <c r="H5" s="21">
        <f>SUM(Apr!H5, May!H5, Jun!H5)</f>
        <v>180611.69070000001</v>
      </c>
      <c r="I5" s="20" t="str">
        <f>IFERROR(H5/G5, "")</f>
        <v/>
      </c>
    </row>
    <row r="6" spans="1:9" ht="15.6">
      <c r="A6" s="13" t="str">
        <v>Golden NREL 2</v>
      </c>
      <c r="B6" s="10" t="str">
        <v>CO</v>
      </c>
      <c r="C6" s="25">
        <f>SUM(Apr!C6, May!C6, Jun!C6)</f>
        <v>0</v>
      </c>
      <c r="D6" s="14">
        <f>SUM(Apr!D6, May!D6, Jun!D6)</f>
        <v>0</v>
      </c>
      <c r="E6" s="14">
        <f t="shared" si="0"/>
        <v>0</v>
      </c>
      <c r="F6" s="15" t="str">
        <f t="shared" ref="F6:F13" si="1">IFERROR(E6/D6, "")</f>
        <v/>
      </c>
      <c r="G6" s="16">
        <f>SUM(Apr!G6+May!G6+Jun!G6)</f>
        <v>0</v>
      </c>
      <c r="H6" s="16">
        <f>SUM(Apr!H6, May!H6, Jun!H6)</f>
        <v>0</v>
      </c>
      <c r="I6" s="17" t="str">
        <f t="shared" ref="I6:I13" si="2">IFERROR(H6/G6, "")</f>
        <v/>
      </c>
    </row>
    <row r="7" spans="1:9" ht="15.6">
      <c r="A7" s="18" t="str">
        <v>Golden NREL Wind 3</v>
      </c>
      <c r="B7" s="11" t="str">
        <v>CO</v>
      </c>
      <c r="C7" s="12">
        <f>SUM(Apr!C7, May!C7, Jun!C7)</f>
        <v>0</v>
      </c>
      <c r="D7" s="19">
        <f>SUM(Apr!D7, May!D7, Jun!D7)</f>
        <v>0</v>
      </c>
      <c r="E7" s="19">
        <f t="shared" ref="E7:E13" si="3">IF(AND(ISNUMBER(C7),ISNUMBER(D7)), C7-D7, "")</f>
        <v>0</v>
      </c>
      <c r="F7" s="20" t="str">
        <f t="shared" si="1"/>
        <v/>
      </c>
      <c r="G7" s="21">
        <f>SUM(Apr!G7+May!G7+Jun!G7)</f>
        <v>0</v>
      </c>
      <c r="H7" s="21">
        <f>SUM(Apr!H7, May!H7, Jun!H7)</f>
        <v>0</v>
      </c>
      <c r="I7" s="20" t="str">
        <f t="shared" si="2"/>
        <v/>
      </c>
    </row>
    <row r="8" spans="1:9" ht="15.6">
      <c r="A8" s="13" t="str">
        <v>Pratt Solar Farm</v>
      </c>
      <c r="B8" s="10" t="str">
        <v>KS</v>
      </c>
      <c r="C8" s="25">
        <f>SUM(Apr!C8, May!C8, Jun!C8)</f>
        <v>0</v>
      </c>
      <c r="D8" s="14">
        <f>SUM(Apr!D8, May!D8, Jun!D8)</f>
        <v>0</v>
      </c>
      <c r="E8" s="14">
        <f t="shared" si="3"/>
        <v>0</v>
      </c>
      <c r="F8" s="15" t="str">
        <f t="shared" si="1"/>
        <v/>
      </c>
      <c r="G8" s="16">
        <f>SUM(Apr!G8+May!G8+Jun!G8)</f>
        <v>0</v>
      </c>
      <c r="H8" s="16">
        <f>SUM(Apr!H8, May!H8, Jun!H8)</f>
        <v>0</v>
      </c>
      <c r="I8" s="17" t="str">
        <f t="shared" si="2"/>
        <v/>
      </c>
    </row>
    <row r="9" spans="1:9" ht="12.75" customHeight="1">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14</v>
      </c>
      <c r="E1" s="71"/>
      <c r="F1" s="71"/>
      <c r="G1" s="69" t="s">
        <v>15</v>
      </c>
      <c r="H1" s="69"/>
      <c r="I1" s="69"/>
    </row>
    <row r="2" spans="1:9" ht="19.5" customHeight="1">
      <c r="A2" s="72" t="s">
        <v>2</v>
      </c>
      <c r="B2" s="72"/>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0</v>
      </c>
      <c r="D4" s="14">
        <f>SUM(Jul!D4, Aug!D4, Sep!D4)</f>
        <v>0</v>
      </c>
      <c r="E4" s="14">
        <f>IF(AND(ISNUMBER(C4),ISNUMBER(D4)), C4-D4, "")</f>
        <v>0</v>
      </c>
      <c r="F4" s="15" t="str">
        <f>IFERROR(E4/D4, "")</f>
        <v/>
      </c>
      <c r="G4" s="16">
        <f>SUM(Jul!G4,Aug!G4,Sep!G4)</f>
        <v>0</v>
      </c>
      <c r="H4" s="16">
        <f>SUM(Jul!H4, Aug!H4, Sep!H4)</f>
        <v>0</v>
      </c>
      <c r="I4" s="17" t="str">
        <f>IFERROR(H4/G4, "")</f>
        <v/>
      </c>
    </row>
    <row r="5" spans="1:9" ht="15.6">
      <c r="A5" s="18" t="str">
        <v>San Luis Valley</v>
      </c>
      <c r="B5" s="11" t="str">
        <v>CO</v>
      </c>
      <c r="C5" s="12">
        <f>SUM(Jul!C5, Aug!C5, Sep!C5)</f>
        <v>0</v>
      </c>
      <c r="D5" s="19">
        <f>SUM(Jul!D5, Aug!D5, Sep!D5)</f>
        <v>0</v>
      </c>
      <c r="E5" s="19">
        <f t="shared" ref="E5:E6" si="0">IF(AND(ISNUMBER(C5),ISNUMBER(D5)), C5-D5, "")</f>
        <v>0</v>
      </c>
      <c r="F5" s="20" t="str">
        <f>IFERROR(E5/D5, "")</f>
        <v/>
      </c>
      <c r="G5" s="57">
        <f>SUM(Jul!G5,Aug!G5,Sep!G5)</f>
        <v>0</v>
      </c>
      <c r="H5" s="21">
        <f>SUM(Jul!H5, Aug!H5, Sep!H5)</f>
        <v>0</v>
      </c>
      <c r="I5" s="20" t="str">
        <f>IFERROR(H5/G5, "")</f>
        <v/>
      </c>
    </row>
    <row r="6" spans="1:9" ht="15.6">
      <c r="A6" s="13" t="str">
        <v>Golden NREL 2</v>
      </c>
      <c r="B6" s="10" t="str">
        <v>CO</v>
      </c>
      <c r="C6" s="25">
        <f>SUM(Jul!C6, Aug!C6, Sep!C6)</f>
        <v>0</v>
      </c>
      <c r="D6" s="14">
        <f>SUM(Jul!D6, Aug!D6, Sep!D6)</f>
        <v>0</v>
      </c>
      <c r="E6" s="14">
        <f t="shared" si="0"/>
        <v>0</v>
      </c>
      <c r="F6" s="15" t="str">
        <f t="shared" ref="F6:F13" si="1">IFERROR(E6/D6, "")</f>
        <v/>
      </c>
      <c r="G6" s="16">
        <f>SUM(Jul!G6,Aug!G6,Sep!G6)</f>
        <v>0</v>
      </c>
      <c r="H6" s="16">
        <f>SUM(Jul!H6, Aug!H6, Sep!H6)</f>
        <v>0</v>
      </c>
      <c r="I6" s="17" t="str">
        <f t="shared" ref="I6:I13" si="2">IFERROR(H6/G6, "")</f>
        <v/>
      </c>
    </row>
    <row r="7" spans="1:9" ht="15.6">
      <c r="A7" s="18" t="str">
        <v>Golden NREL Wind 3</v>
      </c>
      <c r="B7" s="11" t="str">
        <v>CO</v>
      </c>
      <c r="C7" s="12">
        <f>SUM(Jul!C7, Aug!C7, Sep!C7)</f>
        <v>0</v>
      </c>
      <c r="D7" s="19">
        <f>SUM(Jul!D7, Aug!D7, Sep!D7)</f>
        <v>0</v>
      </c>
      <c r="E7" s="19">
        <f t="shared" ref="E7:E13" si="3">IF(AND(ISNUMBER(C7),ISNUMBER(D7)), C7-D7, "")</f>
        <v>0</v>
      </c>
      <c r="F7" s="20" t="str">
        <f t="shared" si="1"/>
        <v/>
      </c>
      <c r="G7" s="57">
        <f>SUM(Jul!G7,Aug!G7,Sep!G7)</f>
        <v>0</v>
      </c>
      <c r="H7" s="21">
        <f>SUM(Jul!H7, Aug!H7, Sep!H7)</f>
        <v>0</v>
      </c>
      <c r="I7" s="20" t="str">
        <f t="shared" si="2"/>
        <v/>
      </c>
    </row>
    <row r="8" spans="1:9" ht="15.6">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customHeight="1">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7"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16</v>
      </c>
      <c r="E1" s="71"/>
      <c r="F1" s="71"/>
      <c r="G1" s="69" t="s">
        <v>17</v>
      </c>
      <c r="H1" s="69"/>
      <c r="I1" s="69"/>
    </row>
    <row r="2" spans="1:9" ht="19.5" customHeight="1">
      <c r="A2" s="72" t="s">
        <v>2</v>
      </c>
      <c r="B2" s="72"/>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5.6">
      <c r="A5" s="18" t="str">
        <v>San Luis Valley</v>
      </c>
      <c r="B5" s="11" t="str">
        <v>CO</v>
      </c>
      <c r="C5" s="12">
        <f>SUM(Oct!C5, Nov!C5, Dec!C5)</f>
        <v>0</v>
      </c>
      <c r="D5" s="19">
        <f>SUM(Oct!D5, Nov!D5, Dec!D5)</f>
        <v>0</v>
      </c>
      <c r="E5" s="19">
        <f t="shared" ref="E5:E6" si="0">IF(AND(ISNUMBER(C5),ISNUMBER(D5)), C5-D5, "")</f>
        <v>0</v>
      </c>
      <c r="F5" s="20" t="str">
        <f>IFERROR(E5/D5, "")</f>
        <v/>
      </c>
      <c r="G5" s="21">
        <f>SUM(Oct!G5,Nov!G5,Dec!G5)</f>
        <v>0</v>
      </c>
      <c r="H5" s="21">
        <f>SUM(Oct!H5, Nov!H5, Dec!H5)</f>
        <v>0</v>
      </c>
      <c r="I5" s="20" t="str">
        <f>IFERROR(H5/G5, "")</f>
        <v/>
      </c>
    </row>
    <row r="6" spans="1:9" ht="15.6">
      <c r="A6" s="13" t="str">
        <v>Golden NREL 2</v>
      </c>
      <c r="B6" s="10" t="str">
        <v>CO</v>
      </c>
      <c r="C6" s="25">
        <f>SUM(Oct!C6, Nov!C6, Dec!C6)</f>
        <v>0</v>
      </c>
      <c r="D6" s="14">
        <f>SUM(Oct!D6, Nov!D6, Dec!D6)</f>
        <v>0</v>
      </c>
      <c r="E6" s="14">
        <f t="shared" si="0"/>
        <v>0</v>
      </c>
      <c r="F6" s="15" t="str">
        <f t="shared" ref="F6:F13" si="1">IFERROR(E6/D6, "")</f>
        <v/>
      </c>
      <c r="G6" s="16">
        <f>SUM(Oct!G6,Nov!G6,Dec!G6)</f>
        <v>0</v>
      </c>
      <c r="H6" s="16">
        <f>SUM(Oct!H6, Nov!H6, Dec!H6)</f>
        <v>0</v>
      </c>
      <c r="I6" s="17" t="str">
        <f t="shared" ref="I6:I13" si="2">IFERROR(H6/G6, "")</f>
        <v/>
      </c>
    </row>
    <row r="7" spans="1:9" ht="15.6">
      <c r="A7" s="18" t="str">
        <v>Golden NREL Wind 3</v>
      </c>
      <c r="B7" s="11" t="str">
        <v>CO</v>
      </c>
      <c r="C7" s="12">
        <f>SUM(Oct!C7, Nov!C7, Dec!C7)</f>
        <v>0</v>
      </c>
      <c r="D7" s="19">
        <f>SUM(Oct!D7, Nov!D7, Dec!D7)</f>
        <v>0</v>
      </c>
      <c r="E7" s="19">
        <f t="shared" ref="E7:E13" si="3">IF(AND(ISNUMBER(C7),ISNUMBER(D7)), C7-D7, "")</f>
        <v>0</v>
      </c>
      <c r="F7" s="20" t="str">
        <f t="shared" si="1"/>
        <v/>
      </c>
      <c r="G7" s="21">
        <f>SUM(Oct!G7,Nov!G7,Dec!G7)</f>
        <v>0</v>
      </c>
      <c r="H7" s="21">
        <f>SUM(Oct!H7, Nov!H7, Dec!H7)</f>
        <v>0</v>
      </c>
      <c r="I7" s="20" t="str">
        <f t="shared" si="2"/>
        <v/>
      </c>
    </row>
    <row r="8" spans="1:9" ht="15.6">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C4" activePane="bottomRight" state="frozen"/>
      <selection pane="bottomRight" activeCell="J9" sqref="J9:K13"/>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0" t="str" cm="1">
        <f t="array" ref="A1">portfolio</f>
        <v>Ecofin</v>
      </c>
      <c r="B1" s="70"/>
      <c r="C1" s="70"/>
      <c r="D1" s="71" t="s">
        <v>18</v>
      </c>
      <c r="E1" s="71"/>
      <c r="F1" s="71"/>
      <c r="G1" s="69" t="s">
        <v>19</v>
      </c>
      <c r="H1" s="69"/>
      <c r="I1" s="69"/>
      <c r="J1" s="5"/>
      <c r="K1" s="5"/>
    </row>
    <row r="2" spans="1:13" ht="19.5" customHeight="1">
      <c r="A2" s="72" t="s">
        <v>2</v>
      </c>
      <c r="B2" s="72"/>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c r="A3" s="28" t="s">
        <v>3</v>
      </c>
      <c r="B3" s="9" t="s">
        <v>4</v>
      </c>
      <c r="C3" s="24" t="s">
        <v>5</v>
      </c>
      <c r="D3" s="35" t="s">
        <v>6</v>
      </c>
      <c r="E3" s="35" t="s">
        <v>7</v>
      </c>
      <c r="F3" s="36" t="s">
        <v>8</v>
      </c>
      <c r="G3" s="40" t="s">
        <v>9</v>
      </c>
      <c r="H3" s="38" t="s">
        <v>7</v>
      </c>
      <c r="I3" s="39" t="s">
        <v>8</v>
      </c>
      <c r="J3" s="58" t="s">
        <v>20</v>
      </c>
      <c r="K3" s="58" t="s">
        <v>21</v>
      </c>
    </row>
    <row r="4" spans="1:13" ht="57.6">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1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9">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1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5">
      <c r="A14" s="22"/>
      <c r="B14" s="33"/>
      <c r="C14" s="22"/>
      <c r="D14" s="22"/>
      <c r="E14" s="22"/>
      <c r="F14" s="22"/>
      <c r="G14" s="22"/>
      <c r="H14" s="22"/>
      <c r="I14" s="22"/>
      <c r="J14" s="22"/>
      <c r="K14" s="22"/>
      <c r="L14" s="62"/>
      <c r="M14" s="62"/>
    </row>
    <row r="15" spans="1:13" ht="14.45">
      <c r="A15" s="22"/>
      <c r="B15" s="33"/>
      <c r="C15" s="22"/>
      <c r="D15" s="22"/>
      <c r="E15" s="22"/>
      <c r="F15" s="23"/>
      <c r="G15" s="22"/>
      <c r="H15" s="22"/>
      <c r="I15" s="23"/>
      <c r="J15" s="22"/>
      <c r="K15" s="22"/>
    </row>
    <row r="16" spans="1:13"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C9" activePane="bottomRight" state="frozen"/>
      <selection pane="bottomRight" activeCell="B10" sqref="B10"/>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5703125" customWidth="1"/>
    <col min="13" max="13" width="12.42578125" customWidth="1"/>
  </cols>
  <sheetData>
    <row r="1" spans="1:21" ht="19.5" customHeight="1">
      <c r="A1" s="70" t="str" cm="1">
        <f t="array" ref="A1">portfolio</f>
        <v>Ecofin</v>
      </c>
      <c r="B1" s="70"/>
      <c r="C1" s="70"/>
      <c r="D1" s="71" t="s">
        <v>45</v>
      </c>
      <c r="E1" s="71"/>
      <c r="F1" s="71"/>
      <c r="G1" s="69" t="s">
        <v>46</v>
      </c>
      <c r="H1" s="69"/>
      <c r="I1" s="69"/>
      <c r="J1" s="5"/>
      <c r="K1" s="5"/>
    </row>
    <row r="2" spans="1:21" ht="19.5" customHeight="1">
      <c r="A2" s="72" t="s">
        <v>2</v>
      </c>
      <c r="B2" s="72"/>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c r="A3" s="9" t="s">
        <v>3</v>
      </c>
      <c r="B3" s="9" t="s">
        <v>4</v>
      </c>
      <c r="C3" s="24" t="s">
        <v>5</v>
      </c>
      <c r="D3" s="35" t="s">
        <v>6</v>
      </c>
      <c r="E3" s="35" t="s">
        <v>7</v>
      </c>
      <c r="F3" s="36" t="s">
        <v>8</v>
      </c>
      <c r="G3" s="37" t="s">
        <v>9</v>
      </c>
      <c r="H3" s="38" t="s">
        <v>7</v>
      </c>
      <c r="I3" s="39" t="s">
        <v>8</v>
      </c>
      <c r="J3" s="26" t="s">
        <v>20</v>
      </c>
      <c r="K3" s="26" t="s">
        <v>21</v>
      </c>
    </row>
    <row r="4" spans="1:21" ht="43.15">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9">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9">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21.5">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5">
      <c r="A14" s="22"/>
      <c r="B14" s="33"/>
      <c r="C14" s="22"/>
      <c r="D14" s="22"/>
      <c r="E14" s="22"/>
      <c r="F14" s="22"/>
      <c r="G14" s="22"/>
      <c r="H14" s="22"/>
      <c r="I14" s="22"/>
      <c r="J14" s="22"/>
      <c r="K14" s="22"/>
    </row>
    <row r="15" spans="1:21" ht="14.45">
      <c r="A15" s="22"/>
      <c r="B15" s="33"/>
      <c r="C15" s="22"/>
      <c r="D15" s="22"/>
      <c r="E15" s="22"/>
      <c r="F15" s="22"/>
      <c r="G15" s="22"/>
      <c r="H15" s="22"/>
      <c r="I15" s="22"/>
      <c r="J15" s="22"/>
      <c r="K15" s="22"/>
    </row>
    <row r="16" spans="1:2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tabSelected="1" zoomScale="70" zoomScaleNormal="70" workbookViewId="0">
      <pane xSplit="2" ySplit="3" topLeftCell="C10" activePane="bottomRight" state="frozen"/>
      <selection pane="bottomRight" activeCell="K12" sqref="K12"/>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70" t="str" cm="1">
        <f t="array" ref="A1">portfolio</f>
        <v>Ecofin</v>
      </c>
      <c r="B1" s="70"/>
      <c r="C1" s="70"/>
      <c r="D1" s="71" t="s">
        <v>73</v>
      </c>
      <c r="E1" s="71"/>
      <c r="F1" s="71"/>
      <c r="G1" s="69" t="s">
        <v>74</v>
      </c>
      <c r="H1" s="69"/>
      <c r="I1" s="69"/>
      <c r="J1" s="5"/>
      <c r="K1" s="5"/>
    </row>
    <row r="2" spans="1:16" ht="19.5" customHeight="1">
      <c r="A2" s="72" t="s">
        <v>2</v>
      </c>
      <c r="B2" s="72"/>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4" t="s">
        <v>5</v>
      </c>
      <c r="D3" s="35" t="s">
        <v>6</v>
      </c>
      <c r="E3" s="35" t="s">
        <v>7</v>
      </c>
      <c r="F3" s="36" t="s">
        <v>8</v>
      </c>
      <c r="G3" s="37" t="s">
        <v>9</v>
      </c>
      <c r="H3" s="38" t="s">
        <v>7</v>
      </c>
      <c r="I3" s="39" t="s">
        <v>8</v>
      </c>
      <c r="J3" s="26" t="s">
        <v>20</v>
      </c>
      <c r="K3" s="26" t="s">
        <v>21</v>
      </c>
    </row>
    <row r="4" spans="1:16" ht="43.15">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9">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4999999999999">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305.25">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21.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52.25">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5">
      <c r="A14" s="22"/>
      <c r="B14" s="33"/>
      <c r="C14" s="22"/>
      <c r="D14" s="22"/>
      <c r="E14" s="22"/>
      <c r="F14" s="22"/>
      <c r="G14" s="22"/>
      <c r="H14" s="22"/>
      <c r="I14" s="22"/>
      <c r="J14" s="22"/>
      <c r="K14" s="22"/>
    </row>
    <row r="15" spans="1:16" ht="14.45">
      <c r="A15" s="22"/>
      <c r="B15" s="33"/>
      <c r="C15" s="22"/>
      <c r="D15" s="22"/>
      <c r="E15" s="22"/>
      <c r="F15" s="22"/>
      <c r="G15" s="22"/>
      <c r="H15" s="22"/>
      <c r="I15" s="22"/>
      <c r="J15" s="22"/>
      <c r="K15" s="22"/>
    </row>
    <row r="16" spans="1:16"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3"/>
  <sheetViews>
    <sheetView zoomScale="80" zoomScaleNormal="80" workbookViewId="0">
      <pane xSplit="2" ySplit="3" topLeftCell="D13"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0" t="str" cm="1">
        <f t="array" ref="A1">portfolio</f>
        <v>Ecofin</v>
      </c>
      <c r="B1" s="70"/>
      <c r="C1" s="70"/>
      <c r="D1" s="71" t="s">
        <v>99</v>
      </c>
      <c r="E1" s="71"/>
      <c r="F1" s="71"/>
      <c r="G1" s="69" t="s">
        <v>100</v>
      </c>
      <c r="H1" s="69"/>
      <c r="I1" s="69"/>
      <c r="J1" s="5"/>
      <c r="K1" s="5"/>
    </row>
    <row r="2" spans="1:11" ht="19.5" customHeight="1">
      <c r="A2" s="72" t="s">
        <v>2</v>
      </c>
      <c r="B2" s="72"/>
      <c r="C2" s="6">
        <f>SUM(C4:C91)</f>
        <v>0</v>
      </c>
      <c r="D2" s="6">
        <f>SUM(D4:D91)</f>
        <v>0</v>
      </c>
      <c r="E2" s="6">
        <f>C2-D2</f>
        <v>0</v>
      </c>
      <c r="F2" s="7">
        <f>IFERROR(E2/D2, 0)</f>
        <v>0</v>
      </c>
      <c r="G2" s="6">
        <f>SUM(G4:G91)</f>
        <v>0</v>
      </c>
      <c r="H2" s="8">
        <f>C2-G2</f>
        <v>0</v>
      </c>
      <c r="I2" s="7">
        <f>IFERROR(H2/G2, 0)</f>
        <v>0</v>
      </c>
      <c r="J2" s="27"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1" ht="15.6">
      <c r="A5" s="30" t="str">
        <v>San Luis Valley</v>
      </c>
      <c r="B5" s="31" t="str">
        <v>CO</v>
      </c>
      <c r="C5" s="12"/>
      <c r="D5" s="19"/>
      <c r="E5" s="19" t="str">
        <f t="shared" ref="E5:E12" si="0">IF(AND(ISNUMBER(C5),ISNUMBER(D5)), C5-D5, "")</f>
        <v/>
      </c>
      <c r="F5" s="20" t="str">
        <f>IFERROR(E5/D5, "")</f>
        <v/>
      </c>
      <c r="G5" s="21"/>
      <c r="H5" s="21" t="str">
        <f t="shared" ref="H5:H8" si="1">IF(AND(ISNUMBER(C5),ISNUMBER(G5)), C5-G5, "")</f>
        <v/>
      </c>
      <c r="I5" s="20" t="str">
        <f t="shared" ref="I5:I8" si="2">IFERROR(H5/G5, "")</f>
        <v/>
      </c>
      <c r="J5" s="48"/>
      <c r="K5" s="48"/>
    </row>
    <row r="6" spans="1:11" ht="15.6">
      <c r="A6" s="32" t="str">
        <v>Golden NREL 2</v>
      </c>
      <c r="B6" s="29" t="str">
        <v>CO</v>
      </c>
      <c r="C6" s="25"/>
      <c r="D6" s="14"/>
      <c r="E6" s="14" t="str">
        <f t="shared" si="0"/>
        <v/>
      </c>
      <c r="F6" s="15" t="str">
        <f t="shared" ref="F6:F12" si="3">IFERROR(E6/D6, "")</f>
        <v/>
      </c>
      <c r="G6" s="16"/>
      <c r="H6" s="16" t="str">
        <f t="shared" si="1"/>
        <v/>
      </c>
      <c r="I6" s="17" t="str">
        <f t="shared" si="2"/>
        <v/>
      </c>
      <c r="J6" s="50"/>
      <c r="K6" s="50"/>
    </row>
    <row r="7" spans="1:11" ht="15.6">
      <c r="A7" s="30" t="str">
        <v>Golden NREL Wind 3</v>
      </c>
      <c r="B7" s="31" t="str">
        <v>CO</v>
      </c>
      <c r="C7" s="12"/>
      <c r="D7" s="19"/>
      <c r="E7" s="19"/>
      <c r="F7" s="20">
        <v>0</v>
      </c>
      <c r="G7" s="21"/>
      <c r="H7" s="21" t="str">
        <f t="shared" si="1"/>
        <v/>
      </c>
      <c r="I7" s="20" t="str">
        <f t="shared" si="2"/>
        <v/>
      </c>
      <c r="J7" s="48"/>
      <c r="K7" s="48"/>
    </row>
    <row r="8" spans="1:11" ht="15.6">
      <c r="A8" s="32" t="str">
        <v>Pratt Solar Farm</v>
      </c>
      <c r="B8" s="29" t="str">
        <v>KS</v>
      </c>
      <c r="C8" s="25"/>
      <c r="D8" s="14"/>
      <c r="E8" s="14" t="str">
        <f t="shared" si="0"/>
        <v/>
      </c>
      <c r="F8" s="15" t="str">
        <f t="shared" si="3"/>
        <v/>
      </c>
      <c r="G8" s="16"/>
      <c r="H8" s="16" t="str">
        <f t="shared" si="1"/>
        <v/>
      </c>
      <c r="I8" s="17" t="str">
        <f t="shared" si="2"/>
        <v/>
      </c>
      <c r="J8" s="50"/>
      <c r="K8" s="50"/>
    </row>
    <row r="9" spans="1:11" ht="97.35" customHeight="1">
      <c r="A9" s="30" t="str">
        <v>Rochester - 5516 Valleyhigh NW</v>
      </c>
      <c r="B9" s="31" t="str">
        <v>MN</v>
      </c>
      <c r="C9" s="12"/>
      <c r="D9" s="19"/>
      <c r="E9" s="19" t="str">
        <f t="shared" si="0"/>
        <v/>
      </c>
      <c r="F9" s="20" t="str">
        <f t="shared" si="3"/>
        <v/>
      </c>
      <c r="G9" s="21"/>
      <c r="H9" s="21" t="str">
        <f t="shared" ref="H9:H12" si="4">IF(AND(ISNUMBER(C9),ISNUMBER(G9)), C9-G9, "")</f>
        <v/>
      </c>
      <c r="I9" s="20" t="str">
        <f t="shared" ref="I9:I12" si="5">IFERROR(H9/G9, "")</f>
        <v/>
      </c>
      <c r="J9" s="48"/>
      <c r="K9" s="48"/>
    </row>
    <row r="10" spans="1:11" ht="15.6">
      <c r="A10" s="32" t="str">
        <v>Warsaw - 2201 Richmond</v>
      </c>
      <c r="B10" s="29" t="str">
        <v>VA</v>
      </c>
      <c r="C10" s="25"/>
      <c r="D10" s="14"/>
      <c r="E10" s="14" t="str">
        <f t="shared" si="0"/>
        <v/>
      </c>
      <c r="F10" s="15" t="str">
        <f t="shared" si="3"/>
        <v/>
      </c>
      <c r="G10" s="16"/>
      <c r="H10" s="16" t="str">
        <f t="shared" si="4"/>
        <v/>
      </c>
      <c r="I10" s="17" t="str">
        <f t="shared" si="5"/>
        <v/>
      </c>
      <c r="J10" s="50"/>
      <c r="K10" s="50"/>
    </row>
    <row r="11" spans="1:11" ht="15.6">
      <c r="A11" s="30" t="str">
        <v>Mount Jackson - Randolf</v>
      </c>
      <c r="B11" s="31" t="str">
        <v>VA</v>
      </c>
      <c r="C11" s="12"/>
      <c r="D11" s="19"/>
      <c r="E11" s="19" t="str">
        <f t="shared" si="0"/>
        <v/>
      </c>
      <c r="F11" s="20" t="str">
        <f t="shared" si="3"/>
        <v/>
      </c>
      <c r="G11" s="21"/>
      <c r="H11" s="21" t="str">
        <f t="shared" si="4"/>
        <v/>
      </c>
      <c r="I11" s="20" t="str">
        <f t="shared" si="5"/>
        <v/>
      </c>
      <c r="J11" s="48"/>
      <c r="K11" s="48"/>
    </row>
    <row r="12" spans="1:11" ht="15.6">
      <c r="A12" s="32" t="str">
        <v>Callands Gretna - Monroe</v>
      </c>
      <c r="B12" s="29" t="str">
        <v>VA</v>
      </c>
      <c r="C12" s="25"/>
      <c r="D12" s="14"/>
      <c r="E12" s="14" t="str">
        <f t="shared" si="0"/>
        <v/>
      </c>
      <c r="F12" s="15" t="str">
        <f t="shared" si="3"/>
        <v/>
      </c>
      <c r="G12" s="16"/>
      <c r="H12" s="16" t="str">
        <f t="shared" si="4"/>
        <v/>
      </c>
      <c r="I12" s="17" t="str">
        <f t="shared" si="5"/>
        <v/>
      </c>
      <c r="J12" s="50"/>
      <c r="K12" s="50"/>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0" t="str" cm="1">
        <f t="array" ref="A1">portfolio</f>
        <v>Ecofin</v>
      </c>
      <c r="B1" s="70"/>
      <c r="C1" s="70"/>
      <c r="D1" s="71" t="s">
        <v>101</v>
      </c>
      <c r="E1" s="71"/>
      <c r="F1" s="71"/>
      <c r="G1" s="69" t="s">
        <v>102</v>
      </c>
      <c r="H1" s="69"/>
      <c r="I1" s="69"/>
      <c r="J1" s="5"/>
      <c r="K1" s="5"/>
    </row>
    <row r="2" spans="1:11" ht="19.5" customHeight="1">
      <c r="A2" s="72" t="s">
        <v>2</v>
      </c>
      <c r="B2" s="72"/>
      <c r="C2" s="6">
        <f>SUM(C4:C90)</f>
        <v>0</v>
      </c>
      <c r="D2" s="6">
        <f>SUM(D4:D90)</f>
        <v>0</v>
      </c>
      <c r="E2" s="6">
        <f>C2-D2</f>
        <v>0</v>
      </c>
      <c r="F2" s="7">
        <f>IFERROR(E2/D2, 0)</f>
        <v>0</v>
      </c>
      <c r="G2" s="6">
        <f>SUM(G4:G90)</f>
        <v>0</v>
      </c>
      <c r="H2" s="8">
        <f>C2-G2</f>
        <v>0</v>
      </c>
      <c r="I2" s="7">
        <f>IFERROR(H2/G2, 0)</f>
        <v>0</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1" ht="15.6">
      <c r="A5" s="30" t="str">
        <v>San Luis Valley</v>
      </c>
      <c r="B5" s="31" t="str">
        <v>CO</v>
      </c>
      <c r="C5" s="12"/>
      <c r="D5" s="19"/>
      <c r="E5" s="19" t="str">
        <f t="shared" ref="E5:E10" si="0">IF(AND(ISNUMBER(C5),ISNUMBER(D5)), C5-D5, "")</f>
        <v/>
      </c>
      <c r="F5" s="20" t="str">
        <f t="shared" ref="F5:F10" si="1">IFERROR(E5/D5, "")</f>
        <v/>
      </c>
      <c r="G5" s="21"/>
      <c r="H5" s="21" t="str">
        <f t="shared" ref="H5:H10" si="2">IF(AND(ISNUMBER(C5),ISNUMBER(G5)), C5-G5, "")</f>
        <v/>
      </c>
      <c r="I5" s="20" t="str">
        <f t="shared" ref="I5:I10" si="3">IFERROR(H5/G5, "")</f>
        <v/>
      </c>
      <c r="J5" s="48"/>
      <c r="K5" s="48"/>
    </row>
    <row r="6" spans="1:11" ht="15.6">
      <c r="A6" s="32" t="str">
        <v>Golden NREL 2</v>
      </c>
      <c r="B6" s="29" t="str">
        <v>CO</v>
      </c>
      <c r="C6" s="25"/>
      <c r="D6" s="14"/>
      <c r="E6" s="14" t="str">
        <f t="shared" si="0"/>
        <v/>
      </c>
      <c r="F6" s="15" t="str">
        <f t="shared" si="1"/>
        <v/>
      </c>
      <c r="G6" s="16"/>
      <c r="H6" s="16" t="str">
        <f t="shared" si="2"/>
        <v/>
      </c>
      <c r="I6" s="17" t="str">
        <f t="shared" si="3"/>
        <v/>
      </c>
      <c r="J6" s="50"/>
      <c r="K6" s="50"/>
    </row>
    <row r="7" spans="1:11" ht="15.6">
      <c r="A7" s="30" t="str">
        <v>Golden NREL Wind 3</v>
      </c>
      <c r="B7" s="31" t="str">
        <v>CO</v>
      </c>
      <c r="C7" s="12"/>
      <c r="D7" s="19"/>
      <c r="E7" s="19" t="str">
        <f t="shared" si="0"/>
        <v/>
      </c>
      <c r="F7" s="20" t="str">
        <f t="shared" si="1"/>
        <v/>
      </c>
      <c r="G7" s="21"/>
      <c r="H7" s="21" t="str">
        <f t="shared" si="2"/>
        <v/>
      </c>
      <c r="I7" s="20" t="str">
        <f t="shared" si="3"/>
        <v/>
      </c>
      <c r="J7" s="48"/>
      <c r="K7" s="48"/>
    </row>
    <row r="8" spans="1:11" ht="15.6">
      <c r="A8" s="32" t="str">
        <v>Pratt Solar Farm</v>
      </c>
      <c r="B8" s="29" t="str">
        <v>KS</v>
      </c>
      <c r="C8" s="25"/>
      <c r="D8" s="14"/>
      <c r="E8" s="14" t="str">
        <f t="shared" si="0"/>
        <v/>
      </c>
      <c r="F8" s="15" t="str">
        <f t="shared" si="1"/>
        <v/>
      </c>
      <c r="G8" s="16"/>
      <c r="H8" s="16" t="str">
        <f t="shared" si="2"/>
        <v/>
      </c>
      <c r="I8" s="17" t="str">
        <f t="shared" si="3"/>
        <v/>
      </c>
      <c r="J8" s="50"/>
      <c r="K8" s="50"/>
    </row>
    <row r="9" spans="1:11" ht="178.5" customHeight="1">
      <c r="A9" s="30" t="str">
        <v>Rochester - 5516 Valleyhigh NW</v>
      </c>
      <c r="B9" s="31" t="str">
        <v>MN</v>
      </c>
      <c r="C9" s="12"/>
      <c r="D9" s="19"/>
      <c r="E9" s="19" t="str">
        <f t="shared" si="0"/>
        <v/>
      </c>
      <c r="F9" s="20" t="str">
        <f t="shared" si="1"/>
        <v/>
      </c>
      <c r="G9" s="21"/>
      <c r="H9" s="21" t="str">
        <f t="shared" si="2"/>
        <v/>
      </c>
      <c r="I9" s="20" t="str">
        <f t="shared" si="3"/>
        <v/>
      </c>
      <c r="J9" s="48"/>
      <c r="K9" s="48"/>
    </row>
    <row r="10" spans="1:11" ht="15.6">
      <c r="A10" s="32" t="str">
        <v>Warsaw - 2201 Richmond</v>
      </c>
      <c r="B10" s="29" t="str">
        <v>VA</v>
      </c>
      <c r="C10" s="25"/>
      <c r="D10" s="14"/>
      <c r="E10" s="14" t="str">
        <f t="shared" si="0"/>
        <v/>
      </c>
      <c r="F10" s="15" t="str">
        <f t="shared" si="1"/>
        <v/>
      </c>
      <c r="G10" s="16"/>
      <c r="H10" s="16" t="str">
        <f t="shared" si="2"/>
        <v/>
      </c>
      <c r="I10" s="17" t="str">
        <f t="shared" si="3"/>
        <v/>
      </c>
      <c r="J10" s="50"/>
      <c r="K10" s="50"/>
    </row>
    <row r="11" spans="1:11" ht="15.6">
      <c r="A11" s="30" t="str">
        <v>Mount Jackson - Randolf</v>
      </c>
      <c r="B11" s="31" t="str">
        <v>VA</v>
      </c>
      <c r="C11" s="12"/>
      <c r="D11" s="19"/>
      <c r="E11" s="19"/>
      <c r="F11" s="20"/>
      <c r="G11" s="21"/>
      <c r="H11" s="21"/>
      <c r="I11" s="20"/>
      <c r="J11" s="48"/>
      <c r="K11" s="48"/>
    </row>
    <row r="12" spans="1:11" ht="15.6">
      <c r="A12" s="32" t="str">
        <v>Callands Gretna - Monroe</v>
      </c>
      <c r="B12" s="29" t="str">
        <v>VA</v>
      </c>
      <c r="C12" s="25"/>
      <c r="D12" s="14"/>
      <c r="E12" s="14"/>
      <c r="F12" s="15"/>
      <c r="G12" s="16"/>
      <c r="H12" s="16"/>
      <c r="I12" s="17"/>
      <c r="J12" s="50"/>
      <c r="K12" s="50"/>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0" t="str" cm="1">
        <f t="array" ref="A1">portfolio</f>
        <v>Ecofin</v>
      </c>
      <c r="B1" s="70"/>
      <c r="C1" s="70"/>
      <c r="D1" s="71" t="s">
        <v>103</v>
      </c>
      <c r="E1" s="71"/>
      <c r="F1" s="71"/>
      <c r="G1" s="69" t="s">
        <v>104</v>
      </c>
      <c r="H1" s="69"/>
      <c r="I1" s="69"/>
      <c r="J1" s="5"/>
      <c r="K1" s="5"/>
    </row>
    <row r="2" spans="1:14" ht="19.5" customHeight="1">
      <c r="A2" s="72" t="s">
        <v>2</v>
      </c>
      <c r="B2" s="72"/>
      <c r="C2" s="6">
        <f>SUM(C4:C100)</f>
        <v>0</v>
      </c>
      <c r="D2" s="6">
        <f>SUM(D4:D100)</f>
        <v>0</v>
      </c>
      <c r="E2" s="6">
        <f>C2-D2</f>
        <v>0</v>
      </c>
      <c r="F2" s="7">
        <f>IFERROR(E2/D2, 0)</f>
        <v>0</v>
      </c>
      <c r="G2" s="6">
        <f>SUM(G4:G100)</f>
        <v>0</v>
      </c>
      <c r="H2" s="8">
        <f>C2-G2</f>
        <v>0</v>
      </c>
      <c r="I2" s="7">
        <f>IFERROR(H2/G2, 0)</f>
        <v>0</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6">
      <c r="A4" s="51" t="str" cm="1">
        <f t="array" ref="A4:A13">Sites[Site]</f>
        <v>Alamosa School District</v>
      </c>
      <c r="B4" s="29" t="str" cm="1">
        <f t="array" ref="B4:B13">Sites[State]</f>
        <v>CO</v>
      </c>
      <c r="C4" s="25"/>
      <c r="D4" s="14"/>
      <c r="E4" s="14"/>
      <c r="F4" s="15"/>
      <c r="G4" s="16"/>
      <c r="H4" s="16"/>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v>180611.69070000001</v>
      </c>
      <c r="I5" s="20" t="str">
        <f t="shared" ref="I5:I17" si="1">IFERROR(H5/G5, "")</f>
        <v/>
      </c>
      <c r="J5" s="48"/>
      <c r="K5" s="48"/>
    </row>
    <row r="6" spans="1:14" ht="15.6">
      <c r="A6" s="51" t="str">
        <v>Golden NREL 2</v>
      </c>
      <c r="B6" s="29" t="str">
        <v>CO</v>
      </c>
      <c r="C6" s="25"/>
      <c r="D6" s="14"/>
      <c r="E6" s="14" t="str">
        <f t="shared" si="0"/>
        <v/>
      </c>
      <c r="F6" s="15" t="str">
        <f t="shared" ref="F6:F17" si="2">IFERROR(E6/D6, "")</f>
        <v/>
      </c>
      <c r="G6" s="16"/>
      <c r="H6" s="16" t="str">
        <f t="shared" ref="H6:H17" si="3">IF(AND(ISNUMBER(C6),ISNUMBER(G6)), C6-G6, "")</f>
        <v/>
      </c>
      <c r="I6" s="17" t="str">
        <f t="shared" si="1"/>
        <v/>
      </c>
      <c r="J6" s="50"/>
      <c r="K6" s="50"/>
    </row>
    <row r="7" spans="1:14" ht="15.6">
      <c r="A7" s="30" t="str">
        <v>Golden NREL Wind 3</v>
      </c>
      <c r="B7" s="31" t="str">
        <v>CO</v>
      </c>
      <c r="C7" s="12"/>
      <c r="D7" s="19"/>
      <c r="E7" s="19" t="str">
        <f t="shared" si="0"/>
        <v/>
      </c>
      <c r="F7" s="20" t="str">
        <f t="shared" si="2"/>
        <v/>
      </c>
      <c r="G7" s="21"/>
      <c r="H7" s="21" t="str">
        <f t="shared" si="3"/>
        <v/>
      </c>
      <c r="I7" s="20" t="str">
        <f t="shared" si="1"/>
        <v/>
      </c>
      <c r="J7" s="48"/>
      <c r="K7" s="48"/>
    </row>
    <row r="8" spans="1:14" ht="110.25" customHeight="1">
      <c r="A8" s="51" t="str">
        <v>Pratt Solar Farm</v>
      </c>
      <c r="B8" s="29" t="str">
        <v>KS</v>
      </c>
      <c r="C8" s="25"/>
      <c r="D8" s="14"/>
      <c r="E8" s="14" t="str">
        <f t="shared" si="0"/>
        <v/>
      </c>
      <c r="F8" s="15" t="str">
        <f t="shared" si="2"/>
        <v/>
      </c>
      <c r="G8" s="16"/>
      <c r="H8" s="16" t="str">
        <f t="shared" si="3"/>
        <v/>
      </c>
      <c r="I8" s="17" t="str">
        <f t="shared" si="1"/>
        <v/>
      </c>
      <c r="J8" s="50"/>
      <c r="K8" s="50"/>
    </row>
    <row r="9" spans="1:14" ht="191.25" customHeight="1">
      <c r="A9" s="30" t="str">
        <v>Rochester - 5516 Valleyhigh NW</v>
      </c>
      <c r="B9" s="31" t="str">
        <v>MN</v>
      </c>
      <c r="C9" s="12"/>
      <c r="D9" s="19"/>
      <c r="E9" s="19" t="str">
        <f t="shared" si="0"/>
        <v/>
      </c>
      <c r="F9" s="20" t="str">
        <f t="shared" si="2"/>
        <v/>
      </c>
      <c r="G9" s="21"/>
      <c r="H9" s="21" t="str">
        <f t="shared" si="3"/>
        <v/>
      </c>
      <c r="I9" s="20" t="str">
        <f t="shared" si="1"/>
        <v/>
      </c>
      <c r="J9" s="48"/>
      <c r="K9" s="48"/>
      <c r="L9" s="22"/>
      <c r="M9" s="22"/>
      <c r="N9" s="22"/>
    </row>
    <row r="10" spans="1:14" ht="67.5" customHeight="1">
      <c r="A10" s="51" t="str">
        <v>Warsaw - 2201 Richmond</v>
      </c>
      <c r="B10" s="29" t="str">
        <v>VA</v>
      </c>
      <c r="C10" s="25"/>
      <c r="D10" s="14"/>
      <c r="E10" s="14" t="str">
        <f t="shared" si="0"/>
        <v/>
      </c>
      <c r="F10" s="15" t="str">
        <f t="shared" si="2"/>
        <v/>
      </c>
      <c r="G10" s="16"/>
      <c r="H10" s="16" t="str">
        <f t="shared" si="3"/>
        <v/>
      </c>
      <c r="I10" s="17" t="str">
        <f t="shared" si="1"/>
        <v/>
      </c>
      <c r="J10" s="50"/>
      <c r="K10" s="50"/>
      <c r="L10" s="22"/>
      <c r="M10" s="22"/>
      <c r="N10" s="22"/>
    </row>
    <row r="11" spans="1:14" ht="165.75" customHeight="1">
      <c r="A11" s="30" t="str">
        <v>Mount Jackson - Randolf</v>
      </c>
      <c r="B11" s="31" t="str">
        <v>VA</v>
      </c>
      <c r="C11" s="12"/>
      <c r="D11" s="19"/>
      <c r="E11" s="19" t="str">
        <f t="shared" si="0"/>
        <v/>
      </c>
      <c r="F11" s="20" t="str">
        <f t="shared" si="2"/>
        <v/>
      </c>
      <c r="G11" s="21"/>
      <c r="H11" s="21" t="str">
        <f t="shared" si="3"/>
        <v/>
      </c>
      <c r="I11" s="20" t="str">
        <f t="shared" si="1"/>
        <v/>
      </c>
      <c r="J11" s="48"/>
      <c r="K11" s="48"/>
      <c r="L11" s="22"/>
      <c r="M11" s="22"/>
      <c r="N11" s="22"/>
    </row>
    <row r="12" spans="1:14" ht="81" customHeight="1">
      <c r="A12" s="51" t="str">
        <v>Callands Gretna - Monroe</v>
      </c>
      <c r="B12" s="29" t="str">
        <v>VA</v>
      </c>
      <c r="C12" s="25"/>
      <c r="D12" s="14"/>
      <c r="E12" s="14" t="str">
        <f t="shared" si="0"/>
        <v/>
      </c>
      <c r="F12" s="15" t="str">
        <f t="shared" si="2"/>
        <v/>
      </c>
      <c r="G12" s="16"/>
      <c r="H12" s="16" t="str">
        <f t="shared" si="3"/>
        <v/>
      </c>
      <c r="I12" s="17" t="str">
        <f t="shared" si="1"/>
        <v/>
      </c>
      <c r="J12" s="50"/>
      <c r="K12" s="50"/>
      <c r="L12" s="22"/>
      <c r="M12" s="22"/>
      <c r="N12" s="22"/>
    </row>
    <row r="13" spans="1:14" ht="51" customHeight="1">
      <c r="A13" s="30" t="str">
        <v>Rockbridge Baths - Small Mouth Bass</v>
      </c>
      <c r="B13" s="31" t="str">
        <v>VA</v>
      </c>
      <c r="C13" s="12"/>
      <c r="D13" s="19"/>
      <c r="E13" s="19" t="str">
        <f t="shared" si="0"/>
        <v/>
      </c>
      <c r="F13" s="20" t="str">
        <f t="shared" si="2"/>
        <v/>
      </c>
      <c r="G13" s="21"/>
      <c r="H13" s="21" t="str">
        <f t="shared" si="3"/>
        <v/>
      </c>
      <c r="I13" s="20" t="str">
        <f t="shared" si="1"/>
        <v/>
      </c>
      <c r="J13" s="48"/>
      <c r="K13" s="48"/>
      <c r="L13" s="22"/>
      <c r="M13" s="22"/>
      <c r="N13" s="22"/>
    </row>
    <row r="14" spans="1:14">
      <c r="A14" s="22"/>
      <c r="B14" s="22"/>
      <c r="C14" s="22"/>
      <c r="D14" s="22"/>
      <c r="E14" s="22" t="str">
        <f t="shared" si="0"/>
        <v/>
      </c>
      <c r="F14" s="22" t="str">
        <f t="shared" si="2"/>
        <v/>
      </c>
      <c r="G14" s="22"/>
      <c r="H14" s="22" t="str">
        <f t="shared" si="3"/>
        <v/>
      </c>
      <c r="I14" s="22" t="str">
        <f t="shared" si="1"/>
        <v/>
      </c>
      <c r="J14" s="22"/>
      <c r="K14" s="22"/>
      <c r="L14" s="22"/>
      <c r="M14" s="22"/>
      <c r="N14" s="22"/>
    </row>
    <row r="15" spans="1:14">
      <c r="A15" s="22"/>
      <c r="B15" s="22"/>
      <c r="C15" s="22"/>
      <c r="D15" s="22"/>
      <c r="E15" s="22" t="str">
        <f t="shared" si="0"/>
        <v/>
      </c>
      <c r="F15" s="22" t="str">
        <f t="shared" si="2"/>
        <v/>
      </c>
      <c r="G15" s="22"/>
      <c r="H15" s="22" t="str">
        <f t="shared" si="3"/>
        <v/>
      </c>
      <c r="I15" s="22" t="str">
        <f t="shared" si="1"/>
        <v/>
      </c>
      <c r="J15" s="22"/>
      <c r="K15" s="22"/>
      <c r="L15" s="22"/>
      <c r="M15" s="22"/>
      <c r="N15" s="22"/>
    </row>
    <row r="16" spans="1:14">
      <c r="A16" s="22"/>
      <c r="B16" s="22"/>
      <c r="C16" s="22"/>
      <c r="D16" s="22"/>
      <c r="E16" s="22" t="str">
        <f t="shared" si="0"/>
        <v/>
      </c>
      <c r="F16" s="22" t="str">
        <f t="shared" si="2"/>
        <v/>
      </c>
      <c r="G16" s="22"/>
      <c r="H16" s="22" t="str">
        <f t="shared" si="3"/>
        <v/>
      </c>
      <c r="I16" s="22" t="str">
        <f t="shared" si="1"/>
        <v/>
      </c>
      <c r="J16" s="22"/>
      <c r="K16" s="22"/>
      <c r="L16" s="22"/>
      <c r="M16" s="22"/>
      <c r="N16" s="22"/>
    </row>
    <row r="17" spans="1:14">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0" t="str" cm="1">
        <f t="array" ref="A1">portfolio</f>
        <v>Ecofin</v>
      </c>
      <c r="B1" s="70"/>
      <c r="C1" s="70"/>
      <c r="D1" s="71" t="s">
        <v>105</v>
      </c>
      <c r="E1" s="71"/>
      <c r="F1" s="71"/>
      <c r="G1" s="69" t="s">
        <v>106</v>
      </c>
      <c r="H1" s="69"/>
      <c r="I1" s="69"/>
      <c r="J1" s="5"/>
      <c r="K1" s="5"/>
    </row>
    <row r="2" spans="1:15" ht="19.5" customHeight="1">
      <c r="A2" s="72" t="s">
        <v>2</v>
      </c>
      <c r="B2" s="72"/>
      <c r="C2" s="6">
        <f>SUM(C4:C100)</f>
        <v>0</v>
      </c>
      <c r="D2" s="6">
        <f>SUM(D4:D100)</f>
        <v>0</v>
      </c>
      <c r="E2" s="6">
        <f>C2-D2</f>
        <v>0</v>
      </c>
      <c r="F2" s="7">
        <f>IFERROR(E2/D2, 0)</f>
        <v>0</v>
      </c>
      <c r="G2" s="6">
        <f>SUM(G4:G100)</f>
        <v>0</v>
      </c>
      <c r="H2" s="8">
        <f>C2-G2</f>
        <v>0</v>
      </c>
      <c r="I2" s="7">
        <f>IFERROR(H2/G2, 0)</f>
        <v>0</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5"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5"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5" ht="15.6">
      <c r="A7" s="30" t="str">
        <v>Golden NREL Wind 3</v>
      </c>
      <c r="B7" s="31" t="str">
        <v>CO</v>
      </c>
      <c r="C7" s="12"/>
      <c r="D7" s="19"/>
      <c r="E7" s="19" t="str">
        <f t="shared" si="0"/>
        <v/>
      </c>
      <c r="F7" s="20" t="str">
        <f t="shared" si="3"/>
        <v/>
      </c>
      <c r="G7" s="21"/>
      <c r="H7" s="21" t="str">
        <f t="shared" si="1"/>
        <v/>
      </c>
      <c r="I7" s="20" t="str">
        <f t="shared" si="2"/>
        <v/>
      </c>
      <c r="J7" s="48"/>
      <c r="K7" s="48"/>
    </row>
    <row r="8" spans="1:15" ht="15.6">
      <c r="A8" s="32" t="str">
        <v>Pratt Solar Farm</v>
      </c>
      <c r="B8" s="29" t="str">
        <v>KS</v>
      </c>
      <c r="C8" s="25"/>
      <c r="D8" s="14"/>
      <c r="E8" s="14" t="str">
        <f t="shared" si="0"/>
        <v/>
      </c>
      <c r="F8" s="15" t="str">
        <f t="shared" si="3"/>
        <v/>
      </c>
      <c r="G8" s="16"/>
      <c r="H8" s="16" t="str">
        <f t="shared" si="1"/>
        <v/>
      </c>
      <c r="I8" s="17" t="str">
        <f t="shared" si="2"/>
        <v/>
      </c>
      <c r="J8" s="41"/>
      <c r="K8" s="41"/>
    </row>
    <row r="9" spans="1:15" ht="111.75" customHeight="1">
      <c r="A9" s="30" t="str">
        <v>Rochester - 5516 Valleyhigh NW</v>
      </c>
      <c r="B9" s="31" t="str">
        <v>MN</v>
      </c>
      <c r="C9" s="12"/>
      <c r="D9" s="19"/>
      <c r="E9" s="19" t="str">
        <f t="shared" si="0"/>
        <v/>
      </c>
      <c r="F9" s="20" t="str">
        <f t="shared" si="3"/>
        <v/>
      </c>
      <c r="G9" s="21"/>
      <c r="H9" s="21" t="str">
        <f t="shared" si="1"/>
        <v/>
      </c>
      <c r="I9" s="20" t="str">
        <f t="shared" si="2"/>
        <v/>
      </c>
      <c r="J9" s="48"/>
      <c r="K9" s="48"/>
      <c r="L9" s="22"/>
      <c r="M9" s="22"/>
      <c r="N9" s="22"/>
      <c r="O9" s="22"/>
    </row>
    <row r="10" spans="1:15"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c r="N10" s="22"/>
      <c r="O10" s="22"/>
    </row>
    <row r="11" spans="1:15" ht="15.6">
      <c r="A11" s="30" t="str">
        <v>Mount Jackson - Randolf</v>
      </c>
      <c r="B11" s="31" t="str">
        <v>VA</v>
      </c>
      <c r="C11" s="12"/>
      <c r="D11" s="19"/>
      <c r="E11" s="19" t="str">
        <f t="shared" si="0"/>
        <v/>
      </c>
      <c r="F11" s="20" t="str">
        <f t="shared" si="3"/>
        <v/>
      </c>
      <c r="G11" s="21"/>
      <c r="H11" s="21" t="str">
        <f t="shared" si="1"/>
        <v/>
      </c>
      <c r="I11" s="20" t="str">
        <f t="shared" si="2"/>
        <v/>
      </c>
      <c r="J11" s="42"/>
      <c r="K11" s="48"/>
      <c r="L11" s="22"/>
      <c r="M11" s="22"/>
      <c r="N11" s="22"/>
      <c r="O11" s="22"/>
    </row>
    <row r="12" spans="1:15"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c r="N12" s="22"/>
      <c r="O12" s="22"/>
    </row>
    <row r="13" spans="1:15" ht="15.6">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F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0" t="str" cm="1">
        <f t="array" ref="A1">portfolio</f>
        <v>Ecofin</v>
      </c>
      <c r="B1" s="70"/>
      <c r="C1" s="70"/>
      <c r="D1" s="71" t="s">
        <v>107</v>
      </c>
      <c r="E1" s="71"/>
      <c r="F1" s="71"/>
      <c r="G1" s="69" t="s">
        <v>108</v>
      </c>
      <c r="H1" s="69"/>
      <c r="I1" s="69"/>
      <c r="J1" s="5"/>
      <c r="K1" s="5"/>
    </row>
    <row r="2" spans="1:12" ht="19.5" customHeight="1">
      <c r="A2" s="72" t="s">
        <v>2</v>
      </c>
      <c r="B2" s="72"/>
      <c r="C2" s="6">
        <f>SUM(C4:C100)</f>
        <v>0</v>
      </c>
      <c r="D2" s="6">
        <f>SUM(D4:D100)</f>
        <v>0</v>
      </c>
      <c r="E2" s="6">
        <f>C2-D2</f>
        <v>0</v>
      </c>
      <c r="F2" s="7">
        <f>IFERROR(E2/D2, 0)</f>
        <v>0</v>
      </c>
      <c r="G2" s="6">
        <f>SUM(G4:G100)</f>
        <v>0</v>
      </c>
      <c r="H2" s="8">
        <f>C2-G2</f>
        <v>0</v>
      </c>
      <c r="I2" s="7">
        <f>IFERROR(H2/G2, 0)</f>
        <v>0</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 t="shared" ref="I4:I13" si="0">IFERROR(H4/G4, "")</f>
        <v/>
      </c>
      <c r="J4" s="41"/>
      <c r="K4" s="41"/>
    </row>
    <row r="5" spans="1:12" ht="15.6">
      <c r="A5" s="30" t="str">
        <v>San Luis Valley</v>
      </c>
      <c r="B5" s="31" t="str">
        <v>CO</v>
      </c>
      <c r="C5" s="12"/>
      <c r="D5" s="19"/>
      <c r="E5" s="19" t="str">
        <f>IF(AND(ISNUMBER(C5),ISNUMBER(D5)), C5-D5, "")</f>
        <v/>
      </c>
      <c r="F5" s="20" t="str">
        <f>IFERROR(E5/D5, "")</f>
        <v/>
      </c>
      <c r="G5" s="21"/>
      <c r="H5" s="21" t="str">
        <f t="shared" ref="H5:H17" si="1">IF(AND(ISNUMBER(C5),ISNUMBER(G5)), C5-G5, "")</f>
        <v/>
      </c>
      <c r="I5" s="53" t="str">
        <f t="shared" si="0"/>
        <v/>
      </c>
      <c r="J5" s="42"/>
      <c r="K5" s="42"/>
    </row>
    <row r="6" spans="1:12" ht="15.6">
      <c r="A6" s="32" t="str">
        <v>Golden NREL 2</v>
      </c>
      <c r="B6" s="29" t="str">
        <v>CO</v>
      </c>
      <c r="C6" s="25"/>
      <c r="D6" s="14"/>
      <c r="E6" s="14" t="str">
        <f t="shared" ref="E6:E17" si="2">IF(AND(ISNUMBER(C6),ISNUMBER(D6)), C6-D6, "")</f>
        <v/>
      </c>
      <c r="F6" s="15" t="str">
        <f t="shared" ref="F6:F17" si="3">IFERROR(E6/D6, "")</f>
        <v/>
      </c>
      <c r="G6" s="16"/>
      <c r="H6" s="16" t="str">
        <f t="shared" si="1"/>
        <v/>
      </c>
      <c r="I6" s="17" t="str">
        <f t="shared" si="0"/>
        <v/>
      </c>
      <c r="J6" s="41"/>
      <c r="K6" s="41"/>
    </row>
    <row r="7" spans="1:12" ht="15.6">
      <c r="A7" s="30" t="str">
        <v>Golden NREL Wind 3</v>
      </c>
      <c r="B7" s="31" t="str">
        <v>CO</v>
      </c>
      <c r="C7" s="12"/>
      <c r="D7" s="19"/>
      <c r="E7" s="19" t="str">
        <f t="shared" si="2"/>
        <v/>
      </c>
      <c r="F7" s="20" t="str">
        <f t="shared" si="3"/>
        <v/>
      </c>
      <c r="G7" s="21"/>
      <c r="H7" s="21" t="str">
        <f t="shared" si="1"/>
        <v/>
      </c>
      <c r="I7" s="53" t="str">
        <f t="shared" si="0"/>
        <v/>
      </c>
      <c r="J7" s="48"/>
      <c r="K7" s="48"/>
    </row>
    <row r="8" spans="1:12" ht="15.6">
      <c r="A8" s="32" t="str">
        <v>Pratt Solar Farm</v>
      </c>
      <c r="B8" s="29" t="str">
        <v>KS</v>
      </c>
      <c r="C8" s="46"/>
      <c r="D8" s="14"/>
      <c r="E8" s="14" t="str">
        <f t="shared" si="2"/>
        <v/>
      </c>
      <c r="F8" s="15" t="str">
        <f t="shared" si="3"/>
        <v/>
      </c>
      <c r="G8" s="16"/>
      <c r="H8" s="16" t="str">
        <f t="shared" si="1"/>
        <v/>
      </c>
      <c r="I8" s="17" t="str">
        <f t="shared" si="0"/>
        <v/>
      </c>
      <c r="J8" s="41"/>
      <c r="K8" s="41"/>
    </row>
    <row r="9" spans="1:12" ht="15.6">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0" t="str" cm="1">
        <f t="array" ref="A1">portfolio</f>
        <v>Ecofin</v>
      </c>
      <c r="B1" s="70"/>
      <c r="C1" s="70"/>
      <c r="D1" s="71" t="s">
        <v>109</v>
      </c>
      <c r="E1" s="71"/>
      <c r="F1" s="71"/>
      <c r="G1" s="69" t="s">
        <v>110</v>
      </c>
      <c r="H1" s="69"/>
      <c r="I1" s="69"/>
      <c r="J1" s="5"/>
      <c r="K1" s="5"/>
    </row>
    <row r="2" spans="1:13" ht="19.5" customHeight="1">
      <c r="A2" s="72" t="s">
        <v>2</v>
      </c>
      <c r="B2" s="72"/>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47.25" customHeight="1">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55"/>
      <c r="K5" s="55"/>
    </row>
    <row r="6" spans="1:13"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6">
      <c r="A7" s="30" t="str">
        <v>Golden NREL Wind 3</v>
      </c>
      <c r="B7" s="31" t="str">
        <v>CO</v>
      </c>
      <c r="C7" s="12"/>
      <c r="D7" s="19"/>
      <c r="E7" s="19" t="str">
        <f t="shared" si="0"/>
        <v/>
      </c>
      <c r="F7" s="20" t="str">
        <f t="shared" si="3"/>
        <v/>
      </c>
      <c r="G7" s="21"/>
      <c r="H7" s="21" t="str">
        <f t="shared" si="1"/>
        <v/>
      </c>
      <c r="I7" s="20" t="str">
        <f t="shared" si="2"/>
        <v/>
      </c>
      <c r="J7" s="42"/>
      <c r="K7" s="42"/>
    </row>
    <row r="8" spans="1:13" ht="15.6">
      <c r="A8" s="32" t="str">
        <v>Pratt Solar Farm</v>
      </c>
      <c r="B8" s="29" t="str">
        <v>KS</v>
      </c>
      <c r="C8" s="25"/>
      <c r="D8" s="14"/>
      <c r="E8" s="14" t="str">
        <f t="shared" si="0"/>
        <v/>
      </c>
      <c r="F8" s="15" t="str">
        <f t="shared" si="3"/>
        <v/>
      </c>
      <c r="G8" s="16"/>
      <c r="H8" s="16" t="str">
        <f t="shared" si="1"/>
        <v/>
      </c>
      <c r="I8" s="17" t="str">
        <f t="shared" si="2"/>
        <v/>
      </c>
      <c r="J8" s="41"/>
      <c r="K8" s="41"/>
    </row>
    <row r="9" spans="1:13" ht="96.75" customHeight="1">
      <c r="A9" s="30" t="str">
        <v>Rochester - 5516 Valleyhigh NW</v>
      </c>
      <c r="B9" s="31" t="str">
        <v>MN</v>
      </c>
      <c r="C9" s="12"/>
      <c r="D9" s="19"/>
      <c r="E9" s="19" t="str">
        <f t="shared" si="0"/>
        <v/>
      </c>
      <c r="F9" s="20" t="str">
        <f t="shared" si="3"/>
        <v/>
      </c>
      <c r="G9" s="54"/>
      <c r="H9" s="21" t="str">
        <f t="shared" si="1"/>
        <v/>
      </c>
      <c r="I9" s="20" t="str">
        <f t="shared" si="2"/>
        <v/>
      </c>
      <c r="J9" s="55"/>
      <c r="K9" s="55"/>
      <c r="L9" s="22"/>
      <c r="M9" s="22"/>
    </row>
    <row r="10" spans="1:13"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6">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6">
      <c r="A13" s="30" t="str">
        <v>Rockbridge Baths - Small Mouth Bass</v>
      </c>
      <c r="B13" s="31" t="str">
        <v>VA</v>
      </c>
      <c r="C13" s="12"/>
      <c r="D13" s="19"/>
      <c r="E13" s="19" t="str">
        <f t="shared" si="0"/>
        <v/>
      </c>
      <c r="F13" s="20" t="str">
        <f t="shared" si="3"/>
        <v/>
      </c>
      <c r="G13" s="21"/>
      <c r="H13" s="21" t="str">
        <f t="shared" si="1"/>
        <v/>
      </c>
      <c r="I13" s="20" t="str">
        <f t="shared" si="2"/>
        <v/>
      </c>
      <c r="J13" s="42"/>
      <c r="K13" s="55"/>
      <c r="L13" s="22"/>
      <c r="M13" s="22"/>
    </row>
    <row r="14" spans="1:13">
      <c r="A14" s="22"/>
      <c r="B14" s="22"/>
      <c r="C14" s="22"/>
      <c r="D14" s="22"/>
      <c r="E14" s="22" t="str">
        <f t="shared" si="0"/>
        <v/>
      </c>
      <c r="F14" s="22" t="str">
        <f t="shared" si="3"/>
        <v/>
      </c>
      <c r="G14" s="22"/>
      <c r="H14" s="22" t="str">
        <f t="shared" si="1"/>
        <v/>
      </c>
      <c r="I14" s="22" t="str">
        <f t="shared" si="2"/>
        <v/>
      </c>
      <c r="J14" s="22"/>
      <c r="K14" s="22"/>
      <c r="L14" s="22"/>
      <c r="M14" s="22"/>
    </row>
    <row r="15" spans="1:13">
      <c r="A15" s="22"/>
      <c r="B15" s="22"/>
      <c r="C15" s="22"/>
      <c r="D15" s="22"/>
      <c r="E15" s="22" t="str">
        <f t="shared" si="0"/>
        <v/>
      </c>
      <c r="F15" s="22" t="str">
        <f t="shared" si="3"/>
        <v/>
      </c>
      <c r="G15" s="22"/>
      <c r="H15" s="22" t="str">
        <f t="shared" si="1"/>
        <v/>
      </c>
      <c r="I15" s="22" t="str">
        <f t="shared" si="2"/>
        <v/>
      </c>
      <c r="J15" s="22"/>
      <c r="K15" s="22"/>
      <c r="L15" s="22"/>
      <c r="M15" s="22"/>
    </row>
    <row r="16" spans="1:13">
      <c r="A16" s="22"/>
      <c r="B16" s="22"/>
      <c r="C16" s="22"/>
      <c r="D16" s="22"/>
      <c r="E16" s="22" t="str">
        <f t="shared" si="0"/>
        <v/>
      </c>
      <c r="F16" s="22" t="str">
        <f t="shared" si="3"/>
        <v/>
      </c>
      <c r="G16" s="22"/>
      <c r="H16" s="22" t="str">
        <f t="shared" si="1"/>
        <v/>
      </c>
      <c r="I16" s="22" t="str">
        <f t="shared" si="2"/>
        <v/>
      </c>
      <c r="J16" s="22"/>
      <c r="K16" s="22"/>
      <c r="L16" s="22"/>
      <c r="M16" s="22"/>
    </row>
    <row r="17" spans="1:13">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70" t="str" cm="1">
        <f t="array" ref="A1">portfolio</f>
        <v>Ecofin</v>
      </c>
      <c r="B1" s="70"/>
      <c r="C1" s="70"/>
      <c r="D1" s="71" t="s">
        <v>111</v>
      </c>
      <c r="E1" s="71"/>
      <c r="F1" s="71"/>
      <c r="G1" s="69" t="s">
        <v>112</v>
      </c>
      <c r="H1" s="69"/>
      <c r="I1" s="69"/>
      <c r="J1" s="5"/>
      <c r="K1" s="5"/>
    </row>
    <row r="2" spans="1:12" ht="19.5" customHeight="1">
      <c r="A2" s="72" t="s">
        <v>2</v>
      </c>
      <c r="B2" s="72"/>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6" si="1">IF(AND(ISNUMBER(C5),ISNUMBER(G5)), C5-G5, "")</f>
        <v/>
      </c>
      <c r="I5" s="20" t="str">
        <f t="shared" ref="I5:I16" si="2">IFERROR(H5/G5, "")</f>
        <v/>
      </c>
      <c r="J5" s="48"/>
      <c r="K5" s="48"/>
    </row>
    <row r="6" spans="1:12" ht="15.6">
      <c r="A6" s="32" t="str">
        <v>Golden NREL 2</v>
      </c>
      <c r="B6" s="29" t="str">
        <v>CO</v>
      </c>
      <c r="C6" s="25"/>
      <c r="D6" s="14"/>
      <c r="E6" s="14" t="str">
        <f t="shared" si="0"/>
        <v/>
      </c>
      <c r="F6" s="15" t="str">
        <f t="shared" ref="F6:F17" si="3">IFERROR(E6/D6, "")</f>
        <v/>
      </c>
      <c r="G6" s="16"/>
      <c r="H6" s="16" t="str">
        <f t="shared" si="1"/>
        <v/>
      </c>
      <c r="I6" s="17" t="str">
        <f t="shared" si="2"/>
        <v/>
      </c>
      <c r="J6" s="50"/>
      <c r="K6" s="50"/>
    </row>
    <row r="7" spans="1:12" ht="15.6">
      <c r="A7" s="30" t="str">
        <v>Golden NREL Wind 3</v>
      </c>
      <c r="B7" s="31" t="str">
        <v>CO</v>
      </c>
      <c r="C7" s="12"/>
      <c r="D7" s="19"/>
      <c r="E7" s="19" t="str">
        <f t="shared" si="0"/>
        <v/>
      </c>
      <c r="F7" s="20" t="str">
        <f t="shared" si="3"/>
        <v/>
      </c>
      <c r="G7" s="21"/>
      <c r="H7" s="21" t="str">
        <f t="shared" si="1"/>
        <v/>
      </c>
      <c r="I7" s="20" t="str">
        <f t="shared" si="2"/>
        <v/>
      </c>
      <c r="J7" s="48"/>
      <c r="K7" s="48"/>
    </row>
    <row r="8" spans="1:12" ht="15.6">
      <c r="A8" s="32" t="str">
        <v>Pratt Solar Farm</v>
      </c>
      <c r="B8" s="29" t="str">
        <v>KS</v>
      </c>
      <c r="C8" s="25"/>
      <c r="D8" s="14"/>
      <c r="E8" s="14" t="str">
        <f t="shared" si="0"/>
        <v/>
      </c>
      <c r="F8" s="15" t="str">
        <f t="shared" si="3"/>
        <v/>
      </c>
      <c r="G8" s="16"/>
      <c r="H8" s="16" t="str">
        <f t="shared" si="1"/>
        <v/>
      </c>
      <c r="I8" s="17" t="str">
        <f t="shared" si="2"/>
        <v/>
      </c>
      <c r="J8" s="50"/>
      <c r="K8" s="50"/>
    </row>
    <row r="9" spans="1:12" ht="100.5" customHeight="1">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2" ht="15.6">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2" ht="15.6">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2" ht="15.6">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2" ht="15.6">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2">
      <c r="A14" s="22"/>
      <c r="B14" s="22"/>
      <c r="C14" s="22"/>
      <c r="D14" s="22"/>
      <c r="E14" s="22" t="str">
        <f t="shared" si="0"/>
        <v/>
      </c>
      <c r="F14" s="22" t="str">
        <f t="shared" si="3"/>
        <v/>
      </c>
      <c r="G14" s="22"/>
      <c r="H14" s="22" t="str">
        <f t="shared" si="1"/>
        <v/>
      </c>
      <c r="I14" s="22" t="str">
        <f t="shared" si="2"/>
        <v/>
      </c>
      <c r="J14" s="22"/>
      <c r="K14" s="22"/>
      <c r="L14" s="22"/>
    </row>
    <row r="15" spans="1:12">
      <c r="A15" s="22"/>
      <c r="B15" s="22"/>
      <c r="C15" s="22"/>
      <c r="D15" s="22"/>
      <c r="E15" s="22" t="str">
        <f t="shared" si="0"/>
        <v/>
      </c>
      <c r="F15" s="22" t="str">
        <f t="shared" si="3"/>
        <v/>
      </c>
      <c r="G15" s="22"/>
      <c r="H15" s="22" t="str">
        <f t="shared" si="1"/>
        <v/>
      </c>
      <c r="I15" s="22" t="str">
        <f t="shared" si="2"/>
        <v/>
      </c>
      <c r="J15" s="22"/>
      <c r="K15" s="22"/>
      <c r="L15" s="22"/>
    </row>
    <row r="16" spans="1:12">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80" zoomScaleNormal="80" workbookViewId="0">
      <pane xSplit="2" ySplit="3" topLeftCell="J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0" t="str" cm="1">
        <f t="array" ref="A1">portfolio</f>
        <v>Ecofin</v>
      </c>
      <c r="B1" s="70"/>
      <c r="C1" s="70"/>
      <c r="D1" s="71" t="s">
        <v>113</v>
      </c>
      <c r="E1" s="71"/>
      <c r="F1" s="71"/>
      <c r="G1" s="69" t="s">
        <v>114</v>
      </c>
      <c r="H1" s="69"/>
      <c r="I1" s="69"/>
      <c r="J1" s="5"/>
      <c r="K1" s="5"/>
    </row>
    <row r="2" spans="1:12" ht="19.5" customHeight="1">
      <c r="A2" s="72" t="s">
        <v>2</v>
      </c>
      <c r="B2" s="72"/>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80.25" customHeight="1">
      <c r="A4" s="51"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2"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2"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2" ht="50.25" customHeight="1">
      <c r="A8" s="51" t="str">
        <v>Pratt Solar Farm</v>
      </c>
      <c r="B8" s="29" t="str">
        <v>KS</v>
      </c>
      <c r="C8" s="25"/>
      <c r="D8" s="14"/>
      <c r="E8" s="14" t="str">
        <f t="shared" si="4"/>
        <v/>
      </c>
      <c r="F8" s="15" t="str">
        <f t="shared" si="3"/>
        <v/>
      </c>
      <c r="G8" s="16"/>
      <c r="H8" s="16" t="str">
        <f t="shared" si="5"/>
        <v/>
      </c>
      <c r="I8" s="17" t="str">
        <f t="shared" si="6"/>
        <v/>
      </c>
      <c r="J8" s="50"/>
      <c r="K8" s="50"/>
    </row>
    <row r="9" spans="1:12" ht="22.5" customHeight="1">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2" ht="15.6">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2" ht="15.6">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2" ht="15.6">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2"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c r="A14" s="30"/>
      <c r="B14" s="30"/>
      <c r="C14" s="30"/>
      <c r="D14" s="30"/>
      <c r="E14" s="30" t="str">
        <f t="shared" si="0"/>
        <v/>
      </c>
      <c r="F14" s="30" t="str">
        <f t="shared" ref="F14:F17" si="7">IFERROR(E14/D14, "")</f>
        <v/>
      </c>
      <c r="G14" s="30"/>
      <c r="H14" s="30" t="str">
        <f t="shared" si="1"/>
        <v/>
      </c>
      <c r="I14" s="30" t="str">
        <f t="shared" si="2"/>
        <v/>
      </c>
      <c r="J14" s="30"/>
      <c r="K14" s="30"/>
      <c r="L14" s="30"/>
    </row>
    <row r="15" spans="1:12" ht="15.6">
      <c r="A15" s="30"/>
      <c r="B15" s="30"/>
      <c r="C15" s="30"/>
      <c r="D15" s="30"/>
      <c r="E15" s="30" t="str">
        <f t="shared" si="0"/>
        <v/>
      </c>
      <c r="F15" s="30" t="str">
        <f t="shared" si="7"/>
        <v/>
      </c>
      <c r="G15" s="30"/>
      <c r="H15" s="30" t="str">
        <f t="shared" si="1"/>
        <v/>
      </c>
      <c r="I15" s="30" t="str">
        <f t="shared" si="2"/>
        <v/>
      </c>
      <c r="J15" s="30"/>
      <c r="K15" s="30"/>
      <c r="L15" s="30"/>
    </row>
    <row r="16" spans="1:12"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0" t="str" cm="1">
        <f t="array" ref="A1">portfolio</f>
        <v>Ecofin</v>
      </c>
      <c r="B1" s="70"/>
      <c r="C1" s="70"/>
      <c r="D1" s="71" t="s">
        <v>115</v>
      </c>
      <c r="E1" s="71"/>
      <c r="F1" s="71"/>
      <c r="G1" s="69" t="s">
        <v>116</v>
      </c>
      <c r="H1" s="69"/>
      <c r="I1" s="69"/>
      <c r="J1" s="5"/>
      <c r="K1" s="5"/>
    </row>
    <row r="2" spans="1:14" ht="19.5" customHeight="1">
      <c r="A2" s="72" t="s">
        <v>2</v>
      </c>
      <c r="B2" s="72"/>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4.75" customHeight="1">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c r="A8" s="32" t="str">
        <v>Pratt Solar Farm</v>
      </c>
      <c r="B8" s="29" t="str">
        <v>KS</v>
      </c>
      <c r="C8" s="25"/>
      <c r="D8" s="14"/>
      <c r="E8" s="14" t="str">
        <f t="shared" si="4"/>
        <v/>
      </c>
      <c r="F8" s="15" t="str">
        <f t="shared" si="3"/>
        <v/>
      </c>
      <c r="G8" s="16"/>
      <c r="H8" s="16" t="str">
        <f t="shared" si="5"/>
        <v/>
      </c>
      <c r="I8" s="17" t="str">
        <f t="shared" si="6"/>
        <v/>
      </c>
      <c r="J8" s="50"/>
      <c r="K8" s="50"/>
    </row>
    <row r="9" spans="1:14" ht="15.6">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E18" sqref="E18"/>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117</v>
      </c>
      <c r="B1" s="43" t="s">
        <v>118</v>
      </c>
    </row>
    <row r="3" spans="1:7" ht="13.15">
      <c r="A3" t="s">
        <v>119</v>
      </c>
      <c r="B3" t="s">
        <v>3</v>
      </c>
      <c r="C3" t="s">
        <v>4</v>
      </c>
      <c r="D3" t="s">
        <v>120</v>
      </c>
      <c r="E3" s="2" t="s">
        <v>121</v>
      </c>
    </row>
    <row r="4" spans="1:7" ht="14.45">
      <c r="A4" s="3" t="s">
        <v>122</v>
      </c>
      <c r="B4" t="s">
        <v>123</v>
      </c>
      <c r="C4" s="4" t="s">
        <v>124</v>
      </c>
      <c r="G4" s="3"/>
    </row>
    <row r="5" spans="1:7" ht="14.45">
      <c r="A5" s="3" t="s">
        <v>125</v>
      </c>
      <c r="B5" t="s">
        <v>126</v>
      </c>
      <c r="C5" s="4" t="s">
        <v>124</v>
      </c>
      <c r="G5" s="3"/>
    </row>
    <row r="6" spans="1:7" ht="14.45">
      <c r="A6" s="43" t="s">
        <v>127</v>
      </c>
      <c r="B6" t="s">
        <v>128</v>
      </c>
      <c r="C6" t="s">
        <v>124</v>
      </c>
      <c r="G6" s="3"/>
    </row>
    <row r="7" spans="1:7" ht="12.75" customHeight="1">
      <c r="A7" s="43" t="s">
        <v>129</v>
      </c>
      <c r="B7" t="s">
        <v>130</v>
      </c>
      <c r="C7" t="s">
        <v>124</v>
      </c>
    </row>
    <row r="8" spans="1:7" ht="12.75" customHeight="1">
      <c r="A8" s="4" t="s">
        <v>131</v>
      </c>
      <c r="B8" s="4" t="s">
        <v>132</v>
      </c>
      <c r="C8" s="4" t="s">
        <v>133</v>
      </c>
    </row>
    <row r="9" spans="1:7" ht="12.75" customHeight="1">
      <c r="A9" s="43" t="s">
        <v>134</v>
      </c>
      <c r="B9" t="s">
        <v>135</v>
      </c>
      <c r="C9" t="s">
        <v>136</v>
      </c>
    </row>
    <row r="10" spans="1:7" ht="12.75" customHeight="1">
      <c r="A10" s="4" t="s">
        <v>137</v>
      </c>
      <c r="B10" s="4" t="s">
        <v>138</v>
      </c>
      <c r="C10" s="4" t="s">
        <v>139</v>
      </c>
      <c r="D10" t="s">
        <v>140</v>
      </c>
    </row>
    <row r="11" spans="1:7" ht="12.75" customHeight="1">
      <c r="A11" s="4" t="s">
        <v>141</v>
      </c>
      <c r="B11" s="4" t="s">
        <v>142</v>
      </c>
      <c r="C11" s="4" t="s">
        <v>139</v>
      </c>
      <c r="D11" t="s">
        <v>140</v>
      </c>
    </row>
    <row r="12" spans="1:7" ht="12.75" customHeight="1">
      <c r="A12" s="4" t="s">
        <v>143</v>
      </c>
      <c r="B12" s="4" t="s">
        <v>144</v>
      </c>
      <c r="C12" s="4" t="s">
        <v>139</v>
      </c>
    </row>
    <row r="13" spans="1:7" ht="12.75" customHeight="1">
      <c r="A13" s="4" t="s">
        <v>145</v>
      </c>
      <c r="B13" s="4" t="s">
        <v>146</v>
      </c>
      <c r="C13" s="4" t="s">
        <v>139</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D3A7101F-9A85-4235-8B03-415370C100B2}"/>
</file>

<file path=customXml/itemProps5.xml><?xml version="1.0" encoding="utf-8"?>
<ds:datastoreItem xmlns:ds="http://schemas.openxmlformats.org/officeDocument/2006/customXml" ds:itemID="{E20E8303-6A67-485C-B6F4-303542CC295C}"/>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2BC74AAC-D69B-4AF1-9649-B21EF3C1C463}"/>
</file>

<file path=customXml/itemProps10.xml><?xml version="1.0" encoding="utf-8"?>
<ds:datastoreItem xmlns:ds="http://schemas.openxmlformats.org/officeDocument/2006/customXml" ds:itemID="{BF5C6359-7763-4C37-8EAF-2BC4698CB285}"/>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F12EFA50-0068-4A8C-85A0-F1B26389EBC3}"/>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374E1CB2-F578-4F19-BE69-833FB2C5F2FE}"/>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1954BBA4-0359-438C-B0EC-A756015F7C02}"/>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Anusha Vempati</cp:lastModifiedBy>
  <cp:revision/>
  <dcterms:created xsi:type="dcterms:W3CDTF">2021-01-01T16:39:53Z</dcterms:created>
  <dcterms:modified xsi:type="dcterms:W3CDTF">2025-06-25T19:47:22Z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