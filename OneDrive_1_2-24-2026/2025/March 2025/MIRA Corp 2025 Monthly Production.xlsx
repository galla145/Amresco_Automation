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00E001B-AE42-40EA-90C6-456C9AF7F995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2" i="29" s="1"/>
  <c r="G4" i="18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2" i="30" l="1"/>
  <c r="G4" i="34"/>
  <c r="E4" i="30"/>
  <c r="F4" i="30" s="1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<sst xmlns="http://schemas.openxmlformats.org/spreadsheetml/2006/main" count="245" uniqueCount="59">
  <si>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</si>
  <si>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</si>
  <si>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</si>
  <si>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</si>
  <si>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</si>
  <si>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</si>
  <si>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</si>
  <si>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</si>
  <si>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</si>
  <si>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</si>
  <si>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</si>
  <si>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</si>
  <si>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</si>
  <si>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</si>
  <si>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</si>
  <si>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</si>
  <si>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</si>
  <si>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</si>
  <si>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</si>
  <si>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</si>
  <si>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</si>
  <si>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</si>
  <si>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1.The site went offline at 14:30 on 01/18 due to a utility outage and was restored at 09:15 on 01/19 after utility power was restored.
2.Site production low due to snow /weather</t>
  </si>
  <si>
    <t>1.SR095700</t>
  </si>
  <si>
    <t>February Actual v. Expected</t>
  </si>
  <si>
    <t>February Actual v. Forecasted</t>
  </si>
  <si>
    <t>1.The site went offline at 01:15 on 02/24 due to a utility outage and was restored at 12:30 on 02/26; it went offline again at 11:15 on 02/27 as Eversource took the solar offline due to a distribution line issue and was brought back online at 12:15 on 02/28 after the technician closed all three medium voltage line cutouts.</t>
  </si>
  <si>
    <t>1.SR097691, SR097895</t>
  </si>
  <si>
    <t>SR097895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</si>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</sst>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vertical="top" wrapText="1"/>
    </xf>
    <xf numFmtId="0" fontId="35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895" TargetMode="External"/><Relationship Id="rId1" Type="http://schemas.openxmlformats.org/officeDocument/2006/relationships/hyperlink" Target="https://us3.assetplanner.com/service_request?ID=09769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E11" sqref="E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5">
        <f>SUM(C4:C71)</f>
        <v>292897</v>
      </c>
      <c r="D2" s="5">
        <f>SUM(D4:D71)</f>
        <v>354994.71600000001</v>
      </c>
      <c r="E2" s="5">
        <f>C2-D2</f>
        <v>-62097.716000000015</v>
      </c>
      <c r="F2" s="6">
        <f>IFERROR(E2/D2, 0)</f>
        <v>-0.1749257473454901</v>
      </c>
      <c r="G2" s="5">
        <f>SUM(G4:G71)</f>
        <v>213718.908</v>
      </c>
      <c r="H2" s="7">
        <f>C2-G2</f>
        <v>79178.092000000004</v>
      </c>
      <c r="I2" s="6">
        <f>IFERROR(H2/G2, 0)</f>
        <v>0.37047771178018563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292897</v>
      </c>
      <c r="D4" s="11">
        <f>SUM('1st Qtr'!D4, '2nd Qtr'!D4, '3rd Qtr'!D4, '4th Qtr'!D4)</f>
        <v>354994.71600000001</v>
      </c>
      <c r="E4" s="11">
        <f>IF(AND(ISNUMBER(C4),ISNUMBER(D4)), C4-D4, "")</f>
        <v>-62097.716000000015</v>
      </c>
      <c r="F4" s="12">
        <f>IFERROR(E4/D4, "")</f>
        <v>-0.1749257473454901</v>
      </c>
      <c r="G4" s="13">
        <f>SUM('1st Qtr'!G4, '2nd Qtr'!G4, '3rd Qtr'!G4, '4th Qtr'!G4)</f>
        <v>213718.908</v>
      </c>
      <c r="H4" s="13">
        <f>SUM('1st Qtr'!H4, '2nd Qtr'!H4, '3rd Qtr'!H4, '4th Qtr'!H4)</f>
        <v>79178.092000000004</v>
      </c>
      <c r="I4" s="14">
        <f>IFERROR(H4/G4, "")</f>
        <v>0.37047771178018563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5">
        <f>SUM(C4:C71)</f>
        <v>292897</v>
      </c>
      <c r="D2" s="5">
        <f>SUM(D4:D71)</f>
        <v>354994.71600000001</v>
      </c>
      <c r="E2" s="5">
        <f>C2-D2</f>
        <v>-62097.716000000015</v>
      </c>
      <c r="F2" s="6">
        <f>IFERROR(E2/D2, 0)</f>
        <v>-0.1749257473454901</v>
      </c>
      <c r="G2" s="5">
        <f>SUM(G4:G71)</f>
        <v>213718.908</v>
      </c>
      <c r="H2" s="7">
        <f>C2-G2</f>
        <v>79178.092000000004</v>
      </c>
      <c r="I2" s="6">
        <f>IFERROR(H2/G2, 0)</f>
        <v>0.37047771178018563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292897</v>
      </c>
      <c r="D4" s="11">
        <f>SUM(Jan!D4, Feb!D4, Mar!D4)</f>
        <v>354994.71600000001</v>
      </c>
      <c r="E4" s="11">
        <f>IF(AND(ISNUMBER(C4),ISNUMBER(D4)), C4-D4, "")</f>
        <v>-62097.716000000015</v>
      </c>
      <c r="F4" s="12">
        <f>IFERROR(E4/D4, "")</f>
        <v>-0.1749257473454901</v>
      </c>
      <c r="G4" s="13">
        <f>SUM(Jan!G4, Feb!G4, Mar!G4)</f>
        <v>213718.908</v>
      </c>
      <c r="H4" s="13">
        <f>SUM(Jan!H4, Feb!H4, Mar!H4)</f>
        <v>79178.092000000004</v>
      </c>
      <c r="I4" s="14">
        <f>IFERROR(H4/G4, "")</f>
        <v>0.37047771178018563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G15" activePane="bottomRight" state="frozen"/>
      <selection pane="bottomRight" activeCell="G15" sqref="G1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workbookViewId="0">
      <pane xSplit="2" ySplit="3" topLeftCell="C4" activePane="bottomRight" state="frozen"/>
      <selection pane="bottomRight" activeCell="G10" sqref="G10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bottomRight" activeCell="G10" sqref="F10:G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Mira corp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zoomScale="90" zoomScaleNormal="90" workbookViewId="0">
      <pane xSplit="2" ySplit="3" topLeftCell="C4" activePane="bottomRight" state="frozen"/>
      <selection pane="bottomRight" activeCell="G28" sqref="G2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SUM(C4:C70)</f>
        <v>90505</v>
      </c>
      <c r="D2" s="5">
        <f>SUM(D4:D70)</f>
        <v>117865.95</v>
      </c>
      <c r="E2" s="5">
        <f>C2-D2</f>
        <v>-27360.949999999997</v>
      </c>
      <c r="F2" s="6">
        <f>IFERROR(E2/D2, 0)</f>
        <v>-0.23213616824876054</v>
      </c>
      <c r="G2" s="5">
        <f>SUM(G4:G70)</f>
        <v>52040.245999999999</v>
      </c>
      <c r="H2" s="7">
        <f>C2-G2</f>
        <v>38464.754000000001</v>
      </c>
      <c r="I2" s="6">
        <f>IFERROR(H2/G2, 0)</f>
        <v>0.73913474582729688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38" t="str" cm="1">
        <f t="array" ref="A4">Sites[Site]</f>
        <v>CT: Hartford Landfill - MIRA</v>
      </c>
      <c r="B4" s="22" t="str" cm="1">
        <f t="array" ref="B4">Sites[State]</f>
        <v>CT</v>
      </c>
      <c r="C4" s="18">
        <v>90505</v>
      </c>
      <c r="D4" s="11">
        <v>117865.95</v>
      </c>
      <c r="E4" s="11">
        <f>IF(AND(ISNUMBER(C4),ISNUMBER(D4)), C4-D4, "")</f>
        <v>-27360.949999999997</v>
      </c>
      <c r="F4" s="12">
        <f>IFERROR(E4/D4, "")</f>
        <v>-0.23213616824876054</v>
      </c>
      <c r="G4" s="13">
        <v>52040.245999999999</v>
      </c>
      <c r="H4" s="13">
        <f>IF(AND(ISNUMBER(C4),ISNUMBER(G4)), C4-G4, "")</f>
        <v>38464.754000000001</v>
      </c>
      <c r="I4" s="14">
        <f>IFERROR(H4/G4, "")</f>
        <v>0.73913474582729688</v>
      </c>
      <c r="J4" s="32" t="s">
        <v>22</v>
      </c>
      <c r="K4" s="32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0 I4:I7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13"/>
  <sheetViews>
    <sheetView workbookViewId="0">
      <pane xSplit="2" ySplit="3" topLeftCell="E4" activePane="bottomRight" state="frozen"/>
      <selection pane="bottomRight" activeCell="I11" sqref="I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3" t="str" cm="1">
        <f t="array" ref="A1">portfolio</f>
        <v>Mira corp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4"/>
      <c r="K1" s="4"/>
    </row>
    <row r="2" spans="1:12" ht="19.5" customHeight="1">
      <c r="A2" s="45" t="s">
        <v>2</v>
      </c>
      <c r="B2" s="45"/>
      <c r="C2" s="5">
        <f>SUM(C4:C71)</f>
        <v>62302</v>
      </c>
      <c r="D2" s="5">
        <f>SUM(D4:D71)</f>
        <v>98706.619000000006</v>
      </c>
      <c r="E2" s="5">
        <f>C2-D2</f>
        <v>-36404.619000000006</v>
      </c>
      <c r="F2" s="6">
        <f>IFERROR(E2/D2, 0)</f>
        <v>-0.36881639112773179</v>
      </c>
      <c r="G2" s="5">
        <f>SUM(G4:G71)</f>
        <v>65916</v>
      </c>
      <c r="H2" s="7">
        <f>C2-G2</f>
        <v>-3614</v>
      </c>
      <c r="I2" s="6">
        <f>IFERROR(H2/G2, 0)</f>
        <v>-5.4827356028885249E-2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57.6">
      <c r="A4" s="38" t="str" cm="1">
        <f t="array" ref="A4">Sites[Site]</f>
        <v>CT: Hartford Landfill - MIRA</v>
      </c>
      <c r="B4" s="22" t="str" cm="1">
        <f t="array" ref="B4">Sites[State]</f>
        <v>CT</v>
      </c>
      <c r="C4" s="18">
        <v>62302</v>
      </c>
      <c r="D4" s="11">
        <v>98706.619000000006</v>
      </c>
      <c r="E4" s="11">
        <f>IF(AND(ISNUMBER(C4),ISNUMBER(D4)), C4-D4, "")</f>
        <v>-36404.619000000006</v>
      </c>
      <c r="F4" s="12">
        <f>IFERROR(E4/D4, "")</f>
        <v>-0.36881639112773179</v>
      </c>
      <c r="G4" s="13">
        <v>65916</v>
      </c>
      <c r="H4" s="13">
        <f>IF(AND(ISNUMBER(C4),ISNUMBER(G4)), C4-G4, "")</f>
        <v>-3614</v>
      </c>
      <c r="I4" s="14">
        <f>IFERROR(H4/G4, "")</f>
        <v>-5.4827356028885249E-2</v>
      </c>
      <c r="J4" s="32" t="s">
        <v>26</v>
      </c>
      <c r="K4" s="40" t="s">
        <v>27</v>
      </c>
      <c r="L4" s="41" t="s">
        <v>28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691" xr:uid="{E4FE320D-3F01-48FC-B093-E0FEA12544E6}"/>
    <hyperlink ref="L4" r:id="rId2" display="https://us3.assetplanner.com/service_request?ID=097895" xr:uid="{7F71739F-32B0-46FA-9B78-5AB186B25657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tabSelected="1" workbookViewId="0">
      <pane xSplit="2" ySplit="3" topLeftCell="E4" activePane="bottomRight" state="frozen"/>
      <selection pane="bottomRight" activeCell="J10" sqref="J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140090</v>
      </c>
      <c r="D2" s="5">
        <f>SUM(D4:D71)</f>
        <v>138422.147</v>
      </c>
      <c r="E2" s="5">
        <f>C2-D2</f>
        <v>1667.8530000000028</v>
      </c>
      <c r="F2" s="6">
        <f>IFERROR(E2/D2, 0)</f>
        <v>1.2049032876220327E-2</v>
      </c>
      <c r="G2" s="5">
        <f>SUM(G4:G71)</f>
        <v>95762.661999999997</v>
      </c>
      <c r="H2" s="7">
        <f>C2-G2</f>
        <v>44327.338000000003</v>
      </c>
      <c r="I2" s="6">
        <f>IFERROR(H2/G2, 0)</f>
        <v>0.46288748740088287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140090</v>
      </c>
      <c r="D4" s="11">
        <v>138422.147</v>
      </c>
      <c r="E4" s="11">
        <f>IF(AND(ISNUMBER(C4),ISNUMBER(D4)), C4-D4, "")</f>
        <v>1667.8530000000028</v>
      </c>
      <c r="F4" s="12">
        <f>IFERROR(E4/D4, "")</f>
        <v>1.2049032876220327E-2</v>
      </c>
      <c r="G4" s="13">
        <v>95762.661999999997</v>
      </c>
      <c r="H4" s="13">
        <f>IF(AND(ISNUMBER(C4),ISNUMBER(G4)), C4-G4, "")</f>
        <v>44327.338000000003</v>
      </c>
      <c r="I4" s="14">
        <f>IFERROR(H4/G4, "")</f>
        <v>0.46288748740088287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workbookViewId="0">
      <pane xSplit="2" ySplit="3" topLeftCell="C4" activePane="bottomRight" state="frozen"/>
      <selection pane="bottomRight" activeCell="G11" sqref="G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31</v>
      </c>
      <c r="E1" s="44"/>
      <c r="F1" s="44"/>
      <c r="G1" s="42" t="s">
        <v>32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workbookViewId="0">
      <pane xSplit="2" ySplit="3" topLeftCell="C4" activePane="bottomRight" state="frozen"/>
      <selection pane="bottomRight" activeCell="G10" sqref="G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33</v>
      </c>
      <c r="E1" s="44"/>
      <c r="F1" s="44"/>
      <c r="G1" s="42" t="s">
        <v>34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workbookViewId="0">
      <pane xSplit="2" ySplit="3" topLeftCell="C4" activePane="bottomRight" state="frozen"/>
      <selection pane="bottomRight" activeCell="J4" sqref="J4:K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C4" activePane="bottomRight" state="frozen"/>
      <selection pane="bottomRight" activeCell="G15" sqref="G15:G16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37</v>
      </c>
      <c r="E1" s="44"/>
      <c r="F1" s="44"/>
      <c r="G1" s="42" t="s">
        <v>38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C4" activePane="bottomRight" state="frozen"/>
      <selection pane="bottomRight" activeCell="G8" sqref="G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39</v>
      </c>
      <c r="E1" s="44"/>
      <c r="F1" s="44"/>
      <c r="G1" s="42" t="s">
        <v>40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6.75" customHeight="1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C4" activePane="bottomRight" state="frozen"/>
      <selection pane="bottomRight" activeCell="G8" sqref="G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41</v>
      </c>
      <c r="E1" s="44"/>
      <c r="F1" s="44"/>
      <c r="G1" s="42" t="s">
        <v>42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7.25" customHeight="1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bottomRight" activeCell="G10" sqref="G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43</v>
      </c>
      <c r="E1" s="44"/>
      <c r="F1" s="44"/>
      <c r="G1" s="42" t="s">
        <v>44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bottomRight" activeCell="G7" sqref="G7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45</v>
      </c>
      <c r="E1" s="44"/>
      <c r="F1" s="44"/>
      <c r="G1" s="42" t="s">
        <v>46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workbookViewId="0">
      <pane xSplit="2" ySplit="3" topLeftCell="C4" activePane="bottomRight" state="frozen"/>
      <selection pane="bottomRight" activeCell="J11" sqref="J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Mira corp</v>
      </c>
      <c r="B1" s="43"/>
      <c r="C1" s="43"/>
      <c r="D1" s="44" t="s">
        <v>47</v>
      </c>
      <c r="E1" s="44"/>
      <c r="F1" s="44"/>
      <c r="G1" s="42" t="s">
        <v>48</v>
      </c>
      <c r="H1" s="42"/>
      <c r="I1" s="42"/>
      <c r="J1" s="4"/>
      <c r="K1" s="4"/>
    </row>
    <row r="2" spans="1:11" ht="19.5" customHeight="1">
      <c r="A2" s="45" t="s">
        <v>2</v>
      </c>
      <c r="B2" s="45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37" t="s">
        <v>54</v>
      </c>
      <c r="B4" t="s">
        <v>55</v>
      </c>
      <c r="C4" s="35" t="s">
        <v>56</v>
      </c>
      <c r="D4" s="34" t="s">
        <v>57</v>
      </c>
      <c r="E4" t="s">
        <v>58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3"/>
      <c r="L10" s="33"/>
    </row>
    <row r="11" spans="1:12" ht="12.75" customHeight="1">
      <c r="A11" s="37"/>
      <c r="C11" s="35"/>
      <c r="D11" s="34"/>
      <c r="K11" s="33"/>
      <c r="L11" s="33"/>
    </row>
    <row r="12" spans="1:12" ht="12.75" customHeight="1">
      <c r="A12" s="37"/>
      <c r="C12" s="35"/>
      <c r="D12" s="34"/>
      <c r="K12" s="33"/>
      <c r="L12" s="33"/>
    </row>
    <row r="13" spans="1:12" ht="12.75" customHeight="1">
      <c r="A13" s="37"/>
      <c r="C13" s="35"/>
      <c r="D13" s="34"/>
      <c r="K13" s="33"/>
      <c r="L13" s="33"/>
    </row>
    <row r="14" spans="1:12" ht="12.75" customHeight="1">
      <c r="A14" s="37"/>
      <c r="C14" s="35"/>
      <c r="D14" s="34"/>
      <c r="K14" s="33"/>
      <c r="L14" s="33"/>
    </row>
    <row r="15" spans="1:12" ht="12.75" customHeight="1">
      <c r="A15" s="37"/>
      <c r="C15" s="35"/>
      <c r="D15" s="34"/>
      <c r="K15" s="33"/>
      <c r="L15" s="33"/>
    </row>
    <row r="16" spans="1:12" ht="12.75" customHeight="1">
      <c r="A16" s="37"/>
      <c r="C16" s="35"/>
      <c r="D16" s="34"/>
      <c r="K16" s="33"/>
      <c r="L16" s="33"/>
    </row>
    <row r="17" spans="1:12" ht="12.75" customHeight="1">
      <c r="A17" s="37"/>
      <c r="C17" s="35"/>
      <c r="D17" s="34"/>
      <c r="K17" s="33"/>
      <c r="L17" s="33"/>
    </row>
    <row r="18" spans="1:12" ht="12.75" customHeight="1">
      <c r="A18" s="37"/>
      <c r="C18" s="35"/>
      <c r="D18" s="34"/>
      <c r="K18" s="33"/>
      <c r="L18" s="33"/>
    </row>
    <row r="19" spans="1:12" ht="12.75" customHeight="1">
      <c r="A19" s="37"/>
      <c r="C19" s="35"/>
      <c r="D19" s="34"/>
      <c r="K19" s="33"/>
      <c r="L19" s="33"/>
    </row>
    <row r="20" spans="1:12" ht="12.75" customHeight="1">
      <c r="A20" s="37"/>
      <c r="C20" s="35"/>
      <c r="D20" s="34"/>
      <c r="K20" s="33"/>
      <c r="L20" s="33"/>
    </row>
    <row r="21" spans="1:12" ht="12.75" customHeight="1">
      <c r="A21" s="37"/>
      <c r="C21" s="35"/>
      <c r="D21" s="34"/>
      <c r="K21" s="33"/>
      <c r="L21" s="33"/>
    </row>
    <row r="22" spans="1:12" ht="12.75" customHeight="1">
      <c r="A22" s="37"/>
      <c r="C22" s="35"/>
      <c r="D22" s="34"/>
      <c r="K22" s="33"/>
      <c r="L22" s="33"/>
    </row>
    <row r="23" spans="1:12" ht="12.75" customHeight="1">
      <c r="A23" s="37"/>
      <c r="C23" s="35"/>
      <c r="D23" s="34"/>
      <c r="K23" s="33"/>
      <c r="L23" s="33"/>
    </row>
    <row r="24" spans="1:12" ht="12.75" customHeight="1">
      <c r="A24" s="37"/>
      <c r="C24" s="35"/>
      <c r="D24" s="34"/>
      <c r="K24" s="33"/>
      <c r="L24" s="33"/>
    </row>
    <row r="25" spans="1:12" ht="12.75" customHeight="1">
      <c r="A25" s="37"/>
      <c r="C25" s="35"/>
      <c r="D25" s="34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078388C9-06F9-42F4-B857-EF76B5CAF1FD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DB5EEE9F-6D32-4151-8304-6544657DC9CD}"/>
</file>

<file path=customXml/itemProps20.xml><?xml version="1.0" encoding="utf-8"?>
<ds:datastoreItem xmlns:ds="http://schemas.openxmlformats.org/officeDocument/2006/customXml" ds:itemID="{89CF5C07-45EB-4100-9AFB-2C6AF77FA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2025-06-25T20:00:09Z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