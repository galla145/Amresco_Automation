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5" documentId="13_ncr:1_{C08804A1-FB84-4F92-90A5-B97772552285}" xr6:coauthVersionLast="47" xr6:coauthVersionMax="47" xr10:uidLastSave="{49193BAE-0B99-4B8A-8DC7-BF1C48A184F7}"/>
  <bookViews>
    <workbookView xWindow="-108" yWindow="-108" windowWidth="23256" windowHeight="1389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G4" i="30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<sst xmlns="http://schemas.openxmlformats.org/spreadsheetml/2006/main" count="246" uniqueCount="58">
  <si>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</si>
  <si>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</si>
  <si>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</si>
  <si>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</si>
  <si>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</si>
  <si>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</si>
  <si>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</si>
  <si>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</si>
  <si>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</si>
  <si>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</si>
  <si>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</si>
  <si>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</si>
  <si>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</si>
  <si>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</si>
  <si>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</si>
  <si>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</si>
  <si>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</si>
  <si>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</si>
  <si>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</si>
  <si>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</si>
  <si>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</si>
  <si>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</si>
  <si>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</si>
  <si>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not started for production on 01/20, 01/21, 01/22 and low production 01/23, 01/24, 01/25 01/26 due to snow event.</t>
  </si>
  <si>
    <t>February Actual v. Expected</t>
  </si>
  <si>
    <t>February Actual v. Forecasted</t>
  </si>
  <si>
    <t>1. Site was not started for production on 02/09, 02/10, 02/11, 02/12, 02/13, 02/16 due to heavy snow.</t>
  </si>
  <si>
    <t>March Actual v. Expected</t>
  </si>
  <si>
    <t>March Actual v. Forecasted</t>
  </si>
  <si>
    <t>1.Low genaration on 03/05,03/17,03/24 due to rain.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</si>
  <si>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</si>
  <si>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</si>
  <si>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</si>
  <si>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</si>
  <si>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</si>
  <si>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</si>
  <si>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</si>
  <si>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</si>
  <si>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</si>
  <si>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</si>
  <si>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</si>
  <si>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</si>
  <si>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</si>
  <si>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</si>
  <si>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</si>
  <si>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</si>
  <si>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</si>
  <si>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</si>
  <si>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</si>
  <si>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New England Propeller</t>
  </si>
  <si>
    <t>Site DAS Name</t>
  </si>
  <si>
    <t>Update</t>
  </si>
  <si>
    <t>DAS</t>
  </si>
  <si>
    <t>New England Propeller Services</t>
  </si>
  <si>
    <t>CT: East Haddam - New England Propeller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</si>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</sst>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SUM(C4:C58)</f>
        <v>21602.75</v>
      </c>
      <c r="D2" s="5">
        <f>SUM(D4:D58)</f>
        <v>0</v>
      </c>
      <c r="E2" s="5">
        <f>C2-D2</f>
        <v>21602.75</v>
      </c>
      <c r="F2" s="6">
        <f>IFERROR(E2/D2, 0)</f>
        <v>0</v>
      </c>
      <c r="G2" s="5">
        <f>SUM(G4:G58)</f>
        <v>27183.436000000002</v>
      </c>
      <c r="H2" s="7">
        <f>C2-G2</f>
        <v>-5580.6860000000015</v>
      </c>
      <c r="I2" s="6">
        <f>IFERROR(H2/G2, 0)</f>
        <v>-0.20529729942896113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SUM('1st Qtr'!C4, '2nd Qtr'!C4, '3rd Qtr'!C4, '4th Qtr'!C4)</f>
        <v>21602.75</v>
      </c>
      <c r="D4" s="11">
        <f>SUM('1st Qtr'!D4, '2nd Qtr'!D4, '3rd Qtr'!D4, '4th Qtr'!D4)</f>
        <v>0</v>
      </c>
      <c r="E4" s="11">
        <f>IF(AND(ISNUMBER(C4),ISNUMBER(D4)), C4-D4, "")</f>
        <v>21602.75</v>
      </c>
      <c r="F4" s="12" t="str">
        <f>IFERROR(E4/D4, "")</f>
        <v/>
      </c>
      <c r="G4" s="13">
        <f>SUM('1st Qtr'!G4, '2nd Qtr'!G4, '3rd Qtr'!G4, '4th Qtr'!G4)</f>
        <v>27183.436000000002</v>
      </c>
      <c r="H4" s="13">
        <f>SUM('1st Qtr'!H4, '2nd Qtr'!H4, '3rd Qtr'!H4, '4th Qtr'!H4)</f>
        <v>-5580.6860000000006</v>
      </c>
      <c r="I4" s="14">
        <f>IFERROR(H4/G4, "")</f>
        <v>-0.20529729942896108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8 I4:I5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0"/>
  <sheetViews>
    <sheetView workbookViewId="0">
      <pane xSplit="2" ySplit="3" topLeftCell="C4" activePane="bottomRight" state="frozen"/>
      <selection pane="bottomRight" activeCell="E19" sqref="E19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SUM(C4:C58)</f>
        <v>21602.75</v>
      </c>
      <c r="D2" s="5">
        <f>SUM(D4:D58)</f>
        <v>0</v>
      </c>
      <c r="E2" s="5">
        <f>C2-D2</f>
        <v>21602.75</v>
      </c>
      <c r="F2" s="6">
        <f>IFERROR(E2/D2, 0)</f>
        <v>0</v>
      </c>
      <c r="G2" s="5">
        <f>SUM(G4:G58)</f>
        <v>27183.436000000002</v>
      </c>
      <c r="H2" s="7">
        <f>C2-G2</f>
        <v>-5580.6860000000015</v>
      </c>
      <c r="I2" s="6">
        <f>IFERROR(H2/G2, 0)</f>
        <v>-0.20529729942896113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SUM(Jan!C4, Feb!C4, Mar!C4)</f>
        <v>21602.75</v>
      </c>
      <c r="D4" s="11">
        <f>SUM(Jan!D4, Feb!D4, Mar!D4)</f>
        <v>0</v>
      </c>
      <c r="E4" s="11">
        <f>IF(AND(ISNUMBER(C4),ISNUMBER(D4)), C4-D4, "")</f>
        <v>21602.75</v>
      </c>
      <c r="F4" s="12" t="str">
        <f>IFERROR(E4/D4, "")</f>
        <v/>
      </c>
      <c r="G4" s="13">
        <f>SUM(Jan!G4, Feb!G4, Mar!G4)</f>
        <v>27183.436000000002</v>
      </c>
      <c r="H4" s="13">
        <f>SUM(Jan!H4, Feb!H4, Mar!H4)</f>
        <v>-5580.6860000000006</v>
      </c>
      <c r="I4" s="14">
        <f>IFERROR(H4/G4, "")</f>
        <v>-0.20529729942896108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8 I4:I5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9"/>
  <sheetViews>
    <sheetView workbookViewId="0">
      <pane xSplit="2" ySplit="3" topLeftCell="C4" activePane="bottomRight" state="frozen"/>
      <selection pane="bottomRight" activeCell="G13" sqref="G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SUM(C4:C57)</f>
        <v>4554.75</v>
      </c>
      <c r="D2" s="5">
        <f>SUM(D4:D57)</f>
        <v>0</v>
      </c>
      <c r="E2" s="5">
        <f>C2-D2</f>
        <v>4554.75</v>
      </c>
      <c r="F2" s="6">
        <f>IFERROR(E2/D2, 0)</f>
        <v>0</v>
      </c>
      <c r="G2" s="5">
        <f>SUM(G4:G57)</f>
        <v>6298.7</v>
      </c>
      <c r="H2" s="7">
        <f>C2-G2</f>
        <v>-1743.9499999999998</v>
      </c>
      <c r="I2" s="6">
        <f>IFERROR(H2/G2, 0)</f>
        <v>-0.27687459317001917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1">
        <v>4554.75</v>
      </c>
      <c r="D4" s="11" t="s">
        <v>22</v>
      </c>
      <c r="E4" s="11" t="str">
        <f>IF(AND(ISNUMBER(C4),ISNUMBER(D4)), C4-D4, "")</f>
        <v/>
      </c>
      <c r="F4" s="34" t="str">
        <f>IFERROR(E4/D4, "")</f>
        <v/>
      </c>
      <c r="G4" s="40">
        <v>6298.7</v>
      </c>
      <c r="H4" s="13">
        <f>IF(AND(ISNUMBER(C4),ISNUMBER(G4)), C4-G4, "")</f>
        <v>-1743.9499999999998</v>
      </c>
      <c r="I4" s="14">
        <f>IFERROR(H4/G4, "")</f>
        <v>-0.27687459317001917</v>
      </c>
      <c r="J4" s="32" t="s">
        <v>23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</sheetData>
  <mergeCells count="4">
    <mergeCell ref="D1:F1"/>
    <mergeCell ref="A1:C1"/>
    <mergeCell ref="G1:I1"/>
    <mergeCell ref="A2:B2"/>
  </mergeCells>
  <conditionalFormatting sqref="F2 I2 I4:I57 F5:F5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0"/>
  <sheetViews>
    <sheetView tabSelected="1" workbookViewId="0">
      <pane xSplit="2" ySplit="3" topLeftCell="C4" activePane="bottomRight" state="frozen"/>
      <selection pane="bottomRight" activeCell="H16" sqref="H16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6076</v>
      </c>
      <c r="D2" s="5">
        <f>SUM(D4:D58)</f>
        <v>0</v>
      </c>
      <c r="E2" s="5">
        <f>C2-D2</f>
        <v>6076</v>
      </c>
      <c r="F2" s="6">
        <f>IFERROR(E2/D2, 0)</f>
        <v>0</v>
      </c>
      <c r="G2" s="5">
        <f>SUM(G4:G58)</f>
        <v>8170.6</v>
      </c>
      <c r="H2" s="7">
        <f>C2-G2</f>
        <v>-2094.6000000000004</v>
      </c>
      <c r="I2" s="6">
        <f>IFERROR(H2/G2, 0)</f>
        <v>-0.25635816219127117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6076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8170.6</v>
      </c>
      <c r="H4" s="13">
        <f>IF(AND(ISNUMBER(C4),ISNUMBER(G4)), C4-G4, "")</f>
        <v>-2094.6000000000004</v>
      </c>
      <c r="I4" s="14">
        <f>IFERROR(H4/G4, "")</f>
        <v>-0.25635816219127117</v>
      </c>
      <c r="J4" s="32" t="s">
        <v>26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0"/>
  <sheetViews>
    <sheetView workbookViewId="0">
      <pane xSplit="2" ySplit="3" topLeftCell="C4" activePane="bottomRight" state="frozen"/>
      <selection pane="bottomRight" activeCell="I13" sqref="I13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27</v>
      </c>
      <c r="E1" s="43"/>
      <c r="F1" s="43"/>
      <c r="G1" s="41" t="s">
        <v>28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10972</v>
      </c>
      <c r="D2" s="5">
        <f>SUM(D4:D58)</f>
        <v>0</v>
      </c>
      <c r="E2" s="5">
        <f>C2-D2</f>
        <v>10972</v>
      </c>
      <c r="F2" s="6">
        <f>IFERROR(E2/D2, 0)</f>
        <v>0</v>
      </c>
      <c r="G2" s="5">
        <f>SUM(G4:G58)</f>
        <v>12714.136</v>
      </c>
      <c r="H2" s="7">
        <f>C2-G2</f>
        <v>-1742.1360000000004</v>
      </c>
      <c r="I2" s="6">
        <f>IFERROR(H2/G2, 0)</f>
        <v>-0.13702354607501449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10972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12714.136</v>
      </c>
      <c r="H4" s="13">
        <f>IF(AND(ISNUMBER(C4),ISNUMBER(G4)), C4-G4, "")</f>
        <v>-1742.1360000000004</v>
      </c>
      <c r="I4" s="14">
        <f>IFERROR(H4/G4, "")</f>
        <v>-0.13702354607501449</v>
      </c>
      <c r="J4" s="32" t="s">
        <v>29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0"/>
  <sheetViews>
    <sheetView workbookViewId="0">
      <pane xSplit="2" ySplit="3" topLeftCell="E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40</v>
      </c>
      <c r="E1" s="43"/>
      <c r="F1" s="43"/>
      <c r="G1" s="41" t="s">
        <v>41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44</v>
      </c>
      <c r="E1" s="43"/>
      <c r="F1" s="43"/>
      <c r="G1" s="41" t="s">
        <v>45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46</v>
      </c>
      <c r="E1" s="43"/>
      <c r="F1" s="43"/>
      <c r="G1" s="41" t="s">
        <v>47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38" t="s">
        <v>53</v>
      </c>
      <c r="B4" t="s">
        <v>54</v>
      </c>
      <c r="C4" s="36" t="s">
        <v>55</v>
      </c>
      <c r="D4" s="35" t="s">
        <v>56</v>
      </c>
      <c r="E4" t="s">
        <v>57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257C87E9-83A2-47CA-AD34-C8049C75DAB7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