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9471EF3F-2CF3-42A9-899C-9F34E916B858}" xr6:coauthVersionLast="47" xr6:coauthVersionMax="47" xr10:uidLastSave="{94679E39-388F-4C21-85C8-3C94D315F0D8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3" l="1"/>
  <c r="G5" i="30"/>
  <c r="G6" i="30"/>
  <c r="G4" i="30"/>
  <c r="G4" i="29"/>
  <c r="G5" i="29"/>
  <c r="G6" i="29"/>
  <c r="C6" i="29"/>
  <c r="G5" i="18"/>
  <c r="G6" i="18"/>
  <c r="G4" i="18"/>
  <c r="E4" i="19"/>
  <c r="E6" i="72" l="1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D4" i="30"/>
  <c r="C4" i="30"/>
  <c r="E4" i="30" s="1"/>
  <c r="F4" i="30" s="1"/>
  <c r="D6" i="29"/>
  <c r="D5" i="29"/>
  <c r="C5" i="29"/>
  <c r="E5" i="29" s="1"/>
  <c r="F5" i="29" s="1"/>
  <c r="D4" i="29"/>
  <c r="C4" i="29"/>
  <c r="D6" i="18"/>
  <c r="C6" i="18"/>
  <c r="E6" i="18" s="1"/>
  <c r="F6" i="18" s="1"/>
  <c r="D5" i="18"/>
  <c r="C5" i="18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6" i="34" s="1"/>
  <c r="C5" i="1"/>
  <c r="C5" i="34" s="1"/>
  <c r="C4" i="1"/>
  <c r="C4" i="34" s="1"/>
  <c r="D6" i="1"/>
  <c r="D5" i="1"/>
  <c r="D4" i="1"/>
  <c r="B4" i="1" a="1"/>
  <c r="B4" i="1" s="1"/>
  <c r="A4" i="1" a="1"/>
  <c r="A4" i="1" s="1"/>
  <c r="A1" i="1" a="1"/>
  <c r="A1" i="1" s="1"/>
  <c r="I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F4" i="19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F4" i="2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H6" i="29" l="1"/>
  <c r="I6" i="29" s="1"/>
  <c r="D2" i="29"/>
  <c r="E4" i="18"/>
  <c r="F4" i="18" s="1"/>
  <c r="E5" i="18"/>
  <c r="F5" i="18" s="1"/>
  <c r="E6" i="29"/>
  <c r="F6" i="29" s="1"/>
  <c r="H6" i="30"/>
  <c r="I6" i="30" s="1"/>
  <c r="D4" i="34"/>
  <c r="D2" i="34" s="1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H5" i="18"/>
  <c r="I5" i="18" s="1"/>
  <c r="H6" i="34"/>
  <c r="I6" i="34" s="1"/>
  <c r="H5" i="34"/>
  <c r="I5" i="34" s="1"/>
  <c r="C2" i="29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<sst xmlns="http://schemas.openxmlformats.org/spreadsheetml/2006/main" count="277" uniqueCount="77">
  <si>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</si>
  <si>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</si>
  <si>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</si>
  <si>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</si>
  <si>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</si>
  <si>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</si>
  <si>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</si>
  <si>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</si>
  <si>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</si>
  <si>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</si>
  <si>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</si>
  <si>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</si>
  <si>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</si>
  <si>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</si>
  <si>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</si>
  <si>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</si>
  <si>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</si>
  <si>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</si>
  <si>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</si>
  <si>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</si>
  <si>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</si>
  <si>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</si>
  <si>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</si>
  <si>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1.Low generation due to weather/snow on 01/20 , 01/21</t>
  </si>
  <si>
    <t>1. Inverter 2 tripped offline at 08:45 AM on 01/18/25. On 01/23/25, the technician performed a reset inhibition and brought it back online at 09:30.
2. Inverter 1 &amp; 2 are offline from 01/29/25 due to an ARC fault and remained offline through the month.
3. Low generation due to weather/snow on 01/21  ,01/22</t>
  </si>
  <si>
    <t>1. SR095695
2. SR096102</t>
  </si>
  <si>
    <t>SR096102</t>
  </si>
  <si>
    <t>1.  Inverter 2 was underperforming approximately 18kW compared to peer as Strings 2.2 and 2.3 have been disconnected from 09/03 for further troubleshooting.
2. Low generation due to weather/snow 01/06 ,01/31</t>
  </si>
  <si>
    <t>1. SR088902</t>
  </si>
  <si>
    <t>February Actual v. Expected</t>
  </si>
  <si>
    <t>February Actual v. Forecasted</t>
  </si>
  <si>
    <t>1. Site  was offline from 13:00 on 02/03/25 and came back online at 14:15 on 02/05/25, after the technician re-energized it.
2. Low generation due to weather/snow on 02/09 to 02/13</t>
  </si>
  <si>
    <t>1. SR096277</t>
  </si>
  <si>
    <t>1. Inverter 1 &amp; 2 back online at 10:15 on 02/25/25, after the technician re-energized them.
2. Low generation due to weather/snow on 02/09 to 02/13</t>
  </si>
  <si>
    <t>1. SR096102</t>
  </si>
  <si>
    <t>1.  Inverter 2 was underperforming approximately 18kW compared to peer as Strings 2.2 and 2.3 have been disconnected from 09/03 for further troubleshooting.
2. Low generation due to weather/snow on 02/09 to 02/13</t>
  </si>
  <si>
    <t>March Actual v. Expected</t>
  </si>
  <si>
    <t>March Actual v. Forecasted</t>
  </si>
  <si>
    <t>1.Low generation due to weather/snow on 03/24</t>
  </si>
  <si>
    <t>1.Inverter 1 was offline from 03/06 and remained offline for rest of the month
2.Low generation due to weather/snow on 03/24</t>
  </si>
  <si>
    <t>1.SR098202</t>
  </si>
  <si>
    <t>1. Inverter 2 was underperforming by approximately 18 kW compared to its peer, as Strings 2.2 and 2.3 have been disconnected since 09/03/24 for further troubleshooting. Four optimizers required to repair Strings 2.2 and 2.3 have been RMAd from 10/30/24
2.Inverter 1 intermittently tripped on 03/25 due to high voltage on Line 3. The issue self-resolved on 03/26.
3.Low generation due to weather/snow on 03/24</t>
  </si>
  <si>
    <t>1.SR088902
2.SR098985</t>
  </si>
  <si>
    <t>SR098985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</si>
  <si>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</si>
  <si>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</si>
  <si>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</si>
  <si>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</si>
  <si>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</si>
  <si>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</si>
  <si>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</si>
  <si>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</si>
  <si>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</si>
  <si>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</si>
  <si>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</si>
  <si>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</si>
  <si>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</si>
  <si>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</si>
  <si>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</si>
  <si>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</si>
  <si>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</si>
  <si>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</si>
  <si>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</si>
  <si>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RINGS END</t>
  </si>
  <si>
    <t>Site DAS Name</t>
  </si>
  <si>
    <t>Update</t>
  </si>
  <si>
    <t>DAS</t>
  </si>
  <si>
    <t>Ring's End - Branford Store</t>
  </si>
  <si>
    <t>Branford - Rings End</t>
  </si>
  <si>
    <t>CT</t>
  </si>
  <si>
    <t>AF</t>
  </si>
  <si>
    <t>PowerTrack</t>
  </si>
  <si>
    <t>Ring's End - Milford</t>
  </si>
  <si>
    <t>Milford - Rings End</t>
  </si>
  <si>
    <t>Ring's End - New Milford</t>
  </si>
  <si>
    <t>New Milford - Rings End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</si>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</sst>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5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35" fillId="40" borderId="13" xfId="43" applyFont="1" applyFill="1" applyBorder="1"/>
    <xf numFmtId="0" fontId="0" fillId="0" borderId="0" xfId="0" applyAlignment="1">
      <alignment horizontal="left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9" fontId="1" fillId="38" borderId="12" xfId="2" applyFont="1" applyFill="1" applyBorder="1" applyAlignment="1">
      <alignment horizontal="left" vertical="top"/>
    </xf>
    <xf numFmtId="49" fontId="36" fillId="0" borderId="0" xfId="45" applyNumberFormat="1" applyAlignment="1">
      <alignment horizontal="left" vertical="top" wrapText="1"/>
    </xf>
    <xf numFmtId="49" fontId="36" fillId="38" borderId="0" xfId="45" applyNumberFormat="1" applyFill="1" applyBorder="1" applyAlignment="1">
      <alignment horizontal="left" vertical="top" wrapText="1"/>
    </xf>
    <xf numFmtId="0" fontId="36" fillId="0" borderId="0" xfId="45" applyAlignment="1">
      <alignment vertical="top"/>
    </xf>
    <xf numFmtId="49" fontId="36" fillId="0" borderId="0" xfId="45" applyNumberFormat="1" applyAlignment="1">
      <alignment vertical="center" wrapText="1"/>
    </xf>
    <xf numFmtId="49" fontId="36" fillId="38" borderId="0" xfId="45" applyNumberForma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095695" TargetMode="External"/><Relationship Id="rId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902" TargetMode="External"/><Relationship Id="rId2" Type="http://schemas.openxmlformats.org/officeDocument/2006/relationships/hyperlink" Target="https://us3.assetplanner.com/service_request?ID=096102" TargetMode="External"/><Relationship Id="rId1" Type="http://schemas.openxmlformats.org/officeDocument/2006/relationships/hyperlink" Target="https://us3.assetplanner.com/service_request?ID=096277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985" TargetMode="External"/><Relationship Id="rId2" Type="http://schemas.openxmlformats.org/officeDocument/2006/relationships/hyperlink" Target="https://us3.assetplanner.com/service_request?ID=088902" TargetMode="External"/><Relationship Id="rId1" Type="http://schemas.openxmlformats.org/officeDocument/2006/relationships/hyperlink" Target="https://us3.assetplanner.com/service_request?ID=09820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RINGS END</v>
      </c>
      <c r="B1" s="62"/>
      <c r="C1" s="62"/>
      <c r="D1" s="63" t="s">
        <v>0</v>
      </c>
      <c r="E1" s="63"/>
      <c r="F1" s="63"/>
      <c r="G1" s="61" t="s">
        <v>1</v>
      </c>
      <c r="H1" s="61"/>
      <c r="I1" s="61"/>
    </row>
    <row r="2" spans="1:9" ht="19.5" customHeight="1">
      <c r="A2" s="64" t="s">
        <v>2</v>
      </c>
      <c r="B2" s="64"/>
      <c r="C2" s="5">
        <f>SUM(C4:C100)</f>
        <v>48284.327535000004</v>
      </c>
      <c r="D2" s="5">
        <f>SUM(D4:D100)</f>
        <v>0</v>
      </c>
      <c r="E2" s="5">
        <f>C2-D2</f>
        <v>48284.327535000004</v>
      </c>
      <c r="F2" s="6">
        <f>IFERROR(E2/D2, 0)</f>
        <v>0</v>
      </c>
      <c r="G2" s="5">
        <f>SUM(G4:G100)</f>
        <v>53385.402999999998</v>
      </c>
      <c r="H2" s="7">
        <f>C2-G2</f>
        <v>-5101.0754649999944</v>
      </c>
      <c r="I2" s="6">
        <f>IFERROR(H2/G2, 0)</f>
        <v>-9.5551877073963357E-2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6">Sites[Site]</f>
        <v>Branford - Rings End</v>
      </c>
      <c r="B4" s="9" t="str" cm="1">
        <f t="array" ref="B4:B6">Sites[State]</f>
        <v>CT</v>
      </c>
      <c r="C4" s="24">
        <f>SUM('1st Qtr'!C4, '2nd Qtr'!C4, '3rd Qtr'!C4, '4th Qtr'!C4)</f>
        <v>25250.7</v>
      </c>
      <c r="D4" s="13">
        <f>SUM('1st Qtr'!D4, '2nd Qtr'!D4, '3rd Qtr'!D4, '4th Qtr'!D4)</f>
        <v>0</v>
      </c>
      <c r="E4" s="13">
        <f>IF(AND(ISNUMBER(C4),ISNUMBER(D4)), C4-D4, "")</f>
        <v>25250.7</v>
      </c>
      <c r="F4" s="14" t="str">
        <f>IFERROR(E4/D4, "")</f>
        <v/>
      </c>
      <c r="G4" s="15">
        <f>SUM('1st Qtr'!G4, '2nd Qtr'!G4, '3rd Qtr'!G4, '4th Qtr'!G4)</f>
        <v>25784.303</v>
      </c>
      <c r="H4" s="15">
        <f>SUM('1st Qtr'!H4, '2nd Qtr'!H4, '3rd Qtr'!H4, '4th Qtr'!H4)</f>
        <v>-533.60299999999916</v>
      </c>
      <c r="I4" s="16">
        <f>IFERROR(H4/G4, "")</f>
        <v>-2.0694877809960547E-2</v>
      </c>
    </row>
    <row r="5" spans="1:9" ht="15.6">
      <c r="A5" s="17" t="str">
        <v>Milford - Rings End</v>
      </c>
      <c r="B5" s="10" t="str">
        <v>CT</v>
      </c>
      <c r="C5" s="11">
        <f>SUM('1st Qtr'!C5, '2nd Qtr'!C5, '3rd Qtr'!C5, '4th Qtr'!C5)</f>
        <v>13111.985017999999</v>
      </c>
      <c r="D5" s="18">
        <f>SUM(Jan!D5, Feb!D5, Mar!D5)</f>
        <v>0</v>
      </c>
      <c r="E5" s="18">
        <f t="shared" ref="E5:E6" si="0">IF(AND(ISNUMBER(C5),ISNUMBER(D5)), C5-D5, "")</f>
        <v>13111.985017999999</v>
      </c>
      <c r="F5" s="19" t="str">
        <f>IFERROR(E5/D5, "")</f>
        <v/>
      </c>
      <c r="G5" s="20">
        <f>SUM('1st Qtr'!G5, '2nd Qtr'!G5, '3rd Qtr'!G5, '4th Qtr'!G5)</f>
        <v>13669</v>
      </c>
      <c r="H5" s="20">
        <f>SUM(Jan!H5, Feb!H5, Mar!H5)</f>
        <v>-557.01498199999969</v>
      </c>
      <c r="I5" s="19">
        <f>IFERROR(H5/G5, "")</f>
        <v>-4.0750236447435778E-2</v>
      </c>
    </row>
    <row r="6" spans="1:9" ht="15.6">
      <c r="A6" s="12" t="str">
        <v>New Milford - Rings End</v>
      </c>
      <c r="B6" s="9" t="str">
        <v>CT</v>
      </c>
      <c r="C6" s="24">
        <f>SUM('1st Qtr'!C6, '2nd Qtr'!C6, '3rd Qtr'!C6, '4th Qtr'!C6)</f>
        <v>9921.6425170000002</v>
      </c>
      <c r="D6" s="13">
        <f>SUM(Jan!D6, Feb!D6, Mar!D6)</f>
        <v>0</v>
      </c>
      <c r="E6" s="13">
        <f t="shared" si="0"/>
        <v>9921.6425170000002</v>
      </c>
      <c r="F6" s="14" t="str">
        <f t="shared" ref="F6" si="1">IFERROR(E6/D6, "")</f>
        <v/>
      </c>
      <c r="G6" s="15">
        <f>SUM('1st Qtr'!G6, '2nd Qtr'!G6, '3rd Qtr'!G6, '4th Qtr'!G6)</f>
        <v>13932.1</v>
      </c>
      <c r="H6" s="15">
        <f>SUM(Jan!H6, Feb!H6, Mar!H6)</f>
        <v>-4010.4574830000001</v>
      </c>
      <c r="I6" s="16">
        <f t="shared" ref="I6" si="2">IFERROR(H6/G6, "")</f>
        <v>-0.28785735696700426</v>
      </c>
    </row>
    <row r="7" spans="1:9">
      <c r="F7"/>
      <c r="I7"/>
    </row>
    <row r="8" spans="1:9">
      <c r="F8"/>
      <c r="I8"/>
    </row>
    <row r="9" spans="1:9">
      <c r="F9"/>
      <c r="I9"/>
    </row>
    <row r="10" spans="1:9">
      <c r="F10"/>
      <c r="I10"/>
    </row>
    <row r="11" spans="1:9">
      <c r="F11"/>
      <c r="I11"/>
    </row>
    <row r="12" spans="1:9">
      <c r="F12"/>
      <c r="I12"/>
    </row>
    <row r="13" spans="1:9">
      <c r="F13"/>
      <c r="I13"/>
    </row>
    <row r="14" spans="1:9">
      <c r="F14"/>
      <c r="I14"/>
    </row>
    <row r="15" spans="1:9">
      <c r="F15"/>
      <c r="I15"/>
    </row>
    <row r="16" spans="1:9">
      <c r="F16"/>
      <c r="I16"/>
    </row>
    <row r="17" spans="1:9">
      <c r="F17"/>
      <c r="I17"/>
    </row>
    <row r="18" spans="1:9" ht="12.75" customHeight="1">
      <c r="F18"/>
      <c r="I18"/>
    </row>
    <row r="19" spans="1:9">
      <c r="F19"/>
      <c r="I19"/>
    </row>
    <row r="20" spans="1:9">
      <c r="F20"/>
      <c r="I20"/>
    </row>
    <row r="21" spans="1:9">
      <c r="F21"/>
      <c r="I21"/>
    </row>
    <row r="22" spans="1:9">
      <c r="F22"/>
      <c r="I22"/>
    </row>
    <row r="23" spans="1:9">
      <c r="F23"/>
      <c r="I23"/>
    </row>
    <row r="24" spans="1:9">
      <c r="F24"/>
      <c r="I24"/>
    </row>
    <row r="25" spans="1:9">
      <c r="F25"/>
      <c r="I25"/>
    </row>
    <row r="26" spans="1:9" ht="13.9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9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9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9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9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9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9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 I4:I6 F26:F100 I26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5"/>
  <sheetViews>
    <sheetView workbookViewId="0">
      <pane xSplit="2" ySplit="3" topLeftCell="C4" activePane="bottomRight" state="frozen"/>
      <selection pane="bottomRight" activeCell="C6" sqref="C6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RINGS END</v>
      </c>
      <c r="B1" s="62"/>
      <c r="C1" s="62"/>
      <c r="D1" s="63" t="s">
        <v>10</v>
      </c>
      <c r="E1" s="63"/>
      <c r="F1" s="63"/>
      <c r="G1" s="61" t="s">
        <v>11</v>
      </c>
      <c r="H1" s="61"/>
      <c r="I1" s="61"/>
    </row>
    <row r="2" spans="1:9" ht="19.5" customHeight="1">
      <c r="A2" s="64" t="s">
        <v>2</v>
      </c>
      <c r="B2" s="64"/>
      <c r="C2" s="5">
        <f>SUM(C4:C73)</f>
        <v>48284.327535000004</v>
      </c>
      <c r="D2" s="5">
        <f>SUM(D4:D73)</f>
        <v>0</v>
      </c>
      <c r="E2" s="5">
        <f>C2-D2</f>
        <v>48284.327535000004</v>
      </c>
      <c r="F2" s="6">
        <f>IFERROR(E2/D2, 0)</f>
        <v>0</v>
      </c>
      <c r="G2" s="5">
        <f>SUM(G4:G73)</f>
        <v>53385.402999999998</v>
      </c>
      <c r="H2" s="7">
        <f>C2-G2</f>
        <v>-5101.0754649999944</v>
      </c>
      <c r="I2" s="6">
        <f>IFERROR(H2/G2, 0)</f>
        <v>-9.5551877073963357E-2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SUM(Jan!C4, Feb!C4, Mar!C4)</f>
        <v>25250.7</v>
      </c>
      <c r="D4" s="13">
        <f>SUM(Jan!D4, Feb!D4, Mar!D4)</f>
        <v>0</v>
      </c>
      <c r="E4" s="13">
        <f>IF(AND(ISNUMBER(C4),ISNUMBER(D4)), C4-D4, "")</f>
        <v>25250.7</v>
      </c>
      <c r="F4" s="14" t="str">
        <f>IFERROR(E4/D4, "")</f>
        <v/>
      </c>
      <c r="G4" s="15">
        <f>SUM(Jan!G4, Feb!G4, Mar!G4)</f>
        <v>25784.303</v>
      </c>
      <c r="H4" s="15">
        <f>SUM(Jan!H4, Feb!H4, Mar!H4)</f>
        <v>-533.60299999999916</v>
      </c>
      <c r="I4" s="16">
        <f>IFERROR(H4/G4, "")</f>
        <v>-2.0694877809960547E-2</v>
      </c>
    </row>
    <row r="5" spans="1:9" ht="15.6">
      <c r="A5" s="47" t="str">
        <v>Milford - Rings End</v>
      </c>
      <c r="B5" s="10" t="str">
        <v>CT</v>
      </c>
      <c r="C5" s="11">
        <f>SUM(Jan!C5, Feb!C5, Mar!C5)</f>
        <v>13111.985017999999</v>
      </c>
      <c r="D5" s="18">
        <f>SUM(Jan!D5, Feb!D5, Mar!D5)</f>
        <v>0</v>
      </c>
      <c r="E5" s="18">
        <f t="shared" ref="E5:E6" si="0">IF(AND(ISNUMBER(C5),ISNUMBER(D5)), C5-D5, "")</f>
        <v>13111.985017999999</v>
      </c>
      <c r="F5" s="19" t="str">
        <f>IFERROR(E5/D5, "")</f>
        <v/>
      </c>
      <c r="G5" s="20">
        <f>SUM(Jan!G5, Feb!G5, Mar!G5)</f>
        <v>13669</v>
      </c>
      <c r="H5" s="20">
        <f>SUM(Jan!H5, Feb!H5, Mar!H5)</f>
        <v>-557.01498199999969</v>
      </c>
      <c r="I5" s="19">
        <f>IFERROR(H5/G5, "")</f>
        <v>-4.0750236447435778E-2</v>
      </c>
    </row>
    <row r="6" spans="1:9" ht="15.6">
      <c r="A6" s="46" t="str">
        <v>New Milford - Rings End</v>
      </c>
      <c r="B6" s="9" t="str">
        <v>CT</v>
      </c>
      <c r="C6" s="24">
        <f>SUM(Jan!C6, Feb!C6, Mar!C6)</f>
        <v>9921.6425170000002</v>
      </c>
      <c r="D6" s="13">
        <f>SUM(Jan!D6, Feb!D6, Mar!D6)</f>
        <v>0</v>
      </c>
      <c r="E6" s="13">
        <f t="shared" si="0"/>
        <v>9921.6425170000002</v>
      </c>
      <c r="F6" s="14" t="str">
        <f t="shared" ref="F6" si="1">IFERROR(E6/D6, "")</f>
        <v/>
      </c>
      <c r="G6" s="15">
        <f>SUM(Jan!G6, Feb!G6, Mar!G6)</f>
        <v>13932.1</v>
      </c>
      <c r="H6" s="15">
        <f>SUM(Jan!H6, Feb!H6, Mar!H6)</f>
        <v>-4010.4574830000001</v>
      </c>
      <c r="I6" s="16">
        <f t="shared" ref="I6" si="2">IFERROR(H6/G6, "")</f>
        <v>-0.28785735696700426</v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3 I4:I73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5"/>
  <sheetViews>
    <sheetView workbookViewId="0">
      <pane xSplit="2" ySplit="3" topLeftCell="C4" activePane="bottomRight" state="frozen"/>
      <selection pane="bottomRight" activeCell="C6" sqref="C6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RINGS END</v>
      </c>
      <c r="B1" s="62"/>
      <c r="C1" s="62"/>
      <c r="D1" s="63" t="s">
        <v>12</v>
      </c>
      <c r="E1" s="63"/>
      <c r="F1" s="63"/>
      <c r="G1" s="61" t="s">
        <v>13</v>
      </c>
      <c r="H1" s="61"/>
      <c r="I1" s="61"/>
    </row>
    <row r="2" spans="1:9" ht="19.5" customHeight="1">
      <c r="A2" s="64" t="s">
        <v>2</v>
      </c>
      <c r="B2" s="64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47" t="str">
        <v>Milford - Rings End</v>
      </c>
      <c r="B5" s="10" t="str">
        <v>CT</v>
      </c>
      <c r="C5" s="11">
        <f>SUM(Apr!C5, May!C5, Jun!C5)</f>
        <v>0</v>
      </c>
      <c r="D5" s="18">
        <f>SUM(Apr!D5, May!D5, Jun!D5)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18">
        <f>SUM(Apr!G5,May!G5,Jun!G5)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46" t="str">
        <v>New Milford - Rings End</v>
      </c>
      <c r="B6" s="9" t="str">
        <v>CT</v>
      </c>
      <c r="C6" s="24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" si="1">IFERROR(E6/D6, "")</f>
        <v/>
      </c>
      <c r="G6" s="15">
        <f>SUM(Apr!G6,May!G6,Jun!G6)</f>
        <v>0</v>
      </c>
      <c r="H6" s="15">
        <f>SUM(Apr!H6, May!H6, Jun!H6)</f>
        <v>0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3 I4:I73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5"/>
  <sheetViews>
    <sheetView workbookViewId="0">
      <pane xSplit="2" ySplit="3" topLeftCell="C4" activePane="bottomRight" state="frozen"/>
      <selection pane="bottomRight" activeCell="C5" sqref="C5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RINGS END</v>
      </c>
      <c r="B1" s="62"/>
      <c r="C1" s="62"/>
      <c r="D1" s="63" t="s">
        <v>14</v>
      </c>
      <c r="E1" s="63"/>
      <c r="F1" s="63"/>
      <c r="G1" s="61" t="s">
        <v>15</v>
      </c>
      <c r="H1" s="61"/>
      <c r="I1" s="61"/>
    </row>
    <row r="2" spans="1:9" ht="19.5" customHeight="1">
      <c r="A2" s="64" t="s">
        <v>2</v>
      </c>
      <c r="B2" s="64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SUM(Jul!C6,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7" t="str">
        <v>Milford - Rings End</v>
      </c>
      <c r="B5" s="10" t="str">
        <v>CT</v>
      </c>
      <c r="C5" s="11">
        <f>SUM(Jul!C5, Aug!C5, Sep!C5)</f>
        <v>0</v>
      </c>
      <c r="D5" s="18">
        <f>SUM(Jul!D5, Aug!D5, Sep!D5)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18">
        <f>SUM(Jul!G5,Aug!G5,Sep!G5)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46" t="str">
        <v>New Milford - Rings End</v>
      </c>
      <c r="B6" s="9" t="str">
        <v>CT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" si="1">IFERROR(E6/D6, "")</f>
        <v/>
      </c>
      <c r="G6" s="15">
        <f>SUM(Jul!G6,Aug!G6,Sep!G6)</f>
        <v>0</v>
      </c>
      <c r="H6" s="15">
        <f>SUM(Jul!H6, Aug!H6, Sep!H6)</f>
        <v>0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F4:F73 I4:I73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5"/>
  <sheetViews>
    <sheetView workbookViewId="0">
      <pane xSplit="2" ySplit="3" topLeftCell="C4" activePane="bottomRight" state="frozen"/>
      <selection pane="bottomRight" activeCell="C6" sqref="C6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RINGS END</v>
      </c>
      <c r="B1" s="62"/>
      <c r="C1" s="62"/>
      <c r="D1" s="63" t="s">
        <v>16</v>
      </c>
      <c r="E1" s="63"/>
      <c r="F1" s="63"/>
      <c r="G1" s="61" t="s">
        <v>17</v>
      </c>
      <c r="H1" s="61"/>
      <c r="I1" s="61"/>
    </row>
    <row r="2" spans="1:9" ht="19.5" customHeight="1">
      <c r="A2" s="64" t="s">
        <v>2</v>
      </c>
      <c r="B2" s="64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47" t="str">
        <v>Milford - Rings End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:E6" si="0">IF(AND(ISNUMBER(C5),ISNUMBER(D5)), C5-D5, "")</f>
        <v>0</v>
      </c>
      <c r="F5" s="19" t="str">
        <f>IFERROR(E5/D5, "")</f>
        <v/>
      </c>
      <c r="G5" s="18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46" t="str">
        <v>New Milford - Rings End</v>
      </c>
      <c r="B6" s="9" t="str">
        <v>CT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" si="1">IFERROR(E6/D6, "")</f>
        <v/>
      </c>
      <c r="G6" s="15">
        <f>SUM(Oct!G6,Nov!G6,Dec!G6)</f>
        <v>0</v>
      </c>
      <c r="H6" s="15">
        <f>SUM(Oct!H6, Nov!H6, Dec!H6)</f>
        <v>0</v>
      </c>
      <c r="I6" s="16" t="str">
        <f t="shared" ref="I6" si="2">IFERROR(H6/G6, "")</f>
        <v/>
      </c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F4:F73 I4:I73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14"/>
  <sheetViews>
    <sheetView zoomScale="80" zoomScaleNormal="80" workbookViewId="0">
      <pane xSplit="2" ySplit="3" topLeftCell="C4" activePane="bottomRight" state="frozen"/>
      <selection pane="bottomRight" activeCell="I15" sqref="I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2" t="str" cm="1">
        <f t="array" ref="A1">portfolio</f>
        <v>RINGS END</v>
      </c>
      <c r="B1" s="62"/>
      <c r="C1" s="62"/>
      <c r="D1" s="63" t="s">
        <v>18</v>
      </c>
      <c r="E1" s="63"/>
      <c r="F1" s="63"/>
      <c r="G1" s="61" t="s">
        <v>19</v>
      </c>
      <c r="H1" s="61"/>
      <c r="I1" s="61"/>
      <c r="J1" s="4"/>
      <c r="K1" s="4"/>
    </row>
    <row r="2" spans="1:12" ht="19.5" customHeight="1">
      <c r="A2" s="64" t="s">
        <v>2</v>
      </c>
      <c r="B2" s="64"/>
      <c r="C2" s="5">
        <f>SUM(C4:C72)</f>
        <v>12740.642518000001</v>
      </c>
      <c r="D2" s="5">
        <f>SUM(D4:D72)</f>
        <v>0</v>
      </c>
      <c r="E2" s="5">
        <f>C2-D2</f>
        <v>12740.642518000001</v>
      </c>
      <c r="F2" s="6">
        <f>IFERROR(E2/D2, 0)</f>
        <v>0</v>
      </c>
      <c r="G2" s="5">
        <f>SUM(G4:G72)</f>
        <v>12946.1</v>
      </c>
      <c r="H2" s="7">
        <f>C2-G2</f>
        <v>-205.4574819999998</v>
      </c>
      <c r="I2" s="6">
        <f>IFERROR(H2/G2, 0)</f>
        <v>-1.5870222074601602E-2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48" t="str" cm="1">
        <f t="array" ref="A4:A6">Sites[Site]</f>
        <v>Branford - Rings End</v>
      </c>
      <c r="B4" s="29" t="str" cm="1">
        <f t="array" ref="B4:B6">Sites[State]</f>
        <v>CT</v>
      </c>
      <c r="C4" s="13">
        <v>6650.53</v>
      </c>
      <c r="D4" s="13" t="s">
        <v>22</v>
      </c>
      <c r="E4" s="13" t="str">
        <f>IF(AND(ISNUMBER(C4),ISNUMBER(D4)), C4-D4, "")</f>
        <v/>
      </c>
      <c r="F4" s="13" t="str">
        <f>IFERROR(E4/D4, "")</f>
        <v/>
      </c>
      <c r="G4" s="15">
        <v>6291.7</v>
      </c>
      <c r="H4" s="15">
        <f>IF(AND(ISNUMBER(C4),ISNUMBER(G4)), C4-G4, "")</f>
        <v>358.82999999999993</v>
      </c>
      <c r="I4" s="16">
        <f>IFERROR(H4/G4, "")</f>
        <v>5.7032280623678808E-2</v>
      </c>
      <c r="J4" s="55" t="s">
        <v>23</v>
      </c>
      <c r="K4" s="55"/>
    </row>
    <row r="5" spans="1:12" ht="72">
      <c r="A5" s="49" t="str">
        <v>Milford - Rings End</v>
      </c>
      <c r="B5" s="31" t="str">
        <v>CT</v>
      </c>
      <c r="C5" s="18">
        <v>3552.2200010000001</v>
      </c>
      <c r="D5" s="18" t="s">
        <v>22</v>
      </c>
      <c r="E5" s="18" t="str">
        <f t="shared" ref="E5:E6" si="0">IF(AND(ISNUMBER(C5),ISNUMBER(D5)), C5-D5, "")</f>
        <v/>
      </c>
      <c r="F5" s="18" t="str">
        <f t="shared" ref="F5:F6" si="1">IFERROR(E5/D5, "")</f>
        <v/>
      </c>
      <c r="G5" s="20">
        <v>3298</v>
      </c>
      <c r="H5" s="20">
        <f t="shared" ref="H5:H6" si="2">IF(AND(ISNUMBER(C5),ISNUMBER(G5)), C5-G5, "")</f>
        <v>254.22000100000014</v>
      </c>
      <c r="I5" s="19">
        <f t="shared" ref="I5:I6" si="3">IFERROR(H5/G5, "")</f>
        <v>7.7083080958156497E-2</v>
      </c>
      <c r="J5" s="42" t="s">
        <v>24</v>
      </c>
      <c r="K5" s="56" t="s">
        <v>25</v>
      </c>
      <c r="L5" s="58" t="s">
        <v>26</v>
      </c>
    </row>
    <row r="6" spans="1:12" ht="43.15">
      <c r="A6" s="50" t="str">
        <v>New Milford - Rings End</v>
      </c>
      <c r="B6" s="29" t="str">
        <v>CT</v>
      </c>
      <c r="C6" s="13">
        <v>2537.8925170000002</v>
      </c>
      <c r="D6" s="13" t="s">
        <v>22</v>
      </c>
      <c r="E6" s="13" t="str">
        <f t="shared" si="0"/>
        <v/>
      </c>
      <c r="F6" s="44" t="str">
        <f t="shared" si="1"/>
        <v/>
      </c>
      <c r="G6" s="15">
        <v>3356.4</v>
      </c>
      <c r="H6" s="15">
        <f t="shared" si="2"/>
        <v>-818.50748299999987</v>
      </c>
      <c r="I6" s="16">
        <f t="shared" si="3"/>
        <v>-0.24386470116791797</v>
      </c>
      <c r="J6" s="41" t="s">
        <v>27</v>
      </c>
      <c r="K6" s="57" t="s">
        <v>28</v>
      </c>
    </row>
    <row r="7" spans="1:12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</sheetData>
  <mergeCells count="4">
    <mergeCell ref="D1:F1"/>
    <mergeCell ref="A1:C1"/>
    <mergeCell ref="G1:I1"/>
    <mergeCell ref="A2:B2"/>
  </mergeCells>
  <conditionalFormatting sqref="F2 I2 I4:I72 F7:F72">
    <cfRule type="cellIs" dxfId="46" priority="4" stopIfTrue="1" operator="lessThanOrEqual">
      <formula>-0.1</formula>
    </cfRule>
    <cfRule type="expression" dxfId="45" priority="5">
      <formula>AND(ISNUMBER(F2), F2&gt;=0.1)</formula>
    </cfRule>
  </conditionalFormatting>
  <hyperlinks>
    <hyperlink ref="K5" r:id="rId1" display="https://us3.assetplanner.com/service_request?ID=095695" xr:uid="{49F434EF-1FF2-4962-9B00-DFB3E4FBD365}"/>
    <hyperlink ref="L5" r:id="rId2" display="https://us3.assetplanner.com/service_request?ID=096102" xr:uid="{3FD3D2B8-EF75-444C-B3FA-29902FB5DAB6}"/>
    <hyperlink ref="K6" r:id="rId3" display="https://us3.assetplanner.com/service_request?ID=088902" xr:uid="{7D0B28B3-C56F-4010-BB61-F51B2661A0C0}"/>
  </hyperlinks>
  <pageMargins left="0.4" right="0.7" top="0.25" bottom="0.25" header="0.3" footer="0.3"/>
  <pageSetup fitToHeight="99" orientation="landscape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5"/>
  <sheetViews>
    <sheetView zoomScale="80" zoomScaleNormal="80" workbookViewId="0">
      <pane xSplit="2" ySplit="3" topLeftCell="C4" activePane="bottomRight" state="frozen"/>
      <selection pane="bottomRight" activeCell="J17" sqref="J17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RINGS END</v>
      </c>
      <c r="B1" s="62"/>
      <c r="C1" s="62"/>
      <c r="D1" s="63" t="s">
        <v>29</v>
      </c>
      <c r="E1" s="63"/>
      <c r="F1" s="63"/>
      <c r="G1" s="61" t="s">
        <v>30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SUM(C4:C73)</f>
        <v>11728.335003</v>
      </c>
      <c r="D2" s="5">
        <f>SUM(D4:D73)</f>
        <v>0</v>
      </c>
      <c r="E2" s="5">
        <f>C2-D2</f>
        <v>11728.335003</v>
      </c>
      <c r="F2" s="6">
        <f>IFERROR(E2/D2, 0)</f>
        <v>0</v>
      </c>
      <c r="G2" s="5">
        <f>SUM(G4:G73)</f>
        <v>16349.5</v>
      </c>
      <c r="H2" s="7">
        <f>C2-G2</f>
        <v>-4621.1649969999999</v>
      </c>
      <c r="I2" s="6">
        <f>IFERROR(H2/G2, 0)</f>
        <v>-0.28264870466986758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43.15">
      <c r="A4" s="48" t="str" cm="1">
        <f t="array" ref="A4:A6">Sites[Site]</f>
        <v>Branford - Rings End</v>
      </c>
      <c r="B4" s="29" t="str" cm="1">
        <f t="array" ref="B4:B6">Sites[State]</f>
        <v>CT</v>
      </c>
      <c r="C4" s="24">
        <v>6751.05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7839.8</v>
      </c>
      <c r="H4" s="15">
        <f>IF(AND(ISNUMBER(C4),ISNUMBER(G4)), C4-G4, "")</f>
        <v>-1088.75</v>
      </c>
      <c r="I4" s="16">
        <f>IFERROR(H4/G4, "")</f>
        <v>-0.13887471619173958</v>
      </c>
      <c r="J4" s="41" t="s">
        <v>31</v>
      </c>
      <c r="K4" s="57" t="s">
        <v>32</v>
      </c>
    </row>
    <row r="5" spans="1:11" ht="43.15">
      <c r="A5" s="49" t="str">
        <v>Milford - Rings End</v>
      </c>
      <c r="B5" s="31" t="str">
        <v>CT</v>
      </c>
      <c r="C5" s="11">
        <v>2518.8349910000002</v>
      </c>
      <c r="D5" s="18" t="s">
        <v>22</v>
      </c>
      <c r="E5" s="18" t="str">
        <f t="shared" ref="E5:E6" si="0">IF(AND(ISNUMBER(C5),ISNUMBER(D5)), C5-D5, "")</f>
        <v/>
      </c>
      <c r="F5" s="19" t="str">
        <f>IFERROR(E5/D5, "")</f>
        <v/>
      </c>
      <c r="G5" s="20">
        <v>4205</v>
      </c>
      <c r="H5" s="20">
        <f t="shared" ref="H5:H6" si="1">IF(AND(ISNUMBER(C5),ISNUMBER(G5)), C5-G5, "")</f>
        <v>-1686.1650089999998</v>
      </c>
      <c r="I5" s="19">
        <f t="shared" ref="I5:I6" si="2">IFERROR(H5/G5, "")</f>
        <v>-0.40099048965517237</v>
      </c>
      <c r="J5" s="42" t="s">
        <v>33</v>
      </c>
      <c r="K5" s="56" t="s">
        <v>34</v>
      </c>
    </row>
    <row r="6" spans="1:11" ht="43.15">
      <c r="A6" s="50" t="str">
        <v>New Milford - Rings End</v>
      </c>
      <c r="B6" s="29" t="str">
        <v>CT</v>
      </c>
      <c r="C6" s="24">
        <v>2458.4500119999998</v>
      </c>
      <c r="D6" s="13" t="s">
        <v>22</v>
      </c>
      <c r="E6" s="13" t="str">
        <f t="shared" si="0"/>
        <v/>
      </c>
      <c r="F6" s="14" t="str">
        <f t="shared" ref="F6" si="3">IFERROR(E6/D6, "")</f>
        <v/>
      </c>
      <c r="G6" s="15">
        <v>4304.7</v>
      </c>
      <c r="H6" s="15">
        <f t="shared" si="1"/>
        <v>-1846.249988</v>
      </c>
      <c r="I6" s="16">
        <f t="shared" si="2"/>
        <v>-0.42889167375194559</v>
      </c>
      <c r="J6" s="41" t="s">
        <v>35</v>
      </c>
      <c r="K6" s="57" t="s">
        <v>28</v>
      </c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F4:F73 I4:I73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hyperlinks>
    <hyperlink ref="K4" r:id="rId1" display="https://us3.assetplanner.com/service_request?ID=096277" xr:uid="{39751F6E-288D-40B6-B514-9E3D359408C2}"/>
    <hyperlink ref="K5" r:id="rId2" display="https://us3.assetplanner.com/service_request?ID=096102" xr:uid="{3BBA531D-722A-4266-8972-3ABCF221C1A6}"/>
    <hyperlink ref="K6" r:id="rId3" display="https://us3.assetplanner.com/service_request?ID=088902" xr:uid="{658F9003-45FE-4555-BFEF-1BEDCFE632D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15"/>
  <sheetViews>
    <sheetView tabSelected="1" zoomScale="80" zoomScaleNormal="80" workbookViewId="0">
      <pane xSplit="2" ySplit="3" topLeftCell="C4" activePane="bottomRight" state="frozen"/>
      <selection pane="bottomRight" activeCell="I15" sqref="I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2" t="str" cm="1">
        <f t="array" ref="A1">portfolio</f>
        <v>RINGS END</v>
      </c>
      <c r="B1" s="62"/>
      <c r="C1" s="62"/>
      <c r="D1" s="63" t="s">
        <v>36</v>
      </c>
      <c r="E1" s="63"/>
      <c r="F1" s="63"/>
      <c r="G1" s="61" t="s">
        <v>37</v>
      </c>
      <c r="H1" s="61"/>
      <c r="I1" s="61"/>
      <c r="J1" s="4"/>
      <c r="K1" s="4"/>
    </row>
    <row r="2" spans="1:12" ht="19.5" customHeight="1">
      <c r="A2" s="64" t="s">
        <v>2</v>
      </c>
      <c r="B2" s="64"/>
      <c r="C2" s="5">
        <f>SUM(C4:C73)</f>
        <v>23815.350014</v>
      </c>
      <c r="D2" s="5">
        <f>SUM(D4:D73)</f>
        <v>0</v>
      </c>
      <c r="E2" s="5">
        <f>C2-D2</f>
        <v>23815.350014</v>
      </c>
      <c r="F2" s="6">
        <f>IFERROR(E2/D2, 0)</f>
        <v>0</v>
      </c>
      <c r="G2" s="5">
        <f>SUM(G4:G73)</f>
        <v>24089.803</v>
      </c>
      <c r="H2" s="7">
        <f>C2-G2</f>
        <v>-274.45298600000024</v>
      </c>
      <c r="I2" s="6">
        <f>IFERROR(H2/G2, 0)</f>
        <v>-1.1392911183208938E-2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11849.12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11652.803</v>
      </c>
      <c r="H4" s="15">
        <f>IF(AND(ISNUMBER(C4),ISNUMBER(G4)), C4-G4, "")</f>
        <v>196.31700000000092</v>
      </c>
      <c r="I4" s="16">
        <f>IFERROR(H4/G4, "")</f>
        <v>1.6847191186532624E-2</v>
      </c>
      <c r="J4" s="41" t="s">
        <v>38</v>
      </c>
      <c r="K4" s="41"/>
    </row>
    <row r="5" spans="1:12" ht="28.9">
      <c r="A5" s="30" t="str">
        <v>Milford - Rings End</v>
      </c>
      <c r="B5" s="31" t="str">
        <v>CT</v>
      </c>
      <c r="C5" s="11">
        <v>7040.930026</v>
      </c>
      <c r="D5" s="18" t="s">
        <v>22</v>
      </c>
      <c r="E5" s="18" t="str">
        <f t="shared" ref="E5:E6" si="0">IF(AND(ISNUMBER(C5),ISNUMBER(D5)), C5-D5, "")</f>
        <v/>
      </c>
      <c r="F5" s="19" t="str">
        <f>IFERROR(E5/D5, "")</f>
        <v/>
      </c>
      <c r="G5" s="20">
        <v>6166</v>
      </c>
      <c r="H5" s="20">
        <f t="shared" ref="H5:H6" si="1">IF(AND(ISNUMBER(C5),ISNUMBER(G5)), C5-G5, "")</f>
        <v>874.930026</v>
      </c>
      <c r="I5" s="19">
        <f t="shared" ref="I5:I6" si="2">IFERROR(H5/G5, "")</f>
        <v>0.14189588485241647</v>
      </c>
      <c r="J5" s="42" t="s">
        <v>39</v>
      </c>
      <c r="K5" s="59" t="s">
        <v>40</v>
      </c>
    </row>
    <row r="6" spans="1:12" ht="106.5">
      <c r="A6" s="28" t="str">
        <v>New Milford - Rings End</v>
      </c>
      <c r="B6" s="29" t="str">
        <v>CT</v>
      </c>
      <c r="C6" s="24">
        <v>4925.2999879999998</v>
      </c>
      <c r="D6" s="13" t="s">
        <v>22</v>
      </c>
      <c r="E6" s="13" t="str">
        <f t="shared" si="0"/>
        <v/>
      </c>
      <c r="F6" s="14" t="str">
        <f t="shared" ref="F6" si="3">IFERROR(E6/D6, "")</f>
        <v/>
      </c>
      <c r="G6" s="15">
        <v>6271</v>
      </c>
      <c r="H6" s="15">
        <f t="shared" si="1"/>
        <v>-1345.7000120000002</v>
      </c>
      <c r="I6" s="16">
        <f t="shared" si="2"/>
        <v>-0.2145909762398342</v>
      </c>
      <c r="J6" s="41" t="s">
        <v>41</v>
      </c>
      <c r="K6" s="60" t="s">
        <v>42</v>
      </c>
      <c r="L6" s="58" t="s">
        <v>43</v>
      </c>
    </row>
    <row r="7" spans="1:12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73 I4:I73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hyperlinks>
    <hyperlink ref="K5" r:id="rId1" display="https://us3.assetplanner.com/service_request?ID=098202" xr:uid="{EFD26D77-7955-4995-8014-7B9CF582592F}"/>
    <hyperlink ref="K6" r:id="rId2" display="https://us3.assetplanner.com/service_request?ID=088902" xr:uid="{D17F5C04-FC88-4744-A7AB-EADBC1E4DE05}"/>
    <hyperlink ref="L6" r:id="rId3" display="https://us3.assetplanner.com/service_request?ID=098985" xr:uid="{D96CC36B-46C8-4A87-8B96-28095770079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5"/>
  <sheetViews>
    <sheetView workbookViewId="0">
      <pane xSplit="2" ySplit="3" topLeftCell="F4" activePane="bottomRight" state="frozen"/>
      <selection pane="bottomRight" activeCell="F15" sqref="F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RINGS END</v>
      </c>
      <c r="B1" s="62"/>
      <c r="C1" s="62"/>
      <c r="D1" s="63" t="s">
        <v>44</v>
      </c>
      <c r="E1" s="63"/>
      <c r="F1" s="63"/>
      <c r="G1" s="61" t="s">
        <v>45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/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73 I4:I73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5"/>
  <sheetViews>
    <sheetView workbookViewId="0">
      <pane xSplit="2" ySplit="3" topLeftCell="J4" activePane="bottomRight" state="frozen"/>
      <selection pane="bottomRight" activeCell="F15" sqref="F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RINGS END</v>
      </c>
      <c r="B1" s="62"/>
      <c r="C1" s="62"/>
      <c r="D1" s="63" t="s">
        <v>46</v>
      </c>
      <c r="E1" s="63"/>
      <c r="F1" s="63"/>
      <c r="G1" s="61" t="s">
        <v>47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73 I4:I73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5"/>
  <sheetViews>
    <sheetView workbookViewId="0">
      <pane xSplit="2" ySplit="3" topLeftCell="C4" activePane="bottomRight" state="frozen"/>
      <selection pane="bottomRight" activeCell="F15" sqref="F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RINGS END</v>
      </c>
      <c r="B1" s="62"/>
      <c r="C1" s="62"/>
      <c r="D1" s="63" t="s">
        <v>48</v>
      </c>
      <c r="E1" s="63"/>
      <c r="F1" s="63"/>
      <c r="G1" s="61" t="s">
        <v>49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73 I4:I7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5"/>
  <sheetViews>
    <sheetView workbookViewId="0">
      <pane xSplit="2" ySplit="3" topLeftCell="E4" activePane="bottomRight" state="frozen"/>
      <selection pane="bottomRight" activeCell="F15" sqref="F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RINGS END</v>
      </c>
      <c r="B1" s="62"/>
      <c r="C1" s="62"/>
      <c r="D1" s="63" t="s">
        <v>50</v>
      </c>
      <c r="E1" s="63"/>
      <c r="F1" s="63"/>
      <c r="G1" s="61" t="s">
        <v>51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SUM(C5:C73)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28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IF(AND(ISNUMBER(C6),ISNUMBER(D4)), C6-D4, "")</f>
        <v/>
      </c>
      <c r="F4" s="14" t="str">
        <f>IFERROR(E4/D4, "")</f>
        <v/>
      </c>
      <c r="G4" s="15"/>
      <c r="H4" s="15" t="str">
        <f>IF(AND(ISNUMBER(C6),ISNUMBER(G4)), C6-G4,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>
        <v>0</v>
      </c>
      <c r="E6" s="13" t="str">
        <f>IF(AND(ISNUMBER(#REF!),ISNUMBER(D6)),#REF!- D6, "")</f>
        <v/>
      </c>
      <c r="F6" s="14" t="str">
        <f t="shared" ref="F6" si="3">IFERROR(E6/D6, "")</f>
        <v/>
      </c>
      <c r="G6" s="15"/>
      <c r="H6" s="15" t="str">
        <f>IF(AND(ISNUMBER(#REF!),ISNUMBER(G6)),#REF!- G6, "")</f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73 I4:I73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5"/>
  <sheetViews>
    <sheetView workbookViewId="0">
      <pane xSplit="2" ySplit="3" topLeftCell="G4" activePane="bottomRight" state="frozen"/>
      <selection pane="bottomRight" activeCell="F15" sqref="F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RINGS END</v>
      </c>
      <c r="B1" s="62"/>
      <c r="C1" s="62"/>
      <c r="D1" s="63" t="s">
        <v>52</v>
      </c>
      <c r="E1" s="63"/>
      <c r="F1" s="63"/>
      <c r="G1" s="61" t="s">
        <v>53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73 I4:I73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5"/>
  <sheetViews>
    <sheetView zoomScale="80" zoomScaleNormal="80" workbookViewId="0">
      <pane xSplit="2" ySplit="3" topLeftCell="E4" activePane="bottomRight" state="frozen"/>
      <selection pane="bottomRight" activeCell="F15" sqref="F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RINGS END</v>
      </c>
      <c r="B1" s="62"/>
      <c r="C1" s="62"/>
      <c r="D1" s="63" t="s">
        <v>54</v>
      </c>
      <c r="E1" s="63"/>
      <c r="F1" s="63"/>
      <c r="G1" s="61" t="s">
        <v>55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6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73 I4:I73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5"/>
  <sheetViews>
    <sheetView zoomScale="80" zoomScaleNormal="80" workbookViewId="0">
      <pane xSplit="2" ySplit="3" topLeftCell="G4" activePane="bottomRight" state="frozen"/>
      <selection pane="bottomRight" activeCell="F15" sqref="F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RINGS END</v>
      </c>
      <c r="B1" s="62"/>
      <c r="C1" s="62"/>
      <c r="D1" s="63" t="s">
        <v>56</v>
      </c>
      <c r="E1" s="63"/>
      <c r="F1" s="63"/>
      <c r="G1" s="61" t="s">
        <v>57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33.75" customHeight="1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73 I4:I73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5"/>
  <sheetViews>
    <sheetView zoomScale="80" zoomScaleNormal="80" workbookViewId="0">
      <pane xSplit="2" ySplit="3" topLeftCell="G4" activePane="bottomRight" state="frozen"/>
      <selection pane="bottomRight" activeCell="F15" sqref="F15"/>
      <selection pane="bottomLeft" activeCell="F15" sqref="F15"/>
      <selection pane="topRight" activeCell="F15" sqref="F15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RINGS END</v>
      </c>
      <c r="B1" s="62"/>
      <c r="C1" s="62"/>
      <c r="D1" s="63" t="s">
        <v>58</v>
      </c>
      <c r="E1" s="63"/>
      <c r="F1" s="63"/>
      <c r="G1" s="61" t="s">
        <v>59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33" customHeight="1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73 I4:I73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5"/>
  <sheetViews>
    <sheetView workbookViewId="0">
      <pane xSplit="2" ySplit="3" topLeftCell="C4" activePane="bottomRight" state="frozen"/>
      <selection pane="bottomRight" activeCell="F15" sqref="F15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RINGS END</v>
      </c>
      <c r="B1" s="62"/>
      <c r="C1" s="62"/>
      <c r="D1" s="63" t="s">
        <v>60</v>
      </c>
      <c r="E1" s="63"/>
      <c r="F1" s="63"/>
      <c r="G1" s="61" t="s">
        <v>61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SUM(C4:C73)</f>
        <v>0</v>
      </c>
      <c r="D2" s="5">
        <f>SUM(D4:D73)</f>
        <v>0</v>
      </c>
      <c r="E2" s="5">
        <f>C2-D2</f>
        <v>0</v>
      </c>
      <c r="F2" s="6">
        <f>IFERROR(E2/D2, 0)</f>
        <v>0</v>
      </c>
      <c r="G2" s="5">
        <f>SUM(G4:G73)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6">Sites[Site]</f>
        <v>Branford - Rings End</v>
      </c>
      <c r="B4" s="29" t="str" cm="1">
        <f t="array" ref="B4:B6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Milford - Rings End</v>
      </c>
      <c r="B5" s="31" t="str">
        <v>CT</v>
      </c>
      <c r="C5" s="11"/>
      <c r="D5" s="18">
        <v>0</v>
      </c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:I6" si="2">IFERROR(H5/G5, "")</f>
        <v/>
      </c>
      <c r="J5" s="54"/>
      <c r="K5" s="54"/>
    </row>
    <row r="6" spans="1:11" ht="44.25" customHeight="1">
      <c r="A6" s="28" t="str">
        <v>New Milford - Rings End</v>
      </c>
      <c r="B6" s="29" t="str">
        <v>CT</v>
      </c>
      <c r="C6" s="24"/>
      <c r="D6" s="13">
        <v>0</v>
      </c>
      <c r="E6" s="13" t="str">
        <f t="shared" si="0"/>
        <v/>
      </c>
      <c r="F6" s="14" t="str">
        <f t="shared" ref="F6" si="3">IFERROR(E6/D6, "")</f>
        <v/>
      </c>
      <c r="G6" s="15"/>
      <c r="H6" s="15" t="str">
        <f>IF(AND(ISNUMBER(C6),ISNUMBER(G6)), C6-G6, "")</f>
        <v/>
      </c>
      <c r="I6" s="16" t="str">
        <f t="shared" si="2"/>
        <v/>
      </c>
      <c r="J6" s="53"/>
      <c r="K6" s="53"/>
    </row>
    <row r="7" spans="1:11" ht="14.4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5" stopIfTrue="1" operator="lessThanOrEqual">
      <formula>-0.1</formula>
    </cfRule>
    <cfRule type="expression" dxfId="5" priority="6">
      <formula>AND(ISNUMBER(F2), F2&gt;=0.1)</formula>
    </cfRule>
  </conditionalFormatting>
  <conditionalFormatting sqref="F4:F73 I4:I73">
    <cfRule type="cellIs" dxfId="4" priority="3" stopIfTrue="1" operator="lessThanOrEqual">
      <formula>-0.1</formula>
    </cfRule>
    <cfRule type="expression" dxfId="3" priority="4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0" sqref="E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62</v>
      </c>
      <c r="B1" t="s">
        <v>63</v>
      </c>
    </row>
    <row r="3" spans="1:12" ht="13.15">
      <c r="A3" t="s">
        <v>64</v>
      </c>
      <c r="B3" t="s">
        <v>3</v>
      </c>
      <c r="C3" t="s">
        <v>4</v>
      </c>
      <c r="D3" t="s">
        <v>65</v>
      </c>
      <c r="E3" s="2" t="s">
        <v>66</v>
      </c>
    </row>
    <row r="4" spans="1:12" ht="14.45">
      <c r="A4" s="52" t="s">
        <v>67</v>
      </c>
      <c r="B4" s="52" t="s">
        <v>68</v>
      </c>
      <c r="C4" s="2" t="s">
        <v>69</v>
      </c>
      <c r="D4" s="45" t="s">
        <v>70</v>
      </c>
      <c r="E4" s="51" t="s">
        <v>71</v>
      </c>
      <c r="G4" s="3"/>
    </row>
    <row r="5" spans="1:12" ht="14.45">
      <c r="A5" s="52" t="s">
        <v>72</v>
      </c>
      <c r="B5" s="52" t="s">
        <v>73</v>
      </c>
      <c r="C5" s="2" t="s">
        <v>69</v>
      </c>
      <c r="D5" s="45" t="s">
        <v>70</v>
      </c>
      <c r="E5" s="52" t="s">
        <v>71</v>
      </c>
      <c r="G5" s="3"/>
    </row>
    <row r="6" spans="1:12" ht="14.45">
      <c r="A6" s="52" t="s">
        <v>74</v>
      </c>
      <c r="B6" s="52" t="s">
        <v>75</v>
      </c>
      <c r="C6" s="2" t="s">
        <v>69</v>
      </c>
      <c r="D6" s="45" t="s">
        <v>76</v>
      </c>
      <c r="E6" s="51" t="s">
        <v>71</v>
      </c>
      <c r="G6" s="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  <row r="14" spans="1:12" ht="12.75" customHeight="1">
      <c r="K14" s="43"/>
      <c r="L14" s="43"/>
    </row>
    <row r="15" spans="1:12" ht="12.75" customHeight="1">
      <c r="K15" s="43"/>
      <c r="L15" s="43"/>
    </row>
    <row r="16" spans="1:12" ht="12.75" customHeight="1">
      <c r="K16" s="43"/>
      <c r="L16" s="43"/>
    </row>
    <row r="17" spans="11:12" ht="12.75" customHeight="1">
      <c r="K17" s="43"/>
      <c r="L17" s="43"/>
    </row>
    <row r="18" spans="11:12" ht="12.75" customHeight="1">
      <c r="K18" s="43"/>
      <c r="L18" s="43"/>
    </row>
    <row r="19" spans="11:12" ht="12.75" customHeight="1">
      <c r="K19" s="43"/>
      <c r="L19" s="43"/>
    </row>
    <row r="20" spans="11:12" ht="12.75" customHeight="1">
      <c r="K20" s="43"/>
      <c r="L20" s="43"/>
    </row>
    <row r="21" spans="11:12" ht="12.75" customHeight="1">
      <c r="K21" s="43"/>
      <c r="L21" s="43"/>
    </row>
    <row r="22" spans="11:12" ht="12.75" customHeight="1">
      <c r="K22" s="43"/>
      <c r="L22" s="43"/>
    </row>
    <row r="23" spans="11:12" ht="12.75" customHeight="1">
      <c r="K23" s="43"/>
      <c r="L23" s="43"/>
    </row>
    <row r="24" spans="11:12" ht="12.75" customHeight="1">
      <c r="K24" s="43"/>
      <c r="L24" s="43"/>
    </row>
    <row r="25" spans="11:12" ht="12.75" customHeight="1">
      <c r="K25" s="43"/>
      <c r="L25" s="43"/>
    </row>
    <row r="26" spans="11:12" ht="12.75" customHeight="1">
      <c r="K26" s="43"/>
      <c r="L26" s="43"/>
    </row>
    <row r="27" spans="11:12" ht="12.75" customHeight="1">
      <c r="K27" s="43"/>
      <c r="L27" s="43"/>
    </row>
    <row r="28" spans="11:12" ht="12.75" customHeight="1">
      <c r="K28" s="43"/>
      <c r="L28" s="43"/>
    </row>
    <row r="29" spans="11:12" ht="12.75" customHeight="1">
      <c r="K29" s="43"/>
      <c r="L29" s="43"/>
    </row>
    <row r="30" spans="11:12" ht="12.75" customHeight="1">
      <c r="K30" s="43"/>
      <c r="L30" s="43"/>
    </row>
    <row r="31" spans="11:12" ht="12.75" customHeight="1">
      <c r="K31" s="43"/>
      <c r="L31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F15B343C-B594-4C93-9180-6E0D93AC43E9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