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B9858226-59D0-41B3-A778-9D0F835843A3}" xr6:coauthVersionLast="47" xr6:coauthVersionMax="47" xr10:uidLastSave="{6217A2E2-22B9-4420-B34D-8EFFC1B9365E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G4" i="18"/>
  <c r="G2" i="18" s="1"/>
  <c r="G4" i="30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<sst xmlns="http://schemas.openxmlformats.org/spreadsheetml/2006/main" count="243" uniqueCount="57">
  <si>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</si>
  <si>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</si>
  <si>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</si>
  <si>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</si>
  <si>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</si>
  <si>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</si>
  <si>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</si>
  <si>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</si>
  <si>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</si>
  <si>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</si>
  <si>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</si>
  <si>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</si>
  <si>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</si>
  <si>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</si>
  <si>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</si>
  <si>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</si>
  <si>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</si>
  <si>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</si>
  <si>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</si>
  <si>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</si>
  <si>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</si>
  <si>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</si>
  <si>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offline on 01/20, 01/21, 01/22, and 01/23, and came back online at 10:30 AM on 01/24. Upon the technician's arrival on 01/23, it was stated that he spoke with Solectria, required DMGI and remote support.</t>
  </si>
  <si>
    <t>1.SR095876</t>
  </si>
  <si>
    <t>February Actual v. Expected</t>
  </si>
  <si>
    <t>February Actual v. Forecasted</t>
  </si>
  <si>
    <t>1.Low generation due to snow/rain.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</si>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</sst>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45" applyNumberFormat="1" applyFill="1" applyBorder="1" applyAlignment="1">
      <alignment vertical="top" wrapText="1"/>
    </xf>
    <xf numFmtId="0" fontId="34" fillId="4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8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SUM(C4:C64)</f>
        <v>445448</v>
      </c>
      <c r="D2" s="5">
        <f>SUM(D4:D64)</f>
        <v>504116.39999999997</v>
      </c>
      <c r="E2" s="5">
        <f>C2-D2</f>
        <v>-58668.399999999965</v>
      </c>
      <c r="F2" s="6">
        <f>IFERROR(E2/D2, 0)</f>
        <v>-0.1163786776228664</v>
      </c>
      <c r="G2" s="5">
        <f>SUM(G4:G64)</f>
        <v>502772.30000000005</v>
      </c>
      <c r="H2" s="7">
        <f>C2-G2</f>
        <v>-57324.300000000047</v>
      </c>
      <c r="I2" s="6">
        <f>IFERROR(H2/G2, 0)</f>
        <v>-0.11401642453253698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445448</v>
      </c>
      <c r="D4" s="11">
        <f>SUM('1st Qtr'!D4, '2nd Qtr'!D4, '3rd Qtr'!D4, '4th Qtr'!D4)</f>
        <v>504116.39999999997</v>
      </c>
      <c r="E4" s="11">
        <f>IF(AND(ISNUMBER(C4),ISNUMBER(D4)), C4-D4, "")</f>
        <v>-58668.399999999965</v>
      </c>
      <c r="F4" s="12">
        <f>IFERROR(E4/D4, "")</f>
        <v>-0.1163786776228664</v>
      </c>
      <c r="G4" s="13">
        <f>SUM('1st Qtr'!G4, '2nd Qtr'!G4, '3rd Qtr'!G4, '4th Qtr'!G4)</f>
        <v>502772.30000000005</v>
      </c>
      <c r="H4" s="13">
        <f>SUM('1st Qtr'!H4, '2nd Qtr'!H4, '3rd Qtr'!H4, '4th Qtr'!H4)</f>
        <v>-57324.3</v>
      </c>
      <c r="I4" s="14">
        <f>IFERROR(H4/G4, "")</f>
        <v>-0.11401642453253689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SUM(C4:C64)</f>
        <v>445448</v>
      </c>
      <c r="D2" s="5">
        <f>SUM(D4:D64)</f>
        <v>504116.39999999997</v>
      </c>
      <c r="E2" s="5">
        <f>C2-D2</f>
        <v>-58668.399999999965</v>
      </c>
      <c r="F2" s="6">
        <f>IFERROR(E2/D2, 0)</f>
        <v>-0.1163786776228664</v>
      </c>
      <c r="G2" s="5">
        <f>SUM(G4:G64)</f>
        <v>502772.30000000005</v>
      </c>
      <c r="H2" s="7">
        <f>C2-G2</f>
        <v>-57324.300000000047</v>
      </c>
      <c r="I2" s="6">
        <f>IFERROR(H2/G2, 0)</f>
        <v>-0.11401642453253698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445448</v>
      </c>
      <c r="D4" s="11">
        <f>SUM(Jan!D4, Feb!D4, Mar!D4)</f>
        <v>504116.39999999997</v>
      </c>
      <c r="E4" s="11">
        <f>IF(AND(ISNUMBER(C4),ISNUMBER(D4)), C4-D4, "")</f>
        <v>-58668.399999999965</v>
      </c>
      <c r="F4" s="12">
        <f>IFERROR(E4/D4, "")</f>
        <v>-0.1163786776228664</v>
      </c>
      <c r="G4" s="13">
        <f>SUM(Jan!G4, Feb!G4, Mar!G4)</f>
        <v>502772.30000000005</v>
      </c>
      <c r="H4" s="13">
        <f>SUM(Jan!H4, Feb!H4, Mar!H4)</f>
        <v>-57324.3</v>
      </c>
      <c r="I4" s="14">
        <f>IFERROR(H4/G4, "")</f>
        <v>-0.11401642453253689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C4" sqref="C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E15" sqref="E15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F13" sqref="F13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SUM(C4:C63)</f>
        <v>106172</v>
      </c>
      <c r="D2" s="5">
        <f>SUM(D4:D63)</f>
        <v>130820.8</v>
      </c>
      <c r="E2" s="5">
        <f>C2-D2</f>
        <v>-24648.800000000003</v>
      </c>
      <c r="F2" s="6">
        <f>IFERROR(E2/D2, 0)</f>
        <v>-0.18841652092022065</v>
      </c>
      <c r="G2" s="5">
        <f>SUM(G4:G63)</f>
        <v>119585.7</v>
      </c>
      <c r="H2" s="7">
        <f>C2-G2</f>
        <v>-13413.699999999997</v>
      </c>
      <c r="I2" s="6">
        <f>IFERROR(H2/G2, 0)</f>
        <v>-0.1121680936767523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44" t="str" cm="1">
        <f t="array" ref="A4">Sites[Site]</f>
        <v>MA: West Bridgewater - One United</v>
      </c>
      <c r="B4" s="22" t="str" cm="1">
        <f t="array" ref="B4">Sites[State]</f>
        <v>MA</v>
      </c>
      <c r="C4" s="11">
        <v>106172</v>
      </c>
      <c r="D4" s="11">
        <v>130820.8</v>
      </c>
      <c r="E4" s="11">
        <f>IF(AND(ISNUMBER(C4),ISNUMBER(D4)), C4-D4, "")</f>
        <v>-24648.800000000003</v>
      </c>
      <c r="F4" s="34">
        <f>IFERROR(E4/D4, "")</f>
        <v>-0.18841652092022065</v>
      </c>
      <c r="G4" s="13">
        <v>119585.7</v>
      </c>
      <c r="H4" s="13">
        <f>IF(AND(ISNUMBER(C4),ISNUMBER(G4)), C4-G4, "")</f>
        <v>-13413.699999999997</v>
      </c>
      <c r="I4" s="14">
        <f>IFERROR(H4/G4, "")</f>
        <v>-0.1121680936767523</v>
      </c>
      <c r="J4" s="32" t="s">
        <v>22</v>
      </c>
      <c r="K4" s="43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5876" xr:uid="{43D55C51-84DA-4E74-B078-18BA72E2FAC3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J9" sqref="J9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115882</v>
      </c>
      <c r="D2" s="5">
        <f>SUM(D4:D64)</f>
        <v>152671.79999999999</v>
      </c>
      <c r="E2" s="5">
        <f>C2-D2</f>
        <v>-36789.799999999988</v>
      </c>
      <c r="F2" s="6">
        <f>IFERROR(E2/D2, 0)</f>
        <v>-0.24097312011779512</v>
      </c>
      <c r="G2" s="5">
        <f>SUM(G4:G64)</f>
        <v>152977</v>
      </c>
      <c r="H2" s="7">
        <f>C2-G2</f>
        <v>-37095</v>
      </c>
      <c r="I2" s="6">
        <f>IFERROR(H2/G2, 0)</f>
        <v>-0.24248743275132864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115882</v>
      </c>
      <c r="D4" s="11">
        <v>152671.79999999999</v>
      </c>
      <c r="E4" s="11">
        <f>IF(AND(ISNUMBER(C4),ISNUMBER(D4)), C4-D4, "")</f>
        <v>-36789.799999999988</v>
      </c>
      <c r="F4" s="12">
        <f>IFERROR(E4/D4, "")</f>
        <v>-0.24097312011779512</v>
      </c>
      <c r="G4" s="13">
        <v>152977</v>
      </c>
      <c r="H4" s="13">
        <f>IF(AND(ISNUMBER(C4),ISNUMBER(G4)), C4-G4, "")</f>
        <v>-37095</v>
      </c>
      <c r="I4" s="14">
        <f>IFERROR(H4/G4, "")</f>
        <v>-0.24248743275132864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tabSelected="1" zoomScale="80" zoomScaleNormal="80" workbookViewId="0">
      <pane xSplit="2" ySplit="3" topLeftCell="C4" activePane="bottomRight" state="frozen"/>
      <selection pane="bottomRight" activeCell="E11" sqref="E11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27</v>
      </c>
      <c r="E1" s="47"/>
      <c r="F1" s="47"/>
      <c r="G1" s="45" t="s">
        <v>28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223394</v>
      </c>
      <c r="D2" s="5">
        <f>SUM(D4:D64)</f>
        <v>220623.8</v>
      </c>
      <c r="E2" s="5">
        <f>C2-D2</f>
        <v>2770.2000000000116</v>
      </c>
      <c r="F2" s="6">
        <f>IFERROR(E2/D2, 0)</f>
        <v>1.2556215603212399E-2</v>
      </c>
      <c r="G2" s="5">
        <f>SUM(G4:G64)</f>
        <v>230209.6</v>
      </c>
      <c r="H2" s="7">
        <f>C2-G2</f>
        <v>-6815.6000000000058</v>
      </c>
      <c r="I2" s="6">
        <f>IFERROR(H2/G2, 0)</f>
        <v>-2.9606063344013479E-2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223394</v>
      </c>
      <c r="D4" s="11">
        <v>220623.8</v>
      </c>
      <c r="E4" s="11">
        <f>IF(AND(ISNUMBER(C4),ISNUMBER(D4)), C4-D4, "")</f>
        <v>2770.2000000000116</v>
      </c>
      <c r="F4" s="12">
        <f>IFERROR(E4/D4, "")</f>
        <v>1.2556215603212399E-2</v>
      </c>
      <c r="G4" s="13">
        <v>230209.6</v>
      </c>
      <c r="H4" s="13">
        <f>IF(AND(ISNUMBER(C4),ISNUMBER(G4)), C4-G4, "")</f>
        <v>-6815.6000000000058</v>
      </c>
      <c r="I4" s="14">
        <f>IFERROR(H4/G4, "")</f>
        <v>-2.9606063344013479E-2</v>
      </c>
      <c r="J4" s="42"/>
      <c r="K4" s="4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90" zoomScaleNormal="90" workbookViewId="0">
      <pane xSplit="2" ySplit="3" topLeftCell="C4" activePane="bottomRight" state="frozen"/>
      <selection pane="bottomRight" activeCell="J4" sqref="J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H17" sqref="H17"/>
      <selection pane="bottomLeft" activeCell="H23" sqref="H23"/>
      <selection pane="topRight" activeCell="H23" sqref="H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38" t="s">
        <v>52</v>
      </c>
      <c r="B4" t="s">
        <v>53</v>
      </c>
      <c r="C4" s="36" t="s">
        <v>54</v>
      </c>
      <c r="D4" s="40" t="s">
        <v>55</v>
      </c>
      <c r="E4" s="41" t="s">
        <v>56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9290D7EB-5690-405B-9114-09D0E784C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