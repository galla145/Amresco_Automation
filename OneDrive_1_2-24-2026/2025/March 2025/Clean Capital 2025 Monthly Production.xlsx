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889B0AC1-05DB-4CD5-9969-8156C04A4AD4}" xr6:coauthVersionLast="47" xr6:coauthVersionMax="47" xr10:uidLastSave="{00000000-0000-0000-0000-000000000000}"/>
  <bookViews>
    <workbookView xWindow="28680" yWindow="-120" windowWidth="29040" windowHeight="15720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4" l="1"/>
  <c r="H18" i="4"/>
  <c r="H19" i="4"/>
  <c r="H20" i="4"/>
  <c r="H21" i="4"/>
  <c r="H22" i="4"/>
  <c r="H23" i="4"/>
  <c r="I8" i="30"/>
  <c r="I9" i="30"/>
  <c r="I10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I23" i="30"/>
  <c r="I24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F8" i="30"/>
  <c r="F9" i="30"/>
  <c r="F10" i="30"/>
  <c r="F11" i="30"/>
  <c r="F12" i="30"/>
  <c r="F13" i="30"/>
  <c r="F14" i="30"/>
  <c r="F15" i="30"/>
  <c r="F16" i="30"/>
  <c r="F17" i="30"/>
  <c r="F18" i="30"/>
  <c r="F19" i="30"/>
  <c r="F20" i="30"/>
  <c r="F21" i="30"/>
  <c r="F22" i="30"/>
  <c r="F23" i="30"/>
  <c r="F24" i="30"/>
  <c r="E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H8" i="29"/>
  <c r="H9" i="29"/>
  <c r="H10" i="29"/>
  <c r="H11" i="29"/>
  <c r="H12" i="29"/>
  <c r="H13" i="29"/>
  <c r="H14" i="29"/>
  <c r="H15" i="29"/>
  <c r="H16" i="29"/>
  <c r="H17" i="29"/>
  <c r="H18" i="29"/>
  <c r="H19" i="29"/>
  <c r="H20" i="29"/>
  <c r="H21" i="29"/>
  <c r="H22" i="29"/>
  <c r="H23" i="29"/>
  <c r="H24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E8" i="29"/>
  <c r="F8" i="29" s="1"/>
  <c r="E9" i="29"/>
  <c r="F9" i="29" s="1"/>
  <c r="E10" i="29"/>
  <c r="F10" i="29" s="1"/>
  <c r="E11" i="29"/>
  <c r="F11" i="29" s="1"/>
  <c r="E12" i="29"/>
  <c r="F12" i="29" s="1"/>
  <c r="E13" i="29"/>
  <c r="F13" i="29" s="1"/>
  <c r="E14" i="29"/>
  <c r="F14" i="29" s="1"/>
  <c r="E15" i="29"/>
  <c r="F15" i="29" s="1"/>
  <c r="E16" i="29"/>
  <c r="F16" i="29" s="1"/>
  <c r="E17" i="29"/>
  <c r="F17" i="29" s="1"/>
  <c r="E18" i="29"/>
  <c r="F18" i="29" s="1"/>
  <c r="E19" i="29"/>
  <c r="F19" i="29" s="1"/>
  <c r="E20" i="29"/>
  <c r="F20" i="29" s="1"/>
  <c r="E21" i="29"/>
  <c r="F21" i="29" s="1"/>
  <c r="E22" i="29"/>
  <c r="F22" i="29" s="1"/>
  <c r="E23" i="29"/>
  <c r="F23" i="29" s="1"/>
  <c r="E24" i="29"/>
  <c r="F24" i="29" s="1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D24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H8" i="1"/>
  <c r="H9" i="1"/>
  <c r="H10" i="1"/>
  <c r="H11" i="1"/>
  <c r="H12" i="1"/>
  <c r="H13" i="1"/>
  <c r="H14" i="1"/>
  <c r="H15" i="1"/>
  <c r="H16" i="1"/>
  <c r="H17" i="1"/>
  <c r="H18" i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16" i="1"/>
  <c r="G16" i="34" s="1"/>
  <c r="G17" i="1"/>
  <c r="G17" i="34" s="1"/>
  <c r="G18" i="1"/>
  <c r="G18" i="34" s="1"/>
  <c r="G19" i="1"/>
  <c r="G19" i="34" s="1"/>
  <c r="G20" i="1"/>
  <c r="G20" i="34" s="1"/>
  <c r="G21" i="1"/>
  <c r="G21" i="34" s="1"/>
  <c r="G22" i="1"/>
  <c r="G22" i="34" s="1"/>
  <c r="G23" i="1"/>
  <c r="G23" i="34" s="1"/>
  <c r="G24" i="1"/>
  <c r="G24" i="34" s="1"/>
  <c r="D8" i="1"/>
  <c r="D8" i="34" s="1"/>
  <c r="D9" i="1"/>
  <c r="D10" i="1"/>
  <c r="D11" i="1"/>
  <c r="D12" i="1"/>
  <c r="D13" i="1"/>
  <c r="D14" i="1"/>
  <c r="D15" i="1"/>
  <c r="D16" i="1"/>
  <c r="D17" i="1"/>
  <c r="D17" i="34" s="1"/>
  <c r="D18" i="1"/>
  <c r="D18" i="34" s="1"/>
  <c r="D19" i="1"/>
  <c r="D19" i="34" s="1"/>
  <c r="D20" i="1"/>
  <c r="D20" i="34" s="1"/>
  <c r="D21" i="1"/>
  <c r="D21" i="34" s="1"/>
  <c r="D22" i="1"/>
  <c r="D22" i="34" s="1"/>
  <c r="D23" i="1"/>
  <c r="D23" i="34" s="1"/>
  <c r="D24" i="1"/>
  <c r="D24" i="34" s="1"/>
  <c r="C8" i="1"/>
  <c r="C9" i="1"/>
  <c r="C9" i="34" s="1"/>
  <c r="C10" i="1"/>
  <c r="C10" i="34" s="1"/>
  <c r="C11" i="1"/>
  <c r="C11" i="34" s="1"/>
  <c r="C12" i="1"/>
  <c r="C12" i="34" s="1"/>
  <c r="C13" i="1"/>
  <c r="C13" i="34" s="1"/>
  <c r="C14" i="1"/>
  <c r="C14" i="34" s="1"/>
  <c r="C15" i="1"/>
  <c r="C15" i="34" s="1"/>
  <c r="C16" i="1"/>
  <c r="C16" i="34" s="1"/>
  <c r="C17" i="1"/>
  <c r="C18" i="1"/>
  <c r="C19" i="1"/>
  <c r="C20" i="1"/>
  <c r="C21" i="1"/>
  <c r="C22" i="1"/>
  <c r="C23" i="1"/>
  <c r="C24" i="1"/>
  <c r="E7" i="3"/>
  <c r="F7" i="3"/>
  <c r="H7" i="3"/>
  <c r="I7" i="3"/>
  <c r="E12" i="4"/>
  <c r="F12" i="4" s="1"/>
  <c r="H12" i="4"/>
  <c r="I12" i="4" s="1"/>
  <c r="E13" i="4"/>
  <c r="F13" i="4" s="1"/>
  <c r="H13" i="4"/>
  <c r="I13" i="4" s="1"/>
  <c r="E14" i="4"/>
  <c r="F14" i="4"/>
  <c r="H14" i="4"/>
  <c r="I14" i="4" s="1"/>
  <c r="E15" i="4"/>
  <c r="F15" i="4" s="1"/>
  <c r="H15" i="4"/>
  <c r="I15" i="4" s="1"/>
  <c r="E16" i="4"/>
  <c r="F16" i="4" s="1"/>
  <c r="H16" i="4"/>
  <c r="I16" i="4" s="1"/>
  <c r="E17" i="4"/>
  <c r="F17" i="4"/>
  <c r="I17" i="4"/>
  <c r="E18" i="4"/>
  <c r="F18" i="4" s="1"/>
  <c r="I18" i="4"/>
  <c r="E19" i="4"/>
  <c r="F19" i="4" s="1"/>
  <c r="E20" i="4"/>
  <c r="F20" i="4"/>
  <c r="H20" i="1"/>
  <c r="I20" i="4"/>
  <c r="E21" i="4"/>
  <c r="F21" i="4" s="1"/>
  <c r="E22" i="4"/>
  <c r="F22" i="4" s="1"/>
  <c r="H22" i="1"/>
  <c r="I22" i="4"/>
  <c r="E23" i="4"/>
  <c r="F23" i="4"/>
  <c r="H23" i="1"/>
  <c r="I23" i="4"/>
  <c r="E24" i="4"/>
  <c r="F24" i="4" s="1"/>
  <c r="H24" i="4"/>
  <c r="D4" i="18"/>
  <c r="D5" i="18"/>
  <c r="D6" i="18"/>
  <c r="D7" i="18"/>
  <c r="C4" i="18"/>
  <c r="C5" i="18"/>
  <c r="C6" i="18"/>
  <c r="C7" i="18"/>
  <c r="G4" i="18"/>
  <c r="G5" i="18"/>
  <c r="G6" i="18"/>
  <c r="G7" i="18"/>
  <c r="H5" i="33"/>
  <c r="I5" i="33" s="1"/>
  <c r="H6" i="33"/>
  <c r="I6" i="33" s="1"/>
  <c r="H7" i="33"/>
  <c r="I7" i="33" s="1"/>
  <c r="H8" i="33"/>
  <c r="I8" i="33" s="1"/>
  <c r="H9" i="33"/>
  <c r="I9" i="33" s="1"/>
  <c r="H10" i="33"/>
  <c r="I10" i="33" s="1"/>
  <c r="H11" i="33"/>
  <c r="I11" i="33" s="1"/>
  <c r="H12" i="33"/>
  <c r="I12" i="33" s="1"/>
  <c r="E5" i="33"/>
  <c r="F5" i="33" s="1"/>
  <c r="E6" i="33"/>
  <c r="F6" i="33" s="1"/>
  <c r="E7" i="33"/>
  <c r="F7" i="33" s="1"/>
  <c r="E8" i="33"/>
  <c r="F8" i="33" s="1"/>
  <c r="E9" i="33"/>
  <c r="F9" i="33" s="1"/>
  <c r="E10" i="33"/>
  <c r="F10" i="33" s="1"/>
  <c r="E11" i="33"/>
  <c r="F11" i="33" s="1"/>
  <c r="E12" i="33"/>
  <c r="F12" i="33" s="1"/>
  <c r="C24" i="34" l="1"/>
  <c r="E24" i="34" s="1"/>
  <c r="F24" i="34" s="1"/>
  <c r="E24" i="1"/>
  <c r="F24" i="1" s="1"/>
  <c r="C23" i="34"/>
  <c r="E23" i="34" s="1"/>
  <c r="F23" i="34" s="1"/>
  <c r="E23" i="1"/>
  <c r="F23" i="1" s="1"/>
  <c r="C22" i="34"/>
  <c r="E22" i="34" s="1"/>
  <c r="F22" i="34" s="1"/>
  <c r="E22" i="1"/>
  <c r="F22" i="1" s="1"/>
  <c r="C21" i="34"/>
  <c r="E21" i="34" s="1"/>
  <c r="F21" i="34" s="1"/>
  <c r="E21" i="1"/>
  <c r="F21" i="1" s="1"/>
  <c r="C20" i="34"/>
  <c r="E20" i="34" s="1"/>
  <c r="F20" i="34" s="1"/>
  <c r="E20" i="1"/>
  <c r="F20" i="1" s="1"/>
  <c r="C19" i="34"/>
  <c r="E19" i="34" s="1"/>
  <c r="F19" i="34" s="1"/>
  <c r="E19" i="1"/>
  <c r="F19" i="1" s="1"/>
  <c r="C18" i="34"/>
  <c r="E18" i="34" s="1"/>
  <c r="F18" i="34" s="1"/>
  <c r="E18" i="1"/>
  <c r="F18" i="1" s="1"/>
  <c r="C17" i="34"/>
  <c r="E17" i="34" s="1"/>
  <c r="F17" i="34" s="1"/>
  <c r="E17" i="1"/>
  <c r="F17" i="1" s="1"/>
  <c r="H16" i="34"/>
  <c r="I16" i="34" s="1"/>
  <c r="I16" i="1"/>
  <c r="H15" i="34"/>
  <c r="I15" i="34" s="1"/>
  <c r="I15" i="1"/>
  <c r="H14" i="34"/>
  <c r="I14" i="34" s="1"/>
  <c r="I14" i="1"/>
  <c r="H13" i="34"/>
  <c r="I13" i="34" s="1"/>
  <c r="I13" i="1"/>
  <c r="H12" i="34"/>
  <c r="I12" i="34" s="1"/>
  <c r="I12" i="1"/>
  <c r="C8" i="34"/>
  <c r="E8" i="34" s="1"/>
  <c r="F8" i="34" s="1"/>
  <c r="E8" i="1"/>
  <c r="F8" i="1" s="1"/>
  <c r="H11" i="34"/>
  <c r="I11" i="34" s="1"/>
  <c r="I11" i="1"/>
  <c r="H10" i="34"/>
  <c r="I10" i="34" s="1"/>
  <c r="I10" i="1"/>
  <c r="H9" i="34"/>
  <c r="I9" i="34" s="1"/>
  <c r="I9" i="1"/>
  <c r="H8" i="34"/>
  <c r="I8" i="34" s="1"/>
  <c r="I8" i="1"/>
  <c r="H18" i="34"/>
  <c r="I18" i="34" s="1"/>
  <c r="I18" i="1"/>
  <c r="H17" i="34"/>
  <c r="I17" i="34" s="1"/>
  <c r="I17" i="1"/>
  <c r="H22" i="34"/>
  <c r="I22" i="34" s="1"/>
  <c r="I22" i="1"/>
  <c r="I21" i="4"/>
  <c r="H21" i="1"/>
  <c r="H20" i="34"/>
  <c r="I20" i="34" s="1"/>
  <c r="I20" i="1"/>
  <c r="I19" i="4"/>
  <c r="H19" i="1"/>
  <c r="I24" i="4"/>
  <c r="H24" i="1"/>
  <c r="H23" i="34"/>
  <c r="I23" i="34" s="1"/>
  <c r="I23" i="1"/>
  <c r="D16" i="34"/>
  <c r="E16" i="34" s="1"/>
  <c r="F16" i="34" s="1"/>
  <c r="E16" i="1"/>
  <c r="F16" i="1" s="1"/>
  <c r="D15" i="34"/>
  <c r="E15" i="34" s="1"/>
  <c r="F15" i="34" s="1"/>
  <c r="E15" i="1"/>
  <c r="F15" i="1" s="1"/>
  <c r="D14" i="34"/>
  <c r="E14" i="34" s="1"/>
  <c r="F14" i="34" s="1"/>
  <c r="E14" i="1"/>
  <c r="F14" i="1" s="1"/>
  <c r="D13" i="34"/>
  <c r="E13" i="34" s="1"/>
  <c r="F13" i="34" s="1"/>
  <c r="E13" i="1"/>
  <c r="F13" i="1" s="1"/>
  <c r="D12" i="34"/>
  <c r="E12" i="34" s="1"/>
  <c r="F12" i="34" s="1"/>
  <c r="E12" i="1"/>
  <c r="F12" i="1" s="1"/>
  <c r="D11" i="34"/>
  <c r="E11" i="34" s="1"/>
  <c r="F11" i="34" s="1"/>
  <c r="E11" i="1"/>
  <c r="F11" i="1" s="1"/>
  <c r="D10" i="34"/>
  <c r="E10" i="34" s="1"/>
  <c r="F10" i="34" s="1"/>
  <c r="E10" i="1"/>
  <c r="F10" i="1" s="1"/>
  <c r="D9" i="34"/>
  <c r="E9" i="34" s="1"/>
  <c r="F9" i="34" s="1"/>
  <c r="E9" i="1"/>
  <c r="F9" i="1" s="1"/>
  <c r="G6" i="30"/>
  <c r="G7" i="30"/>
  <c r="G5" i="30"/>
  <c r="G4" i="30"/>
  <c r="E5" i="28"/>
  <c r="F5" i="28" s="1"/>
  <c r="E5" i="27"/>
  <c r="G5" i="29"/>
  <c r="G6" i="29"/>
  <c r="G7" i="29"/>
  <c r="G4" i="29"/>
  <c r="E12" i="19"/>
  <c r="E5" i="20"/>
  <c r="E4" i="4"/>
  <c r="F4" i="4"/>
  <c r="H4" i="4"/>
  <c r="I4" i="4"/>
  <c r="E5" i="4"/>
  <c r="F5" i="4"/>
  <c r="H5" i="4"/>
  <c r="I5" i="4"/>
  <c r="E6" i="4"/>
  <c r="F6" i="4"/>
  <c r="H6" i="4"/>
  <c r="I6" i="4"/>
  <c r="E7" i="4"/>
  <c r="F7" i="4"/>
  <c r="H7" i="4"/>
  <c r="I7" i="4"/>
  <c r="E8" i="4"/>
  <c r="F8" i="4"/>
  <c r="H8" i="4"/>
  <c r="I8" i="4"/>
  <c r="E9" i="4"/>
  <c r="F9" i="4" s="1"/>
  <c r="H9" i="4"/>
  <c r="I9" i="4" s="1"/>
  <c r="E10" i="4"/>
  <c r="F10" i="4"/>
  <c r="H10" i="4"/>
  <c r="I10" i="4" s="1"/>
  <c r="E11" i="4"/>
  <c r="F11" i="4" s="1"/>
  <c r="H11" i="4"/>
  <c r="I11" i="4" s="1"/>
  <c r="H21" i="34" l="1"/>
  <c r="I21" i="34" s="1"/>
  <c r="I21" i="1"/>
  <c r="H19" i="34"/>
  <c r="I19" i="34" s="1"/>
  <c r="I19" i="1"/>
  <c r="H24" i="34"/>
  <c r="I24" i="34" s="1"/>
  <c r="I24" i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6" i="34" s="1"/>
  <c r="G7" i="1"/>
  <c r="G7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D4" i="30"/>
  <c r="C4" i="30"/>
  <c r="D7" i="29"/>
  <c r="C7" i="29"/>
  <c r="D6" i="29"/>
  <c r="C6" i="29"/>
  <c r="D5" i="29"/>
  <c r="C5" i="29"/>
  <c r="D4" i="29"/>
  <c r="C4" i="29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F5" i="27"/>
  <c r="H4" i="27"/>
  <c r="I4" i="27" s="1"/>
  <c r="E4" i="27"/>
  <c r="F4" i="27" s="1"/>
  <c r="G2" i="27"/>
  <c r="D2" i="27"/>
  <c r="C2" i="27"/>
  <c r="A1" i="27" a="1"/>
  <c r="A1" i="27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2" i="19"/>
  <c r="I12" i="19" s="1"/>
  <c r="F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F5" i="20"/>
  <c r="H4" i="20"/>
  <c r="I4" i="20" s="1"/>
  <c r="E4" i="20"/>
  <c r="F4" i="20" s="1"/>
  <c r="G2" i="20"/>
  <c r="D2" i="20"/>
  <c r="C2" i="20"/>
  <c r="A1" i="20" a="1"/>
  <c r="A1" i="20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G2" i="4"/>
  <c r="D2" i="4"/>
  <c r="C2" i="4"/>
  <c r="J2" i="4" s="1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5" i="72"/>
  <c r="I5" i="72" s="1"/>
  <c r="H4" i="72"/>
  <c r="I4" i="72" s="1"/>
  <c r="G2" i="72"/>
  <c r="D2" i="72"/>
  <c r="C2" i="72"/>
  <c r="J2" i="72" s="1"/>
  <c r="A1" i="72" a="1"/>
  <c r="A1" i="72" s="1"/>
  <c r="C5" i="34" l="1"/>
  <c r="D5" i="34"/>
  <c r="C6" i="34"/>
  <c r="D6" i="34"/>
  <c r="C7" i="34"/>
  <c r="D7" i="34"/>
  <c r="H6" i="29"/>
  <c r="I6" i="29" s="1"/>
  <c r="E7" i="18"/>
  <c r="F7" i="18" s="1"/>
  <c r="D4" i="34"/>
  <c r="D2" i="18"/>
  <c r="H6" i="30"/>
  <c r="H7" i="29"/>
  <c r="I7" i="29" s="1"/>
  <c r="E4" i="18"/>
  <c r="F4" i="18" s="1"/>
  <c r="E4" i="30"/>
  <c r="F4" i="30" s="1"/>
  <c r="D2" i="29"/>
  <c r="I10" i="27"/>
  <c r="E5" i="18"/>
  <c r="F5" i="18" s="1"/>
  <c r="E5" i="29"/>
  <c r="F5" i="29" s="1"/>
  <c r="E5" i="30"/>
  <c r="F5" i="30" s="1"/>
  <c r="E6" i="18"/>
  <c r="F6" i="18" s="1"/>
  <c r="E6" i="29"/>
  <c r="F6" i="29" s="1"/>
  <c r="E6" i="30"/>
  <c r="F6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H2" i="3"/>
  <c r="I2" i="3" s="1"/>
  <c r="E7" i="1"/>
  <c r="F7" i="1" s="1"/>
  <c r="G2" i="1"/>
  <c r="E5" i="1"/>
  <c r="F5" i="1" s="1"/>
  <c r="E6" i="1"/>
  <c r="F6" i="1" s="1"/>
  <c r="H4" i="30"/>
  <c r="I4" i="30" s="1"/>
  <c r="E7" i="30"/>
  <c r="F7" i="30" s="1"/>
  <c r="H7" i="30"/>
  <c r="H5" i="30"/>
  <c r="E7" i="29"/>
  <c r="F7" i="29" s="1"/>
  <c r="I6" i="26"/>
  <c r="I9" i="26"/>
  <c r="I12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E7" i="34"/>
  <c r="F7" i="34" s="1"/>
  <c r="E6" i="34"/>
  <c r="F6" i="34" s="1"/>
  <c r="D2" i="34"/>
  <c r="I5" i="30"/>
  <c r="H5" i="34"/>
  <c r="I5" i="34" s="1"/>
  <c r="I7" i="30"/>
  <c r="H7" i="34"/>
  <c r="I7" i="34" s="1"/>
  <c r="I6" i="30"/>
  <c r="H6" i="34"/>
  <c r="I6" i="34" s="1"/>
  <c r="E2" i="29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<sst xmlns="http://schemas.openxmlformats.org/spreadsheetml/2006/main" count="411" uniqueCount="158">
  <si>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</si>
  <si>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</si>
  <si>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</si>
  <si>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</si>
  <si>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</si>
  <si>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</si>
  <si>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</si>
  <si>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</si>
  <si>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</si>
  <si>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</si>
  <si>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</si>
  <si>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</si>
  <si>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</si>
  <si>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</si>
  <si>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</si>
  <si>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</si>
  <si>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</si>
  <si>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</si>
  <si>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</si>
  <si>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</si>
  <si>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Notes1</t>
  </si>
  <si>
    <t>Service Requests</t>
  </si>
  <si>
    <t>1. Inverter 2 is offline from 01/01 due to several isolation errors.</t>
  </si>
  <si>
    <t>1.	SR095368</t>
  </si>
  <si>
    <t xml:space="preserve">1. Inverters D, I, and O were offline due to arc faults, while inverters L and Q had been offline since 12/08/23, and Inverter P had been offline since 06/14/24. On 01/17, a technician visited the site, troubleshot all inverters, and brought them back online except for inverter K, which remained out of service due to a non-functional LED screen. Inverter K has been RMA’d.
</t>
  </si>
  <si>
    <t>1.SR095501</t>
  </si>
  <si>
    <t>1. Site started derated at 12:30pm and later was offline at 15:00 on 01/29 through out the month.</t>
  </si>
  <si>
    <t>1.SR096179</t>
  </si>
  <si>
    <t>February Actual v. Expected</t>
  </si>
  <si>
    <t>February Actual v. Forecasted</t>
  </si>
  <si>
    <t>1. Inverter 2 is offline from 01/01 due to several isolation errors.
2. Inverter 1 tripped offline since 02/25 due to insulation faults.</t>
  </si>
  <si>
    <t>1.SR095368
2.SR097850</t>
  </si>
  <si>
    <t>SR097850</t>
  </si>
  <si>
    <t>1.Inverters L, N, P, and Q were offline, and Inverter I was reporting an ARC fault. On 02/20 upon the technician's arrival, it was found that Inverters L, P, and Q were offline, Inverter I was offline and reporting an ARC fault, while Inverter N was also reporting an ARC fault. The fault was cleared, and the inverters L, Q, I and N was power-cycled and they are  back online. But Inverters N and P are out of warranty required additional troubleshoot.
2.Inverter K has been RMA’d, On 02/04, the technician brought Inverter K back online by updating its software.</t>
  </si>
  <si>
    <t>1.SR096409, 	SR097783
2.SR095501</t>
  </si>
  <si>
    <t>SR097783</t>
  </si>
  <si>
    <t>SR095501</t>
  </si>
  <si>
    <t>1.The site has been offline since 01/29. On 02/03, upon the technician's arrival, it was found that DC strings CB1, string 10, and CB6, string 7, each had no open-circuit string voltage, even without the fuse. After isolating these strings, the inverter was re-energized, and the site was brought back online at 02:45 PM on 02/03.</t>
  </si>
  <si>
    <t>1.SR096179, 	SR096262</t>
  </si>
  <si>
    <t>SR096262</t>
  </si>
  <si>
    <t>March Actual v. Expected</t>
  </si>
  <si>
    <t>March Actual v. Forecasted</t>
  </si>
  <si>
    <t>Notes</t>
  </si>
  <si>
    <t>N/A</t>
  </si>
  <si>
    <t>1. Inverter 2 is offline from 01/01 due to several isolation errors.
2. Inverter 1 tripped offline on 02/25 due to insulation faults and came back online at 02:35 on 03/01. It has also gone offline multiple times throughout the month.</t>
  </si>
  <si>
    <t>1.Inverter L tripped offline due to Arc fault detected from 09:50AM on 03/02 through out the month.
2.Inverter I tripped offline due to an arc fault from 17:10 on 03/09 through out the month.
3.Site was offline between 9AM to 10:30Am on 03/07 due to grid fault. Again site was offline from 15:30 to 15:40 on 03/19 due to Grid undervoltage. 
4.Inverter P was offline and Inverter N was offline and lost communication  on multiple days through out the month. Inverters N and P require manufacturer diagnostics, but their warranties have expired—repair and shipping costs not covered. Client is considering replacing AE inverters with another brand and is seeking recommendations.</t>
  </si>
  <si>
    <t>1.SR097975
2.SR097975
3.SR098262 &amp; SR098783
4.SR097783 &amp; SR098428</t>
  </si>
  <si>
    <t>SR097975</t>
  </si>
  <si>
    <t>SR098262</t>
  </si>
  <si>
    <t>SR098783</t>
  </si>
  <si>
    <t>SR098428</t>
  </si>
  <si>
    <t>1. The inverter was tripping on and off. Upon the technician's arrival, it was found that DC strings—CB1 String 10 and CB6 String 7—had no open-circuit voltage and a broken module, even with the fuses removed. After isolating these strings, the inverter was re-energized, and the affected modules are currently pending replacement.</t>
  </si>
  <si>
    <t>1. SR096262,	  SR099066</t>
  </si>
  <si>
    <t>SR099066</t>
  </si>
  <si>
    <t>1. Inverter 13 is underperforming by approximately 10 kW compared to its peers.</t>
  </si>
  <si>
    <t>1. SR098870</t>
  </si>
  <si>
    <t>1.Site has not started for the production on 03/13, technician found that the SEL realy was opened and later closed the relay the site was back online at 16:20 on 03/13.
2. Site was offline on 03/15 due to heavy stroms later technician was able to close the relay on 03/17 at 14:15.</t>
  </si>
  <si>
    <t>1.SR098497
2.SR098613</t>
  </si>
  <si>
    <t>SR098613</t>
  </si>
  <si>
    <t>1.Inverter 6 is down a string from 07/30/24.
2.Site has not started for the production on 03/13, technician found that the SEL realy was opened and later closed the relay the site was back online at 14:45 on 03/13.
3.Site was offline on 03/15 due to heavy stroms later technician was able to close the relay on 03/17 at 13:15.</t>
  </si>
  <si>
    <t>1.SR098046
2.SR098496
3.SR098614</t>
  </si>
  <si>
    <t>SR098496</t>
  </si>
  <si>
    <t>SR098614</t>
  </si>
  <si>
    <t>1. Inverter 3 has been down a string since 09/09/21. Additionally, Inverter 3 tripped offline at 15:00 CDT on 03/31 and is reporting a permanent fault on the power module. After a technician checked in, it was confirmed that the inverter powerhead has been RMA’d.</t>
  </si>
  <si>
    <t>1. SR098047, SR099230</t>
  </si>
  <si>
    <t>SR099230</t>
  </si>
  <si>
    <t>1. Site was offline at 09:45am on 03/30 till end of the month due to recloser open</t>
  </si>
  <si>
    <t>1.SR099167</t>
  </si>
  <si>
    <t>1. Inverters B4, C2, C5 are each down 1 string.
2.Site is offline with multiple grid under frequency alerts at 09:30 on 03/30 later has reenegized the site at 12:00 on 03/31.</t>
  </si>
  <si>
    <t>1.SR098048
2.SR099150</t>
  </si>
  <si>
    <t>SR099150</t>
  </si>
  <si>
    <t>1. The college inverter 18 is offline due to an Isolation Error.</t>
  </si>
  <si>
    <t>1. SR098818</t>
  </si>
  <si>
    <t>1. Meter A Inverters 1 through 4 went offline on 03/20 due to a power unit issue. Additionally, Meter A Inverter 12 went offline on 03/31 and is reporting an electric arc detection.</t>
  </si>
  <si>
    <t>1. SR098819</t>
  </si>
  <si>
    <t>1.Inverters 12 and 15 were offline at 07:00 AM on 03/04, and inverter 15 later self-resolved at 05:50 PM on 03/27.
Inverter 9 has been offline since 11/25/24.
Inverter 18 has been offline since 04/27/24.
2.Inverter 5 is offline multiple days in a month.</t>
  </si>
  <si>
    <t>1. SR098076
2. SR098231</t>
  </si>
  <si>
    <t>SR098231</t>
  </si>
  <si>
    <t>1. Inverter 1 has been offline since the site began operations.
2. Inverter 7 is offline from 12/09/24.</t>
  </si>
  <si>
    <t>1. SR098015
2. SR098016</t>
  </si>
  <si>
    <t>SR098016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</si>
  <si>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</si>
  <si>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</si>
  <si>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</si>
  <si>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</si>
  <si>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</si>
  <si>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</si>
  <si>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</si>
  <si>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</si>
  <si>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</si>
  <si>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</si>
  <si>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</si>
  <si>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</si>
  <si>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</si>
  <si>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</si>
  <si>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</si>
  <si>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</si>
  <si>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</si>
  <si>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</si>
  <si>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</si>
  <si>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Clean Capital</t>
  </si>
  <si>
    <t>Site DAS Name</t>
  </si>
  <si>
    <t>Update</t>
  </si>
  <si>
    <t>DAS</t>
  </si>
  <si>
    <t>Cotting School</t>
  </si>
  <si>
    <t>Lexington - Cotting School</t>
  </si>
  <si>
    <t>MA</t>
  </si>
  <si>
    <t>IGS SolarLog</t>
  </si>
  <si>
    <t>2.01) KSI Solar Whiteman, LLC</t>
  </si>
  <si>
    <t>Pacoima - Whiteman Airport</t>
  </si>
  <si>
    <t>CA</t>
  </si>
  <si>
    <t>Advanced Energy SiteLink</t>
  </si>
  <si>
    <t>Hyannis - Sturgis Charter School</t>
  </si>
  <si>
    <t>PowerTrack</t>
  </si>
  <si>
    <t>Tony Kent Arena</t>
  </si>
  <si>
    <t>South Dennis - Tony Kent Arena</t>
  </si>
  <si>
    <t>Coraopolis - Felician Sisters</t>
  </si>
  <si>
    <t xml:space="preserve"> Caropolis - Felician Sisters</t>
  </si>
  <si>
    <t>PA</t>
  </si>
  <si>
    <t>Powerdash</t>
  </si>
  <si>
    <t>Eastlake - Gohman</t>
  </si>
  <si>
    <t>Clear Lake - Eastlake Gohman</t>
  </si>
  <si>
    <t>MN</t>
  </si>
  <si>
    <t>AF</t>
  </si>
  <si>
    <t>Eastlake - Brenda Luhman CSG</t>
  </si>
  <si>
    <t>Zumbrota - Eastlake Brenda Luhman</t>
  </si>
  <si>
    <t>Eastlake - Carlson</t>
  </si>
  <si>
    <t>Cokato - Eastlake Carlson</t>
  </si>
  <si>
    <t>Eastlake - Cornillie 2</t>
  </si>
  <si>
    <t>North Branch - Cornille 2</t>
  </si>
  <si>
    <t>Eastlake - Hammer CSG 1</t>
  </si>
  <si>
    <t>Clear Lake - Eastlake Hammer</t>
  </si>
  <si>
    <t>Paynesville - Eastlake Hertzberg</t>
  </si>
  <si>
    <t>Eastlake - Hertzberg CSG 1</t>
  </si>
  <si>
    <t>Eastlake - Laurel Village</t>
  </si>
  <si>
    <t>Cokato - Eastlake Laurel Village</t>
  </si>
  <si>
    <t>Eastlake - Paulson CSG</t>
  </si>
  <si>
    <t>St. Peter - Eastlake Paulson</t>
  </si>
  <si>
    <t>Lodi - Felician Sisters Rooftop</t>
  </si>
  <si>
    <t>Felician Sisters Convent</t>
  </si>
  <si>
    <t>NJ</t>
  </si>
  <si>
    <t>Power Dash</t>
  </si>
  <si>
    <t>Augusta - Sussex County Fair Grounds</t>
  </si>
  <si>
    <t>Sussex County Fairgrounds</t>
  </si>
  <si>
    <t xml:space="preserve"> Staten Island - Gateway Church</t>
  </si>
  <si>
    <t>Gateway Church</t>
  </si>
  <si>
    <t>SolrenView</t>
  </si>
  <si>
    <t>Beaver Falls - FSNA</t>
  </si>
  <si>
    <t>Beaver Falls - Felician Sisters</t>
  </si>
  <si>
    <t>Montessori Center of Our Lady</t>
  </si>
  <si>
    <t>Livonia - Felician Sisters Ground</t>
  </si>
  <si>
    <t>MI</t>
  </si>
  <si>
    <t>Madonna University</t>
  </si>
  <si>
    <t>Livonia - Felician Sisters Roof</t>
  </si>
  <si>
    <t>Monmouth Worship Ctr</t>
  </si>
  <si>
    <t>Trinity Solar Monitoring</t>
  </si>
  <si>
    <t>Senior Citizens United Comm. Serv.</t>
  </si>
  <si>
    <t xml:space="preserve"> Audubon - Senior Citizens United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</si>
</sst>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8" fillId="0" borderId="0" applyNumberFormat="0" applyFill="0" applyBorder="0" applyAlignment="0" applyProtection="0"/>
  </cellStyleXfs>
  <cellXfs count="89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14" fontId="0" fillId="0" borderId="0" xfId="0" applyNumberFormat="1"/>
    <xf numFmtId="49" fontId="31" fillId="38" borderId="1" xfId="2" applyNumberFormat="1" applyFont="1" applyFill="1" applyBorder="1" applyAlignment="1">
      <alignment horizontal="left" wrapText="1"/>
    </xf>
    <xf numFmtId="49" fontId="29" fillId="0" borderId="1" xfId="0" applyNumberFormat="1" applyFont="1" applyBorder="1" applyAlignment="1">
      <alignment horizontal="left" wrapText="1"/>
    </xf>
    <xf numFmtId="49" fontId="28" fillId="0" borderId="1" xfId="0" applyNumberFormat="1" applyFont="1" applyBorder="1" applyAlignment="1">
      <alignment horizontal="left" wrapText="1"/>
    </xf>
    <xf numFmtId="3" fontId="31" fillId="0" borderId="1" xfId="1" applyNumberFormat="1" applyFont="1" applyFill="1" applyBorder="1" applyAlignment="1">
      <alignment horizontal="right" vertical="center" wrapText="1"/>
    </xf>
    <xf numFmtId="49" fontId="36" fillId="38" borderId="1" xfId="2" applyNumberFormat="1" applyFont="1" applyFill="1" applyBorder="1" applyAlignment="1">
      <alignment horizontal="left" vertical="top" wrapText="1"/>
    </xf>
    <xf numFmtId="3" fontId="37" fillId="0" borderId="0" xfId="0" applyNumberFormat="1" applyFont="1" applyAlignment="1">
      <alignment vertical="center"/>
    </xf>
    <xf numFmtId="49" fontId="28" fillId="0" borderId="1" xfId="0" applyNumberFormat="1" applyFont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164" fontId="29" fillId="0" borderId="1" xfId="1" applyNumberFormat="1" applyFont="1" applyBorder="1" applyAlignment="1">
      <alignment horizontal="center" vertical="center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top" wrapText="1"/>
    </xf>
    <xf numFmtId="49" fontId="24" fillId="0" borderId="1" xfId="0" applyNumberFormat="1" applyFont="1" applyBorder="1" applyAlignment="1">
      <alignment horizontal="left" vertical="top" wrapText="1"/>
    </xf>
    <xf numFmtId="0" fontId="23" fillId="0" borderId="0" xfId="43" applyFont="1" applyAlignment="1">
      <alignment horizontal="left" wrapText="1"/>
    </xf>
    <xf numFmtId="0" fontId="23" fillId="0" borderId="0" xfId="43" applyFont="1"/>
    <xf numFmtId="49" fontId="29" fillId="0" borderId="1" xfId="0" applyNumberFormat="1" applyFont="1" applyBorder="1" applyAlignment="1">
      <alignment vertical="top" wrapText="1"/>
    </xf>
    <xf numFmtId="49" fontId="38" fillId="38" borderId="1" xfId="45" applyNumberFormat="1" applyFill="1" applyBorder="1" applyAlignment="1">
      <alignment vertical="top" wrapText="1"/>
    </xf>
    <xf numFmtId="49" fontId="38" fillId="0" borderId="1" xfId="45" applyNumberFormat="1" applyBorder="1" applyAlignment="1">
      <alignment vertical="top" wrapText="1"/>
    </xf>
    <xf numFmtId="49" fontId="38" fillId="0" borderId="1" xfId="45" applyNumberFormat="1" applyBorder="1" applyAlignment="1">
      <alignment vertical="center" wrapText="1"/>
    </xf>
    <xf numFmtId="0" fontId="3" fillId="0" borderId="0" xfId="0" applyFont="1"/>
    <xf numFmtId="9" fontId="31" fillId="0" borderId="1" xfId="2" applyFont="1" applyBorder="1" applyAlignment="1">
      <alignment horizontal="center" vertical="center"/>
    </xf>
    <xf numFmtId="3" fontId="31" fillId="0" borderId="1" xfId="1" applyNumberFormat="1" applyFont="1" applyBorder="1" applyAlignment="1">
      <alignment vertical="center"/>
    </xf>
    <xf numFmtId="3" fontId="31" fillId="4" borderId="1" xfId="1" applyNumberFormat="1" applyFont="1" applyFill="1" applyBorder="1" applyAlignment="1">
      <alignment horizontal="right" vertical="center"/>
    </xf>
    <xf numFmtId="3" fontId="31" fillId="0" borderId="1" xfId="1" applyNumberFormat="1" applyFont="1" applyFill="1" applyBorder="1" applyAlignment="1">
      <alignment horizontal="right" vertical="center"/>
    </xf>
    <xf numFmtId="49" fontId="38" fillId="0" borderId="1" xfId="45" applyNumberFormat="1" applyBorder="1" applyAlignment="1">
      <alignment horizontal="left" vertical="top" wrapText="1"/>
    </xf>
    <xf numFmtId="0" fontId="38" fillId="0" borderId="0" xfId="45" applyAlignment="1">
      <alignment horizontal="left" vertical="top"/>
    </xf>
    <xf numFmtId="0" fontId="0" fillId="0" borderId="0" xfId="0" applyAlignment="1">
      <alignment horizontal="left" vertical="top"/>
    </xf>
    <xf numFmtId="49" fontId="38" fillId="38" borderId="1" xfId="45" applyNumberFormat="1" applyFill="1" applyBorder="1" applyAlignment="1">
      <alignment horizontal="left" vertical="top" wrapText="1"/>
    </xf>
    <xf numFmtId="49" fontId="38" fillId="38" borderId="1" xfId="45" applyNumberFormat="1" applyFill="1" applyBorder="1" applyAlignment="1">
      <alignment horizontal="left" wrapText="1"/>
    </xf>
    <xf numFmtId="49" fontId="38" fillId="0" borderId="1" xfId="45" applyNumberFormat="1" applyBorder="1" applyAlignment="1">
      <alignment horizontal="left" wrapText="1"/>
    </xf>
    <xf numFmtId="14" fontId="0" fillId="0" borderId="0" xfId="0" applyNumberFormat="1" applyAlignment="1">
      <alignment horizontal="left" vertical="top"/>
    </xf>
    <xf numFmtId="14" fontId="38" fillId="0" borderId="0" xfId="45" applyNumberFormat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4" totalsRowShown="0">
  <autoFilter ref="A3:E24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6179" TargetMode="External"/><Relationship Id="rId2" Type="http://schemas.openxmlformats.org/officeDocument/2006/relationships/hyperlink" Target="https://us3.assetplanner.com/service_request?ID=095501" TargetMode="External"/><Relationship Id="rId1" Type="http://schemas.openxmlformats.org/officeDocument/2006/relationships/hyperlink" Target="https://us3.assetplanner.com/service_request?ID=095368" TargetMode="External"/><Relationship Id="rId4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6409" TargetMode="External"/><Relationship Id="rId7" Type="http://schemas.openxmlformats.org/officeDocument/2006/relationships/hyperlink" Target="https://us3.assetplanner.com/service_request?ID=096262" TargetMode="External"/><Relationship Id="rId2" Type="http://schemas.openxmlformats.org/officeDocument/2006/relationships/hyperlink" Target="https://us3.assetplanner.com/service_request?ID=097850" TargetMode="External"/><Relationship Id="rId1" Type="http://schemas.openxmlformats.org/officeDocument/2006/relationships/hyperlink" Target="https://us3.assetplanner.com/service_request?ID=095368" TargetMode="External"/><Relationship Id="rId6" Type="http://schemas.openxmlformats.org/officeDocument/2006/relationships/hyperlink" Target="https://us3.assetplanner.com/service_request?ID=096179" TargetMode="External"/><Relationship Id="rId5" Type="http://schemas.openxmlformats.org/officeDocument/2006/relationships/hyperlink" Target="https://us3.assetplanner.com/service_request?ID=095501" TargetMode="External"/><Relationship Id="rId4" Type="http://schemas.openxmlformats.org/officeDocument/2006/relationships/hyperlink" Target="https://us3.assetplanner.com/service_request?ID=097783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8428" TargetMode="External"/><Relationship Id="rId13" Type="http://schemas.openxmlformats.org/officeDocument/2006/relationships/hyperlink" Target="https://us3.assetplanner.com/service_request?ID=098613" TargetMode="External"/><Relationship Id="rId18" Type="http://schemas.openxmlformats.org/officeDocument/2006/relationships/hyperlink" Target="https://us3.assetplanner.com/service_request?ID=099230" TargetMode="External"/><Relationship Id="rId26" Type="http://schemas.openxmlformats.org/officeDocument/2006/relationships/hyperlink" Target="https://us3.assetplanner.com/service_request?ID=098015" TargetMode="External"/><Relationship Id="rId3" Type="http://schemas.openxmlformats.org/officeDocument/2006/relationships/hyperlink" Target="https://us3.assetplanner.com/service_request?ID=097975" TargetMode="External"/><Relationship Id="rId21" Type="http://schemas.openxmlformats.org/officeDocument/2006/relationships/hyperlink" Target="https://us3.assetplanner.com/service_request?ID=099150" TargetMode="External"/><Relationship Id="rId7" Type="http://schemas.openxmlformats.org/officeDocument/2006/relationships/hyperlink" Target="https://us3.assetplanner.com/service_request?ID=097783" TargetMode="External"/><Relationship Id="rId12" Type="http://schemas.openxmlformats.org/officeDocument/2006/relationships/hyperlink" Target="https://us3.assetplanner.com/service_request?ID=098497" TargetMode="External"/><Relationship Id="rId17" Type="http://schemas.openxmlformats.org/officeDocument/2006/relationships/hyperlink" Target="https://us3.assetplanner.com/service_request?ID=098047" TargetMode="External"/><Relationship Id="rId25" Type="http://schemas.openxmlformats.org/officeDocument/2006/relationships/hyperlink" Target="https://us3.assetplanner.com/service_request?ID=098231" TargetMode="External"/><Relationship Id="rId2" Type="http://schemas.openxmlformats.org/officeDocument/2006/relationships/hyperlink" Target="https://us3.assetplanner.com/service_request?ID=097850" TargetMode="External"/><Relationship Id="rId16" Type="http://schemas.openxmlformats.org/officeDocument/2006/relationships/hyperlink" Target="https://us3.assetplanner.com/service_request?ID=098614" TargetMode="External"/><Relationship Id="rId20" Type="http://schemas.openxmlformats.org/officeDocument/2006/relationships/hyperlink" Target="https://us3.assetplanner.com/service_request?ID=098048" TargetMode="External"/><Relationship Id="rId1" Type="http://schemas.openxmlformats.org/officeDocument/2006/relationships/hyperlink" Target="https://us3.assetplanner.com/service_request?ID=095368" TargetMode="External"/><Relationship Id="rId6" Type="http://schemas.openxmlformats.org/officeDocument/2006/relationships/hyperlink" Target="https://us3.assetplanner.com/service_request?ID=098783" TargetMode="External"/><Relationship Id="rId11" Type="http://schemas.openxmlformats.org/officeDocument/2006/relationships/hyperlink" Target="https://us3.assetplanner.com/service_request?ID=098870" TargetMode="External"/><Relationship Id="rId24" Type="http://schemas.openxmlformats.org/officeDocument/2006/relationships/hyperlink" Target="https://us3.assetplanner.com/service_request?ID=098076" TargetMode="External"/><Relationship Id="rId5" Type="http://schemas.openxmlformats.org/officeDocument/2006/relationships/hyperlink" Target="https://us3.assetplanner.com/service_request?ID=098262" TargetMode="External"/><Relationship Id="rId15" Type="http://schemas.openxmlformats.org/officeDocument/2006/relationships/hyperlink" Target="https://us3.assetplanner.com/service_request?ID=098496" TargetMode="External"/><Relationship Id="rId23" Type="http://schemas.openxmlformats.org/officeDocument/2006/relationships/hyperlink" Target="https://us3.assetplanner.com/service_request?ID=098819" TargetMode="External"/><Relationship Id="rId10" Type="http://schemas.openxmlformats.org/officeDocument/2006/relationships/hyperlink" Target="https://us3.assetplanner.com/service_request?ID=099066" TargetMode="External"/><Relationship Id="rId19" Type="http://schemas.openxmlformats.org/officeDocument/2006/relationships/hyperlink" Target="https://us3.assetplanner.com/service_request?ID=099167" TargetMode="External"/><Relationship Id="rId4" Type="http://schemas.openxmlformats.org/officeDocument/2006/relationships/hyperlink" Target="https://us3.assetplanner.com/service_request?ID=097975" TargetMode="External"/><Relationship Id="rId9" Type="http://schemas.openxmlformats.org/officeDocument/2006/relationships/hyperlink" Target="https://us3.assetplanner.com/service_request?ID=096262" TargetMode="External"/><Relationship Id="rId14" Type="http://schemas.openxmlformats.org/officeDocument/2006/relationships/hyperlink" Target="https://us3.assetplanner.com/service_request?ID=098046" TargetMode="External"/><Relationship Id="rId22" Type="http://schemas.openxmlformats.org/officeDocument/2006/relationships/hyperlink" Target="https://us3.assetplanner.com/service_request?ID=098818" TargetMode="External"/><Relationship Id="rId27" Type="http://schemas.openxmlformats.org/officeDocument/2006/relationships/hyperlink" Target="https://us3.assetplanner.com/service_request?ID=09801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3"/>
  <sheetViews>
    <sheetView workbookViewId="0">
      <pane xSplit="2" ySplit="3" topLeftCell="C6" activePane="bottomRight" state="frozen"/>
      <selection pane="bottomRight" activeCell="D28" sqref="D2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6" t="str" cm="1">
        <f t="array" ref="A1">portfolio</f>
        <v>Clean Capital</v>
      </c>
      <c r="B1" s="86"/>
      <c r="C1" s="86"/>
      <c r="D1" s="87" t="s">
        <v>0</v>
      </c>
      <c r="E1" s="87"/>
      <c r="F1" s="87"/>
      <c r="G1" s="85" t="s">
        <v>1</v>
      </c>
      <c r="H1" s="85"/>
      <c r="I1" s="85"/>
    </row>
    <row r="2" spans="1:9" ht="19.5" customHeight="1">
      <c r="A2" s="88" t="s">
        <v>2</v>
      </c>
      <c r="B2" s="88"/>
      <c r="C2" s="5">
        <f>SUM(C4:C71)</f>
        <v>1827946.6861654297</v>
      </c>
      <c r="D2" s="5">
        <f>SUM(D4:D71)</f>
        <v>0</v>
      </c>
      <c r="E2" s="5">
        <f>C2-D2</f>
        <v>1827946.6861654297</v>
      </c>
      <c r="F2" s="6">
        <f>IFERROR(E2/D2, 0)</f>
        <v>0</v>
      </c>
      <c r="G2" s="5">
        <f>SUM(G4:G71)</f>
        <v>1530690.2</v>
      </c>
      <c r="H2" s="7">
        <f>C2-G2</f>
        <v>297256.4861654297</v>
      </c>
      <c r="I2" s="6">
        <f>IFERROR(H2/G2, 0)</f>
        <v>0.19419768034408902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26" t="str" cm="1">
        <f t="array" ref="A4:A24">Sites[Site]</f>
        <v>Lexington - Cotting School</v>
      </c>
      <c r="B4" s="27" t="str" cm="1">
        <f t="array" ref="B4:B24">Sites[State]</f>
        <v>MA</v>
      </c>
      <c r="C4" s="28">
        <f>SUM('1st Qtr'!C4, '2nd Qtr'!C4, '3rd Qtr'!C4, '4th Qtr'!C4)</f>
        <v>45888.639999999999</v>
      </c>
      <c r="D4" s="29">
        <f>SUM('1st Qtr'!D4, '2nd Qtr'!D4, '3rd Qtr'!D4, '4th Qtr'!D4)</f>
        <v>0</v>
      </c>
      <c r="E4" s="29">
        <f>IF(AND(ISNUMBER(C4),ISNUMBER(D4)), C4-D4, "")</f>
        <v>45888.639999999999</v>
      </c>
      <c r="F4" s="30" t="str">
        <f>IFERROR(E4/D4, "")</f>
        <v/>
      </c>
      <c r="G4" s="31">
        <f>SUM('1st Qtr'!G4, '2nd Qtr'!G4, '3rd Qtr'!G4, '4th Qtr'!G4)</f>
        <v>0</v>
      </c>
      <c r="H4" s="31">
        <f>SUM('1st Qtr'!H4, '2nd Qtr'!H4, '3rd Qtr'!H4, '4th Qtr'!H4)</f>
        <v>18073.600000000002</v>
      </c>
      <c r="I4" s="32" t="str">
        <f>IFERROR(H4/G4, "")</f>
        <v/>
      </c>
    </row>
    <row r="5" spans="1:9" ht="15.6">
      <c r="A5" s="33" t="str">
        <v>Pacoima - Whiteman Airport</v>
      </c>
      <c r="B5" s="34" t="str">
        <v>CA</v>
      </c>
      <c r="C5" s="35">
        <f>SUM('1st Qtr'!C5, '2nd Qtr'!C5, '3rd Qtr'!C5, '4th Qtr'!C5)</f>
        <v>58146</v>
      </c>
      <c r="D5" s="35">
        <f>SUM('1st Qtr'!D5, '2nd Qtr'!D5, '3rd Qtr'!D5, '4th Qtr'!D5)</f>
        <v>0</v>
      </c>
      <c r="E5" s="36">
        <f t="shared" ref="E5:E7" si="0">IF(AND(ISNUMBER(C5),ISNUMBER(D5)), C5-D5, "")</f>
        <v>58146</v>
      </c>
      <c r="F5" s="37" t="str">
        <f>IFERROR(E5/D5, "")</f>
        <v/>
      </c>
      <c r="G5" s="38">
        <f>SUM('1st Qtr'!G5, '2nd Qtr'!G5, '3rd Qtr'!G5, '4th Qtr'!G5)</f>
        <v>108680</v>
      </c>
      <c r="H5" s="38">
        <f>SUM('1st Qtr'!H5, '2nd Qtr'!H5, '3rd Qtr'!H5, '4th Qtr'!H5)</f>
        <v>-50534</v>
      </c>
      <c r="I5" s="37">
        <f>IFERROR(H5/G5, "")</f>
        <v>-0.46497975708502026</v>
      </c>
    </row>
    <row r="6" spans="1:9" ht="15.6">
      <c r="A6" s="26" t="str">
        <v>Hyannis - Sturgis Charter School</v>
      </c>
      <c r="B6" s="27" t="str">
        <v>MA</v>
      </c>
      <c r="C6" s="28">
        <f>SUM('1st Qtr'!C6, '2nd Qtr'!C6, '3rd Qtr'!C6, '4th Qtr'!C6)</f>
        <v>56832.394765429686</v>
      </c>
      <c r="D6" s="29">
        <f>SUM('1st Qtr'!D6, '2nd Qtr'!D6, '3rd Qtr'!D6, '4th Qtr'!D6)</f>
        <v>0</v>
      </c>
      <c r="E6" s="29">
        <f t="shared" si="0"/>
        <v>56832.394765429686</v>
      </c>
      <c r="F6" s="30" t="str">
        <f t="shared" ref="F6:F7" si="1">IFERROR(E6/D6, "")</f>
        <v/>
      </c>
      <c r="G6" s="31">
        <f>SUM('1st Qtr'!G6, '2nd Qtr'!G6, '3rd Qtr'!G6, '4th Qtr'!G6)</f>
        <v>54540</v>
      </c>
      <c r="H6" s="31">
        <f>SUM('1st Qtr'!H6, '2nd Qtr'!H6, '3rd Qtr'!H6, '4th Qtr'!H6)</f>
        <v>2292.3947654296862</v>
      </c>
      <c r="I6" s="32">
        <f t="shared" ref="I6:I7" si="2">IFERROR(H6/G6, "")</f>
        <v>4.203144051026194E-2</v>
      </c>
    </row>
    <row r="7" spans="1:9" ht="15.6">
      <c r="A7" s="33" t="str">
        <v>South Dennis - Tony Kent Arena</v>
      </c>
      <c r="B7" s="34" t="str">
        <v>MA</v>
      </c>
      <c r="C7" s="35">
        <f>SUM('1st Qtr'!C7, '2nd Qtr'!C7, '3rd Qtr'!C7, '4th Qtr'!C7)</f>
        <v>61513.2</v>
      </c>
      <c r="D7" s="35">
        <f>SUM('1st Qtr'!D7, '2nd Qtr'!D7, '3rd Qtr'!D7, '4th Qtr'!D7)</f>
        <v>0</v>
      </c>
      <c r="E7" s="36">
        <f t="shared" si="0"/>
        <v>61513.2</v>
      </c>
      <c r="F7" s="37" t="str">
        <f t="shared" si="1"/>
        <v/>
      </c>
      <c r="G7" s="38">
        <f>SUM('1st Qtr'!G7, '2nd Qtr'!G7, '3rd Qtr'!G7, '4th Qtr'!G7)</f>
        <v>0</v>
      </c>
      <c r="H7" s="38">
        <f>SUM('1st Qtr'!H7, '2nd Qtr'!H7, '3rd Qtr'!H7, '4th Qtr'!H7)</f>
        <v>30999.119999999999</v>
      </c>
      <c r="I7" s="37" t="str">
        <f t="shared" si="2"/>
        <v/>
      </c>
    </row>
    <row r="8" spans="1:9" ht="15.6">
      <c r="A8" s="26" t="str">
        <v xml:space="preserve"> Caropolis - Felician Sisters</v>
      </c>
      <c r="B8" s="27" t="str">
        <v>PA</v>
      </c>
      <c r="C8" s="28">
        <f>SUM('1st Qtr'!C8, '2nd Qtr'!C8, '3rd Qtr'!C8, '4th Qtr'!C8)</f>
        <v>51053.4</v>
      </c>
      <c r="D8" s="29">
        <f>SUM('1st Qtr'!D8, '2nd Qtr'!D8, '3rd Qtr'!D8, '4th Qtr'!D8)</f>
        <v>0</v>
      </c>
      <c r="E8" s="29">
        <f t="shared" ref="E8:E24" si="3">IF(AND(ISNUMBER(C8),ISNUMBER(D8)), C8-D8, "")</f>
        <v>51053.4</v>
      </c>
      <c r="F8" s="30" t="str">
        <f t="shared" ref="F8:F24" si="4">IFERROR(E8/D8, "")</f>
        <v/>
      </c>
      <c r="G8" s="31">
        <f>SUM('1st Qtr'!G8, '2nd Qtr'!G8, '3rd Qtr'!G8, '4th Qtr'!G8)</f>
        <v>0</v>
      </c>
      <c r="H8" s="31">
        <f>SUM('1st Qtr'!H8, '2nd Qtr'!H8, '3rd Qtr'!H8, '4th Qtr'!H8)</f>
        <v>0</v>
      </c>
      <c r="I8" s="32" t="str">
        <f t="shared" ref="I8:I24" si="5">IFERROR(H8/G8, "")</f>
        <v/>
      </c>
    </row>
    <row r="9" spans="1:9" ht="15.6">
      <c r="A9" s="33" t="str">
        <v>Clear Lake - Eastlake Gohman</v>
      </c>
      <c r="B9" s="34" t="str">
        <v>MN</v>
      </c>
      <c r="C9" s="35">
        <f>SUM('1st Qtr'!C9, '2nd Qtr'!C9, '3rd Qtr'!C9, '4th Qtr'!C9)</f>
        <v>174810</v>
      </c>
      <c r="D9" s="35">
        <f>SUM('1st Qtr'!D9, '2nd Qtr'!D9, '3rd Qtr'!D9, '4th Qtr'!D9)</f>
        <v>0</v>
      </c>
      <c r="E9" s="36">
        <f t="shared" si="3"/>
        <v>174810</v>
      </c>
      <c r="F9" s="73" t="str">
        <f t="shared" si="4"/>
        <v/>
      </c>
      <c r="G9" s="74">
        <f>SUM('1st Qtr'!G9, '2nd Qtr'!G9, '3rd Qtr'!G9, '4th Qtr'!G9)</f>
        <v>155938.5</v>
      </c>
      <c r="H9" s="74">
        <f>SUM('1st Qtr'!H9, '2nd Qtr'!H9, '3rd Qtr'!H9, '4th Qtr'!H9)</f>
        <v>18871.5</v>
      </c>
      <c r="I9" s="73">
        <f t="shared" si="5"/>
        <v>0.12101886320568686</v>
      </c>
    </row>
    <row r="10" spans="1:9" ht="15.6">
      <c r="A10" s="26" t="str">
        <v>Zumbrota - Eastlake Brenda Luhman</v>
      </c>
      <c r="B10" s="27" t="str">
        <v>MN</v>
      </c>
      <c r="C10" s="28">
        <f>SUM('1st Qtr'!C10, '2nd Qtr'!C10, '3rd Qtr'!C10, '4th Qtr'!C10)</f>
        <v>179285.1269</v>
      </c>
      <c r="D10" s="29">
        <f>SUM('1st Qtr'!D10, '2nd Qtr'!D10, '3rd Qtr'!D10, '4th Qtr'!D10)</f>
        <v>0</v>
      </c>
      <c r="E10" s="29">
        <f t="shared" si="3"/>
        <v>179285.1269</v>
      </c>
      <c r="F10" s="30" t="str">
        <f t="shared" si="4"/>
        <v/>
      </c>
      <c r="G10" s="31">
        <f>SUM('1st Qtr'!G10, '2nd Qtr'!G10, '3rd Qtr'!G10, '4th Qtr'!G10)</f>
        <v>161850.1</v>
      </c>
      <c r="H10" s="31">
        <f>SUM('1st Qtr'!H10, '2nd Qtr'!H10, '3rd Qtr'!H10, '4th Qtr'!H10)</f>
        <v>17435.026899999997</v>
      </c>
      <c r="I10" s="32">
        <f t="shared" si="5"/>
        <v>0.10772330014006785</v>
      </c>
    </row>
    <row r="11" spans="1:9" ht="15.6">
      <c r="A11" s="33" t="str">
        <v>Cokato - Eastlake Carlson</v>
      </c>
      <c r="B11" s="34" t="str">
        <v>MN</v>
      </c>
      <c r="C11" s="35">
        <f>SUM('1st Qtr'!C11, '2nd Qtr'!C11, '3rd Qtr'!C11, '4th Qtr'!C11)</f>
        <v>147025.48420000001</v>
      </c>
      <c r="D11" s="35">
        <f>SUM('1st Qtr'!D11, '2nd Qtr'!D11, '3rd Qtr'!D11, '4th Qtr'!D11)</f>
        <v>0</v>
      </c>
      <c r="E11" s="36">
        <f t="shared" si="3"/>
        <v>147025.48420000001</v>
      </c>
      <c r="F11" s="73" t="str">
        <f t="shared" si="4"/>
        <v/>
      </c>
      <c r="G11" s="74">
        <f>SUM('1st Qtr'!G11, '2nd Qtr'!G11, '3rd Qtr'!G11, '4th Qtr'!G11)</f>
        <v>189506</v>
      </c>
      <c r="H11" s="74">
        <f>SUM('1st Qtr'!H11, '2nd Qtr'!H11, '3rd Qtr'!H11, '4th Qtr'!H11)</f>
        <v>-42480.515799999994</v>
      </c>
      <c r="I11" s="73">
        <f t="shared" si="5"/>
        <v>-0.22416448977868772</v>
      </c>
    </row>
    <row r="12" spans="1:9" ht="15.6">
      <c r="A12" s="26" t="str">
        <v>North Branch - Cornille 2</v>
      </c>
      <c r="B12" s="27" t="str">
        <v>MN</v>
      </c>
      <c r="C12" s="28">
        <f>SUM('1st Qtr'!C12, '2nd Qtr'!C12, '3rd Qtr'!C12, '4th Qtr'!C12)</f>
        <v>142625</v>
      </c>
      <c r="D12" s="29">
        <f>SUM('1st Qtr'!D12, '2nd Qtr'!D12, '3rd Qtr'!D12, '4th Qtr'!D12)</f>
        <v>0</v>
      </c>
      <c r="E12" s="29">
        <f t="shared" si="3"/>
        <v>142625</v>
      </c>
      <c r="F12" s="30" t="str">
        <f t="shared" si="4"/>
        <v/>
      </c>
      <c r="G12" s="31">
        <f>SUM('1st Qtr'!G12, '2nd Qtr'!G12, '3rd Qtr'!G12, '4th Qtr'!G12)</f>
        <v>156749.79999999999</v>
      </c>
      <c r="H12" s="31">
        <f>SUM('1st Qtr'!H12, '2nd Qtr'!H12, '3rd Qtr'!H12, '4th Qtr'!H12)</f>
        <v>-14124.799999999988</v>
      </c>
      <c r="I12" s="32">
        <f t="shared" si="5"/>
        <v>-9.0110481799657735E-2</v>
      </c>
    </row>
    <row r="13" spans="1:9" ht="15.6">
      <c r="A13" s="33" t="str">
        <v>Clear Lake - Eastlake Hammer</v>
      </c>
      <c r="B13" s="34" t="str">
        <v>MN</v>
      </c>
      <c r="C13" s="35">
        <f>SUM('1st Qtr'!C13, '2nd Qtr'!C13, '3rd Qtr'!C13, '4th Qtr'!C13)</f>
        <v>196603.0325</v>
      </c>
      <c r="D13" s="35">
        <f>SUM('1st Qtr'!D13, '2nd Qtr'!D13, '3rd Qtr'!D13, '4th Qtr'!D13)</f>
        <v>0</v>
      </c>
      <c r="E13" s="36">
        <f t="shared" si="3"/>
        <v>196603.0325</v>
      </c>
      <c r="F13" s="73" t="str">
        <f t="shared" si="4"/>
        <v/>
      </c>
      <c r="G13" s="74">
        <f>SUM('1st Qtr'!G13, '2nd Qtr'!G13, '3rd Qtr'!G13, '4th Qtr'!G13)</f>
        <v>181153.8</v>
      </c>
      <c r="H13" s="74">
        <f>SUM('1st Qtr'!H13, '2nd Qtr'!H13, '3rd Qtr'!H13, '4th Qtr'!H13)</f>
        <v>15449.232500000013</v>
      </c>
      <c r="I13" s="73">
        <f t="shared" si="5"/>
        <v>8.5282409201463141E-2</v>
      </c>
    </row>
    <row r="14" spans="1:9" ht="15.6">
      <c r="A14" s="26" t="str">
        <v>Eastlake - Hertzberg CSG 1</v>
      </c>
      <c r="B14" s="27" t="str">
        <v>MN</v>
      </c>
      <c r="C14" s="28">
        <f>SUM('1st Qtr'!C14, '2nd Qtr'!C14, '3rd Qtr'!C14, '4th Qtr'!C14)</f>
        <v>178773.26439999999</v>
      </c>
      <c r="D14" s="29">
        <f>SUM('1st Qtr'!D14, '2nd Qtr'!D14, '3rd Qtr'!D14, '4th Qtr'!D14)</f>
        <v>0</v>
      </c>
      <c r="E14" s="29">
        <f t="shared" si="3"/>
        <v>178773.26439999999</v>
      </c>
      <c r="F14" s="30" t="str">
        <f t="shared" si="4"/>
        <v/>
      </c>
      <c r="G14" s="31">
        <f>SUM('1st Qtr'!G14, '2nd Qtr'!G14, '3rd Qtr'!G14, '4th Qtr'!G14)</f>
        <v>179090.7</v>
      </c>
      <c r="H14" s="31">
        <f>SUM('1st Qtr'!H14, '2nd Qtr'!H14, '3rd Qtr'!H14, '4th Qtr'!H14)</f>
        <v>-317.43560000002617</v>
      </c>
      <c r="I14" s="32">
        <f t="shared" si="5"/>
        <v>-1.7724851150842905E-3</v>
      </c>
    </row>
    <row r="15" spans="1:9" ht="15.6">
      <c r="A15" s="33" t="str">
        <v>Cokato - Eastlake Laurel Village</v>
      </c>
      <c r="B15" s="34" t="str">
        <v>MN</v>
      </c>
      <c r="C15" s="35">
        <f>SUM('1st Qtr'!C15, '2nd Qtr'!C15, '3rd Qtr'!C15, '4th Qtr'!C15)</f>
        <v>192745.31390000001</v>
      </c>
      <c r="D15" s="35">
        <f>SUM('1st Qtr'!D15, '2nd Qtr'!D15, '3rd Qtr'!D15, '4th Qtr'!D15)</f>
        <v>0</v>
      </c>
      <c r="E15" s="36">
        <f t="shared" si="3"/>
        <v>192745.31390000001</v>
      </c>
      <c r="F15" s="73" t="str">
        <f t="shared" si="4"/>
        <v/>
      </c>
      <c r="G15" s="74">
        <f>SUM('1st Qtr'!G15, '2nd Qtr'!G15, '3rd Qtr'!G15, '4th Qtr'!G15)</f>
        <v>177944.7</v>
      </c>
      <c r="H15" s="74">
        <f>SUM('1st Qtr'!H15, '2nd Qtr'!H15, '3rd Qtr'!H15, '4th Qtr'!H15)</f>
        <v>14800.613899999997</v>
      </c>
      <c r="I15" s="73">
        <f t="shared" si="5"/>
        <v>8.3175356725994062E-2</v>
      </c>
    </row>
    <row r="16" spans="1:9" ht="15.6">
      <c r="A16" s="26" t="str">
        <v>St. Peter - Eastlake Paulson</v>
      </c>
      <c r="B16" s="27" t="str">
        <v>MN</v>
      </c>
      <c r="C16" s="28">
        <f>SUM('1st Qtr'!C16, '2nd Qtr'!C16, '3rd Qtr'!C16, '4th Qtr'!C16)</f>
        <v>167620.9295</v>
      </c>
      <c r="D16" s="29">
        <f>SUM('1st Qtr'!D16, '2nd Qtr'!D16, '3rd Qtr'!D16, '4th Qtr'!D16)</f>
        <v>0</v>
      </c>
      <c r="E16" s="29">
        <f t="shared" si="3"/>
        <v>167620.9295</v>
      </c>
      <c r="F16" s="30" t="str">
        <f t="shared" si="4"/>
        <v/>
      </c>
      <c r="G16" s="31">
        <f>SUM('1st Qtr'!G16, '2nd Qtr'!G16, '3rd Qtr'!G16, '4th Qtr'!G16)</f>
        <v>165236.6</v>
      </c>
      <c r="H16" s="31">
        <f>SUM('1st Qtr'!H16, '2nd Qtr'!H16, '3rd Qtr'!H16, '4th Qtr'!H16)</f>
        <v>2384.3294999999925</v>
      </c>
      <c r="I16" s="32">
        <f t="shared" si="5"/>
        <v>1.4429790373319182E-2</v>
      </c>
    </row>
    <row r="17" spans="1:9" ht="15.6">
      <c r="A17" s="33" t="str">
        <v>Felician Sisters Convent</v>
      </c>
      <c r="B17" s="34" t="str">
        <v>NJ</v>
      </c>
      <c r="C17" s="35">
        <f>SUM('1st Qtr'!C17, '2nd Qtr'!C17, '3rd Qtr'!C17, '4th Qtr'!C17)</f>
        <v>34597.199999999997</v>
      </c>
      <c r="D17" s="35">
        <f>SUM('1st Qtr'!D17, '2nd Qtr'!D17, '3rd Qtr'!D17, '4th Qtr'!D17)</f>
        <v>0</v>
      </c>
      <c r="E17" s="36">
        <f t="shared" si="3"/>
        <v>34597.199999999997</v>
      </c>
      <c r="F17" s="73" t="str">
        <f t="shared" si="4"/>
        <v/>
      </c>
      <c r="G17" s="74">
        <f>SUM('1st Qtr'!G17, '2nd Qtr'!G17, '3rd Qtr'!G17, '4th Qtr'!G17)</f>
        <v>0</v>
      </c>
      <c r="H17" s="74">
        <f>SUM('1st Qtr'!H17, '2nd Qtr'!H17, '3rd Qtr'!H17, '4th Qtr'!H17)</f>
        <v>0</v>
      </c>
      <c r="I17" s="73" t="str">
        <f t="shared" si="5"/>
        <v/>
      </c>
    </row>
    <row r="18" spans="1:9" ht="15.6">
      <c r="A18" s="26" t="str">
        <v>Sussex County Fairgrounds</v>
      </c>
      <c r="B18" s="27" t="str">
        <v>NJ</v>
      </c>
      <c r="C18" s="28">
        <f>SUM('1st Qtr'!C18, '2nd Qtr'!C18, '3rd Qtr'!C18, '4th Qtr'!C18)</f>
        <v>44370</v>
      </c>
      <c r="D18" s="29">
        <f>SUM('1st Qtr'!D18, '2nd Qtr'!D18, '3rd Qtr'!D18, '4th Qtr'!D18)</f>
        <v>0</v>
      </c>
      <c r="E18" s="29">
        <f t="shared" si="3"/>
        <v>44370</v>
      </c>
      <c r="F18" s="30" t="str">
        <f t="shared" si="4"/>
        <v/>
      </c>
      <c r="G18" s="31">
        <f>SUM('1st Qtr'!G18, '2nd Qtr'!G18, '3rd Qtr'!G18, '4th Qtr'!G18)</f>
        <v>0</v>
      </c>
      <c r="H18" s="31">
        <f>SUM('1st Qtr'!H18, '2nd Qtr'!H18, '3rd Qtr'!H18, '4th Qtr'!H18)</f>
        <v>0</v>
      </c>
      <c r="I18" s="32" t="str">
        <f t="shared" si="5"/>
        <v/>
      </c>
    </row>
    <row r="19" spans="1:9" ht="15.6">
      <c r="A19" s="33" t="str">
        <v>Gateway Church</v>
      </c>
      <c r="B19" s="34" t="str">
        <v>NJ</v>
      </c>
      <c r="C19" s="35">
        <f>SUM('1st Qtr'!C19, '2nd Qtr'!C19, '3rd Qtr'!C19, '4th Qtr'!C19)</f>
        <v>26234</v>
      </c>
      <c r="D19" s="35">
        <f>SUM('1st Qtr'!D19, '2nd Qtr'!D19, '3rd Qtr'!D19, '4th Qtr'!D19)</f>
        <v>0</v>
      </c>
      <c r="E19" s="36">
        <f t="shared" si="3"/>
        <v>26234</v>
      </c>
      <c r="F19" s="73" t="str">
        <f t="shared" si="4"/>
        <v/>
      </c>
      <c r="G19" s="74">
        <f>SUM('1st Qtr'!G19, '2nd Qtr'!G19, '3rd Qtr'!G19, '4th Qtr'!G19)</f>
        <v>0</v>
      </c>
      <c r="H19" s="74">
        <f>SUM('1st Qtr'!H19, '2nd Qtr'!H19, '3rd Qtr'!H19, '4th Qtr'!H19)</f>
        <v>0</v>
      </c>
      <c r="I19" s="73" t="str">
        <f t="shared" si="5"/>
        <v/>
      </c>
    </row>
    <row r="20" spans="1:9" ht="15.6">
      <c r="A20" s="26" t="str">
        <v>Beaver Falls - Felician Sisters</v>
      </c>
      <c r="B20" s="27" t="str">
        <v>PA</v>
      </c>
      <c r="C20" s="28">
        <f>SUM('1st Qtr'!C20, '2nd Qtr'!C20, '3rd Qtr'!C20, '4th Qtr'!C20)</f>
        <v>36640</v>
      </c>
      <c r="D20" s="29">
        <f>SUM('1st Qtr'!D20, '2nd Qtr'!D20, '3rd Qtr'!D20, '4th Qtr'!D20)</f>
        <v>0</v>
      </c>
      <c r="E20" s="29">
        <f t="shared" si="3"/>
        <v>36640</v>
      </c>
      <c r="F20" s="30" t="str">
        <f t="shared" si="4"/>
        <v/>
      </c>
      <c r="G20" s="31">
        <f>SUM('1st Qtr'!G20, '2nd Qtr'!G20, '3rd Qtr'!G20, '4th Qtr'!G20)</f>
        <v>0</v>
      </c>
      <c r="H20" s="31">
        <f>SUM('1st Qtr'!H20, '2nd Qtr'!H20, '3rd Qtr'!H20, '4th Qtr'!H20)</f>
        <v>0</v>
      </c>
      <c r="I20" s="32" t="str">
        <f t="shared" si="5"/>
        <v/>
      </c>
    </row>
    <row r="21" spans="1:9" ht="15.6">
      <c r="A21" s="33" t="str">
        <v>Livonia - Felician Sisters Ground</v>
      </c>
      <c r="B21" s="34" t="str">
        <v>MI</v>
      </c>
      <c r="C21" s="35">
        <f>SUM('1st Qtr'!C21, '2nd Qtr'!C21, '3rd Qtr'!C21, '4th Qtr'!C21)</f>
        <v>0</v>
      </c>
      <c r="D21" s="35">
        <f>SUM('1st Qtr'!D21, '2nd Qtr'!D21, '3rd Qtr'!D21, '4th Qtr'!D21)</f>
        <v>0</v>
      </c>
      <c r="E21" s="36">
        <f t="shared" si="3"/>
        <v>0</v>
      </c>
      <c r="F21" s="73" t="str">
        <f t="shared" si="4"/>
        <v/>
      </c>
      <c r="G21" s="74">
        <f>SUM('1st Qtr'!G21, '2nd Qtr'!G21, '3rd Qtr'!G21, '4th Qtr'!G21)</f>
        <v>0</v>
      </c>
      <c r="H21" s="74">
        <f>SUM('1st Qtr'!H21, '2nd Qtr'!H21, '3rd Qtr'!H21, '4th Qtr'!H21)</f>
        <v>0</v>
      </c>
      <c r="I21" s="73" t="str">
        <f t="shared" si="5"/>
        <v/>
      </c>
    </row>
    <row r="22" spans="1:9" ht="15.6">
      <c r="A22" s="26" t="str">
        <v>Livonia - Felician Sisters Roof</v>
      </c>
      <c r="B22" s="27" t="str">
        <v>MI</v>
      </c>
      <c r="C22" s="28">
        <f>SUM('1st Qtr'!C22, '2nd Qtr'!C22, '3rd Qtr'!C22, '4th Qtr'!C22)</f>
        <v>12782</v>
      </c>
      <c r="D22" s="29">
        <f>SUM('1st Qtr'!D22, '2nd Qtr'!D22, '3rd Qtr'!D22, '4th Qtr'!D22)</f>
        <v>0</v>
      </c>
      <c r="E22" s="29">
        <f t="shared" si="3"/>
        <v>12782</v>
      </c>
      <c r="F22" s="30" t="str">
        <f t="shared" si="4"/>
        <v/>
      </c>
      <c r="G22" s="31">
        <f>SUM('1st Qtr'!G22, '2nd Qtr'!G22, '3rd Qtr'!G22, '4th Qtr'!G22)</f>
        <v>0</v>
      </c>
      <c r="H22" s="31">
        <f>SUM('1st Qtr'!H22, '2nd Qtr'!H22, '3rd Qtr'!H22, '4th Qtr'!H22)</f>
        <v>0</v>
      </c>
      <c r="I22" s="32" t="str">
        <f t="shared" si="5"/>
        <v/>
      </c>
    </row>
    <row r="23" spans="1:9" ht="15.6">
      <c r="A23" s="33" t="str">
        <v>Monmouth Worship Ctr</v>
      </c>
      <c r="B23" s="34" t="str">
        <v>NJ</v>
      </c>
      <c r="C23" s="35">
        <f>SUM('1st Qtr'!C23, '2nd Qtr'!C23, '3rd Qtr'!C23, '4th Qtr'!C23)</f>
        <v>11687.5</v>
      </c>
      <c r="D23" s="35">
        <f>SUM('1st Qtr'!D23, '2nd Qtr'!D23, '3rd Qtr'!D23, '4th Qtr'!D23)</f>
        <v>0</v>
      </c>
      <c r="E23" s="36">
        <f t="shared" si="3"/>
        <v>11687.5</v>
      </c>
      <c r="F23" s="73" t="str">
        <f t="shared" si="4"/>
        <v/>
      </c>
      <c r="G23" s="74">
        <f>SUM('1st Qtr'!G23, '2nd Qtr'!G23, '3rd Qtr'!G23, '4th Qtr'!G23)</f>
        <v>0</v>
      </c>
      <c r="H23" s="74">
        <f>SUM('1st Qtr'!H23, '2nd Qtr'!H23, '3rd Qtr'!H23, '4th Qtr'!H23)</f>
        <v>0</v>
      </c>
      <c r="I23" s="73" t="str">
        <f t="shared" si="5"/>
        <v/>
      </c>
    </row>
    <row r="24" spans="1:9" ht="15.6">
      <c r="A24" s="26" t="str">
        <v xml:space="preserve"> Audubon - Senior Citizens United</v>
      </c>
      <c r="B24" s="27" t="str">
        <v>NJ</v>
      </c>
      <c r="C24" s="28">
        <f>SUM('1st Qtr'!C24, '2nd Qtr'!C24, '3rd Qtr'!C24, '4th Qtr'!C24)</f>
        <v>8714.2000000000007</v>
      </c>
      <c r="D24" s="29">
        <f>SUM('1st Qtr'!D24, '2nd Qtr'!D24, '3rd Qtr'!D24, '4th Qtr'!D24)</f>
        <v>0</v>
      </c>
      <c r="E24" s="29">
        <f t="shared" si="3"/>
        <v>8714.2000000000007</v>
      </c>
      <c r="F24" s="30" t="str">
        <f t="shared" si="4"/>
        <v/>
      </c>
      <c r="G24" s="31">
        <f>SUM('1st Qtr'!G24, '2nd Qtr'!G24, '3rd Qtr'!G24, '4th Qtr'!G24)</f>
        <v>0</v>
      </c>
      <c r="H24" s="31">
        <f>SUM('1st Qtr'!H24, '2nd Qtr'!H24, '3rd Qtr'!H24, '4th Qtr'!H24)</f>
        <v>0</v>
      </c>
      <c r="I24" s="32" t="str">
        <f t="shared" si="5"/>
        <v/>
      </c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1 I4:I7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6" t="str" cm="1">
        <f t="array" ref="A1">portfolio</f>
        <v>Clean Capital</v>
      </c>
      <c r="B1" s="86"/>
      <c r="C1" s="86"/>
      <c r="D1" s="87" t="s">
        <v>10</v>
      </c>
      <c r="E1" s="87"/>
      <c r="F1" s="87"/>
      <c r="G1" s="85" t="s">
        <v>11</v>
      </c>
      <c r="H1" s="85"/>
      <c r="I1" s="85"/>
    </row>
    <row r="2" spans="1:9" ht="19.5" customHeight="1">
      <c r="A2" s="88" t="s">
        <v>2</v>
      </c>
      <c r="B2" s="88"/>
      <c r="C2" s="5">
        <f>SUM(C4:C79)</f>
        <v>1827946.6861654297</v>
      </c>
      <c r="D2" s="5">
        <f>SUM(D4:D79)</f>
        <v>0</v>
      </c>
      <c r="E2" s="5">
        <f>C2-D2</f>
        <v>1827946.6861654297</v>
      </c>
      <c r="F2" s="6">
        <f>IFERROR(E2/D2, 0)</f>
        <v>0</v>
      </c>
      <c r="G2" s="5">
        <f>SUM(G4:G79)</f>
        <v>1530690.2</v>
      </c>
      <c r="H2" s="7">
        <f>C2-G2</f>
        <v>297256.4861654297</v>
      </c>
      <c r="I2" s="6">
        <f>IFERROR(H2/G2, 0)</f>
        <v>0.19419768034408902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24">Sites[Site]</f>
        <v>Lexington - Cotting School</v>
      </c>
      <c r="B4" s="27" t="str" cm="1">
        <f t="array" ref="B4:B24">Sites[State]</f>
        <v>MA</v>
      </c>
      <c r="C4" s="28">
        <f>SUM(Jan!C4, Feb!C4, Mar!C4)</f>
        <v>45888.639999999999</v>
      </c>
      <c r="D4" s="29">
        <f>SUM(Jan!D4, Feb!D4, Mar!D4)</f>
        <v>0</v>
      </c>
      <c r="E4" s="29">
        <f>IF(AND(ISNUMBER(C4),ISNUMBER(D4)), C4-D4, "")</f>
        <v>45888.639999999999</v>
      </c>
      <c r="F4" s="30" t="str">
        <f>IFERROR(E4/D4, "")</f>
        <v/>
      </c>
      <c r="G4" s="31">
        <f>SUM(Jan!G4, Feb!G4, Mar!G4)</f>
        <v>0</v>
      </c>
      <c r="H4" s="31">
        <f>SUM(Jan!H4, Feb!H4, Mar!H4)</f>
        <v>18073.600000000002</v>
      </c>
      <c r="I4" s="32" t="str">
        <f>IFERROR(H4/G4, "")</f>
        <v/>
      </c>
    </row>
    <row r="5" spans="1:9" ht="15.6">
      <c r="A5" s="48" t="str">
        <v>Pacoima - Whiteman Airport</v>
      </c>
      <c r="B5" s="34" t="str">
        <v>CA</v>
      </c>
      <c r="C5" s="35">
        <f>SUM(Jan!C5, Feb!C5, Mar!C5)</f>
        <v>58146</v>
      </c>
      <c r="D5" s="36">
        <f>SUM(Jan!D5, Feb!D5, Mar!D5)</f>
        <v>0</v>
      </c>
      <c r="E5" s="36">
        <f t="shared" ref="E5:E7" si="0">IF(AND(ISNUMBER(C5),ISNUMBER(D5)), C5-D5, "")</f>
        <v>58146</v>
      </c>
      <c r="F5" s="37" t="str">
        <f>IFERROR(E5/D5, "")</f>
        <v/>
      </c>
      <c r="G5" s="38">
        <f>SUM(Jan!G5, Feb!G5, Mar!G5)</f>
        <v>108680</v>
      </c>
      <c r="H5" s="38">
        <f>SUM(Jan!H5, Feb!H5, Mar!H5)</f>
        <v>-50534</v>
      </c>
      <c r="I5" s="37">
        <f>IFERROR(H5/G5, "")</f>
        <v>-0.46497975708502026</v>
      </c>
    </row>
    <row r="6" spans="1:9" ht="15.6">
      <c r="A6" s="47" t="str">
        <v>Hyannis - Sturgis Charter School</v>
      </c>
      <c r="B6" s="27" t="str">
        <v>MA</v>
      </c>
      <c r="C6" s="28">
        <f>SUM(Jan!C6, Feb!C6, Mar!C6)</f>
        <v>56832.394765429686</v>
      </c>
      <c r="D6" s="29">
        <f>SUM(Jan!D6, Feb!D6, Mar!D6)</f>
        <v>0</v>
      </c>
      <c r="E6" s="29">
        <f t="shared" si="0"/>
        <v>56832.394765429686</v>
      </c>
      <c r="F6" s="30" t="str">
        <f t="shared" ref="F6:F7" si="1">IFERROR(E6/D6, "")</f>
        <v/>
      </c>
      <c r="G6" s="31">
        <f>SUM(Jan!G6, Feb!G6, Mar!G6)</f>
        <v>54540</v>
      </c>
      <c r="H6" s="31">
        <f>SUM(Jan!H6, Feb!H6, Mar!H6)</f>
        <v>2292.3947654296862</v>
      </c>
      <c r="I6" s="32">
        <f t="shared" ref="I6:I7" si="2">IFERROR(H6/G6, "")</f>
        <v>4.203144051026194E-2</v>
      </c>
    </row>
    <row r="7" spans="1:9" ht="15.6">
      <c r="A7" s="48" t="str">
        <v>South Dennis - Tony Kent Arena</v>
      </c>
      <c r="B7" s="34" t="str">
        <v>MA</v>
      </c>
      <c r="C7" s="35">
        <f>SUM(Jan!C7, Feb!C7, Mar!C7)</f>
        <v>61513.2</v>
      </c>
      <c r="D7" s="36">
        <f>SUM(Jan!D7, Feb!D7, Mar!D7)</f>
        <v>0</v>
      </c>
      <c r="E7" s="36">
        <f t="shared" si="0"/>
        <v>61513.2</v>
      </c>
      <c r="F7" s="37" t="str">
        <f t="shared" si="1"/>
        <v/>
      </c>
      <c r="G7" s="38">
        <f>SUM(Jan!G7, Feb!G7, Mar!G7)</f>
        <v>0</v>
      </c>
      <c r="H7" s="38">
        <f>SUM(Jan!H7, Feb!H7, Mar!H7)</f>
        <v>30999.119999999999</v>
      </c>
      <c r="I7" s="37" t="str">
        <f t="shared" si="2"/>
        <v/>
      </c>
    </row>
    <row r="8" spans="1:9" ht="15.6">
      <c r="A8" s="47" t="str">
        <v xml:space="preserve"> Caropolis - Felician Sisters</v>
      </c>
      <c r="B8" s="27" t="str">
        <v>PA</v>
      </c>
      <c r="C8" s="28">
        <f>SUM(Jan!C8, Feb!C8, Mar!C8)</f>
        <v>51053.4</v>
      </c>
      <c r="D8" s="29">
        <f>SUM(Jan!D8, Feb!D8, Mar!D8)</f>
        <v>0</v>
      </c>
      <c r="E8" s="29">
        <f t="shared" ref="E8:E24" si="3">IF(AND(ISNUMBER(C8),ISNUMBER(D8)), C8-D8, "")</f>
        <v>51053.4</v>
      </c>
      <c r="F8" s="30" t="str">
        <f t="shared" ref="F8:F24" si="4">IFERROR(E8/D8, "")</f>
        <v/>
      </c>
      <c r="G8" s="31">
        <f>SUM(Jan!G8, Feb!G8, Mar!G8)</f>
        <v>0</v>
      </c>
      <c r="H8" s="31">
        <f>SUM(Jan!H8, Feb!H8, Mar!H8)</f>
        <v>0</v>
      </c>
      <c r="I8" s="32" t="str">
        <f t="shared" ref="I8:I24" si="5">IFERROR(H8/G8, "")</f>
        <v/>
      </c>
    </row>
    <row r="9" spans="1:9" ht="15.6">
      <c r="A9" s="48" t="str">
        <v>Clear Lake - Eastlake Gohman</v>
      </c>
      <c r="B9" s="34" t="str">
        <v>MN</v>
      </c>
      <c r="C9" s="35">
        <f>SUM(Jan!C9, Feb!C9, Mar!C9)</f>
        <v>174810</v>
      </c>
      <c r="D9" s="36">
        <f>SUM(Jan!D9, Feb!D9, Mar!D9)</f>
        <v>0</v>
      </c>
      <c r="E9" s="36">
        <f t="shared" si="3"/>
        <v>174810</v>
      </c>
      <c r="F9" s="73" t="str">
        <f t="shared" si="4"/>
        <v/>
      </c>
      <c r="G9" s="74">
        <f>SUM(Jan!G9, Feb!G9, Mar!G9)</f>
        <v>155938.5</v>
      </c>
      <c r="H9" s="74">
        <f>SUM(Jan!H9, Feb!H9, Mar!H9)</f>
        <v>18871.5</v>
      </c>
      <c r="I9" s="73">
        <f t="shared" si="5"/>
        <v>0.12101886320568686</v>
      </c>
    </row>
    <row r="10" spans="1:9" ht="15.6">
      <c r="A10" s="47" t="str">
        <v>Zumbrota - Eastlake Brenda Luhman</v>
      </c>
      <c r="B10" s="27" t="str">
        <v>MN</v>
      </c>
      <c r="C10" s="28">
        <f>SUM(Jan!C10, Feb!C10, Mar!C10)</f>
        <v>179285.1269</v>
      </c>
      <c r="D10" s="29">
        <f>SUM(Jan!D10, Feb!D10, Mar!D10)</f>
        <v>0</v>
      </c>
      <c r="E10" s="29">
        <f t="shared" si="3"/>
        <v>179285.1269</v>
      </c>
      <c r="F10" s="30" t="str">
        <f t="shared" si="4"/>
        <v/>
      </c>
      <c r="G10" s="31">
        <f>SUM(Jan!G10, Feb!G10, Mar!G10)</f>
        <v>161850.1</v>
      </c>
      <c r="H10" s="31">
        <f>SUM(Jan!H10, Feb!H10, Mar!H10)</f>
        <v>17435.026899999997</v>
      </c>
      <c r="I10" s="32">
        <f t="shared" si="5"/>
        <v>0.10772330014006785</v>
      </c>
    </row>
    <row r="11" spans="1:9" ht="15.6">
      <c r="A11" s="48" t="str">
        <v>Cokato - Eastlake Carlson</v>
      </c>
      <c r="B11" s="34" t="str">
        <v>MN</v>
      </c>
      <c r="C11" s="35">
        <f>SUM(Jan!C11, Feb!C11, Mar!C11)</f>
        <v>147025.48420000001</v>
      </c>
      <c r="D11" s="36">
        <f>SUM(Jan!D11, Feb!D11, Mar!D11)</f>
        <v>0</v>
      </c>
      <c r="E11" s="36">
        <f t="shared" si="3"/>
        <v>147025.48420000001</v>
      </c>
      <c r="F11" s="73" t="str">
        <f t="shared" si="4"/>
        <v/>
      </c>
      <c r="G11" s="74">
        <f>SUM(Jan!G11, Feb!G11, Mar!G11)</f>
        <v>189506</v>
      </c>
      <c r="H11" s="74">
        <f>SUM(Jan!H11, Feb!H11, Mar!H11)</f>
        <v>-42480.515799999994</v>
      </c>
      <c r="I11" s="73">
        <f t="shared" si="5"/>
        <v>-0.22416448977868772</v>
      </c>
    </row>
    <row r="12" spans="1:9" ht="15.6">
      <c r="A12" s="47" t="str">
        <v>North Branch - Cornille 2</v>
      </c>
      <c r="B12" s="27" t="str">
        <v>MN</v>
      </c>
      <c r="C12" s="28">
        <f>SUM(Jan!C12, Feb!C12, Mar!C12)</f>
        <v>142625</v>
      </c>
      <c r="D12" s="29">
        <f>SUM(Jan!D12, Feb!D12, Mar!D12)</f>
        <v>0</v>
      </c>
      <c r="E12" s="29">
        <f t="shared" si="3"/>
        <v>142625</v>
      </c>
      <c r="F12" s="30" t="str">
        <f t="shared" si="4"/>
        <v/>
      </c>
      <c r="G12" s="31">
        <f>SUM(Jan!G12, Feb!G12, Mar!G12)</f>
        <v>156749.79999999999</v>
      </c>
      <c r="H12" s="31">
        <f>SUM(Jan!H12, Feb!H12, Mar!H12)</f>
        <v>-14124.799999999988</v>
      </c>
      <c r="I12" s="32">
        <f t="shared" si="5"/>
        <v>-9.0110481799657735E-2</v>
      </c>
    </row>
    <row r="13" spans="1:9" ht="15.6">
      <c r="A13" s="48" t="str">
        <v>Clear Lake - Eastlake Hammer</v>
      </c>
      <c r="B13" s="34" t="str">
        <v>MN</v>
      </c>
      <c r="C13" s="35">
        <f>SUM(Jan!C13, Feb!C13, Mar!C13)</f>
        <v>196603.0325</v>
      </c>
      <c r="D13" s="36">
        <f>SUM(Jan!D13, Feb!D13, Mar!D13)</f>
        <v>0</v>
      </c>
      <c r="E13" s="36">
        <f t="shared" si="3"/>
        <v>196603.0325</v>
      </c>
      <c r="F13" s="73" t="str">
        <f t="shared" si="4"/>
        <v/>
      </c>
      <c r="G13" s="74">
        <f>SUM(Jan!G13, Feb!G13, Mar!G13)</f>
        <v>181153.8</v>
      </c>
      <c r="H13" s="74">
        <f>SUM(Jan!H13, Feb!H13, Mar!H13)</f>
        <v>15449.232500000013</v>
      </c>
      <c r="I13" s="73">
        <f t="shared" si="5"/>
        <v>8.5282409201463141E-2</v>
      </c>
    </row>
    <row r="14" spans="1:9" ht="15.6">
      <c r="A14" s="47" t="str">
        <v>Eastlake - Hertzberg CSG 1</v>
      </c>
      <c r="B14" s="27" t="str">
        <v>MN</v>
      </c>
      <c r="C14" s="28">
        <f>SUM(Jan!C14, Feb!C14, Mar!C14)</f>
        <v>178773.26439999999</v>
      </c>
      <c r="D14" s="29">
        <f>SUM(Jan!D14, Feb!D14, Mar!D14)</f>
        <v>0</v>
      </c>
      <c r="E14" s="29">
        <f t="shared" si="3"/>
        <v>178773.26439999999</v>
      </c>
      <c r="F14" s="30" t="str">
        <f t="shared" si="4"/>
        <v/>
      </c>
      <c r="G14" s="31">
        <f>SUM(Jan!G14, Feb!G14, Mar!G14)</f>
        <v>179090.7</v>
      </c>
      <c r="H14" s="31">
        <f>SUM(Jan!H14, Feb!H14, Mar!H14)</f>
        <v>-317.43560000002617</v>
      </c>
      <c r="I14" s="32">
        <f t="shared" si="5"/>
        <v>-1.7724851150842905E-3</v>
      </c>
    </row>
    <row r="15" spans="1:9" ht="15.6">
      <c r="A15" s="48" t="str">
        <v>Cokato - Eastlake Laurel Village</v>
      </c>
      <c r="B15" s="34" t="str">
        <v>MN</v>
      </c>
      <c r="C15" s="35">
        <f>SUM(Jan!C15, Feb!C15, Mar!C15)</f>
        <v>192745.31390000001</v>
      </c>
      <c r="D15" s="36">
        <f>SUM(Jan!D15, Feb!D15, Mar!D15)</f>
        <v>0</v>
      </c>
      <c r="E15" s="36">
        <f t="shared" si="3"/>
        <v>192745.31390000001</v>
      </c>
      <c r="F15" s="73" t="str">
        <f t="shared" si="4"/>
        <v/>
      </c>
      <c r="G15" s="74">
        <f>SUM(Jan!G15, Feb!G15, Mar!G15)</f>
        <v>177944.7</v>
      </c>
      <c r="H15" s="74">
        <f>SUM(Jan!H15, Feb!H15, Mar!H15)</f>
        <v>14800.613899999997</v>
      </c>
      <c r="I15" s="73">
        <f t="shared" si="5"/>
        <v>8.3175356725994062E-2</v>
      </c>
    </row>
    <row r="16" spans="1:9" ht="15.6">
      <c r="A16" s="47" t="str">
        <v>St. Peter - Eastlake Paulson</v>
      </c>
      <c r="B16" s="27" t="str">
        <v>MN</v>
      </c>
      <c r="C16" s="28">
        <f>SUM(Jan!C16, Feb!C16, Mar!C16)</f>
        <v>167620.9295</v>
      </c>
      <c r="D16" s="29">
        <f>SUM(Jan!D16, Feb!D16, Mar!D16)</f>
        <v>0</v>
      </c>
      <c r="E16" s="29">
        <f t="shared" si="3"/>
        <v>167620.9295</v>
      </c>
      <c r="F16" s="30" t="str">
        <f t="shared" si="4"/>
        <v/>
      </c>
      <c r="G16" s="31">
        <f>SUM(Jan!G16, Feb!G16, Mar!G16)</f>
        <v>165236.6</v>
      </c>
      <c r="H16" s="31">
        <f>SUM(Jan!H16, Feb!H16, Mar!H16)</f>
        <v>2384.3294999999925</v>
      </c>
      <c r="I16" s="32">
        <f t="shared" si="5"/>
        <v>1.4429790373319182E-2</v>
      </c>
    </row>
    <row r="17" spans="1:9" ht="15.6">
      <c r="A17" s="48" t="str">
        <v>Felician Sisters Convent</v>
      </c>
      <c r="B17" s="34" t="str">
        <v>NJ</v>
      </c>
      <c r="C17" s="35">
        <f>SUM(Jan!C17, Feb!C17, Mar!C17)</f>
        <v>34597.199999999997</v>
      </c>
      <c r="D17" s="36">
        <f>SUM(Jan!D17, Feb!D17, Mar!D17)</f>
        <v>0</v>
      </c>
      <c r="E17" s="36">
        <f t="shared" si="3"/>
        <v>34597.199999999997</v>
      </c>
      <c r="F17" s="73" t="str">
        <f t="shared" si="4"/>
        <v/>
      </c>
      <c r="G17" s="74">
        <f>SUM(Jan!G17, Feb!G17, Mar!G17)</f>
        <v>0</v>
      </c>
      <c r="H17" s="74">
        <f>SUM(Jan!H17, Feb!H17, Mar!H17)</f>
        <v>0</v>
      </c>
      <c r="I17" s="73" t="str">
        <f t="shared" si="5"/>
        <v/>
      </c>
    </row>
    <row r="18" spans="1:9" ht="15.6">
      <c r="A18" s="47" t="str">
        <v>Sussex County Fairgrounds</v>
      </c>
      <c r="B18" s="27" t="str">
        <v>NJ</v>
      </c>
      <c r="C18" s="28">
        <f>SUM(Jan!C18, Feb!C18, Mar!C18)</f>
        <v>44370</v>
      </c>
      <c r="D18" s="29">
        <f>SUM(Jan!D18, Feb!D18, Mar!D18)</f>
        <v>0</v>
      </c>
      <c r="E18" s="29">
        <f t="shared" si="3"/>
        <v>44370</v>
      </c>
      <c r="F18" s="30" t="str">
        <f t="shared" si="4"/>
        <v/>
      </c>
      <c r="G18" s="31">
        <f>SUM(Jan!G18, Feb!G18, Mar!G18)</f>
        <v>0</v>
      </c>
      <c r="H18" s="31">
        <f>SUM(Jan!H18, Feb!H18, Mar!H18)</f>
        <v>0</v>
      </c>
      <c r="I18" s="32" t="str">
        <f t="shared" si="5"/>
        <v/>
      </c>
    </row>
    <row r="19" spans="1:9" ht="15.6">
      <c r="A19" s="48" t="str">
        <v>Gateway Church</v>
      </c>
      <c r="B19" s="34" t="str">
        <v>NJ</v>
      </c>
      <c r="C19" s="35">
        <f>SUM(Jan!C19, Feb!C19, Mar!C19)</f>
        <v>26234</v>
      </c>
      <c r="D19" s="36">
        <f>SUM(Jan!D19, Feb!D19, Mar!D19)</f>
        <v>0</v>
      </c>
      <c r="E19" s="36">
        <f t="shared" si="3"/>
        <v>26234</v>
      </c>
      <c r="F19" s="73" t="str">
        <f t="shared" si="4"/>
        <v/>
      </c>
      <c r="G19" s="74">
        <f>SUM(Jan!G19, Feb!G19, Mar!G19)</f>
        <v>0</v>
      </c>
      <c r="H19" s="74">
        <f>SUM(Jan!H19, Feb!H19, Mar!H19)</f>
        <v>0</v>
      </c>
      <c r="I19" s="73" t="str">
        <f t="shared" si="5"/>
        <v/>
      </c>
    </row>
    <row r="20" spans="1:9" ht="15.6">
      <c r="A20" s="47" t="str">
        <v>Beaver Falls - Felician Sisters</v>
      </c>
      <c r="B20" s="27" t="str">
        <v>PA</v>
      </c>
      <c r="C20" s="28">
        <f>SUM(Jan!C20, Feb!C20, Mar!C20)</f>
        <v>36640</v>
      </c>
      <c r="D20" s="29">
        <f>SUM(Jan!D20, Feb!D20, Mar!D20)</f>
        <v>0</v>
      </c>
      <c r="E20" s="29">
        <f t="shared" si="3"/>
        <v>36640</v>
      </c>
      <c r="F20" s="30" t="str">
        <f t="shared" si="4"/>
        <v/>
      </c>
      <c r="G20" s="31">
        <f>SUM(Jan!G20, Feb!G20, Mar!G20)</f>
        <v>0</v>
      </c>
      <c r="H20" s="31">
        <f>SUM(Jan!H20, Feb!H20, Mar!H20)</f>
        <v>0</v>
      </c>
      <c r="I20" s="32" t="str">
        <f t="shared" si="5"/>
        <v/>
      </c>
    </row>
    <row r="21" spans="1:9" ht="15.6">
      <c r="A21" s="48" t="str">
        <v>Livonia - Felician Sisters Ground</v>
      </c>
      <c r="B21" s="34" t="str">
        <v>MI</v>
      </c>
      <c r="C21" s="35">
        <f>SUM(Jan!C21, Feb!C21, Mar!C21)</f>
        <v>0</v>
      </c>
      <c r="D21" s="36">
        <f>SUM(Jan!D21, Feb!D21, Mar!D21)</f>
        <v>0</v>
      </c>
      <c r="E21" s="36">
        <f t="shared" si="3"/>
        <v>0</v>
      </c>
      <c r="F21" s="73" t="str">
        <f t="shared" si="4"/>
        <v/>
      </c>
      <c r="G21" s="74">
        <f>SUM(Jan!G21, Feb!G21, Mar!G21)</f>
        <v>0</v>
      </c>
      <c r="H21" s="74">
        <f>SUM(Jan!H21, Feb!H21, Mar!H21)</f>
        <v>0</v>
      </c>
      <c r="I21" s="73" t="str">
        <f t="shared" si="5"/>
        <v/>
      </c>
    </row>
    <row r="22" spans="1:9" ht="15.6">
      <c r="A22" s="47" t="str">
        <v>Livonia - Felician Sisters Roof</v>
      </c>
      <c r="B22" s="27" t="str">
        <v>MI</v>
      </c>
      <c r="C22" s="28">
        <f>SUM(Jan!C22, Feb!C22, Mar!C22)</f>
        <v>12782</v>
      </c>
      <c r="D22" s="29">
        <f>SUM(Jan!D22, Feb!D22, Mar!D22)</f>
        <v>0</v>
      </c>
      <c r="E22" s="29">
        <f t="shared" si="3"/>
        <v>12782</v>
      </c>
      <c r="F22" s="30" t="str">
        <f t="shared" si="4"/>
        <v/>
      </c>
      <c r="G22" s="31">
        <f>SUM(Jan!G22, Feb!G22, Mar!G22)</f>
        <v>0</v>
      </c>
      <c r="H22" s="31">
        <f>SUM(Jan!H22, Feb!H22, Mar!H22)</f>
        <v>0</v>
      </c>
      <c r="I22" s="32" t="str">
        <f t="shared" si="5"/>
        <v/>
      </c>
    </row>
    <row r="23" spans="1:9" ht="15.6">
      <c r="A23" s="48" t="str">
        <v>Monmouth Worship Ctr</v>
      </c>
      <c r="B23" s="34" t="str">
        <v>NJ</v>
      </c>
      <c r="C23" s="35">
        <f>SUM(Jan!C23, Feb!C23, Mar!C23)</f>
        <v>11687.5</v>
      </c>
      <c r="D23" s="36">
        <f>SUM(Jan!D23, Feb!D23, Mar!D23)</f>
        <v>0</v>
      </c>
      <c r="E23" s="36">
        <f t="shared" si="3"/>
        <v>11687.5</v>
      </c>
      <c r="F23" s="73" t="str">
        <f t="shared" si="4"/>
        <v/>
      </c>
      <c r="G23" s="74">
        <f>SUM(Jan!G23, Feb!G23, Mar!G23)</f>
        <v>0</v>
      </c>
      <c r="H23" s="74">
        <f>SUM(Jan!H23, Feb!H23, Mar!H23)</f>
        <v>0</v>
      </c>
      <c r="I23" s="73" t="str">
        <f t="shared" si="5"/>
        <v/>
      </c>
    </row>
    <row r="24" spans="1:9" ht="15.6">
      <c r="A24" s="47" t="str">
        <v xml:space="preserve"> Audubon - Senior Citizens United</v>
      </c>
      <c r="B24" s="27" t="str">
        <v>NJ</v>
      </c>
      <c r="C24" s="28">
        <f>SUM(Jan!C24, Feb!C24, Mar!C24)</f>
        <v>8714.2000000000007</v>
      </c>
      <c r="D24" s="29">
        <f>SUM(Jan!D24, Feb!D24, Mar!D24)</f>
        <v>0</v>
      </c>
      <c r="E24" s="29">
        <f t="shared" si="3"/>
        <v>8714.2000000000007</v>
      </c>
      <c r="F24" s="30" t="str">
        <f t="shared" si="4"/>
        <v/>
      </c>
      <c r="G24" s="31">
        <f>SUM(Jan!G24, Feb!G24, Mar!G24)</f>
        <v>0</v>
      </c>
      <c r="H24" s="31">
        <f>SUM(Jan!H24, Feb!H24, Mar!H24)</f>
        <v>0</v>
      </c>
      <c r="I24" s="32" t="str">
        <f t="shared" si="5"/>
        <v/>
      </c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F12" sqref="F12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6" t="str" cm="1">
        <f t="array" ref="A1">portfolio</f>
        <v>Clean Capital</v>
      </c>
      <c r="B1" s="86"/>
      <c r="C1" s="86"/>
      <c r="D1" s="87" t="s">
        <v>12</v>
      </c>
      <c r="E1" s="87"/>
      <c r="F1" s="87"/>
      <c r="G1" s="85" t="s">
        <v>13</v>
      </c>
      <c r="H1" s="85"/>
      <c r="I1" s="85"/>
    </row>
    <row r="2" spans="1:9" ht="19.5" customHeight="1">
      <c r="A2" s="88" t="s">
        <v>2</v>
      </c>
      <c r="B2" s="8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24">Sites[Site]</f>
        <v>Lexington - Cotting School</v>
      </c>
      <c r="B4" s="27" t="str" cm="1">
        <f t="array" ref="B4:B24">Sites[State]</f>
        <v>MA</v>
      </c>
      <c r="C4" s="28">
        <f>SUM(Apr!C4, May!C4, Jun!C4)</f>
        <v>0</v>
      </c>
      <c r="D4" s="29">
        <f>SUM(Apr!D4, May!D4, Jun!D4)</f>
        <v>0</v>
      </c>
      <c r="E4" s="29">
        <f>IF(AND(ISNUMBER(C4),ISNUMBER(D4)), C4-D4, "")</f>
        <v>0</v>
      </c>
      <c r="F4" s="30" t="str">
        <f>IFERROR(E4/D4, "")</f>
        <v/>
      </c>
      <c r="G4" s="31">
        <f>SUM(Apr!G4+May!G4+Jun!G4)</f>
        <v>0</v>
      </c>
      <c r="H4" s="31">
        <f>SUM(Apr!H4, May!H4, Jun!H4)</f>
        <v>0</v>
      </c>
      <c r="I4" s="32" t="str">
        <f>IFERROR(H4/G4, "")</f>
        <v/>
      </c>
    </row>
    <row r="5" spans="1:9" ht="15.6">
      <c r="A5" s="48" t="str">
        <v>Pacoima - Whiteman Airport</v>
      </c>
      <c r="B5" s="34" t="str">
        <v>CA</v>
      </c>
      <c r="C5" s="35">
        <f>SUM(Apr!C5, May!C5, Jun!C5)</f>
        <v>0</v>
      </c>
      <c r="D5" s="36">
        <f>SUM(Apr!D5, May!D5, Jun!D5)</f>
        <v>0</v>
      </c>
      <c r="E5" s="36">
        <f t="shared" ref="E5:E7" si="0">IF(AND(ISNUMBER(C5),ISNUMBER(D5)), C5-D5, "")</f>
        <v>0</v>
      </c>
      <c r="F5" s="37" t="str">
        <f>IFERROR(E5/D5, "")</f>
        <v/>
      </c>
      <c r="G5" s="38">
        <f>SUM(Apr!G5+May!G5+Jun!G5)</f>
        <v>0</v>
      </c>
      <c r="H5" s="38">
        <f>SUM(Apr!H5, May!H5, Jun!H5)</f>
        <v>0</v>
      </c>
      <c r="I5" s="37" t="str">
        <f>IFERROR(H5/G5, "")</f>
        <v/>
      </c>
    </row>
    <row r="6" spans="1:9" ht="15.6">
      <c r="A6" s="47" t="str">
        <v>Hyannis - Sturgis Charter School</v>
      </c>
      <c r="B6" s="27" t="str">
        <v>MA</v>
      </c>
      <c r="C6" s="28">
        <f>SUM(Apr!C6, May!C6, Jun!C6)</f>
        <v>0</v>
      </c>
      <c r="D6" s="29">
        <f>SUM(Apr!D6, May!D6, Jun!D6)</f>
        <v>0</v>
      </c>
      <c r="E6" s="29">
        <f t="shared" si="0"/>
        <v>0</v>
      </c>
      <c r="F6" s="30" t="str">
        <f t="shared" ref="F6:F7" si="1">IFERROR(E6/D6, "")</f>
        <v/>
      </c>
      <c r="G6" s="31">
        <f>SUM(Apr!G6+May!G6+Jun!G6)</f>
        <v>0</v>
      </c>
      <c r="H6" s="31">
        <f>SUM(Apr!H6, May!H6, Jun!H6)</f>
        <v>0</v>
      </c>
      <c r="I6" s="32" t="str">
        <f t="shared" ref="I6:I7" si="2">IFERROR(H6/G6, "")</f>
        <v/>
      </c>
    </row>
    <row r="7" spans="1:9" ht="15.6">
      <c r="A7" s="48" t="str">
        <v>South Dennis - Tony Kent Arena</v>
      </c>
      <c r="B7" s="34" t="str">
        <v>MA</v>
      </c>
      <c r="C7" s="35">
        <f>SUM(Apr!C7, May!C7, Jun!C7)</f>
        <v>0</v>
      </c>
      <c r="D7" s="36">
        <f>SUM(Apr!D7, May!D7, Jun!D7)</f>
        <v>0</v>
      </c>
      <c r="E7" s="36">
        <f t="shared" si="0"/>
        <v>0</v>
      </c>
      <c r="F7" s="37" t="str">
        <f t="shared" si="1"/>
        <v/>
      </c>
      <c r="G7" s="38">
        <f>SUM(Apr!G7+May!G7+Jun!G7)</f>
        <v>0</v>
      </c>
      <c r="H7" s="38">
        <f>SUM(Apr!H7, May!H7, Jun!H7)</f>
        <v>0</v>
      </c>
      <c r="I7" s="37" t="str">
        <f t="shared" si="2"/>
        <v/>
      </c>
    </row>
    <row r="8" spans="1:9" ht="15.6">
      <c r="A8" s="47" t="str">
        <v xml:space="preserve"> Caropolis - Felician Sisters</v>
      </c>
      <c r="B8" s="27" t="str">
        <v>PA</v>
      </c>
      <c r="C8" s="28">
        <f>SUM(Apr!C8, May!C8, Jun!C8)</f>
        <v>0</v>
      </c>
      <c r="D8" s="29">
        <f>SUM(Apr!D8, May!D8, Jun!D8)</f>
        <v>0</v>
      </c>
      <c r="E8" s="29">
        <f t="shared" ref="E8:E24" si="3">IF(AND(ISNUMBER(C8),ISNUMBER(D8)), C8-D8, "")</f>
        <v>0</v>
      </c>
      <c r="F8" s="30" t="str">
        <f t="shared" ref="F8:F24" si="4">IFERROR(E8/D8, "")</f>
        <v/>
      </c>
      <c r="G8" s="31">
        <f>SUM(Apr!G8+May!G8+Jun!G8)</f>
        <v>0</v>
      </c>
      <c r="H8" s="31">
        <f>SUM(Apr!H8, May!H8, Jun!H8)</f>
        <v>0</v>
      </c>
      <c r="I8" s="32" t="str">
        <f t="shared" ref="I8:I24" si="5">IFERROR(H8/G8, "")</f>
        <v/>
      </c>
    </row>
    <row r="9" spans="1:9" ht="15.6">
      <c r="A9" s="48" t="str">
        <v>Clear Lake - Eastlake Gohman</v>
      </c>
      <c r="B9" s="34" t="str">
        <v>MN</v>
      </c>
      <c r="C9" s="35">
        <f>SUM(Apr!C9, May!C9, Jun!C9)</f>
        <v>0</v>
      </c>
      <c r="D9" s="36">
        <f>SUM(Apr!D9, May!D9, Jun!D9)</f>
        <v>0</v>
      </c>
      <c r="E9" s="36">
        <f t="shared" si="3"/>
        <v>0</v>
      </c>
      <c r="F9" s="73" t="str">
        <f t="shared" si="4"/>
        <v/>
      </c>
      <c r="G9" s="74">
        <f>SUM(Apr!G9+May!G9+Jun!G9)</f>
        <v>0</v>
      </c>
      <c r="H9" s="74">
        <f>SUM(Apr!H9, May!H9, Jun!H9)</f>
        <v>0</v>
      </c>
      <c r="I9" s="73" t="str">
        <f t="shared" si="5"/>
        <v/>
      </c>
    </row>
    <row r="10" spans="1:9" ht="15.6">
      <c r="A10" s="47" t="str">
        <v>Zumbrota - Eastlake Brenda Luhman</v>
      </c>
      <c r="B10" s="27" t="str">
        <v>MN</v>
      </c>
      <c r="C10" s="28">
        <f>SUM(Apr!C10, May!C10, Jun!C10)</f>
        <v>0</v>
      </c>
      <c r="D10" s="29">
        <f>SUM(Apr!D10, May!D10, Jun!D10)</f>
        <v>0</v>
      </c>
      <c r="E10" s="29">
        <f t="shared" si="3"/>
        <v>0</v>
      </c>
      <c r="F10" s="30" t="str">
        <f t="shared" si="4"/>
        <v/>
      </c>
      <c r="G10" s="31">
        <f>SUM(Apr!G10+May!G10+Jun!G10)</f>
        <v>0</v>
      </c>
      <c r="H10" s="31">
        <f>SUM(Apr!H10, May!H10, Jun!H10)</f>
        <v>0</v>
      </c>
      <c r="I10" s="32" t="str">
        <f t="shared" si="5"/>
        <v/>
      </c>
    </row>
    <row r="11" spans="1:9" ht="15.6">
      <c r="A11" s="48" t="str">
        <v>Cokato - Eastlake Carlson</v>
      </c>
      <c r="B11" s="34" t="str">
        <v>MN</v>
      </c>
      <c r="C11" s="35">
        <f>SUM(Apr!C11, May!C11, Jun!C11)</f>
        <v>0</v>
      </c>
      <c r="D11" s="36">
        <f>SUM(Apr!D11, May!D11, Jun!D11)</f>
        <v>0</v>
      </c>
      <c r="E11" s="36">
        <f t="shared" si="3"/>
        <v>0</v>
      </c>
      <c r="F11" s="73" t="str">
        <f t="shared" si="4"/>
        <v/>
      </c>
      <c r="G11" s="74">
        <f>SUM(Apr!G11+May!G11+Jun!G11)</f>
        <v>0</v>
      </c>
      <c r="H11" s="74">
        <f>SUM(Apr!H11, May!H11, Jun!H11)</f>
        <v>0</v>
      </c>
      <c r="I11" s="73" t="str">
        <f t="shared" si="5"/>
        <v/>
      </c>
    </row>
    <row r="12" spans="1:9" ht="15.6">
      <c r="A12" s="47" t="str">
        <v>North Branch - Cornille 2</v>
      </c>
      <c r="B12" s="27" t="str">
        <v>MN</v>
      </c>
      <c r="C12" s="28">
        <f>SUM(Apr!C12, May!C12, Jun!C12)</f>
        <v>0</v>
      </c>
      <c r="D12" s="29">
        <f>SUM(Apr!D12, May!D12, Jun!D12)</f>
        <v>0</v>
      </c>
      <c r="E12" s="29">
        <f t="shared" si="3"/>
        <v>0</v>
      </c>
      <c r="F12" s="30" t="str">
        <f t="shared" si="4"/>
        <v/>
      </c>
      <c r="G12" s="31">
        <f>SUM(Apr!G12+May!G12+Jun!G12)</f>
        <v>0</v>
      </c>
      <c r="H12" s="31">
        <f>SUM(Apr!H12, May!H12, Jun!H12)</f>
        <v>0</v>
      </c>
      <c r="I12" s="32" t="str">
        <f t="shared" si="5"/>
        <v/>
      </c>
    </row>
    <row r="13" spans="1:9" ht="15.6">
      <c r="A13" s="48" t="str">
        <v>Clear Lake - Eastlake Hammer</v>
      </c>
      <c r="B13" s="34" t="str">
        <v>MN</v>
      </c>
      <c r="C13" s="35">
        <f>SUM(Apr!C13, May!C13, Jun!C13)</f>
        <v>0</v>
      </c>
      <c r="D13" s="36">
        <f>SUM(Apr!D13, May!D13, Jun!D13)</f>
        <v>0</v>
      </c>
      <c r="E13" s="36">
        <f t="shared" si="3"/>
        <v>0</v>
      </c>
      <c r="F13" s="73" t="str">
        <f t="shared" si="4"/>
        <v/>
      </c>
      <c r="G13" s="74">
        <f>SUM(Apr!G13+May!G13+Jun!G13)</f>
        <v>0</v>
      </c>
      <c r="H13" s="74">
        <f>SUM(Apr!H13, May!H13, Jun!H13)</f>
        <v>0</v>
      </c>
      <c r="I13" s="73" t="str">
        <f t="shared" si="5"/>
        <v/>
      </c>
    </row>
    <row r="14" spans="1:9" ht="15.6">
      <c r="A14" s="47" t="str">
        <v>Eastlake - Hertzberg CSG 1</v>
      </c>
      <c r="B14" s="27" t="str">
        <v>MN</v>
      </c>
      <c r="C14" s="28">
        <f>SUM(Apr!C14, May!C14, Jun!C14)</f>
        <v>0</v>
      </c>
      <c r="D14" s="29">
        <f>SUM(Apr!D14, May!D14, Jun!D14)</f>
        <v>0</v>
      </c>
      <c r="E14" s="29">
        <f t="shared" si="3"/>
        <v>0</v>
      </c>
      <c r="F14" s="30" t="str">
        <f t="shared" si="4"/>
        <v/>
      </c>
      <c r="G14" s="31">
        <f>SUM(Apr!G14+May!G14+Jun!G14)</f>
        <v>0</v>
      </c>
      <c r="H14" s="31">
        <f>SUM(Apr!H14, May!H14, Jun!H14)</f>
        <v>0</v>
      </c>
      <c r="I14" s="32" t="str">
        <f t="shared" si="5"/>
        <v/>
      </c>
    </row>
    <row r="15" spans="1:9" ht="15.6">
      <c r="A15" s="48" t="str">
        <v>Cokato - Eastlake Laurel Village</v>
      </c>
      <c r="B15" s="34" t="str">
        <v>MN</v>
      </c>
      <c r="C15" s="35">
        <f>SUM(Apr!C15, May!C15, Jun!C15)</f>
        <v>0</v>
      </c>
      <c r="D15" s="36">
        <f>SUM(Apr!D15, May!D15, Jun!D15)</f>
        <v>0</v>
      </c>
      <c r="E15" s="36">
        <f t="shared" si="3"/>
        <v>0</v>
      </c>
      <c r="F15" s="73" t="str">
        <f t="shared" si="4"/>
        <v/>
      </c>
      <c r="G15" s="74">
        <f>SUM(Apr!G15+May!G15+Jun!G15)</f>
        <v>0</v>
      </c>
      <c r="H15" s="74">
        <f>SUM(Apr!H15, May!H15, Jun!H15)</f>
        <v>0</v>
      </c>
      <c r="I15" s="73" t="str">
        <f t="shared" si="5"/>
        <v/>
      </c>
    </row>
    <row r="16" spans="1:9" ht="15.6">
      <c r="A16" s="47" t="str">
        <v>St. Peter - Eastlake Paulson</v>
      </c>
      <c r="B16" s="27" t="str">
        <v>MN</v>
      </c>
      <c r="C16" s="28">
        <f>SUM(Apr!C16, May!C16, Jun!C16)</f>
        <v>0</v>
      </c>
      <c r="D16" s="29">
        <f>SUM(Apr!D16, May!D16, Jun!D16)</f>
        <v>0</v>
      </c>
      <c r="E16" s="29">
        <f t="shared" si="3"/>
        <v>0</v>
      </c>
      <c r="F16" s="30" t="str">
        <f t="shared" si="4"/>
        <v/>
      </c>
      <c r="G16" s="31">
        <f>SUM(Apr!G16+May!G16+Jun!G16)</f>
        <v>0</v>
      </c>
      <c r="H16" s="31">
        <f>SUM(Apr!H16, May!H16, Jun!H16)</f>
        <v>0</v>
      </c>
      <c r="I16" s="32" t="str">
        <f t="shared" si="5"/>
        <v/>
      </c>
    </row>
    <row r="17" spans="1:9" ht="15.6">
      <c r="A17" s="48" t="str">
        <v>Felician Sisters Convent</v>
      </c>
      <c r="B17" s="34" t="str">
        <v>NJ</v>
      </c>
      <c r="C17" s="35">
        <f>SUM(Apr!C17, May!C17, Jun!C17)</f>
        <v>0</v>
      </c>
      <c r="D17" s="36">
        <f>SUM(Apr!D17, May!D17, Jun!D17)</f>
        <v>0</v>
      </c>
      <c r="E17" s="36">
        <f t="shared" si="3"/>
        <v>0</v>
      </c>
      <c r="F17" s="73" t="str">
        <f t="shared" si="4"/>
        <v/>
      </c>
      <c r="G17" s="74">
        <f>SUM(Apr!G17+May!G17+Jun!G17)</f>
        <v>0</v>
      </c>
      <c r="H17" s="74">
        <f>SUM(Apr!H17, May!H17, Jun!H17)</f>
        <v>0</v>
      </c>
      <c r="I17" s="73" t="str">
        <f t="shared" si="5"/>
        <v/>
      </c>
    </row>
    <row r="18" spans="1:9" ht="15.6">
      <c r="A18" s="47" t="str">
        <v>Sussex County Fairgrounds</v>
      </c>
      <c r="B18" s="27" t="str">
        <v>NJ</v>
      </c>
      <c r="C18" s="28">
        <f>SUM(Apr!C18, May!C18, Jun!C18)</f>
        <v>0</v>
      </c>
      <c r="D18" s="29">
        <f>SUM(Apr!D18, May!D18, Jun!D18)</f>
        <v>0</v>
      </c>
      <c r="E18" s="29">
        <f t="shared" si="3"/>
        <v>0</v>
      </c>
      <c r="F18" s="30" t="str">
        <f t="shared" si="4"/>
        <v/>
      </c>
      <c r="G18" s="31">
        <f>SUM(Apr!G18+May!G18+Jun!G18)</f>
        <v>0</v>
      </c>
      <c r="H18" s="31">
        <f>SUM(Apr!H18, May!H18, Jun!H18)</f>
        <v>0</v>
      </c>
      <c r="I18" s="32" t="str">
        <f t="shared" si="5"/>
        <v/>
      </c>
    </row>
    <row r="19" spans="1:9" ht="15.6">
      <c r="A19" s="48" t="str">
        <v>Gateway Church</v>
      </c>
      <c r="B19" s="34" t="str">
        <v>NJ</v>
      </c>
      <c r="C19" s="35">
        <f>SUM(Apr!C19, May!C19, Jun!C19)</f>
        <v>0</v>
      </c>
      <c r="D19" s="36">
        <f>SUM(Apr!D19, May!D19, Jun!D19)</f>
        <v>0</v>
      </c>
      <c r="E19" s="36">
        <f t="shared" si="3"/>
        <v>0</v>
      </c>
      <c r="F19" s="73" t="str">
        <f t="shared" si="4"/>
        <v/>
      </c>
      <c r="G19" s="74">
        <f>SUM(Apr!G19+May!G19+Jun!G19)</f>
        <v>0</v>
      </c>
      <c r="H19" s="74">
        <f>SUM(Apr!H19, May!H19, Jun!H19)</f>
        <v>0</v>
      </c>
      <c r="I19" s="73" t="str">
        <f t="shared" si="5"/>
        <v/>
      </c>
    </row>
    <row r="20" spans="1:9" ht="15.6">
      <c r="A20" s="47" t="str">
        <v>Beaver Falls - Felician Sisters</v>
      </c>
      <c r="B20" s="27" t="str">
        <v>PA</v>
      </c>
      <c r="C20" s="28">
        <f>SUM(Apr!C20, May!C20, Jun!C20)</f>
        <v>0</v>
      </c>
      <c r="D20" s="29">
        <f>SUM(Apr!D20, May!D20, Jun!D20)</f>
        <v>0</v>
      </c>
      <c r="E20" s="29">
        <f t="shared" si="3"/>
        <v>0</v>
      </c>
      <c r="F20" s="30" t="str">
        <f t="shared" si="4"/>
        <v/>
      </c>
      <c r="G20" s="31">
        <f>SUM(Apr!G20+May!G20+Jun!G20)</f>
        <v>0</v>
      </c>
      <c r="H20" s="31">
        <f>SUM(Apr!H20, May!H20, Jun!H20)</f>
        <v>0</v>
      </c>
      <c r="I20" s="32" t="str">
        <f t="shared" si="5"/>
        <v/>
      </c>
    </row>
    <row r="21" spans="1:9" ht="15.6">
      <c r="A21" s="48" t="str">
        <v>Livonia - Felician Sisters Ground</v>
      </c>
      <c r="B21" s="34" t="str">
        <v>MI</v>
      </c>
      <c r="C21" s="35">
        <f>SUM(Apr!C21, May!C21, Jun!C21)</f>
        <v>0</v>
      </c>
      <c r="D21" s="36">
        <f>SUM(Apr!D21, May!D21, Jun!D21)</f>
        <v>0</v>
      </c>
      <c r="E21" s="36">
        <f t="shared" si="3"/>
        <v>0</v>
      </c>
      <c r="F21" s="73" t="str">
        <f t="shared" si="4"/>
        <v/>
      </c>
      <c r="G21" s="74">
        <f>SUM(Apr!G21+May!G21+Jun!G21)</f>
        <v>0</v>
      </c>
      <c r="H21" s="74">
        <f>SUM(Apr!H21, May!H21, Jun!H21)</f>
        <v>0</v>
      </c>
      <c r="I21" s="73" t="str">
        <f t="shared" si="5"/>
        <v/>
      </c>
    </row>
    <row r="22" spans="1:9" ht="15.6">
      <c r="A22" s="47" t="str">
        <v>Livonia - Felician Sisters Roof</v>
      </c>
      <c r="B22" s="27" t="str">
        <v>MI</v>
      </c>
      <c r="C22" s="28">
        <f>SUM(Apr!C22, May!C22, Jun!C22)</f>
        <v>0</v>
      </c>
      <c r="D22" s="29">
        <f>SUM(Apr!D22, May!D22, Jun!D22)</f>
        <v>0</v>
      </c>
      <c r="E22" s="29">
        <f t="shared" si="3"/>
        <v>0</v>
      </c>
      <c r="F22" s="30" t="str">
        <f t="shared" si="4"/>
        <v/>
      </c>
      <c r="G22" s="31">
        <f>SUM(Apr!G22+May!G22+Jun!G22)</f>
        <v>0</v>
      </c>
      <c r="H22" s="31">
        <f>SUM(Apr!H22, May!H22, Jun!H22)</f>
        <v>0</v>
      </c>
      <c r="I22" s="32" t="str">
        <f t="shared" si="5"/>
        <v/>
      </c>
    </row>
    <row r="23" spans="1:9" ht="15.6">
      <c r="A23" s="48" t="str">
        <v>Monmouth Worship Ctr</v>
      </c>
      <c r="B23" s="34" t="str">
        <v>NJ</v>
      </c>
      <c r="C23" s="35">
        <f>SUM(Apr!C23, May!C23, Jun!C23)</f>
        <v>0</v>
      </c>
      <c r="D23" s="36">
        <f>SUM(Apr!D23, May!D23, Jun!D23)</f>
        <v>0</v>
      </c>
      <c r="E23" s="36">
        <f t="shared" si="3"/>
        <v>0</v>
      </c>
      <c r="F23" s="73" t="str">
        <f t="shared" si="4"/>
        <v/>
      </c>
      <c r="G23" s="74">
        <f>SUM(Apr!G23+May!G23+Jun!G23)</f>
        <v>0</v>
      </c>
      <c r="H23" s="74">
        <f>SUM(Apr!H23, May!H23, Jun!H23)</f>
        <v>0</v>
      </c>
      <c r="I23" s="73" t="str">
        <f t="shared" si="5"/>
        <v/>
      </c>
    </row>
    <row r="24" spans="1:9" ht="15.6">
      <c r="A24" s="47" t="str">
        <v xml:space="preserve"> Audubon - Senior Citizens United</v>
      </c>
      <c r="B24" s="27" t="str">
        <v>NJ</v>
      </c>
      <c r="C24" s="28">
        <f>SUM(Apr!C24, May!C24, Jun!C24)</f>
        <v>0</v>
      </c>
      <c r="D24" s="29">
        <f>SUM(Apr!D24, May!D24, Jun!D24)</f>
        <v>0</v>
      </c>
      <c r="E24" s="29">
        <f t="shared" si="3"/>
        <v>0</v>
      </c>
      <c r="F24" s="30" t="str">
        <f t="shared" si="4"/>
        <v/>
      </c>
      <c r="G24" s="31">
        <f>SUM(Apr!G24+May!G24+Jun!G24)</f>
        <v>0</v>
      </c>
      <c r="H24" s="31">
        <f>SUM(Apr!H24, May!H24, Jun!H24)</f>
        <v>0</v>
      </c>
      <c r="I24" s="32" t="str">
        <f t="shared" si="5"/>
        <v/>
      </c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D23" sqref="D23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6" t="str" cm="1">
        <f t="array" ref="A1">portfolio</f>
        <v>Clean Capital</v>
      </c>
      <c r="B1" s="86"/>
      <c r="C1" s="86"/>
      <c r="D1" s="87" t="s">
        <v>14</v>
      </c>
      <c r="E1" s="87"/>
      <c r="F1" s="87"/>
      <c r="G1" s="85" t="s">
        <v>15</v>
      </c>
      <c r="H1" s="85"/>
      <c r="I1" s="85"/>
    </row>
    <row r="2" spans="1:9" ht="19.5" customHeight="1">
      <c r="A2" s="88" t="s">
        <v>2</v>
      </c>
      <c r="B2" s="8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24">Sites[Site]</f>
        <v>Lexington - Cotting School</v>
      </c>
      <c r="B4" s="27" t="str" cm="1">
        <f t="array" ref="B4:B24">Sites[State]</f>
        <v>MA</v>
      </c>
      <c r="C4" s="28">
        <f>SUM(Jul!C4, Aug!C4, Sep!C4)</f>
        <v>0</v>
      </c>
      <c r="D4" s="29">
        <f>SUM(Jul!D4, Aug!D4, Sep!D4)</f>
        <v>0</v>
      </c>
      <c r="E4" s="29">
        <f>IF(AND(ISNUMBER(C4),ISNUMBER(D4)), C4-D4, "")</f>
        <v>0</v>
      </c>
      <c r="F4" s="30" t="str">
        <f>IFERROR(E4/D4, "")</f>
        <v/>
      </c>
      <c r="G4" s="31">
        <f>SUM(Jul!G4,Aug!G4,Sep!G4)</f>
        <v>0</v>
      </c>
      <c r="H4" s="31">
        <f>SUM(Jul!H4, Aug!H4, Sep!H4)</f>
        <v>0</v>
      </c>
      <c r="I4" s="32" t="str">
        <f>IFERROR(H4/G4, "")</f>
        <v/>
      </c>
    </row>
    <row r="5" spans="1:9" ht="15.6">
      <c r="A5" s="48" t="str">
        <v>Pacoima - Whiteman Airport</v>
      </c>
      <c r="B5" s="34" t="str">
        <v>CA</v>
      </c>
      <c r="C5" s="35">
        <f>SUM(Jul!C5, Aug!C5, Sep!C5)</f>
        <v>0</v>
      </c>
      <c r="D5" s="36">
        <f>SUM(Jul!D5, Aug!D5, Sep!D5)</f>
        <v>0</v>
      </c>
      <c r="E5" s="36">
        <f t="shared" ref="E5:E7" si="0">IF(AND(ISNUMBER(C5),ISNUMBER(D5)), C5-D5, "")</f>
        <v>0</v>
      </c>
      <c r="F5" s="37" t="str">
        <f>IFERROR(E5/D5, "")</f>
        <v/>
      </c>
      <c r="G5" s="38">
        <f>SUM(Jul!G5,Aug!G5,Sep!G5)</f>
        <v>0</v>
      </c>
      <c r="H5" s="38">
        <f>SUM(Jul!H5, Aug!H5, Sep!H5)</f>
        <v>0</v>
      </c>
      <c r="I5" s="37" t="str">
        <f>IFERROR(H5/G5, "")</f>
        <v/>
      </c>
    </row>
    <row r="6" spans="1:9" ht="15.6">
      <c r="A6" s="47" t="str">
        <v>Hyannis - Sturgis Charter School</v>
      </c>
      <c r="B6" s="27" t="str">
        <v>MA</v>
      </c>
      <c r="C6" s="28">
        <f>SUM(Jul!C6, Aug!C6, Sep!C6)</f>
        <v>0</v>
      </c>
      <c r="D6" s="29">
        <f>SUM(Jul!D6, Aug!D6, Sep!D6)</f>
        <v>0</v>
      </c>
      <c r="E6" s="29">
        <f t="shared" si="0"/>
        <v>0</v>
      </c>
      <c r="F6" s="30" t="str">
        <f t="shared" ref="F6:F7" si="1">IFERROR(E6/D6, "")</f>
        <v/>
      </c>
      <c r="G6" s="31">
        <f>SUM(Jul!G6,Aug!G6,Sep!G6)</f>
        <v>0</v>
      </c>
      <c r="H6" s="31">
        <f>SUM(Jul!H6, Aug!H6, Sep!H6)</f>
        <v>0</v>
      </c>
      <c r="I6" s="32" t="str">
        <f t="shared" ref="I6:I7" si="2">IFERROR(H6/G6, "")</f>
        <v/>
      </c>
    </row>
    <row r="7" spans="1:9" ht="15.6">
      <c r="A7" s="48" t="str">
        <v>South Dennis - Tony Kent Arena</v>
      </c>
      <c r="B7" s="34" t="str">
        <v>MA</v>
      </c>
      <c r="C7" s="35">
        <f>SUM(Jul!C7, Aug!C7, Sep!C7)</f>
        <v>0</v>
      </c>
      <c r="D7" s="36">
        <f>SUM(Jul!D7, Aug!D7, Sep!D7)</f>
        <v>0</v>
      </c>
      <c r="E7" s="36">
        <f t="shared" si="0"/>
        <v>0</v>
      </c>
      <c r="F7" s="37" t="str">
        <f t="shared" si="1"/>
        <v/>
      </c>
      <c r="G7" s="38">
        <f>SUM(Jul!G7,Aug!G7,Sep!G7)</f>
        <v>0</v>
      </c>
      <c r="H7" s="38">
        <f>SUM(Jul!H7, Aug!H7, Sep!H7)</f>
        <v>0</v>
      </c>
      <c r="I7" s="37" t="str">
        <f t="shared" si="2"/>
        <v/>
      </c>
    </row>
    <row r="8" spans="1:9" ht="15.6">
      <c r="A8" s="47" t="str">
        <v xml:space="preserve"> Caropolis - Felician Sisters</v>
      </c>
      <c r="B8" s="27" t="str">
        <v>PA</v>
      </c>
      <c r="C8" s="28">
        <f>SUM(Jul!C8, Aug!C8, Sep!C8)</f>
        <v>0</v>
      </c>
      <c r="D8" s="29">
        <f>SUM(Jul!D8, Aug!D8, Sep!D8)</f>
        <v>0</v>
      </c>
      <c r="E8" s="29">
        <f t="shared" ref="E8:E24" si="3">IF(AND(ISNUMBER(C8),ISNUMBER(D8)), C8-D8, "")</f>
        <v>0</v>
      </c>
      <c r="F8" s="30" t="str">
        <f t="shared" ref="F8:F24" si="4">IFERROR(E8/D8, "")</f>
        <v/>
      </c>
      <c r="G8" s="31">
        <f>SUM(Jul!G8,Aug!G8,Sep!G8)</f>
        <v>0</v>
      </c>
      <c r="H8" s="31">
        <f>SUM(Jul!H8, Aug!H8, Sep!H8)</f>
        <v>0</v>
      </c>
      <c r="I8" s="32" t="str">
        <f t="shared" ref="I8:I24" si="5">IFERROR(H8/G8, "")</f>
        <v/>
      </c>
    </row>
    <row r="9" spans="1:9" ht="15.6">
      <c r="A9" s="48" t="str">
        <v>Clear Lake - Eastlake Gohman</v>
      </c>
      <c r="B9" s="34" t="str">
        <v>MN</v>
      </c>
      <c r="C9" s="35">
        <f>SUM(Jul!C9, Aug!C9, Sep!C9)</f>
        <v>0</v>
      </c>
      <c r="D9" s="36">
        <f>SUM(Jul!D9, Aug!D9, Sep!D9)</f>
        <v>0</v>
      </c>
      <c r="E9" s="36">
        <f t="shared" si="3"/>
        <v>0</v>
      </c>
      <c r="F9" s="73" t="str">
        <f t="shared" si="4"/>
        <v/>
      </c>
      <c r="G9" s="74">
        <f>SUM(Jul!G9,Aug!G9,Sep!G9)</f>
        <v>0</v>
      </c>
      <c r="H9" s="74">
        <f>SUM(Jul!H9, Aug!H9, Sep!H9)</f>
        <v>0</v>
      </c>
      <c r="I9" s="73" t="str">
        <f t="shared" si="5"/>
        <v/>
      </c>
    </row>
    <row r="10" spans="1:9" ht="15.6">
      <c r="A10" s="47" t="str">
        <v>Zumbrota - Eastlake Brenda Luhman</v>
      </c>
      <c r="B10" s="27" t="str">
        <v>MN</v>
      </c>
      <c r="C10" s="28">
        <f>SUM(Jul!C10, Aug!C10, Sep!C10)</f>
        <v>0</v>
      </c>
      <c r="D10" s="29">
        <f>SUM(Jul!D10, Aug!D10, Sep!D10)</f>
        <v>0</v>
      </c>
      <c r="E10" s="29">
        <f t="shared" si="3"/>
        <v>0</v>
      </c>
      <c r="F10" s="30" t="str">
        <f t="shared" si="4"/>
        <v/>
      </c>
      <c r="G10" s="31">
        <f>SUM(Jul!G10,Aug!G10,Sep!G10)</f>
        <v>0</v>
      </c>
      <c r="H10" s="31">
        <f>SUM(Jul!H10, Aug!H10, Sep!H10)</f>
        <v>0</v>
      </c>
      <c r="I10" s="32" t="str">
        <f t="shared" si="5"/>
        <v/>
      </c>
    </row>
    <row r="11" spans="1:9" ht="15.6">
      <c r="A11" s="48" t="str">
        <v>Cokato - Eastlake Carlson</v>
      </c>
      <c r="B11" s="34" t="str">
        <v>MN</v>
      </c>
      <c r="C11" s="35">
        <f>SUM(Jul!C11, Aug!C11, Sep!C11)</f>
        <v>0</v>
      </c>
      <c r="D11" s="36">
        <f>SUM(Jul!D11, Aug!D11, Sep!D11)</f>
        <v>0</v>
      </c>
      <c r="E11" s="36">
        <f t="shared" si="3"/>
        <v>0</v>
      </c>
      <c r="F11" s="73" t="str">
        <f t="shared" si="4"/>
        <v/>
      </c>
      <c r="G11" s="74">
        <f>SUM(Jul!G11,Aug!G11,Sep!G11)</f>
        <v>0</v>
      </c>
      <c r="H11" s="74">
        <f>SUM(Jul!H11, Aug!H11, Sep!H11)</f>
        <v>0</v>
      </c>
      <c r="I11" s="73" t="str">
        <f t="shared" si="5"/>
        <v/>
      </c>
    </row>
    <row r="12" spans="1:9" ht="15.6">
      <c r="A12" s="47" t="str">
        <v>North Branch - Cornille 2</v>
      </c>
      <c r="B12" s="27" t="str">
        <v>MN</v>
      </c>
      <c r="C12" s="28">
        <f>SUM(Jul!C12, Aug!C12, Sep!C12)</f>
        <v>0</v>
      </c>
      <c r="D12" s="29">
        <f>SUM(Jul!D12, Aug!D12, Sep!D12)</f>
        <v>0</v>
      </c>
      <c r="E12" s="29">
        <f t="shared" si="3"/>
        <v>0</v>
      </c>
      <c r="F12" s="30" t="str">
        <f t="shared" si="4"/>
        <v/>
      </c>
      <c r="G12" s="31">
        <f>SUM(Jul!G12,Aug!G12,Sep!G12)</f>
        <v>0</v>
      </c>
      <c r="H12" s="31">
        <f>SUM(Jul!H12, Aug!H12, Sep!H12)</f>
        <v>0</v>
      </c>
      <c r="I12" s="32" t="str">
        <f t="shared" si="5"/>
        <v/>
      </c>
    </row>
    <row r="13" spans="1:9" ht="15.6">
      <c r="A13" s="48" t="str">
        <v>Clear Lake - Eastlake Hammer</v>
      </c>
      <c r="B13" s="34" t="str">
        <v>MN</v>
      </c>
      <c r="C13" s="35">
        <f>SUM(Jul!C13, Aug!C13, Sep!C13)</f>
        <v>0</v>
      </c>
      <c r="D13" s="36">
        <f>SUM(Jul!D13, Aug!D13, Sep!D13)</f>
        <v>0</v>
      </c>
      <c r="E13" s="36">
        <f t="shared" si="3"/>
        <v>0</v>
      </c>
      <c r="F13" s="73" t="str">
        <f t="shared" si="4"/>
        <v/>
      </c>
      <c r="G13" s="74">
        <f>SUM(Jul!G13,Aug!G13,Sep!G13)</f>
        <v>0</v>
      </c>
      <c r="H13" s="74">
        <f>SUM(Jul!H13, Aug!H13, Sep!H13)</f>
        <v>0</v>
      </c>
      <c r="I13" s="73" t="str">
        <f t="shared" si="5"/>
        <v/>
      </c>
    </row>
    <row r="14" spans="1:9" ht="15.6">
      <c r="A14" s="47" t="str">
        <v>Eastlake - Hertzberg CSG 1</v>
      </c>
      <c r="B14" s="27" t="str">
        <v>MN</v>
      </c>
      <c r="C14" s="28">
        <f>SUM(Jul!C14, Aug!C14, Sep!C14)</f>
        <v>0</v>
      </c>
      <c r="D14" s="29">
        <f>SUM(Jul!D14, Aug!D14, Sep!D14)</f>
        <v>0</v>
      </c>
      <c r="E14" s="29">
        <f t="shared" si="3"/>
        <v>0</v>
      </c>
      <c r="F14" s="30" t="str">
        <f t="shared" si="4"/>
        <v/>
      </c>
      <c r="G14" s="31">
        <f>SUM(Jul!G14,Aug!G14,Sep!G14)</f>
        <v>0</v>
      </c>
      <c r="H14" s="31">
        <f>SUM(Jul!H14, Aug!H14, Sep!H14)</f>
        <v>0</v>
      </c>
      <c r="I14" s="32" t="str">
        <f t="shared" si="5"/>
        <v/>
      </c>
    </row>
    <row r="15" spans="1:9" ht="15.6">
      <c r="A15" s="48" t="str">
        <v>Cokato - Eastlake Laurel Village</v>
      </c>
      <c r="B15" s="34" t="str">
        <v>MN</v>
      </c>
      <c r="C15" s="35">
        <f>SUM(Jul!C15, Aug!C15, Sep!C15)</f>
        <v>0</v>
      </c>
      <c r="D15" s="36">
        <f>SUM(Jul!D15, Aug!D15, Sep!D15)</f>
        <v>0</v>
      </c>
      <c r="E15" s="36">
        <f t="shared" si="3"/>
        <v>0</v>
      </c>
      <c r="F15" s="73" t="str">
        <f t="shared" si="4"/>
        <v/>
      </c>
      <c r="G15" s="74">
        <f>SUM(Jul!G15,Aug!G15,Sep!G15)</f>
        <v>0</v>
      </c>
      <c r="H15" s="74">
        <f>SUM(Jul!H15, Aug!H15, Sep!H15)</f>
        <v>0</v>
      </c>
      <c r="I15" s="73" t="str">
        <f t="shared" si="5"/>
        <v/>
      </c>
    </row>
    <row r="16" spans="1:9" ht="15.6">
      <c r="A16" s="47" t="str">
        <v>St. Peter - Eastlake Paulson</v>
      </c>
      <c r="B16" s="27" t="str">
        <v>MN</v>
      </c>
      <c r="C16" s="28">
        <f>SUM(Jul!C16, Aug!C16, Sep!C16)</f>
        <v>0</v>
      </c>
      <c r="D16" s="29">
        <f>SUM(Jul!D16, Aug!D16, Sep!D16)</f>
        <v>0</v>
      </c>
      <c r="E16" s="29">
        <f t="shared" si="3"/>
        <v>0</v>
      </c>
      <c r="F16" s="30" t="str">
        <f t="shared" si="4"/>
        <v/>
      </c>
      <c r="G16" s="31">
        <f>SUM(Jul!G16,Aug!G16,Sep!G16)</f>
        <v>0</v>
      </c>
      <c r="H16" s="31">
        <f>SUM(Jul!H16, Aug!H16, Sep!H16)</f>
        <v>0</v>
      </c>
      <c r="I16" s="32" t="str">
        <f t="shared" si="5"/>
        <v/>
      </c>
    </row>
    <row r="17" spans="1:9" ht="15.6">
      <c r="A17" s="48" t="str">
        <v>Felician Sisters Convent</v>
      </c>
      <c r="B17" s="34" t="str">
        <v>NJ</v>
      </c>
      <c r="C17" s="35">
        <f>SUM(Jul!C17, Aug!C17, Sep!C17)</f>
        <v>0</v>
      </c>
      <c r="D17" s="36">
        <f>SUM(Jul!D17, Aug!D17, Sep!D17)</f>
        <v>0</v>
      </c>
      <c r="E17" s="36">
        <f t="shared" si="3"/>
        <v>0</v>
      </c>
      <c r="F17" s="73" t="str">
        <f t="shared" si="4"/>
        <v/>
      </c>
      <c r="G17" s="74">
        <f>SUM(Jul!G17,Aug!G17,Sep!G17)</f>
        <v>0</v>
      </c>
      <c r="H17" s="74">
        <f>SUM(Jul!H17, Aug!H17, Sep!H17)</f>
        <v>0</v>
      </c>
      <c r="I17" s="73" t="str">
        <f t="shared" si="5"/>
        <v/>
      </c>
    </row>
    <row r="18" spans="1:9" ht="15.6">
      <c r="A18" s="47" t="str">
        <v>Sussex County Fairgrounds</v>
      </c>
      <c r="B18" s="27" t="str">
        <v>NJ</v>
      </c>
      <c r="C18" s="28">
        <f>SUM(Jul!C18, Aug!C18, Sep!C18)</f>
        <v>0</v>
      </c>
      <c r="D18" s="29">
        <f>SUM(Jul!D18, Aug!D18, Sep!D18)</f>
        <v>0</v>
      </c>
      <c r="E18" s="29">
        <f t="shared" si="3"/>
        <v>0</v>
      </c>
      <c r="F18" s="30" t="str">
        <f t="shared" si="4"/>
        <v/>
      </c>
      <c r="G18" s="31">
        <f>SUM(Jul!G18,Aug!G18,Sep!G18)</f>
        <v>0</v>
      </c>
      <c r="H18" s="31">
        <f>SUM(Jul!H18, Aug!H18, Sep!H18)</f>
        <v>0</v>
      </c>
      <c r="I18" s="32" t="str">
        <f t="shared" si="5"/>
        <v/>
      </c>
    </row>
    <row r="19" spans="1:9" ht="15.6">
      <c r="A19" s="48" t="str">
        <v>Gateway Church</v>
      </c>
      <c r="B19" s="34" t="str">
        <v>NJ</v>
      </c>
      <c r="C19" s="35">
        <f>SUM(Jul!C19, Aug!C19, Sep!C19)</f>
        <v>0</v>
      </c>
      <c r="D19" s="36">
        <f>SUM(Jul!D19, Aug!D19, Sep!D19)</f>
        <v>0</v>
      </c>
      <c r="E19" s="36">
        <f t="shared" si="3"/>
        <v>0</v>
      </c>
      <c r="F19" s="73" t="str">
        <f t="shared" si="4"/>
        <v/>
      </c>
      <c r="G19" s="74">
        <f>SUM(Jul!G19,Aug!G19,Sep!G19)</f>
        <v>0</v>
      </c>
      <c r="H19" s="74">
        <f>SUM(Jul!H19, Aug!H19, Sep!H19)</f>
        <v>0</v>
      </c>
      <c r="I19" s="73" t="str">
        <f t="shared" si="5"/>
        <v/>
      </c>
    </row>
    <row r="20" spans="1:9" ht="15.6">
      <c r="A20" s="47" t="str">
        <v>Beaver Falls - Felician Sisters</v>
      </c>
      <c r="B20" s="27" t="str">
        <v>PA</v>
      </c>
      <c r="C20" s="28">
        <f>SUM(Jul!C20, Aug!C20, Sep!C20)</f>
        <v>0</v>
      </c>
      <c r="D20" s="29">
        <f>SUM(Jul!D20, Aug!D20, Sep!D20)</f>
        <v>0</v>
      </c>
      <c r="E20" s="29">
        <f t="shared" si="3"/>
        <v>0</v>
      </c>
      <c r="F20" s="30" t="str">
        <f t="shared" si="4"/>
        <v/>
      </c>
      <c r="G20" s="31">
        <f>SUM(Jul!G20,Aug!G20,Sep!G20)</f>
        <v>0</v>
      </c>
      <c r="H20" s="31">
        <f>SUM(Jul!H20, Aug!H20, Sep!H20)</f>
        <v>0</v>
      </c>
      <c r="I20" s="32" t="str">
        <f t="shared" si="5"/>
        <v/>
      </c>
    </row>
    <row r="21" spans="1:9" ht="15.6">
      <c r="A21" s="48" t="str">
        <v>Livonia - Felician Sisters Ground</v>
      </c>
      <c r="B21" s="34" t="str">
        <v>MI</v>
      </c>
      <c r="C21" s="35">
        <f>SUM(Jul!C21, Aug!C21, Sep!C21)</f>
        <v>0</v>
      </c>
      <c r="D21" s="36">
        <f>SUM(Jul!D21, Aug!D21, Sep!D21)</f>
        <v>0</v>
      </c>
      <c r="E21" s="36">
        <f t="shared" si="3"/>
        <v>0</v>
      </c>
      <c r="F21" s="73" t="str">
        <f t="shared" si="4"/>
        <v/>
      </c>
      <c r="G21" s="74">
        <f>SUM(Jul!G21,Aug!G21,Sep!G21)</f>
        <v>0</v>
      </c>
      <c r="H21" s="74">
        <f>SUM(Jul!H21, Aug!H21, Sep!H21)</f>
        <v>0</v>
      </c>
      <c r="I21" s="73" t="str">
        <f t="shared" si="5"/>
        <v/>
      </c>
    </row>
    <row r="22" spans="1:9" ht="15.6">
      <c r="A22" s="47" t="str">
        <v>Livonia - Felician Sisters Roof</v>
      </c>
      <c r="B22" s="27" t="str">
        <v>MI</v>
      </c>
      <c r="C22" s="28">
        <f>SUM(Jul!C22, Aug!C22, Sep!C22)</f>
        <v>0</v>
      </c>
      <c r="D22" s="29">
        <f>SUM(Jul!D22, Aug!D22, Sep!D22)</f>
        <v>0</v>
      </c>
      <c r="E22" s="29">
        <f t="shared" si="3"/>
        <v>0</v>
      </c>
      <c r="F22" s="30" t="str">
        <f t="shared" si="4"/>
        <v/>
      </c>
      <c r="G22" s="31">
        <f>SUM(Jul!G22,Aug!G22,Sep!G22)</f>
        <v>0</v>
      </c>
      <c r="H22" s="31">
        <f>SUM(Jul!H22, Aug!H22, Sep!H22)</f>
        <v>0</v>
      </c>
      <c r="I22" s="32" t="str">
        <f t="shared" si="5"/>
        <v/>
      </c>
    </row>
    <row r="23" spans="1:9" ht="15.6">
      <c r="A23" s="48" t="str">
        <v>Monmouth Worship Ctr</v>
      </c>
      <c r="B23" s="34" t="str">
        <v>NJ</v>
      </c>
      <c r="C23" s="35">
        <f>SUM(Jul!C23, Aug!C23, Sep!C23)</f>
        <v>0</v>
      </c>
      <c r="D23" s="36">
        <f>SUM(Jul!D23, Aug!D23, Sep!D23)</f>
        <v>0</v>
      </c>
      <c r="E23" s="36">
        <f t="shared" si="3"/>
        <v>0</v>
      </c>
      <c r="F23" s="73" t="str">
        <f t="shared" si="4"/>
        <v/>
      </c>
      <c r="G23" s="74">
        <f>SUM(Jul!G23,Aug!G23,Sep!G23)</f>
        <v>0</v>
      </c>
      <c r="H23" s="74">
        <f>SUM(Jul!H23, Aug!H23, Sep!H23)</f>
        <v>0</v>
      </c>
      <c r="I23" s="73" t="str">
        <f t="shared" si="5"/>
        <v/>
      </c>
    </row>
    <row r="24" spans="1:9" ht="15.6">
      <c r="A24" s="47" t="str">
        <v xml:space="preserve"> Audubon - Senior Citizens United</v>
      </c>
      <c r="B24" s="27" t="str">
        <v>NJ</v>
      </c>
      <c r="C24" s="28">
        <f>SUM(Jul!C24, Aug!C24, Sep!C24)</f>
        <v>0</v>
      </c>
      <c r="D24" s="29">
        <f>SUM(Jul!D24, Aug!D24, Sep!D24)</f>
        <v>0</v>
      </c>
      <c r="E24" s="29">
        <f t="shared" si="3"/>
        <v>0</v>
      </c>
      <c r="F24" s="30" t="str">
        <f t="shared" si="4"/>
        <v/>
      </c>
      <c r="G24" s="31">
        <f>SUM(Jul!G24,Aug!G24,Sep!G24)</f>
        <v>0</v>
      </c>
      <c r="H24" s="31">
        <f>SUM(Jul!H24, Aug!H24, Sep!H24)</f>
        <v>0</v>
      </c>
      <c r="I24" s="32" t="str">
        <f t="shared" si="5"/>
        <v/>
      </c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0"/>
  <sheetViews>
    <sheetView workbookViewId="0">
      <pane xSplit="2" ySplit="3" topLeftCell="C4" activePane="bottomRight" state="frozen"/>
      <selection pane="bottomRight" activeCell="E17" sqref="E17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6" t="str" cm="1">
        <f t="array" ref="A1">portfolio</f>
        <v>Clean Capital</v>
      </c>
      <c r="B1" s="86"/>
      <c r="C1" s="86"/>
      <c r="D1" s="87" t="s">
        <v>16</v>
      </c>
      <c r="E1" s="87"/>
      <c r="F1" s="87"/>
      <c r="G1" s="85" t="s">
        <v>17</v>
      </c>
      <c r="H1" s="85"/>
      <c r="I1" s="85"/>
    </row>
    <row r="2" spans="1:9" ht="19.5" customHeight="1">
      <c r="A2" s="88" t="s">
        <v>2</v>
      </c>
      <c r="B2" s="88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24">Sites[Site]</f>
        <v>Lexington - Cotting School</v>
      </c>
      <c r="B4" s="27" t="str" cm="1">
        <f t="array" ref="B4:B24">Sites[State]</f>
        <v>MA</v>
      </c>
      <c r="C4" s="28">
        <f>SUM(Oct!C4, Nov!C4, Dec!C4)</f>
        <v>0</v>
      </c>
      <c r="D4" s="29">
        <f>SUM(Oct!D4, Nov!D4, Dec!D4)</f>
        <v>0</v>
      </c>
      <c r="E4" s="29">
        <f>IF(AND(ISNUMBER(C4),ISNUMBER(D4)), C4-D4, "")</f>
        <v>0</v>
      </c>
      <c r="F4" s="30" t="str">
        <f>IFERROR(E4/D4, "")</f>
        <v/>
      </c>
      <c r="G4" s="31">
        <f>SUM(Oct!G4,Nov!G4,Dec!G4)</f>
        <v>0</v>
      </c>
      <c r="H4" s="31">
        <f>SUM(Oct!H4, Nov!H4, Dec!H4)</f>
        <v>0</v>
      </c>
      <c r="I4" s="32" t="str">
        <f>IFERROR(H4/G4, "")</f>
        <v/>
      </c>
    </row>
    <row r="5" spans="1:9" ht="15.6">
      <c r="A5" s="48" t="str">
        <v>Pacoima - Whiteman Airport</v>
      </c>
      <c r="B5" s="34" t="str">
        <v>CA</v>
      </c>
      <c r="C5" s="35">
        <f>SUM(Oct!C5, Nov!C5, Dec!C5)</f>
        <v>0</v>
      </c>
      <c r="D5" s="36">
        <f>SUM(Oct!D5, Nov!D5, Dec!D5)</f>
        <v>0</v>
      </c>
      <c r="E5" s="36">
        <f t="shared" ref="E5:E7" si="0">IF(AND(ISNUMBER(C5),ISNUMBER(D5)), C5-D5, "")</f>
        <v>0</v>
      </c>
      <c r="F5" s="37" t="str">
        <f>IFERROR(E5/D5, "")</f>
        <v/>
      </c>
      <c r="G5" s="36">
        <f>SUM(Oct!G5,Nov!G5,Dec!G5)</f>
        <v>0</v>
      </c>
      <c r="H5" s="38">
        <f>SUM(Oct!H5, Nov!H5, Dec!H5)</f>
        <v>0</v>
      </c>
      <c r="I5" s="37" t="str">
        <f>IFERROR(H5/G5, "")</f>
        <v/>
      </c>
    </row>
    <row r="6" spans="1:9" ht="15.6">
      <c r="A6" s="47" t="str">
        <v>Hyannis - Sturgis Charter School</v>
      </c>
      <c r="B6" s="27" t="str">
        <v>MA</v>
      </c>
      <c r="C6" s="28">
        <f>SUM(Oct!C6, Nov!C6, Dec!C6)</f>
        <v>0</v>
      </c>
      <c r="D6" s="29">
        <f>SUM(Oct!D6, Nov!D6, Dec!D6)</f>
        <v>0</v>
      </c>
      <c r="E6" s="29">
        <f t="shared" si="0"/>
        <v>0</v>
      </c>
      <c r="F6" s="30" t="str">
        <f t="shared" ref="F6:F7" si="1">IFERROR(E6/D6, "")</f>
        <v/>
      </c>
      <c r="G6" s="31">
        <f>SUM(Oct!G6,Nov!G6,Dec!G6)</f>
        <v>0</v>
      </c>
      <c r="H6" s="31">
        <f>SUM(Oct!H6, Nov!H6, Dec!H6)</f>
        <v>0</v>
      </c>
      <c r="I6" s="32" t="str">
        <f t="shared" ref="I6:I7" si="2">IFERROR(H6/G6, "")</f>
        <v/>
      </c>
    </row>
    <row r="7" spans="1:9" ht="15.6">
      <c r="A7" s="48" t="str">
        <v>South Dennis - Tony Kent Arena</v>
      </c>
      <c r="B7" s="34" t="str">
        <v>MA</v>
      </c>
      <c r="C7" s="35">
        <f>SUM(Oct!C7, Nov!C7, Dec!C7)</f>
        <v>0</v>
      </c>
      <c r="D7" s="36">
        <f>SUM(Oct!D7, Nov!D7, Dec!D7)</f>
        <v>0</v>
      </c>
      <c r="E7" s="36">
        <f t="shared" si="0"/>
        <v>0</v>
      </c>
      <c r="F7" s="37" t="str">
        <f t="shared" si="1"/>
        <v/>
      </c>
      <c r="G7" s="36">
        <f>SUM(Oct!G7,Nov!G7,Dec!G7)</f>
        <v>0</v>
      </c>
      <c r="H7" s="38">
        <f>SUM(Oct!H7, Nov!H7, Dec!H7)</f>
        <v>0</v>
      </c>
      <c r="I7" s="37" t="str">
        <f t="shared" si="2"/>
        <v/>
      </c>
    </row>
    <row r="8" spans="1:9" ht="15.6">
      <c r="A8" s="47" t="str">
        <v xml:space="preserve"> Caropolis - Felician Sisters</v>
      </c>
      <c r="B8" s="27" t="str">
        <v>PA</v>
      </c>
      <c r="C8" s="28">
        <f>SUM(Oct!C8, Nov!C8, Dec!C8)</f>
        <v>0</v>
      </c>
      <c r="D8" s="29">
        <f>SUM(Oct!D8, Nov!D8, Dec!D8)</f>
        <v>0</v>
      </c>
      <c r="E8" s="29">
        <f t="shared" ref="E8:E24" si="3">IF(AND(ISNUMBER(C8),ISNUMBER(D8)), C8-D8, "")</f>
        <v>0</v>
      </c>
      <c r="F8" s="30" t="str">
        <f t="shared" ref="F8:F24" si="4">IFERROR(E8/D8, "")</f>
        <v/>
      </c>
      <c r="G8" s="31">
        <f>SUM(Oct!G8,Nov!G8,Dec!G8)</f>
        <v>0</v>
      </c>
      <c r="H8" s="31">
        <f>SUM(Oct!H8, Nov!H8, Dec!H8)</f>
        <v>0</v>
      </c>
      <c r="I8" s="32" t="str">
        <f t="shared" ref="I8:I24" si="5">IFERROR(H8/G8, "")</f>
        <v/>
      </c>
    </row>
    <row r="9" spans="1:9" ht="15.6">
      <c r="A9" s="48" t="str">
        <v>Clear Lake - Eastlake Gohman</v>
      </c>
      <c r="B9" s="34" t="str">
        <v>MN</v>
      </c>
      <c r="C9" s="35">
        <f>SUM(Oct!C9, Nov!C9, Dec!C9)</f>
        <v>0</v>
      </c>
      <c r="D9" s="36">
        <f>SUM(Oct!D9, Nov!D9, Dec!D9)</f>
        <v>0</v>
      </c>
      <c r="E9" s="36">
        <f t="shared" si="3"/>
        <v>0</v>
      </c>
      <c r="F9" s="73" t="str">
        <f t="shared" si="4"/>
        <v/>
      </c>
      <c r="G9" s="36">
        <f>SUM(Oct!G9,Nov!G9,Dec!G9)</f>
        <v>0</v>
      </c>
      <c r="H9" s="74">
        <f>SUM(Oct!H9, Nov!H9, Dec!H9)</f>
        <v>0</v>
      </c>
      <c r="I9" s="73" t="str">
        <f t="shared" si="5"/>
        <v/>
      </c>
    </row>
    <row r="10" spans="1:9" ht="15.6">
      <c r="A10" s="47" t="str">
        <v>Zumbrota - Eastlake Brenda Luhman</v>
      </c>
      <c r="B10" s="27" t="str">
        <v>MN</v>
      </c>
      <c r="C10" s="28">
        <f>SUM(Oct!C10, Nov!C10, Dec!C10)</f>
        <v>0</v>
      </c>
      <c r="D10" s="29">
        <f>SUM(Oct!D10, Nov!D10, Dec!D10)</f>
        <v>0</v>
      </c>
      <c r="E10" s="29">
        <f t="shared" si="3"/>
        <v>0</v>
      </c>
      <c r="F10" s="30" t="str">
        <f t="shared" si="4"/>
        <v/>
      </c>
      <c r="G10" s="31">
        <f>SUM(Oct!G10,Nov!G10,Dec!G10)</f>
        <v>0</v>
      </c>
      <c r="H10" s="31">
        <f>SUM(Oct!H10, Nov!H10, Dec!H10)</f>
        <v>0</v>
      </c>
      <c r="I10" s="32" t="str">
        <f t="shared" si="5"/>
        <v/>
      </c>
    </row>
    <row r="11" spans="1:9" ht="15.6">
      <c r="A11" s="48" t="str">
        <v>Cokato - Eastlake Carlson</v>
      </c>
      <c r="B11" s="34" t="str">
        <v>MN</v>
      </c>
      <c r="C11" s="35">
        <f>SUM(Oct!C11, Nov!C11, Dec!C11)</f>
        <v>0</v>
      </c>
      <c r="D11" s="36">
        <f>SUM(Oct!D11, Nov!D11, Dec!D11)</f>
        <v>0</v>
      </c>
      <c r="E11" s="36">
        <f t="shared" si="3"/>
        <v>0</v>
      </c>
      <c r="F11" s="73" t="str">
        <f t="shared" si="4"/>
        <v/>
      </c>
      <c r="G11" s="36">
        <f>SUM(Oct!G11,Nov!G11,Dec!G11)</f>
        <v>0</v>
      </c>
      <c r="H11" s="74">
        <f>SUM(Oct!H11, Nov!H11, Dec!H11)</f>
        <v>0</v>
      </c>
      <c r="I11" s="73" t="str">
        <f t="shared" si="5"/>
        <v/>
      </c>
    </row>
    <row r="12" spans="1:9" ht="15.6">
      <c r="A12" s="47" t="str">
        <v>North Branch - Cornille 2</v>
      </c>
      <c r="B12" s="27" t="str">
        <v>MN</v>
      </c>
      <c r="C12" s="28">
        <f>SUM(Oct!C12, Nov!C12, Dec!C12)</f>
        <v>0</v>
      </c>
      <c r="D12" s="29">
        <f>SUM(Oct!D12, Nov!D12, Dec!D12)</f>
        <v>0</v>
      </c>
      <c r="E12" s="29">
        <f t="shared" si="3"/>
        <v>0</v>
      </c>
      <c r="F12" s="30" t="str">
        <f t="shared" si="4"/>
        <v/>
      </c>
      <c r="G12" s="31">
        <f>SUM(Oct!G12,Nov!G12,Dec!G12)</f>
        <v>0</v>
      </c>
      <c r="H12" s="31">
        <f>SUM(Oct!H12, Nov!H12, Dec!H12)</f>
        <v>0</v>
      </c>
      <c r="I12" s="32" t="str">
        <f t="shared" si="5"/>
        <v/>
      </c>
    </row>
    <row r="13" spans="1:9" ht="15.6">
      <c r="A13" s="48" t="str">
        <v>Clear Lake - Eastlake Hammer</v>
      </c>
      <c r="B13" s="34" t="str">
        <v>MN</v>
      </c>
      <c r="C13" s="35">
        <f>SUM(Oct!C13, Nov!C13, Dec!C13)</f>
        <v>0</v>
      </c>
      <c r="D13" s="36">
        <f>SUM(Oct!D13, Nov!D13, Dec!D13)</f>
        <v>0</v>
      </c>
      <c r="E13" s="36">
        <f t="shared" si="3"/>
        <v>0</v>
      </c>
      <c r="F13" s="73" t="str">
        <f t="shared" si="4"/>
        <v/>
      </c>
      <c r="G13" s="36">
        <f>SUM(Oct!G13,Nov!G13,Dec!G13)</f>
        <v>0</v>
      </c>
      <c r="H13" s="74">
        <f>SUM(Oct!H13, Nov!H13, Dec!H13)</f>
        <v>0</v>
      </c>
      <c r="I13" s="73" t="str">
        <f t="shared" si="5"/>
        <v/>
      </c>
    </row>
    <row r="14" spans="1:9" ht="15.6">
      <c r="A14" s="47" t="str">
        <v>Eastlake - Hertzberg CSG 1</v>
      </c>
      <c r="B14" s="27" t="str">
        <v>MN</v>
      </c>
      <c r="C14" s="28">
        <f>SUM(Oct!C14, Nov!C14, Dec!C14)</f>
        <v>0</v>
      </c>
      <c r="D14" s="29">
        <f>SUM(Oct!D14, Nov!D14, Dec!D14)</f>
        <v>0</v>
      </c>
      <c r="E14" s="29">
        <f t="shared" si="3"/>
        <v>0</v>
      </c>
      <c r="F14" s="30" t="str">
        <f t="shared" si="4"/>
        <v/>
      </c>
      <c r="G14" s="31">
        <f>SUM(Oct!G14,Nov!G14,Dec!G14)</f>
        <v>0</v>
      </c>
      <c r="H14" s="31">
        <f>SUM(Oct!H14, Nov!H14, Dec!H14)</f>
        <v>0</v>
      </c>
      <c r="I14" s="32" t="str">
        <f t="shared" si="5"/>
        <v/>
      </c>
    </row>
    <row r="15" spans="1:9" ht="15.6">
      <c r="A15" s="48" t="str">
        <v>Cokato - Eastlake Laurel Village</v>
      </c>
      <c r="B15" s="34" t="str">
        <v>MN</v>
      </c>
      <c r="C15" s="35">
        <f>SUM(Oct!C15, Nov!C15, Dec!C15)</f>
        <v>0</v>
      </c>
      <c r="D15" s="36">
        <f>SUM(Oct!D15, Nov!D15, Dec!D15)</f>
        <v>0</v>
      </c>
      <c r="E15" s="36">
        <f t="shared" si="3"/>
        <v>0</v>
      </c>
      <c r="F15" s="73" t="str">
        <f t="shared" si="4"/>
        <v/>
      </c>
      <c r="G15" s="36">
        <f>SUM(Oct!G15,Nov!G15,Dec!G15)</f>
        <v>0</v>
      </c>
      <c r="H15" s="74">
        <f>SUM(Oct!H15, Nov!H15, Dec!H15)</f>
        <v>0</v>
      </c>
      <c r="I15" s="73" t="str">
        <f t="shared" si="5"/>
        <v/>
      </c>
    </row>
    <row r="16" spans="1:9" ht="15.6">
      <c r="A16" s="47" t="str">
        <v>St. Peter - Eastlake Paulson</v>
      </c>
      <c r="B16" s="27" t="str">
        <v>MN</v>
      </c>
      <c r="C16" s="28">
        <f>SUM(Oct!C16, Nov!C16, Dec!C16)</f>
        <v>0</v>
      </c>
      <c r="D16" s="29">
        <f>SUM(Oct!D16, Nov!D16, Dec!D16)</f>
        <v>0</v>
      </c>
      <c r="E16" s="29">
        <f t="shared" si="3"/>
        <v>0</v>
      </c>
      <c r="F16" s="30" t="str">
        <f t="shared" si="4"/>
        <v/>
      </c>
      <c r="G16" s="31">
        <f>SUM(Oct!G16,Nov!G16,Dec!G16)</f>
        <v>0</v>
      </c>
      <c r="H16" s="31">
        <f>SUM(Oct!H16, Nov!H16, Dec!H16)</f>
        <v>0</v>
      </c>
      <c r="I16" s="32" t="str">
        <f t="shared" si="5"/>
        <v/>
      </c>
    </row>
    <row r="17" spans="1:9" ht="15.6">
      <c r="A17" s="48" t="str">
        <v>Felician Sisters Convent</v>
      </c>
      <c r="B17" s="34" t="str">
        <v>NJ</v>
      </c>
      <c r="C17" s="35">
        <f>SUM(Oct!C17, Nov!C17, Dec!C17)</f>
        <v>0</v>
      </c>
      <c r="D17" s="36">
        <f>SUM(Oct!D17, Nov!D17, Dec!D17)</f>
        <v>0</v>
      </c>
      <c r="E17" s="36">
        <f t="shared" si="3"/>
        <v>0</v>
      </c>
      <c r="F17" s="73" t="str">
        <f t="shared" si="4"/>
        <v/>
      </c>
      <c r="G17" s="36">
        <f>SUM(Oct!G17,Nov!G17,Dec!G17)</f>
        <v>0</v>
      </c>
      <c r="H17" s="74">
        <f>SUM(Oct!H17, Nov!H17, Dec!H17)</f>
        <v>0</v>
      </c>
      <c r="I17" s="73" t="str">
        <f t="shared" si="5"/>
        <v/>
      </c>
    </row>
    <row r="18" spans="1:9" ht="15.6">
      <c r="A18" s="47" t="str">
        <v>Sussex County Fairgrounds</v>
      </c>
      <c r="B18" s="27" t="str">
        <v>NJ</v>
      </c>
      <c r="C18" s="28">
        <f>SUM(Oct!C18, Nov!C18, Dec!C18)</f>
        <v>0</v>
      </c>
      <c r="D18" s="29">
        <f>SUM(Oct!D18, Nov!D18, Dec!D18)</f>
        <v>0</v>
      </c>
      <c r="E18" s="29">
        <f t="shared" si="3"/>
        <v>0</v>
      </c>
      <c r="F18" s="30" t="str">
        <f t="shared" si="4"/>
        <v/>
      </c>
      <c r="G18" s="31">
        <f>SUM(Oct!G18,Nov!G18,Dec!G18)</f>
        <v>0</v>
      </c>
      <c r="H18" s="31">
        <f>SUM(Oct!H18, Nov!H18, Dec!H18)</f>
        <v>0</v>
      </c>
      <c r="I18" s="32" t="str">
        <f t="shared" si="5"/>
        <v/>
      </c>
    </row>
    <row r="19" spans="1:9" ht="15.6">
      <c r="A19" s="48" t="str">
        <v>Gateway Church</v>
      </c>
      <c r="B19" s="34" t="str">
        <v>NJ</v>
      </c>
      <c r="C19" s="35">
        <f>SUM(Oct!C19, Nov!C19, Dec!C19)</f>
        <v>0</v>
      </c>
      <c r="D19" s="36">
        <f>SUM(Oct!D19, Nov!D19, Dec!D19)</f>
        <v>0</v>
      </c>
      <c r="E19" s="36">
        <f t="shared" si="3"/>
        <v>0</v>
      </c>
      <c r="F19" s="73" t="str">
        <f t="shared" si="4"/>
        <v/>
      </c>
      <c r="G19" s="36">
        <f>SUM(Oct!G19,Nov!G19,Dec!G19)</f>
        <v>0</v>
      </c>
      <c r="H19" s="74">
        <f>SUM(Oct!H19, Nov!H19, Dec!H19)</f>
        <v>0</v>
      </c>
      <c r="I19" s="73" t="str">
        <f t="shared" si="5"/>
        <v/>
      </c>
    </row>
    <row r="20" spans="1:9" ht="15.6">
      <c r="A20" s="47" t="str">
        <v>Beaver Falls - Felician Sisters</v>
      </c>
      <c r="B20" s="27" t="str">
        <v>PA</v>
      </c>
      <c r="C20" s="28">
        <f>SUM(Oct!C20, Nov!C20, Dec!C20)</f>
        <v>0</v>
      </c>
      <c r="D20" s="29">
        <f>SUM(Oct!D20, Nov!D20, Dec!D20)</f>
        <v>0</v>
      </c>
      <c r="E20" s="29">
        <f t="shared" si="3"/>
        <v>0</v>
      </c>
      <c r="F20" s="30" t="str">
        <f t="shared" si="4"/>
        <v/>
      </c>
      <c r="G20" s="31">
        <f>SUM(Oct!G20,Nov!G20,Dec!G20)</f>
        <v>0</v>
      </c>
      <c r="H20" s="31">
        <f>SUM(Oct!H20, Nov!H20, Dec!H20)</f>
        <v>0</v>
      </c>
      <c r="I20" s="32" t="str">
        <f t="shared" si="5"/>
        <v/>
      </c>
    </row>
    <row r="21" spans="1:9" ht="15.6">
      <c r="A21" s="48" t="str">
        <v>Livonia - Felician Sisters Ground</v>
      </c>
      <c r="B21" s="34" t="str">
        <v>MI</v>
      </c>
      <c r="C21" s="35">
        <f>SUM(Oct!C21, Nov!C21, Dec!C21)</f>
        <v>0</v>
      </c>
      <c r="D21" s="36">
        <f>SUM(Oct!D21, Nov!D21, Dec!D21)</f>
        <v>0</v>
      </c>
      <c r="E21" s="36">
        <f t="shared" si="3"/>
        <v>0</v>
      </c>
      <c r="F21" s="73" t="str">
        <f t="shared" si="4"/>
        <v/>
      </c>
      <c r="G21" s="36">
        <f>SUM(Oct!G21,Nov!G21,Dec!G21)</f>
        <v>0</v>
      </c>
      <c r="H21" s="74">
        <f>SUM(Oct!H21, Nov!H21, Dec!H21)</f>
        <v>0</v>
      </c>
      <c r="I21" s="73" t="str">
        <f t="shared" si="5"/>
        <v/>
      </c>
    </row>
    <row r="22" spans="1:9" ht="15.6">
      <c r="A22" s="47" t="str">
        <v>Livonia - Felician Sisters Roof</v>
      </c>
      <c r="B22" s="27" t="str">
        <v>MI</v>
      </c>
      <c r="C22" s="28">
        <f>SUM(Oct!C22, Nov!C22, Dec!C22)</f>
        <v>0</v>
      </c>
      <c r="D22" s="29">
        <f>SUM(Oct!D22, Nov!D22, Dec!D22)</f>
        <v>0</v>
      </c>
      <c r="E22" s="29">
        <f t="shared" si="3"/>
        <v>0</v>
      </c>
      <c r="F22" s="30" t="str">
        <f t="shared" si="4"/>
        <v/>
      </c>
      <c r="G22" s="31">
        <f>SUM(Oct!G22,Nov!G22,Dec!G22)</f>
        <v>0</v>
      </c>
      <c r="H22" s="31">
        <f>SUM(Oct!H22, Nov!H22, Dec!H22)</f>
        <v>0</v>
      </c>
      <c r="I22" s="32" t="str">
        <f t="shared" si="5"/>
        <v/>
      </c>
    </row>
    <row r="23" spans="1:9" ht="15.6">
      <c r="A23" s="48" t="str">
        <v>Monmouth Worship Ctr</v>
      </c>
      <c r="B23" s="34" t="str">
        <v>NJ</v>
      </c>
      <c r="C23" s="35">
        <f>SUM(Oct!C23, Nov!C23, Dec!C23)</f>
        <v>0</v>
      </c>
      <c r="D23" s="36">
        <f>SUM(Oct!D23, Nov!D23, Dec!D23)</f>
        <v>0</v>
      </c>
      <c r="E23" s="36">
        <f t="shared" si="3"/>
        <v>0</v>
      </c>
      <c r="F23" s="73" t="str">
        <f t="shared" si="4"/>
        <v/>
      </c>
      <c r="G23" s="36">
        <f>SUM(Oct!G23,Nov!G23,Dec!G23)</f>
        <v>0</v>
      </c>
      <c r="H23" s="74">
        <f>SUM(Oct!H23, Nov!H23, Dec!H23)</f>
        <v>0</v>
      </c>
      <c r="I23" s="73" t="str">
        <f t="shared" si="5"/>
        <v/>
      </c>
    </row>
    <row r="24" spans="1:9" ht="15.6">
      <c r="A24" s="47" t="str">
        <v xml:space="preserve"> Audubon - Senior Citizens United</v>
      </c>
      <c r="B24" s="27" t="str">
        <v>NJ</v>
      </c>
      <c r="C24" s="28">
        <f>SUM(Oct!C24, Nov!C24, Dec!C24)</f>
        <v>0</v>
      </c>
      <c r="D24" s="29">
        <f>SUM(Oct!D24, Nov!D24, Dec!D24)</f>
        <v>0</v>
      </c>
      <c r="E24" s="29">
        <f t="shared" si="3"/>
        <v>0</v>
      </c>
      <c r="F24" s="30" t="str">
        <f t="shared" si="4"/>
        <v/>
      </c>
      <c r="G24" s="31">
        <f>SUM(Oct!G24,Nov!G24,Dec!G24)</f>
        <v>0</v>
      </c>
      <c r="H24" s="31">
        <f>SUM(Oct!H24, Nov!H24, Dec!H24)</f>
        <v>0</v>
      </c>
      <c r="I24" s="32" t="str">
        <f t="shared" si="5"/>
        <v/>
      </c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</sheetData>
  <mergeCells count="4">
    <mergeCell ref="G1:I1"/>
    <mergeCell ref="A1:C1"/>
    <mergeCell ref="D1:F1"/>
    <mergeCell ref="A2:B2"/>
  </mergeCells>
  <conditionalFormatting sqref="F2 I2 F4:F78 I4:I78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zoomScale="85" zoomScaleNormal="85" workbookViewId="0">
      <pane xSplit="2" ySplit="3" topLeftCell="C4" activePane="bottomRight" state="frozen"/>
      <selection pane="bottomRight" activeCell="E26" sqref="E26"/>
      <selection pane="bottomLeft" activeCell="E11" sqref="E11"/>
      <selection pane="topRight" activeCell="E11" sqref="E11"/>
    </sheetView>
  </sheetViews>
  <sheetFormatPr defaultRowHeight="13.9"/>
  <cols>
    <col min="1" max="1" width="36" customWidth="1"/>
    <col min="2" max="2" width="14.5703125" style="14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1" ht="15.6">
      <c r="A1" s="86" t="str" cm="1">
        <f t="array" ref="A1">portfolio</f>
        <v>Clean Capital</v>
      </c>
      <c r="B1" s="86"/>
      <c r="C1" s="86"/>
      <c r="D1" s="87" t="s">
        <v>18</v>
      </c>
      <c r="E1" s="87"/>
      <c r="F1" s="87"/>
      <c r="G1" s="85" t="s">
        <v>19</v>
      </c>
      <c r="H1" s="85"/>
      <c r="I1" s="85"/>
      <c r="J1" s="4"/>
      <c r="K1" s="4"/>
    </row>
    <row r="2" spans="1:11" ht="15.6">
      <c r="A2" s="88" t="s">
        <v>2</v>
      </c>
      <c r="B2" s="88"/>
      <c r="C2" s="5">
        <f>SUM(C4:C78)</f>
        <v>52388.975010000002</v>
      </c>
      <c r="D2" s="5">
        <f>SUM(D4:D78)</f>
        <v>0</v>
      </c>
      <c r="E2" s="5">
        <f>C2-D2</f>
        <v>52388.975010000002</v>
      </c>
      <c r="F2" s="6">
        <f>IFERROR(E2/D2, 0)</f>
        <v>0</v>
      </c>
      <c r="G2" s="5">
        <f>SUM(G4:G78)</f>
        <v>40330</v>
      </c>
      <c r="H2" s="7">
        <f>C2-G2</f>
        <v>12058.975010000002</v>
      </c>
      <c r="I2" s="6">
        <f>IFERROR(H2/G2, 0)</f>
        <v>0.29900756285643448</v>
      </c>
      <c r="J2" s="11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5.6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5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15.6">
      <c r="A4" s="44" t="str" cm="1">
        <f t="array" ref="A4:A24">Sites[Site]</f>
        <v>Lexington - Cotting School</v>
      </c>
      <c r="B4" s="40" t="str" cm="1">
        <f t="array" ref="B4:B24">Sites[State]</f>
        <v>MA</v>
      </c>
      <c r="C4" s="28">
        <v>10561.04</v>
      </c>
      <c r="D4" s="29">
        <v>0</v>
      </c>
      <c r="E4" s="29">
        <f>IF(AND(ISNUMBER(C4),ISNUMBER(D4)), C4-D4, "")</f>
        <v>10561.04</v>
      </c>
      <c r="F4" s="32" t="str">
        <f>IFERROR(E4/D4, "")</f>
        <v/>
      </c>
      <c r="G4" s="31">
        <v>0</v>
      </c>
      <c r="H4" s="31">
        <f>IF(AND(ISNUMBER(C4),ISNUMBER(G4)), C4-G4, "")</f>
        <v>10561.04</v>
      </c>
      <c r="I4" s="32" t="str">
        <f>IFERROR(H4/G4, "")</f>
        <v/>
      </c>
      <c r="J4" s="49" t="s">
        <v>22</v>
      </c>
      <c r="K4" s="69" t="s">
        <v>23</v>
      </c>
    </row>
    <row r="5" spans="1:11" ht="75" customHeight="1">
      <c r="A5" s="45" t="str">
        <v>Pacoima - Whiteman Airport</v>
      </c>
      <c r="B5" s="42" t="str">
        <v>CA</v>
      </c>
      <c r="C5" s="36">
        <v>14475.1</v>
      </c>
      <c r="D5" s="36">
        <v>0</v>
      </c>
      <c r="E5" s="36">
        <f t="shared" ref="E5:E7" si="0">IF(AND(ISNUMBER(C5),ISNUMBER(D5)), C5-D5, "")</f>
        <v>14475.1</v>
      </c>
      <c r="F5" s="37" t="str">
        <f t="shared" ref="F5:F7" si="1">IFERROR(E5/D5, "")</f>
        <v/>
      </c>
      <c r="G5" s="38">
        <v>28600</v>
      </c>
      <c r="H5" s="38">
        <f t="shared" ref="H5:H6" si="2">IF(AND(ISNUMBER(C5),ISNUMBER(G5)), C5-G5, "")</f>
        <v>-14124.9</v>
      </c>
      <c r="I5" s="37">
        <f t="shared" ref="I5:I6" si="3">IFERROR(H5/G5, "")</f>
        <v>-0.49387762237762234</v>
      </c>
      <c r="J5" s="68" t="s">
        <v>24</v>
      </c>
      <c r="K5" s="70" t="s">
        <v>25</v>
      </c>
    </row>
    <row r="6" spans="1:11" ht="15.6">
      <c r="A6" s="46" t="str">
        <v>Hyannis - Sturgis Charter School</v>
      </c>
      <c r="B6" s="40" t="str">
        <v>MA</v>
      </c>
      <c r="C6" s="28">
        <v>13994.515009999999</v>
      </c>
      <c r="D6" s="29">
        <v>0</v>
      </c>
      <c r="E6" s="29">
        <f t="shared" si="0"/>
        <v>13994.515009999999</v>
      </c>
      <c r="F6" s="32" t="str">
        <f t="shared" si="1"/>
        <v/>
      </c>
      <c r="G6" s="31">
        <v>11730</v>
      </c>
      <c r="H6" s="31">
        <f t="shared" si="2"/>
        <v>2264.5150099999992</v>
      </c>
      <c r="I6" s="32">
        <f t="shared" si="3"/>
        <v>0.19305328303495303</v>
      </c>
      <c r="J6" s="49"/>
      <c r="K6" s="49"/>
    </row>
    <row r="7" spans="1:11" ht="15.6">
      <c r="A7" s="45" t="str">
        <v>South Dennis - Tony Kent Arena</v>
      </c>
      <c r="B7" s="42" t="str">
        <v>MA</v>
      </c>
      <c r="C7" s="36">
        <v>13358.32</v>
      </c>
      <c r="D7" s="36">
        <v>0</v>
      </c>
      <c r="E7" s="36">
        <f t="shared" si="0"/>
        <v>13358.32</v>
      </c>
      <c r="F7" s="37" t="str">
        <f t="shared" si="1"/>
        <v/>
      </c>
      <c r="G7" s="38">
        <v>0</v>
      </c>
      <c r="H7" s="38">
        <f t="shared" ref="H7" si="4">IF(AND(ISNUMBER(C7),ISNUMBER(G7)), C7-G7, "")</f>
        <v>13358.32</v>
      </c>
      <c r="I7" s="37" t="str">
        <f t="shared" ref="I7" si="5">IFERROR(H7/G7, "")</f>
        <v/>
      </c>
      <c r="J7" s="50" t="s">
        <v>26</v>
      </c>
      <c r="K7" s="71" t="s">
        <v>27</v>
      </c>
    </row>
    <row r="8" spans="1:11" ht="15.6">
      <c r="A8" s="44" t="str">
        <v xml:space="preserve"> Caropolis - Felician Sisters</v>
      </c>
      <c r="B8" s="40" t="str">
        <v>PA</v>
      </c>
      <c r="C8" s="28"/>
      <c r="D8" s="29"/>
      <c r="E8" s="29"/>
      <c r="F8" s="32"/>
      <c r="G8" s="31"/>
      <c r="H8" s="31"/>
      <c r="I8" s="32"/>
      <c r="J8" s="49"/>
      <c r="K8" s="69"/>
    </row>
    <row r="9" spans="1:11" ht="15.6">
      <c r="A9" s="45" t="str">
        <v>Clear Lake - Eastlake Gohman</v>
      </c>
      <c r="B9" s="42" t="str">
        <v>MN</v>
      </c>
      <c r="C9" s="36"/>
      <c r="D9" s="36"/>
      <c r="E9" s="36"/>
      <c r="F9" s="37"/>
      <c r="G9" s="38"/>
      <c r="H9" s="38"/>
      <c r="I9" s="37"/>
      <c r="J9" s="68"/>
      <c r="K9" s="70"/>
    </row>
    <row r="10" spans="1:11" ht="15.6">
      <c r="A10" s="46" t="str">
        <v>Zumbrota - Eastlake Brenda Luhman</v>
      </c>
      <c r="B10" s="40" t="str">
        <v>MN</v>
      </c>
      <c r="C10" s="28"/>
      <c r="D10" s="29"/>
      <c r="E10" s="29"/>
      <c r="F10" s="32"/>
      <c r="G10" s="31"/>
      <c r="H10" s="31"/>
      <c r="I10" s="32"/>
      <c r="J10" s="49"/>
      <c r="K10" s="49"/>
    </row>
    <row r="11" spans="1:11" ht="15.6">
      <c r="A11" s="45" t="str">
        <v>Cokato - Eastlake Carlson</v>
      </c>
      <c r="B11" s="42" t="str">
        <v>MN</v>
      </c>
      <c r="C11" s="36"/>
      <c r="D11" s="36"/>
      <c r="E11" s="36"/>
      <c r="F11" s="37"/>
      <c r="G11" s="38"/>
      <c r="H11" s="38"/>
      <c r="I11" s="37"/>
      <c r="J11" s="50"/>
      <c r="K11" s="71"/>
    </row>
    <row r="12" spans="1:11" ht="15.6">
      <c r="A12" s="44" t="str">
        <v>North Branch - Cornille 2</v>
      </c>
      <c r="B12" s="40" t="str">
        <v>MN</v>
      </c>
      <c r="C12" s="28"/>
      <c r="D12" s="29"/>
      <c r="E12" s="29"/>
      <c r="F12" s="32"/>
      <c r="G12" s="31"/>
      <c r="H12" s="31"/>
      <c r="I12" s="32"/>
      <c r="J12" s="49"/>
      <c r="K12" s="69"/>
    </row>
    <row r="13" spans="1:11" ht="15.6">
      <c r="A13" s="45" t="str">
        <v>Clear Lake - Eastlake Hammer</v>
      </c>
      <c r="B13" s="42" t="str">
        <v>MN</v>
      </c>
      <c r="C13" s="36"/>
      <c r="D13" s="36"/>
      <c r="E13" s="36"/>
      <c r="F13" s="37"/>
      <c r="G13" s="38"/>
      <c r="H13" s="38"/>
      <c r="I13" s="37"/>
      <c r="J13" s="68"/>
      <c r="K13" s="70"/>
    </row>
    <row r="14" spans="1:11" ht="15.6">
      <c r="A14" s="46" t="str">
        <v>Eastlake - Hertzberg CSG 1</v>
      </c>
      <c r="B14" s="40" t="str">
        <v>MN</v>
      </c>
      <c r="C14" s="28"/>
      <c r="D14" s="29"/>
      <c r="E14" s="29"/>
      <c r="F14" s="32"/>
      <c r="G14" s="31"/>
      <c r="H14" s="31"/>
      <c r="I14" s="32"/>
      <c r="J14" s="49"/>
      <c r="K14" s="49"/>
    </row>
    <row r="15" spans="1:11" ht="15.6">
      <c r="A15" s="45" t="str">
        <v>Cokato - Eastlake Laurel Village</v>
      </c>
      <c r="B15" s="42" t="str">
        <v>MN</v>
      </c>
      <c r="C15" s="36"/>
      <c r="D15" s="36"/>
      <c r="E15" s="36"/>
      <c r="F15" s="37"/>
      <c r="G15" s="38"/>
      <c r="H15" s="38"/>
      <c r="I15" s="37"/>
      <c r="J15" s="50"/>
      <c r="K15" s="71"/>
    </row>
    <row r="16" spans="1:11" ht="15.6">
      <c r="A16" s="44" t="str">
        <v>St. Peter - Eastlake Paulson</v>
      </c>
      <c r="B16" s="40" t="str">
        <v>MN</v>
      </c>
      <c r="C16" s="28"/>
      <c r="D16" s="29"/>
      <c r="E16" s="29"/>
      <c r="F16" s="32"/>
      <c r="G16" s="31"/>
      <c r="H16" s="31"/>
      <c r="I16" s="32"/>
      <c r="J16" s="49"/>
      <c r="K16" s="69"/>
    </row>
    <row r="17" spans="1:11" ht="15.6">
      <c r="A17" s="45" t="str">
        <v>Felician Sisters Convent</v>
      </c>
      <c r="B17" s="42" t="str">
        <v>NJ</v>
      </c>
      <c r="C17" s="36"/>
      <c r="D17" s="36"/>
      <c r="E17" s="36"/>
      <c r="F17" s="37"/>
      <c r="G17" s="38"/>
      <c r="H17" s="38"/>
      <c r="I17" s="37"/>
      <c r="J17" s="68"/>
      <c r="K17" s="70"/>
    </row>
    <row r="18" spans="1:11" ht="15.6">
      <c r="A18" s="46" t="str">
        <v>Sussex County Fairgrounds</v>
      </c>
      <c r="B18" s="40" t="str">
        <v>NJ</v>
      </c>
      <c r="C18" s="28"/>
      <c r="D18" s="29"/>
      <c r="E18" s="29"/>
      <c r="F18" s="32"/>
      <c r="G18" s="31"/>
      <c r="H18" s="31"/>
      <c r="I18" s="32"/>
      <c r="J18" s="49"/>
      <c r="K18" s="49"/>
    </row>
    <row r="19" spans="1:11" ht="15.6">
      <c r="A19" s="45" t="str">
        <v>Gateway Church</v>
      </c>
      <c r="B19" s="42" t="str">
        <v>NJ</v>
      </c>
      <c r="C19" s="36"/>
      <c r="D19" s="36"/>
      <c r="E19" s="36"/>
      <c r="F19" s="37"/>
      <c r="G19" s="38"/>
      <c r="H19" s="38"/>
      <c r="I19" s="37"/>
      <c r="J19" s="50"/>
      <c r="K19" s="71"/>
    </row>
    <row r="20" spans="1:11" ht="15.6">
      <c r="A20" s="44" t="str">
        <v>Beaver Falls - Felician Sisters</v>
      </c>
      <c r="B20" s="40" t="str">
        <v>PA</v>
      </c>
      <c r="C20" s="28"/>
      <c r="D20" s="29"/>
      <c r="E20" s="29"/>
      <c r="F20" s="32"/>
      <c r="G20" s="31"/>
      <c r="H20" s="31"/>
      <c r="I20" s="32"/>
      <c r="J20" s="49"/>
      <c r="K20" s="69"/>
    </row>
    <row r="21" spans="1:11" ht="15.6">
      <c r="A21" s="45" t="str">
        <v>Livonia - Felician Sisters Ground</v>
      </c>
      <c r="B21" s="42" t="str">
        <v>MI</v>
      </c>
      <c r="C21" s="36"/>
      <c r="D21" s="36"/>
      <c r="E21" s="36"/>
      <c r="F21" s="37"/>
      <c r="G21" s="38"/>
      <c r="H21" s="38"/>
      <c r="I21" s="37"/>
      <c r="J21" s="68"/>
      <c r="K21" s="70"/>
    </row>
    <row r="22" spans="1:11" ht="15.6">
      <c r="A22" s="46" t="str">
        <v>Livonia - Felician Sisters Roof</v>
      </c>
      <c r="B22" s="40" t="str">
        <v>MI</v>
      </c>
      <c r="C22" s="28"/>
      <c r="D22" s="29"/>
      <c r="E22" s="29"/>
      <c r="F22" s="32"/>
      <c r="G22" s="31"/>
      <c r="H22" s="31"/>
      <c r="I22" s="32"/>
      <c r="J22" s="49"/>
      <c r="K22" s="49"/>
    </row>
    <row r="23" spans="1:11" ht="15.6">
      <c r="A23" s="45" t="str">
        <v>Monmouth Worship Ctr</v>
      </c>
      <c r="B23" s="42" t="str">
        <v>NJ</v>
      </c>
      <c r="C23" s="36"/>
      <c r="D23" s="36"/>
      <c r="E23" s="36"/>
      <c r="F23" s="37"/>
      <c r="G23" s="38"/>
      <c r="H23" s="38"/>
      <c r="I23" s="37"/>
      <c r="J23" s="50"/>
      <c r="K23" s="71"/>
    </row>
    <row r="24" spans="1:11" ht="15.6">
      <c r="A24" s="44" t="str">
        <v xml:space="preserve"> Audubon - Senior Citizens United</v>
      </c>
      <c r="B24" s="40" t="str">
        <v>NJ</v>
      </c>
      <c r="C24" s="28"/>
      <c r="D24" s="29"/>
      <c r="E24" s="29"/>
      <c r="F24" s="32"/>
      <c r="G24" s="31"/>
      <c r="H24" s="31"/>
      <c r="I24" s="32"/>
      <c r="J24" s="49"/>
      <c r="K24" s="69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</sheetData>
  <mergeCells count="4">
    <mergeCell ref="D1:F1"/>
    <mergeCell ref="A1:C1"/>
    <mergeCell ref="G1:I1"/>
    <mergeCell ref="A2:B2"/>
  </mergeCells>
  <conditionalFormatting sqref="F2 I2 F4:F78 I4:I78">
    <cfRule type="cellIs" dxfId="26" priority="8" stopIfTrue="1" operator="lessThanOrEqual">
      <formula>-0.1</formula>
    </cfRule>
    <cfRule type="expression" dxfId="25" priority="9">
      <formula>AND(ISNUMBER(F2), F2&gt;=0.1)</formula>
    </cfRule>
  </conditionalFormatting>
  <hyperlinks>
    <hyperlink ref="K4" r:id="rId1" display="https://us3.assetplanner.com/service_request?ID=095368" xr:uid="{B5207AF9-0E3D-4996-A55E-2E1A85C6F34D}"/>
    <hyperlink ref="K5" r:id="rId2" display="https://us3.assetplanner.com/service_request?ID=095501" xr:uid="{B81C90BE-9F0E-4FC5-A606-3FA6193536EC}"/>
    <hyperlink ref="K7" r:id="rId3" display="https://us3.assetplanner.com/service_request?ID=096179" xr:uid="{E3B1486E-D9D5-4C6D-94C2-1FA026C7161E}"/>
  </hyperlinks>
  <pageMargins left="0.4" right="0.7" top="0.25" bottom="0.25" header="0.3" footer="0.3"/>
  <pageSetup fitToHeight="99" orientation="landscape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2"/>
  <sheetViews>
    <sheetView workbookViewId="0">
      <pane xSplit="2" ySplit="3" topLeftCell="C4" activePane="bottomRight" state="frozen"/>
      <selection pane="bottomRight" activeCell="M14" sqref="M14"/>
      <selection pane="bottomLeft" activeCell="A14" sqref="A14"/>
      <selection pane="topRight" activeCell="A14" sqref="A14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28515625" customWidth="1"/>
    <col min="11" max="11" width="20.5703125" bestFit="1" customWidth="1"/>
  </cols>
  <sheetData>
    <row r="1" spans="1:14" ht="19.5" customHeight="1">
      <c r="A1" s="86" t="str" cm="1">
        <f t="array" ref="A1">portfolio</f>
        <v>Clean Capital</v>
      </c>
      <c r="B1" s="86"/>
      <c r="C1" s="86"/>
      <c r="D1" s="87" t="s">
        <v>28</v>
      </c>
      <c r="E1" s="87"/>
      <c r="F1" s="87"/>
      <c r="G1" s="85" t="s">
        <v>29</v>
      </c>
      <c r="H1" s="85"/>
      <c r="I1" s="85"/>
      <c r="J1" s="4"/>
      <c r="K1" s="4"/>
    </row>
    <row r="2" spans="1:14" ht="19.5" customHeight="1">
      <c r="A2" s="88" t="s">
        <v>2</v>
      </c>
      <c r="B2" s="88"/>
      <c r="C2" s="5">
        <f>SUM(C4:C80)</f>
        <v>65342.145815429685</v>
      </c>
      <c r="D2" s="5">
        <f>SUM(D4:D80)</f>
        <v>0</v>
      </c>
      <c r="E2" s="5">
        <f>C2-D2</f>
        <v>65342.145815429685</v>
      </c>
      <c r="F2" s="6">
        <f>IFERROR(E2/D2, 0)</f>
        <v>0</v>
      </c>
      <c r="G2" s="5">
        <f>SUM(G4:G80)</f>
        <v>50120</v>
      </c>
      <c r="H2" s="7">
        <f>C2-G2</f>
        <v>15222.145815429685</v>
      </c>
      <c r="I2" s="6">
        <f>IFERROR(H2/G2, 0)</f>
        <v>0.30371400270210863</v>
      </c>
      <c r="J2" s="11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49"/>
      <c r="K3" s="10" t="s">
        <v>21</v>
      </c>
    </row>
    <row r="4" spans="1:14" ht="28.9">
      <c r="A4" s="44" t="str" cm="1">
        <f t="array" ref="A4:A24">Sites[Site]</f>
        <v>Lexington - Cotting School</v>
      </c>
      <c r="B4" s="40" t="str" cm="1">
        <f t="array" ref="B4:B24">Sites[State]</f>
        <v>MA</v>
      </c>
      <c r="C4" s="28">
        <v>7512.56</v>
      </c>
      <c r="D4" s="29">
        <v>0</v>
      </c>
      <c r="E4" s="29">
        <f>IF(AND(ISNUMBER(C4),ISNUMBER(D4)), C4-D4, "")</f>
        <v>7512.56</v>
      </c>
      <c r="F4" s="30" t="str">
        <f>IFERROR(E4/D4, "")</f>
        <v/>
      </c>
      <c r="G4" s="31">
        <v>0</v>
      </c>
      <c r="H4" s="31">
        <f>IF(AND(ISNUMBER(C4),ISNUMBER(G4)), C4-G4, "")</f>
        <v>7512.56</v>
      </c>
      <c r="I4" s="32" t="str">
        <f>IFERROR(H4/G4, "")</f>
        <v/>
      </c>
      <c r="J4" s="49" t="s">
        <v>30</v>
      </c>
      <c r="K4" s="69" t="s">
        <v>31</v>
      </c>
      <c r="L4" s="78" t="s">
        <v>32</v>
      </c>
      <c r="M4" s="79"/>
      <c r="N4" s="79"/>
    </row>
    <row r="5" spans="1:14" ht="100.9">
      <c r="A5" s="45" t="str">
        <v>Pacoima - Whiteman Airport</v>
      </c>
      <c r="B5" s="42" t="str">
        <v>CA</v>
      </c>
      <c r="C5" s="35">
        <v>23461.7</v>
      </c>
      <c r="D5" s="36">
        <v>0</v>
      </c>
      <c r="E5" s="36">
        <f t="shared" ref="E5:E7" si="0">IF(AND(ISNUMBER(C5),ISNUMBER(D5)), C5-D5, "")</f>
        <v>23461.7</v>
      </c>
      <c r="F5" s="37" t="str">
        <f>IFERROR(E5/D5, "")</f>
        <v/>
      </c>
      <c r="G5" s="38">
        <v>34320</v>
      </c>
      <c r="H5" s="38">
        <f t="shared" ref="H5:H7" si="1">IF(AND(ISNUMBER(C5),ISNUMBER(G5)), C5-G5, "")</f>
        <v>-10858.3</v>
      </c>
      <c r="I5" s="37">
        <f t="shared" ref="I5:I7" si="2">IFERROR(H5/G5, "")</f>
        <v>-0.31638403263403259</v>
      </c>
      <c r="J5" s="50" t="s">
        <v>33</v>
      </c>
      <c r="K5" s="77" t="s">
        <v>34</v>
      </c>
      <c r="L5" s="78" t="s">
        <v>35</v>
      </c>
      <c r="M5" s="78" t="s">
        <v>36</v>
      </c>
      <c r="N5" s="79"/>
    </row>
    <row r="6" spans="1:14" ht="15.6">
      <c r="A6" s="44" t="str">
        <v>Hyannis - Sturgis Charter School</v>
      </c>
      <c r="B6" s="40" t="str">
        <v>MA</v>
      </c>
      <c r="C6" s="28">
        <v>16727.085815429688</v>
      </c>
      <c r="D6" s="29">
        <v>0</v>
      </c>
      <c r="E6" s="29">
        <f t="shared" si="0"/>
        <v>16727.085815429688</v>
      </c>
      <c r="F6" s="30" t="str">
        <f t="shared" ref="F6:F7" si="3">IFERROR(E6/D6, "")</f>
        <v/>
      </c>
      <c r="G6" s="31">
        <v>15800</v>
      </c>
      <c r="H6" s="31">
        <f t="shared" si="1"/>
        <v>927.0858154296875</v>
      </c>
      <c r="I6" s="32">
        <f t="shared" si="2"/>
        <v>5.86763174322587E-2</v>
      </c>
      <c r="J6" s="49"/>
      <c r="K6" s="49"/>
      <c r="L6" s="79"/>
      <c r="M6" s="79"/>
      <c r="N6" s="79"/>
    </row>
    <row r="7" spans="1:14" ht="57.6">
      <c r="A7" s="45" t="str">
        <v>South Dennis - Tony Kent Arena</v>
      </c>
      <c r="B7" s="42" t="str">
        <v>MA</v>
      </c>
      <c r="C7" s="35">
        <v>17640.8</v>
      </c>
      <c r="D7" s="36">
        <v>0</v>
      </c>
      <c r="E7" s="36">
        <f t="shared" si="0"/>
        <v>17640.8</v>
      </c>
      <c r="F7" s="37" t="str">
        <f t="shared" si="3"/>
        <v/>
      </c>
      <c r="G7" s="38">
        <v>0</v>
      </c>
      <c r="H7" s="38">
        <f t="shared" si="1"/>
        <v>17640.8</v>
      </c>
      <c r="I7" s="37" t="str">
        <f t="shared" si="2"/>
        <v/>
      </c>
      <c r="J7" s="50" t="s">
        <v>37</v>
      </c>
      <c r="K7" s="70" t="s">
        <v>38</v>
      </c>
      <c r="L7" s="78" t="s">
        <v>39</v>
      </c>
      <c r="M7" s="79"/>
      <c r="N7" s="79"/>
    </row>
    <row r="8" spans="1:14" ht="15.6">
      <c r="A8" s="44" t="str">
        <v xml:space="preserve"> Caropolis - Felician Sisters</v>
      </c>
      <c r="B8" s="40" t="str">
        <v>PA</v>
      </c>
      <c r="C8" s="28"/>
      <c r="D8" s="29"/>
      <c r="E8" s="29"/>
      <c r="F8" s="30"/>
      <c r="G8" s="31"/>
      <c r="H8" s="31"/>
      <c r="I8" s="32"/>
      <c r="J8" s="49"/>
      <c r="K8" s="49"/>
    </row>
    <row r="9" spans="1:14" ht="15.6">
      <c r="A9" s="45" t="str">
        <v>Clear Lake - Eastlake Gohman</v>
      </c>
      <c r="B9" s="42" t="str">
        <v>MN</v>
      </c>
      <c r="C9" s="35"/>
      <c r="D9" s="36"/>
      <c r="E9" s="36"/>
      <c r="F9" s="37"/>
      <c r="G9" s="38"/>
      <c r="H9" s="38"/>
      <c r="I9" s="37"/>
      <c r="J9" s="50"/>
      <c r="K9" s="68"/>
    </row>
    <row r="10" spans="1:14" ht="15.6">
      <c r="A10" s="44" t="str">
        <v>Zumbrota - Eastlake Brenda Luhman</v>
      </c>
      <c r="B10" s="40" t="str">
        <v>MN</v>
      </c>
      <c r="C10" s="28"/>
      <c r="D10" s="29"/>
      <c r="E10" s="29"/>
      <c r="F10" s="30"/>
      <c r="G10" s="31"/>
      <c r="H10" s="31"/>
      <c r="I10" s="32"/>
      <c r="J10" s="49"/>
      <c r="K10" s="49"/>
    </row>
    <row r="11" spans="1:14" ht="15.6">
      <c r="A11" s="45" t="str">
        <v>Cokato - Eastlake Carlson</v>
      </c>
      <c r="B11" s="42" t="str">
        <v>MN</v>
      </c>
      <c r="C11" s="35"/>
      <c r="D11" s="36"/>
      <c r="E11" s="36"/>
      <c r="F11" s="37"/>
      <c r="G11" s="38"/>
      <c r="H11" s="38"/>
      <c r="I11" s="37"/>
      <c r="J11" s="50"/>
      <c r="K11" s="68"/>
    </row>
    <row r="12" spans="1:14" ht="15.6">
      <c r="A12" s="44" t="str">
        <v>North Branch - Cornille 2</v>
      </c>
      <c r="B12" s="40" t="str">
        <v>MN</v>
      </c>
      <c r="C12" s="28"/>
      <c r="D12" s="29"/>
      <c r="E12" s="29"/>
      <c r="F12" s="30"/>
      <c r="G12" s="31"/>
      <c r="H12" s="31"/>
      <c r="I12" s="32"/>
      <c r="J12" s="49"/>
      <c r="K12" s="49"/>
    </row>
    <row r="13" spans="1:14" ht="15.6">
      <c r="A13" s="45" t="str">
        <v>Clear Lake - Eastlake Hammer</v>
      </c>
      <c r="B13" s="42" t="str">
        <v>MN</v>
      </c>
      <c r="C13" s="35"/>
      <c r="D13" s="36"/>
      <c r="E13" s="36"/>
      <c r="F13" s="37"/>
      <c r="G13" s="38"/>
      <c r="H13" s="38"/>
      <c r="I13" s="37"/>
      <c r="J13" s="50"/>
      <c r="K13" s="68"/>
    </row>
    <row r="14" spans="1:14" ht="15.6">
      <c r="A14" s="44" t="str">
        <v>Eastlake - Hertzberg CSG 1</v>
      </c>
      <c r="B14" s="40" t="str">
        <v>MN</v>
      </c>
      <c r="C14" s="28"/>
      <c r="D14" s="29"/>
      <c r="E14" s="29"/>
      <c r="F14" s="30"/>
      <c r="G14" s="31"/>
      <c r="H14" s="31"/>
      <c r="I14" s="32"/>
      <c r="J14" s="49"/>
      <c r="K14" s="49"/>
    </row>
    <row r="15" spans="1:14" ht="15.6">
      <c r="A15" s="45" t="str">
        <v>Cokato - Eastlake Laurel Village</v>
      </c>
      <c r="B15" s="42" t="str">
        <v>MN</v>
      </c>
      <c r="C15" s="35"/>
      <c r="D15" s="36"/>
      <c r="E15" s="36"/>
      <c r="F15" s="37"/>
      <c r="G15" s="38"/>
      <c r="H15" s="38"/>
      <c r="I15" s="37"/>
      <c r="J15" s="50"/>
      <c r="K15" s="68"/>
    </row>
    <row r="16" spans="1:14" ht="15.6">
      <c r="A16" s="44" t="str">
        <v>St. Peter - Eastlake Paulson</v>
      </c>
      <c r="B16" s="40" t="str">
        <v>MN</v>
      </c>
      <c r="C16" s="28"/>
      <c r="D16" s="29"/>
      <c r="E16" s="29"/>
      <c r="F16" s="30"/>
      <c r="G16" s="31"/>
      <c r="H16" s="31"/>
      <c r="I16" s="32"/>
      <c r="J16" s="49"/>
      <c r="K16" s="49"/>
    </row>
    <row r="17" spans="1:11" ht="15.6">
      <c r="A17" s="45" t="str">
        <v>Felician Sisters Convent</v>
      </c>
      <c r="B17" s="42" t="str">
        <v>NJ</v>
      </c>
      <c r="C17" s="35"/>
      <c r="D17" s="36"/>
      <c r="E17" s="36"/>
      <c r="F17" s="37"/>
      <c r="G17" s="38"/>
      <c r="H17" s="38"/>
      <c r="I17" s="37"/>
      <c r="J17" s="50"/>
      <c r="K17" s="68"/>
    </row>
    <row r="18" spans="1:11" ht="15.6">
      <c r="A18" s="44" t="str">
        <v>Sussex County Fairgrounds</v>
      </c>
      <c r="B18" s="40" t="str">
        <v>NJ</v>
      </c>
      <c r="C18" s="28"/>
      <c r="D18" s="29"/>
      <c r="E18" s="29"/>
      <c r="F18" s="30"/>
      <c r="G18" s="31"/>
      <c r="H18" s="31"/>
      <c r="I18" s="32"/>
      <c r="J18" s="49"/>
      <c r="K18" s="49"/>
    </row>
    <row r="19" spans="1:11" ht="15.6">
      <c r="A19" s="45" t="str">
        <v>Gateway Church</v>
      </c>
      <c r="B19" s="42" t="str">
        <v>NJ</v>
      </c>
      <c r="C19" s="35"/>
      <c r="D19" s="36"/>
      <c r="E19" s="36"/>
      <c r="F19" s="37"/>
      <c r="G19" s="38"/>
      <c r="H19" s="38"/>
      <c r="I19" s="37"/>
      <c r="J19" s="50"/>
      <c r="K19" s="68"/>
    </row>
    <row r="20" spans="1:11" ht="15.6">
      <c r="A20" s="44" t="str">
        <v>Beaver Falls - Felician Sisters</v>
      </c>
      <c r="B20" s="40" t="str">
        <v>PA</v>
      </c>
      <c r="C20" s="28"/>
      <c r="D20" s="29"/>
      <c r="E20" s="29"/>
      <c r="F20" s="30"/>
      <c r="G20" s="31"/>
      <c r="H20" s="31"/>
      <c r="I20" s="32"/>
      <c r="J20" s="49"/>
      <c r="K20" s="49"/>
    </row>
    <row r="21" spans="1:11" ht="15.6">
      <c r="A21" s="45" t="str">
        <v>Livonia - Felician Sisters Ground</v>
      </c>
      <c r="B21" s="42" t="str">
        <v>MI</v>
      </c>
      <c r="C21" s="35"/>
      <c r="D21" s="36"/>
      <c r="E21" s="36"/>
      <c r="F21" s="37"/>
      <c r="G21" s="38"/>
      <c r="H21" s="38"/>
      <c r="I21" s="37"/>
      <c r="J21" s="50"/>
      <c r="K21" s="68"/>
    </row>
    <row r="22" spans="1:11" ht="15.6">
      <c r="A22" s="44" t="str">
        <v>Livonia - Felician Sisters Roof</v>
      </c>
      <c r="B22" s="40" t="str">
        <v>MI</v>
      </c>
      <c r="C22" s="28"/>
      <c r="D22" s="29"/>
      <c r="E22" s="29"/>
      <c r="F22" s="30"/>
      <c r="G22" s="31"/>
      <c r="H22" s="31"/>
      <c r="I22" s="32"/>
      <c r="J22" s="49"/>
      <c r="K22" s="49"/>
    </row>
    <row r="23" spans="1:11" ht="15.6">
      <c r="A23" s="45" t="str">
        <v>Monmouth Worship Ctr</v>
      </c>
      <c r="B23" s="42" t="str">
        <v>NJ</v>
      </c>
      <c r="C23" s="35"/>
      <c r="D23" s="36"/>
      <c r="E23" s="36"/>
      <c r="F23" s="37"/>
      <c r="G23" s="38"/>
      <c r="H23" s="38"/>
      <c r="I23" s="37"/>
      <c r="J23" s="50"/>
      <c r="K23" s="68"/>
    </row>
    <row r="24" spans="1:11" ht="15.6">
      <c r="A24" s="44" t="str">
        <v xml:space="preserve"> Audubon - Senior Citizens United</v>
      </c>
      <c r="B24" s="40" t="str">
        <v>NJ</v>
      </c>
      <c r="C24" s="28"/>
      <c r="D24" s="29"/>
      <c r="E24" s="29"/>
      <c r="F24" s="30"/>
      <c r="G24" s="31"/>
      <c r="H24" s="31"/>
      <c r="I24" s="32"/>
      <c r="J24" s="49"/>
      <c r="K24" s="49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C322" s="8"/>
      <c r="D322" s="8"/>
      <c r="E322" s="8"/>
      <c r="F322" s="9"/>
      <c r="G322" s="8"/>
      <c r="H322" s="8"/>
      <c r="I322" s="9"/>
      <c r="J322" s="8"/>
      <c r="K322" s="8"/>
    </row>
  </sheetData>
  <mergeCells count="4">
    <mergeCell ref="G1:I1"/>
    <mergeCell ref="A1:C1"/>
    <mergeCell ref="D1:F1"/>
    <mergeCell ref="A2:B2"/>
  </mergeCells>
  <phoneticPr fontId="5" type="noConversion"/>
  <conditionalFormatting sqref="F2 I2 F4:F80 I4:I80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hyperlinks>
    <hyperlink ref="K4" r:id="rId1" display="https://us3.assetplanner.com/service_request?ID=095368" xr:uid="{53DB68D7-5E05-4603-B061-9F52F8E02F18}"/>
    <hyperlink ref="L4" r:id="rId2" display="https://us3.assetplanner.com/service_request?ID=097850" xr:uid="{C9F325E2-3281-4180-938D-C43389948958}"/>
    <hyperlink ref="K5" r:id="rId3" display="https://us3.assetplanner.com/service_request?ID=096409" xr:uid="{5802BF7E-22DA-43ED-8E60-D4085977B190}"/>
    <hyperlink ref="L5" r:id="rId4" display="https://us3.assetplanner.com/service_request?ID=097783" xr:uid="{AA14C007-EAF5-4092-A648-1083FCA42634}"/>
    <hyperlink ref="M5" r:id="rId5" display="https://us3.assetplanner.com/service_request?ID=095501" xr:uid="{0A2AA9BB-E8C3-4BC5-A2C5-9CC8B3BC0DA4}"/>
    <hyperlink ref="K7" r:id="rId6" display="https://us3.assetplanner.com/service_request?ID=096179" xr:uid="{311FA8EB-4318-4390-91BD-F9EAC4391EC3}"/>
    <hyperlink ref="L7" r:id="rId7" display="https://us3.assetplanner.com/service_request?ID=096262" xr:uid="{451301DD-CBD4-4BE0-BB9D-B0B746A0FBBA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P327"/>
  <sheetViews>
    <sheetView tabSelected="1" zoomScaleNormal="100" workbookViewId="0">
      <pane xSplit="2" ySplit="3" topLeftCell="E15" activePane="bottomRight" state="frozen"/>
      <selection pane="bottomRight" activeCell="M24" sqref="M24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bestFit="1" customWidth="1"/>
    <col min="11" max="11" width="20.5703125" bestFit="1" customWidth="1"/>
  </cols>
  <sheetData>
    <row r="1" spans="1:16" ht="19.5" customHeight="1">
      <c r="A1" s="86" t="str" cm="1">
        <f t="array" ref="A1">portfolio</f>
        <v>Clean Capital</v>
      </c>
      <c r="B1" s="86"/>
      <c r="C1" s="86"/>
      <c r="D1" s="87" t="s">
        <v>40</v>
      </c>
      <c r="E1" s="87"/>
      <c r="F1" s="87"/>
      <c r="G1" s="85" t="s">
        <v>41</v>
      </c>
      <c r="H1" s="85"/>
      <c r="I1" s="85"/>
      <c r="J1" s="4"/>
      <c r="K1" s="4"/>
    </row>
    <row r="2" spans="1:16" ht="19.5" customHeight="1">
      <c r="A2" s="88" t="s">
        <v>2</v>
      </c>
      <c r="B2" s="88"/>
      <c r="C2" s="5">
        <f>SUM(C4:C85)</f>
        <v>1710215.56534</v>
      </c>
      <c r="D2" s="5">
        <f>SUM(D4:D85)</f>
        <v>0</v>
      </c>
      <c r="E2" s="5">
        <f>C2-D2</f>
        <v>1710215.56534</v>
      </c>
      <c r="F2" s="6">
        <f>IFERROR(E2/D2, 0)</f>
        <v>0</v>
      </c>
      <c r="G2" s="5">
        <f>SUM(G4:G85)</f>
        <v>1440240.2</v>
      </c>
      <c r="H2" s="7">
        <f>C2-G2</f>
        <v>269975.36534000002</v>
      </c>
      <c r="I2" s="6">
        <f>IFERROR(H2/G2, 0)</f>
        <v>0.18745162462483692</v>
      </c>
      <c r="J2" s="11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6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42</v>
      </c>
      <c r="K3" s="10" t="s">
        <v>21</v>
      </c>
    </row>
    <row r="4" spans="1:16" ht="43.15">
      <c r="A4" s="44" t="str" cm="1">
        <f t="array" ref="A4:A24">Sites[Site]</f>
        <v>Lexington - Cotting School</v>
      </c>
      <c r="B4" s="40" t="str" cm="1">
        <f t="array" ref="B4:B24">Sites[State]</f>
        <v>MA</v>
      </c>
      <c r="C4" s="28">
        <v>27815.040000000001</v>
      </c>
      <c r="D4" s="29" t="s">
        <v>43</v>
      </c>
      <c r="E4" s="29" t="str">
        <f>IF(AND(ISNUMBER(C4),ISNUMBER(D4)), C4-D4, "")</f>
        <v/>
      </c>
      <c r="F4" s="30" t="str">
        <f>IFERROR(E4/D4, "")</f>
        <v/>
      </c>
      <c r="G4" s="75" t="s">
        <v>43</v>
      </c>
      <c r="H4" s="31" t="str">
        <f>IF(AND(ISNUMBER(C4),ISNUMBER(G4)), C4-G4, "")</f>
        <v/>
      </c>
      <c r="I4" s="32" t="str">
        <f>IFERROR(H4/G4, "")</f>
        <v/>
      </c>
      <c r="J4" s="53" t="s">
        <v>44</v>
      </c>
      <c r="K4" s="80" t="s">
        <v>31</v>
      </c>
      <c r="L4" s="78" t="s">
        <v>32</v>
      </c>
      <c r="M4" s="83"/>
      <c r="N4" s="79"/>
      <c r="O4" s="79"/>
      <c r="P4" s="79"/>
    </row>
    <row r="5" spans="1:16" ht="144">
      <c r="A5" s="45" t="str">
        <v>Pacoima - Whiteman Airport</v>
      </c>
      <c r="B5" s="42" t="str">
        <v>CA</v>
      </c>
      <c r="C5" s="35">
        <v>20209.2</v>
      </c>
      <c r="D5" s="36" t="s">
        <v>43</v>
      </c>
      <c r="E5" s="36" t="str">
        <f t="shared" ref="E5:E11" si="0">IF(AND(ISNUMBER(C5),ISNUMBER(D5)), C5-D5, "")</f>
        <v/>
      </c>
      <c r="F5" s="37" t="str">
        <f>IFERROR(E5/D5, "")</f>
        <v/>
      </c>
      <c r="G5" s="38">
        <v>45760</v>
      </c>
      <c r="H5" s="38">
        <f t="shared" ref="H5:H11" si="1">IF(AND(ISNUMBER(C5),ISNUMBER(G5)), C5-G5, "")</f>
        <v>-25550.799999999999</v>
      </c>
      <c r="I5" s="37">
        <f t="shared" ref="I5:I11" si="2">IFERROR(H5/G5, "")</f>
        <v>-0.55836538461538465</v>
      </c>
      <c r="J5" s="54" t="s">
        <v>45</v>
      </c>
      <c r="K5" s="77" t="s">
        <v>46</v>
      </c>
      <c r="L5" s="78" t="s">
        <v>47</v>
      </c>
      <c r="M5" s="84" t="s">
        <v>48</v>
      </c>
      <c r="N5" s="78" t="s">
        <v>49</v>
      </c>
      <c r="O5" s="78" t="s">
        <v>35</v>
      </c>
      <c r="P5" s="78" t="s">
        <v>50</v>
      </c>
    </row>
    <row r="6" spans="1:16" ht="15.6">
      <c r="A6" s="46" t="str">
        <v>Hyannis - Sturgis Charter School</v>
      </c>
      <c r="B6" s="40" t="str">
        <v>MA</v>
      </c>
      <c r="C6" s="28">
        <v>26110.79394</v>
      </c>
      <c r="D6" s="29" t="s">
        <v>43</v>
      </c>
      <c r="E6" s="29" t="str">
        <f t="shared" si="0"/>
        <v/>
      </c>
      <c r="F6" s="30" t="str">
        <f t="shared" ref="F6:F11" si="3">IFERROR(E6/D6, "")</f>
        <v/>
      </c>
      <c r="G6" s="31">
        <v>27010</v>
      </c>
      <c r="H6" s="31">
        <f t="shared" si="1"/>
        <v>-899.20606000000043</v>
      </c>
      <c r="I6" s="32">
        <f t="shared" si="2"/>
        <v>-3.3291597926693832E-2</v>
      </c>
      <c r="J6" s="53"/>
      <c r="K6" s="53"/>
      <c r="L6" s="79"/>
      <c r="M6" s="83"/>
      <c r="N6" s="79"/>
      <c r="O6" s="79"/>
      <c r="P6" s="79"/>
    </row>
    <row r="7" spans="1:16" ht="57.6">
      <c r="A7" s="45" t="str">
        <v>South Dennis - Tony Kent Arena</v>
      </c>
      <c r="B7" s="42" t="str">
        <v>MA</v>
      </c>
      <c r="C7" s="35">
        <v>30514.080000000002</v>
      </c>
      <c r="D7" s="36" t="s">
        <v>43</v>
      </c>
      <c r="E7" s="36" t="str">
        <f t="shared" si="0"/>
        <v/>
      </c>
      <c r="F7" s="37" t="str">
        <f t="shared" si="3"/>
        <v/>
      </c>
      <c r="G7" s="76" t="s">
        <v>43</v>
      </c>
      <c r="H7" s="38" t="str">
        <f t="shared" si="1"/>
        <v/>
      </c>
      <c r="I7" s="37" t="str">
        <f t="shared" si="2"/>
        <v/>
      </c>
      <c r="J7" s="60" t="s">
        <v>51</v>
      </c>
      <c r="K7" s="77" t="s">
        <v>52</v>
      </c>
      <c r="L7" s="78" t="s">
        <v>53</v>
      </c>
      <c r="M7" s="83"/>
      <c r="N7" s="79"/>
      <c r="O7" s="79"/>
      <c r="P7" s="79"/>
    </row>
    <row r="8" spans="1:16" ht="15.6">
      <c r="A8" s="46" t="str">
        <v xml:space="preserve"> Caropolis - Felician Sisters</v>
      </c>
      <c r="B8" s="40" t="str">
        <v>PA</v>
      </c>
      <c r="C8" s="28">
        <v>51053.4</v>
      </c>
      <c r="D8" s="29" t="s">
        <v>43</v>
      </c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53" t="s">
        <v>54</v>
      </c>
      <c r="K8" s="81" t="s">
        <v>55</v>
      </c>
      <c r="L8" s="79"/>
      <c r="M8" s="83"/>
      <c r="N8" s="79"/>
      <c r="O8" s="79"/>
      <c r="P8" s="79"/>
    </row>
    <row r="9" spans="1:16" ht="15.6">
      <c r="A9" s="45" t="str">
        <v>Clear Lake - Eastlake Gohman</v>
      </c>
      <c r="B9" s="42" t="str">
        <v>MN</v>
      </c>
      <c r="C9" s="35">
        <v>174810</v>
      </c>
      <c r="D9" s="36" t="s">
        <v>43</v>
      </c>
      <c r="E9" s="36" t="str">
        <f t="shared" si="0"/>
        <v/>
      </c>
      <c r="F9" s="37" t="str">
        <f t="shared" si="3"/>
        <v/>
      </c>
      <c r="G9" s="38">
        <v>155938.5</v>
      </c>
      <c r="H9" s="38">
        <f t="shared" si="1"/>
        <v>18871.5</v>
      </c>
      <c r="I9" s="37">
        <f t="shared" si="2"/>
        <v>0.12101886320568686</v>
      </c>
      <c r="J9" s="54"/>
      <c r="K9" s="55"/>
      <c r="L9" s="79"/>
      <c r="M9" s="83"/>
      <c r="N9" s="79"/>
      <c r="O9" s="79"/>
      <c r="P9" s="79"/>
    </row>
    <row r="10" spans="1:16" ht="21" customHeight="1">
      <c r="A10" s="46" t="str">
        <v>Zumbrota - Eastlake Brenda Luhman</v>
      </c>
      <c r="B10" s="40" t="str">
        <v>MN</v>
      </c>
      <c r="C10" s="28">
        <v>179285.1269</v>
      </c>
      <c r="D10" s="29" t="s">
        <v>43</v>
      </c>
      <c r="E10" s="29" t="str">
        <f t="shared" si="0"/>
        <v/>
      </c>
      <c r="F10" s="30" t="str">
        <f t="shared" si="3"/>
        <v/>
      </c>
      <c r="G10" s="31">
        <v>161850.1</v>
      </c>
      <c r="H10" s="31">
        <f t="shared" si="1"/>
        <v>17435.026899999997</v>
      </c>
      <c r="I10" s="32">
        <f t="shared" si="2"/>
        <v>0.10772330014006785</v>
      </c>
      <c r="J10" s="53"/>
      <c r="K10" s="53"/>
      <c r="L10" s="79"/>
      <c r="M10" s="83"/>
      <c r="N10" s="79"/>
      <c r="O10" s="79"/>
      <c r="P10" s="79"/>
    </row>
    <row r="11" spans="1:16" ht="68.25" customHeight="1">
      <c r="A11" s="45" t="str">
        <v>Cokato - Eastlake Carlson</v>
      </c>
      <c r="B11" s="42" t="str">
        <v>MN</v>
      </c>
      <c r="C11" s="35">
        <v>147025.48420000001</v>
      </c>
      <c r="D11" s="36" t="s">
        <v>43</v>
      </c>
      <c r="E11" s="36" t="str">
        <f t="shared" si="0"/>
        <v/>
      </c>
      <c r="F11" s="37" t="str">
        <f t="shared" si="3"/>
        <v/>
      </c>
      <c r="G11" s="38">
        <v>189506</v>
      </c>
      <c r="H11" s="38">
        <f t="shared" si="1"/>
        <v>-42480.515799999994</v>
      </c>
      <c r="I11" s="37">
        <f t="shared" si="2"/>
        <v>-0.22416448977868772</v>
      </c>
      <c r="J11" s="60" t="s">
        <v>56</v>
      </c>
      <c r="K11" s="77" t="s">
        <v>57</v>
      </c>
      <c r="L11" s="78" t="s">
        <v>58</v>
      </c>
      <c r="M11" s="83"/>
      <c r="N11" s="79"/>
      <c r="O11" s="79"/>
      <c r="P11" s="79"/>
    </row>
    <row r="12" spans="1:16" ht="87.75" customHeight="1">
      <c r="A12" s="46" t="str">
        <v>North Branch - Cornille 2</v>
      </c>
      <c r="B12" s="40" t="str">
        <v>MN</v>
      </c>
      <c r="C12" s="28">
        <v>142625</v>
      </c>
      <c r="D12" s="29" t="s">
        <v>43</v>
      </c>
      <c r="E12" s="29" t="str">
        <f t="shared" ref="E12:E24" si="4">IF(AND(ISNUMBER(C12),ISNUMBER(D12)), C12-D12, "")</f>
        <v/>
      </c>
      <c r="F12" s="30" t="str">
        <f t="shared" ref="F12:F24" si="5">IFERROR(E12/D12, "")</f>
        <v/>
      </c>
      <c r="G12" s="31">
        <v>156749.79999999999</v>
      </c>
      <c r="H12" s="31">
        <f t="shared" ref="H12:H24" si="6">IF(AND(ISNUMBER(C12),ISNUMBER(G12)), C12-G12, "")</f>
        <v>-14124.799999999988</v>
      </c>
      <c r="I12" s="32">
        <f t="shared" ref="I12:I24" si="7">IFERROR(H12/G12, "")</f>
        <v>-9.0110481799657735E-2</v>
      </c>
      <c r="J12" s="62" t="s">
        <v>59</v>
      </c>
      <c r="K12" s="80" t="s">
        <v>60</v>
      </c>
      <c r="L12" s="78" t="s">
        <v>61</v>
      </c>
      <c r="M12" s="84" t="s">
        <v>62</v>
      </c>
      <c r="N12" s="79"/>
      <c r="O12" s="79"/>
      <c r="P12" s="79"/>
    </row>
    <row r="13" spans="1:16" ht="64.5" customHeight="1">
      <c r="A13" s="45" t="str">
        <v>Clear Lake - Eastlake Hammer</v>
      </c>
      <c r="B13" s="42" t="str">
        <v>MN</v>
      </c>
      <c r="C13" s="35">
        <v>196603.0325</v>
      </c>
      <c r="D13" s="36" t="s">
        <v>43</v>
      </c>
      <c r="E13" s="36" t="str">
        <f t="shared" si="4"/>
        <v/>
      </c>
      <c r="F13" s="37" t="str">
        <f t="shared" si="5"/>
        <v/>
      </c>
      <c r="G13" s="38">
        <v>181153.8</v>
      </c>
      <c r="H13" s="38">
        <f t="shared" si="6"/>
        <v>15449.232500000013</v>
      </c>
      <c r="I13" s="37">
        <f t="shared" si="7"/>
        <v>8.5282409201463141E-2</v>
      </c>
      <c r="J13" s="54" t="s">
        <v>63</v>
      </c>
      <c r="K13" s="77" t="s">
        <v>64</v>
      </c>
      <c r="L13" s="78" t="s">
        <v>65</v>
      </c>
      <c r="M13" s="83"/>
      <c r="N13" s="79"/>
      <c r="O13" s="79"/>
      <c r="P13" s="79"/>
    </row>
    <row r="14" spans="1:16" ht="27.75" customHeight="1">
      <c r="A14" s="46" t="str">
        <v>Eastlake - Hertzberg CSG 1</v>
      </c>
      <c r="B14" s="40" t="str">
        <v>MN</v>
      </c>
      <c r="C14" s="28">
        <v>178773.26439999999</v>
      </c>
      <c r="D14" s="29" t="s">
        <v>43</v>
      </c>
      <c r="E14" s="29" t="str">
        <f t="shared" si="4"/>
        <v/>
      </c>
      <c r="F14" s="30" t="str">
        <f t="shared" si="5"/>
        <v/>
      </c>
      <c r="G14" s="31">
        <v>179090.7</v>
      </c>
      <c r="H14" s="31">
        <f t="shared" si="6"/>
        <v>-317.43560000002617</v>
      </c>
      <c r="I14" s="32">
        <f t="shared" si="7"/>
        <v>-1.7724851150842905E-3</v>
      </c>
      <c r="J14" s="62" t="s">
        <v>66</v>
      </c>
      <c r="K14" s="80" t="s">
        <v>67</v>
      </c>
      <c r="L14" s="79"/>
      <c r="M14" s="83"/>
      <c r="N14" s="79"/>
      <c r="O14" s="79"/>
      <c r="P14" s="79"/>
    </row>
    <row r="15" spans="1:16" ht="51" customHeight="1">
      <c r="A15" s="45" t="str">
        <v>Cokato - Eastlake Laurel Village</v>
      </c>
      <c r="B15" s="42" t="str">
        <v>MN</v>
      </c>
      <c r="C15" s="35">
        <v>192745.31390000001</v>
      </c>
      <c r="D15" s="36" t="s">
        <v>43</v>
      </c>
      <c r="E15" s="36" t="str">
        <f t="shared" si="4"/>
        <v/>
      </c>
      <c r="F15" s="37" t="str">
        <f t="shared" si="5"/>
        <v/>
      </c>
      <c r="G15" s="38">
        <v>177944.7</v>
      </c>
      <c r="H15" s="38">
        <f t="shared" si="6"/>
        <v>14800.613899999997</v>
      </c>
      <c r="I15" s="37">
        <f t="shared" si="7"/>
        <v>8.3175356725994062E-2</v>
      </c>
      <c r="J15" s="60" t="s">
        <v>68</v>
      </c>
      <c r="K15" s="77" t="s">
        <v>69</v>
      </c>
      <c r="L15" s="78" t="s">
        <v>70</v>
      </c>
      <c r="M15" s="83"/>
      <c r="N15" s="79"/>
      <c r="O15" s="79"/>
      <c r="P15" s="79"/>
    </row>
    <row r="16" spans="1:16" ht="21" customHeight="1">
      <c r="A16" s="46" t="str">
        <v>St. Peter - Eastlake Paulson</v>
      </c>
      <c r="B16" s="40" t="str">
        <v>MN</v>
      </c>
      <c r="C16" s="28">
        <v>167620.9295</v>
      </c>
      <c r="D16" s="29" t="s">
        <v>43</v>
      </c>
      <c r="E16" s="29" t="str">
        <f t="shared" si="4"/>
        <v/>
      </c>
      <c r="F16" s="30" t="str">
        <f t="shared" si="5"/>
        <v/>
      </c>
      <c r="G16" s="31">
        <v>165236.6</v>
      </c>
      <c r="H16" s="31">
        <f t="shared" si="6"/>
        <v>2384.3294999999925</v>
      </c>
      <c r="I16" s="32">
        <f t="shared" si="7"/>
        <v>1.4429790373319182E-2</v>
      </c>
      <c r="J16" s="62"/>
      <c r="K16" s="53"/>
      <c r="L16" s="79"/>
      <c r="M16" s="83"/>
      <c r="N16" s="79"/>
      <c r="O16" s="79"/>
      <c r="P16" s="79"/>
    </row>
    <row r="17" spans="1:16" ht="16.5" customHeight="1">
      <c r="A17" s="45" t="str">
        <v>Felician Sisters Convent</v>
      </c>
      <c r="B17" s="42" t="str">
        <v>NJ</v>
      </c>
      <c r="C17" s="35">
        <v>34597.199999999997</v>
      </c>
      <c r="D17" s="36" t="s">
        <v>43</v>
      </c>
      <c r="E17" s="36" t="str">
        <f t="shared" si="4"/>
        <v/>
      </c>
      <c r="F17" s="37" t="str">
        <f t="shared" si="5"/>
        <v/>
      </c>
      <c r="G17" s="38"/>
      <c r="H17" s="38" t="str">
        <f t="shared" si="6"/>
        <v/>
      </c>
      <c r="I17" s="37" t="str">
        <f t="shared" si="7"/>
        <v/>
      </c>
      <c r="J17" s="54" t="s">
        <v>71</v>
      </c>
      <c r="K17" s="82" t="s">
        <v>72</v>
      </c>
      <c r="L17" s="79"/>
      <c r="M17" s="83"/>
      <c r="N17" s="79"/>
      <c r="O17" s="79"/>
      <c r="P17" s="79"/>
    </row>
    <row r="18" spans="1:16" ht="59.25" customHeight="1">
      <c r="A18" s="46" t="str">
        <v>Sussex County Fairgrounds</v>
      </c>
      <c r="B18" s="40" t="str">
        <v>NJ</v>
      </c>
      <c r="C18" s="28">
        <v>44370</v>
      </c>
      <c r="D18" s="29" t="s">
        <v>43</v>
      </c>
      <c r="E18" s="29" t="str">
        <f t="shared" si="4"/>
        <v/>
      </c>
      <c r="F18" s="30" t="str">
        <f t="shared" si="5"/>
        <v/>
      </c>
      <c r="G18" s="75" t="s">
        <v>43</v>
      </c>
      <c r="H18" s="31" t="str">
        <f t="shared" si="6"/>
        <v/>
      </c>
      <c r="I18" s="32" t="str">
        <f t="shared" si="7"/>
        <v/>
      </c>
      <c r="J18" s="62" t="s">
        <v>73</v>
      </c>
      <c r="K18" s="80" t="s">
        <v>74</v>
      </c>
      <c r="L18" s="79"/>
      <c r="M18" s="83"/>
      <c r="N18" s="79"/>
      <c r="O18" s="79"/>
      <c r="P18" s="79"/>
    </row>
    <row r="19" spans="1:16" ht="85.5" customHeight="1">
      <c r="A19" s="45" t="str">
        <v>Gateway Church</v>
      </c>
      <c r="B19" s="42" t="str">
        <v>NJ</v>
      </c>
      <c r="C19" s="35">
        <v>26234</v>
      </c>
      <c r="D19" s="36" t="s">
        <v>43</v>
      </c>
      <c r="E19" s="36" t="str">
        <f t="shared" si="4"/>
        <v/>
      </c>
      <c r="F19" s="37" t="str">
        <f t="shared" si="5"/>
        <v/>
      </c>
      <c r="G19" s="76" t="s">
        <v>43</v>
      </c>
      <c r="H19" s="38" t="str">
        <f t="shared" si="6"/>
        <v/>
      </c>
      <c r="I19" s="37" t="str">
        <f t="shared" si="7"/>
        <v/>
      </c>
      <c r="J19" s="60" t="s">
        <v>75</v>
      </c>
      <c r="K19" s="77" t="s">
        <v>76</v>
      </c>
      <c r="L19" s="78" t="s">
        <v>77</v>
      </c>
      <c r="M19" s="83"/>
      <c r="N19" s="79"/>
      <c r="O19" s="79"/>
      <c r="P19" s="79"/>
    </row>
    <row r="20" spans="1:16" ht="21" customHeight="1">
      <c r="A20" s="46" t="str">
        <v>Beaver Falls - Felician Sisters</v>
      </c>
      <c r="B20" s="40" t="str">
        <v>PA</v>
      </c>
      <c r="C20" s="28">
        <v>36640</v>
      </c>
      <c r="D20" s="29" t="s">
        <v>43</v>
      </c>
      <c r="E20" s="29" t="str">
        <f t="shared" si="4"/>
        <v/>
      </c>
      <c r="F20" s="30" t="str">
        <f t="shared" si="5"/>
        <v/>
      </c>
      <c r="G20" s="75" t="s">
        <v>43</v>
      </c>
      <c r="H20" s="31" t="str">
        <f t="shared" si="6"/>
        <v/>
      </c>
      <c r="I20" s="32" t="str">
        <f t="shared" si="7"/>
        <v/>
      </c>
      <c r="J20" s="53"/>
      <c r="K20" s="53"/>
      <c r="L20" s="79"/>
      <c r="M20" s="83"/>
      <c r="N20" s="79"/>
      <c r="O20" s="79"/>
      <c r="P20" s="79"/>
    </row>
    <row r="21" spans="1:16" ht="36.75" customHeight="1">
      <c r="A21" s="45" t="str">
        <v>Livonia - Felician Sisters Ground</v>
      </c>
      <c r="B21" s="42" t="str">
        <v>MI</v>
      </c>
      <c r="C21" s="35">
        <v>0</v>
      </c>
      <c r="D21" s="36" t="s">
        <v>43</v>
      </c>
      <c r="E21" s="36" t="str">
        <f t="shared" si="4"/>
        <v/>
      </c>
      <c r="F21" s="37" t="str">
        <f t="shared" si="5"/>
        <v/>
      </c>
      <c r="G21" s="76" t="s">
        <v>43</v>
      </c>
      <c r="H21" s="38" t="str">
        <f t="shared" si="6"/>
        <v/>
      </c>
      <c r="I21" s="37" t="str">
        <f t="shared" si="7"/>
        <v/>
      </c>
      <c r="J21" s="54" t="s">
        <v>78</v>
      </c>
      <c r="K21" s="82" t="s">
        <v>79</v>
      </c>
      <c r="L21" s="78" t="s">
        <v>80</v>
      </c>
      <c r="M21" s="83"/>
      <c r="N21" s="79"/>
      <c r="O21" s="79"/>
      <c r="P21" s="79"/>
    </row>
    <row r="22" spans="1:16" ht="21" customHeight="1">
      <c r="A22" s="46" t="str">
        <v>Livonia - Felician Sisters Roof</v>
      </c>
      <c r="B22" s="40" t="str">
        <v>MI</v>
      </c>
      <c r="C22" s="28">
        <v>12782</v>
      </c>
      <c r="D22" s="29" t="s">
        <v>43</v>
      </c>
      <c r="E22" s="29" t="str">
        <f t="shared" si="4"/>
        <v/>
      </c>
      <c r="F22" s="30" t="str">
        <f t="shared" si="5"/>
        <v/>
      </c>
      <c r="G22" s="75" t="s">
        <v>43</v>
      </c>
      <c r="H22" s="31" t="str">
        <f t="shared" si="6"/>
        <v/>
      </c>
      <c r="I22" s="32" t="str">
        <f t="shared" si="7"/>
        <v/>
      </c>
      <c r="J22" s="53"/>
      <c r="K22" s="53"/>
      <c r="M22" s="52"/>
    </row>
    <row r="23" spans="1:16" ht="21" customHeight="1">
      <c r="A23" s="45" t="str">
        <v>Monmouth Worship Ctr</v>
      </c>
      <c r="B23" s="42" t="str">
        <v>NJ</v>
      </c>
      <c r="C23" s="35">
        <v>11687.5</v>
      </c>
      <c r="D23" s="36" t="s">
        <v>43</v>
      </c>
      <c r="E23" s="36" t="str">
        <f t="shared" si="4"/>
        <v/>
      </c>
      <c r="F23" s="37" t="str">
        <f t="shared" si="5"/>
        <v/>
      </c>
      <c r="G23" s="75" t="s">
        <v>43</v>
      </c>
      <c r="H23" s="38" t="str">
        <f t="shared" si="6"/>
        <v/>
      </c>
      <c r="I23" s="37" t="str">
        <f t="shared" si="7"/>
        <v/>
      </c>
      <c r="J23" s="54"/>
      <c r="K23" s="55"/>
      <c r="M23" s="52"/>
    </row>
    <row r="24" spans="1:16" ht="21" customHeight="1">
      <c r="A24" s="46" t="str">
        <v xml:space="preserve"> Audubon - Senior Citizens United</v>
      </c>
      <c r="B24" s="40" t="str">
        <v>NJ</v>
      </c>
      <c r="C24" s="28">
        <v>8714.2000000000007</v>
      </c>
      <c r="D24" s="29" t="s">
        <v>43</v>
      </c>
      <c r="E24" s="29" t="str">
        <f t="shared" si="4"/>
        <v/>
      </c>
      <c r="F24" s="30" t="str">
        <f t="shared" si="5"/>
        <v/>
      </c>
      <c r="G24" s="75" t="s">
        <v>43</v>
      </c>
      <c r="H24" s="31" t="str">
        <f t="shared" si="6"/>
        <v/>
      </c>
      <c r="I24" s="32" t="str">
        <f t="shared" si="7"/>
        <v/>
      </c>
      <c r="J24" s="53"/>
      <c r="K24" s="53"/>
      <c r="M24" s="52"/>
    </row>
    <row r="25" spans="1:16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  <c r="M25" s="52"/>
    </row>
    <row r="26" spans="1:16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  <c r="M26" s="52"/>
    </row>
    <row r="27" spans="1:16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  <c r="M27" s="52"/>
    </row>
    <row r="28" spans="1:16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  <c r="M28" s="52"/>
    </row>
    <row r="29" spans="1:16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  <c r="M29" s="52"/>
    </row>
    <row r="30" spans="1:16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  <c r="M30" s="52"/>
    </row>
    <row r="31" spans="1:16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  <c r="M31" s="52"/>
    </row>
    <row r="32" spans="1:16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  <c r="M32" s="52"/>
    </row>
    <row r="33" spans="1:13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  <c r="M33" s="52"/>
    </row>
    <row r="34" spans="1:13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  <c r="M34" s="52"/>
    </row>
    <row r="35" spans="1:13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3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3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3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3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3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3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3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3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3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3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3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3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3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A323" s="8"/>
      <c r="B323" s="13"/>
      <c r="C323" s="8"/>
      <c r="D323" s="8"/>
      <c r="E323" s="8"/>
      <c r="F323" s="9"/>
      <c r="G323" s="8"/>
      <c r="H323" s="8"/>
      <c r="I323" s="9"/>
      <c r="J323" s="8"/>
      <c r="K323" s="8"/>
    </row>
    <row r="324" spans="1:11" ht="14.45">
      <c r="A324" s="8"/>
      <c r="B324" s="13"/>
      <c r="C324" s="8"/>
      <c r="D324" s="8"/>
      <c r="E324" s="8"/>
      <c r="F324" s="9"/>
      <c r="G324" s="8"/>
      <c r="H324" s="8"/>
      <c r="I324" s="9"/>
      <c r="J324" s="8"/>
      <c r="K324" s="8"/>
    </row>
    <row r="325" spans="1:11" ht="14.45">
      <c r="A325" s="8"/>
      <c r="B325" s="13"/>
      <c r="C325" s="8"/>
      <c r="D325" s="8"/>
      <c r="E325" s="8"/>
      <c r="F325" s="9"/>
      <c r="G325" s="8"/>
      <c r="H325" s="8"/>
      <c r="I325" s="9"/>
      <c r="J325" s="8"/>
      <c r="K325" s="8"/>
    </row>
    <row r="326" spans="1:11" ht="14.45">
      <c r="A326" s="8"/>
      <c r="B326" s="13"/>
      <c r="C326" s="8"/>
      <c r="D326" s="8"/>
      <c r="E326" s="8"/>
      <c r="F326" s="9"/>
      <c r="G326" s="8"/>
      <c r="H326" s="8"/>
      <c r="I326" s="9"/>
      <c r="J326" s="8"/>
      <c r="K326" s="8"/>
    </row>
    <row r="327" spans="1:11" ht="14.45">
      <c r="C327" s="8"/>
      <c r="D327" s="8"/>
      <c r="E327" s="8"/>
      <c r="F327" s="9"/>
      <c r="G327" s="8"/>
      <c r="H327" s="8"/>
      <c r="I327" s="9"/>
      <c r="J327" s="8"/>
      <c r="K327" s="8"/>
    </row>
  </sheetData>
  <mergeCells count="4">
    <mergeCell ref="G1:I1"/>
    <mergeCell ref="A1:C1"/>
    <mergeCell ref="D1:F1"/>
    <mergeCell ref="A2:B2"/>
  </mergeCells>
  <conditionalFormatting sqref="F2 I2 F4:F85 I4:I85">
    <cfRule type="cellIs" dxfId="22" priority="5" stopIfTrue="1" operator="lessThanOrEqual">
      <formula>-0.1</formula>
    </cfRule>
    <cfRule type="expression" dxfId="21" priority="6">
      <formula>AND(ISNUMBER(F2), F2&gt;=0.1)</formula>
    </cfRule>
  </conditionalFormatting>
  <hyperlinks>
    <hyperlink ref="K4" r:id="rId1" display="https://us3.assetplanner.com/service_request?ID=095368" xr:uid="{297E6928-4B4A-4EF0-8C71-9190C691A012}"/>
    <hyperlink ref="L4" r:id="rId2" display="https://us3.assetplanner.com/service_request?ID=097850" xr:uid="{BD76DBF8-E6F0-4048-88B5-9B261BC50F53}"/>
    <hyperlink ref="K5" r:id="rId3" display="https://us3.assetplanner.com/service_request?ID=097975" xr:uid="{EA604493-7104-40A2-8D93-4615D7D26EAC}"/>
    <hyperlink ref="L5" r:id="rId4" display="https://us3.assetplanner.com/service_request?ID=097975" xr:uid="{34513E3A-55F7-4F79-AC43-3F49463E1F40}"/>
    <hyperlink ref="M5" r:id="rId5" display="https://us3.assetplanner.com/service_request?ID=098262" xr:uid="{EE95123B-89E9-4FD6-AB16-1D9B6076CDA5}"/>
    <hyperlink ref="N5" r:id="rId6" display="https://us3.assetplanner.com/service_request?ID=098783" xr:uid="{3992E0A8-790F-45CB-BF37-B840C9C6B54F}"/>
    <hyperlink ref="O5" r:id="rId7" display="https://us3.assetplanner.com/service_request?ID=097783" xr:uid="{12AEBADB-14FE-47FA-BF5B-8871A9CC0B93}"/>
    <hyperlink ref="P5" r:id="rId8" display="https://us3.assetplanner.com/service_request?ID=098428" xr:uid="{E1604669-0B9F-452C-93D5-29A71E902974}"/>
    <hyperlink ref="K7" r:id="rId9" display="https://us3.assetplanner.com/service_request?ID=096262" xr:uid="{EA02246F-49C4-4229-A7FA-8B022E22A617}"/>
    <hyperlink ref="L7" r:id="rId10" display="https://us3.assetplanner.com/service_request?ID=099066" xr:uid="{20FFCEC8-4064-40FF-96C0-23D325901C42}"/>
    <hyperlink ref="K8" r:id="rId11" display="https://us3.assetplanner.com/service_request?ID=098870" xr:uid="{9F56D8F7-1732-499B-B614-82B5E57641C4}"/>
    <hyperlink ref="K11" r:id="rId12" display="https://us3.assetplanner.com/service_request?ID=098497" xr:uid="{FEB79FFB-DFE5-4FE6-AA78-C684A579F7B7}"/>
    <hyperlink ref="L11" r:id="rId13" display="https://us3.assetplanner.com/service_request?ID=098613" xr:uid="{B8678B24-0FB9-4EEE-81F5-EA904E65107F}"/>
    <hyperlink ref="K12" r:id="rId14" display="https://us3.assetplanner.com/service_request?ID=098046" xr:uid="{68D40A0B-418D-4660-9534-1D5BBCAD1B66}"/>
    <hyperlink ref="L12" r:id="rId15" display="https://us3.assetplanner.com/service_request?ID=098496" xr:uid="{0452EBD7-0703-41F8-BC34-A6E20529AB8A}"/>
    <hyperlink ref="M12" r:id="rId16" display="https://us3.assetplanner.com/service_request?ID=098614" xr:uid="{D173FE29-D87F-40B3-B1E7-36789A3C527C}"/>
    <hyperlink ref="K13" r:id="rId17" display="https://us3.assetplanner.com/service_request?ID=098047" xr:uid="{4C1A18D9-8D1F-4895-9BA8-AE5E51CCAD62}"/>
    <hyperlink ref="L13" r:id="rId18" display="https://us3.assetplanner.com/service_request?ID=099230" xr:uid="{F4413B6D-8E54-4F64-A68D-3DBE4C7E237B}"/>
    <hyperlink ref="K14" r:id="rId19" display="https://us3.assetplanner.com/service_request?ID=099167" xr:uid="{45B76ED4-79F3-40E1-A5B2-760240A8C90D}"/>
    <hyperlink ref="K15" r:id="rId20" display="https://us3.assetplanner.com/service_request?ID=098048" xr:uid="{6CBF1DDF-6EA0-41BA-A7A5-289DF983572A}"/>
    <hyperlink ref="L15" r:id="rId21" display="https://us3.assetplanner.com/service_request?ID=099150" xr:uid="{693E4E51-6818-4415-876E-C9558C0AFB90}"/>
    <hyperlink ref="K17" r:id="rId22" display="https://us3.assetplanner.com/service_request?ID=098818" xr:uid="{3F961D29-09A0-4AE3-BCC9-6A84B2748D09}"/>
    <hyperlink ref="K18" r:id="rId23" display="https://us3.assetplanner.com/service_request?ID=098819" xr:uid="{23CDDFAF-9E30-405A-81AE-4FADF06B91F9}"/>
    <hyperlink ref="K19" r:id="rId24" display="https://us3.assetplanner.com/service_request?ID=098076" xr:uid="{970D6C1E-D7BA-4AF7-85A4-E26322488E91}"/>
    <hyperlink ref="L19" r:id="rId25" display="https://us3.assetplanner.com/service_request?ID=098231" xr:uid="{AC4198AD-8D30-4B0A-9791-8141268A9F7B}"/>
    <hyperlink ref="K21" r:id="rId26" display="https://us3.assetplanner.com/service_request?ID=098015" xr:uid="{A87533E8-CD30-4D28-84B7-E0AEB2059298}"/>
    <hyperlink ref="L21" r:id="rId27" display="https://us3.assetplanner.com/service_request?ID=098016" xr:uid="{84EB6EFC-8990-480C-8FF3-FA88A715AEBA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7"/>
  <sheetViews>
    <sheetView workbookViewId="0">
      <pane xSplit="2" ySplit="3" topLeftCell="C4" activePane="bottomRight" state="frozen"/>
      <selection pane="bottomRight" activeCell="F23" sqref="F2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6" t="str" cm="1">
        <f t="array" ref="A1">portfolio</f>
        <v>Clean Capital</v>
      </c>
      <c r="B1" s="86"/>
      <c r="C1" s="86"/>
      <c r="D1" s="87" t="s">
        <v>81</v>
      </c>
      <c r="E1" s="87"/>
      <c r="F1" s="87"/>
      <c r="G1" s="85" t="s">
        <v>82</v>
      </c>
      <c r="H1" s="85"/>
      <c r="I1" s="85"/>
      <c r="J1" s="4"/>
      <c r="K1" s="4"/>
    </row>
    <row r="2" spans="1:11" ht="19.5" customHeight="1">
      <c r="A2" s="88" t="s">
        <v>2</v>
      </c>
      <c r="B2" s="88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11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42</v>
      </c>
      <c r="K3" s="10" t="s">
        <v>21</v>
      </c>
    </row>
    <row r="4" spans="1:11" ht="15.6">
      <c r="A4" s="39" t="str" cm="1">
        <f t="array" ref="A4:A24">Sites[Site]</f>
        <v>Lexington - Cotting School</v>
      </c>
      <c r="B4" s="40" t="str" cm="1">
        <f t="array" ref="B4:B24">Sites[State]</f>
        <v>MA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49"/>
      <c r="K4" s="49"/>
    </row>
    <row r="5" spans="1:11" ht="15.6">
      <c r="A5" s="41" t="str">
        <v>Pacoima - Whiteman Airport</v>
      </c>
      <c r="B5" s="42" t="str">
        <v>CA</v>
      </c>
      <c r="C5" s="35"/>
      <c r="D5" s="36"/>
      <c r="E5" s="36" t="str">
        <f t="shared" ref="E5:E12" si="0">IF(AND(ISNUMBER(C5),ISNUMBER(D5)), C5-D5, "")</f>
        <v/>
      </c>
      <c r="F5" s="37" t="str">
        <f>IFERROR(E5/D5, "")</f>
        <v/>
      </c>
      <c r="G5" s="56"/>
      <c r="H5" s="38" t="str">
        <f t="shared" ref="H5:H12" si="1">IF(AND(ISNUMBER(C5),ISNUMBER(G5)), C5-G5, "")</f>
        <v/>
      </c>
      <c r="I5" s="37" t="str">
        <f t="shared" ref="I5:I12" si="2">IFERROR(H5/G5, "")</f>
        <v/>
      </c>
      <c r="J5" s="50"/>
      <c r="K5" s="50"/>
    </row>
    <row r="6" spans="1:11" ht="30" customHeight="1">
      <c r="A6" s="43" t="str">
        <v>Hyannis - Sturgis Charter School</v>
      </c>
      <c r="B6" s="40" t="str">
        <v>MA</v>
      </c>
      <c r="C6" s="28"/>
      <c r="D6" s="29"/>
      <c r="E6" s="29" t="str">
        <f t="shared" si="0"/>
        <v/>
      </c>
      <c r="F6" s="30" t="str">
        <f t="shared" ref="F6:F12" si="3">IFERROR(E6/D6, "")</f>
        <v/>
      </c>
      <c r="G6" s="31"/>
      <c r="H6" s="31" t="str">
        <f t="shared" si="1"/>
        <v/>
      </c>
      <c r="I6" s="32" t="str">
        <f t="shared" si="2"/>
        <v/>
      </c>
      <c r="J6" s="49"/>
      <c r="K6" s="49"/>
    </row>
    <row r="7" spans="1:11" ht="27.75" customHeight="1">
      <c r="A7" s="41" t="str">
        <v>South Dennis - Tony Kent Arena</v>
      </c>
      <c r="B7" s="42" t="str">
        <v>MA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50"/>
      <c r="K7" s="51"/>
    </row>
    <row r="8" spans="1:11" ht="15.6">
      <c r="A8" s="43" t="str">
        <v xml:space="preserve"> Caropolis - Felician Sisters</v>
      </c>
      <c r="B8" s="40" t="str">
        <v>PA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49"/>
      <c r="K8" s="49"/>
    </row>
    <row r="9" spans="1:11" ht="15.6">
      <c r="A9" s="41" t="str">
        <v>Clear Lake - Eastlake Gohman</v>
      </c>
      <c r="B9" s="42" t="str">
        <v>MN</v>
      </c>
      <c r="C9" s="35"/>
      <c r="D9" s="36"/>
      <c r="E9" s="36" t="str">
        <f t="shared" si="0"/>
        <v/>
      </c>
      <c r="F9" s="37" t="str">
        <f t="shared" si="3"/>
        <v/>
      </c>
      <c r="G9" s="38"/>
      <c r="H9" s="38" t="str">
        <f t="shared" si="1"/>
        <v/>
      </c>
      <c r="I9" s="37" t="str">
        <f t="shared" si="2"/>
        <v/>
      </c>
      <c r="J9" s="50"/>
      <c r="K9" s="51"/>
    </row>
    <row r="10" spans="1:11" ht="15.6">
      <c r="A10" s="43" t="str">
        <v>Zumbrota - Eastlake Brenda Luhman</v>
      </c>
      <c r="B10" s="40" t="str">
        <v>MN</v>
      </c>
      <c r="C10" s="28"/>
      <c r="D10" s="29"/>
      <c r="E10" s="29" t="str">
        <f t="shared" si="0"/>
        <v/>
      </c>
      <c r="F10" s="30" t="str">
        <f t="shared" si="3"/>
        <v/>
      </c>
      <c r="G10" s="31"/>
      <c r="H10" s="31" t="str">
        <f t="shared" si="1"/>
        <v/>
      </c>
      <c r="I10" s="32" t="str">
        <f t="shared" si="2"/>
        <v/>
      </c>
      <c r="J10" s="49"/>
      <c r="K10" s="49"/>
    </row>
    <row r="11" spans="1:11" ht="15.6">
      <c r="A11" s="41" t="str">
        <v>Cokato - Eastlake Carlson</v>
      </c>
      <c r="B11" s="42" t="str">
        <v>MN</v>
      </c>
      <c r="C11" s="35"/>
      <c r="D11" s="36"/>
      <c r="E11" s="36" t="str">
        <f t="shared" si="0"/>
        <v/>
      </c>
      <c r="F11" s="37" t="str">
        <f t="shared" si="3"/>
        <v/>
      </c>
      <c r="G11" s="38"/>
      <c r="H11" s="38" t="str">
        <f t="shared" si="1"/>
        <v/>
      </c>
      <c r="I11" s="37" t="str">
        <f t="shared" si="2"/>
        <v/>
      </c>
      <c r="J11" s="50"/>
      <c r="K11" s="51"/>
    </row>
    <row r="12" spans="1:11" ht="15.6">
      <c r="A12" s="43" t="str">
        <v>North Branch - Cornille 2</v>
      </c>
      <c r="B12" s="40" t="str">
        <v>MN</v>
      </c>
      <c r="C12" s="28"/>
      <c r="D12" s="29"/>
      <c r="E12" s="29" t="str">
        <f t="shared" si="0"/>
        <v/>
      </c>
      <c r="F12" s="30" t="str">
        <f t="shared" si="3"/>
        <v/>
      </c>
      <c r="G12" s="31"/>
      <c r="H12" s="31" t="str">
        <f t="shared" si="1"/>
        <v/>
      </c>
      <c r="I12" s="32" t="str">
        <f t="shared" si="2"/>
        <v/>
      </c>
      <c r="J12" s="49"/>
      <c r="K12" s="49"/>
    </row>
    <row r="13" spans="1:11" ht="14.45">
      <c r="A13" s="8" t="str">
        <v>Clear Lake - Eastlake Hammer</v>
      </c>
      <c r="B13" s="13" t="str">
        <v>MN</v>
      </c>
      <c r="C13" s="8"/>
      <c r="D13" s="8"/>
      <c r="E13" s="8"/>
      <c r="F13" s="8"/>
      <c r="G13" s="8"/>
      <c r="H13" s="8"/>
      <c r="I13" s="8"/>
      <c r="J13" s="8"/>
      <c r="K13" s="8"/>
    </row>
    <row r="14" spans="1:11" ht="14.45">
      <c r="A14" s="8" t="str">
        <v>Eastlake - Hertzberg CSG 1</v>
      </c>
      <c r="B14" s="13" t="str">
        <v>MN</v>
      </c>
      <c r="C14" s="8"/>
      <c r="D14" s="8"/>
      <c r="E14" s="8"/>
      <c r="F14" s="8"/>
      <c r="G14" s="8"/>
      <c r="H14" s="8"/>
      <c r="I14" s="8"/>
      <c r="J14" s="8"/>
      <c r="K14" s="8"/>
    </row>
    <row r="15" spans="1:11" ht="14.45">
      <c r="A15" s="8" t="str">
        <v>Cokato - Eastlake Laurel Village</v>
      </c>
      <c r="B15" s="13" t="str">
        <v>MN</v>
      </c>
      <c r="C15" s="8"/>
      <c r="D15" s="8"/>
      <c r="E15" s="8"/>
      <c r="F15" s="8"/>
      <c r="G15" s="8"/>
      <c r="H15" s="8"/>
      <c r="I15" s="8"/>
      <c r="J15" s="8"/>
      <c r="K15" s="8"/>
    </row>
    <row r="16" spans="1:11" ht="14.45">
      <c r="A16" s="8" t="str">
        <v>St. Peter - Eastlake Paulson</v>
      </c>
      <c r="B16" s="13" t="str">
        <v>MN</v>
      </c>
      <c r="C16" s="8"/>
      <c r="D16" s="8"/>
      <c r="E16" s="8"/>
      <c r="F16" s="8"/>
      <c r="G16" s="8"/>
      <c r="H16" s="8"/>
      <c r="I16" s="8"/>
      <c r="J16" s="8"/>
      <c r="K16" s="8"/>
    </row>
    <row r="17" spans="1:11" ht="14.45">
      <c r="A17" s="8" t="str">
        <v>Felician Sisters Convent</v>
      </c>
      <c r="B17" s="13" t="str">
        <v>NJ</v>
      </c>
      <c r="C17" s="8"/>
      <c r="D17" s="8"/>
      <c r="E17" s="8"/>
      <c r="F17" s="8"/>
      <c r="G17" s="8"/>
      <c r="H17" s="8"/>
      <c r="I17" s="8"/>
      <c r="J17" s="8"/>
      <c r="K17" s="8"/>
    </row>
    <row r="18" spans="1:11" ht="14.45">
      <c r="A18" s="8" t="str">
        <v>Sussex County Fairgrounds</v>
      </c>
      <c r="B18" s="13" t="str">
        <v>NJ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 t="str">
        <v>Gateway Church</v>
      </c>
      <c r="B19" s="13" t="str">
        <v>NJ</v>
      </c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 t="str">
        <v>Beaver Falls - Felician Sisters</v>
      </c>
      <c r="B20" s="13" t="str">
        <v>PA</v>
      </c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 t="str">
        <v>Livonia - Felician Sisters Ground</v>
      </c>
      <c r="B21" s="13" t="str">
        <v>MI</v>
      </c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 t="str">
        <v>Livonia - Felician Sisters Roof</v>
      </c>
      <c r="B22" s="13" t="str">
        <v>MI</v>
      </c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 t="str">
        <v>Monmouth Worship Ctr</v>
      </c>
      <c r="B23" s="13" t="str">
        <v>NJ</v>
      </c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 t="str">
        <v xml:space="preserve"> Audubon - Senior Citizens United</v>
      </c>
      <c r="B24" s="13" t="str">
        <v>NJ</v>
      </c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A323" s="8"/>
      <c r="B323" s="13"/>
      <c r="C323" s="8"/>
      <c r="D323" s="8"/>
      <c r="E323" s="8"/>
      <c r="F323" s="9"/>
      <c r="G323" s="8"/>
      <c r="H323" s="8"/>
      <c r="I323" s="9"/>
      <c r="J323" s="8"/>
      <c r="K323" s="8"/>
    </row>
    <row r="324" spans="1:11" ht="14.45">
      <c r="A324" s="8"/>
      <c r="B324" s="13"/>
      <c r="C324" s="8"/>
      <c r="D324" s="8"/>
      <c r="E324" s="8"/>
      <c r="F324" s="9"/>
      <c r="G324" s="8"/>
      <c r="H324" s="8"/>
      <c r="I324" s="9"/>
      <c r="J324" s="8"/>
      <c r="K324" s="8"/>
    </row>
    <row r="325" spans="1:11" ht="14.45">
      <c r="A325" s="8"/>
      <c r="B325" s="13"/>
      <c r="C325" s="8"/>
      <c r="D325" s="8"/>
      <c r="E325" s="8"/>
      <c r="F325" s="9"/>
      <c r="G325" s="8"/>
      <c r="H325" s="8"/>
      <c r="I325" s="9"/>
      <c r="J325" s="8"/>
      <c r="K325" s="8"/>
    </row>
    <row r="326" spans="1:11" ht="14.45">
      <c r="A326" s="8"/>
      <c r="B326" s="13"/>
      <c r="C326" s="8"/>
      <c r="D326" s="8"/>
      <c r="E326" s="8"/>
      <c r="F326" s="9"/>
      <c r="G326" s="8"/>
      <c r="H326" s="8"/>
      <c r="I326" s="9"/>
      <c r="J326" s="8"/>
      <c r="K326" s="8"/>
    </row>
    <row r="327" spans="1:11" ht="14.45">
      <c r="C327" s="8"/>
      <c r="D327" s="8"/>
      <c r="E327" s="8"/>
      <c r="F327" s="9"/>
      <c r="G327" s="8"/>
      <c r="H327" s="8"/>
      <c r="I327" s="9"/>
      <c r="J327" s="8"/>
      <c r="K327" s="8"/>
    </row>
  </sheetData>
  <mergeCells count="4">
    <mergeCell ref="G1:I1"/>
    <mergeCell ref="A1:C1"/>
    <mergeCell ref="D1:F1"/>
    <mergeCell ref="A2:B2"/>
  </mergeCells>
  <conditionalFormatting sqref="F2 I2 F4:F85 I4:I85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7"/>
  <sheetViews>
    <sheetView workbookViewId="0">
      <pane xSplit="2" ySplit="3" topLeftCell="C4" activePane="bottomRight" state="frozen"/>
      <selection pane="bottomRight" activeCell="A13" sqref="A13:XFD19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6" t="str" cm="1">
        <f t="array" ref="A1">portfolio</f>
        <v>Clean Capital</v>
      </c>
      <c r="B1" s="86"/>
      <c r="C1" s="86"/>
      <c r="D1" s="87" t="s">
        <v>83</v>
      </c>
      <c r="E1" s="87"/>
      <c r="F1" s="87"/>
      <c r="G1" s="85" t="s">
        <v>84</v>
      </c>
      <c r="H1" s="85"/>
      <c r="I1" s="85"/>
      <c r="J1" s="4"/>
      <c r="K1" s="4"/>
    </row>
    <row r="2" spans="1:11" ht="19.5" customHeight="1">
      <c r="A2" s="88" t="s">
        <v>2</v>
      </c>
      <c r="B2" s="88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11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42</v>
      </c>
      <c r="K3" s="10" t="s">
        <v>21</v>
      </c>
    </row>
    <row r="4" spans="1:11" ht="15.6">
      <c r="A4" s="39" t="str" cm="1">
        <f t="array" ref="A4:A24">Sites[Site]</f>
        <v>Lexington - Cotting School</v>
      </c>
      <c r="B4" s="40" t="str" cm="1">
        <f t="array" ref="B4:B24">Sites[State]</f>
        <v>MA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49"/>
      <c r="K4" s="49"/>
    </row>
    <row r="5" spans="1:11" ht="15.6">
      <c r="A5" s="41" t="str">
        <v>Pacoima - Whiteman Airport</v>
      </c>
      <c r="B5" s="42" t="str">
        <v>CA</v>
      </c>
      <c r="C5" s="35"/>
      <c r="D5" s="36"/>
      <c r="E5" s="36" t="str">
        <f>IF(AND(ISNUMBER(C5),ISNUMBER(D5)), C5-D5, "")</f>
        <v/>
      </c>
      <c r="F5" s="37" t="str">
        <f>IFERROR(E5/D5, "")</f>
        <v/>
      </c>
      <c r="G5" s="38"/>
      <c r="H5" s="38" t="str">
        <f t="shared" ref="H5:H12" si="0">IF(AND(ISNUMBER(C5),ISNUMBER(G5)), C5-G5, "")</f>
        <v/>
      </c>
      <c r="I5" s="37" t="str">
        <f t="shared" ref="I5:I12" si="1">IFERROR(H5/G5, "")</f>
        <v/>
      </c>
      <c r="J5" s="50"/>
      <c r="K5" s="50"/>
    </row>
    <row r="6" spans="1:11" ht="15.6">
      <c r="A6" s="43" t="str">
        <v>Hyannis - Sturgis Charter School</v>
      </c>
      <c r="B6" s="40" t="str">
        <v>MA</v>
      </c>
      <c r="C6" s="28"/>
      <c r="D6" s="29"/>
      <c r="E6" s="29" t="str">
        <f t="shared" ref="E6:E12" si="2">IF(AND(ISNUMBER(C6),ISNUMBER(D6)), C6-D6, "")</f>
        <v/>
      </c>
      <c r="F6" s="30" t="str">
        <f t="shared" ref="F6:F12" si="3">IFERROR(E6/D6, "")</f>
        <v/>
      </c>
      <c r="G6" s="31"/>
      <c r="H6" s="31" t="str">
        <f t="shared" si="0"/>
        <v/>
      </c>
      <c r="I6" s="32" t="str">
        <f t="shared" si="1"/>
        <v/>
      </c>
      <c r="J6" s="49"/>
      <c r="K6" s="49"/>
    </row>
    <row r="7" spans="1:11" ht="15.6">
      <c r="A7" s="41" t="str">
        <v>South Dennis - Tony Kent Arena</v>
      </c>
      <c r="B7" s="42" t="str">
        <v>MA</v>
      </c>
      <c r="C7" s="35"/>
      <c r="D7" s="36"/>
      <c r="E7" s="36" t="str">
        <f t="shared" si="2"/>
        <v/>
      </c>
      <c r="F7" s="37" t="str">
        <f t="shared" si="3"/>
        <v/>
      </c>
      <c r="G7" s="38"/>
      <c r="H7" s="38" t="str">
        <f t="shared" si="0"/>
        <v/>
      </c>
      <c r="I7" s="37" t="str">
        <f t="shared" si="1"/>
        <v/>
      </c>
      <c r="J7" s="50"/>
      <c r="K7" s="51"/>
    </row>
    <row r="8" spans="1:11" ht="15.6">
      <c r="A8" s="43" t="str">
        <v xml:space="preserve"> Caropolis - Felician Sisters</v>
      </c>
      <c r="B8" s="40" t="str">
        <v>PA</v>
      </c>
      <c r="C8" s="28"/>
      <c r="D8" s="29"/>
      <c r="E8" s="29" t="str">
        <f t="shared" si="2"/>
        <v/>
      </c>
      <c r="F8" s="30" t="str">
        <f t="shared" si="3"/>
        <v/>
      </c>
      <c r="G8" s="31"/>
      <c r="H8" s="31" t="str">
        <f t="shared" si="0"/>
        <v/>
      </c>
      <c r="I8" s="32" t="str">
        <f t="shared" si="1"/>
        <v/>
      </c>
      <c r="J8" s="49"/>
      <c r="K8" s="49"/>
    </row>
    <row r="9" spans="1:11" ht="15.6">
      <c r="A9" s="41" t="str">
        <v>Clear Lake - Eastlake Gohman</v>
      </c>
      <c r="B9" s="42" t="str">
        <v>MN</v>
      </c>
      <c r="C9" s="35"/>
      <c r="D9" s="36"/>
      <c r="E9" s="36" t="str">
        <f t="shared" si="2"/>
        <v/>
      </c>
      <c r="F9" s="37" t="str">
        <f t="shared" si="3"/>
        <v/>
      </c>
      <c r="G9" s="38"/>
      <c r="H9" s="38" t="str">
        <f t="shared" si="0"/>
        <v/>
      </c>
      <c r="I9" s="37" t="str">
        <f t="shared" si="1"/>
        <v/>
      </c>
      <c r="J9" s="50"/>
      <c r="K9" s="51"/>
    </row>
    <row r="10" spans="1:11" ht="15.6">
      <c r="A10" s="43" t="str">
        <v>Zumbrota - Eastlake Brenda Luhman</v>
      </c>
      <c r="B10" s="40" t="str">
        <v>MN</v>
      </c>
      <c r="C10" s="28"/>
      <c r="D10" s="29"/>
      <c r="E10" s="29" t="str">
        <f t="shared" si="2"/>
        <v/>
      </c>
      <c r="F10" s="30" t="str">
        <f t="shared" si="3"/>
        <v/>
      </c>
      <c r="G10" s="31"/>
      <c r="H10" s="31" t="str">
        <f t="shared" si="0"/>
        <v/>
      </c>
      <c r="I10" s="32" t="str">
        <f t="shared" si="1"/>
        <v/>
      </c>
      <c r="J10" s="49"/>
      <c r="K10" s="49"/>
    </row>
    <row r="11" spans="1:11" ht="15.6">
      <c r="A11" s="41" t="str">
        <v>Cokato - Eastlake Carlson</v>
      </c>
      <c r="B11" s="42" t="str">
        <v>MN</v>
      </c>
      <c r="C11" s="35"/>
      <c r="D11" s="36"/>
      <c r="E11" s="36" t="str">
        <f t="shared" si="2"/>
        <v/>
      </c>
      <c r="F11" s="37" t="str">
        <f t="shared" si="3"/>
        <v/>
      </c>
      <c r="G11" s="38"/>
      <c r="H11" s="38" t="str">
        <f t="shared" si="0"/>
        <v/>
      </c>
      <c r="I11" s="37" t="str">
        <f t="shared" si="1"/>
        <v/>
      </c>
      <c r="J11" s="50"/>
      <c r="K11" s="51"/>
    </row>
    <row r="12" spans="1:11" ht="15.6">
      <c r="A12" s="43" t="str">
        <v>North Branch - Cornille 2</v>
      </c>
      <c r="B12" s="40" t="str">
        <v>MN</v>
      </c>
      <c r="C12" s="28"/>
      <c r="D12" s="29"/>
      <c r="E12" s="29" t="str">
        <f t="shared" si="2"/>
        <v/>
      </c>
      <c r="F12" s="30" t="str">
        <f t="shared" si="3"/>
        <v/>
      </c>
      <c r="G12" s="31"/>
      <c r="H12" s="31" t="str">
        <f t="shared" si="0"/>
        <v/>
      </c>
      <c r="I12" s="32" t="str">
        <f t="shared" si="1"/>
        <v/>
      </c>
      <c r="J12" s="49"/>
      <c r="K12" s="49"/>
    </row>
    <row r="13" spans="1:11" ht="14.45">
      <c r="A13" s="8" t="str">
        <v>Clear Lake - Eastlake Hammer</v>
      </c>
      <c r="B13" s="13" t="str">
        <v>MN</v>
      </c>
      <c r="C13" s="8"/>
      <c r="D13" s="8"/>
      <c r="E13" s="8"/>
      <c r="F13" s="8"/>
      <c r="G13" s="8"/>
      <c r="H13" s="8"/>
      <c r="I13" s="8"/>
      <c r="J13" s="8"/>
      <c r="K13" s="8"/>
    </row>
    <row r="14" spans="1:11" ht="14.45">
      <c r="A14" s="8" t="str">
        <v>Eastlake - Hertzberg CSG 1</v>
      </c>
      <c r="B14" s="13" t="str">
        <v>MN</v>
      </c>
      <c r="C14" s="8"/>
      <c r="D14" s="8"/>
      <c r="E14" s="8"/>
      <c r="F14" s="8"/>
      <c r="G14" s="8"/>
      <c r="H14" s="8"/>
      <c r="I14" s="8"/>
      <c r="J14" s="8"/>
      <c r="K14" s="8"/>
    </row>
    <row r="15" spans="1:11" ht="14.45">
      <c r="A15" s="8" t="str">
        <v>Cokato - Eastlake Laurel Village</v>
      </c>
      <c r="B15" s="13" t="str">
        <v>MN</v>
      </c>
      <c r="C15" s="8"/>
      <c r="D15" s="8"/>
      <c r="E15" s="8"/>
      <c r="F15" s="8"/>
      <c r="G15" s="8"/>
      <c r="H15" s="8"/>
      <c r="I15" s="8"/>
      <c r="J15" s="8"/>
      <c r="K15" s="8"/>
    </row>
    <row r="16" spans="1:11" ht="14.45">
      <c r="A16" s="8" t="str">
        <v>St. Peter - Eastlake Paulson</v>
      </c>
      <c r="B16" s="13" t="str">
        <v>MN</v>
      </c>
      <c r="C16" s="8"/>
      <c r="D16" s="8"/>
      <c r="E16" s="8"/>
      <c r="F16" s="8"/>
      <c r="G16" s="8"/>
      <c r="H16" s="8"/>
      <c r="I16" s="8"/>
      <c r="J16" s="8"/>
      <c r="K16" s="8"/>
    </row>
    <row r="17" spans="1:11" ht="14.45">
      <c r="A17" s="8" t="str">
        <v>Felician Sisters Convent</v>
      </c>
      <c r="B17" s="13" t="str">
        <v>NJ</v>
      </c>
      <c r="C17" s="8"/>
      <c r="D17" s="8"/>
      <c r="E17" s="8"/>
      <c r="F17" s="8"/>
      <c r="G17" s="8"/>
      <c r="H17" s="8"/>
      <c r="I17" s="8"/>
      <c r="J17" s="8"/>
      <c r="K17" s="8"/>
    </row>
    <row r="18" spans="1:11" ht="14.45">
      <c r="A18" s="8" t="str">
        <v>Sussex County Fairgrounds</v>
      </c>
      <c r="B18" s="13" t="str">
        <v>NJ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 t="str">
        <v>Gateway Church</v>
      </c>
      <c r="B19" s="13" t="str">
        <v>NJ</v>
      </c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 t="str">
        <v>Beaver Falls - Felician Sisters</v>
      </c>
      <c r="B20" s="13" t="str">
        <v>PA</v>
      </c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 t="str">
        <v>Livonia - Felician Sisters Ground</v>
      </c>
      <c r="B21" s="13" t="str">
        <v>MI</v>
      </c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 t="str">
        <v>Livonia - Felician Sisters Roof</v>
      </c>
      <c r="B22" s="13" t="str">
        <v>MI</v>
      </c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 t="str">
        <v>Monmouth Worship Ctr</v>
      </c>
      <c r="B23" s="13" t="str">
        <v>NJ</v>
      </c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 t="str">
        <v xml:space="preserve"> Audubon - Senior Citizens United</v>
      </c>
      <c r="B24" s="13" t="str">
        <v>NJ</v>
      </c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A323" s="8"/>
      <c r="B323" s="13"/>
      <c r="C323" s="8"/>
      <c r="D323" s="8"/>
      <c r="E323" s="8"/>
      <c r="F323" s="9"/>
      <c r="G323" s="8"/>
      <c r="H323" s="8"/>
      <c r="I323" s="9"/>
      <c r="J323" s="8"/>
      <c r="K323" s="8"/>
    </row>
    <row r="324" spans="1:11" ht="14.45">
      <c r="A324" s="8"/>
      <c r="B324" s="13"/>
      <c r="C324" s="8"/>
      <c r="D324" s="8"/>
      <c r="E324" s="8"/>
      <c r="F324" s="9"/>
      <c r="G324" s="8"/>
      <c r="H324" s="8"/>
      <c r="I324" s="9"/>
      <c r="J324" s="8"/>
      <c r="K324" s="8"/>
    </row>
    <row r="325" spans="1:11" ht="14.45">
      <c r="A325" s="8"/>
      <c r="B325" s="13"/>
      <c r="C325" s="8"/>
      <c r="D325" s="8"/>
      <c r="E325" s="8"/>
      <c r="F325" s="9"/>
      <c r="G325" s="8"/>
      <c r="H325" s="8"/>
      <c r="I325" s="9"/>
      <c r="J325" s="8"/>
      <c r="K325" s="8"/>
    </row>
    <row r="326" spans="1:11" ht="14.45">
      <c r="A326" s="8"/>
      <c r="B326" s="13"/>
      <c r="C326" s="8"/>
      <c r="D326" s="8"/>
      <c r="E326" s="8"/>
      <c r="F326" s="9"/>
      <c r="G326" s="8"/>
      <c r="H326" s="8"/>
      <c r="I326" s="9"/>
      <c r="J326" s="8"/>
      <c r="K326" s="8"/>
    </row>
    <row r="327" spans="1:11" ht="14.45">
      <c r="C327" s="8"/>
      <c r="D327" s="8"/>
      <c r="E327" s="8"/>
      <c r="F327" s="9"/>
      <c r="G327" s="8"/>
      <c r="H327" s="8"/>
      <c r="I327" s="9"/>
      <c r="J327" s="8"/>
      <c r="K327" s="8"/>
    </row>
  </sheetData>
  <mergeCells count="4">
    <mergeCell ref="G1:I1"/>
    <mergeCell ref="A1:C1"/>
    <mergeCell ref="D1:F1"/>
    <mergeCell ref="A2:B2"/>
  </mergeCells>
  <conditionalFormatting sqref="F2 I2 F4:F85 I4:I85">
    <cfRule type="cellIs" dxfId="18" priority="5" stopIfTrue="1" operator="lessThanOrEqual">
      <formula>-0.1</formula>
    </cfRule>
    <cfRule type="expression" dxfId="17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7"/>
  <sheetViews>
    <sheetView zoomScale="80" zoomScaleNormal="80" workbookViewId="0">
      <pane xSplit="2" ySplit="3" topLeftCell="C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6" t="str" cm="1">
        <f t="array" ref="A1">portfolio</f>
        <v>Clean Capital</v>
      </c>
      <c r="B1" s="86"/>
      <c r="C1" s="86"/>
      <c r="D1" s="87" t="s">
        <v>85</v>
      </c>
      <c r="E1" s="87"/>
      <c r="F1" s="87"/>
      <c r="G1" s="85" t="s">
        <v>86</v>
      </c>
      <c r="H1" s="85"/>
      <c r="I1" s="85"/>
      <c r="J1" s="4"/>
      <c r="K1" s="4"/>
    </row>
    <row r="2" spans="1:11" ht="19.5" customHeight="1">
      <c r="A2" s="88" t="s">
        <v>2</v>
      </c>
      <c r="B2" s="88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11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42</v>
      </c>
      <c r="K3" s="10" t="s">
        <v>21</v>
      </c>
    </row>
    <row r="4" spans="1:11" ht="15.6">
      <c r="A4" s="39" t="str" cm="1">
        <f t="array" ref="A4:A24">Sites[Site]</f>
        <v>Lexington - Cotting School</v>
      </c>
      <c r="B4" s="40" t="str" cm="1">
        <f t="array" ref="B4:B24">Sites[State]</f>
        <v>MA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57"/>
      <c r="K4" s="57"/>
    </row>
    <row r="5" spans="1:11" ht="15.6">
      <c r="A5" s="41" t="str">
        <v>Pacoima - Whiteman Airport</v>
      </c>
      <c r="B5" s="42" t="str">
        <v>CA</v>
      </c>
      <c r="C5" s="35"/>
      <c r="D5" s="58"/>
      <c r="E5" s="36" t="str">
        <f t="shared" ref="E5:E12" si="0">IF(AND(ISNUMBER(C5),ISNUMBER(D5)), C5-D5, "")</f>
        <v/>
      </c>
      <c r="F5" s="37" t="str">
        <f>IFERROR(E5/D5, "")</f>
        <v/>
      </c>
      <c r="G5" s="58"/>
      <c r="H5" s="38" t="str">
        <f t="shared" ref="H5:H12" si="1">IF(AND(ISNUMBER(C5),ISNUMBER(G5)), C5-G5, "")</f>
        <v/>
      </c>
      <c r="I5" s="37" t="str">
        <f t="shared" ref="I5:I12" si="2">IFERROR(H5/G5, "")</f>
        <v/>
      </c>
      <c r="J5" s="63"/>
      <c r="K5" s="64"/>
    </row>
    <row r="6" spans="1:11" ht="15.6">
      <c r="A6" s="43" t="str">
        <v>Hyannis - Sturgis Charter School</v>
      </c>
      <c r="B6" s="40" t="str">
        <v>MA</v>
      </c>
      <c r="C6" s="28"/>
      <c r="D6" s="29"/>
      <c r="E6" s="29" t="str">
        <f t="shared" si="0"/>
        <v/>
      </c>
      <c r="F6" s="30" t="str">
        <f t="shared" ref="F6:F12" si="3">IFERROR(E6/D6, "")</f>
        <v/>
      </c>
      <c r="G6" s="31"/>
      <c r="H6" s="31" t="str">
        <f t="shared" si="1"/>
        <v/>
      </c>
      <c r="I6" s="32" t="str">
        <f t="shared" si="2"/>
        <v/>
      </c>
      <c r="J6" s="57"/>
      <c r="K6" s="57"/>
    </row>
    <row r="7" spans="1:11" ht="15.6">
      <c r="A7" s="41" t="str">
        <v>South Dennis - Tony Kent Arena</v>
      </c>
      <c r="B7" s="42" t="str">
        <v>MA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63"/>
      <c r="K7" s="63"/>
    </row>
    <row r="8" spans="1:11" ht="15.6">
      <c r="A8" s="43" t="str">
        <v xml:space="preserve"> Caropolis - Felician Sisters</v>
      </c>
      <c r="B8" s="40" t="str">
        <v>PA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57"/>
      <c r="K8" s="57"/>
    </row>
    <row r="9" spans="1:11" ht="15.6">
      <c r="A9" s="41" t="str">
        <v>Clear Lake - Eastlake Gohman</v>
      </c>
      <c r="B9" s="42" t="str">
        <v>MN</v>
      </c>
      <c r="C9" s="35"/>
      <c r="D9" s="36"/>
      <c r="E9" s="36" t="str">
        <f t="shared" si="0"/>
        <v/>
      </c>
      <c r="F9" s="37" t="str">
        <f t="shared" si="3"/>
        <v/>
      </c>
      <c r="G9" s="38"/>
      <c r="H9" s="38" t="str">
        <f t="shared" si="1"/>
        <v/>
      </c>
      <c r="I9" s="37" t="str">
        <f t="shared" si="2"/>
        <v/>
      </c>
      <c r="J9" s="63"/>
      <c r="K9" s="63"/>
    </row>
    <row r="10" spans="1:11" ht="15.6">
      <c r="A10" s="43" t="str">
        <v>Zumbrota - Eastlake Brenda Luhman</v>
      </c>
      <c r="B10" s="40" t="str">
        <v>MN</v>
      </c>
      <c r="C10" s="28"/>
      <c r="D10" s="29"/>
      <c r="E10" s="29" t="str">
        <f t="shared" si="0"/>
        <v/>
      </c>
      <c r="F10" s="30" t="str">
        <f t="shared" si="3"/>
        <v/>
      </c>
      <c r="G10" s="31"/>
      <c r="H10" s="31" t="str">
        <f t="shared" si="1"/>
        <v/>
      </c>
      <c r="I10" s="32" t="str">
        <f t="shared" si="2"/>
        <v/>
      </c>
      <c r="J10" s="57"/>
      <c r="K10" s="57"/>
    </row>
    <row r="11" spans="1:11" ht="15.6">
      <c r="A11" s="41" t="str">
        <v>Cokato - Eastlake Carlson</v>
      </c>
      <c r="B11" s="42" t="str">
        <v>MN</v>
      </c>
      <c r="C11" s="35"/>
      <c r="D11" s="36"/>
      <c r="E11" s="36" t="str">
        <f t="shared" si="0"/>
        <v/>
      </c>
      <c r="F11" s="37" t="str">
        <f t="shared" si="3"/>
        <v/>
      </c>
      <c r="G11" s="38"/>
      <c r="H11" s="38" t="str">
        <f t="shared" si="1"/>
        <v/>
      </c>
      <c r="I11" s="37" t="str">
        <f t="shared" si="2"/>
        <v/>
      </c>
      <c r="J11" s="63"/>
      <c r="K11" s="63"/>
    </row>
    <row r="12" spans="1:11" ht="15.6">
      <c r="A12" s="43" t="str">
        <v>North Branch - Cornille 2</v>
      </c>
      <c r="B12" s="40" t="str">
        <v>MN</v>
      </c>
      <c r="C12" s="28"/>
      <c r="D12" s="29"/>
      <c r="E12" s="29" t="str">
        <f t="shared" si="0"/>
        <v/>
      </c>
      <c r="F12" s="30" t="str">
        <f t="shared" si="3"/>
        <v/>
      </c>
      <c r="G12" s="31"/>
      <c r="H12" s="31" t="str">
        <f t="shared" si="1"/>
        <v/>
      </c>
      <c r="I12" s="32" t="str">
        <f t="shared" si="2"/>
        <v/>
      </c>
      <c r="J12" s="57"/>
      <c r="K12" s="57"/>
    </row>
    <row r="13" spans="1:11" ht="14.45">
      <c r="A13" s="8" t="str">
        <v>Clear Lake - Eastlake Hammer</v>
      </c>
      <c r="B13" s="13" t="str">
        <v>MN</v>
      </c>
      <c r="C13" s="8"/>
      <c r="D13" s="8"/>
      <c r="E13" s="8"/>
      <c r="F13" s="8"/>
      <c r="G13" s="8"/>
      <c r="H13" s="8"/>
      <c r="I13" s="8"/>
      <c r="J13" s="8"/>
      <c r="K13" s="8"/>
    </row>
    <row r="14" spans="1:11" ht="14.45">
      <c r="A14" s="8" t="str">
        <v>Eastlake - Hertzberg CSG 1</v>
      </c>
      <c r="B14" s="13" t="str">
        <v>MN</v>
      </c>
      <c r="C14" s="8"/>
      <c r="D14" s="8"/>
      <c r="E14" s="8"/>
      <c r="F14" s="8"/>
      <c r="G14" s="8"/>
      <c r="H14" s="8"/>
      <c r="I14" s="8"/>
      <c r="J14" s="8"/>
      <c r="K14" s="8"/>
    </row>
    <row r="15" spans="1:11" ht="14.45">
      <c r="A15" s="8" t="str">
        <v>Cokato - Eastlake Laurel Village</v>
      </c>
      <c r="B15" s="13" t="str">
        <v>MN</v>
      </c>
      <c r="C15" s="8"/>
      <c r="D15" s="8"/>
      <c r="E15" s="8"/>
      <c r="F15" s="8"/>
      <c r="G15" s="8"/>
      <c r="H15" s="8"/>
      <c r="I15" s="8"/>
      <c r="J15" s="8"/>
      <c r="K15" s="8"/>
    </row>
    <row r="16" spans="1:11" ht="14.45">
      <c r="A16" s="8" t="str">
        <v>St. Peter - Eastlake Paulson</v>
      </c>
      <c r="B16" s="13" t="str">
        <v>MN</v>
      </c>
      <c r="C16" s="8"/>
      <c r="D16" s="8"/>
      <c r="E16" s="8"/>
      <c r="F16" s="8"/>
      <c r="G16" s="8"/>
      <c r="H16" s="8"/>
      <c r="I16" s="8"/>
      <c r="J16" s="8"/>
      <c r="K16" s="8"/>
    </row>
    <row r="17" spans="1:11" ht="14.45">
      <c r="A17" s="8" t="str">
        <v>Felician Sisters Convent</v>
      </c>
      <c r="B17" s="13" t="str">
        <v>NJ</v>
      </c>
      <c r="C17" s="8"/>
      <c r="D17" s="8"/>
      <c r="E17" s="8"/>
      <c r="F17" s="8"/>
      <c r="G17" s="8"/>
      <c r="H17" s="8"/>
      <c r="I17" s="8"/>
      <c r="J17" s="8"/>
      <c r="K17" s="8"/>
    </row>
    <row r="18" spans="1:11" ht="14.45">
      <c r="A18" s="8" t="str">
        <v>Sussex County Fairgrounds</v>
      </c>
      <c r="B18" s="13" t="str">
        <v>NJ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 t="str">
        <v>Gateway Church</v>
      </c>
      <c r="B19" s="13" t="str">
        <v>NJ</v>
      </c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 t="str">
        <v>Beaver Falls - Felician Sisters</v>
      </c>
      <c r="B20" s="13" t="str">
        <v>PA</v>
      </c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 t="str">
        <v>Livonia - Felician Sisters Ground</v>
      </c>
      <c r="B21" s="13" t="str">
        <v>MI</v>
      </c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 t="str">
        <v>Livonia - Felician Sisters Roof</v>
      </c>
      <c r="B22" s="13" t="str">
        <v>MI</v>
      </c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 t="str">
        <v>Monmouth Worship Ctr</v>
      </c>
      <c r="B23" s="13" t="str">
        <v>NJ</v>
      </c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 t="str">
        <v xml:space="preserve"> Audubon - Senior Citizens United</v>
      </c>
      <c r="B24" s="13" t="str">
        <v>NJ</v>
      </c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A323" s="8"/>
      <c r="B323" s="13"/>
      <c r="C323" s="8"/>
      <c r="D323" s="8"/>
      <c r="E323" s="8"/>
      <c r="F323" s="9"/>
      <c r="G323" s="8"/>
      <c r="H323" s="8"/>
      <c r="I323" s="9"/>
      <c r="J323" s="8"/>
      <c r="K323" s="8"/>
    </row>
    <row r="324" spans="1:11" ht="14.45">
      <c r="A324" s="8"/>
      <c r="B324" s="13"/>
      <c r="C324" s="8"/>
      <c r="D324" s="8"/>
      <c r="E324" s="8"/>
      <c r="F324" s="9"/>
      <c r="G324" s="8"/>
      <c r="H324" s="8"/>
      <c r="I324" s="9"/>
      <c r="J324" s="8"/>
      <c r="K324" s="8"/>
    </row>
    <row r="325" spans="1:11" ht="14.45">
      <c r="A325" s="8"/>
      <c r="B325" s="13"/>
      <c r="C325" s="8"/>
      <c r="D325" s="8"/>
      <c r="E325" s="8"/>
      <c r="F325" s="9"/>
      <c r="G325" s="8"/>
      <c r="H325" s="8"/>
      <c r="I325" s="9"/>
      <c r="J325" s="8"/>
      <c r="K325" s="8"/>
    </row>
    <row r="326" spans="1:11" ht="14.45">
      <c r="A326" s="8"/>
      <c r="B326" s="13"/>
      <c r="C326" s="8"/>
      <c r="D326" s="8"/>
      <c r="E326" s="8"/>
      <c r="F326" s="9"/>
      <c r="G326" s="8"/>
      <c r="H326" s="8"/>
      <c r="I326" s="9"/>
      <c r="J326" s="8"/>
      <c r="K326" s="8"/>
    </row>
    <row r="327" spans="1:11" ht="14.45">
      <c r="C327" s="8"/>
      <c r="D327" s="8"/>
      <c r="E327" s="8"/>
      <c r="F327" s="9"/>
      <c r="G327" s="8"/>
      <c r="H327" s="8"/>
      <c r="I327" s="9"/>
      <c r="J327" s="8"/>
      <c r="K327" s="8"/>
    </row>
  </sheetData>
  <mergeCells count="4">
    <mergeCell ref="G1:I1"/>
    <mergeCell ref="A1:C1"/>
    <mergeCell ref="D1:F1"/>
    <mergeCell ref="A2:B2"/>
  </mergeCells>
  <conditionalFormatting sqref="F2 I2 F4:F85 I4:I85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7"/>
  <sheetViews>
    <sheetView zoomScale="70" zoomScaleNormal="70" workbookViewId="0">
      <pane xSplit="2" ySplit="3" topLeftCell="C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6" t="str" cm="1">
        <f t="array" ref="A1">portfolio</f>
        <v>Clean Capital</v>
      </c>
      <c r="B1" s="86"/>
      <c r="C1" s="86"/>
      <c r="D1" s="87" t="s">
        <v>87</v>
      </c>
      <c r="E1" s="87"/>
      <c r="F1" s="87"/>
      <c r="G1" s="85" t="s">
        <v>88</v>
      </c>
      <c r="H1" s="85"/>
      <c r="I1" s="85"/>
      <c r="J1" s="4"/>
      <c r="K1" s="4"/>
    </row>
    <row r="2" spans="1:11" ht="19.5" customHeight="1">
      <c r="A2" s="88" t="s">
        <v>2</v>
      </c>
      <c r="B2" s="88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11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42</v>
      </c>
      <c r="K3" s="10" t="s">
        <v>21</v>
      </c>
    </row>
    <row r="4" spans="1:11" ht="78" customHeight="1">
      <c r="A4" s="39" t="str" cm="1">
        <f t="array" ref="A4:A24">Sites[Site]</f>
        <v>Lexington - Cotting School</v>
      </c>
      <c r="B4" s="40" t="str" cm="1">
        <f t="array" ref="B4:B24">Sites[State]</f>
        <v>MA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49"/>
      <c r="K4" s="49"/>
    </row>
    <row r="5" spans="1:11" ht="42.75" customHeight="1">
      <c r="A5" s="41" t="str">
        <v>Pacoima - Whiteman Airport</v>
      </c>
      <c r="B5" s="42" t="str">
        <v>CA</v>
      </c>
      <c r="C5" s="35"/>
      <c r="D5" s="36"/>
      <c r="E5" s="36" t="str">
        <f t="shared" ref="E5:E12" si="0">IF(AND(ISNUMBER(C5),ISNUMBER(D5)), C5-D5, "")</f>
        <v/>
      </c>
      <c r="F5" s="37" t="str">
        <f>IFERROR(E5/D5, "")</f>
        <v/>
      </c>
      <c r="G5" s="38"/>
      <c r="H5" s="38" t="str">
        <f t="shared" ref="H5:H12" si="1">IF(AND(ISNUMBER(C5),ISNUMBER(G5)), C5-G5, "")</f>
        <v/>
      </c>
      <c r="I5" s="37" t="str">
        <f t="shared" ref="I5:I12" si="2">IFERROR(H5/G5, "")</f>
        <v/>
      </c>
      <c r="J5" s="60"/>
      <c r="K5" s="50"/>
    </row>
    <row r="6" spans="1:11" ht="15.6">
      <c r="A6" s="43" t="str">
        <v>Hyannis - Sturgis Charter School</v>
      </c>
      <c r="B6" s="40" t="str">
        <v>MA</v>
      </c>
      <c r="C6" s="28"/>
      <c r="D6" s="29"/>
      <c r="E6" s="29" t="str">
        <f t="shared" si="0"/>
        <v/>
      </c>
      <c r="F6" s="30" t="str">
        <f t="shared" ref="F6:F12" si="3">IFERROR(E6/D6, "")</f>
        <v/>
      </c>
      <c r="G6" s="31"/>
      <c r="H6" s="31" t="str">
        <f t="shared" si="1"/>
        <v/>
      </c>
      <c r="I6" s="32" t="str">
        <f t="shared" si="2"/>
        <v/>
      </c>
      <c r="J6" s="49"/>
      <c r="K6" s="49"/>
    </row>
    <row r="7" spans="1:11" ht="15.6">
      <c r="A7" s="41" t="str">
        <v>South Dennis - Tony Kent Arena</v>
      </c>
      <c r="B7" s="42" t="str">
        <v>MA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50"/>
      <c r="K7" s="51"/>
    </row>
    <row r="8" spans="1:11" ht="15.6">
      <c r="A8" s="43" t="str">
        <v xml:space="preserve"> Caropolis - Felician Sisters</v>
      </c>
      <c r="B8" s="40" t="str">
        <v>PA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49"/>
      <c r="K8" s="49"/>
    </row>
    <row r="9" spans="1:11" ht="15.6">
      <c r="A9" s="41" t="str">
        <v>Clear Lake - Eastlake Gohman</v>
      </c>
      <c r="B9" s="42" t="str">
        <v>MN</v>
      </c>
      <c r="C9" s="35"/>
      <c r="D9" s="36"/>
      <c r="E9" s="36" t="str">
        <f t="shared" si="0"/>
        <v/>
      </c>
      <c r="F9" s="37" t="str">
        <f t="shared" si="3"/>
        <v/>
      </c>
      <c r="G9" s="38"/>
      <c r="H9" s="38" t="str">
        <f t="shared" si="1"/>
        <v/>
      </c>
      <c r="I9" s="37" t="str">
        <f t="shared" si="2"/>
        <v/>
      </c>
      <c r="J9" s="50"/>
      <c r="K9" s="51"/>
    </row>
    <row r="10" spans="1:11" ht="15.6">
      <c r="A10" s="43" t="str">
        <v>Zumbrota - Eastlake Brenda Luhman</v>
      </c>
      <c r="B10" s="40" t="str">
        <v>MN</v>
      </c>
      <c r="C10" s="28"/>
      <c r="D10" s="29"/>
      <c r="E10" s="29" t="str">
        <f t="shared" si="0"/>
        <v/>
      </c>
      <c r="F10" s="30" t="str">
        <f t="shared" si="3"/>
        <v/>
      </c>
      <c r="G10" s="31"/>
      <c r="H10" s="31" t="str">
        <f t="shared" si="1"/>
        <v/>
      </c>
      <c r="I10" s="32" t="str">
        <f t="shared" si="2"/>
        <v/>
      </c>
      <c r="J10" s="49"/>
      <c r="K10" s="49"/>
    </row>
    <row r="11" spans="1:11" ht="15.6">
      <c r="A11" s="41" t="str">
        <v>Cokato - Eastlake Carlson</v>
      </c>
      <c r="B11" s="42" t="str">
        <v>MN</v>
      </c>
      <c r="C11" s="35"/>
      <c r="D11" s="36"/>
      <c r="E11" s="36" t="str">
        <f t="shared" si="0"/>
        <v/>
      </c>
      <c r="F11" s="37" t="str">
        <f t="shared" si="3"/>
        <v/>
      </c>
      <c r="G11" s="38"/>
      <c r="H11" s="38" t="str">
        <f t="shared" si="1"/>
        <v/>
      </c>
      <c r="I11" s="37" t="str">
        <f t="shared" si="2"/>
        <v/>
      </c>
      <c r="J11" s="50"/>
      <c r="K11" s="51"/>
    </row>
    <row r="12" spans="1:11" ht="15.6">
      <c r="A12" s="43" t="str">
        <v>North Branch - Cornille 2</v>
      </c>
      <c r="B12" s="40" t="str">
        <v>MN</v>
      </c>
      <c r="C12" s="28"/>
      <c r="D12" s="29"/>
      <c r="E12" s="29" t="str">
        <f t="shared" si="0"/>
        <v/>
      </c>
      <c r="F12" s="30" t="str">
        <f t="shared" si="3"/>
        <v/>
      </c>
      <c r="G12" s="31"/>
      <c r="H12" s="31" t="str">
        <f t="shared" si="1"/>
        <v/>
      </c>
      <c r="I12" s="32" t="str">
        <f t="shared" si="2"/>
        <v/>
      </c>
      <c r="J12" s="49"/>
      <c r="K12" s="49"/>
    </row>
    <row r="13" spans="1:11" ht="14.45">
      <c r="A13" s="8" t="str">
        <v>Clear Lake - Eastlake Hammer</v>
      </c>
      <c r="B13" s="13" t="str">
        <v>MN</v>
      </c>
      <c r="C13" s="8"/>
      <c r="D13" s="8"/>
      <c r="E13" s="8"/>
      <c r="F13" s="8"/>
      <c r="G13" s="8"/>
      <c r="H13" s="8"/>
      <c r="I13" s="8"/>
      <c r="J13" s="8"/>
      <c r="K13" s="8"/>
    </row>
    <row r="14" spans="1:11" ht="14.45">
      <c r="A14" s="8" t="str">
        <v>Eastlake - Hertzberg CSG 1</v>
      </c>
      <c r="B14" s="13" t="str">
        <v>MN</v>
      </c>
      <c r="C14" s="8"/>
      <c r="D14" s="8"/>
      <c r="E14" s="8"/>
      <c r="F14" s="8"/>
      <c r="G14" s="8"/>
      <c r="H14" s="8"/>
      <c r="I14" s="8"/>
      <c r="J14" s="8"/>
      <c r="K14" s="8"/>
    </row>
    <row r="15" spans="1:11" ht="14.45">
      <c r="A15" s="8" t="str">
        <v>Cokato - Eastlake Laurel Village</v>
      </c>
      <c r="B15" s="13" t="str">
        <v>MN</v>
      </c>
      <c r="C15" s="8"/>
      <c r="D15" s="8"/>
      <c r="E15" s="8"/>
      <c r="F15" s="8"/>
      <c r="G15" s="8"/>
      <c r="H15" s="8"/>
      <c r="I15" s="8"/>
      <c r="J15" s="8"/>
      <c r="K15" s="8"/>
    </row>
    <row r="16" spans="1:11" ht="14.45">
      <c r="A16" s="8" t="str">
        <v>St. Peter - Eastlake Paulson</v>
      </c>
      <c r="B16" s="13" t="str">
        <v>MN</v>
      </c>
      <c r="C16" s="8"/>
      <c r="D16" s="8"/>
      <c r="E16" s="8"/>
      <c r="F16" s="8"/>
      <c r="G16" s="8"/>
      <c r="H16" s="8"/>
      <c r="I16" s="8"/>
      <c r="J16" s="8"/>
      <c r="K16" s="8"/>
    </row>
    <row r="17" spans="1:11" ht="14.45">
      <c r="A17" s="8" t="str">
        <v>Felician Sisters Convent</v>
      </c>
      <c r="B17" s="13" t="str">
        <v>NJ</v>
      </c>
      <c r="C17" s="8"/>
      <c r="D17" s="8"/>
      <c r="E17" s="8"/>
      <c r="F17" s="8"/>
      <c r="G17" s="8"/>
      <c r="H17" s="8"/>
      <c r="I17" s="8"/>
      <c r="J17" s="8"/>
      <c r="K17" s="8"/>
    </row>
    <row r="18" spans="1:11" ht="14.45">
      <c r="A18" s="8" t="str">
        <v>Sussex County Fairgrounds</v>
      </c>
      <c r="B18" s="13" t="str">
        <v>NJ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 t="str">
        <v>Gateway Church</v>
      </c>
      <c r="B19" s="13" t="str">
        <v>NJ</v>
      </c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 t="str">
        <v>Beaver Falls - Felician Sisters</v>
      </c>
      <c r="B20" s="13" t="str">
        <v>PA</v>
      </c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 t="str">
        <v>Livonia - Felician Sisters Ground</v>
      </c>
      <c r="B21" s="13" t="str">
        <v>MI</v>
      </c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 t="str">
        <v>Livonia - Felician Sisters Roof</v>
      </c>
      <c r="B22" s="13" t="str">
        <v>MI</v>
      </c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 t="str">
        <v>Monmouth Worship Ctr</v>
      </c>
      <c r="B23" s="13" t="str">
        <v>NJ</v>
      </c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 t="str">
        <v xml:space="preserve"> Audubon - Senior Citizens United</v>
      </c>
      <c r="B24" s="13" t="str">
        <v>NJ</v>
      </c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A323" s="8"/>
      <c r="B323" s="13"/>
      <c r="C323" s="8"/>
      <c r="D323" s="8"/>
      <c r="E323" s="8"/>
      <c r="F323" s="9"/>
      <c r="G323" s="8"/>
      <c r="H323" s="8"/>
      <c r="I323" s="9"/>
      <c r="J323" s="8"/>
      <c r="K323" s="8"/>
    </row>
    <row r="324" spans="1:11" ht="14.45">
      <c r="A324" s="8"/>
      <c r="B324" s="13"/>
      <c r="C324" s="8"/>
      <c r="D324" s="8"/>
      <c r="E324" s="8"/>
      <c r="F324" s="9"/>
      <c r="G324" s="8"/>
      <c r="H324" s="8"/>
      <c r="I324" s="9"/>
      <c r="J324" s="8"/>
      <c r="K324" s="8"/>
    </row>
    <row r="325" spans="1:11" ht="14.45">
      <c r="A325" s="8"/>
      <c r="B325" s="13"/>
      <c r="C325" s="8"/>
      <c r="D325" s="8"/>
      <c r="E325" s="8"/>
      <c r="F325" s="9"/>
      <c r="G325" s="8"/>
      <c r="H325" s="8"/>
      <c r="I325" s="9"/>
      <c r="J325" s="8"/>
      <c r="K325" s="8"/>
    </row>
    <row r="326" spans="1:11" ht="14.45">
      <c r="A326" s="8"/>
      <c r="B326" s="13"/>
      <c r="C326" s="8"/>
      <c r="D326" s="8"/>
      <c r="E326" s="8"/>
      <c r="F326" s="9"/>
      <c r="G326" s="8"/>
      <c r="H326" s="8"/>
      <c r="I326" s="9"/>
      <c r="J326" s="8"/>
      <c r="K326" s="8"/>
    </row>
    <row r="327" spans="1:11" ht="14.45">
      <c r="C327" s="8"/>
      <c r="D327" s="8"/>
      <c r="E327" s="8"/>
      <c r="F327" s="9"/>
      <c r="G327" s="8"/>
      <c r="H327" s="8"/>
      <c r="I327" s="9"/>
      <c r="J327" s="8"/>
      <c r="K327" s="8"/>
    </row>
  </sheetData>
  <sortState xmlns:xlrd2="http://schemas.microsoft.com/office/spreadsheetml/2017/richdata2" ref="A3:K12">
    <sortCondition ref="A3:A12"/>
  </sortState>
  <mergeCells count="4">
    <mergeCell ref="G1:I1"/>
    <mergeCell ref="A1:C1"/>
    <mergeCell ref="D1:F1"/>
    <mergeCell ref="A2:B2"/>
  </mergeCells>
  <conditionalFormatting sqref="F2 I2 F4:F85 I4:I85">
    <cfRule type="cellIs" dxfId="14" priority="5" stopIfTrue="1" operator="lessThanOrEqual">
      <formula>-0.1</formula>
    </cfRule>
    <cfRule type="expression" dxfId="13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7"/>
  <sheetViews>
    <sheetView zoomScale="90" zoomScaleNormal="90" workbookViewId="0">
      <pane xSplit="2" ySplit="3" topLeftCell="C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6" t="str" cm="1">
        <f t="array" ref="A1">portfolio</f>
        <v>Clean Capital</v>
      </c>
      <c r="B1" s="86"/>
      <c r="C1" s="86"/>
      <c r="D1" s="87" t="s">
        <v>89</v>
      </c>
      <c r="E1" s="87"/>
      <c r="F1" s="87"/>
      <c r="G1" s="85" t="s">
        <v>90</v>
      </c>
      <c r="H1" s="85"/>
      <c r="I1" s="85"/>
      <c r="J1" s="4"/>
      <c r="K1" s="4"/>
    </row>
    <row r="2" spans="1:11" ht="19.5" customHeight="1">
      <c r="A2" s="88" t="s">
        <v>2</v>
      </c>
      <c r="B2" s="88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11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42</v>
      </c>
      <c r="K3" s="10" t="s">
        <v>21</v>
      </c>
    </row>
    <row r="4" spans="1:11" ht="15.6">
      <c r="A4" s="39" t="str" cm="1">
        <f t="array" ref="A4:A24">Sites[Site]</f>
        <v>Lexington - Cotting School</v>
      </c>
      <c r="B4" s="40" t="str" cm="1">
        <f t="array" ref="B4:B24">Sites[State]</f>
        <v>MA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49"/>
      <c r="K4" s="49"/>
    </row>
    <row r="5" spans="1:11" ht="15.6">
      <c r="A5" s="41" t="str">
        <v>Pacoima - Whiteman Airport</v>
      </c>
      <c r="B5" s="42" t="str">
        <v>CA</v>
      </c>
      <c r="C5" s="35"/>
      <c r="D5" s="36"/>
      <c r="E5" s="36" t="str">
        <f t="shared" ref="E5:E12" si="0">IF(AND(ISNUMBER(C5),ISNUMBER(D5)), C5-D5, "")</f>
        <v/>
      </c>
      <c r="F5" s="37" t="str">
        <f>IFERROR(E5/D5, "")</f>
        <v/>
      </c>
      <c r="G5" s="38"/>
      <c r="H5" s="38" t="str">
        <f t="shared" ref="H5:H12" si="1">IF(AND(ISNUMBER(C5),ISNUMBER(G5)), C5-G5, "")</f>
        <v/>
      </c>
      <c r="I5" s="37" t="str">
        <f t="shared" ref="I5:I12" si="2">IFERROR(H5/G5, "")</f>
        <v/>
      </c>
      <c r="J5" s="50"/>
      <c r="K5" s="60"/>
    </row>
    <row r="6" spans="1:11" ht="15.6">
      <c r="A6" s="43" t="str">
        <v>Hyannis - Sturgis Charter School</v>
      </c>
      <c r="B6" s="40" t="str">
        <v>MA</v>
      </c>
      <c r="C6" s="28"/>
      <c r="D6" s="29"/>
      <c r="E6" s="29" t="str">
        <f t="shared" si="0"/>
        <v/>
      </c>
      <c r="F6" s="30" t="str">
        <f t="shared" ref="F6:F12" si="3">IFERROR(E6/D6, "")</f>
        <v/>
      </c>
      <c r="G6" s="31"/>
      <c r="H6" s="31" t="str">
        <f t="shared" si="1"/>
        <v/>
      </c>
      <c r="I6" s="32" t="str">
        <f t="shared" si="2"/>
        <v/>
      </c>
      <c r="J6" s="49"/>
      <c r="K6" s="49"/>
    </row>
    <row r="7" spans="1:11" ht="15.6">
      <c r="A7" s="41" t="str">
        <v>South Dennis - Tony Kent Arena</v>
      </c>
      <c r="B7" s="42" t="str">
        <v>MA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50"/>
      <c r="K7" s="50"/>
    </row>
    <row r="8" spans="1:11" ht="15.6">
      <c r="A8" s="43" t="str">
        <v xml:space="preserve"> Caropolis - Felician Sisters</v>
      </c>
      <c r="B8" s="40" t="str">
        <v>PA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49"/>
      <c r="K8" s="49"/>
    </row>
    <row r="9" spans="1:11" ht="15.6">
      <c r="A9" s="41" t="str">
        <v>Clear Lake - Eastlake Gohman</v>
      </c>
      <c r="B9" s="42" t="str">
        <v>MN</v>
      </c>
      <c r="C9" s="35"/>
      <c r="D9" s="36"/>
      <c r="E9" s="36" t="str">
        <f t="shared" si="0"/>
        <v/>
      </c>
      <c r="F9" s="37" t="str">
        <f t="shared" si="3"/>
        <v/>
      </c>
      <c r="G9" s="38"/>
      <c r="H9" s="38" t="str">
        <f t="shared" si="1"/>
        <v/>
      </c>
      <c r="I9" s="37" t="str">
        <f t="shared" si="2"/>
        <v/>
      </c>
      <c r="J9" s="50"/>
      <c r="K9" s="51"/>
    </row>
    <row r="10" spans="1:11" ht="15.6">
      <c r="A10" s="43" t="str">
        <v>Zumbrota - Eastlake Brenda Luhman</v>
      </c>
      <c r="B10" s="40" t="str">
        <v>MN</v>
      </c>
      <c r="C10" s="28"/>
      <c r="D10" s="29"/>
      <c r="E10" s="29" t="str">
        <f t="shared" si="0"/>
        <v/>
      </c>
      <c r="F10" s="30" t="str">
        <f t="shared" si="3"/>
        <v/>
      </c>
      <c r="G10" s="31"/>
      <c r="H10" s="31" t="str">
        <f t="shared" si="1"/>
        <v/>
      </c>
      <c r="I10" s="32" t="str">
        <f t="shared" si="2"/>
        <v/>
      </c>
      <c r="J10" s="49"/>
      <c r="K10" s="49"/>
    </row>
    <row r="11" spans="1:11" ht="15.6">
      <c r="A11" s="41" t="str">
        <v>Cokato - Eastlake Carlson</v>
      </c>
      <c r="B11" s="42" t="str">
        <v>MN</v>
      </c>
      <c r="C11" s="35"/>
      <c r="D11" s="36"/>
      <c r="E11" s="36" t="str">
        <f t="shared" si="0"/>
        <v/>
      </c>
      <c r="F11" s="37" t="str">
        <f t="shared" si="3"/>
        <v/>
      </c>
      <c r="G11" s="38"/>
      <c r="H11" s="38" t="str">
        <f t="shared" si="1"/>
        <v/>
      </c>
      <c r="I11" s="37" t="str">
        <f t="shared" si="2"/>
        <v/>
      </c>
      <c r="J11" s="50"/>
      <c r="K11" s="51"/>
    </row>
    <row r="12" spans="1:11" ht="15.6">
      <c r="A12" s="43" t="str">
        <v>North Branch - Cornille 2</v>
      </c>
      <c r="B12" s="40" t="str">
        <v>MN</v>
      </c>
      <c r="C12" s="28"/>
      <c r="D12" s="29"/>
      <c r="E12" s="29" t="str">
        <f t="shared" si="0"/>
        <v/>
      </c>
      <c r="F12" s="30" t="str">
        <f t="shared" si="3"/>
        <v/>
      </c>
      <c r="G12" s="31"/>
      <c r="H12" s="31" t="str">
        <f t="shared" si="1"/>
        <v/>
      </c>
      <c r="I12" s="32" t="str">
        <f t="shared" si="2"/>
        <v/>
      </c>
      <c r="J12" s="49"/>
      <c r="K12" s="49"/>
    </row>
    <row r="13" spans="1:11" ht="14.45">
      <c r="A13" s="8" t="str">
        <v>Clear Lake - Eastlake Hammer</v>
      </c>
      <c r="B13" s="13" t="str">
        <v>MN</v>
      </c>
      <c r="C13" s="8"/>
      <c r="D13" s="8"/>
      <c r="E13" s="8"/>
      <c r="F13" s="8"/>
      <c r="G13" s="8"/>
      <c r="H13" s="8"/>
      <c r="I13" s="8"/>
      <c r="J13" s="8"/>
      <c r="K13" s="8"/>
    </row>
    <row r="14" spans="1:11" ht="14.45">
      <c r="A14" s="8" t="str">
        <v>Eastlake - Hertzberg CSG 1</v>
      </c>
      <c r="B14" s="13" t="str">
        <v>MN</v>
      </c>
      <c r="C14" s="8"/>
      <c r="D14" s="8"/>
      <c r="E14" s="8"/>
      <c r="F14" s="8"/>
      <c r="G14" s="8"/>
      <c r="H14" s="8"/>
      <c r="I14" s="8"/>
      <c r="J14" s="8"/>
      <c r="K14" s="8"/>
    </row>
    <row r="15" spans="1:11" ht="14.45">
      <c r="A15" s="8" t="str">
        <v>Cokato - Eastlake Laurel Village</v>
      </c>
      <c r="B15" s="13" t="str">
        <v>MN</v>
      </c>
      <c r="C15" s="8"/>
      <c r="D15" s="8"/>
      <c r="E15" s="8"/>
      <c r="F15" s="8"/>
      <c r="G15" s="8"/>
      <c r="H15" s="8"/>
      <c r="I15" s="8"/>
      <c r="J15" s="8"/>
      <c r="K15" s="8"/>
    </row>
    <row r="16" spans="1:11" ht="14.45">
      <c r="A16" s="8" t="str">
        <v>St. Peter - Eastlake Paulson</v>
      </c>
      <c r="B16" s="13" t="str">
        <v>MN</v>
      </c>
      <c r="C16" s="8"/>
      <c r="D16" s="8"/>
      <c r="E16" s="8"/>
      <c r="F16" s="8"/>
      <c r="G16" s="8"/>
      <c r="H16" s="8"/>
      <c r="I16" s="8"/>
      <c r="J16" s="8"/>
      <c r="K16" s="8"/>
    </row>
    <row r="17" spans="1:11" ht="14.45">
      <c r="A17" s="8" t="str">
        <v>Felician Sisters Convent</v>
      </c>
      <c r="B17" s="13" t="str">
        <v>NJ</v>
      </c>
      <c r="C17" s="8"/>
      <c r="D17" s="8"/>
      <c r="E17" s="8"/>
      <c r="F17" s="8"/>
      <c r="G17" s="8"/>
      <c r="H17" s="8"/>
      <c r="I17" s="8"/>
      <c r="J17" s="8"/>
      <c r="K17" s="8"/>
    </row>
    <row r="18" spans="1:11" ht="14.45">
      <c r="A18" s="8" t="str">
        <v>Sussex County Fairgrounds</v>
      </c>
      <c r="B18" s="13" t="str">
        <v>NJ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 t="str">
        <v>Gateway Church</v>
      </c>
      <c r="B19" s="13" t="str">
        <v>NJ</v>
      </c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 t="str">
        <v>Beaver Falls - Felician Sisters</v>
      </c>
      <c r="B20" s="13" t="str">
        <v>PA</v>
      </c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 t="str">
        <v>Livonia - Felician Sisters Ground</v>
      </c>
      <c r="B21" s="13" t="str">
        <v>MI</v>
      </c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 t="str">
        <v>Livonia - Felician Sisters Roof</v>
      </c>
      <c r="B22" s="13" t="str">
        <v>MI</v>
      </c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 t="str">
        <v>Monmouth Worship Ctr</v>
      </c>
      <c r="B23" s="13" t="str">
        <v>NJ</v>
      </c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 t="str">
        <v xml:space="preserve"> Audubon - Senior Citizens United</v>
      </c>
      <c r="B24" s="13" t="str">
        <v>NJ</v>
      </c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A323" s="8"/>
      <c r="B323" s="13"/>
      <c r="C323" s="8"/>
      <c r="D323" s="8"/>
      <c r="E323" s="8"/>
      <c r="F323" s="9"/>
      <c r="G323" s="8"/>
      <c r="H323" s="8"/>
      <c r="I323" s="9"/>
      <c r="J323" s="8"/>
      <c r="K323" s="8"/>
    </row>
    <row r="324" spans="1:11" ht="14.45">
      <c r="A324" s="8"/>
      <c r="B324" s="13"/>
      <c r="C324" s="8"/>
      <c r="D324" s="8"/>
      <c r="E324" s="8"/>
      <c r="F324" s="9"/>
      <c r="G324" s="8"/>
      <c r="H324" s="8"/>
      <c r="I324" s="9"/>
      <c r="J324" s="8"/>
      <c r="K324" s="8"/>
    </row>
    <row r="325" spans="1:11" ht="14.45">
      <c r="A325" s="8"/>
      <c r="B325" s="13"/>
      <c r="C325" s="8"/>
      <c r="D325" s="8"/>
      <c r="E325" s="8"/>
      <c r="F325" s="9"/>
      <c r="G325" s="8"/>
      <c r="H325" s="8"/>
      <c r="I325" s="9"/>
      <c r="J325" s="8"/>
      <c r="K325" s="8"/>
    </row>
    <row r="326" spans="1:11" ht="14.45">
      <c r="A326" s="8"/>
      <c r="B326" s="13"/>
      <c r="C326" s="8"/>
      <c r="D326" s="8"/>
      <c r="E326" s="8"/>
      <c r="F326" s="9"/>
      <c r="G326" s="8"/>
      <c r="H326" s="8"/>
      <c r="I326" s="9"/>
      <c r="J326" s="8"/>
      <c r="K326" s="8"/>
    </row>
    <row r="327" spans="1:11" ht="14.45">
      <c r="C327" s="8"/>
      <c r="D327" s="8"/>
      <c r="E327" s="8"/>
      <c r="F327" s="9"/>
      <c r="G327" s="8"/>
      <c r="H327" s="8"/>
      <c r="I327" s="9"/>
      <c r="J327" s="8"/>
      <c r="K327" s="8"/>
    </row>
  </sheetData>
  <mergeCells count="4">
    <mergeCell ref="G1:I1"/>
    <mergeCell ref="A1:C1"/>
    <mergeCell ref="D1:F1"/>
    <mergeCell ref="A2:B2"/>
  </mergeCells>
  <conditionalFormatting sqref="F2 I2 F4:F85 I4:I85">
    <cfRule type="cellIs" dxfId="12" priority="5" stopIfTrue="1" operator="lessThanOrEqual">
      <formula>-0.1</formula>
    </cfRule>
    <cfRule type="expression" dxfId="11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6"/>
  <sheetViews>
    <sheetView zoomScale="70" zoomScaleNormal="70" workbookViewId="0">
      <pane xSplit="2" ySplit="3" topLeftCell="C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6" t="str" cm="1">
        <f t="array" ref="A1">portfolio</f>
        <v>Clean Capital</v>
      </c>
      <c r="B1" s="86"/>
      <c r="C1" s="86"/>
      <c r="D1" s="87" t="s">
        <v>91</v>
      </c>
      <c r="E1" s="87"/>
      <c r="F1" s="87"/>
      <c r="G1" s="85" t="s">
        <v>92</v>
      </c>
      <c r="H1" s="85"/>
      <c r="I1" s="85"/>
      <c r="J1" s="4"/>
      <c r="K1" s="4"/>
    </row>
    <row r="2" spans="1:11" ht="19.5" customHeight="1">
      <c r="A2" s="88" t="s">
        <v>2</v>
      </c>
      <c r="B2" s="88"/>
      <c r="C2" s="5">
        <f>SUM(C4:C84)</f>
        <v>0</v>
      </c>
      <c r="D2" s="5">
        <f>SUM(D4:D84)</f>
        <v>0</v>
      </c>
      <c r="E2" s="5">
        <f>C2-D2</f>
        <v>0</v>
      </c>
      <c r="F2" s="6">
        <f>IFERROR(E2/D2, 0)</f>
        <v>0</v>
      </c>
      <c r="G2" s="5">
        <f>SUM(G4:G84)</f>
        <v>0</v>
      </c>
      <c r="H2" s="7">
        <f>C2-G2</f>
        <v>0</v>
      </c>
      <c r="I2" s="6">
        <f>IFERROR(H2/G2, 0)</f>
        <v>0</v>
      </c>
      <c r="J2" s="11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42</v>
      </c>
      <c r="K3" s="10" t="s">
        <v>21</v>
      </c>
    </row>
    <row r="4" spans="1:11" ht="15.6">
      <c r="A4" s="39" t="str" cm="1">
        <f t="array" ref="A4:A24">Sites[Site]</f>
        <v>Lexington - Cotting School</v>
      </c>
      <c r="B4" s="40" t="str" cm="1">
        <f t="array" ref="B4:B24">Sites[State]</f>
        <v>MA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49"/>
      <c r="K4" s="49"/>
    </row>
    <row r="5" spans="1:11" ht="15.6">
      <c r="A5" s="41" t="str">
        <v>Pacoima - Whiteman Airport</v>
      </c>
      <c r="B5" s="42" t="str">
        <v>CA</v>
      </c>
      <c r="C5" s="61"/>
      <c r="D5" s="36"/>
      <c r="E5" s="36" t="str">
        <f t="shared" ref="E5:E12" si="0">IF(AND(ISNUMBER(C5),ISNUMBER(D5)), C5-D5, "")</f>
        <v/>
      </c>
      <c r="F5" s="37" t="str">
        <f>IFERROR(E5/D5, "")</f>
        <v/>
      </c>
      <c r="G5" s="38"/>
      <c r="H5" s="38" t="str">
        <f t="shared" ref="H5:H12" si="1">IF(AND(ISNUMBER(C5),ISNUMBER(G5)), C5-G5, "")</f>
        <v/>
      </c>
      <c r="I5" s="37" t="str">
        <f t="shared" ref="I5:I12" si="2">IFERROR(H5/G5, "")</f>
        <v/>
      </c>
      <c r="J5" s="50"/>
      <c r="K5" s="60"/>
    </row>
    <row r="6" spans="1:11" ht="15.6">
      <c r="A6" s="43" t="str">
        <v>Hyannis - Sturgis Charter School</v>
      </c>
      <c r="B6" s="40" t="str">
        <v>MA</v>
      </c>
      <c r="C6" s="28"/>
      <c r="D6" s="29"/>
      <c r="E6" s="29" t="str">
        <f t="shared" si="0"/>
        <v/>
      </c>
      <c r="F6" s="30" t="str">
        <f t="shared" ref="F6:F12" si="3">IFERROR(E6/D6, "")</f>
        <v/>
      </c>
      <c r="G6" s="31"/>
      <c r="H6" s="31" t="str">
        <f t="shared" si="1"/>
        <v/>
      </c>
      <c r="I6" s="32" t="str">
        <f t="shared" si="2"/>
        <v/>
      </c>
      <c r="J6" s="49"/>
      <c r="K6" s="49"/>
    </row>
    <row r="7" spans="1:11" ht="15.6">
      <c r="A7" s="41" t="str">
        <v>South Dennis - Tony Kent Arena</v>
      </c>
      <c r="B7" s="42" t="str">
        <v>MA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50"/>
      <c r="K7" s="51"/>
    </row>
    <row r="8" spans="1:11" ht="15.6">
      <c r="A8" s="43" t="str">
        <v xml:space="preserve"> Caropolis - Felician Sisters</v>
      </c>
      <c r="B8" s="40" t="str">
        <v>PA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49"/>
      <c r="K8" s="49"/>
    </row>
    <row r="9" spans="1:11" ht="15.6">
      <c r="A9" s="41" t="str">
        <v>Clear Lake - Eastlake Gohman</v>
      </c>
      <c r="B9" s="42" t="str">
        <v>MN</v>
      </c>
      <c r="C9" s="35"/>
      <c r="D9" s="36"/>
      <c r="E9" s="36" t="str">
        <f t="shared" si="0"/>
        <v/>
      </c>
      <c r="F9" s="37" t="str">
        <f t="shared" si="3"/>
        <v/>
      </c>
      <c r="G9" s="38"/>
      <c r="H9" s="38" t="str">
        <f t="shared" si="1"/>
        <v/>
      </c>
      <c r="I9" s="37" t="str">
        <f t="shared" si="2"/>
        <v/>
      </c>
      <c r="J9" s="50"/>
      <c r="K9" s="51"/>
    </row>
    <row r="10" spans="1:11" ht="15.6">
      <c r="A10" s="43" t="str">
        <v>Zumbrota - Eastlake Brenda Luhman</v>
      </c>
      <c r="B10" s="40" t="str">
        <v>MN</v>
      </c>
      <c r="C10" s="28"/>
      <c r="D10" s="29"/>
      <c r="E10" s="29" t="str">
        <f t="shared" si="0"/>
        <v/>
      </c>
      <c r="F10" s="30" t="str">
        <f t="shared" si="3"/>
        <v/>
      </c>
      <c r="G10" s="31"/>
      <c r="H10" s="31" t="str">
        <f t="shared" si="1"/>
        <v/>
      </c>
      <c r="I10" s="32" t="str">
        <f t="shared" si="2"/>
        <v/>
      </c>
      <c r="J10" s="49"/>
      <c r="K10" s="49"/>
    </row>
    <row r="11" spans="1:11" ht="15.6">
      <c r="A11" s="41" t="str">
        <v>Cokato - Eastlake Carlson</v>
      </c>
      <c r="B11" s="42" t="str">
        <v>MN</v>
      </c>
      <c r="C11" s="35"/>
      <c r="D11" s="36"/>
      <c r="E11" s="36" t="str">
        <f t="shared" si="0"/>
        <v/>
      </c>
      <c r="F11" s="37" t="str">
        <f t="shared" si="3"/>
        <v/>
      </c>
      <c r="G11" s="38"/>
      <c r="H11" s="38" t="str">
        <f t="shared" si="1"/>
        <v/>
      </c>
      <c r="I11" s="37" t="str">
        <f>IFERROR(H11/G11, "")</f>
        <v/>
      </c>
      <c r="J11" s="50"/>
      <c r="K11" s="51"/>
    </row>
    <row r="12" spans="1:11" ht="15.6">
      <c r="A12" s="43" t="str">
        <v>North Branch - Cornille 2</v>
      </c>
      <c r="B12" s="40" t="str">
        <v>MN</v>
      </c>
      <c r="C12" s="28"/>
      <c r="D12" s="29"/>
      <c r="E12" s="29" t="str">
        <f t="shared" si="0"/>
        <v/>
      </c>
      <c r="F12" s="30" t="str">
        <f t="shared" si="3"/>
        <v/>
      </c>
      <c r="G12" s="31"/>
      <c r="H12" s="31" t="str">
        <f t="shared" si="1"/>
        <v/>
      </c>
      <c r="I12" s="32" t="str">
        <f t="shared" si="2"/>
        <v/>
      </c>
      <c r="J12" s="49"/>
      <c r="K12" s="49"/>
    </row>
    <row r="13" spans="1:11" ht="14.45">
      <c r="A13" s="8" t="str">
        <v>Clear Lake - Eastlake Hammer</v>
      </c>
      <c r="B13" s="13" t="str">
        <v>MN</v>
      </c>
      <c r="C13" s="8"/>
      <c r="D13" s="8"/>
      <c r="E13" s="8"/>
      <c r="F13" s="8"/>
      <c r="G13" s="8"/>
      <c r="H13" s="8"/>
      <c r="I13" s="8"/>
      <c r="J13" s="8"/>
      <c r="K13" s="8"/>
    </row>
    <row r="14" spans="1:11" ht="14.45">
      <c r="A14" s="8" t="str">
        <v>Eastlake - Hertzberg CSG 1</v>
      </c>
      <c r="B14" s="13" t="str">
        <v>MN</v>
      </c>
      <c r="C14" s="8"/>
      <c r="D14" s="8"/>
      <c r="E14" s="8"/>
      <c r="F14" s="8"/>
      <c r="G14" s="8"/>
      <c r="H14" s="8"/>
      <c r="I14" s="8"/>
      <c r="J14" s="8"/>
      <c r="K14" s="8"/>
    </row>
    <row r="15" spans="1:11" ht="14.45">
      <c r="A15" s="8" t="str">
        <v>Cokato - Eastlake Laurel Village</v>
      </c>
      <c r="B15" s="13" t="str">
        <v>MN</v>
      </c>
      <c r="C15" s="8"/>
      <c r="D15" s="8"/>
      <c r="E15" s="8"/>
      <c r="F15" s="8"/>
      <c r="G15" s="8"/>
      <c r="H15" s="8"/>
      <c r="I15" s="8"/>
      <c r="J15" s="8"/>
      <c r="K15" s="8"/>
    </row>
    <row r="16" spans="1:11" ht="14.45">
      <c r="A16" s="8" t="str">
        <v>St. Peter - Eastlake Paulson</v>
      </c>
      <c r="B16" s="13" t="str">
        <v>MN</v>
      </c>
      <c r="C16" s="8"/>
      <c r="D16" s="8"/>
      <c r="E16" s="8"/>
      <c r="F16" s="8"/>
      <c r="G16" s="8"/>
      <c r="H16" s="8"/>
      <c r="I16" s="8"/>
      <c r="J16" s="8"/>
      <c r="K16" s="8"/>
    </row>
    <row r="17" spans="1:11" ht="14.45">
      <c r="A17" s="8" t="str">
        <v>Felician Sisters Convent</v>
      </c>
      <c r="B17" s="13" t="str">
        <v>NJ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Sussex County Fairgrounds</v>
      </c>
      <c r="B18" s="13" t="str">
        <v>NJ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 t="str">
        <v>Gateway Church</v>
      </c>
      <c r="B19" s="13" t="str">
        <v>NJ</v>
      </c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 t="str">
        <v>Beaver Falls - Felician Sisters</v>
      </c>
      <c r="B20" s="13" t="str">
        <v>PA</v>
      </c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 t="str">
        <v>Livonia - Felician Sisters Ground</v>
      </c>
      <c r="B21" s="13" t="str">
        <v>MI</v>
      </c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 t="str">
        <v>Livonia - Felician Sisters Roof</v>
      </c>
      <c r="B22" s="13" t="str">
        <v>MI</v>
      </c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 t="str">
        <v>Monmouth Worship Ctr</v>
      </c>
      <c r="B23" s="13" t="str">
        <v>NJ</v>
      </c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 t="str">
        <v xml:space="preserve"> Audubon - Senior Citizens United</v>
      </c>
      <c r="B24" s="13" t="str">
        <v>NJ</v>
      </c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A323" s="8"/>
      <c r="B323" s="13"/>
      <c r="C323" s="8"/>
      <c r="D323" s="8"/>
      <c r="E323" s="8"/>
      <c r="F323" s="9"/>
      <c r="G323" s="8"/>
      <c r="H323" s="8"/>
      <c r="I323" s="9"/>
      <c r="J323" s="8"/>
      <c r="K323" s="8"/>
    </row>
    <row r="324" spans="1:11" ht="14.45">
      <c r="A324" s="8"/>
      <c r="B324" s="13"/>
      <c r="C324" s="8"/>
      <c r="D324" s="8"/>
      <c r="E324" s="8"/>
      <c r="F324" s="9"/>
      <c r="G324" s="8"/>
      <c r="H324" s="8"/>
      <c r="I324" s="9"/>
      <c r="J324" s="8"/>
      <c r="K324" s="8"/>
    </row>
    <row r="325" spans="1:11" ht="14.45">
      <c r="A325" s="8"/>
      <c r="B325" s="13"/>
      <c r="C325" s="8"/>
      <c r="D325" s="8"/>
      <c r="E325" s="8"/>
      <c r="F325" s="9"/>
      <c r="G325" s="8"/>
      <c r="H325" s="8"/>
      <c r="I325" s="9"/>
      <c r="J325" s="8"/>
      <c r="K325" s="8"/>
    </row>
    <row r="326" spans="1:11" ht="14.45">
      <c r="C326" s="8"/>
      <c r="D326" s="8"/>
      <c r="E326" s="8"/>
      <c r="F326" s="9"/>
      <c r="G326" s="8"/>
      <c r="H326" s="8"/>
      <c r="I326" s="9"/>
      <c r="J326" s="8"/>
      <c r="K326" s="8"/>
    </row>
  </sheetData>
  <mergeCells count="4">
    <mergeCell ref="G1:I1"/>
    <mergeCell ref="A1:C1"/>
    <mergeCell ref="D1:F1"/>
    <mergeCell ref="A2:B2"/>
  </mergeCells>
  <conditionalFormatting sqref="F2 I2 F4:F84 I4:I84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6"/>
  <sheetViews>
    <sheetView zoomScale="80" zoomScaleNormal="80" workbookViewId="0">
      <pane xSplit="2" ySplit="3" topLeftCell="C6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customWidth="1"/>
    <col min="11" max="11" width="20.5703125" bestFit="1" customWidth="1"/>
  </cols>
  <sheetData>
    <row r="1" spans="1:11" ht="19.5" customHeight="1">
      <c r="A1" s="86" t="str" cm="1">
        <f t="array" ref="A1">portfolio</f>
        <v>Clean Capital</v>
      </c>
      <c r="B1" s="86"/>
      <c r="C1" s="86"/>
      <c r="D1" s="87" t="s">
        <v>93</v>
      </c>
      <c r="E1" s="87"/>
      <c r="F1" s="87"/>
      <c r="G1" s="85" t="s">
        <v>94</v>
      </c>
      <c r="H1" s="85"/>
      <c r="I1" s="85"/>
      <c r="J1" s="4"/>
      <c r="K1" s="4"/>
    </row>
    <row r="2" spans="1:11" ht="19.5" customHeight="1">
      <c r="A2" s="88" t="s">
        <v>2</v>
      </c>
      <c r="B2" s="88"/>
      <c r="C2" s="5">
        <f>SUM(C4:C84)</f>
        <v>0</v>
      </c>
      <c r="D2" s="5">
        <f>SUM(D4:D84)</f>
        <v>0</v>
      </c>
      <c r="E2" s="5">
        <f>C2-D2</f>
        <v>0</v>
      </c>
      <c r="F2" s="6">
        <f>IFERROR(E2/D2, 0)</f>
        <v>0</v>
      </c>
      <c r="G2" s="5">
        <f>SUM(G4:G84)</f>
        <v>0</v>
      </c>
      <c r="H2" s="7">
        <f>C2-G2</f>
        <v>0</v>
      </c>
      <c r="I2" s="6">
        <f>IFERROR(H2/G2, 0)</f>
        <v>0</v>
      </c>
      <c r="J2" s="11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42</v>
      </c>
      <c r="K3" s="10" t="s">
        <v>21</v>
      </c>
    </row>
    <row r="4" spans="1:11" ht="15.6">
      <c r="A4" s="39" t="str" cm="1">
        <f t="array" ref="A4:A24">Sites[Site]</f>
        <v>Lexington - Cotting School</v>
      </c>
      <c r="B4" s="40" t="str" cm="1">
        <f t="array" ref="B4:B24">Sites[State]</f>
        <v>MA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62"/>
      <c r="K4" s="62"/>
    </row>
    <row r="5" spans="1:11" ht="84" customHeight="1">
      <c r="A5" s="41" t="str">
        <v>Pacoima - Whiteman Airport</v>
      </c>
      <c r="B5" s="42" t="str">
        <v>CA</v>
      </c>
      <c r="C5" s="35"/>
      <c r="D5" s="36"/>
      <c r="E5" s="36" t="str">
        <f t="shared" ref="E5:E12" si="0">IF(AND(ISNUMBER(C5),ISNUMBER(D5)), C5-D5, "")</f>
        <v/>
      </c>
      <c r="F5" s="37" t="str">
        <f>IFERROR(E5/D5, "")</f>
        <v/>
      </c>
      <c r="G5" s="38"/>
      <c r="H5" s="38" t="str">
        <f t="shared" ref="H5:H12" si="1">IF(AND(ISNUMBER(C5),ISNUMBER(G5)), C5-G5, "")</f>
        <v/>
      </c>
      <c r="I5" s="37" t="str">
        <f t="shared" ref="I5:I12" si="2">IFERROR(H5/G5, "")</f>
        <v/>
      </c>
      <c r="J5" s="60"/>
      <c r="K5" s="60"/>
    </row>
    <row r="6" spans="1:11" ht="15.6">
      <c r="A6" s="43" t="str">
        <v>Hyannis - Sturgis Charter School</v>
      </c>
      <c r="B6" s="40" t="str">
        <v>MA</v>
      </c>
      <c r="C6" s="28"/>
      <c r="D6" s="29"/>
      <c r="E6" s="29" t="str">
        <f t="shared" si="0"/>
        <v/>
      </c>
      <c r="F6" s="30" t="str">
        <f t="shared" ref="F6:F12" si="3">IFERROR(E6/D6, "")</f>
        <v/>
      </c>
      <c r="G6" s="31"/>
      <c r="H6" s="31" t="str">
        <f t="shared" si="1"/>
        <v/>
      </c>
      <c r="I6" s="32" t="str">
        <f t="shared" si="2"/>
        <v/>
      </c>
      <c r="J6" s="62"/>
      <c r="K6" s="62"/>
    </row>
    <row r="7" spans="1:11" ht="15.6">
      <c r="A7" s="41" t="str">
        <v>South Dennis - Tony Kent Arena</v>
      </c>
      <c r="B7" s="42" t="str">
        <v>MA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60"/>
      <c r="K7" s="59"/>
    </row>
    <row r="8" spans="1:11" ht="15.6">
      <c r="A8" s="43" t="str">
        <v xml:space="preserve"> Caropolis - Felician Sisters</v>
      </c>
      <c r="B8" s="40" t="str">
        <v>PA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62"/>
      <c r="K8" s="62"/>
    </row>
    <row r="9" spans="1:11" ht="15.6">
      <c r="A9" s="41" t="str">
        <v>Clear Lake - Eastlake Gohman</v>
      </c>
      <c r="B9" s="42" t="str">
        <v>MN</v>
      </c>
      <c r="C9" s="35"/>
      <c r="D9" s="36"/>
      <c r="E9" s="36" t="str">
        <f t="shared" si="0"/>
        <v/>
      </c>
      <c r="F9" s="37" t="str">
        <f t="shared" si="3"/>
        <v/>
      </c>
      <c r="G9" s="38"/>
      <c r="H9" s="38" t="str">
        <f t="shared" si="1"/>
        <v/>
      </c>
      <c r="I9" s="37" t="str">
        <f t="shared" si="2"/>
        <v/>
      </c>
      <c r="J9" s="60"/>
      <c r="K9" s="59"/>
    </row>
    <row r="10" spans="1:11" ht="15.6">
      <c r="A10" s="43" t="str">
        <v>Zumbrota - Eastlake Brenda Luhman</v>
      </c>
      <c r="B10" s="40" t="str">
        <v>MN</v>
      </c>
      <c r="C10" s="28"/>
      <c r="D10" s="29"/>
      <c r="E10" s="29" t="str">
        <f t="shared" si="0"/>
        <v/>
      </c>
      <c r="F10" s="30" t="str">
        <f t="shared" si="3"/>
        <v/>
      </c>
      <c r="G10" s="31"/>
      <c r="H10" s="31" t="str">
        <f t="shared" si="1"/>
        <v/>
      </c>
      <c r="I10" s="32" t="str">
        <f t="shared" si="2"/>
        <v/>
      </c>
      <c r="J10" s="62"/>
      <c r="K10" s="62"/>
    </row>
    <row r="11" spans="1:11" ht="15.6">
      <c r="A11" s="41" t="str">
        <v>Cokato - Eastlake Carlson</v>
      </c>
      <c r="B11" s="42" t="str">
        <v>MN</v>
      </c>
      <c r="C11" s="35"/>
      <c r="D11" s="36"/>
      <c r="E11" s="36" t="str">
        <f t="shared" si="0"/>
        <v/>
      </c>
      <c r="F11" s="37" t="str">
        <f t="shared" si="3"/>
        <v/>
      </c>
      <c r="G11" s="38"/>
      <c r="H11" s="38" t="str">
        <f t="shared" si="1"/>
        <v/>
      </c>
      <c r="I11" s="37" t="str">
        <f t="shared" si="2"/>
        <v/>
      </c>
      <c r="J11" s="60"/>
      <c r="K11" s="59"/>
    </row>
    <row r="12" spans="1:11" ht="51" customHeight="1">
      <c r="A12" s="43" t="str">
        <v>North Branch - Cornille 2</v>
      </c>
      <c r="B12" s="40" t="str">
        <v>MN</v>
      </c>
      <c r="C12" s="28"/>
      <c r="D12" s="29"/>
      <c r="E12" s="29" t="str">
        <f t="shared" si="0"/>
        <v/>
      </c>
      <c r="F12" s="30" t="str">
        <f t="shared" si="3"/>
        <v/>
      </c>
      <c r="G12" s="31"/>
      <c r="H12" s="31" t="str">
        <f t="shared" si="1"/>
        <v/>
      </c>
      <c r="I12" s="32" t="str">
        <f t="shared" si="2"/>
        <v/>
      </c>
      <c r="J12" s="62"/>
      <c r="K12" s="62"/>
    </row>
    <row r="13" spans="1:11" ht="14.45">
      <c r="A13" s="8" t="str">
        <v>Clear Lake - Eastlake Hammer</v>
      </c>
      <c r="B13" s="13" t="str">
        <v>MN</v>
      </c>
      <c r="C13" s="8"/>
      <c r="D13" s="8"/>
      <c r="E13" s="8"/>
      <c r="F13" s="8"/>
      <c r="G13" s="8"/>
      <c r="H13" s="8"/>
      <c r="I13" s="8"/>
      <c r="J13" s="8"/>
      <c r="K13" s="8"/>
    </row>
    <row r="14" spans="1:11" ht="14.45">
      <c r="A14" s="8" t="str">
        <v>Eastlake - Hertzberg CSG 1</v>
      </c>
      <c r="B14" s="13" t="str">
        <v>MN</v>
      </c>
      <c r="C14" s="8"/>
      <c r="D14" s="8"/>
      <c r="E14" s="8"/>
      <c r="F14" s="8"/>
      <c r="G14" s="8"/>
      <c r="H14" s="8"/>
      <c r="I14" s="8"/>
      <c r="J14" s="8"/>
      <c r="K14" s="8"/>
    </row>
    <row r="15" spans="1:11" ht="14.45">
      <c r="A15" s="8" t="str">
        <v>Cokato - Eastlake Laurel Village</v>
      </c>
      <c r="B15" s="13" t="str">
        <v>MN</v>
      </c>
      <c r="C15" s="8"/>
      <c r="D15" s="8"/>
      <c r="E15" s="8"/>
      <c r="F15" s="8"/>
      <c r="G15" s="8"/>
      <c r="H15" s="8"/>
      <c r="I15" s="8"/>
      <c r="J15" s="8"/>
      <c r="K15" s="8"/>
    </row>
    <row r="16" spans="1:11" ht="14.45">
      <c r="A16" s="8" t="str">
        <v>St. Peter - Eastlake Paulson</v>
      </c>
      <c r="B16" s="13" t="str">
        <v>MN</v>
      </c>
      <c r="C16" s="8"/>
      <c r="D16" s="8"/>
      <c r="E16" s="8"/>
      <c r="F16" s="8"/>
      <c r="G16" s="8"/>
      <c r="H16" s="8"/>
      <c r="I16" s="8"/>
      <c r="J16" s="8"/>
      <c r="K16" s="8"/>
    </row>
    <row r="17" spans="1:11" ht="14.45">
      <c r="A17" s="8" t="str">
        <v>Felician Sisters Convent</v>
      </c>
      <c r="B17" s="13" t="str">
        <v>NJ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Sussex County Fairgrounds</v>
      </c>
      <c r="B18" s="13" t="str">
        <v>NJ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 t="str">
        <v>Gateway Church</v>
      </c>
      <c r="B19" s="13" t="str">
        <v>NJ</v>
      </c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 t="str">
        <v>Beaver Falls - Felician Sisters</v>
      </c>
      <c r="B20" s="13" t="str">
        <v>PA</v>
      </c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 t="str">
        <v>Livonia - Felician Sisters Ground</v>
      </c>
      <c r="B21" s="13" t="str">
        <v>MI</v>
      </c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 t="str">
        <v>Livonia - Felician Sisters Roof</v>
      </c>
      <c r="B22" s="13" t="str">
        <v>MI</v>
      </c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 t="str">
        <v>Monmouth Worship Ctr</v>
      </c>
      <c r="B23" s="13" t="str">
        <v>NJ</v>
      </c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 t="str">
        <v xml:space="preserve"> Audubon - Senior Citizens United</v>
      </c>
      <c r="B24" s="13" t="str">
        <v>NJ</v>
      </c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A323" s="8"/>
      <c r="B323" s="13"/>
      <c r="C323" s="8"/>
      <c r="D323" s="8"/>
      <c r="E323" s="8"/>
      <c r="F323" s="9"/>
      <c r="G323" s="8"/>
      <c r="H323" s="8"/>
      <c r="I323" s="9"/>
      <c r="J323" s="8"/>
      <c r="K323" s="8"/>
    </row>
    <row r="324" spans="1:11" ht="14.45">
      <c r="A324" s="8"/>
      <c r="B324" s="13"/>
      <c r="C324" s="8"/>
      <c r="D324" s="8"/>
      <c r="E324" s="8"/>
      <c r="F324" s="9"/>
      <c r="G324" s="8"/>
      <c r="H324" s="8"/>
      <c r="I324" s="9"/>
      <c r="J324" s="8"/>
      <c r="K324" s="8"/>
    </row>
    <row r="325" spans="1:11" ht="14.45">
      <c r="A325" s="8"/>
      <c r="B325" s="13"/>
      <c r="C325" s="8"/>
      <c r="D325" s="8"/>
      <c r="E325" s="8"/>
      <c r="F325" s="9"/>
      <c r="G325" s="8"/>
      <c r="H325" s="8"/>
      <c r="I325" s="9"/>
      <c r="J325" s="8"/>
      <c r="K325" s="8"/>
    </row>
    <row r="326" spans="1:11" ht="14.45">
      <c r="C326" s="8"/>
      <c r="D326" s="8"/>
      <c r="E326" s="8"/>
      <c r="F326" s="9"/>
      <c r="G326" s="8"/>
      <c r="H326" s="8"/>
      <c r="I326" s="9"/>
      <c r="J326" s="8"/>
      <c r="K326" s="8"/>
    </row>
  </sheetData>
  <mergeCells count="4">
    <mergeCell ref="G1:I1"/>
    <mergeCell ref="A1:C1"/>
    <mergeCell ref="D1:F1"/>
    <mergeCell ref="A2:B2"/>
  </mergeCells>
  <conditionalFormatting sqref="F2 I2 F4:F84 I4:I84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6"/>
  <sheetViews>
    <sheetView workbookViewId="0">
      <pane xSplit="2" ySplit="3" topLeftCell="C4" activePane="bottomRight" state="frozen"/>
      <selection pane="bottomRight" activeCell="A13" sqref="A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6" t="str" cm="1">
        <f t="array" ref="A1">portfolio</f>
        <v>Clean Capital</v>
      </c>
      <c r="B1" s="86"/>
      <c r="C1" s="86"/>
      <c r="D1" s="87" t="s">
        <v>95</v>
      </c>
      <c r="E1" s="87"/>
      <c r="F1" s="87"/>
      <c r="G1" s="85" t="s">
        <v>96</v>
      </c>
      <c r="H1" s="85"/>
      <c r="I1" s="85"/>
      <c r="J1" s="4"/>
      <c r="K1" s="4"/>
    </row>
    <row r="2" spans="1:11" ht="19.5" customHeight="1">
      <c r="A2" s="88" t="s">
        <v>2</v>
      </c>
      <c r="B2" s="88"/>
      <c r="C2" s="5">
        <f>SUM(C4:C84)</f>
        <v>0</v>
      </c>
      <c r="D2" s="5">
        <f>SUM(D4:D84)</f>
        <v>0</v>
      </c>
      <c r="E2" s="5">
        <f>C2-D2</f>
        <v>0</v>
      </c>
      <c r="F2" s="6">
        <f>IFERROR(E2/D2, 0)</f>
        <v>0</v>
      </c>
      <c r="G2" s="5">
        <f>SUM(G4:G84)</f>
        <v>0</v>
      </c>
      <c r="H2" s="7">
        <f>C2-G2</f>
        <v>0</v>
      </c>
      <c r="I2" s="6">
        <f>IFERROR(H2/G2, 0)</f>
        <v>0</v>
      </c>
      <c r="J2" s="11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42</v>
      </c>
      <c r="K3" s="10" t="s">
        <v>21</v>
      </c>
    </row>
    <row r="4" spans="1:11" ht="15.6">
      <c r="A4" s="39" t="str" cm="1">
        <f t="array" ref="A4:A24">Sites[Site]</f>
        <v>Lexington - Cotting School</v>
      </c>
      <c r="B4" s="40" t="str" cm="1">
        <f t="array" ref="B4:B24">Sites[State]</f>
        <v>MA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62"/>
      <c r="K4" s="62"/>
    </row>
    <row r="5" spans="1:11" ht="15.6">
      <c r="A5" s="41" t="str">
        <v>Pacoima - Whiteman Airport</v>
      </c>
      <c r="B5" s="42" t="str">
        <v>CA</v>
      </c>
      <c r="C5" s="35"/>
      <c r="D5" s="36"/>
      <c r="E5" s="36" t="str">
        <f t="shared" ref="E5:E12" si="0">IF(AND(ISNUMBER(C5),ISNUMBER(D5)), C5-D5, "")</f>
        <v/>
      </c>
      <c r="F5" s="37" t="str">
        <f>IFERROR(E5/D5, "")</f>
        <v/>
      </c>
      <c r="G5" s="38"/>
      <c r="H5" s="38" t="str">
        <f t="shared" ref="H5:H12" si="1">IF(AND(ISNUMBER(C5),ISNUMBER(G5)), C5-G5, "")</f>
        <v/>
      </c>
      <c r="I5" s="37" t="str">
        <f t="shared" ref="I5:I12" si="2">IFERROR(H5/G5, "")</f>
        <v/>
      </c>
      <c r="J5" s="60"/>
      <c r="K5" s="60"/>
    </row>
    <row r="6" spans="1:11" ht="49.5" customHeight="1">
      <c r="A6" s="43" t="str">
        <v>Hyannis - Sturgis Charter School</v>
      </c>
      <c r="B6" s="40" t="str">
        <v>MA</v>
      </c>
      <c r="C6" s="28"/>
      <c r="D6" s="29"/>
      <c r="E6" s="29" t="str">
        <f t="shared" si="0"/>
        <v/>
      </c>
      <c r="F6" s="30" t="str">
        <f t="shared" ref="F6:F12" si="3">IFERROR(E6/D6, "")</f>
        <v/>
      </c>
      <c r="G6" s="31"/>
      <c r="H6" s="31" t="str">
        <f t="shared" si="1"/>
        <v/>
      </c>
      <c r="I6" s="32" t="str">
        <f t="shared" si="2"/>
        <v/>
      </c>
      <c r="J6" s="62"/>
      <c r="K6" s="62"/>
    </row>
    <row r="7" spans="1:11" ht="15.6">
      <c r="A7" s="41" t="str">
        <v>South Dennis - Tony Kent Arena</v>
      </c>
      <c r="B7" s="42" t="str">
        <v>MA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60"/>
      <c r="K7" s="59"/>
    </row>
    <row r="8" spans="1:11" ht="15.6">
      <c r="A8" s="43" t="str">
        <v xml:space="preserve"> Caropolis - Felician Sisters</v>
      </c>
      <c r="B8" s="40" t="str">
        <v>PA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62"/>
      <c r="K8" s="62"/>
    </row>
    <row r="9" spans="1:11" ht="15.6">
      <c r="A9" s="41" t="str">
        <v>Clear Lake - Eastlake Gohman</v>
      </c>
      <c r="B9" s="42" t="str">
        <v>MN</v>
      </c>
      <c r="C9" s="35"/>
      <c r="D9" s="36"/>
      <c r="E9" s="36" t="str">
        <f t="shared" si="0"/>
        <v/>
      </c>
      <c r="F9" s="37" t="str">
        <f t="shared" si="3"/>
        <v/>
      </c>
      <c r="G9" s="38"/>
      <c r="H9" s="38" t="str">
        <f t="shared" si="1"/>
        <v/>
      </c>
      <c r="I9" s="37" t="str">
        <f t="shared" si="2"/>
        <v/>
      </c>
      <c r="J9" s="60"/>
      <c r="K9" s="65"/>
    </row>
    <row r="10" spans="1:11" ht="15.6">
      <c r="A10" s="43" t="str">
        <v>Zumbrota - Eastlake Brenda Luhman</v>
      </c>
      <c r="B10" s="40" t="str">
        <v>MN</v>
      </c>
      <c r="C10" s="28"/>
      <c r="D10" s="29"/>
      <c r="E10" s="29" t="str">
        <f t="shared" si="0"/>
        <v/>
      </c>
      <c r="F10" s="30" t="str">
        <f t="shared" si="3"/>
        <v/>
      </c>
      <c r="G10" s="31"/>
      <c r="H10" s="31" t="str">
        <f t="shared" si="1"/>
        <v/>
      </c>
      <c r="I10" s="32" t="str">
        <f t="shared" si="2"/>
        <v/>
      </c>
      <c r="J10" s="62"/>
      <c r="K10" s="62"/>
    </row>
    <row r="11" spans="1:11" ht="15.6">
      <c r="A11" s="41" t="str">
        <v>Cokato - Eastlake Carlson</v>
      </c>
      <c r="B11" s="42" t="str">
        <v>MN</v>
      </c>
      <c r="C11" s="35"/>
      <c r="D11" s="36"/>
      <c r="E11" s="36" t="str">
        <f t="shared" si="0"/>
        <v/>
      </c>
      <c r="F11" s="37" t="str">
        <f t="shared" si="3"/>
        <v/>
      </c>
      <c r="G11" s="38"/>
      <c r="H11" s="38" t="str">
        <f t="shared" si="1"/>
        <v/>
      </c>
      <c r="I11" s="37" t="str">
        <f t="shared" si="2"/>
        <v/>
      </c>
      <c r="J11" s="60"/>
      <c r="K11" s="59"/>
    </row>
    <row r="12" spans="1:11" ht="123" customHeight="1">
      <c r="A12" s="43" t="str">
        <v>North Branch - Cornille 2</v>
      </c>
      <c r="B12" s="40" t="str">
        <v>MN</v>
      </c>
      <c r="C12" s="28"/>
      <c r="D12" s="29"/>
      <c r="E12" s="29" t="str">
        <f t="shared" si="0"/>
        <v/>
      </c>
      <c r="F12" s="30" t="str">
        <f t="shared" si="3"/>
        <v/>
      </c>
      <c r="G12" s="31"/>
      <c r="H12" s="31" t="str">
        <f t="shared" si="1"/>
        <v/>
      </c>
      <c r="I12" s="32" t="str">
        <f t="shared" si="2"/>
        <v/>
      </c>
      <c r="J12" s="62"/>
      <c r="K12" s="62"/>
    </row>
    <row r="13" spans="1:11" ht="14.45">
      <c r="A13" s="8" t="str">
        <v>Clear Lake - Eastlake Hammer</v>
      </c>
      <c r="B13" s="13" t="str">
        <v>MN</v>
      </c>
      <c r="C13" s="8"/>
      <c r="D13" s="8"/>
      <c r="E13" s="8"/>
      <c r="F13" s="8"/>
      <c r="G13" s="8"/>
      <c r="H13" s="8"/>
      <c r="I13" s="8"/>
      <c r="J13" s="8"/>
      <c r="K13" s="8"/>
    </row>
    <row r="14" spans="1:11" ht="14.45">
      <c r="A14" s="8" t="str">
        <v>Eastlake - Hertzberg CSG 1</v>
      </c>
      <c r="B14" s="13" t="str">
        <v>MN</v>
      </c>
      <c r="C14" s="8"/>
      <c r="D14" s="8"/>
      <c r="E14" s="8"/>
      <c r="F14" s="8"/>
      <c r="G14" s="8"/>
      <c r="H14" s="8"/>
      <c r="I14" s="8"/>
      <c r="J14" s="8"/>
      <c r="K14" s="8"/>
    </row>
    <row r="15" spans="1:11" ht="14.45">
      <c r="A15" s="8" t="str">
        <v>Cokato - Eastlake Laurel Village</v>
      </c>
      <c r="B15" s="13" t="str">
        <v>MN</v>
      </c>
      <c r="C15" s="8"/>
      <c r="D15" s="8"/>
      <c r="E15" s="8"/>
      <c r="F15" s="8"/>
      <c r="G15" s="8"/>
      <c r="H15" s="8"/>
      <c r="I15" s="8"/>
      <c r="J15" s="8"/>
      <c r="K15" s="8"/>
    </row>
    <row r="16" spans="1:11" ht="14.45">
      <c r="A16" s="8" t="str">
        <v>St. Peter - Eastlake Paulson</v>
      </c>
      <c r="B16" s="13" t="str">
        <v>MN</v>
      </c>
      <c r="C16" s="8"/>
      <c r="D16" s="8"/>
      <c r="E16" s="8"/>
      <c r="F16" s="8"/>
      <c r="G16" s="8"/>
      <c r="H16" s="8"/>
      <c r="I16" s="8"/>
      <c r="J16" s="8"/>
      <c r="K16" s="8"/>
    </row>
    <row r="17" spans="1:11" ht="14.45">
      <c r="A17" s="8" t="str">
        <v>Felician Sisters Convent</v>
      </c>
      <c r="B17" s="13" t="str">
        <v>NJ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Sussex County Fairgrounds</v>
      </c>
      <c r="B18" s="13" t="str">
        <v>NJ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 t="str">
        <v>Gateway Church</v>
      </c>
      <c r="B19" s="13" t="str">
        <v>NJ</v>
      </c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 t="str">
        <v>Beaver Falls - Felician Sisters</v>
      </c>
      <c r="B20" s="13" t="str">
        <v>PA</v>
      </c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 t="str">
        <v>Livonia - Felician Sisters Ground</v>
      </c>
      <c r="B21" s="13" t="str">
        <v>MI</v>
      </c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 t="str">
        <v>Livonia - Felician Sisters Roof</v>
      </c>
      <c r="B22" s="13" t="str">
        <v>MI</v>
      </c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 t="str">
        <v>Monmouth Worship Ctr</v>
      </c>
      <c r="B23" s="13" t="str">
        <v>NJ</v>
      </c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 t="str">
        <v xml:space="preserve"> Audubon - Senior Citizens United</v>
      </c>
      <c r="B24" s="13" t="str">
        <v>NJ</v>
      </c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A323" s="8"/>
      <c r="B323" s="13"/>
      <c r="C323" s="8"/>
      <c r="D323" s="8"/>
      <c r="E323" s="8"/>
      <c r="F323" s="9"/>
      <c r="G323" s="8"/>
      <c r="H323" s="8"/>
      <c r="I323" s="9"/>
      <c r="J323" s="8"/>
      <c r="K323" s="8"/>
    </row>
    <row r="324" spans="1:11" ht="14.45">
      <c r="A324" s="8"/>
      <c r="B324" s="13"/>
      <c r="C324" s="8"/>
      <c r="D324" s="8"/>
      <c r="E324" s="8"/>
      <c r="F324" s="9"/>
      <c r="G324" s="8"/>
      <c r="H324" s="8"/>
      <c r="I324" s="9"/>
      <c r="J324" s="8"/>
      <c r="K324" s="8"/>
    </row>
    <row r="325" spans="1:11" ht="14.45">
      <c r="A325" s="8"/>
      <c r="B325" s="13"/>
      <c r="C325" s="8"/>
      <c r="D325" s="8"/>
      <c r="E325" s="8"/>
      <c r="F325" s="9"/>
      <c r="G325" s="8"/>
      <c r="H325" s="8"/>
      <c r="I325" s="9"/>
      <c r="J325" s="8"/>
      <c r="K325" s="8"/>
    </row>
    <row r="326" spans="1:11" ht="14.45">
      <c r="C326" s="8"/>
      <c r="D326" s="8"/>
      <c r="E326" s="8"/>
      <c r="F326" s="9"/>
      <c r="G326" s="8"/>
      <c r="H326" s="8"/>
      <c r="I326" s="9"/>
      <c r="J326" s="8"/>
      <c r="K326" s="8"/>
    </row>
  </sheetData>
  <mergeCells count="4">
    <mergeCell ref="G1:I1"/>
    <mergeCell ref="A1:C1"/>
    <mergeCell ref="D1:F1"/>
    <mergeCell ref="A2:B2"/>
  </mergeCells>
  <conditionalFormatting sqref="F2 I2 F4:F84 I4:I84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6"/>
  <sheetViews>
    <sheetView workbookViewId="0">
      <pane xSplit="2" ySplit="3" topLeftCell="C4" activePane="bottomRight" state="frozen"/>
      <selection pane="bottomRight" activeCell="A13" sqref="A13:XFD20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6" t="str" cm="1">
        <f t="array" ref="A1">portfolio</f>
        <v>Clean Capital</v>
      </c>
      <c r="B1" s="86"/>
      <c r="C1" s="86"/>
      <c r="D1" s="87" t="s">
        <v>97</v>
      </c>
      <c r="E1" s="87"/>
      <c r="F1" s="87"/>
      <c r="G1" s="85" t="s">
        <v>98</v>
      </c>
      <c r="H1" s="85"/>
      <c r="I1" s="85"/>
      <c r="J1" s="4"/>
      <c r="K1" s="4"/>
    </row>
    <row r="2" spans="1:11" ht="19.5" customHeight="1">
      <c r="A2" s="88" t="s">
        <v>2</v>
      </c>
      <c r="B2" s="88"/>
      <c r="C2" s="5">
        <f>SUM(C4:C84)</f>
        <v>0</v>
      </c>
      <c r="D2" s="5">
        <f>SUM(D4:D84)</f>
        <v>0</v>
      </c>
      <c r="E2" s="5">
        <f>C2-D2</f>
        <v>0</v>
      </c>
      <c r="F2" s="6">
        <f>IFERROR(E2/D2, 0)</f>
        <v>0</v>
      </c>
      <c r="G2" s="5">
        <f>SUM(G4:G84)</f>
        <v>0</v>
      </c>
      <c r="H2" s="7">
        <f>C2-G2</f>
        <v>0</v>
      </c>
      <c r="I2" s="6">
        <f>IFERROR(H2/G2, 0)</f>
        <v>0</v>
      </c>
      <c r="J2" s="11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42</v>
      </c>
      <c r="K3" s="10" t="s">
        <v>21</v>
      </c>
    </row>
    <row r="4" spans="1:11" ht="15.6">
      <c r="A4" s="39" t="str" cm="1">
        <f t="array" ref="A4:A24">Sites[Site]</f>
        <v>Lexington - Cotting School</v>
      </c>
      <c r="B4" s="40" t="str" cm="1">
        <f t="array" ref="B4:B24">Sites[State]</f>
        <v>MA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49"/>
      <c r="K4" s="49"/>
    </row>
    <row r="5" spans="1:11" ht="15.6">
      <c r="A5" s="41" t="str">
        <v>Pacoima - Whiteman Airport</v>
      </c>
      <c r="B5" s="42" t="str">
        <v>CA</v>
      </c>
      <c r="C5" s="35"/>
      <c r="D5" s="36"/>
      <c r="E5" s="36" t="str">
        <f t="shared" ref="E5:E12" si="0">IF(AND(ISNUMBER(C5),ISNUMBER(D5)), C5-D5, "")</f>
        <v/>
      </c>
      <c r="F5" s="37" t="str">
        <f t="shared" ref="F5:F12" si="1">IFERROR(E5/D5, "")</f>
        <v/>
      </c>
      <c r="G5" s="38"/>
      <c r="H5" s="38" t="str">
        <f t="shared" ref="H5:H12" si="2">IF(AND(ISNUMBER(C5),ISNUMBER(G5)), C5-G5, "")</f>
        <v/>
      </c>
      <c r="I5" s="37" t="str">
        <f t="shared" ref="I5:I12" si="3">IFERROR(H5/G5, "")</f>
        <v/>
      </c>
      <c r="J5" s="60"/>
      <c r="K5" s="60"/>
    </row>
    <row r="6" spans="1:11" ht="15.6">
      <c r="A6" s="43" t="str">
        <v>Hyannis - Sturgis Charter School</v>
      </c>
      <c r="B6" s="40" t="str">
        <v>MA</v>
      </c>
      <c r="C6" s="28"/>
      <c r="D6" s="29"/>
      <c r="E6" s="29" t="str">
        <f t="shared" si="0"/>
        <v/>
      </c>
      <c r="F6" s="30" t="str">
        <f t="shared" si="1"/>
        <v/>
      </c>
      <c r="G6" s="31"/>
      <c r="H6" s="31" t="str">
        <f t="shared" si="2"/>
        <v/>
      </c>
      <c r="I6" s="32" t="str">
        <f t="shared" si="3"/>
        <v/>
      </c>
      <c r="J6" s="49"/>
      <c r="K6" s="49"/>
    </row>
    <row r="7" spans="1:11" ht="15.6">
      <c r="A7" s="41" t="str">
        <v>South Dennis - Tony Kent Arena</v>
      </c>
      <c r="B7" s="42" t="str">
        <v>MA</v>
      </c>
      <c r="C7" s="35"/>
      <c r="D7" s="36"/>
      <c r="E7" s="36" t="str">
        <f t="shared" si="0"/>
        <v/>
      </c>
      <c r="F7" s="37" t="str">
        <f t="shared" si="1"/>
        <v/>
      </c>
      <c r="G7" s="38"/>
      <c r="H7" s="38" t="str">
        <f t="shared" si="2"/>
        <v/>
      </c>
      <c r="I7" s="37" t="str">
        <f t="shared" si="3"/>
        <v/>
      </c>
      <c r="J7" s="60"/>
      <c r="K7" s="60"/>
    </row>
    <row r="8" spans="1:11" ht="15.6">
      <c r="A8" s="43" t="str">
        <v xml:space="preserve"> Caropolis - Felician Sisters</v>
      </c>
      <c r="B8" s="40" t="str">
        <v>PA</v>
      </c>
      <c r="C8" s="28"/>
      <c r="D8" s="29"/>
      <c r="E8" s="29" t="str">
        <f t="shared" si="0"/>
        <v/>
      </c>
      <c r="F8" s="30" t="str">
        <f t="shared" si="1"/>
        <v/>
      </c>
      <c r="G8" s="31"/>
      <c r="H8" s="31" t="str">
        <f t="shared" si="2"/>
        <v/>
      </c>
      <c r="I8" s="32" t="str">
        <f t="shared" si="3"/>
        <v/>
      </c>
      <c r="J8" s="49"/>
      <c r="K8" s="49"/>
    </row>
    <row r="9" spans="1:11" ht="15.6">
      <c r="A9" s="41" t="str">
        <v>Clear Lake - Eastlake Gohman</v>
      </c>
      <c r="B9" s="42" t="str">
        <v>MN</v>
      </c>
      <c r="C9" s="35"/>
      <c r="D9" s="36"/>
      <c r="E9" s="36" t="str">
        <f t="shared" si="0"/>
        <v/>
      </c>
      <c r="F9" s="37" t="str">
        <f t="shared" si="1"/>
        <v/>
      </c>
      <c r="G9" s="38"/>
      <c r="H9" s="38" t="str">
        <f t="shared" si="2"/>
        <v/>
      </c>
      <c r="I9" s="37" t="str">
        <f t="shared" si="3"/>
        <v/>
      </c>
      <c r="J9" s="60"/>
      <c r="K9" s="60"/>
    </row>
    <row r="10" spans="1:11" ht="15.6">
      <c r="A10" s="43" t="str">
        <v>Zumbrota - Eastlake Brenda Luhman</v>
      </c>
      <c r="B10" s="40" t="str">
        <v>MN</v>
      </c>
      <c r="C10" s="28"/>
      <c r="D10" s="29"/>
      <c r="E10" s="29" t="str">
        <f t="shared" si="0"/>
        <v/>
      </c>
      <c r="F10" s="30" t="str">
        <f t="shared" si="1"/>
        <v/>
      </c>
      <c r="G10" s="31"/>
      <c r="H10" s="31" t="str">
        <f t="shared" si="2"/>
        <v/>
      </c>
      <c r="I10" s="32" t="str">
        <f t="shared" si="3"/>
        <v/>
      </c>
      <c r="J10" s="49"/>
      <c r="K10" s="49"/>
    </row>
    <row r="11" spans="1:11" ht="15.6">
      <c r="A11" s="41" t="str">
        <v>Cokato - Eastlake Carlson</v>
      </c>
      <c r="B11" s="42" t="str">
        <v>MN</v>
      </c>
      <c r="C11" s="35"/>
      <c r="D11" s="36"/>
      <c r="E11" s="36" t="str">
        <f t="shared" si="0"/>
        <v/>
      </c>
      <c r="F11" s="37" t="str">
        <f t="shared" si="1"/>
        <v/>
      </c>
      <c r="G11" s="38"/>
      <c r="H11" s="38" t="str">
        <f t="shared" si="2"/>
        <v/>
      </c>
      <c r="I11" s="37" t="str">
        <f t="shared" si="3"/>
        <v/>
      </c>
      <c r="J11" s="60"/>
      <c r="K11" s="60"/>
    </row>
    <row r="12" spans="1:11" ht="15.6">
      <c r="A12" s="43" t="str">
        <v>North Branch - Cornille 2</v>
      </c>
      <c r="B12" s="40" t="str">
        <v>MN</v>
      </c>
      <c r="C12" s="28"/>
      <c r="D12" s="29"/>
      <c r="E12" s="29" t="str">
        <f t="shared" si="0"/>
        <v/>
      </c>
      <c r="F12" s="30" t="str">
        <f t="shared" si="1"/>
        <v/>
      </c>
      <c r="G12" s="31"/>
      <c r="H12" s="31" t="str">
        <f t="shared" si="2"/>
        <v/>
      </c>
      <c r="I12" s="32" t="str">
        <f t="shared" si="3"/>
        <v/>
      </c>
      <c r="J12" s="49"/>
      <c r="K12" s="49"/>
    </row>
    <row r="13" spans="1:11" ht="14.45">
      <c r="A13" s="8" t="str">
        <v>Clear Lake - Eastlake Hammer</v>
      </c>
      <c r="B13" s="13" t="str">
        <v>MN</v>
      </c>
      <c r="C13" s="8"/>
      <c r="D13" s="8"/>
      <c r="E13" s="8"/>
      <c r="F13" s="8"/>
      <c r="G13" s="8"/>
      <c r="H13" s="8"/>
      <c r="I13" s="8"/>
      <c r="J13" s="8"/>
      <c r="K13" s="8"/>
    </row>
    <row r="14" spans="1:11" ht="14.45">
      <c r="A14" s="8" t="str">
        <v>Eastlake - Hertzberg CSG 1</v>
      </c>
      <c r="B14" s="13" t="str">
        <v>MN</v>
      </c>
      <c r="C14" s="8"/>
      <c r="D14" s="8"/>
      <c r="E14" s="8"/>
      <c r="F14" s="8"/>
      <c r="G14" s="8"/>
      <c r="H14" s="8"/>
      <c r="I14" s="8"/>
      <c r="J14" s="8"/>
      <c r="K14" s="8"/>
    </row>
    <row r="15" spans="1:11" ht="14.45">
      <c r="A15" s="8" t="str">
        <v>Cokato - Eastlake Laurel Village</v>
      </c>
      <c r="B15" s="13" t="str">
        <v>MN</v>
      </c>
      <c r="C15" s="8"/>
      <c r="D15" s="8"/>
      <c r="E15" s="8"/>
      <c r="F15" s="8"/>
      <c r="G15" s="8"/>
      <c r="H15" s="8"/>
      <c r="I15" s="8"/>
      <c r="J15" s="8"/>
      <c r="K15" s="8"/>
    </row>
    <row r="16" spans="1:11" ht="14.45">
      <c r="A16" s="8" t="str">
        <v>St. Peter - Eastlake Paulson</v>
      </c>
      <c r="B16" s="13" t="str">
        <v>MN</v>
      </c>
      <c r="C16" s="8"/>
      <c r="D16" s="8"/>
      <c r="E16" s="8"/>
      <c r="F16" s="8"/>
      <c r="G16" s="8"/>
      <c r="H16" s="8"/>
      <c r="I16" s="8"/>
      <c r="J16" s="8"/>
      <c r="K16" s="8"/>
    </row>
    <row r="17" spans="1:11" ht="14.45">
      <c r="A17" s="8" t="str">
        <v>Felician Sisters Convent</v>
      </c>
      <c r="B17" s="13" t="str">
        <v>NJ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Sussex County Fairgrounds</v>
      </c>
      <c r="B18" s="13" t="str">
        <v>NJ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 t="str">
        <v>Gateway Church</v>
      </c>
      <c r="B19" s="13" t="str">
        <v>NJ</v>
      </c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 t="str">
        <v>Beaver Falls - Felician Sisters</v>
      </c>
      <c r="B20" s="13" t="str">
        <v>PA</v>
      </c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 t="str">
        <v>Livonia - Felician Sisters Ground</v>
      </c>
      <c r="B21" s="13" t="str">
        <v>MI</v>
      </c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 t="str">
        <v>Livonia - Felician Sisters Roof</v>
      </c>
      <c r="B22" s="13" t="str">
        <v>MI</v>
      </c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 t="str">
        <v>Monmouth Worship Ctr</v>
      </c>
      <c r="B23" s="13" t="str">
        <v>NJ</v>
      </c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 t="str">
        <v xml:space="preserve"> Audubon - Senior Citizens United</v>
      </c>
      <c r="B24" s="13" t="str">
        <v>NJ</v>
      </c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A323" s="8"/>
      <c r="B323" s="13"/>
      <c r="C323" s="8"/>
      <c r="D323" s="8"/>
      <c r="E323" s="8"/>
      <c r="F323" s="9"/>
      <c r="G323" s="8"/>
      <c r="H323" s="8"/>
      <c r="I323" s="9"/>
      <c r="J323" s="8"/>
      <c r="K323" s="8"/>
    </row>
    <row r="324" spans="1:11" ht="14.45">
      <c r="A324" s="8"/>
      <c r="B324" s="13"/>
      <c r="C324" s="8"/>
      <c r="D324" s="8"/>
      <c r="E324" s="8"/>
      <c r="F324" s="9"/>
      <c r="G324" s="8"/>
      <c r="H324" s="8"/>
      <c r="I324" s="9"/>
      <c r="J324" s="8"/>
      <c r="K324" s="8"/>
    </row>
    <row r="325" spans="1:11" ht="14.45">
      <c r="A325" s="8"/>
      <c r="B325" s="13"/>
      <c r="C325" s="8"/>
      <c r="D325" s="8"/>
      <c r="E325" s="8"/>
      <c r="F325" s="9"/>
      <c r="G325" s="8"/>
      <c r="H325" s="8"/>
      <c r="I325" s="9"/>
      <c r="J325" s="8"/>
      <c r="K325" s="8"/>
    </row>
    <row r="326" spans="1:11" ht="14.45">
      <c r="C326" s="8"/>
      <c r="D326" s="8"/>
      <c r="E326" s="8"/>
      <c r="F326" s="9"/>
      <c r="G326" s="8"/>
      <c r="H326" s="8"/>
      <c r="I326" s="9"/>
      <c r="J326" s="8"/>
      <c r="K326" s="8"/>
    </row>
  </sheetData>
  <mergeCells count="4">
    <mergeCell ref="G1:I1"/>
    <mergeCell ref="A1:C1"/>
    <mergeCell ref="D1:F1"/>
    <mergeCell ref="A2:B2"/>
  </mergeCells>
  <conditionalFormatting sqref="F2 I2 F4:F84 I4:I84">
    <cfRule type="cellIs" dxfId="4" priority="19" stopIfTrue="1" operator="lessThanOrEqual">
      <formula>-0.1</formula>
    </cfRule>
    <cfRule type="expression" dxfId="3" priority="20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4"/>
  <sheetViews>
    <sheetView workbookViewId="0">
      <pane ySplit="3" topLeftCell="A4" activePane="bottomLeft" state="frozen"/>
      <selection pane="bottomLeft" activeCell="B17" sqref="B17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99</v>
      </c>
      <c r="B1" t="s">
        <v>100</v>
      </c>
    </row>
    <row r="3" spans="1:12" ht="13.15">
      <c r="A3" t="s">
        <v>101</v>
      </c>
      <c r="B3" t="s">
        <v>3</v>
      </c>
      <c r="C3" t="s">
        <v>4</v>
      </c>
      <c r="D3" t="s">
        <v>102</v>
      </c>
      <c r="E3" s="2" t="s">
        <v>103</v>
      </c>
    </row>
    <row r="4" spans="1:12" ht="14.45">
      <c r="A4" s="18" t="s">
        <v>104</v>
      </c>
      <c r="B4" t="s">
        <v>105</v>
      </c>
      <c r="C4" s="17" t="s">
        <v>106</v>
      </c>
      <c r="D4" s="16"/>
      <c r="E4" t="s">
        <v>107</v>
      </c>
      <c r="G4" s="3"/>
    </row>
    <row r="5" spans="1:12" ht="14.45">
      <c r="A5" s="18" t="s">
        <v>108</v>
      </c>
      <c r="B5" t="s">
        <v>109</v>
      </c>
      <c r="C5" s="17" t="s">
        <v>110</v>
      </c>
      <c r="D5" s="16"/>
      <c r="E5" t="s">
        <v>111</v>
      </c>
      <c r="G5" s="3"/>
    </row>
    <row r="6" spans="1:12" ht="12.75" customHeight="1">
      <c r="A6" s="18" t="s">
        <v>112</v>
      </c>
      <c r="B6" t="s">
        <v>112</v>
      </c>
      <c r="C6" s="17" t="s">
        <v>106</v>
      </c>
      <c r="D6" s="16"/>
      <c r="E6" t="s">
        <v>113</v>
      </c>
      <c r="K6" s="15"/>
      <c r="L6" s="15"/>
    </row>
    <row r="7" spans="1:12" ht="12.75" customHeight="1">
      <c r="A7" s="66" t="s">
        <v>114</v>
      </c>
      <c r="B7" s="67" t="s">
        <v>115</v>
      </c>
      <c r="C7" s="17" t="s">
        <v>106</v>
      </c>
      <c r="E7" t="s">
        <v>107</v>
      </c>
      <c r="K7" s="15"/>
      <c r="L7" s="15"/>
    </row>
    <row r="8" spans="1:12" ht="12.75" customHeight="1">
      <c r="A8" s="66" t="s">
        <v>116</v>
      </c>
      <c r="B8" s="67" t="s">
        <v>117</v>
      </c>
      <c r="C8" s="17" t="s">
        <v>118</v>
      </c>
      <c r="E8" s="72" t="s">
        <v>119</v>
      </c>
      <c r="K8" s="15"/>
      <c r="L8" s="15"/>
    </row>
    <row r="9" spans="1:12" ht="12.75" customHeight="1">
      <c r="A9" s="66" t="s">
        <v>120</v>
      </c>
      <c r="B9" s="67" t="s">
        <v>121</v>
      </c>
      <c r="C9" s="17" t="s">
        <v>122</v>
      </c>
      <c r="D9" t="s">
        <v>123</v>
      </c>
      <c r="E9" t="s">
        <v>113</v>
      </c>
      <c r="K9" s="15"/>
      <c r="L9" s="15"/>
    </row>
    <row r="10" spans="1:12" ht="12.75" customHeight="1">
      <c r="A10" s="66" t="s">
        <v>124</v>
      </c>
      <c r="B10" s="67" t="s">
        <v>125</v>
      </c>
      <c r="C10" s="17" t="s">
        <v>122</v>
      </c>
      <c r="D10" t="s">
        <v>123</v>
      </c>
      <c r="E10" t="s">
        <v>113</v>
      </c>
    </row>
    <row r="11" spans="1:12" ht="12.75" customHeight="1">
      <c r="A11" s="66" t="s">
        <v>126</v>
      </c>
      <c r="B11" s="67" t="s">
        <v>127</v>
      </c>
      <c r="C11" s="17" t="s">
        <v>122</v>
      </c>
      <c r="D11" t="s">
        <v>123</v>
      </c>
      <c r="E11" t="s">
        <v>113</v>
      </c>
    </row>
    <row r="12" spans="1:12" ht="12.75" customHeight="1">
      <c r="A12" s="66" t="s">
        <v>128</v>
      </c>
      <c r="B12" s="67" t="s">
        <v>129</v>
      </c>
      <c r="C12" s="17" t="s">
        <v>122</v>
      </c>
      <c r="D12" t="s">
        <v>123</v>
      </c>
      <c r="E12" t="s">
        <v>113</v>
      </c>
    </row>
    <row r="13" spans="1:12" ht="12.75" customHeight="1">
      <c r="A13" s="66" t="s">
        <v>130</v>
      </c>
      <c r="B13" s="67" t="s">
        <v>131</v>
      </c>
      <c r="C13" s="17" t="s">
        <v>122</v>
      </c>
      <c r="D13" t="s">
        <v>123</v>
      </c>
      <c r="E13" t="s">
        <v>113</v>
      </c>
    </row>
    <row r="14" spans="1:12" ht="12.75" customHeight="1">
      <c r="A14" s="66" t="s">
        <v>132</v>
      </c>
      <c r="B14" s="67" t="s">
        <v>133</v>
      </c>
      <c r="C14" s="17" t="s">
        <v>122</v>
      </c>
      <c r="E14" t="s">
        <v>113</v>
      </c>
    </row>
    <row r="15" spans="1:12" ht="12.75" customHeight="1">
      <c r="A15" s="66" t="s">
        <v>134</v>
      </c>
      <c r="B15" s="67" t="s">
        <v>135</v>
      </c>
      <c r="C15" s="17" t="s">
        <v>122</v>
      </c>
      <c r="D15" t="s">
        <v>123</v>
      </c>
      <c r="E15" t="s">
        <v>113</v>
      </c>
    </row>
    <row r="16" spans="1:12" ht="12.75" customHeight="1">
      <c r="A16" s="66" t="s">
        <v>136</v>
      </c>
      <c r="B16" s="67" t="s">
        <v>137</v>
      </c>
      <c r="C16" s="17" t="s">
        <v>122</v>
      </c>
      <c r="D16" t="s">
        <v>123</v>
      </c>
      <c r="E16" t="s">
        <v>113</v>
      </c>
    </row>
    <row r="17" spans="1:5" ht="12.75" customHeight="1">
      <c r="A17" s="66" t="s">
        <v>138</v>
      </c>
      <c r="B17" s="67" t="s">
        <v>139</v>
      </c>
      <c r="C17" s="17" t="s">
        <v>140</v>
      </c>
      <c r="E17" t="s">
        <v>141</v>
      </c>
    </row>
    <row r="18" spans="1:5" ht="12.75" customHeight="1">
      <c r="A18" s="66" t="s">
        <v>142</v>
      </c>
      <c r="B18" s="67" t="s">
        <v>143</v>
      </c>
      <c r="C18" s="17" t="s">
        <v>140</v>
      </c>
      <c r="E18" t="s">
        <v>141</v>
      </c>
    </row>
    <row r="19" spans="1:5" ht="12.75" customHeight="1">
      <c r="A19" s="66" t="s">
        <v>144</v>
      </c>
      <c r="B19" s="67" t="s">
        <v>145</v>
      </c>
      <c r="C19" s="17" t="s">
        <v>140</v>
      </c>
      <c r="E19" t="s">
        <v>146</v>
      </c>
    </row>
    <row r="20" spans="1:5" ht="12.75" customHeight="1">
      <c r="A20" s="66" t="s">
        <v>147</v>
      </c>
      <c r="B20" s="67" t="s">
        <v>148</v>
      </c>
      <c r="C20" s="17" t="s">
        <v>118</v>
      </c>
      <c r="E20" t="s">
        <v>146</v>
      </c>
    </row>
    <row r="21" spans="1:5" ht="12.75" customHeight="1">
      <c r="A21" s="66" t="s">
        <v>149</v>
      </c>
      <c r="B21" s="67" t="s">
        <v>150</v>
      </c>
      <c r="C21" s="17" t="s">
        <v>151</v>
      </c>
      <c r="E21" t="s">
        <v>146</v>
      </c>
    </row>
    <row r="22" spans="1:5" ht="12.75" customHeight="1">
      <c r="A22" s="66" t="s">
        <v>152</v>
      </c>
      <c r="B22" s="67" t="s">
        <v>153</v>
      </c>
      <c r="C22" s="17" t="s">
        <v>151</v>
      </c>
      <c r="E22" t="s">
        <v>146</v>
      </c>
    </row>
    <row r="23" spans="1:5" ht="12.75" customHeight="1">
      <c r="A23" s="66" t="s">
        <v>154</v>
      </c>
      <c r="B23" s="67" t="s">
        <v>154</v>
      </c>
      <c r="C23" s="17" t="s">
        <v>140</v>
      </c>
      <c r="E23" t="s">
        <v>155</v>
      </c>
    </row>
    <row r="24" spans="1:5" ht="12.75" customHeight="1">
      <c r="A24" s="66" t="s">
        <v>156</v>
      </c>
      <c r="B24" s="67" t="s">
        <v>157</v>
      </c>
      <c r="C24" s="17" t="s">
        <v>140</v>
      </c>
      <c r="E24" t="s">
        <v>155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0F6C3C6A-5F82-4BFA-9310-8B457A7DEBF1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Vempati</cp:lastModifiedBy>
  <cp:revision/>
  <dcterms:created xsi:type="dcterms:W3CDTF">2021-01-01T16:39:53Z</dcterms:created>
  <dcterms:modified xsi:type="dcterms:W3CDTF">2025-06-25T19:47:24Z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2025-02-19T13:13:26Z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d8975808-c643-4fb8-ab79-3a8e3636f2c1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