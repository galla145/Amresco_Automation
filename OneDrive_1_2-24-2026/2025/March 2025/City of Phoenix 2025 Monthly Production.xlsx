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A7D23AD-0BFC-4E4A-8AD0-9C914D19F0FC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4" i="72"/>
  <c r="E4" i="72"/>
  <c r="G4" i="29"/>
  <c r="G4" i="30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I4" i="72"/>
  <c r="G2" i="72"/>
  <c r="D2" i="72"/>
  <c r="C2" i="72"/>
  <c r="J2" i="72" s="1"/>
  <c r="F4" i="72"/>
  <c r="A1" i="72" a="1"/>
  <c r="A1" i="72" s="1"/>
  <c r="H2" i="31" l="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<sst xmlns="http://schemas.openxmlformats.org/spreadsheetml/2006/main" count="242" uniqueCount="56">
  <si>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</si>
  <si>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</si>
  <si>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</si>
  <si>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</si>
  <si>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</si>
  <si>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</si>
  <si>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</si>
  <si>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</si>
  <si>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</si>
  <si>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</si>
  <si>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</si>
  <si>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</si>
  <si>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</si>
  <si>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</si>
  <si>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</si>
  <si>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</si>
  <si>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</si>
  <si>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</si>
  <si>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</si>
  <si>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</si>
  <si>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</si>
  <si>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</si>
  <si>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</si>
  <si>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February Actual v. Expected</t>
  </si>
  <si>
    <t>February Actual v. Forecasted</t>
  </si>
  <si>
    <t>March Actual v. Expected</t>
  </si>
  <si>
    <t>March Actual v. Forecasted</t>
  </si>
  <si>
    <t>1.Inverter 10 was underperforming by 2 kW on high irradiance days from 03/08, possibly due to an AC /thermal issue. On 03/14, a technician identified and replaced failed fuses on strings 2, 3, and 4. Inverter 10 has back to normal from 03/14.
2. Inverter 4 tripped offline at 15:45 on 03/22/25 and remained offline for rest of the month. Requested access to dispatch.</t>
  </si>
  <si>
    <t>1.SR098339
2.SR098895</t>
  </si>
  <si>
    <t>SR098895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</si>
  <si>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</si>
  <si>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</si>
  <si>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</si>
  <si>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</si>
  <si>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</si>
  <si>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</si>
  <si>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</si>
  <si>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</si>
  <si>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</si>
  <si>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</si>
  <si>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</si>
  <si>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</si>
  <si>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</si>
  <si>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</si>
  <si>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</si>
  <si>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</si>
  <si>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</si>
  <si>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</si>
  <si>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</si>
  <si>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Phoenix</t>
  </si>
  <si>
    <t>Site DAS Name</t>
  </si>
  <si>
    <t>Update</t>
  </si>
  <si>
    <t>DAS</t>
  </si>
  <si>
    <t>SKY HARBOR AIRPORT PV PROJECT 1 COB ADMIN BUILDING</t>
  </si>
  <si>
    <t>AZ: Sky Harbor COB Admin Building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</si>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</sst>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895" TargetMode="External"/><Relationship Id="rId1" Type="http://schemas.openxmlformats.org/officeDocument/2006/relationships/hyperlink" Target="https://us3.assetplanner.com/service_request?ID=09833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D10" sqref="D10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Phoenix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SUM(C4:C60)</f>
        <v>175801</v>
      </c>
      <c r="D2" s="6">
        <f>SUM(D4:D60)</f>
        <v>187085.717</v>
      </c>
      <c r="E2" s="6">
        <f>C2-D2</f>
        <v>-11284.717000000004</v>
      </c>
      <c r="F2" s="7">
        <f>IFERROR(E2/D2, 0)</f>
        <v>-6.0318431470639762E-2</v>
      </c>
      <c r="G2" s="6">
        <f>SUM(G4:G60)</f>
        <v>190536.09600000002</v>
      </c>
      <c r="H2" s="8">
        <f>C2-G2</f>
        <v>-14735.09600000002</v>
      </c>
      <c r="I2" s="7">
        <f>IFERROR(H2/G2, 0)</f>
        <v>-7.7334931854592101E-2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SUM('1st Qtr'!C4, '2nd Qtr'!C4, '3rd Qtr'!C4, '4th Qtr'!C4)</f>
        <v>175801</v>
      </c>
      <c r="D4" s="14">
        <f>SUM('1st Qtr'!D4, '2nd Qtr'!D4, '3rd Qtr'!D4, '4th Qtr'!D4)</f>
        <v>187085.717</v>
      </c>
      <c r="E4" s="14">
        <f>IF(AND(ISNUMBER(C4),ISNUMBER(D4)), C4-D4, "")</f>
        <v>-11284.717000000004</v>
      </c>
      <c r="F4" s="15">
        <f>IFERROR(E4/D4, "")</f>
        <v>-6.0318431470639762E-2</v>
      </c>
      <c r="G4" s="16">
        <f>SUM('1st Qtr'!G4,'2nd Qtr'!G4,'3rd Qtr'!G4,'4th Qtr'!G4)</f>
        <v>190536.09600000002</v>
      </c>
      <c r="H4" s="16">
        <f>SUM('1st Qtr'!H4, '2nd Qtr'!H4, '3rd Qtr'!H4, '4th Qtr'!H4)</f>
        <v>-14735.096000000005</v>
      </c>
      <c r="I4" s="17">
        <f>IFERROR(H4/G4, "")</f>
        <v>-7.7334931854592018E-2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I4" sqref="I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Phoenix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SUM(C4:C68)</f>
        <v>175801</v>
      </c>
      <c r="D2" s="6">
        <f>SUM(D4:D68)</f>
        <v>187085.717</v>
      </c>
      <c r="E2" s="6">
        <f>C2-D2</f>
        <v>-11284.717000000004</v>
      </c>
      <c r="F2" s="7">
        <f>IFERROR(E2/D2, 0)</f>
        <v>-6.0318431470639762E-2</v>
      </c>
      <c r="G2" s="6">
        <f>SUM(G4:G68)</f>
        <v>190536.09600000002</v>
      </c>
      <c r="H2" s="8">
        <f>C2-G2</f>
        <v>-14735.09600000002</v>
      </c>
      <c r="I2" s="7">
        <f>IFERROR(H2/G2, 0)</f>
        <v>-7.7334931854592101E-2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SUM(Jan!C4, Feb!C4, Mar!C4)</f>
        <v>175801</v>
      </c>
      <c r="D4" s="14">
        <f>SUM(Jan!D4, Feb!D4, Mar!D4)</f>
        <v>187085.717</v>
      </c>
      <c r="E4" s="14">
        <f>IF(AND(ISNUMBER(C4),ISNUMBER(D4)), C4-D4, "")</f>
        <v>-11284.717000000004</v>
      </c>
      <c r="F4" s="15">
        <f>IFERROR(E4/D4, "")</f>
        <v>-6.0318431470639762E-2</v>
      </c>
      <c r="G4" s="16">
        <f>SUM(Jan!G4, Feb!G4, Mar!G4)</f>
        <v>190536.09600000002</v>
      </c>
      <c r="H4" s="16">
        <f>SUM(Jan!H4, Feb!H4, Mar!H4)</f>
        <v>-14735.096000000005</v>
      </c>
      <c r="I4" s="17">
        <f>IFERROR(H4/G4, "")</f>
        <v>-7.7334931854592018E-2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zoomScale="90" zoomScaleNormal="90" workbookViewId="0">
      <pane ySplit="2" topLeftCell="A3" activePane="bottomLeft" state="frozen"/>
      <selection pane="bottomLeft" activeCell="J18" sqref="J18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Phoenix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L15" sqref="L1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Phoenix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H9" sqref="H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Phoenix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4" sqref="H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45436.5</v>
      </c>
      <c r="D2" s="6">
        <f>SUM(D4:D89)</f>
        <v>48105.004000000001</v>
      </c>
      <c r="E2" s="6">
        <f>C2-D2</f>
        <v>-2668.5040000000008</v>
      </c>
      <c r="F2" s="7">
        <f>IFERROR(E2/D2, 0)</f>
        <v>-5.5472482654819043E-2</v>
      </c>
      <c r="G2" s="6">
        <f>SUM(G4:G89)</f>
        <v>55414.108</v>
      </c>
      <c r="H2" s="8">
        <f>C2-G2</f>
        <v>-9977.6080000000002</v>
      </c>
      <c r="I2" s="7">
        <f>IFERROR(H2/G2, 0)</f>
        <v>-0.18005537506802419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45436.5</v>
      </c>
      <c r="D4" s="14">
        <v>48105.004000000001</v>
      </c>
      <c r="E4" s="14">
        <f>IF(AND(ISNUMBER(C4),ISNUMBER(D4)), C4-D4, "")</f>
        <v>-2668.5040000000008</v>
      </c>
      <c r="F4" s="15">
        <f>IFERROR(E4/D4, "")</f>
        <v>-5.5472482654819043E-2</v>
      </c>
      <c r="G4" s="16">
        <v>55414.108</v>
      </c>
      <c r="H4" s="16">
        <f>IF(AND(ISNUMBER(C4),ISNUMBER(G4)), C4-G4, "")</f>
        <v>-9977.6080000000002</v>
      </c>
      <c r="I4" s="17">
        <f>IFERROR(H4/G4, "")</f>
        <v>-0.18005537506802419</v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8" priority="2" stopIfTrue="1" operator="lessThanOrEqual">
      <formula>-0.1</formula>
    </cfRule>
    <cfRule type="expression" dxfId="27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12" sqref="G12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23</v>
      </c>
      <c r="E1" s="47"/>
      <c r="F1" s="47"/>
      <c r="G1" s="45" t="s">
        <v>24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52777</v>
      </c>
      <c r="D2" s="6">
        <f>SUM(D4:D85)</f>
        <v>57279.99</v>
      </c>
      <c r="E2" s="6">
        <f>C2-D2</f>
        <v>-4502.989999999998</v>
      </c>
      <c r="F2" s="7">
        <f>IFERROR(E2/D2, 0)</f>
        <v>-7.8613665959089696E-2</v>
      </c>
      <c r="G2" s="6">
        <f>SUM(G4:G85)</f>
        <v>58275.311999999998</v>
      </c>
      <c r="H2" s="8">
        <f>C2-G2</f>
        <v>-5498.3119999999981</v>
      </c>
      <c r="I2" s="7">
        <f>IFERROR(H2/G2, 0)</f>
        <v>-9.4350623124934932E-2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52777</v>
      </c>
      <c r="D4" s="14">
        <v>57279.99</v>
      </c>
      <c r="E4" s="14">
        <f>IF(AND(ISNUMBER(C4),ISNUMBER(D4)), C4-D4, "")</f>
        <v>-4502.989999999998</v>
      </c>
      <c r="F4" s="15">
        <f>IFERROR(E4/D4, "")</f>
        <v>-7.8613665959089696E-2</v>
      </c>
      <c r="G4" s="16">
        <v>58275.311999999998</v>
      </c>
      <c r="H4" s="16">
        <f>IF(AND(ISNUMBER(C4),ISNUMBER(G4)), C4-G4, "")</f>
        <v>-5498.3119999999981</v>
      </c>
      <c r="I4" s="17">
        <f>IFERROR(H4/G4, "")</f>
        <v>-9.4350623124934932E-2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tabSelected="1" zoomScale="80" zoomScaleNormal="80" workbookViewId="0">
      <pane ySplit="2" topLeftCell="A3" activePane="bottomLeft" state="frozen"/>
      <selection pane="bottomLeft" activeCell="J14" sqref="J1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6" t="str" cm="1">
        <f t="array" ref="A1">portfolio</f>
        <v>City of Phoenix</v>
      </c>
      <c r="B1" s="46"/>
      <c r="C1" s="46"/>
      <c r="D1" s="47" t="s">
        <v>25</v>
      </c>
      <c r="E1" s="47"/>
      <c r="F1" s="47"/>
      <c r="G1" s="45" t="s">
        <v>26</v>
      </c>
      <c r="H1" s="45"/>
      <c r="I1" s="45"/>
      <c r="J1" s="5"/>
      <c r="K1" s="5"/>
    </row>
    <row r="2" spans="1:12" ht="19.5" customHeight="1">
      <c r="A2" s="48" t="s">
        <v>2</v>
      </c>
      <c r="B2" s="48"/>
      <c r="C2" s="6">
        <f>SUM(C4:C90)</f>
        <v>77587.5</v>
      </c>
      <c r="D2" s="6">
        <f>SUM(D4:D90)</f>
        <v>81700.722999999998</v>
      </c>
      <c r="E2" s="6">
        <f>C2-D2</f>
        <v>-4113.2229999999981</v>
      </c>
      <c r="F2" s="7">
        <f>IFERROR(E2/D2, 0)</f>
        <v>-5.0345001230894838E-2</v>
      </c>
      <c r="G2" s="6">
        <f>SUM(G4:G90)</f>
        <v>76846.676000000007</v>
      </c>
      <c r="H2" s="8">
        <f>C2-G2</f>
        <v>740.82399999999325</v>
      </c>
      <c r="I2" s="7">
        <f>IFERROR(H2/G2, 0)</f>
        <v>9.6402868485813645E-3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2">
      <c r="A4" s="42" t="str" cm="1">
        <f t="array" ref="A4">Sites[Site]</f>
        <v>AZ: Sky Harbor COB Admin Building</v>
      </c>
      <c r="B4" s="30" t="str" cm="1">
        <f t="array" ref="B4">Sites[State]</f>
        <v>AZ</v>
      </c>
      <c r="C4" s="26">
        <v>77587.5</v>
      </c>
      <c r="D4" s="14">
        <v>81700.722999999998</v>
      </c>
      <c r="E4" s="14">
        <f>IF(AND(ISNUMBER(C4),ISNUMBER(D4)), C4-D4, "")</f>
        <v>-4113.2229999999981</v>
      </c>
      <c r="F4" s="15">
        <f>IFERROR(E4/D4, "")</f>
        <v>-5.0345001230894838E-2</v>
      </c>
      <c r="G4" s="16">
        <v>76846.676000000007</v>
      </c>
      <c r="H4" s="16">
        <f>IF(AND(ISNUMBER(C4),ISNUMBER(G4)), C4-G4, "")</f>
        <v>740.82399999999325</v>
      </c>
      <c r="I4" s="17">
        <f>IFERROR(H4/G4, "")</f>
        <v>9.6402868485813645E-3</v>
      </c>
      <c r="J4" s="18" t="s">
        <v>27</v>
      </c>
      <c r="K4" s="43" t="s">
        <v>28</v>
      </c>
      <c r="L4" s="44" t="s">
        <v>29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8339" xr:uid="{B760D31B-8533-442F-AC84-091A38762FD3}"/>
    <hyperlink ref="L4" r:id="rId2" display="https://us3.assetplanner.com/service_request?ID=098895" xr:uid="{507B7987-9943-483D-BF78-9AD79797784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90 I4:I9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Phoenix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C31" sqref="C3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53</v>
      </c>
      <c r="B4" t="s">
        <v>54</v>
      </c>
      <c r="C4" s="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61238E37-BA60-4D46-95EC-A4816FDACE6C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2025-06-25T19:45:18Z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