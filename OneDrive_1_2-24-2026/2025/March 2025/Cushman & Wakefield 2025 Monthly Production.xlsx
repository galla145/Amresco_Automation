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4" documentId="13_ncr:1_{EE34320D-6682-4BDF-8B86-B4EE5877574E}" xr6:coauthVersionLast="47" xr6:coauthVersionMax="47" xr10:uidLastSave="{68C4EF44-0C45-46DF-ADCD-37F2E4583DF3}"/>
  <bookViews>
    <workbookView xWindow="-108" yWindow="-108" windowWidth="23256" windowHeight="1389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/>
  <c r="H18" i="32"/>
  <c r="I18" i="32" s="1"/>
  <c r="E19" i="32"/>
  <c r="F19" i="32" s="1"/>
  <c r="H19" i="32"/>
  <c r="E20" i="32"/>
  <c r="F20" i="32" s="1"/>
  <c r="H20" i="32"/>
  <c r="I20" i="32" s="1"/>
  <c r="E21" i="32"/>
  <c r="F21" i="32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/>
  <c r="E27" i="32"/>
  <c r="F27" i="32"/>
  <c r="H27" i="32"/>
  <c r="I27" i="32" s="1"/>
  <c r="E28" i="32"/>
  <c r="F28" i="32"/>
  <c r="H28" i="32"/>
  <c r="I28" i="32" s="1"/>
  <c r="E29" i="32"/>
  <c r="F29" i="32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/>
  <c r="E34" i="32"/>
  <c r="F34" i="32"/>
  <c r="H34" i="32"/>
  <c r="I34" i="32" s="1"/>
  <c r="E35" i="32"/>
  <c r="F35" i="32" s="1"/>
  <c r="H35" i="32"/>
  <c r="I35" i="32" s="1"/>
  <c r="E36" i="32"/>
  <c r="F36" i="32" s="1"/>
  <c r="H36" i="32"/>
  <c r="I36" i="32"/>
  <c r="E37" i="32"/>
  <c r="F37" i="32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H22" i="29" s="1"/>
  <c r="I22" i="29" s="1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26"/>
  <c r="F18" i="26" s="1"/>
  <c r="H18" i="26"/>
  <c r="I18" i="26" s="1"/>
  <c r="E19" i="26"/>
  <c r="F19" i="26"/>
  <c r="H19" i="26"/>
  <c r="I19" i="26" s="1"/>
  <c r="E20" i="26"/>
  <c r="F20" i="26" s="1"/>
  <c r="H20" i="26"/>
  <c r="I20" i="26"/>
  <c r="E21" i="26"/>
  <c r="F21" i="26" s="1"/>
  <c r="H21" i="26"/>
  <c r="I21" i="26" s="1"/>
  <c r="E22" i="26"/>
  <c r="F22" i="26" s="1"/>
  <c r="H22" i="26"/>
  <c r="I22" i="26" s="1"/>
  <c r="E23" i="26"/>
  <c r="F23" i="26"/>
  <c r="H23" i="26"/>
  <c r="I23" i="26"/>
  <c r="E24" i="26"/>
  <c r="F24" i="26" s="1"/>
  <c r="H24" i="26"/>
  <c r="I24" i="26" s="1"/>
  <c r="E25" i="26"/>
  <c r="F25" i="26" s="1"/>
  <c r="H25" i="26"/>
  <c r="I25" i="26" s="1"/>
  <c r="E26" i="26"/>
  <c r="F26" i="26"/>
  <c r="H26" i="26"/>
  <c r="I26" i="26" s="1"/>
  <c r="E27" i="26"/>
  <c r="F27" i="26" s="1"/>
  <c r="H27" i="26"/>
  <c r="I27" i="26"/>
  <c r="E28" i="26"/>
  <c r="F28" i="26"/>
  <c r="H28" i="26"/>
  <c r="I28" i="26"/>
  <c r="E29" i="26"/>
  <c r="F29" i="26" s="1"/>
  <c r="H29" i="26"/>
  <c r="I29" i="26"/>
  <c r="E30" i="26"/>
  <c r="F30" i="26" s="1"/>
  <c r="H30" i="26"/>
  <c r="I30" i="26"/>
  <c r="E31" i="26"/>
  <c r="F31" i="26" s="1"/>
  <c r="H31" i="26"/>
  <c r="I31" i="26" s="1"/>
  <c r="E32" i="26"/>
  <c r="F32" i="26" s="1"/>
  <c r="H32" i="26"/>
  <c r="E33" i="26"/>
  <c r="F33" i="26" s="1"/>
  <c r="H33" i="26"/>
  <c r="I33" i="26" s="1"/>
  <c r="E34" i="26"/>
  <c r="F34" i="26" s="1"/>
  <c r="H34" i="26"/>
  <c r="I34" i="26" s="1"/>
  <c r="E35" i="26"/>
  <c r="F35" i="26" s="1"/>
  <c r="H35" i="26"/>
  <c r="I35" i="26" s="1"/>
  <c r="E36" i="26"/>
  <c r="F36" i="26" s="1"/>
  <c r="H36" i="26"/>
  <c r="I36" i="26"/>
  <c r="E37" i="26"/>
  <c r="F37" i="26" s="1"/>
  <c r="H37" i="26"/>
  <c r="I37" i="26"/>
  <c r="E38" i="26"/>
  <c r="F38" i="26" s="1"/>
  <c r="H38" i="26"/>
  <c r="I38" i="26" s="1"/>
  <c r="E18" i="19"/>
  <c r="F18" i="19"/>
  <c r="H18" i="19"/>
  <c r="H18" i="18" s="1"/>
  <c r="I18" i="18" s="1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H21" i="18" s="1"/>
  <c r="I21" i="18" s="1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E28" i="30"/>
  <c r="F28" i="30" s="1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E23" i="29" s="1"/>
  <c r="F23" i="29" s="1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E23" i="18" s="1"/>
  <c r="F23" i="18" s="1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E38" i="18" s="1"/>
  <c r="F38" i="18" s="1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C24" i="34" s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C33" i="34" s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E16" i="18" s="1"/>
  <c r="F16" i="18" s="1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D8" i="18"/>
  <c r="C8" i="18"/>
  <c r="E8" i="18" s="1"/>
  <c r="F8" i="18" s="1"/>
  <c r="D7" i="18"/>
  <c r="D2" i="18" s="1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10" i="34" s="1"/>
  <c r="C9" i="1"/>
  <c r="C9" i="34" s="1"/>
  <c r="C8" i="1"/>
  <c r="C8" i="34" s="1"/>
  <c r="C7" i="1"/>
  <c r="C6" i="1"/>
  <c r="C6" i="34" s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I23" i="4" l="1"/>
  <c r="I25" i="1"/>
  <c r="H35" i="34"/>
  <c r="C36" i="34"/>
  <c r="C29" i="34"/>
  <c r="G31" i="34"/>
  <c r="G30" i="34"/>
  <c r="I34" i="1"/>
  <c r="E38" i="1"/>
  <c r="F38" i="1" s="1"/>
  <c r="E30" i="1"/>
  <c r="F30" i="1" s="1"/>
  <c r="E22" i="1"/>
  <c r="F22" i="1" s="1"/>
  <c r="E29" i="34"/>
  <c r="F29" i="34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G37" i="34"/>
  <c r="I36" i="72"/>
  <c r="E36" i="34"/>
  <c r="F36" i="34" s="1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I32" i="26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<sst xmlns="http://schemas.openxmlformats.org/spreadsheetml/2006/main" count="640" uniqueCount="167">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</sst>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tabSelected="1" workbookViewId="0">
      <pane xSplit="2" ySplit="3" topLeftCell="C4" activePane="bottomRight" state="frozen"/>
      <selection pane="bottomRight" activeCell="M13" sqref="M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Cushman &amp; Wakefield</v>
      </c>
      <c r="B1" s="71"/>
      <c r="C1" s="71"/>
      <c r="D1" s="72" t="s">
        <v>0</v>
      </c>
      <c r="E1" s="72"/>
      <c r="F1" s="72"/>
      <c r="G1" s="70" t="s">
        <v>1</v>
      </c>
      <c r="H1" s="70"/>
      <c r="I1" s="70"/>
    </row>
    <row r="2" spans="1:9" ht="19.5" customHeight="1">
      <c r="A2" s="73" t="s">
        <v>2</v>
      </c>
      <c r="B2" s="73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8">
        <f>SUM('1st Qtr'!C7, '2nd Qtr'!C7, '3rd Qtr'!C7, '4th Qtr'!C7)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13690.4</v>
      </c>
      <c r="D14" s="13">
        <f>SUM(Jan!D14, Feb!D14, Mar!D14)</f>
        <v>0</v>
      </c>
      <c r="E14" s="13">
        <f>IF(AND(ISNUMBER(C14),ISNUMBER(D14)), C14-D14, "")</f>
        <v>13690.4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164.10000000000002</v>
      </c>
      <c r="D15" s="18">
        <f>SUM(Jan!D15, Feb!D15, Mar!D15)</f>
        <v>0</v>
      </c>
      <c r="E15" s="18">
        <f>IF(AND(ISNUMBER(C15),ISNUMBER(D15)), C15-D15, "")</f>
        <v>164.10000000000002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Cushman &amp; Wakefield</v>
      </c>
      <c r="B1" s="71"/>
      <c r="C1" s="71"/>
      <c r="D1" s="72" t="s">
        <v>10</v>
      </c>
      <c r="E1" s="72"/>
      <c r="F1" s="72"/>
      <c r="G1" s="70" t="s">
        <v>11</v>
      </c>
      <c r="H1" s="70"/>
      <c r="I1" s="70"/>
    </row>
    <row r="2" spans="1:9" ht="19.5" customHeight="1">
      <c r="A2" s="73" t="s">
        <v>2</v>
      </c>
      <c r="B2" s="73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M28" activePane="bottomRight" state="frozen"/>
      <selection pane="bottomRight" activeCell="M28" sqref="M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Cushman &amp; Wakefield</v>
      </c>
      <c r="B1" s="71"/>
      <c r="C1" s="71"/>
      <c r="D1" s="72" t="s">
        <v>12</v>
      </c>
      <c r="E1" s="72"/>
      <c r="F1" s="72"/>
      <c r="G1" s="70" t="s">
        <v>13</v>
      </c>
      <c r="H1" s="70"/>
      <c r="I1" s="70"/>
    </row>
    <row r="2" spans="1:9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0</v>
      </c>
      <c r="D20" s="13">
        <f>SUM(Apr!D20, May!D20, Jun!D20)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0</v>
      </c>
      <c r="D26" s="13">
        <f>SUM(Apr!D26, May!D26, Jun!D26)</f>
        <v>0</v>
      </c>
      <c r="E26" s="13">
        <f t="shared" si="6"/>
        <v>0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0</v>
      </c>
      <c r="D27" s="18">
        <f>SUM(Apr!D27, May!D27, Jun!D27)</f>
        <v>0</v>
      </c>
      <c r="E27" s="18">
        <f t="shared" si="6"/>
        <v>0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0</v>
      </c>
      <c r="D28" s="13">
        <f>SUM(Apr!D28, May!D28, Jun!D28)</f>
        <v>0</v>
      </c>
      <c r="E28" s="13">
        <f t="shared" si="6"/>
        <v>0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0</v>
      </c>
      <c r="D29" s="18">
        <f>SUM(Apr!D29, May!D29, Jun!D29)</f>
        <v>0</v>
      </c>
      <c r="E29" s="18">
        <f t="shared" si="6"/>
        <v>0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0</v>
      </c>
      <c r="D30" s="13">
        <f>SUM(Apr!D30, May!D30, Jun!D30)</f>
        <v>0</v>
      </c>
      <c r="E30" s="13">
        <f t="shared" si="6"/>
        <v>0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0</v>
      </c>
      <c r="D31" s="18">
        <f>SUM(Apr!D31, May!D31, Jun!D31)</f>
        <v>0</v>
      </c>
      <c r="E31" s="18">
        <f t="shared" si="6"/>
        <v>0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0</v>
      </c>
      <c r="D33" s="18">
        <f>SUM(Apr!D33, May!D33, Jun!D33)</f>
        <v>0</v>
      </c>
      <c r="E33" s="18">
        <f t="shared" si="6"/>
        <v>0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0</v>
      </c>
      <c r="D35" s="18">
        <f>SUM(Apr!D35, May!D35, Jun!D35)</f>
        <v>0</v>
      </c>
      <c r="E35" s="18">
        <f t="shared" si="6"/>
        <v>0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0</v>
      </c>
      <c r="D37" s="18">
        <f>SUM(Apr!D37, May!D37, Jun!D37)</f>
        <v>0</v>
      </c>
      <c r="E37" s="18">
        <f t="shared" si="6"/>
        <v>0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0</v>
      </c>
      <c r="D38" s="13">
        <f>SUM(Apr!D38, May!D38, Jun!D38)</f>
        <v>0</v>
      </c>
      <c r="E38" s="13">
        <f t="shared" si="6"/>
        <v>0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23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Cushman &amp; Wakefield</v>
      </c>
      <c r="B1" s="71"/>
      <c r="C1" s="71"/>
      <c r="D1" s="72" t="s">
        <v>14</v>
      </c>
      <c r="E1" s="72"/>
      <c r="F1" s="72"/>
      <c r="G1" s="70" t="s">
        <v>15</v>
      </c>
      <c r="H1" s="70"/>
      <c r="I1" s="70"/>
    </row>
    <row r="2" spans="1:9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0</v>
      </c>
      <c r="D20" s="13">
        <f>SUM(Jul!D20, Aug!D20, Sep!D20)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0</v>
      </c>
      <c r="D35" s="18">
        <f>SUM(Jul!D35, Aug!D35, Sep!D35)</f>
        <v>0</v>
      </c>
      <c r="E35" s="18">
        <f t="shared" si="6"/>
        <v>0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0</v>
      </c>
      <c r="D37" s="18">
        <f>SUM(Jul!D37, Aug!D37, Sep!D37)</f>
        <v>0</v>
      </c>
      <c r="E37" s="18">
        <f t="shared" si="6"/>
        <v>0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0</v>
      </c>
      <c r="D38" s="13">
        <f>SUM(Jul!D38, Aug!D38, Sep!D38)</f>
        <v>0</v>
      </c>
      <c r="E38" s="13">
        <f t="shared" si="6"/>
        <v>0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bottomRight" activeCell="M22" sqref="M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Cushman &amp; Wakefield</v>
      </c>
      <c r="B1" s="71"/>
      <c r="C1" s="71"/>
      <c r="D1" s="72" t="s">
        <v>16</v>
      </c>
      <c r="E1" s="72"/>
      <c r="F1" s="72"/>
      <c r="G1" s="70" t="s">
        <v>17</v>
      </c>
      <c r="H1" s="70"/>
      <c r="I1" s="70"/>
    </row>
    <row r="2" spans="1:9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bottomRight" activeCell="N28" sqref="N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1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86.45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43.15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9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5.7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6.5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9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9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3" activePane="bottomRight" state="frozen"/>
      <selection pane="bottomRight" activeCell="L11" sqref="L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Cushman &amp; Wakefield</v>
      </c>
      <c r="B1" s="71"/>
      <c r="C1" s="71"/>
      <c r="D1" s="72" t="s">
        <v>48</v>
      </c>
      <c r="E1" s="72"/>
      <c r="F1" s="72"/>
      <c r="G1" s="70" t="s">
        <v>49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9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9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9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9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9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60" zoomScaleNormal="60" workbookViewId="0">
      <pane xSplit="2" ySplit="3" topLeftCell="C20" activePane="bottomRight" state="frozen"/>
      <selection pane="bottomRight" activeCell="P35" sqref="P3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64</v>
      </c>
      <c r="E1" s="72"/>
      <c r="F1" s="72"/>
      <c r="G1" s="70" t="s">
        <v>65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15.15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/>
      <c r="K34" s="41"/>
    </row>
    <row r="35" spans="1:11" ht="28.9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69</v>
      </c>
      <c r="K35" s="68" t="s">
        <v>70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4" activePane="bottomRight" state="frozen"/>
      <selection pane="bottomRight" activeCell="P19" sqref="P19:P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Cushman &amp; Wakefield</v>
      </c>
      <c r="B1" s="71"/>
      <c r="C1" s="71"/>
      <c r="D1" s="72" t="s">
        <v>71</v>
      </c>
      <c r="E1" s="72"/>
      <c r="F1" s="72"/>
      <c r="G1" s="70" t="s">
        <v>72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59"/>
    </row>
    <row r="11" spans="1:12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28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Cushman &amp; Wakefield</v>
      </c>
      <c r="B1" s="71"/>
      <c r="C1" s="71"/>
      <c r="D1" s="72" t="s">
        <v>73</v>
      </c>
      <c r="E1" s="72"/>
      <c r="F1" s="72"/>
      <c r="G1" s="70" t="s">
        <v>74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59"/>
    </row>
    <row r="11" spans="1:12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70" zoomScaleNormal="70" workbookViewId="0">
      <pane xSplit="2" ySplit="3" topLeftCell="C8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Cushman &amp; Wakefield</v>
      </c>
      <c r="B1" s="71"/>
      <c r="C1" s="71"/>
      <c r="D1" s="72" t="s">
        <v>75</v>
      </c>
      <c r="E1" s="72"/>
      <c r="F1" s="72"/>
      <c r="G1" s="70" t="s">
        <v>76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54" customHeight="1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59"/>
    </row>
    <row r="11" spans="1:12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49.5" customHeight="1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10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77</v>
      </c>
      <c r="E1" s="72"/>
      <c r="F1" s="72"/>
      <c r="G1" s="70" t="s">
        <v>78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16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79</v>
      </c>
      <c r="E1" s="72"/>
      <c r="F1" s="72"/>
      <c r="G1" s="70" t="s">
        <v>80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81</v>
      </c>
      <c r="E1" s="72"/>
      <c r="F1" s="72"/>
      <c r="G1" s="70" t="s">
        <v>82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2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2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2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2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83</v>
      </c>
      <c r="E1" s="72"/>
      <c r="F1" s="72"/>
      <c r="G1" s="70" t="s">
        <v>84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1">IFERROR(E6/D6, "")</f>
        <v/>
      </c>
      <c r="G6" s="15"/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1"/>
        <v/>
      </c>
      <c r="G11" s="20"/>
      <c r="H11" s="20" t="str">
        <f t="shared" si="2"/>
        <v/>
      </c>
      <c r="I11" s="19" t="str">
        <f t="shared" si="3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1"/>
        <v/>
      </c>
      <c r="G14" s="15"/>
      <c r="H14" s="15" t="str">
        <f t="shared" si="2"/>
        <v/>
      </c>
      <c r="I14" s="16" t="str">
        <f t="shared" si="3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1"/>
        <v/>
      </c>
      <c r="G15" s="20"/>
      <c r="H15" s="20" t="str">
        <f t="shared" si="2"/>
        <v/>
      </c>
      <c r="I15" s="19" t="str">
        <f t="shared" si="3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1"/>
        <v/>
      </c>
      <c r="G16" s="15"/>
      <c r="H16" s="15" t="str">
        <f t="shared" si="2"/>
        <v/>
      </c>
      <c r="I16" s="16" t="str">
        <f t="shared" si="3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1"/>
        <v/>
      </c>
      <c r="G17" s="20"/>
      <c r="H17" s="20" t="str">
        <f t="shared" si="2"/>
        <v/>
      </c>
      <c r="I17" s="19" t="str">
        <f t="shared" si="3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0">
        <v>0</v>
      </c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I6" sqref="I6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85</v>
      </c>
      <c r="E1" s="72"/>
      <c r="F1" s="72"/>
      <c r="G1" s="70" t="s">
        <v>86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C4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Cushman &amp; Wakefield</v>
      </c>
      <c r="B1" s="71"/>
      <c r="C1" s="71"/>
      <c r="D1" s="72" t="s">
        <v>87</v>
      </c>
      <c r="E1" s="72"/>
      <c r="F1" s="72"/>
      <c r="G1" s="70" t="s">
        <v>88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="80" zoomScaleNormal="80" workbookViewId="0">
      <pane ySplit="3" topLeftCell="A19" activePane="bottomLeft" state="frozen"/>
      <selection pane="bottomLeft" activeCell="C50" sqref="C50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89</v>
      </c>
      <c r="B1" t="s">
        <v>90</v>
      </c>
    </row>
    <row r="3" spans="1:7" ht="13.15">
      <c r="A3" t="s">
        <v>91</v>
      </c>
      <c r="B3" t="s">
        <v>3</v>
      </c>
      <c r="C3" t="s">
        <v>4</v>
      </c>
      <c r="D3" t="s">
        <v>92</v>
      </c>
      <c r="E3" s="2" t="s">
        <v>93</v>
      </c>
    </row>
    <row r="4" spans="1:7" ht="14.45">
      <c r="A4" s="44" t="s">
        <v>94</v>
      </c>
      <c r="B4" s="45" t="s">
        <v>95</v>
      </c>
      <c r="C4" s="45" t="s">
        <v>96</v>
      </c>
      <c r="D4" s="46"/>
      <c r="E4" s="47" t="s">
        <v>97</v>
      </c>
      <c r="G4" s="3"/>
    </row>
    <row r="5" spans="1:7" ht="14.45">
      <c r="A5" s="48" t="s">
        <v>94</v>
      </c>
      <c r="B5" s="49" t="s">
        <v>98</v>
      </c>
      <c r="C5" s="49" t="s">
        <v>96</v>
      </c>
      <c r="D5" s="50"/>
      <c r="E5" s="51" t="s">
        <v>97</v>
      </c>
      <c r="G5" s="3"/>
    </row>
    <row r="6" spans="1:7" ht="14.45">
      <c r="A6" s="44" t="s">
        <v>99</v>
      </c>
      <c r="B6" s="45" t="s">
        <v>100</v>
      </c>
      <c r="C6" s="45" t="s">
        <v>96</v>
      </c>
      <c r="D6" s="46"/>
      <c r="E6" s="47" t="s">
        <v>97</v>
      </c>
      <c r="G6" s="3"/>
    </row>
    <row r="7" spans="1:7" ht="12.75" customHeight="1">
      <c r="A7" s="48" t="s">
        <v>101</v>
      </c>
      <c r="B7" s="49" t="s">
        <v>102</v>
      </c>
      <c r="C7" s="49" t="s">
        <v>96</v>
      </c>
      <c r="D7" s="50"/>
      <c r="E7" s="51" t="s">
        <v>97</v>
      </c>
    </row>
    <row r="8" spans="1:7" ht="12.75" customHeight="1">
      <c r="A8" s="44" t="s">
        <v>103</v>
      </c>
      <c r="B8" s="45" t="s">
        <v>104</v>
      </c>
      <c r="C8" s="45" t="s">
        <v>96</v>
      </c>
      <c r="D8" s="46"/>
      <c r="E8" s="47" t="s">
        <v>97</v>
      </c>
    </row>
    <row r="9" spans="1:7" ht="12.75" customHeight="1">
      <c r="A9" s="48" t="s">
        <v>105</v>
      </c>
      <c r="B9" s="49" t="s">
        <v>106</v>
      </c>
      <c r="C9" s="49" t="s">
        <v>96</v>
      </c>
      <c r="D9" s="50"/>
      <c r="E9" s="51" t="s">
        <v>97</v>
      </c>
    </row>
    <row r="10" spans="1:7" ht="12.75" customHeight="1">
      <c r="A10" s="44" t="s">
        <v>107</v>
      </c>
      <c r="B10" s="45" t="s">
        <v>108</v>
      </c>
      <c r="C10" s="45" t="s">
        <v>96</v>
      </c>
      <c r="D10" s="46"/>
      <c r="E10" s="47" t="s">
        <v>97</v>
      </c>
    </row>
    <row r="11" spans="1:7" ht="12.75" customHeight="1">
      <c r="A11" s="48" t="s">
        <v>109</v>
      </c>
      <c r="B11" s="49" t="s">
        <v>110</v>
      </c>
      <c r="C11" s="49" t="s">
        <v>96</v>
      </c>
      <c r="D11" s="50"/>
      <c r="E11" s="51" t="s">
        <v>97</v>
      </c>
    </row>
    <row r="12" spans="1:7" ht="12.75" customHeight="1">
      <c r="A12" s="44" t="s">
        <v>111</v>
      </c>
      <c r="B12" s="45" t="s">
        <v>112</v>
      </c>
      <c r="C12" s="45" t="s">
        <v>96</v>
      </c>
      <c r="D12" s="46"/>
      <c r="E12" s="47" t="s">
        <v>97</v>
      </c>
    </row>
    <row r="13" spans="1:7" ht="12.75" customHeight="1">
      <c r="A13" s="48" t="s">
        <v>94</v>
      </c>
      <c r="B13" s="49" t="s">
        <v>113</v>
      </c>
      <c r="C13" s="49" t="s">
        <v>96</v>
      </c>
      <c r="D13" s="50"/>
      <c r="E13" s="51" t="s">
        <v>97</v>
      </c>
    </row>
    <row r="14" spans="1:7" ht="12.75" customHeight="1">
      <c r="A14" s="44" t="s">
        <v>114</v>
      </c>
      <c r="B14" s="45" t="s">
        <v>115</v>
      </c>
      <c r="C14" s="45" t="s">
        <v>96</v>
      </c>
      <c r="D14" s="46"/>
      <c r="E14" s="47" t="s">
        <v>97</v>
      </c>
    </row>
    <row r="15" spans="1:7" ht="12.75" customHeight="1">
      <c r="A15" s="48" t="s">
        <v>116</v>
      </c>
      <c r="B15" s="49" t="s">
        <v>117</v>
      </c>
      <c r="C15" s="49" t="s">
        <v>96</v>
      </c>
      <c r="D15" s="50"/>
      <c r="E15" s="51" t="s">
        <v>97</v>
      </c>
    </row>
    <row r="16" spans="1:7" ht="12.75" customHeight="1">
      <c r="A16" s="44" t="s">
        <v>118</v>
      </c>
      <c r="B16" s="45" t="s">
        <v>119</v>
      </c>
      <c r="C16" s="45" t="s">
        <v>96</v>
      </c>
      <c r="D16" s="46"/>
      <c r="E16" s="47" t="s">
        <v>97</v>
      </c>
    </row>
    <row r="17" spans="1:5" ht="12.75" customHeight="1">
      <c r="A17" s="48" t="s">
        <v>120</v>
      </c>
      <c r="B17" s="49" t="s">
        <v>121</v>
      </c>
      <c r="C17" s="49" t="s">
        <v>96</v>
      </c>
      <c r="D17" s="50"/>
      <c r="E17" s="51" t="s">
        <v>97</v>
      </c>
    </row>
    <row r="18" spans="1:5" ht="12.75" customHeight="1">
      <c r="A18" s="48"/>
      <c r="B18" s="49" t="s">
        <v>122</v>
      </c>
      <c r="C18" s="49" t="s">
        <v>96</v>
      </c>
      <c r="D18" s="46"/>
      <c r="E18" s="47" t="s">
        <v>97</v>
      </c>
    </row>
    <row r="19" spans="1:5" ht="12.75" customHeight="1">
      <c r="A19" s="48" t="s">
        <v>123</v>
      </c>
      <c r="B19" s="49" t="s">
        <v>124</v>
      </c>
      <c r="C19" s="49" t="s">
        <v>125</v>
      </c>
      <c r="D19" s="50"/>
      <c r="E19" s="51" t="s">
        <v>97</v>
      </c>
    </row>
    <row r="20" spans="1:5" ht="12.75" customHeight="1">
      <c r="A20" s="48" t="s">
        <v>126</v>
      </c>
      <c r="B20" s="49" t="s">
        <v>127</v>
      </c>
      <c r="C20" s="49" t="s">
        <v>125</v>
      </c>
      <c r="D20" s="46"/>
      <c r="E20" s="47" t="s">
        <v>97</v>
      </c>
    </row>
    <row r="21" spans="1:5" ht="12.75" customHeight="1">
      <c r="A21" s="48" t="s">
        <v>128</v>
      </c>
      <c r="B21" s="49" t="s">
        <v>129</v>
      </c>
      <c r="C21" s="49" t="s">
        <v>125</v>
      </c>
      <c r="D21" s="50"/>
      <c r="E21" s="51" t="s">
        <v>97</v>
      </c>
    </row>
    <row r="22" spans="1:5" ht="12.75" customHeight="1">
      <c r="A22" s="48" t="s">
        <v>130</v>
      </c>
      <c r="B22" s="49" t="s">
        <v>131</v>
      </c>
      <c r="C22" s="49" t="s">
        <v>125</v>
      </c>
      <c r="D22" s="46"/>
      <c r="E22" s="47" t="s">
        <v>97</v>
      </c>
    </row>
    <row r="23" spans="1:5" ht="12.75" customHeight="1">
      <c r="A23" s="48" t="s">
        <v>132</v>
      </c>
      <c r="B23" s="49" t="s">
        <v>133</v>
      </c>
      <c r="C23" s="49" t="s">
        <v>125</v>
      </c>
      <c r="D23" s="50"/>
      <c r="E23" s="51" t="s">
        <v>97</v>
      </c>
    </row>
    <row r="24" spans="1:5" ht="12.75" customHeight="1">
      <c r="A24" s="48" t="s">
        <v>134</v>
      </c>
      <c r="B24" s="49" t="s">
        <v>135</v>
      </c>
      <c r="C24" s="49" t="s">
        <v>125</v>
      </c>
      <c r="D24" s="46"/>
      <c r="E24" s="47" t="s">
        <v>97</v>
      </c>
    </row>
    <row r="25" spans="1:5" ht="12.75" customHeight="1">
      <c r="A25" s="48" t="s">
        <v>136</v>
      </c>
      <c r="B25" s="49" t="s">
        <v>137</v>
      </c>
      <c r="C25" s="49" t="s">
        <v>125</v>
      </c>
      <c r="D25" s="50"/>
      <c r="E25" s="51" t="s">
        <v>97</v>
      </c>
    </row>
    <row r="26" spans="1:5" ht="12.75" customHeight="1">
      <c r="A26" s="48" t="s">
        <v>138</v>
      </c>
      <c r="B26" s="49" t="s">
        <v>139</v>
      </c>
      <c r="C26" s="49" t="s">
        <v>125</v>
      </c>
      <c r="D26" s="46"/>
      <c r="E26" s="47" t="s">
        <v>97</v>
      </c>
    </row>
    <row r="27" spans="1:5" ht="12.75" customHeight="1">
      <c r="A27" s="48" t="s">
        <v>140</v>
      </c>
      <c r="B27" s="49" t="s">
        <v>141</v>
      </c>
      <c r="C27" s="49" t="s">
        <v>125</v>
      </c>
      <c r="D27" s="50"/>
      <c r="E27" s="51" t="s">
        <v>97</v>
      </c>
    </row>
    <row r="28" spans="1:5" ht="12.75" customHeight="1">
      <c r="A28" s="48" t="s">
        <v>142</v>
      </c>
      <c r="B28" s="49" t="s">
        <v>143</v>
      </c>
      <c r="C28" s="49" t="s">
        <v>125</v>
      </c>
      <c r="D28" s="46"/>
      <c r="E28" s="47" t="s">
        <v>97</v>
      </c>
    </row>
    <row r="29" spans="1:5" ht="12.75" customHeight="1">
      <c r="A29" s="48" t="s">
        <v>144</v>
      </c>
      <c r="B29" s="49" t="s">
        <v>145</v>
      </c>
      <c r="C29" s="49" t="s">
        <v>125</v>
      </c>
      <c r="D29" s="50"/>
      <c r="E29" s="51" t="s">
        <v>97</v>
      </c>
    </row>
    <row r="30" spans="1:5" ht="12.75" customHeight="1">
      <c r="A30" s="48" t="s">
        <v>146</v>
      </c>
      <c r="B30" s="49" t="s">
        <v>147</v>
      </c>
      <c r="C30" s="49" t="s">
        <v>148</v>
      </c>
      <c r="D30" s="46"/>
      <c r="E30" s="47" t="s">
        <v>97</v>
      </c>
    </row>
    <row r="31" spans="1:5" ht="12.75" customHeight="1">
      <c r="A31" s="48" t="s">
        <v>149</v>
      </c>
      <c r="B31" s="49" t="s">
        <v>150</v>
      </c>
      <c r="C31" s="49" t="s">
        <v>148</v>
      </c>
      <c r="D31" s="50"/>
      <c r="E31" s="51" t="s">
        <v>97</v>
      </c>
    </row>
    <row r="32" spans="1:5" ht="12.75" customHeight="1">
      <c r="A32" s="48" t="s">
        <v>94</v>
      </c>
      <c r="B32" s="49" t="s">
        <v>151</v>
      </c>
      <c r="C32" s="49" t="s">
        <v>152</v>
      </c>
      <c r="D32" s="46"/>
      <c r="E32" s="47" t="s">
        <v>97</v>
      </c>
    </row>
    <row r="33" spans="1:5" ht="12.75" customHeight="1">
      <c r="A33" s="48" t="s">
        <v>153</v>
      </c>
      <c r="B33" s="49" t="s">
        <v>154</v>
      </c>
      <c r="C33" s="49" t="s">
        <v>155</v>
      </c>
      <c r="D33" s="50"/>
      <c r="E33" s="51" t="s">
        <v>97</v>
      </c>
    </row>
    <row r="34" spans="1:5" ht="12.75" customHeight="1">
      <c r="A34" s="48" t="s">
        <v>156</v>
      </c>
      <c r="B34" s="49" t="s">
        <v>157</v>
      </c>
      <c r="C34" s="49" t="s">
        <v>155</v>
      </c>
      <c r="D34" s="46"/>
      <c r="E34" s="47" t="s">
        <v>97</v>
      </c>
    </row>
    <row r="35" spans="1:5" ht="12.75" customHeight="1">
      <c r="A35" s="48" t="s">
        <v>158</v>
      </c>
      <c r="B35" s="49" t="s">
        <v>159</v>
      </c>
      <c r="C35" s="49" t="s">
        <v>160</v>
      </c>
      <c r="D35" s="50"/>
      <c r="E35" s="51" t="s">
        <v>97</v>
      </c>
    </row>
    <row r="36" spans="1:5" ht="12.75" customHeight="1">
      <c r="A36" s="48" t="s">
        <v>94</v>
      </c>
      <c r="B36" s="49" t="s">
        <v>161</v>
      </c>
      <c r="C36" s="49" t="s">
        <v>160</v>
      </c>
      <c r="D36" s="46"/>
      <c r="E36" s="47" t="s">
        <v>97</v>
      </c>
    </row>
    <row r="37" spans="1:5" ht="12.75" customHeight="1">
      <c r="A37" s="48" t="s">
        <v>162</v>
      </c>
      <c r="B37" s="49" t="s">
        <v>163</v>
      </c>
      <c r="C37" s="49" t="s">
        <v>164</v>
      </c>
      <c r="D37" s="50"/>
      <c r="E37" s="51" t="s">
        <v>97</v>
      </c>
    </row>
    <row r="38" spans="1:5" ht="12.75" customHeight="1">
      <c r="A38" s="52" t="s">
        <v>165</v>
      </c>
      <c r="B38" s="53" t="s">
        <v>166</v>
      </c>
      <c r="C38" s="53" t="s">
        <v>164</v>
      </c>
      <c r="D38" s="54"/>
      <c r="E38" s="55" t="s">
        <v>97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C91D6516-6703-4B2B-8EB1-0E5C365152F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2025-06-25T19:47:23Z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