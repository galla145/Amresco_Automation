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70BD138E-3C97-42E4-A7D2-423D916963D2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E5" i="4"/>
  <c r="E5" i="72"/>
  <c r="F5" i="72" s="1"/>
  <c r="H5" i="3"/>
  <c r="I5" i="3" s="1"/>
  <c r="G5" i="29"/>
  <c r="G4" i="29"/>
  <c r="G2" i="29" s="1"/>
  <c r="G5" i="30"/>
  <c r="G4" i="30"/>
  <c r="G2" i="30" s="1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5" i="34" s="1"/>
  <c r="G4" i="1"/>
  <c r="G4" i="34" s="1"/>
  <c r="G2" i="34" s="1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30" l="1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E2" i="29"/>
  <c r="F2" i="29" s="1"/>
  <c r="E5" i="34"/>
  <c r="F5" i="34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<sst xmlns="http://schemas.openxmlformats.org/spreadsheetml/2006/main" count="250" uniqueCount="60">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</sst>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u/>
      <sz val="10"/>
      <color theme="10"/>
      <name val="Arial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0" fontId="35" fillId="46" borderId="0" xfId="0" applyFont="1" applyFill="1"/>
    <xf numFmtId="0" fontId="35" fillId="0" borderId="0" xfId="0" applyFont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36" fillId="0" borderId="0" xfId="45" applyNumberForma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10" sqref="D9: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136545.09999999998</v>
      </c>
      <c r="D4" s="13">
        <f>SUM('1st Qtr'!D4, '2nd Qtr'!D4, '3rd Qtr'!D4, '4th Qtr'!D4)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SUM('1st Qtr'!G4+'2nd Qtr'!G4+'3rd Qtr'!G4+'4th Qtr'!G4)</f>
        <v>185557.845</v>
      </c>
      <c r="H4" s="15">
        <f>SUM('1st Qtr'!H4, '2nd Qtr'!H4, '3rd Qtr'!H4, '4th Qtr'!H4)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48">
        <f>SUM('1st Qtr'!C5, '2nd Qtr'!C5, '3rd Qtr'!C5, '4th Qtr'!C5)</f>
        <v>194001.5</v>
      </c>
      <c r="D5" s="49">
        <f>SUM('1st Qtr'!D5, '2nd Qtr'!D5, '3rd Qtr'!D5, '4th Qtr'!D5)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50">
        <f>SUM('1st Qtr'!G5+'2nd Qtr'!G5+'3rd Qtr'!G5+'4th Qtr'!G5)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E13" sqref="E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H13" sqref="H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SUM(Aug!G4,Sep!G4,Oct!G4)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SUM(Aug!G5,Sep!G5,Oct!G5)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Amergy Solar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tabSelected="1" zoomScale="90" zoomScaleNormal="90" workbookViewId="0">
      <pane xSplit="2" ySplit="3" topLeftCell="C4" activePane="bottomRight" state="frozen"/>
      <selection pane="bottomRight" activeCell="J5" sqref="J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3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xSplit="2" ySplit="3" topLeftCell="E4" activePane="bottomRight" state="frozen"/>
      <selection pane="bottomRight" activeCell="J4" sqref="J4:K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workbookViewId="0">
      <pane xSplit="2" ySplit="3" topLeftCell="C4" activePane="bottomRight" state="frozen"/>
      <selection pane="bottomRight" activeCell="E14" sqref="E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27</v>
      </c>
      <c r="E1" s="56"/>
      <c r="F1" s="56"/>
      <c r="G1" s="54" t="s">
        <v>28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70" zoomScaleNormal="7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09.3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5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7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2"/>
      <c r="K5" s="52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54.7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52"/>
      <c r="K5" s="52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52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Amergy Solar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5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s="43" t="s">
        <v>53</v>
      </c>
      <c r="B4" s="43" t="s">
        <v>54</v>
      </c>
      <c r="C4" s="43" t="s">
        <v>55</v>
      </c>
      <c r="D4" s="46" t="s">
        <v>56</v>
      </c>
      <c r="E4" t="s">
        <v>57</v>
      </c>
      <c r="G4" s="3"/>
    </row>
    <row r="5" spans="1:7" ht="14.45">
      <c r="A5" s="44" t="s">
        <v>58</v>
      </c>
      <c r="B5" s="44" t="s">
        <v>59</v>
      </c>
      <c r="C5" s="45" t="s">
        <v>55</v>
      </c>
      <c r="D5" s="47" t="s">
        <v>56</v>
      </c>
      <c r="E5" t="s">
        <v>57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1AB6FF92-A1B5-45EA-9EA7-8096F2C5298E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