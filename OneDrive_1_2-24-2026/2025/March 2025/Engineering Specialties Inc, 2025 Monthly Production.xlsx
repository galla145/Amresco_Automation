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4C150300-8B66-42EA-90C0-7BB74234C87D}" xr6:coauthVersionLast="47" xr6:coauthVersionMax="47" xr10:uidLastSave="{00000000-0000-0000-0000-000000000000}"/>
  <bookViews>
    <workbookView xWindow="-108" yWindow="-108" windowWidth="23256" windowHeight="1389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<sst xmlns="http://schemas.openxmlformats.org/spreadsheetml/2006/main" count="245" uniqueCount="55">
  <si>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</si>
  <si>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</si>
  <si>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</si>
  <si>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</si>
  <si>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</si>
  <si>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</si>
  <si>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</si>
  <si>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</si>
  <si>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</si>
  <si>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</si>
  <si>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</si>
  <si>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</si>
  <si>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</si>
  <si>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</si>
  <si>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</si>
  <si>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</si>
  <si>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</si>
  <si>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</si>
  <si>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</si>
  <si>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</si>
  <si>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</si>
  <si>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</si>
  <si>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</si>
  <si>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weather/snow.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</si>
  <si>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</si>
  <si>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</si>
  <si>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</si>
  <si>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</si>
  <si>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</si>
  <si>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</si>
  <si>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</si>
  <si>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</si>
  <si>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</si>
  <si>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</si>
  <si>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</si>
  <si>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</si>
  <si>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</si>
  <si>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</si>
  <si>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</si>
  <si>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</si>
  <si>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</si>
  <si>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</si>
  <si>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</si>
  <si>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</si>
  <si>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</si>
  <si>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</si>
  <si>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</si>
  <si>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ESI</t>
  </si>
  <si>
    <t>Site DAS Name</t>
  </si>
  <si>
    <t>Update</t>
  </si>
  <si>
    <t>DAS</t>
  </si>
  <si>
    <t>CT: North Branford - Engineering Specialties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</si>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</sst>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A5" sqref="A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SUM(C4:C65)</f>
        <v>32548</v>
      </c>
      <c r="D2" s="5">
        <f>SUM(D4:D65)</f>
        <v>0</v>
      </c>
      <c r="E2" s="5">
        <f>C2-D2</f>
        <v>32548</v>
      </c>
      <c r="F2" s="6">
        <f>IFERROR(E2/D2, 0)</f>
        <v>0</v>
      </c>
      <c r="G2" s="5">
        <f>SUM(G4:G65)</f>
        <v>29519.472999999998</v>
      </c>
      <c r="H2" s="7">
        <f>C2-G2</f>
        <v>3028.5270000000019</v>
      </c>
      <c r="I2" s="6">
        <f>IFERROR(H2/G2, 0)</f>
        <v>0.10259420959174989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SUM('1st Qtr'!C4, '2nd Qtr'!C4, '3rd Qtr'!C4, '4th Qtr'!C4)</f>
        <v>32548</v>
      </c>
      <c r="D4" s="11">
        <f>SUM('1st Qtr'!D4, '2nd Qtr'!D4, '3rd Qtr'!D4, '4th Qtr'!D4)</f>
        <v>0</v>
      </c>
      <c r="E4" s="11">
        <f>IF(AND(ISNUMBER(C4),ISNUMBER(D4)), C4-D4, "")</f>
        <v>32548</v>
      </c>
      <c r="F4" s="12" t="str">
        <f>IFERROR(E4/D4, "")</f>
        <v/>
      </c>
      <c r="G4" s="13">
        <f>SUM('1st Qtr'!G4, '2nd Qtr'!G4, '3rd Qtr'!G4, '4th Qtr'!G4)</f>
        <v>29519.472999999998</v>
      </c>
      <c r="H4" s="13">
        <f>SUM('1st Qtr'!H4, '2nd Qtr'!H4, '3rd Qtr'!H4, '4th Qtr'!H4)</f>
        <v>3028.527000000001</v>
      </c>
      <c r="I4" s="14">
        <f>IFERROR(H4/G4, "")</f>
        <v>0.10259420959174986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G8" sqref="G8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SUM(C4:C65)</f>
        <v>32548</v>
      </c>
      <c r="D2" s="5">
        <f>SUM(D4:D65)</f>
        <v>0</v>
      </c>
      <c r="E2" s="5">
        <f>C2-D2</f>
        <v>32548</v>
      </c>
      <c r="F2" s="6">
        <f>IFERROR(E2/D2, 0)</f>
        <v>0</v>
      </c>
      <c r="G2" s="5">
        <f>SUM(G4:G65)</f>
        <v>29519.472999999998</v>
      </c>
      <c r="H2" s="7">
        <f>C2-G2</f>
        <v>3028.5270000000019</v>
      </c>
      <c r="I2" s="6">
        <f>IFERROR(H2/G2, 0)</f>
        <v>0.10259420959174989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SUM(Jan!C4, Feb!C4, Mar!C4)</f>
        <v>32548</v>
      </c>
      <c r="D4" s="11">
        <f>SUM(Jan!D4, Feb!D4, Mar!D4)</f>
        <v>0</v>
      </c>
      <c r="E4" s="11">
        <f>IF(AND(ISNUMBER(C4),ISNUMBER(D4)), C4-D4, "")</f>
        <v>32548</v>
      </c>
      <c r="F4" s="12" t="str">
        <f>IFERROR(E4/D4, "")</f>
        <v/>
      </c>
      <c r="G4" s="13">
        <f>SUM(Jan!G4, Feb!G4, Mar!G4)</f>
        <v>29519.472999999998</v>
      </c>
      <c r="H4" s="13">
        <f>SUM(Jan!H4, Feb!H4, Mar!H4)</f>
        <v>3028.527000000001</v>
      </c>
      <c r="I4" s="14">
        <f>IFERROR(H4/G4, "")</f>
        <v>0.10259420959174986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E19" sqref="E19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E7" sqref="E7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E11" sqref="E11"/>
      <selection pane="bottomLeft" activeCell="I19" sqref="I19"/>
      <selection pane="topRight" activeCell="I19" sqref="I19"/>
    </sheetView>
  </sheetViews>
  <sheetFormatPr defaultRowHeight="13.9"/>
  <cols>
    <col min="1" max="1" width="38.140625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SUM(C4:C64)</f>
        <v>8617</v>
      </c>
      <c r="D2" s="5">
        <f>SUM(D4:D64)</f>
        <v>0</v>
      </c>
      <c r="E2" s="5">
        <f>C2-D2</f>
        <v>8617</v>
      </c>
      <c r="F2" s="6">
        <f>IFERROR(E2/D2, 0)</f>
        <v>0</v>
      </c>
      <c r="G2" s="5">
        <f>SUM(G4:G64)</f>
        <v>7703.19</v>
      </c>
      <c r="H2" s="7">
        <f>C2-G2</f>
        <v>913.8100000000004</v>
      </c>
      <c r="I2" s="6">
        <f>IFERROR(H2/G2, 0)</f>
        <v>0.11862747770728756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8" t="s">
        <v>5</v>
      </c>
      <c r="D3" s="39" t="s">
        <v>6</v>
      </c>
      <c r="E3" s="26" t="s">
        <v>7</v>
      </c>
      <c r="F3" s="27" t="s">
        <v>8</v>
      </c>
      <c r="G3" s="40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7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8617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7703.19</v>
      </c>
      <c r="H4" s="13">
        <f>IF(AND(ISNUMBER(C4),ISNUMBER(G4)), C4-G4, "")</f>
        <v>913.8100000000004</v>
      </c>
      <c r="I4" s="14">
        <f>IFERROR(H4/G4, "")</f>
        <v>0.11862747770728756</v>
      </c>
      <c r="J4" s="31" t="s">
        <v>23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 I5:I64 F5:F64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 I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tabSelected="1" workbookViewId="0">
      <pane xSplit="2" ySplit="3" topLeftCell="D4" activePane="bottomRight" state="frozen"/>
      <selection pane="bottomRight" activeCell="F12" sqref="F12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9479</v>
      </c>
      <c r="D2" s="5">
        <f>SUM(D4:D65)</f>
        <v>0</v>
      </c>
      <c r="E2" s="5">
        <f>C2-D2</f>
        <v>9479</v>
      </c>
      <c r="F2" s="6">
        <f>IFERROR(E2/D2, 0)</f>
        <v>0</v>
      </c>
      <c r="G2" s="5">
        <f>SUM(G4:G65)</f>
        <v>9219.4</v>
      </c>
      <c r="H2" s="7">
        <f>C2-G2</f>
        <v>259.60000000000036</v>
      </c>
      <c r="I2" s="6">
        <f>IFERROR(H2/G2, 0)</f>
        <v>2.8158014621341994E-2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7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9479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9219.4</v>
      </c>
      <c r="H4" s="13">
        <f>IF(AND(ISNUMBER(C4),ISNUMBER(G4)), C4-G4, "")</f>
        <v>259.60000000000036</v>
      </c>
      <c r="I4" s="14">
        <f>IFERROR(H4/G4, "")</f>
        <v>2.8158014621341994E-2</v>
      </c>
      <c r="J4" s="31" t="s">
        <v>23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H17" sqref="H17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26</v>
      </c>
      <c r="E1" s="43"/>
      <c r="F1" s="43"/>
      <c r="G1" s="41" t="s">
        <v>27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14452</v>
      </c>
      <c r="D2" s="5">
        <f>SUM(D4:D65)</f>
        <v>0</v>
      </c>
      <c r="E2" s="5">
        <f>C2-D2</f>
        <v>14452</v>
      </c>
      <c r="F2" s="6">
        <f>IFERROR(E2/D2, 0)</f>
        <v>0</v>
      </c>
      <c r="G2" s="5">
        <f>SUM(G4:G65)</f>
        <v>12596.883</v>
      </c>
      <c r="H2" s="7">
        <f>C2-G2</f>
        <v>1855.1170000000002</v>
      </c>
      <c r="I2" s="6">
        <f>IFERROR(H2/G2, 0)</f>
        <v>0.14726793921956727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14452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12596.883</v>
      </c>
      <c r="H4" s="13">
        <f>IF(AND(ISNUMBER(C4),ISNUMBER(G4)), C4-G4, "")</f>
        <v>1855.1170000000002</v>
      </c>
      <c r="I4" s="14">
        <f>IFERROR(H4/G4, "")</f>
        <v>0.14726793921956727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28</v>
      </c>
      <c r="E1" s="43"/>
      <c r="F1" s="43"/>
      <c r="G1" s="41" t="s">
        <v>29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30</v>
      </c>
      <c r="E1" s="43"/>
      <c r="F1" s="43"/>
      <c r="G1" s="41" t="s">
        <v>31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32</v>
      </c>
      <c r="E1" s="43"/>
      <c r="F1" s="43"/>
      <c r="G1" s="41" t="s">
        <v>33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34</v>
      </c>
      <c r="E1" s="43"/>
      <c r="F1" s="43"/>
      <c r="G1" s="41" t="s">
        <v>35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36</v>
      </c>
      <c r="E1" s="43"/>
      <c r="F1" s="43"/>
      <c r="G1" s="41" t="s">
        <v>37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38</v>
      </c>
      <c r="E1" s="43"/>
      <c r="F1" s="43"/>
      <c r="G1" s="41" t="s">
        <v>39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40</v>
      </c>
      <c r="E1" s="43"/>
      <c r="F1" s="43"/>
      <c r="G1" s="41" t="s">
        <v>41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44</v>
      </c>
      <c r="E1" s="43"/>
      <c r="F1" s="43"/>
      <c r="G1" s="41" t="s">
        <v>45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36" t="s">
        <v>47</v>
      </c>
      <c r="B4" t="s">
        <v>51</v>
      </c>
      <c r="C4" s="34" t="s">
        <v>52</v>
      </c>
      <c r="D4" s="33" t="s">
        <v>53</v>
      </c>
      <c r="E4" t="s">
        <v>54</v>
      </c>
      <c r="G4" s="3"/>
    </row>
    <row r="5" spans="1:12" ht="14.45">
      <c r="A5" s="36"/>
      <c r="C5" s="34"/>
      <c r="D5" s="33"/>
      <c r="G5" s="3"/>
    </row>
    <row r="6" spans="1:12" ht="14.45">
      <c r="A6" s="36"/>
      <c r="C6" s="34"/>
      <c r="D6" s="33"/>
      <c r="G6" s="3"/>
    </row>
    <row r="7" spans="1:12" ht="12.75" customHeight="1">
      <c r="A7" s="36"/>
      <c r="C7" s="34"/>
      <c r="D7" s="33"/>
    </row>
    <row r="8" spans="1:12" ht="12.75" customHeight="1">
      <c r="A8" s="36"/>
      <c r="C8" s="34"/>
      <c r="D8" s="33"/>
    </row>
    <row r="9" spans="1:12" ht="12.75" customHeight="1">
      <c r="A9" s="36"/>
      <c r="C9" s="34"/>
      <c r="D9" s="33"/>
    </row>
    <row r="10" spans="1:12" ht="12.75" customHeight="1">
      <c r="A10" s="36"/>
      <c r="C10" s="34"/>
      <c r="D10" s="33"/>
      <c r="K10" s="32"/>
      <c r="L10" s="32"/>
    </row>
    <row r="11" spans="1:12" ht="12.75" customHeight="1">
      <c r="A11" s="36"/>
      <c r="C11" s="34"/>
      <c r="D11" s="33"/>
      <c r="K11" s="32"/>
      <c r="L11" s="32"/>
    </row>
    <row r="12" spans="1:12" ht="12.75" customHeight="1">
      <c r="A12" s="36"/>
      <c r="C12" s="34"/>
      <c r="D12" s="33"/>
      <c r="K12" s="32"/>
      <c r="L12" s="32"/>
    </row>
    <row r="13" spans="1:12" ht="12.75" customHeight="1">
      <c r="A13" s="36"/>
      <c r="C13" s="34"/>
      <c r="D13" s="33"/>
      <c r="K13" s="32"/>
      <c r="L13" s="32"/>
    </row>
    <row r="14" spans="1:12" ht="12.75" customHeight="1">
      <c r="A14" s="36"/>
      <c r="C14" s="34"/>
      <c r="D14" s="33"/>
      <c r="K14" s="32"/>
      <c r="L14" s="32"/>
    </row>
    <row r="15" spans="1:12" ht="12.75" customHeight="1">
      <c r="A15" s="36"/>
      <c r="C15" s="34"/>
      <c r="D15" s="33"/>
      <c r="K15" s="32"/>
      <c r="L15" s="32"/>
    </row>
    <row r="16" spans="1:12" ht="12.75" customHeight="1">
      <c r="A16" s="36"/>
      <c r="C16" s="34"/>
      <c r="D16" s="33"/>
      <c r="K16" s="32"/>
      <c r="L16" s="32"/>
    </row>
    <row r="17" spans="1:12" ht="12.75" customHeight="1">
      <c r="A17" s="36"/>
      <c r="C17" s="34"/>
      <c r="D17" s="33"/>
      <c r="K17" s="32"/>
      <c r="L17" s="32"/>
    </row>
    <row r="18" spans="1:12" ht="12.75" customHeight="1">
      <c r="A18" s="36"/>
      <c r="C18" s="34"/>
      <c r="D18" s="33"/>
      <c r="K18" s="32"/>
      <c r="L18" s="32"/>
    </row>
    <row r="19" spans="1:12" ht="12.75" customHeight="1">
      <c r="A19" s="36"/>
      <c r="C19" s="34"/>
      <c r="D19" s="33"/>
      <c r="K19" s="32"/>
      <c r="L19" s="32"/>
    </row>
    <row r="20" spans="1:12" ht="12.75" customHeight="1">
      <c r="A20" s="36"/>
      <c r="C20" s="34"/>
      <c r="D20" s="33"/>
      <c r="K20" s="32"/>
      <c r="L20" s="32"/>
    </row>
    <row r="21" spans="1:12" ht="12.75" customHeight="1">
      <c r="A21" s="36"/>
      <c r="C21" s="34"/>
      <c r="D21" s="33"/>
      <c r="K21" s="32"/>
      <c r="L21" s="32"/>
    </row>
    <row r="22" spans="1:12" ht="12.75" customHeight="1">
      <c r="A22" s="36"/>
      <c r="C22" s="34"/>
      <c r="D22" s="33"/>
      <c r="K22" s="32"/>
      <c r="L22" s="32"/>
    </row>
    <row r="23" spans="1:12" ht="12.75" customHeight="1">
      <c r="A23" s="36"/>
      <c r="C23" s="34"/>
      <c r="D23" s="33"/>
      <c r="K23" s="32"/>
      <c r="L23" s="32"/>
    </row>
    <row r="24" spans="1:12" ht="12.75" customHeight="1">
      <c r="A24" s="36"/>
      <c r="C24" s="34"/>
      <c r="D24" s="33"/>
      <c r="K24" s="32"/>
      <c r="L24" s="32"/>
    </row>
    <row r="25" spans="1:12" ht="12.75" customHeight="1">
      <c r="A25" s="36"/>
      <c r="C25" s="34"/>
      <c r="D25" s="33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36C48BF0-5BDB-4E85-8F15-F33FF023E7E5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2025-06-25T19:47:22Z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