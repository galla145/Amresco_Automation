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046F37E2-B15A-48EC-8F26-658AF0488DB9}" xr6:coauthVersionLast="47" xr6:coauthVersionMax="47" xr10:uidLastSave="{00000000-0000-0000-0000-000000000000}"/>
  <bookViews>
    <workbookView xWindow="-108" yWindow="-108" windowWidth="23256" windowHeight="1389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72" l="1"/>
  <c r="H4" i="3"/>
  <c r="I4" i="3"/>
  <c r="G4" i="30"/>
  <c r="G4" i="29"/>
  <c r="G4" i="18"/>
  <c r="G2" i="18"/>
  <c r="A4" i="4" a="1"/>
  <c r="A4" i="4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I4" i="72"/>
  <c r="G2" i="72"/>
  <c r="D2" i="72"/>
  <c r="C2" i="72"/>
  <c r="J2" i="72" s="1"/>
  <c r="A1" i="72" a="1"/>
  <c r="A1" i="72" s="1"/>
  <c r="E4" i="30" l="1"/>
  <c r="F4" i="30" s="1"/>
  <c r="G4" i="34"/>
  <c r="E4" i="18"/>
  <c r="F4" i="18" s="1"/>
  <c r="D4" i="34"/>
  <c r="D2" i="34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<sst xmlns="http://schemas.openxmlformats.org/spreadsheetml/2006/main" count="247" uniqueCount="58">
  <si>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</si>
  <si>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</si>
  <si>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</si>
  <si>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</si>
  <si>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</si>
  <si>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</si>
  <si>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</si>
  <si>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</si>
  <si>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</si>
  <si>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</si>
  <si>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</si>
  <si>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</si>
  <si>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</si>
  <si>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</si>
  <si>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</si>
  <si>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</si>
  <si>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</si>
  <si>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</si>
  <si>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</si>
  <si>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</si>
  <si>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</si>
  <si>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</si>
  <si>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</si>
  <si>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1.Low generation due to weather/snow.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</si>
  <si>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</si>
  <si>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</si>
  <si>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</si>
  <si>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</si>
  <si>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</si>
  <si>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</si>
  <si>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1. Inverter 1 left unit was offline from 03/27 and later back online at 16:40 on 04/30.</t>
  </si>
  <si>
    <t>1. SR083210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</si>
  <si>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</si>
  <si>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</si>
  <si>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</si>
  <si>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</si>
  <si>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</si>
  <si>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</si>
  <si>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</si>
  <si>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</si>
  <si>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</si>
  <si>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</si>
  <si>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</si>
  <si>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</si>
  <si>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</si>
  <si>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</si>
  <si>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</si>
  <si>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</si>
  <si>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</si>
  <si>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 Canton</t>
  </si>
  <si>
    <t>Site DAS Name</t>
  </si>
  <si>
    <t>Update</t>
  </si>
  <si>
    <t>DAS</t>
  </si>
  <si>
    <t>155 Will Drive</t>
  </si>
  <si>
    <t>MA: Canton - Will Canton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</si>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</sst>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8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5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9" fillId="40" borderId="0" xfId="0" applyFont="1" applyFill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5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8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Comma 2" xfId="46" xr:uid="{5743ADE5-3994-4301-B263-F2E0558A95BD}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rmal 3" xfId="45" xr:uid="{E8009DF6-EA6A-40DC-8840-BDFC8DAB276A}"/>
    <cellStyle name="Note 2" xfId="44" xr:uid="{74FD8891-0B2B-4B5A-B89E-AB361AD9C09D}"/>
    <cellStyle name="Output" xfId="12" builtinId="21" customBuiltin="1"/>
    <cellStyle name="Per cent" xfId="2" builtinId="5"/>
    <cellStyle name="Percent 2" xfId="47" xr:uid="{CC7E4D5D-9A24-428D-9E2F-A63C67CB85B6}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0"/>
  <sheetViews>
    <sheetView workbookViewId="0">
      <pane xSplit="2" ySplit="3" topLeftCell="C4" activePane="bottomRight" state="frozen"/>
      <selection pane="bottomRight" activeCell="E13" sqref="E13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Will Canton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5">
        <f>SUM(C4:C78)</f>
        <v>26517.375500000002</v>
      </c>
      <c r="D2" s="5">
        <f>SUM(D4:D78)</f>
        <v>0</v>
      </c>
      <c r="E2" s="5">
        <f>C2-D2</f>
        <v>26517.375500000002</v>
      </c>
      <c r="F2" s="6">
        <f>IFERROR(E2/D2, 0)</f>
        <v>0</v>
      </c>
      <c r="G2" s="5">
        <f>SUM(G4:G78)</f>
        <v>27605</v>
      </c>
      <c r="H2" s="7">
        <f>C2-G2</f>
        <v>-1087.6244999999981</v>
      </c>
      <c r="I2" s="6">
        <f>IFERROR(H2/G2, 0)</f>
        <v>-3.9399547183481182E-2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Canton - Will Canton</v>
      </c>
      <c r="B4" s="9" t="str" cm="1">
        <f t="array" ref="B4">Sites[State]</f>
        <v>MA</v>
      </c>
      <c r="C4" s="23">
        <f>SUM('1st Qtr'!C4, '2nd Qtr'!C4, '3rd Qtr'!C4, '4th Qtr'!C4)</f>
        <v>26517.375500000002</v>
      </c>
      <c r="D4" s="12">
        <f>SUM('1st Qtr'!D4, '2nd Qtr'!D4, '3rd Qtr'!D4, '4th Qtr'!D4)</f>
        <v>0</v>
      </c>
      <c r="E4" s="12">
        <f>IF(AND(ISNUMBER(C4),ISNUMBER(D4)), C4-D4, "")</f>
        <v>26517.375500000002</v>
      </c>
      <c r="F4" s="13" t="str">
        <f>IFERROR(E4/D4, "")</f>
        <v/>
      </c>
      <c r="G4" s="14">
        <f>SUM('1st Qtr'!G4, '2nd Qtr'!G4, '3rd Qtr'!G4, '4th Qtr'!G4)</f>
        <v>27605</v>
      </c>
      <c r="H4" s="14">
        <f>SUM('1st Qtr'!H4, '2nd Qtr'!H4, '3rd Qtr'!H4, '4th Qtr'!H4)</f>
        <v>-1087.6244999999999</v>
      </c>
      <c r="I4" s="15">
        <f>IFERROR(H4/G4, "")</f>
        <v>-3.9399547183481251E-2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8 I4:I78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0"/>
  <sheetViews>
    <sheetView workbookViewId="0">
      <pane xSplit="2" ySplit="3" topLeftCell="C4" activePane="bottomRight" state="frozen"/>
      <selection pane="bottomRight" activeCell="H4" sqref="H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Will Canton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5">
        <f>SUM(C4:C78)</f>
        <v>26517.375500000002</v>
      </c>
      <c r="D2" s="5">
        <f>SUM(D4:D78)</f>
        <v>0</v>
      </c>
      <c r="E2" s="5">
        <f>C2-D2</f>
        <v>26517.375500000002</v>
      </c>
      <c r="F2" s="6">
        <f>IFERROR(E2/D2, 0)</f>
        <v>0</v>
      </c>
      <c r="G2" s="5">
        <f>SUM(G4:G78)</f>
        <v>27605</v>
      </c>
      <c r="H2" s="7">
        <f>C2-G2</f>
        <v>-1087.6244999999981</v>
      </c>
      <c r="I2" s="6">
        <f>IFERROR(H2/G2, 0)</f>
        <v>-3.9399547183481182E-2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SUM(Jan!C4, Feb!C4, Mar!C4)</f>
        <v>26517.375500000002</v>
      </c>
      <c r="D4" s="12">
        <f>SUM(Jan!D4, Feb!D4, Mar!D4)</f>
        <v>0</v>
      </c>
      <c r="E4" s="12">
        <f>IF(AND(ISNUMBER(C4),ISNUMBER(D4)), C4-D4, "")</f>
        <v>26517.375500000002</v>
      </c>
      <c r="F4" s="13" t="str">
        <f>IFERROR(E4/D4, "")</f>
        <v/>
      </c>
      <c r="G4" s="14">
        <f>SUM(Jan!G4, Feb!G4, Mar!G4)</f>
        <v>27605</v>
      </c>
      <c r="H4" s="14">
        <f>SUM(Jan!H4, Feb!H4, Mar!H4)</f>
        <v>-1087.6244999999999</v>
      </c>
      <c r="I4" s="15">
        <f>IFERROR(H4/G4, "")</f>
        <v>-3.9399547183481251E-2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8 I4:I78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0"/>
  <sheetViews>
    <sheetView workbookViewId="0">
      <pane xSplit="2" ySplit="3" topLeftCell="C4" activePane="bottomRight" state="frozen"/>
      <selection pane="bottomRight" activeCell="I4" sqref="I4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Will Canton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0"/>
  <sheetViews>
    <sheetView workbookViewId="0">
      <pane xSplit="2" ySplit="3" topLeftCell="C4" activePane="bottomRight" state="frozen"/>
      <selection pane="bottomRight" activeCell="G5" sqref="G5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Will Canton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0"/>
  <sheetViews>
    <sheetView workbookViewId="0">
      <pane xSplit="2" ySplit="3" topLeftCell="C4" activePane="bottomRight" state="frozen"/>
      <selection pane="bottomRight" activeCell="I23" sqref="I23:J23"/>
      <selection pane="bottomLeft" activeCell="F19" sqref="F19"/>
      <selection pane="topRight" activeCell="F19" sqref="F19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Will Canton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Canton - Will Canton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4.45">
      <c r="A5" s="20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</sheetData>
  <mergeCells count="4">
    <mergeCell ref="G1:I1"/>
    <mergeCell ref="A1:C1"/>
    <mergeCell ref="D1:F1"/>
    <mergeCell ref="A2:B2"/>
  </mergeCells>
  <conditionalFormatting sqref="F2 I2 F4:F78 I4:I7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9"/>
  <sheetViews>
    <sheetView workbookViewId="0">
      <pane xSplit="2" ySplit="3" topLeftCell="C4" activePane="bottomRight" state="frozen"/>
      <selection pane="bottomRight" activeCell="E11" sqref="E11"/>
      <selection pane="bottomLeft" activeCell="C8" sqref="C8"/>
      <selection pane="topRight" activeCell="C8" sqref="C8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6232</v>
      </c>
      <c r="D2" s="5">
        <f>SUM(D4:D77)</f>
        <v>0</v>
      </c>
      <c r="E2" s="5">
        <f>C2-D2</f>
        <v>6232</v>
      </c>
      <c r="F2" s="6">
        <f>IFERROR(E2/D2, 0)</f>
        <v>0</v>
      </c>
      <c r="G2" s="5">
        <f>SUM(G4:G77)</f>
        <v>6997</v>
      </c>
      <c r="H2" s="7">
        <f>C2-G2</f>
        <v>-765</v>
      </c>
      <c r="I2" s="6">
        <f>IFERROR(H2/G2, 0)</f>
        <v>-0.10933257110190081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6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Canton - Will Canton</v>
      </c>
      <c r="B4" s="27" t="str" cm="1">
        <f t="array" ref="B4">Sites[State]</f>
        <v>MA</v>
      </c>
      <c r="C4" s="23">
        <v>6232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6997</v>
      </c>
      <c r="H4" s="14">
        <f>IF(AND(ISNUMBER(C4),ISNUMBER(G4)), C4-G4, "")</f>
        <v>-765</v>
      </c>
      <c r="I4" s="15">
        <f>IFERROR(H4/G4, "")</f>
        <v>-0.10933257110190081</v>
      </c>
      <c r="J4" s="37" t="s">
        <v>23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38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7 I4:I77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0"/>
  <sheetViews>
    <sheetView zoomScale="90" zoomScaleNormal="90" workbookViewId="0">
      <pane xSplit="2" ySplit="3" topLeftCell="C4" activePane="bottomRight" state="frozen"/>
      <selection pane="bottomRight" activeCell="D4" sqref="D4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24</v>
      </c>
      <c r="E1" s="48"/>
      <c r="F1" s="48"/>
      <c r="G1" s="46" t="s">
        <v>25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5952.6880000000001</v>
      </c>
      <c r="D2" s="5">
        <f>SUM(D4:D78)</f>
        <v>0</v>
      </c>
      <c r="E2" s="5">
        <f>C2-D2</f>
        <v>5952.6880000000001</v>
      </c>
      <c r="F2" s="6">
        <f>IFERROR(E2/D2, 0)</f>
        <v>0</v>
      </c>
      <c r="G2" s="5">
        <f>SUM(G4:G78)</f>
        <v>8738</v>
      </c>
      <c r="H2" s="7">
        <f>C2-G2</f>
        <v>-2785.3119999999999</v>
      </c>
      <c r="I2" s="6">
        <f>IFERROR(H2/G2, 0)</f>
        <v>-0.31875852597848475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5" t="str" cm="1">
        <f t="array" ref="A4">Sites[Site]</f>
        <v>MA: Canton - Will Canton</v>
      </c>
      <c r="B4" s="27" t="str" cm="1">
        <f t="array" ref="B4">Sites[State]</f>
        <v>MA</v>
      </c>
      <c r="C4" s="23">
        <v>5952.6880000000001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8738</v>
      </c>
      <c r="H4" s="14">
        <f>IF(AND(ISNUMBER(C4),ISNUMBER(G4)), C4-G4, "")</f>
        <v>-2785.3119999999999</v>
      </c>
      <c r="I4" s="15">
        <f>IFERROR(H4/G4, "")</f>
        <v>-0.31875852597848475</v>
      </c>
      <c r="J4" s="37" t="s">
        <v>23</v>
      </c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0"/>
  <sheetViews>
    <sheetView tabSelected="1" zoomScale="60" zoomScaleNormal="60" workbookViewId="0">
      <pane xSplit="2" ySplit="3" topLeftCell="C4" activePane="bottomRight" state="frozen"/>
      <selection pane="bottomRight" activeCell="J22" sqref="J22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7" width="13.85546875" customWidth="1"/>
    <col min="8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26</v>
      </c>
      <c r="E1" s="48"/>
      <c r="F1" s="48"/>
      <c r="G1" s="46" t="s">
        <v>27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14332.6875</v>
      </c>
      <c r="D2" s="5">
        <f>SUM(D4:D78)</f>
        <v>0</v>
      </c>
      <c r="E2" s="5">
        <f>C2-D2</f>
        <v>14332.6875</v>
      </c>
      <c r="F2" s="6">
        <f>IFERROR(E2/D2, 0)</f>
        <v>0</v>
      </c>
      <c r="G2" s="5">
        <f>SUM(G4:G78)</f>
        <v>11870</v>
      </c>
      <c r="H2" s="7">
        <f>C2-G2</f>
        <v>2462.6875</v>
      </c>
      <c r="I2" s="6">
        <f>IFERROR(H2/G2, 0)</f>
        <v>0.20747156697556865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>
        <v>14332.6875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11870</v>
      </c>
      <c r="H4" s="14">
        <f>IF(AND(ISNUMBER(C4),ISNUMBER(G4)), C4-G4, "")</f>
        <v>2462.6875</v>
      </c>
      <c r="I4" s="15">
        <f>IFERROR(H4/G4, "")</f>
        <v>0.20747156697556865</v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0"/>
  <sheetViews>
    <sheetView workbookViewId="0">
      <pane xSplit="2" ySplit="3" topLeftCell="E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28</v>
      </c>
      <c r="E1" s="48"/>
      <c r="F1" s="48"/>
      <c r="G1" s="46" t="s">
        <v>29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4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 t="s">
        <v>30</v>
      </c>
      <c r="K4" s="37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32</v>
      </c>
      <c r="E1" s="48"/>
      <c r="F1" s="48"/>
      <c r="G1" s="46" t="s">
        <v>33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34</v>
      </c>
      <c r="E1" s="48"/>
      <c r="F1" s="48"/>
      <c r="G1" s="46" t="s">
        <v>35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36</v>
      </c>
      <c r="E1" s="48"/>
      <c r="F1" s="48"/>
      <c r="G1" s="46" t="s">
        <v>37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8 I4:I7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38</v>
      </c>
      <c r="E1" s="48"/>
      <c r="F1" s="48"/>
      <c r="G1" s="46" t="s">
        <v>39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40</v>
      </c>
      <c r="E1" s="48"/>
      <c r="F1" s="48"/>
      <c r="G1" s="46" t="s">
        <v>41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42</v>
      </c>
      <c r="E1" s="48"/>
      <c r="F1" s="48"/>
      <c r="G1" s="46" t="s">
        <v>43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44</v>
      </c>
      <c r="E1" s="48"/>
      <c r="F1" s="48"/>
      <c r="G1" s="46" t="s">
        <v>45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0"/>
  <sheetViews>
    <sheetView workbookViewId="0">
      <pane xSplit="2" ySplit="3" topLeftCell="C4" activePane="bottomRight" state="frozen"/>
      <selection pane="bottomRight" activeCell="C21" sqref="C21"/>
      <selection pane="bottomLeft" activeCell="C21" sqref="C21"/>
      <selection pane="topRight" activeCell="C21" sqref="C21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Will Canton</v>
      </c>
      <c r="B1" s="47"/>
      <c r="C1" s="47"/>
      <c r="D1" s="48" t="s">
        <v>46</v>
      </c>
      <c r="E1" s="48"/>
      <c r="F1" s="48"/>
      <c r="G1" s="46" t="s">
        <v>47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SUM(C4:C78)</f>
        <v>0</v>
      </c>
      <c r="D2" s="5">
        <f>SUM(D4:D78)</f>
        <v>0</v>
      </c>
      <c r="E2" s="5">
        <f>C2-D2</f>
        <v>0</v>
      </c>
      <c r="F2" s="6">
        <f>IFERROR(E2/D2, 0)</f>
        <v>0</v>
      </c>
      <c r="G2" s="5">
        <f>SUM(G4:G78)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Canton - Will Canton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7"/>
      <c r="K4" s="37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G1:I1"/>
    <mergeCell ref="A1:C1"/>
    <mergeCell ref="D1:F1"/>
    <mergeCell ref="A2:B2"/>
  </mergeCells>
  <conditionalFormatting sqref="F2 I2 F4:F78 I4:I7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21" sqref="C21"/>
      <selection activeCell="C21" sqref="C2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48</v>
      </c>
      <c r="B1" t="s">
        <v>49</v>
      </c>
    </row>
    <row r="3" spans="1:12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12" ht="14.45">
      <c r="A4" s="44" t="s">
        <v>53</v>
      </c>
      <c r="B4" t="s">
        <v>54</v>
      </c>
      <c r="C4" s="42" t="s">
        <v>55</v>
      </c>
      <c r="D4" s="41" t="s">
        <v>56</v>
      </c>
      <c r="E4" t="s">
        <v>57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9"/>
      <c r="L10" s="39"/>
    </row>
    <row r="11" spans="1:12" ht="12.75" customHeight="1">
      <c r="A11" s="44"/>
      <c r="C11" s="42"/>
      <c r="D11" s="41"/>
      <c r="K11" s="39"/>
      <c r="L11" s="39"/>
    </row>
    <row r="12" spans="1:12" ht="12.75" customHeight="1">
      <c r="A12" s="44"/>
      <c r="C12" s="42"/>
      <c r="D12" s="41"/>
      <c r="K12" s="39"/>
      <c r="L12" s="39"/>
    </row>
    <row r="13" spans="1:12" ht="12.75" customHeight="1">
      <c r="A13" s="44"/>
      <c r="C13" s="42"/>
      <c r="D13" s="41"/>
      <c r="K13" s="39"/>
      <c r="L13" s="39"/>
    </row>
    <row r="14" spans="1:12" ht="12.75" customHeight="1">
      <c r="A14" s="44"/>
      <c r="C14" s="42"/>
      <c r="D14" s="41"/>
      <c r="K14" s="39"/>
      <c r="L14" s="39"/>
    </row>
    <row r="15" spans="1:12" ht="12.75" customHeight="1">
      <c r="A15" s="44"/>
      <c r="C15" s="42"/>
      <c r="D15" s="41"/>
      <c r="K15" s="39"/>
      <c r="L15" s="39"/>
    </row>
    <row r="16" spans="1:12" ht="12.75" customHeight="1">
      <c r="A16" s="44"/>
      <c r="C16" s="42"/>
      <c r="D16" s="41"/>
      <c r="K16" s="39"/>
      <c r="L16" s="39"/>
    </row>
    <row r="17" spans="1:12" ht="12.75" customHeight="1">
      <c r="A17" s="44"/>
      <c r="C17" s="42"/>
      <c r="D17" s="41"/>
      <c r="K17" s="39"/>
      <c r="L17" s="39"/>
    </row>
    <row r="18" spans="1:12" ht="12.75" customHeight="1">
      <c r="A18" s="44"/>
      <c r="C18" s="42"/>
      <c r="D18" s="41"/>
      <c r="K18" s="39"/>
      <c r="L18" s="39"/>
    </row>
    <row r="19" spans="1:12" ht="12.75" customHeight="1">
      <c r="A19" s="44"/>
      <c r="C19" s="42"/>
      <c r="D19" s="41"/>
      <c r="K19" s="39"/>
      <c r="L19" s="39"/>
    </row>
    <row r="20" spans="1:12" ht="12.75" customHeight="1">
      <c r="A20" s="44"/>
      <c r="C20" s="42"/>
      <c r="D20" s="41"/>
      <c r="K20" s="39"/>
      <c r="L20" s="39"/>
    </row>
    <row r="21" spans="1:12" ht="12.75" customHeight="1">
      <c r="A21" s="44"/>
      <c r="C21" s="42"/>
      <c r="D21" s="41"/>
      <c r="K21" s="39"/>
      <c r="L21" s="39"/>
    </row>
    <row r="22" spans="1:12" ht="12.75" customHeight="1">
      <c r="A22" s="44"/>
      <c r="C22" s="42"/>
      <c r="D22" s="41"/>
      <c r="K22" s="39"/>
      <c r="L22" s="39"/>
    </row>
    <row r="23" spans="1:12" ht="12.75" customHeight="1">
      <c r="A23" s="44"/>
      <c r="C23" s="42"/>
      <c r="D23" s="41"/>
      <c r="K23" s="39"/>
      <c r="L23" s="39"/>
    </row>
    <row r="24" spans="1:12" ht="12.75" customHeight="1">
      <c r="A24" s="44"/>
      <c r="C24" s="42"/>
      <c r="D24" s="41"/>
      <c r="K24" s="39"/>
      <c r="L24" s="39"/>
    </row>
    <row r="25" spans="1:12" ht="12.75" customHeight="1">
      <c r="A25" s="44"/>
      <c r="C25" s="42"/>
      <c r="D25" s="41"/>
      <c r="K25" s="39"/>
      <c r="L25" s="39"/>
    </row>
    <row r="26" spans="1:12" ht="12.75" customHeight="1">
      <c r="K26" s="39"/>
      <c r="L26" s="39"/>
    </row>
    <row r="27" spans="1:12" ht="12.75" customHeight="1">
      <c r="K27" s="39"/>
      <c r="L27" s="39"/>
    </row>
    <row r="28" spans="1:12" ht="12.75" customHeight="1">
      <c r="K28" s="39"/>
      <c r="L28" s="39"/>
    </row>
    <row r="29" spans="1:12" ht="12.75" customHeight="1">
      <c r="K29" s="39"/>
      <c r="L29" s="39"/>
    </row>
    <row r="30" spans="1:12" ht="12.75" customHeight="1">
      <c r="K30" s="39"/>
      <c r="L30" s="39"/>
    </row>
    <row r="31" spans="1:12" ht="12.75" customHeight="1">
      <c r="K31" s="39"/>
      <c r="L31" s="39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0389C43E-394D-44C0-87DC-4780FCFCFB40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E3716282-BFD2-4ED2-BA47-BFA1123827F0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E20E8303-6A67-485C-B6F4-303542CC295C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89CF5C07-45EB-4100-9AFB-2C6AF77FA787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2025-04-16T11:36:18Z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2024-08-23T16:42:57Z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dc22e5cf-c814-4878-b801-787b82aea9d3</vt:lpwstr>
  </property>
  <property fmtid="{D5CDD505-2E9C-101B-9397-08002B2CF9AE}" pid="9" name="MSIP_Label_9d817c99-0b37-4a07-8277-96aa1f96b74b_ContentBits">
    <vt:lpwstr>0</vt:lpwstr>
  </property>
</Properties>
</file>