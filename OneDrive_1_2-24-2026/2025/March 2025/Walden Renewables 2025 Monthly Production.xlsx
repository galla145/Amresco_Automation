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20788F2-7F29-4789-9538-95C77319413C}" xr6:coauthVersionLast="47" xr6:coauthVersionMax="47" xr10:uidLastSave="{00000000-0000-0000-0000-000000000000}"/>
  <bookViews>
    <workbookView xWindow="2868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5" i="34" s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" l="1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<sst xmlns="http://schemas.openxmlformats.org/spreadsheetml/2006/main" count="277" uniqueCount="70">
  <si>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</si>
  <si>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</si>
  <si>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</si>
  <si>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</si>
  <si>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</si>
  <si>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</si>
  <si>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</si>
  <si>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</si>
  <si>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</si>
  <si>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</si>
  <si>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</si>
  <si>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</si>
  <si>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</si>
  <si>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</si>
  <si>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</si>
  <si>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</si>
  <si>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</si>
  <si>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</si>
  <si>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</si>
  <si>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</si>
  <si>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</si>
  <si>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</si>
  <si>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</si>
  <si>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1 is derating at 50KW approximetly 175KW down due to an fan issue since 07/22/24.</t>
  </si>
  <si>
    <t>1. SR087933</t>
  </si>
  <si>
    <t>February Actual v. Expected</t>
  </si>
  <si>
    <t>February Actual v. Forecasted</t>
  </si>
  <si>
    <t>1.Inverters 2,3 were offline from 02/09 and back online on 02/13.</t>
  </si>
  <si>
    <t>1.SR096625</t>
  </si>
  <si>
    <t>1. Inverter 1 is derating at 50KW approximetly 175KW down due to an fan issue since 07/22/24</t>
  </si>
  <si>
    <t>March Actual v. Expected</t>
  </si>
  <si>
    <t>March Actual v. Forecasted</t>
  </si>
  <si>
    <t>1.Inverter 2 tripped offline at 13:10 on 03/07 and back online on 03/08.</t>
  </si>
  <si>
    <t>1.SR098289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</si>
  <si>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</si>
  <si>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</si>
  <si>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</si>
  <si>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</si>
  <si>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</si>
  <si>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</si>
  <si>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</si>
  <si>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</si>
  <si>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</si>
  <si>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</si>
  <si>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</si>
  <si>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</si>
  <si>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1 derating approximately 225kW from 07/17.
2. Site tripped offline at 06:00PM on 09/15 and back online at 12PM on 09/16</t>
  </si>
  <si>
    <t>1. SR087933
2. SR090605</t>
  </si>
  <si>
    <t>October Actual v. Expected</t>
  </si>
  <si>
    <t>October Actual v. Forecasted</t>
  </si>
  <si>
    <t>1. Inverter is derating at 50KW approximetly 175KW down due to an fan issue</t>
  </si>
  <si>
    <t>November Actual v. Expected</t>
  </si>
  <si>
    <t>November Actual v. Forecasted</t>
  </si>
  <si>
    <t>December Actual v. Expected</t>
  </si>
  <si>
    <t>December Actual v. Forecasted</t>
  </si>
  <si>
    <t>1. Inverter 2 tripped offline at 10:20AM on 12/10/2024 and back online at 11:05AM on 12/11</t>
  </si>
  <si>
    <t xml:space="preserve">1.SR094315
</t>
  </si>
  <si>
    <t>1. Inverter 1 is derating at 50KW approximetly 175KW down due to an fan issue.
2. Inverter 1 tripped offline at 12:00PM on 12/20/2024 and back online at 11:20AM on 12/26.</t>
  </si>
  <si>
    <t>1. SR087933
2. SR095038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</si>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</sst>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29" fillId="4" borderId="0" xfId="1" applyNumberFormat="1" applyFont="1" applyFill="1" applyBorder="1" applyAlignment="1">
      <alignment horizontal="right" vertical="center"/>
    </xf>
    <xf numFmtId="3" fontId="29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center" wrapText="1"/>
    </xf>
    <xf numFmtId="164" fontId="27" fillId="44" borderId="0" xfId="1" applyNumberFormat="1" applyFont="1" applyFill="1" applyBorder="1" applyAlignment="1">
      <alignment horizontal="right" vertical="center"/>
    </xf>
    <xf numFmtId="164" fontId="27" fillId="0" borderId="0" xfId="1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662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828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E7" sqref="E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Walden Liberty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SUM(C4:C77)</f>
        <v>488894</v>
      </c>
      <c r="D2" s="5">
        <f>SUM(D4:D77)</f>
        <v>0</v>
      </c>
      <c r="E2" s="5">
        <f>C2-D2</f>
        <v>488894</v>
      </c>
      <c r="F2" s="6">
        <f>IFERROR(E2/D2, 0)</f>
        <v>0</v>
      </c>
      <c r="G2" s="5">
        <f>SUM(G4:G77)</f>
        <v>0</v>
      </c>
      <c r="H2" s="7">
        <f>C2-G2</f>
        <v>488894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58">
        <f>SUM('1st Qtr'!C4, '2nd Qtr'!C4, '3rd Qtr'!C4, '4th Qtr'!C4)</f>
        <v>422968</v>
      </c>
      <c r="D4" s="12">
        <f>SUM('1st Qtr'!D4, '2nd Qtr'!D4, '3rd Qtr'!D4, '4th Qtr'!D4)</f>
        <v>0</v>
      </c>
      <c r="E4" s="12">
        <f>IF(AND(ISNUMBER(C4),ISNUMBER(D4)), C4-D4, "")</f>
        <v>422968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237047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55">
        <f>SUM('1st Qtr'!C5, '2nd Qtr'!C5, '3rd Qtr'!C5, '4th Qtr'!C5)</f>
        <v>65926</v>
      </c>
      <c r="D5" s="17">
        <f>SUM(Jan!D5, Feb!D5, Mar!D5)</f>
        <v>0</v>
      </c>
      <c r="E5" s="17">
        <f t="shared" ref="E5" si="0">IF(AND(ISNUMBER(C5),ISNUMBER(D5)), C5-D5, "")</f>
        <v>65926</v>
      </c>
      <c r="F5" s="18" t="str">
        <f>IFERROR(E5/D5, "")</f>
        <v/>
      </c>
      <c r="G5" s="19">
        <f>SUM('1st Qtr'!G5, '2nd Qtr'!G5, '3rd Qtr'!G5, '4th Qtr'!G5)</f>
        <v>0</v>
      </c>
      <c r="H5" s="19">
        <f>SUM('1st Qtr'!H5, '2nd Qtr'!H5, '3rd Qtr'!H5, '4th Qtr'!H5)</f>
        <v>40491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10" sqref="G10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Walden Liberty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SUM(C4:C77)</f>
        <v>211356</v>
      </c>
      <c r="D2" s="5">
        <f>SUM(D4:D77)</f>
        <v>0</v>
      </c>
      <c r="E2" s="5">
        <f>C2-D2</f>
        <v>211356</v>
      </c>
      <c r="F2" s="6">
        <f>IFERROR(E2/D2, 0)</f>
        <v>0</v>
      </c>
      <c r="G2" s="5">
        <f>SUM(G4:G77)</f>
        <v>0</v>
      </c>
      <c r="H2" s="7">
        <f>C2-G2</f>
        <v>211356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58">
        <f>SUM(Jan!C4, Feb!C4, Mar!C4)</f>
        <v>185921</v>
      </c>
      <c r="D4" s="12">
        <f>SUM(Jan!D4, Feb!D4, Mar!D4)</f>
        <v>0</v>
      </c>
      <c r="E4" s="12">
        <f>IF(AND(ISNUMBER(C4),ISNUMBER(D4)), C4-D4, "")</f>
        <v>185921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59">
        <f>SUM(Jan!C5, Feb!C5, Mar!C5)</f>
        <v>25435</v>
      </c>
      <c r="D5" s="17">
        <f>SUM(Jan!D5, Feb!D5, Mar!D5)</f>
        <v>0</v>
      </c>
      <c r="E5" s="17">
        <f t="shared" ref="E5" si="0">IF(AND(ISNUMBER(C5),ISNUMBER(D5)), C5-D5, "")</f>
        <v>25435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Walden Liberty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 May!G4, 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0</v>
      </c>
      <c r="D5" s="17">
        <f>SUM(Apr!D5, May!D5, Jun!D5)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>
        <f>SUM(Apr!G5, May!G5, 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Walden Liberty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SUM(C4:C77)</f>
        <v>83496</v>
      </c>
      <c r="D2" s="5">
        <f>SUM(D4:D77)</f>
        <v>0</v>
      </c>
      <c r="E2" s="5">
        <f>C2-D2</f>
        <v>83496</v>
      </c>
      <c r="F2" s="6">
        <f>IFERROR(E2/D2, 0)</f>
        <v>0</v>
      </c>
      <c r="G2" s="5">
        <f>SUM(G4:G77)</f>
        <v>0</v>
      </c>
      <c r="H2" s="7">
        <f>C2-G2</f>
        <v>83496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71184</v>
      </c>
      <c r="D4" s="12">
        <f>SUM(Jul!D4, Aug!D4, Sep!D4)</f>
        <v>0</v>
      </c>
      <c r="E4" s="12">
        <f>IF(AND(ISNUMBER(C4),ISNUMBER(D4)), C4-D4, "")</f>
        <v>71184</v>
      </c>
      <c r="F4" s="13" t="str">
        <f>IFERROR(E4/D4, "")</f>
        <v/>
      </c>
      <c r="G4" s="14">
        <f>SUM(Jul!G4,Aug!G4,Sep!G4)</f>
        <v>0</v>
      </c>
      <c r="H4" s="14">
        <f>SUM(Jul!H4, Aug!H4, Sep!H4)</f>
        <v>71184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12312</v>
      </c>
      <c r="D5" s="17">
        <f>SUM(Jul!D5, Aug!D5, Sep!D5)</f>
        <v>0</v>
      </c>
      <c r="E5" s="17">
        <f t="shared" ref="E5" si="0">IF(AND(ISNUMBER(C5),ISNUMBER(D5)), C5-D5, "")</f>
        <v>12312</v>
      </c>
      <c r="F5" s="18" t="str">
        <f>IFERROR(E5/D5, "")</f>
        <v/>
      </c>
      <c r="G5" s="17">
        <f>SUM(Jul!G5,Aug!G5,Sep!G5)</f>
        <v>0</v>
      </c>
      <c r="H5" s="19">
        <f>SUM(Jul!H5, Aug!H5, Sep!H5)</f>
        <v>12312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0" sqref="G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Walden Liberty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SUM(C4:C77)</f>
        <v>194042</v>
      </c>
      <c r="D2" s="5">
        <f>SUM(D4:D77)</f>
        <v>0</v>
      </c>
      <c r="E2" s="5">
        <f>C2-D2</f>
        <v>194042</v>
      </c>
      <c r="F2" s="6">
        <f>IFERROR(E2/D2, 0)</f>
        <v>0</v>
      </c>
      <c r="G2" s="5">
        <f>SUM(G4:G77)</f>
        <v>0</v>
      </c>
      <c r="H2" s="7">
        <f>C2-G2</f>
        <v>194042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165863</v>
      </c>
      <c r="D4" s="12">
        <f>SUM(Oct!D4, Nov!D4, Dec!D4)</f>
        <v>0</v>
      </c>
      <c r="E4" s="12">
        <f>IF(AND(ISNUMBER(C4),ISNUMBER(D4)), C4-D4, "")</f>
        <v>165863</v>
      </c>
      <c r="F4" s="13" t="str">
        <f>IFERROR(E4/D4, "")</f>
        <v/>
      </c>
      <c r="G4" s="14">
        <f>SUM(Oct!G4,Nov!G4,Dec!G4)</f>
        <v>0</v>
      </c>
      <c r="H4" s="14">
        <f>SUM(Oct!H4, Nov!H4, Dec!H4)</f>
        <v>165863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28179</v>
      </c>
      <c r="D5" s="17">
        <f>SUM(Oct!D5, Nov!D5, Dec!D5)</f>
        <v>0</v>
      </c>
      <c r="E5" s="17">
        <f t="shared" ref="E5" si="0">IF(AND(ISNUMBER(C5),ISNUMBER(D5)), C5-D5, "")</f>
        <v>28179</v>
      </c>
      <c r="F5" s="18" t="str">
        <f>IFERROR(E5/D5, "")</f>
        <v/>
      </c>
      <c r="G5" s="19">
        <f>SUM(Oct!G5,Nov!G5,Dec!G5)</f>
        <v>0</v>
      </c>
      <c r="H5" s="19">
        <f>SUM(Oct!H5, Nov!H5, Dec!H5)</f>
        <v>28179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H16" sqref="H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SUM(C4:C76)</f>
        <v>60390</v>
      </c>
      <c r="D2" s="5">
        <f>SUM(D4:D76)</f>
        <v>0</v>
      </c>
      <c r="E2" s="5">
        <f>C2-D2</f>
        <v>60390</v>
      </c>
      <c r="F2" s="6">
        <f>IFERROR(E2/D2, 0)</f>
        <v>0</v>
      </c>
      <c r="G2" s="5">
        <f>SUM(G4:G76)</f>
        <v>0</v>
      </c>
      <c r="H2" s="7">
        <f>C2-G2</f>
        <v>60390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53680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46" t="str">
        <v>Walden Liberty</v>
      </c>
      <c r="B5" s="29" t="str">
        <v>MA</v>
      </c>
      <c r="C5" s="11">
        <v>6710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23</v>
      </c>
      <c r="K5" s="53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J17" sqref="J17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25</v>
      </c>
      <c r="E1" s="62"/>
      <c r="F1" s="62"/>
      <c r="G1" s="60" t="s">
        <v>26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63301</v>
      </c>
      <c r="D2" s="5">
        <f>SUM(D4:D77)</f>
        <v>0</v>
      </c>
      <c r="E2" s="5">
        <f>C2-D2</f>
        <v>63301</v>
      </c>
      <c r="F2" s="6">
        <f>IFERROR(E2/D2, 0)</f>
        <v>0</v>
      </c>
      <c r="G2" s="5">
        <f>SUM(G4:G77)</f>
        <v>0</v>
      </c>
      <c r="H2" s="7">
        <f>C2-G2</f>
        <v>63301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58205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27</v>
      </c>
      <c r="K4" s="56" t="s">
        <v>28</v>
      </c>
    </row>
    <row r="5" spans="1:11" ht="28.9">
      <c r="A5" s="46" t="str">
        <v>Walden Liberty</v>
      </c>
      <c r="B5" s="29" t="str">
        <v>MA</v>
      </c>
      <c r="C5" s="11">
        <v>5096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29</v>
      </c>
      <c r="K5" s="57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25" xr:uid="{070C31D3-96CF-4470-8364-9DFAF1DDF020}"/>
    <hyperlink ref="K5" r:id="rId2" display="https://us3.assetplanner.com/service_request?ID=087933" xr:uid="{2309096A-EB5A-4555-8EB1-81C448A53A3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zoomScale="90" zoomScaleNormal="90" workbookViewId="0">
      <pane xSplit="2" ySplit="3" topLeftCell="C4" activePane="bottomRight" state="frozen"/>
      <selection pane="bottomRight" activeCell="J19" sqref="J1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87665</v>
      </c>
      <c r="D2" s="5">
        <f>SUM(D4:D77)</f>
        <v>0</v>
      </c>
      <c r="E2" s="5">
        <f>C2-D2</f>
        <v>87665</v>
      </c>
      <c r="F2" s="6">
        <f>IFERROR(E2/D2, 0)</f>
        <v>0</v>
      </c>
      <c r="G2" s="5">
        <f>SUM(G4:G77)</f>
        <v>0</v>
      </c>
      <c r="H2" s="7">
        <f>C2-G2</f>
        <v>87665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74036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32</v>
      </c>
      <c r="K4" s="56" t="s">
        <v>33</v>
      </c>
    </row>
    <row r="5" spans="1:11" ht="28.9">
      <c r="A5" s="28" t="str">
        <v>Walden Liberty</v>
      </c>
      <c r="B5" s="29" t="str">
        <v>MA</v>
      </c>
      <c r="C5" s="11">
        <v>13629</v>
      </c>
      <c r="D5" s="17" t="s">
        <v>22</v>
      </c>
      <c r="E5" s="17" t="str">
        <f t="shared" si="0"/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29</v>
      </c>
      <c r="K5" s="57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8289" xr:uid="{D6583457-642F-4B1E-A243-AE6411BE20D3}"/>
    <hyperlink ref="K5" r:id="rId2" display="https://us3.assetplanner.com/service_request?ID=087933" xr:uid="{4D5EBAE5-5F71-4BD3-835F-F9D2988B1BC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D12" activePane="bottomRight" state="frozen"/>
      <selection pane="bottomRight" activeCell="D12" sqref="D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E11" sqref="E1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36</v>
      </c>
      <c r="E1" s="62"/>
      <c r="F1" s="62"/>
      <c r="G1" s="60" t="s">
        <v>37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C4" sqref="C4:C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38</v>
      </c>
      <c r="E1" s="62"/>
      <c r="F1" s="62"/>
      <c r="G1" s="60" t="s">
        <v>39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40</v>
      </c>
      <c r="E1" s="62"/>
      <c r="F1" s="62"/>
      <c r="G1" s="60" t="s">
        <v>41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zoomScale="90" zoomScaleNormal="90" workbookViewId="0">
      <pane xSplit="2" ySplit="3" topLeftCell="C4" activePane="bottomRight" state="frozen"/>
      <selection pane="bottomRight" activeCell="E12" sqref="E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42.75" customHeight="1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83496</v>
      </c>
      <c r="D2" s="5">
        <f>SUM(D4:D77)</f>
        <v>0</v>
      </c>
      <c r="E2" s="5">
        <f>C2-D2</f>
        <v>83496</v>
      </c>
      <c r="F2" s="6">
        <f>IFERROR(E2/D2, 0)</f>
        <v>0</v>
      </c>
      <c r="G2" s="5">
        <f>SUM(G4:G77)</f>
        <v>0</v>
      </c>
      <c r="H2" s="7">
        <f>C2-G2</f>
        <v>83496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71184</v>
      </c>
      <c r="D4" s="12">
        <v>0</v>
      </c>
      <c r="E4" s="12">
        <f>IF(AND(ISNUMBER(C4),ISNUMBER(D4)), C4-D4, "")</f>
        <v>71184</v>
      </c>
      <c r="F4" s="13" t="str">
        <f>IFERROR(E4/D4, "")</f>
        <v/>
      </c>
      <c r="G4" s="14">
        <v>0</v>
      </c>
      <c r="H4" s="14">
        <f>IF(AND(ISNUMBER(C4),ISNUMBER(G4)), C4-G4, "")</f>
        <v>71184</v>
      </c>
      <c r="I4" s="15" t="str">
        <f>IFERROR(H4/G4, "")</f>
        <v/>
      </c>
      <c r="J4" s="39"/>
      <c r="K4" s="39"/>
    </row>
    <row r="5" spans="1:11" ht="37.5" customHeight="1">
      <c r="A5" s="28" t="str">
        <v>Walden Liberty</v>
      </c>
      <c r="B5" s="29" t="str">
        <v>MA</v>
      </c>
      <c r="C5" s="11">
        <v>12312</v>
      </c>
      <c r="D5" s="17">
        <v>0</v>
      </c>
      <c r="E5" s="17">
        <f t="shared" ref="E5" si="0">IF(AND(ISNUMBER(C5),ISNUMBER(D5)), C5-D5, "")</f>
        <v>12312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12312</v>
      </c>
      <c r="I5" s="18" t="str">
        <f t="shared" ref="I5" si="2">IFERROR(H5/G5, "")</f>
        <v/>
      </c>
      <c r="J5" s="51" t="s">
        <v>46</v>
      </c>
      <c r="K5" s="51" t="s">
        <v>47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48</v>
      </c>
      <c r="E1" s="62"/>
      <c r="F1" s="62"/>
      <c r="G1" s="60" t="s">
        <v>49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85937</v>
      </c>
      <c r="D2" s="5">
        <f>SUM(D4:D77)</f>
        <v>0</v>
      </c>
      <c r="E2" s="5">
        <f>C2-D2</f>
        <v>85937</v>
      </c>
      <c r="F2" s="6">
        <f>IFERROR(E2/D2, 0)</f>
        <v>0</v>
      </c>
      <c r="G2" s="5">
        <f>SUM(G4:G77)</f>
        <v>0</v>
      </c>
      <c r="H2" s="7">
        <f>C2-G2</f>
        <v>85937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72951</v>
      </c>
      <c r="D4" s="12">
        <v>0</v>
      </c>
      <c r="E4" s="12">
        <f>IF(AND(ISNUMBER(C4),ISNUMBER(D4)), C4-D4, "")</f>
        <v>72951</v>
      </c>
      <c r="F4" s="13" t="str">
        <f>IFERROR(E4/D4, "")</f>
        <v/>
      </c>
      <c r="G4" s="14">
        <v>0</v>
      </c>
      <c r="H4" s="14">
        <f>IF(AND(ISNUMBER(C4),ISNUMBER(G4)), C4-G4, "")</f>
        <v>72951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12986</v>
      </c>
      <c r="D5" s="17">
        <v>0</v>
      </c>
      <c r="E5" s="17">
        <f t="shared" ref="E5" si="0">IF(AND(ISNUMBER(C5),ISNUMBER(D5)), C5-D5, "")</f>
        <v>12986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12986</v>
      </c>
      <c r="I5" s="18" t="str">
        <f t="shared" ref="I5" si="2">IFERROR(H5/G5, "")</f>
        <v/>
      </c>
      <c r="J5" s="40" t="s">
        <v>50</v>
      </c>
      <c r="K5" s="40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E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51</v>
      </c>
      <c r="E1" s="62"/>
      <c r="F1" s="62"/>
      <c r="G1" s="60" t="s">
        <v>52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63488</v>
      </c>
      <c r="D2" s="5">
        <f>SUM(D4:D77)</f>
        <v>0</v>
      </c>
      <c r="E2" s="5">
        <f>C2-D2</f>
        <v>63488</v>
      </c>
      <c r="F2" s="6">
        <f>IFERROR(E2/D2, 0)</f>
        <v>0</v>
      </c>
      <c r="G2" s="5">
        <f>SUM(G4:G77)</f>
        <v>0</v>
      </c>
      <c r="H2" s="7">
        <f>C2-G2</f>
        <v>63488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53675</v>
      </c>
      <c r="D4" s="12">
        <v>0</v>
      </c>
      <c r="E4" s="12">
        <f>IF(AND(ISNUMBER(C4),ISNUMBER(D4)), C4-D4, "")</f>
        <v>53675</v>
      </c>
      <c r="F4" s="13" t="str">
        <f>IFERROR(E4/D4, "")</f>
        <v/>
      </c>
      <c r="G4" s="14">
        <v>0</v>
      </c>
      <c r="H4" s="14">
        <f>IF(AND(ISNUMBER(C4),ISNUMBER(G4)), C4-G4, "")</f>
        <v>53675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9813</v>
      </c>
      <c r="D5" s="17">
        <v>0</v>
      </c>
      <c r="E5" s="17">
        <f t="shared" ref="E5" si="0">IF(AND(ISNUMBER(C5),ISNUMBER(D5)), C5-D5, "")</f>
        <v>9813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9813</v>
      </c>
      <c r="I5" s="18" t="str">
        <f t="shared" ref="I5" si="2">IFERROR(H5/G5, "")</f>
        <v/>
      </c>
      <c r="J5" s="40" t="s">
        <v>50</v>
      </c>
      <c r="K5" s="40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8" sqref="J8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Walden Liberty</v>
      </c>
      <c r="B1" s="61"/>
      <c r="C1" s="61"/>
      <c r="D1" s="62" t="s">
        <v>53</v>
      </c>
      <c r="E1" s="62"/>
      <c r="F1" s="62"/>
      <c r="G1" s="60" t="s">
        <v>54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SUM(C4:C77)</f>
        <v>44617</v>
      </c>
      <c r="D2" s="5">
        <f>SUM(D4:D77)</f>
        <v>0</v>
      </c>
      <c r="E2" s="5">
        <f>C2-D2</f>
        <v>44617</v>
      </c>
      <c r="F2" s="6">
        <f>IFERROR(E2/D2, 0)</f>
        <v>0</v>
      </c>
      <c r="G2" s="5">
        <f>SUM(G4:G77)</f>
        <v>0</v>
      </c>
      <c r="H2" s="7">
        <f>C2-G2</f>
        <v>44617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39237</v>
      </c>
      <c r="D4" s="12">
        <v>0</v>
      </c>
      <c r="E4" s="12">
        <f>IF(AND(ISNUMBER(C4),ISNUMBER(D4)), C4-D4, "")</f>
        <v>39237</v>
      </c>
      <c r="F4" s="13" t="str">
        <f>IFERROR(E4/D4, "")</f>
        <v/>
      </c>
      <c r="G4" s="14">
        <v>0</v>
      </c>
      <c r="H4" s="14">
        <f>IF(AND(ISNUMBER(C4),ISNUMBER(G4)), C4-G4, "")</f>
        <v>39237</v>
      </c>
      <c r="I4" s="15" t="str">
        <f>IFERROR(H4/G4, "")</f>
        <v/>
      </c>
      <c r="J4" s="52" t="s">
        <v>55</v>
      </c>
      <c r="K4" s="52" t="s">
        <v>56</v>
      </c>
    </row>
    <row r="5" spans="1:11" ht="43.15">
      <c r="A5" s="28" t="str">
        <v>Walden Liberty</v>
      </c>
      <c r="B5" s="29" t="str">
        <v>MA</v>
      </c>
      <c r="C5" s="11">
        <v>5380</v>
      </c>
      <c r="D5" s="17">
        <v>0</v>
      </c>
      <c r="E5" s="17">
        <f t="shared" ref="E5" si="0">IF(AND(ISNUMBER(C5),ISNUMBER(D5)), C5-D5, "")</f>
        <v>5380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5380</v>
      </c>
      <c r="I5" s="18" t="str">
        <f t="shared" ref="I5" si="2">IFERROR(H5/G5, "")</f>
        <v/>
      </c>
      <c r="J5" s="53" t="s">
        <v>57</v>
      </c>
      <c r="K5" s="53" t="s">
        <v>58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t="s">
        <v>60</v>
      </c>
    </row>
    <row r="3" spans="1:12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4.45">
      <c r="A4" s="47" t="s">
        <v>64</v>
      </c>
      <c r="B4" s="47" t="s">
        <v>65</v>
      </c>
      <c r="C4" s="47" t="s">
        <v>66</v>
      </c>
      <c r="D4" s="49" t="s">
        <v>67</v>
      </c>
      <c r="E4" s="47" t="s">
        <v>68</v>
      </c>
      <c r="G4" s="3"/>
    </row>
    <row r="5" spans="1:12" ht="14.45">
      <c r="A5" s="48" t="s">
        <v>69</v>
      </c>
      <c r="B5" s="48" t="s">
        <v>60</v>
      </c>
      <c r="C5" s="48" t="s">
        <v>66</v>
      </c>
      <c r="D5" s="50" t="s">
        <v>67</v>
      </c>
      <c r="E5" s="48" t="s">
        <v>68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ADCD653B-27E9-4B71-BD0F-389AF459850F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