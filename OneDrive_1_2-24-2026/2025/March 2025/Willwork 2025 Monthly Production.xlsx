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A045C2E5-2B6A-45EB-AC3A-CB3E625CB04B}" xr6:coauthVersionLast="47" xr6:coauthVersionMax="47" xr10:uidLastSave="{00000000-0000-0000-0000-000000000000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2" i="30" s="1"/>
  <c r="G4" i="29"/>
  <c r="D4" i="29"/>
  <c r="H4" i="19"/>
  <c r="G4" i="1"/>
  <c r="G4" i="34" s="1"/>
  <c r="G2" i="34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C4" i="34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<sst xmlns="http://schemas.openxmlformats.org/spreadsheetml/2006/main" count="243" uniqueCount="56">
  <si>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</si>
  <si>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</si>
  <si>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</si>
  <si>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</si>
  <si>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</si>
  <si>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</si>
  <si>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</si>
  <si>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</si>
  <si>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</si>
  <si>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</si>
  <si>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</si>
  <si>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</si>
  <si>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</si>
  <si>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</si>
  <si>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</si>
  <si>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</si>
  <si>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</si>
  <si>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</si>
  <si>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</si>
  <si>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</si>
  <si>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</si>
  <si>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</si>
  <si>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</si>
  <si>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February Actual v. Expected</t>
  </si>
  <si>
    <t>February Actual v. Forecasted</t>
  </si>
  <si>
    <t>March Actual v. Expected</t>
  </si>
  <si>
    <t>March Actual v. Forecasted</t>
  </si>
  <si>
    <t>NA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</si>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</sst>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16193.530027000001</v>
      </c>
      <c r="D2" s="6">
        <f>SUM(D4:D60)</f>
        <v>0</v>
      </c>
      <c r="E2" s="6">
        <f>C2-D2</f>
        <v>16193.530027000001</v>
      </c>
      <c r="F2" s="7">
        <f>IFERROR(E2/D2, 0)</f>
        <v>0</v>
      </c>
      <c r="G2" s="6">
        <f>SUM(G4:G60)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16193.530027000001</v>
      </c>
      <c r="D4" s="14">
        <f>SUM('1st Qtr'!D4, '2nd Qtr'!D4, '3rd Qtr'!D4, '4th Qtr'!D4)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SUM('1st Qtr'!G4,'2nd Qtr'!G4,'3rd Qtr'!G4,'4th Qtr'!G4)</f>
        <v>10699.763999999999</v>
      </c>
      <c r="H4" s="16">
        <f>SUM('1st Qtr'!H4, '2nd Qtr'!H4, '3rd Qtr'!H4, '4th Qtr'!H4)</f>
        <v>5493.7660270000006</v>
      </c>
      <c r="I4" s="17">
        <f>IFERROR(H4/G4, "")</f>
        <v>0.51344740192400518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16193.530027000001</v>
      </c>
      <c r="D2" s="6">
        <f>SUM(D4:D68)</f>
        <v>0</v>
      </c>
      <c r="E2" s="6">
        <f>C2-D2</f>
        <v>16193.530027000001</v>
      </c>
      <c r="F2" s="7">
        <f>IFERROR(E2/D2, 0)</f>
        <v>0</v>
      </c>
      <c r="G2" s="6">
        <f>SUM(G4:G68)</f>
        <v>10699.763999999999</v>
      </c>
      <c r="H2" s="8">
        <f>C2-G2</f>
        <v>5493.7660270000015</v>
      </c>
      <c r="I2" s="7">
        <f>IFERROR(H2/G2, 0)</f>
        <v>0.51344740192400518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16193.530027000001</v>
      </c>
      <c r="D4" s="14">
        <f>SUM(Jan!D4, Feb!D4, Mar!D4)</f>
        <v>0</v>
      </c>
      <c r="E4" s="14">
        <f>IF(AND(ISNUMBER(C4),ISNUMBER(D4)), C4-D4, "")</f>
        <v>16193.530027000001</v>
      </c>
      <c r="F4" s="15" t="str">
        <f>IFERROR(E4/D4, "")</f>
        <v/>
      </c>
      <c r="G4" s="16">
        <f>SUM(Jan!G4, Feb!G4, Mar!G4)</f>
        <v>10699.763999999999</v>
      </c>
      <c r="H4" s="16">
        <f>SUM(Jan!H4, Feb!H4, Mar!H4)</f>
        <v>5493.7660270000006</v>
      </c>
      <c r="I4" s="17">
        <f>IFERROR(H4/G4, "")</f>
        <v>0.51344740192400518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SUM(Apr!G4+May!G4+Jun!G4)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4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25" sqref="J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3291.35</v>
      </c>
      <c r="D2" s="6">
        <f>SUM(D4:D89)</f>
        <v>0</v>
      </c>
      <c r="E2" s="6">
        <f>C2-D2</f>
        <v>3291.35</v>
      </c>
      <c r="F2" s="7">
        <f>IFERROR(E2/D2, 0)</f>
        <v>0</v>
      </c>
      <c r="G2" s="6">
        <f>SUM(G4:G89)</f>
        <v>2331.9609999999998</v>
      </c>
      <c r="H2" s="8">
        <f>C2-G2</f>
        <v>959.38900000000012</v>
      </c>
      <c r="I2" s="7">
        <f>IFERROR(H2/G2, 0)</f>
        <v>0.41140868136302461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3291.35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2331.9609999999998</v>
      </c>
      <c r="H4" s="16">
        <f>IF(AND(ISNUMBER(C4),ISNUMBER(G4)), C4-G4, "")</f>
        <v>959.38900000000012</v>
      </c>
      <c r="I4" s="17">
        <f>IFERROR(H4/G4, "")</f>
        <v>0.41140868136302461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D11" sqref="D11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23</v>
      </c>
      <c r="E1" s="45"/>
      <c r="F1" s="45"/>
      <c r="G1" s="43" t="s">
        <v>24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4379.2150000000001</v>
      </c>
      <c r="D2" s="6">
        <f>SUM(D4:D85)</f>
        <v>0</v>
      </c>
      <c r="E2" s="6">
        <f>C2-D2</f>
        <v>4379.2150000000001</v>
      </c>
      <c r="F2" s="7">
        <f>IFERROR(E2/D2, 0)</f>
        <v>0</v>
      </c>
      <c r="G2" s="6">
        <f>SUM(G4:G85)</f>
        <v>3160.8029999999999</v>
      </c>
      <c r="H2" s="8">
        <f>C2-G2</f>
        <v>1218.4120000000003</v>
      </c>
      <c r="I2" s="7">
        <f>IFERROR(H2/G2, 0)</f>
        <v>0.385475463038981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4379.2150000000001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16">
        <v>3160.8029999999999</v>
      </c>
      <c r="H4" s="16">
        <f>IF(AND(ISNUMBER(C4),ISNUMBER(G4)), C4-G4, "")</f>
        <v>1218.4120000000003</v>
      </c>
      <c r="I4" s="17">
        <f>IFERROR(H4/G4, "")</f>
        <v>0.385475463038981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J6" sqref="J6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25</v>
      </c>
      <c r="E1" s="45"/>
      <c r="F1" s="45"/>
      <c r="G1" s="43" t="s">
        <v>26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8522.9650270000002</v>
      </c>
      <c r="D2" s="6">
        <f>SUM(D4:D90)</f>
        <v>0</v>
      </c>
      <c r="E2" s="6">
        <f>C2-D2</f>
        <v>8522.9650270000002</v>
      </c>
      <c r="F2" s="7">
        <f>IFERROR(E2/D2, 0)</f>
        <v>0</v>
      </c>
      <c r="G2" s="6">
        <f>SUM(G4:G90)</f>
        <v>5207</v>
      </c>
      <c r="H2" s="8">
        <f>C2-G2</f>
        <v>3315.9650270000002</v>
      </c>
      <c r="I2" s="7">
        <f>IFERROR(H2/G2, 0)</f>
        <v>0.63682831323218747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8522.9650270000002</v>
      </c>
      <c r="D4" s="14" t="s">
        <v>27</v>
      </c>
      <c r="E4" s="14" t="str">
        <f>IF(AND(ISNUMBER(C4),ISNUMBER(D4)), C4-D4, "")</f>
        <v/>
      </c>
      <c r="F4" s="15" t="str">
        <f>IFERROR(E4/D4, "")</f>
        <v/>
      </c>
      <c r="G4" s="16">
        <v>5207</v>
      </c>
      <c r="H4" s="16">
        <f>IF(AND(ISNUMBER(C4),ISNUMBER(G4)), C4-G4, "")</f>
        <v>3315.9650270000002</v>
      </c>
      <c r="I4" s="17">
        <f>IFERROR(H4/G4, "")</f>
        <v>0.63682831323218747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C23" sqref="C23"/>
      <selection activeCell="C23" sqref="C23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52</v>
      </c>
      <c r="C4" s="4" t="s">
        <v>53</v>
      </c>
      <c r="D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B89936FB-B4F1-4CB5-B72D-FE5ABFAEAFF4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14966E4F-347B-477B-B74C-9DAC05405806}"/>
</file>

<file path=customXml/itemProps7.xml><?xml version="1.0" encoding="utf-8"?>
<ds:datastoreItem xmlns:ds="http://schemas.openxmlformats.org/officeDocument/2006/customXml" ds:itemID="{2BC74AAC-D69B-4AF1-9649-B21EF3C1C463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2025-06-25T20:15:18Z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