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" documentId="13_ncr:1_{476EE4C3-05B8-4106-A6CE-CE3BE6170DB2}" xr6:coauthVersionLast="47" xr6:coauthVersionMax="47" xr10:uidLastSave="{27D225ED-A886-47D3-A038-48FDC4585123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5" i="72"/>
  <c r="I4" i="72"/>
  <c r="G6" i="30"/>
  <c r="G5" i="30"/>
  <c r="G4" i="30"/>
  <c r="G6" i="29"/>
  <c r="G5" i="29"/>
  <c r="G4" i="29"/>
  <c r="E5" i="33"/>
  <c r="E5" i="32"/>
  <c r="F5" i="32" s="1"/>
  <c r="G5" i="18"/>
  <c r="G2" i="18" s="1"/>
  <c r="G6" i="18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72"/>
  <c r="F7" i="72" s="1"/>
  <c r="H7" i="72"/>
  <c r="I7" i="72" s="1"/>
  <c r="G6" i="1"/>
  <c r="G6" i="34" s="1"/>
  <c r="G5" i="1"/>
  <c r="G4" i="1"/>
  <c r="B4" i="34" a="1"/>
  <c r="B4" i="34" s="1"/>
  <c r="A4" i="34" a="1"/>
  <c r="A4" i="34" s="1"/>
  <c r="A1" i="34" a="1"/>
  <c r="A1" i="34" s="1"/>
  <c r="D6" i="30"/>
  <c r="C6" i="30"/>
  <c r="D5" i="30"/>
  <c r="C5" i="30"/>
  <c r="D4" i="30"/>
  <c r="C4" i="30"/>
  <c r="D6" i="29"/>
  <c r="C6" i="29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F5" i="33"/>
  <c r="H4" i="33"/>
  <c r="I4" i="33" s="1"/>
  <c r="E4" i="33"/>
  <c r="F4" i="33" s="1"/>
  <c r="G2" i="33"/>
  <c r="D2" i="33"/>
  <c r="C2" i="33"/>
  <c r="J2" i="33" s="1"/>
  <c r="A1" i="33" a="1"/>
  <c r="A1" i="33" s="1"/>
  <c r="H6" i="32"/>
  <c r="I6" i="32" s="1"/>
  <c r="E6" i="32"/>
  <c r="F6" i="32" s="1"/>
  <c r="H5" i="32"/>
  <c r="I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F4" i="72" s="1"/>
  <c r="A1" i="72" a="1"/>
  <c r="A1" i="72" s="1"/>
  <c r="C6" i="34" l="1"/>
  <c r="D6" i="34"/>
  <c r="D5" i="34"/>
  <c r="E5" i="30"/>
  <c r="F5" i="30" s="1"/>
  <c r="C5" i="34"/>
  <c r="H2" i="31"/>
  <c r="I2" i="31" s="1"/>
  <c r="H2" i="26"/>
  <c r="I2" i="26" s="1"/>
  <c r="G5" i="34"/>
  <c r="G4" i="34"/>
  <c r="D2" i="18"/>
  <c r="H2" i="20"/>
  <c r="I2" i="20" s="1"/>
  <c r="G2" i="34"/>
  <c r="D4" i="34"/>
  <c r="D2" i="30"/>
  <c r="H6" i="29"/>
  <c r="I6" i="29" s="1"/>
  <c r="E5" i="29"/>
  <c r="F5" i="29" s="1"/>
  <c r="H2" i="21"/>
  <c r="I2" i="21" s="1"/>
  <c r="E5" i="18"/>
  <c r="F5" i="18" s="1"/>
  <c r="E2" i="20"/>
  <c r="F2" i="20" s="1"/>
  <c r="J2" i="21"/>
  <c r="H6" i="30"/>
  <c r="J2" i="20"/>
  <c r="H2" i="19"/>
  <c r="I2" i="19" s="1"/>
  <c r="E4" i="18"/>
  <c r="F4" i="18" s="1"/>
  <c r="E4" i="30"/>
  <c r="F4" i="30" s="1"/>
  <c r="J2" i="26"/>
  <c r="H2" i="28"/>
  <c r="I2" i="28" s="1"/>
  <c r="H2" i="4"/>
  <c r="I2" i="4" s="1"/>
  <c r="H2" i="27"/>
  <c r="I2" i="27" s="1"/>
  <c r="E2" i="28"/>
  <c r="F2" i="28" s="1"/>
  <c r="H2" i="33"/>
  <c r="I2" i="33" s="1"/>
  <c r="D2" i="29"/>
  <c r="J2" i="27"/>
  <c r="J2" i="28"/>
  <c r="H2" i="32"/>
  <c r="I2" i="32" s="1"/>
  <c r="J2" i="31"/>
  <c r="E6" i="18"/>
  <c r="F6" i="18" s="1"/>
  <c r="E6" i="29"/>
  <c r="F6" i="29" s="1"/>
  <c r="E6" i="30"/>
  <c r="F6" i="30" s="1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D2" i="34" l="1"/>
  <c r="I5" i="30"/>
  <c r="H5" i="34"/>
  <c r="I5" i="34" s="1"/>
  <c r="I6" i="30"/>
  <c r="H6" i="34"/>
  <c r="I6" i="34" s="1"/>
  <c r="E2" i="29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<sst xmlns="http://schemas.openxmlformats.org/spreadsheetml/2006/main" count="266" uniqueCount="63">
  <si>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</si>
  <si>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</si>
  <si>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</si>
  <si>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</si>
  <si>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</si>
  <si>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</si>
  <si>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</si>
  <si>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</si>
  <si>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</si>
  <si>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</si>
  <si>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</si>
  <si>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</si>
  <si>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</si>
  <si>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</si>
  <si>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</si>
  <si>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</si>
  <si>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</si>
  <si>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</si>
  <si>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</si>
  <si>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</si>
  <si>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</si>
  <si>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</si>
  <si>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</si>
  <si>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1.Weather station has a shading issue every morning need to elocate the irradiance sensor away from all obstructions.</t>
  </si>
  <si>
    <t>1.SR087715</t>
  </si>
  <si>
    <t xml:space="preserve">1.Meter is not capturing power of inverter 2, inverter 2 is communicating technician was dispatched found no issues.Asset Planner will address the CT variance remotely. </t>
  </si>
  <si>
    <t>1.SR095968</t>
  </si>
  <si>
    <t>February Actual v. Expected</t>
  </si>
  <si>
    <t>February Actual v. Forecasted</t>
  </si>
  <si>
    <t>March Actual v. Expected</t>
  </si>
  <si>
    <t>March Actual v. Forecasted</t>
  </si>
  <si>
    <t>1. Weather station has a shading issue every morning need to elocate the irradiance sensor away from all obstructions.</t>
  </si>
  <si>
    <t>1. SR087715</t>
  </si>
  <si>
    <t>1. Meter is not capturing power of inverter 2, inverter 2 is communicating technician was dispatched found no issues.Asset Planner will address the CT variance remotely. 
2. The meter is reading negative values from 03/23/25.</t>
  </si>
  <si>
    <t>1. SR095968
2. SR098923</t>
  </si>
  <si>
    <t>SR098923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</si>
  <si>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</si>
  <si>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</si>
  <si>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</si>
  <si>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</si>
  <si>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</si>
  <si>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</si>
  <si>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</si>
  <si>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</si>
  <si>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</si>
  <si>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</si>
  <si>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</si>
  <si>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</si>
  <si>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</si>
  <si>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</si>
  <si>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</si>
  <si>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</si>
  <si>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</si>
  <si>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</si>
  <si>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</si>
  <si>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Lake Havasu USD</t>
  </si>
  <si>
    <t>Site DAS Name</t>
  </si>
  <si>
    <t>Update</t>
  </si>
  <si>
    <t>DAS</t>
  </si>
  <si>
    <t>AZ: Lake Havasu - District Office</t>
  </si>
  <si>
    <t>AZ</t>
  </si>
  <si>
    <t>AZ: Lake Havasu - HS Library</t>
  </si>
  <si>
    <t>AZ: Lake Havasu-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</si>
</sst>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5968" TargetMode="External"/><Relationship Id="rId1" Type="http://schemas.openxmlformats.org/officeDocument/2006/relationships/hyperlink" Target="https://us3.assetplanner.com/service_request?ID=08771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5968" TargetMode="External"/><Relationship Id="rId1" Type="http://schemas.openxmlformats.org/officeDocument/2006/relationships/hyperlink" Target="https://us3.assetplanner.com/service_request?ID=08771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923" TargetMode="External"/><Relationship Id="rId2" Type="http://schemas.openxmlformats.org/officeDocument/2006/relationships/hyperlink" Target="https://us3.assetplanner.com/service_request?ID=095968" TargetMode="External"/><Relationship Id="rId1" Type="http://schemas.openxmlformats.org/officeDocument/2006/relationships/hyperlink" Target="https://us3.assetplanner.com/service_request?ID=08771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D16" sqref="D16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Lake Havasu USD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SUM(C4:C91)</f>
        <v>140756</v>
      </c>
      <c r="D2" s="6">
        <f>SUM(D4:D91)</f>
        <v>144641.26999999999</v>
      </c>
      <c r="E2" s="6">
        <f>C2-D2</f>
        <v>-3885.2699999999895</v>
      </c>
      <c r="F2" s="7">
        <f>IFERROR(E2/D2, 0)</f>
        <v>-2.6861420671983795E-2</v>
      </c>
      <c r="G2" s="6">
        <f>SUM(G4:G91)</f>
        <v>0</v>
      </c>
      <c r="H2" s="8">
        <f>C2-G2</f>
        <v>140756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SUM('1st Qtr'!C4, '2nd Qtr'!C4, '3rd Qtr'!C4, '4th Qtr'!C4)</f>
        <v>72118</v>
      </c>
      <c r="D4" s="14">
        <f>SUM('1st Qtr'!D4, '2nd Qtr'!D4, '3rd Qtr'!D4, '4th Qtr'!D4)</f>
        <v>69458.58</v>
      </c>
      <c r="E4" s="14">
        <f>IF(AND(ISNUMBER(C4),ISNUMBER(D4)), C4-D4, "")</f>
        <v>2659.4199999999983</v>
      </c>
      <c r="F4" s="15">
        <f>IFERROR(E4/D4, "")</f>
        <v>3.8287854430654904E-2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20">
        <f>SUM('1st Qtr'!C5, '2nd Qtr'!C5, '3rd Qtr'!C5, '4th Qtr'!C5)</f>
        <v>32428</v>
      </c>
      <c r="D5" s="20">
        <f>SUM('1st Qtr'!D5, '2nd Qtr'!D5, '3rd Qtr'!D5, '4th Qtr'!D5)</f>
        <v>29857.57</v>
      </c>
      <c r="E5" s="20">
        <f t="shared" ref="E5:E6" si="0">IF(AND(ISNUMBER(C5),ISNUMBER(D5)), C5-D5, "")</f>
        <v>2570.4300000000003</v>
      </c>
      <c r="F5" s="21">
        <f>IFERROR(E5/D5, "")</f>
        <v>8.6089725319240654E-2</v>
      </c>
      <c r="G5" s="22">
        <f>SUM('1st Qtr'!G5,'2nd Qtr'!G5,'3rd Qtr'!G5,'4th Qtr'!G5)</f>
        <v>0</v>
      </c>
      <c r="H5" s="20">
        <f>SUM('1st Qtr'!H5, '2nd Qtr'!H5, '3rd Qtr'!H5, '4th Qtr'!H5)</f>
        <v>0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SUM('1st Qtr'!C6, '2nd Qtr'!C6, '3rd Qtr'!C6, '4th Qtr'!C6)</f>
        <v>36210</v>
      </c>
      <c r="D6" s="14">
        <f>SUM('1st Qtr'!D6, '2nd Qtr'!D6, '3rd Qtr'!D6, '4th Qtr'!D6)</f>
        <v>45325.119999999995</v>
      </c>
      <c r="E6" s="14">
        <f t="shared" si="0"/>
        <v>-9115.1199999999953</v>
      </c>
      <c r="F6" s="15">
        <f t="shared" ref="F6" si="1">IFERROR(E6/D6, "")</f>
        <v>-0.20110525907046681</v>
      </c>
      <c r="G6" s="16">
        <f>SUM('1st Qtr'!G6,'2nd Qtr'!G6,'3rd Qtr'!G6,'4th Qtr'!G6)</f>
        <v>0</v>
      </c>
      <c r="H6" s="16">
        <f>SUM('1st Qtr'!H6, '2nd Qtr'!H6, '3rd Qtr'!H6, '4th Qtr'!H6)</f>
        <v>0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ySplit="2" topLeftCell="A3" activePane="bottomLeft" state="frozen"/>
      <selection pane="bottomLeft" activeCell="C6" sqref="C6"/>
      <selection activeCell="C11" sqref="C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Lake Havasu USD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SUM(C4:C91)</f>
        <v>140756</v>
      </c>
      <c r="D2" s="6">
        <f>SUM(D4:D91)</f>
        <v>144641.26999999999</v>
      </c>
      <c r="E2" s="6">
        <f>C2-D2</f>
        <v>-3885.2699999999895</v>
      </c>
      <c r="F2" s="7">
        <f>IFERROR(E2/D2, 0)</f>
        <v>-2.6861420671983795E-2</v>
      </c>
      <c r="G2" s="6">
        <f>SUM(G4:G91)</f>
        <v>0</v>
      </c>
      <c r="H2" s="8">
        <f>C2-G2</f>
        <v>140756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SUM(Jan!C4, Feb!C4, Mar!C4)</f>
        <v>72118</v>
      </c>
      <c r="D4" s="14">
        <f>SUM(Jan!D4, Feb!D4, Mar!D4)</f>
        <v>69458.58</v>
      </c>
      <c r="E4" s="14">
        <f>IF(AND(ISNUMBER(C4),ISNUMBER(D4)), C4-D4, "")</f>
        <v>2659.4199999999983</v>
      </c>
      <c r="F4" s="15">
        <f>IFERROR(E4/D4, "")</f>
        <v>3.8287854430654904E-2</v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AZ: Lake Havasu - HS Library</v>
      </c>
      <c r="B5" s="11" t="str">
        <v>AZ</v>
      </c>
      <c r="C5" s="12">
        <f>SUM(Jan!C5, Feb!C5, Mar!C5)</f>
        <v>32428</v>
      </c>
      <c r="D5" s="20">
        <f>SUM(Jan!D5, Feb!D5, Mar!D5)</f>
        <v>29857.57</v>
      </c>
      <c r="E5" s="20">
        <f t="shared" ref="E5:E6" si="0">IF(AND(ISNUMBER(C5),ISNUMBER(D5)), C5-D5, "")</f>
        <v>2570.4300000000003</v>
      </c>
      <c r="F5" s="21">
        <f>IFERROR(E5/D5, "")</f>
        <v>8.6089725319240654E-2</v>
      </c>
      <c r="G5" s="22">
        <f>SUM(Jan!G5, Feb!G5, Mar!G5)</f>
        <v>0</v>
      </c>
      <c r="H5" s="22">
        <f>SUM(Jan!H5, Feb!H5, Mar!H5)</f>
        <v>0</v>
      </c>
      <c r="I5" s="21">
        <f>IFERROR(H5/G5, 0)</f>
        <v>0</v>
      </c>
    </row>
    <row r="6" spans="1:9" ht="15.6">
      <c r="A6" s="13" t="str">
        <v>AZ: Lake Havasu- Performing Arts</v>
      </c>
      <c r="B6" s="10" t="str">
        <v>AZ</v>
      </c>
      <c r="C6" s="26">
        <f>SUM(Jan!C6, Feb!C6, Mar!C6)</f>
        <v>36210</v>
      </c>
      <c r="D6" s="14">
        <f>SUM(Jan!D6, Feb!D6, Mar!D6)</f>
        <v>45325.119999999995</v>
      </c>
      <c r="E6" s="14">
        <f t="shared" si="0"/>
        <v>-9115.1199999999953</v>
      </c>
      <c r="F6" s="15">
        <f t="shared" ref="F6" si="1">IFERROR(E6/D6, "")</f>
        <v>-0.20110525907046681</v>
      </c>
      <c r="G6" s="16">
        <f>SUM(Jan!G6, Feb!G6, Mar!G6)</f>
        <v>0</v>
      </c>
      <c r="H6" s="16">
        <f>SUM(Jan!H6, Feb!H6, Mar!H6)</f>
        <v>0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ySplit="2" topLeftCell="A3" activePane="bottomLeft" state="frozen"/>
      <selection pane="bottomLeft" activeCell="F19" sqref="F19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Lake Havasu USD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ySplit="2" topLeftCell="A3" activePane="bottomLeft" state="frozen"/>
      <selection pane="bottomLeft" activeCell="G5" sqref="G5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Lake Havasu USD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ySplit="2" topLeftCell="A3" activePane="bottomLeft" state="frozen"/>
      <selection pane="bottomLeft" activeCell="F10" sqref="F10"/>
      <selection activeCell="C28" sqref="C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Lake Havasu USD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6">Sites[Site]</f>
        <v>AZ: Lake Havasu - District Office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SUM(Oct!G4,Nov!G5,Dec!G4)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- HS Library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>
        <f>SUM(Oct!G5,Nov!G6,Dec!G5)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Havasu- Performing Arts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>
        <f>SUM(Oct!G6,Nov!G7,Dec!G6)</f>
        <v>0</v>
      </c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workbookViewId="0">
      <pane ySplit="3" topLeftCell="A4" activePane="bottomLeft" state="frozen"/>
      <selection pane="bottomLeft" activeCell="K12" sqref="K12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SUM(C4:C90)</f>
        <v>42817</v>
      </c>
      <c r="D2" s="6">
        <f>SUM(D4:D90)</f>
        <v>43445.64</v>
      </c>
      <c r="E2" s="6">
        <f>C2-D2</f>
        <v>-628.63999999999942</v>
      </c>
      <c r="F2" s="7">
        <f>IFERROR(E2/D2, 0)</f>
        <v>-1.4469576233656575E-2</v>
      </c>
      <c r="G2" s="6">
        <f>SUM(G4:G90)</f>
        <v>0</v>
      </c>
      <c r="H2" s="8">
        <f>C2-G2</f>
        <v>42817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20786</v>
      </c>
      <c r="D4" s="14">
        <v>20998.23</v>
      </c>
      <c r="E4" s="14">
        <f>IF(AND(ISNUMBER(C4),ISNUMBER(D4)), C4-D4, "")</f>
        <v>-212.22999999999956</v>
      </c>
      <c r="F4" s="15">
        <f>IFERROR(E4/D4, "")</f>
        <v>-1.0107042355474704E-2</v>
      </c>
      <c r="G4" s="44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46" t="s">
        <v>24</v>
      </c>
    </row>
    <row r="5" spans="1:11" ht="15.6">
      <c r="A5" s="32" t="str">
        <v>AZ: Lake Havasu - HS Library</v>
      </c>
      <c r="B5" s="33" t="str">
        <v>AZ</v>
      </c>
      <c r="C5" s="12">
        <v>9518</v>
      </c>
      <c r="D5" s="20">
        <v>8914.75</v>
      </c>
      <c r="E5" s="20">
        <f t="shared" ref="E5:E6" si="0">IF(AND(ISNUMBER(C5),ISNUMBER(D5)), C5-D5, "")</f>
        <v>603.25</v>
      </c>
      <c r="F5" s="21">
        <f>IFERROR(E5/D5, "")</f>
        <v>6.7668751226899235E-2</v>
      </c>
      <c r="G5" s="45" t="s">
        <v>22</v>
      </c>
      <c r="H5" s="22" t="str">
        <f t="shared" ref="H5:H6" si="1">IF(AND(ISNUMBER(C5),ISNUMBER(G5)), C5-G5, "")</f>
        <v/>
      </c>
      <c r="I5" s="21" t="str">
        <f>IFERROR(H5/G5, "")</f>
        <v/>
      </c>
      <c r="J5" s="11"/>
      <c r="K5" s="19"/>
    </row>
    <row r="6" spans="1:11" ht="28.9">
      <c r="A6" s="30" t="str">
        <v>AZ: Lake Havasu- Performing Arts</v>
      </c>
      <c r="B6" s="31" t="str">
        <v>AZ</v>
      </c>
      <c r="C6" s="26">
        <v>12513</v>
      </c>
      <c r="D6" s="14">
        <v>13532.66</v>
      </c>
      <c r="E6" s="14">
        <f t="shared" si="0"/>
        <v>-1019.6599999999999</v>
      </c>
      <c r="F6" s="15">
        <f t="shared" ref="F6" si="2">IFERROR(E6/D6, "")</f>
        <v>-7.5348083820919162E-2</v>
      </c>
      <c r="G6" s="44" t="s">
        <v>22</v>
      </c>
      <c r="H6" s="16" t="str">
        <f t="shared" si="1"/>
        <v/>
      </c>
      <c r="I6" s="17" t="str">
        <f>IFERROR(H6/G6, "")</f>
        <v/>
      </c>
      <c r="J6" s="18" t="s">
        <v>25</v>
      </c>
      <c r="K6" s="46" t="s">
        <v>26</v>
      </c>
    </row>
    <row r="7" spans="1:11" ht="14.45">
      <c r="A7" s="23"/>
      <c r="B7" s="35"/>
      <c r="C7" s="23"/>
      <c r="D7" s="23"/>
      <c r="E7" s="23" t="str">
        <f t="shared" ref="E7" si="3">IF(AND(ISNUMBER(C7),ISNUMBER(D7)), C7-D7, "")</f>
        <v/>
      </c>
      <c r="F7" s="23" t="str">
        <f t="shared" ref="F7" si="4">IFERROR(E7/D7, "")</f>
        <v/>
      </c>
      <c r="G7" s="23"/>
      <c r="H7" s="23" t="str">
        <f t="shared" ref="H7" si="5">IF(AND(ISNUMBER(C7),ISNUMBER(G7)), C7-G7, "")</f>
        <v/>
      </c>
      <c r="I7" s="23" t="str">
        <f t="shared" ref="I7" si="6">IFERROR(H7/G7, "")</f>
        <v/>
      </c>
      <c r="J7" s="23"/>
      <c r="K7" s="23"/>
    </row>
    <row r="8" spans="1:11" ht="12.75" customHeight="1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D1:F1"/>
    <mergeCell ref="A1:C1"/>
    <mergeCell ref="G1:I1"/>
    <mergeCell ref="A2:B2"/>
  </mergeCells>
  <conditionalFormatting sqref="F2 I2 F4:F90 I4:I90">
    <cfRule type="cellIs" dxfId="28" priority="2" stopIfTrue="1" operator="lessThanOrEqual">
      <formula>-0.1</formula>
    </cfRule>
    <cfRule type="expression" dxfId="27" priority="3">
      <formula>AND(ISNUMBER(F2), F2&gt;=0.1)</formula>
    </cfRule>
  </conditionalFormatting>
  <hyperlinks>
    <hyperlink ref="K4" r:id="rId1" display="https://us3.assetplanner.com/service_request?ID=087715" xr:uid="{12CC2CB5-4587-4FC1-B7DF-3D496968FA1A}"/>
    <hyperlink ref="K6" r:id="rId2" display="https://us3.assetplanner.com/service_request?ID=095968" xr:uid="{7F97AC99-AC17-4EAA-8836-A833E92EB37C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workbookViewId="0">
      <pane ySplit="2" topLeftCell="A3" activePane="bottomLeft" state="frozen"/>
      <selection pane="bottomLeft" activeCell="J17" sqref="J17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27</v>
      </c>
      <c r="E1" s="50"/>
      <c r="F1" s="50"/>
      <c r="G1" s="48" t="s">
        <v>28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47181</v>
      </c>
      <c r="D2" s="6">
        <f>SUM(D4:D91)</f>
        <v>44498.559999999998</v>
      </c>
      <c r="E2" s="6">
        <f>C2-D2</f>
        <v>2682.4400000000023</v>
      </c>
      <c r="F2" s="7">
        <f>IFERROR(E2/D2, 0)</f>
        <v>6.028150124408526E-2</v>
      </c>
      <c r="G2" s="6">
        <f>SUM(G4:G91)</f>
        <v>0</v>
      </c>
      <c r="H2" s="8">
        <f>C2-G2</f>
        <v>47181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22994</v>
      </c>
      <c r="D4" s="14">
        <v>21637.83</v>
      </c>
      <c r="E4" s="14">
        <f>IF(AND(ISNUMBER(C4),ISNUMBER(D4)), C4-D4, "")</f>
        <v>1356.1699999999983</v>
      </c>
      <c r="F4" s="15">
        <f>IFERROR(E4/D4, "")</f>
        <v>6.2675878311272346E-2</v>
      </c>
      <c r="G4" s="44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23</v>
      </c>
      <c r="K4" s="46" t="s">
        <v>24</v>
      </c>
    </row>
    <row r="5" spans="1:11" ht="15.6">
      <c r="A5" s="32" t="str">
        <v>AZ: Lake Havasu - HS Library</v>
      </c>
      <c r="B5" s="33" t="str">
        <v>AZ</v>
      </c>
      <c r="C5" s="12">
        <v>10274</v>
      </c>
      <c r="D5" s="20">
        <v>9078.73</v>
      </c>
      <c r="E5" s="20">
        <f t="shared" ref="E5:E6" si="0">IF(AND(ISNUMBER(C5),ISNUMBER(D5)), C5-D5, "")</f>
        <v>1195.2700000000004</v>
      </c>
      <c r="F5" s="21">
        <f>IFERROR(E5/D5, "")</f>
        <v>0.13165607964990703</v>
      </c>
      <c r="G5" s="45" t="s">
        <v>22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Lake Havasu- Performing Arts</v>
      </c>
      <c r="B6" s="31" t="str">
        <v>AZ</v>
      </c>
      <c r="C6" s="26">
        <v>13913</v>
      </c>
      <c r="D6" s="14">
        <v>13782</v>
      </c>
      <c r="E6" s="14">
        <f t="shared" si="0"/>
        <v>131</v>
      </c>
      <c r="F6" s="15">
        <f t="shared" ref="F6" si="3">IFERROR(E6/D6, "")</f>
        <v>9.5051516470758962E-3</v>
      </c>
      <c r="G6" s="44" t="s">
        <v>22</v>
      </c>
      <c r="H6" s="16" t="str">
        <f t="shared" si="1"/>
        <v/>
      </c>
      <c r="I6" s="17" t="str">
        <f t="shared" si="2"/>
        <v/>
      </c>
      <c r="J6" s="18" t="s">
        <v>25</v>
      </c>
      <c r="K6" s="46" t="s">
        <v>26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hyperlinks>
    <hyperlink ref="K4" r:id="rId1" display="https://us3.assetplanner.com/service_request?ID=087715" xr:uid="{B650EDAC-59E9-4D44-BE57-989128D993B1}"/>
    <hyperlink ref="K6" r:id="rId2" display="https://us3.assetplanner.com/service_request?ID=095968" xr:uid="{1C077104-1887-45D2-87FF-CEF5D1443C0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3"/>
  <sheetViews>
    <sheetView tabSelected="1" workbookViewId="0">
      <pane ySplit="2" topLeftCell="A3" activePane="bottomLeft" state="frozen"/>
      <selection pane="bottomLeft" activeCell="J22" sqref="J22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49" t="str" cm="1">
        <f t="array" ref="A1">portfolio</f>
        <v>Lake Havasu USD</v>
      </c>
      <c r="B1" s="49"/>
      <c r="C1" s="49"/>
      <c r="D1" s="50" t="s">
        <v>29</v>
      </c>
      <c r="E1" s="50"/>
      <c r="F1" s="50"/>
      <c r="G1" s="48" t="s">
        <v>30</v>
      </c>
      <c r="H1" s="48"/>
      <c r="I1" s="48"/>
      <c r="J1" s="5"/>
      <c r="K1" s="5"/>
    </row>
    <row r="2" spans="1:12" ht="19.5" customHeight="1">
      <c r="A2" s="51" t="s">
        <v>2</v>
      </c>
      <c r="B2" s="51"/>
      <c r="C2" s="6">
        <f>SUM(C4:C91)</f>
        <v>50758</v>
      </c>
      <c r="D2" s="6">
        <f>SUM(D4:D91)</f>
        <v>56697.07</v>
      </c>
      <c r="E2" s="6">
        <f>C2-D2</f>
        <v>-5939.07</v>
      </c>
      <c r="F2" s="7">
        <f>IFERROR(E2/D2, 0)</f>
        <v>-0.10475091569987655</v>
      </c>
      <c r="G2" s="6">
        <f>SUM(G4:G91)</f>
        <v>0</v>
      </c>
      <c r="H2" s="8">
        <f>C2-G2</f>
        <v>50758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>
        <v>28338</v>
      </c>
      <c r="D4" s="14">
        <v>26822.52</v>
      </c>
      <c r="E4" s="14">
        <f>IF(AND(ISNUMBER(C4),ISNUMBER(D4)), C4-D4, "")</f>
        <v>1515.4799999999996</v>
      </c>
      <c r="F4" s="15">
        <f>IFERROR(E4/D4, "")</f>
        <v>5.6500284089638093E-2</v>
      </c>
      <c r="G4" s="44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31</v>
      </c>
      <c r="K4" s="46" t="s">
        <v>32</v>
      </c>
    </row>
    <row r="5" spans="1:12" ht="15.6">
      <c r="A5" s="32" t="str">
        <v>AZ: Lake Havasu - HS Library</v>
      </c>
      <c r="B5" s="33" t="str">
        <v>AZ</v>
      </c>
      <c r="C5" s="12">
        <v>12636</v>
      </c>
      <c r="D5" s="20">
        <v>11864.09</v>
      </c>
      <c r="E5" s="20">
        <f t="shared" ref="E5:E6" si="0">IF(AND(ISNUMBER(C5),ISNUMBER(D5)), C5-D5, "")</f>
        <v>771.90999999999985</v>
      </c>
      <c r="F5" s="21">
        <f>IFERROR(E5/D5, "")</f>
        <v>6.5062722888986832E-2</v>
      </c>
      <c r="G5" s="45" t="s">
        <v>22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2" ht="60.75">
      <c r="A6" s="30" t="str">
        <v>AZ: Lake Havasu- Performing Arts</v>
      </c>
      <c r="B6" s="31" t="str">
        <v>AZ</v>
      </c>
      <c r="C6" s="26">
        <v>9784</v>
      </c>
      <c r="D6" s="14">
        <v>18010.46</v>
      </c>
      <c r="E6" s="14">
        <f t="shared" si="0"/>
        <v>-8226.4599999999991</v>
      </c>
      <c r="F6" s="15">
        <f t="shared" ref="F6" si="3">IFERROR(E6/D6, "")</f>
        <v>-0.45676012717054421</v>
      </c>
      <c r="G6" s="44" t="s">
        <v>22</v>
      </c>
      <c r="H6" s="16" t="str">
        <f t="shared" si="1"/>
        <v/>
      </c>
      <c r="I6" s="17" t="str">
        <f t="shared" si="2"/>
        <v/>
      </c>
      <c r="J6" s="18" t="s">
        <v>33</v>
      </c>
      <c r="K6" s="46" t="s">
        <v>34</v>
      </c>
      <c r="L6" s="47" t="s">
        <v>35</v>
      </c>
    </row>
    <row r="7" spans="1:12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87715" xr:uid="{B4D3E901-544C-4681-AA95-E5144479D889}"/>
    <hyperlink ref="K6" r:id="rId2" display="https://us3.assetplanner.com/service_request?ID=095968" xr:uid="{8D738048-9750-4905-921A-86C881994838}"/>
    <hyperlink ref="L6" r:id="rId3" display="https://us3.assetplanner.com/service_request?ID=098923" xr:uid="{BF41A8E7-CAF9-49A5-B9B6-92B50EA6A69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/>
      <c r="D5" s="43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/>
      <c r="D5" s="43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8.5703125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40</v>
      </c>
      <c r="E1" s="50"/>
      <c r="F1" s="50"/>
      <c r="G1" s="48" t="s">
        <v>41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/>
      <c r="D5" s="43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/>
      <c r="D5" s="43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91 I4:I91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/>
      <c r="D5" s="43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topLeftCell="D1"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0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43"/>
      <c r="D5" s="43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topLeftCell="C1"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>
        <v>0</v>
      </c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 t="shared" ref="F6" si="3"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Lake Havasu USD</v>
      </c>
      <c r="B1" s="49"/>
      <c r="C1" s="49"/>
      <c r="D1" s="50" t="s">
        <v>52</v>
      </c>
      <c r="E1" s="50"/>
      <c r="F1" s="50"/>
      <c r="G1" s="48" t="s">
        <v>53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Lake Havasu - District Office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- HS Library</v>
      </c>
      <c r="B5" s="33" t="str">
        <v>AZ</v>
      </c>
      <c r="C5" s="12"/>
      <c r="D5" s="20"/>
      <c r="E5" s="20" t="str">
        <f>IF(AND(ISNUMBER(C5),ISNUMBER(D5)), C5-D5, "")</f>
        <v/>
      </c>
      <c r="F5" s="21" t="str">
        <f>IFERROR(E5/D5, "")</f>
        <v/>
      </c>
      <c r="G5" s="22">
        <v>0</v>
      </c>
      <c r="H5" s="22" t="str">
        <f t="shared" ref="H5:H6" si="0">IF(AND(ISNUMBER(C5),ISNUMBER(G5)), C5-G5, "")</f>
        <v/>
      </c>
      <c r="I5" s="21" t="str">
        <f t="shared" ref="I5:I6" si="1">IFERROR(H5/G5, "")</f>
        <v/>
      </c>
      <c r="J5" s="11"/>
      <c r="K5" s="19"/>
    </row>
    <row r="6" spans="1:11" ht="15.6">
      <c r="A6" s="30" t="str">
        <v>AZ: Lake Havasu- Performing Arts</v>
      </c>
      <c r="B6" s="31" t="str">
        <v>AZ</v>
      </c>
      <c r="C6" s="26"/>
      <c r="D6" s="14"/>
      <c r="E6" s="14" t="str">
        <f t="shared" ref="E6" si="2">IF(AND(ISNUMBER(C6),ISNUMBER(D6)), C6-D6, "")</f>
        <v/>
      </c>
      <c r="F6" s="15" t="str">
        <f t="shared" ref="F6" si="3">IFERROR(E6/D6, "")</f>
        <v/>
      </c>
      <c r="G6" s="16">
        <v>0</v>
      </c>
      <c r="H6" s="16" t="str">
        <f t="shared" si="0"/>
        <v/>
      </c>
      <c r="I6" s="17" t="str">
        <f t="shared" si="1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conditionalFormatting sqref="F4:F91 I4:I91">
    <cfRule type="cellIs" dxfId="4" priority="1" stopIfTrue="1" operator="lessThanOrEqual">
      <formula>-0.1</formula>
    </cfRule>
    <cfRule type="expression" dxfId="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B15" sqref="B1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t="s">
        <v>55</v>
      </c>
    </row>
    <row r="3" spans="1:7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45">
      <c r="A4" t="s">
        <v>59</v>
      </c>
      <c r="B4" t="s">
        <v>59</v>
      </c>
      <c r="C4" s="4" t="s">
        <v>60</v>
      </c>
      <c r="G4" s="3"/>
    </row>
    <row r="5" spans="1:7" ht="14.45">
      <c r="A5" t="s">
        <v>61</v>
      </c>
      <c r="B5" t="s">
        <v>61</v>
      </c>
      <c r="C5" s="4" t="s">
        <v>60</v>
      </c>
      <c r="G5" s="3"/>
    </row>
    <row r="6" spans="1:7" ht="14.45">
      <c r="A6" t="s">
        <v>62</v>
      </c>
      <c r="B6" t="s">
        <v>62</v>
      </c>
      <c r="C6" s="4" t="s">
        <v>60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238E9470-C261-4BEB-AE49-8E8F94CF23DF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14966E4F-347B-477B-B74C-9DAC05405806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2025-06-25T19:50:17Z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