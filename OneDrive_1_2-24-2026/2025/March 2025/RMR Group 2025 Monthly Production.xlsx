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 _AC5\Downloads\"/>
    </mc:Choice>
  </mc:AlternateContent>
  <xr:revisionPtr revIDLastSave="0" documentId="13_ncr:1_{61706FB4-CB48-4110-9AA6-8BDE61DC32A5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<sst xmlns="http://schemas.openxmlformats.org/spreadsheetml/2006/main" count="244" uniqueCount="57">
  <si>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</si>
  <si>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</si>
  <si>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</si>
  <si>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</si>
  <si>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</si>
  <si>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</si>
  <si>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</si>
  <si>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</si>
  <si>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</si>
  <si>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</si>
  <si>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</si>
  <si>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</si>
  <si>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</si>
  <si>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</si>
  <si>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</si>
  <si>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</si>
  <si>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</si>
  <si>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</si>
  <si>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</si>
  <si>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</si>
  <si>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</si>
  <si>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</si>
  <si>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</si>
  <si>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February Actual v. Expected</t>
  </si>
  <si>
    <t>February Actual v. Forecasted</t>
  </si>
  <si>
    <t>1. Low generation due to weather/snow</t>
  </si>
  <si>
    <t>March Actual v. Expected</t>
  </si>
  <si>
    <t>March Actual v. Forecasted</t>
  </si>
  <si>
    <t xml:space="preserve">1.The Site Expected Energy data reporting intermittently throughout the month due to site communication issues in the Unity portal. </t>
  </si>
  <si>
    <t>1. SR098457,SR092283</t>
  </si>
  <si>
    <t>SR092283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</si>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</sst>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283" TargetMode="External"/><Relationship Id="rId1" Type="http://schemas.openxmlformats.org/officeDocument/2006/relationships/hyperlink" Target="https://us3.assetplanner.com/service_request?ID=09845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C4" sqref="C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RMR Group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SUM(C4:C60)</f>
        <v>41253.092999999993</v>
      </c>
      <c r="D2" s="6">
        <f>SUM(D4:D60)</f>
        <v>40356.013999999996</v>
      </c>
      <c r="E2" s="6">
        <f>C2-D2</f>
        <v>897.0789999999979</v>
      </c>
      <c r="F2" s="7">
        <f>IFERROR(E2/D2, 0)</f>
        <v>2.222912798077625E-2</v>
      </c>
      <c r="G2" s="6">
        <f>SUM(G4:G60)</f>
        <v>0</v>
      </c>
      <c r="H2" s="8">
        <f>C2-G2</f>
        <v>41253.092999999993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41253.092999999993</v>
      </c>
      <c r="D4" s="14">
        <f>SUM('1st Qtr'!D4, '2nd Qtr'!D4, '3rd Qtr'!D4, '4th Qtr'!D4)</f>
        <v>40356.013999999996</v>
      </c>
      <c r="E4" s="14">
        <f>IF(AND(ISNUMBER(C4),ISNUMBER(D4)), C4-D4, "")</f>
        <v>897.0789999999979</v>
      </c>
      <c r="F4" s="15">
        <f>IFERROR(E4/D4, "")</f>
        <v>2.222912798077625E-2</v>
      </c>
      <c r="G4" s="16">
        <f>SUM('1st Qtr'!G4,'2nd Qtr'!G4,'3rd Qtr'!G4,'4th Qtr'!G4)</f>
        <v>0</v>
      </c>
      <c r="H4" s="16">
        <f>SUM('1st Qtr'!H4, '2nd Qtr'!H4, '3rd Qtr'!H4, '4th Qtr'!H4)</f>
        <v>41253.092999999993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4" sqref="C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RMR Group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SUM(C4:C68)</f>
        <v>41253.092999999993</v>
      </c>
      <c r="D2" s="6">
        <f>SUM(D4:D68)</f>
        <v>40356.013999999996</v>
      </c>
      <c r="E2" s="6">
        <f>C2-D2</f>
        <v>897.0789999999979</v>
      </c>
      <c r="F2" s="7">
        <f>IFERROR(E2/D2, 0)</f>
        <v>2.222912798077625E-2</v>
      </c>
      <c r="G2" s="6">
        <f>SUM(G4:G68)</f>
        <v>0</v>
      </c>
      <c r="H2" s="8">
        <f>C2-G2</f>
        <v>41253.092999999993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41253.092999999993</v>
      </c>
      <c r="D4" s="14">
        <f>SUM(Jan!D4, Feb!D4, Mar!D4)</f>
        <v>40356.013999999996</v>
      </c>
      <c r="E4" s="14">
        <f>IF(AND(ISNUMBER(C4),ISNUMBER(D4)), C4-D4, "")</f>
        <v>897.0789999999979</v>
      </c>
      <c r="F4" s="15">
        <f>IFERROR(E4/D4, "")</f>
        <v>2.222912798077625E-2</v>
      </c>
      <c r="G4" s="16">
        <f>SUM(Jan!G4, Feb!G4, Mar!G4)</f>
        <v>0</v>
      </c>
      <c r="H4" s="16">
        <f>SUM(Jan!H4, Feb!H4, Mar!H4)</f>
        <v>41253.092999999993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RMR Group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RMR Group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RMR Group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workbookViewId="0">
      <pane ySplit="3" topLeftCell="A4" activePane="bottomLeft" state="frozen"/>
      <selection pane="bottomLeft" activeCell="H12" sqref="H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SUM(C4:C89)</f>
        <v>9261.7929999999997</v>
      </c>
      <c r="D2" s="6">
        <f>SUM(D4:D89)</f>
        <v>15145.214</v>
      </c>
      <c r="E2" s="6">
        <f>C2-D2</f>
        <v>-5883.4210000000003</v>
      </c>
      <c r="F2" s="7">
        <f>IFERROR(E2/D2, 0)</f>
        <v>-0.38846734024359114</v>
      </c>
      <c r="G2" s="6">
        <f>SUM(G4:G89)</f>
        <v>0</v>
      </c>
      <c r="H2" s="8">
        <f>C2-G2</f>
        <v>9261.7929999999997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9261.7929999999997</v>
      </c>
      <c r="D4" s="14"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v>0</v>
      </c>
      <c r="H4" s="16">
        <f>IF(AND(ISNUMBER(C4),ISNUMBER(G4)), C4-G4, "")</f>
        <v>9261.7929999999997</v>
      </c>
      <c r="I4" s="17" t="str">
        <f>IFERROR(H4/G4, "")</f>
        <v/>
      </c>
      <c r="J4" s="18" t="s">
        <v>22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zoomScale="80" zoomScaleNormal="80" workbookViewId="0">
      <pane ySplit="2" topLeftCell="A3" activePane="bottomLeft" state="frozen"/>
      <selection pane="bottomLeft" activeCell="J14" sqref="J14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23</v>
      </c>
      <c r="E1" s="46"/>
      <c r="F1" s="46"/>
      <c r="G1" s="44" t="s">
        <v>24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SUM(C4:C85)</f>
        <v>7778.7</v>
      </c>
      <c r="D2" s="6">
        <f>SUM(D4:D85)</f>
        <v>15467.3</v>
      </c>
      <c r="E2" s="6">
        <f>C2-D2</f>
        <v>-7688.5999999999995</v>
      </c>
      <c r="F2" s="7">
        <f>IFERROR(E2/D2, 0)</f>
        <v>-0.49708740374855337</v>
      </c>
      <c r="G2" s="6">
        <f>SUM(G4:G85)</f>
        <v>0</v>
      </c>
      <c r="H2" s="8">
        <f>C2-G2</f>
        <v>7778.7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7778.7</v>
      </c>
      <c r="D4" s="14">
        <v>15467.3</v>
      </c>
      <c r="E4" s="14">
        <f>IF(AND(ISNUMBER(C4),ISNUMBER(D4)), C4-D4, "")</f>
        <v>-7688.5999999999995</v>
      </c>
      <c r="F4" s="15">
        <f>IFERROR(E4/D4, "")</f>
        <v>-0.49708740374855337</v>
      </c>
      <c r="G4" s="16">
        <v>0</v>
      </c>
      <c r="H4" s="16">
        <f>IF(AND(ISNUMBER(C4),ISNUMBER(G4)), C4-G4, "")</f>
        <v>7778.7</v>
      </c>
      <c r="I4" s="17" t="str">
        <f>IFERROR(H4/G4, "")</f>
        <v/>
      </c>
      <c r="J4" s="18" t="s">
        <v>25</v>
      </c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90" zoomScaleNormal="90" workbookViewId="0">
      <pane ySplit="2" topLeftCell="A3" activePane="bottomLeft" state="frozen"/>
      <selection pane="bottomLeft" activeCell="J17" sqref="J17"/>
      <selection activeCell="H22" sqref="H22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5" t="str" cm="1">
        <f t="array" ref="A1">portfolio</f>
        <v>RMR Group</v>
      </c>
      <c r="B1" s="45"/>
      <c r="C1" s="45"/>
      <c r="D1" s="46" t="s">
        <v>26</v>
      </c>
      <c r="E1" s="46"/>
      <c r="F1" s="46"/>
      <c r="G1" s="44" t="s">
        <v>27</v>
      </c>
      <c r="H1" s="44"/>
      <c r="I1" s="44"/>
      <c r="J1" s="5"/>
      <c r="K1" s="5"/>
    </row>
    <row r="2" spans="1:12" ht="19.5" customHeight="1">
      <c r="A2" s="47" t="s">
        <v>2</v>
      </c>
      <c r="B2" s="47"/>
      <c r="C2" s="6">
        <f>SUM(C4:C90)</f>
        <v>24212.6</v>
      </c>
      <c r="D2" s="6">
        <f>SUM(D4:D90)</f>
        <v>9743.5</v>
      </c>
      <c r="E2" s="6">
        <f>C2-D2</f>
        <v>14469.099999999999</v>
      </c>
      <c r="F2" s="7">
        <f>IFERROR(E2/D2, 0)</f>
        <v>1.4850002565813105</v>
      </c>
      <c r="G2" s="6">
        <f>SUM(G4:G90)</f>
        <v>0</v>
      </c>
      <c r="H2" s="8">
        <f>C2-G2</f>
        <v>24212.6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28.9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24212.6</v>
      </c>
      <c r="D4" s="14">
        <v>9743.5</v>
      </c>
      <c r="E4" s="14">
        <f>IF(AND(ISNUMBER(C4),ISNUMBER(D4)), C4-D4, "")</f>
        <v>14469.099999999999</v>
      </c>
      <c r="F4" s="15">
        <f>IFERROR(E4/D4, "")</f>
        <v>1.4850002565813105</v>
      </c>
      <c r="G4" s="16">
        <v>0</v>
      </c>
      <c r="H4" s="16">
        <f>IF(AND(ISNUMBER(C4),ISNUMBER(G4)), C4-G4, "")</f>
        <v>24212.6</v>
      </c>
      <c r="I4" s="17" t="str">
        <f>IFERROR(H4/G4, "")</f>
        <v/>
      </c>
      <c r="J4" s="18" t="s">
        <v>28</v>
      </c>
      <c r="K4" s="42" t="s">
        <v>29</v>
      </c>
      <c r="L4" s="43" t="s">
        <v>30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4" r:id="rId1" display="https://us3.assetplanner.com/service_request?ID=098457" xr:uid="{962A6811-2B8D-4A06-9278-93ED38244485}"/>
    <hyperlink ref="L4" r:id="rId2" display="https://us3.assetplanner.com/service_request?ID=092283" xr:uid="{1434438C-4D4C-406F-A50D-AFB596EB6D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31</v>
      </c>
      <c r="E1" s="46"/>
      <c r="F1" s="46"/>
      <c r="G1" s="44" t="s">
        <v>32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33</v>
      </c>
      <c r="E1" s="46"/>
      <c r="F1" s="46"/>
      <c r="G1" s="44" t="s">
        <v>34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35</v>
      </c>
      <c r="E1" s="46"/>
      <c r="F1" s="46"/>
      <c r="G1" s="44" t="s">
        <v>36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37</v>
      </c>
      <c r="E1" s="46"/>
      <c r="F1" s="46"/>
      <c r="G1" s="44" t="s">
        <v>38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39</v>
      </c>
      <c r="E1" s="46"/>
      <c r="F1" s="46"/>
      <c r="G1" s="44" t="s">
        <v>40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41</v>
      </c>
      <c r="E1" s="46"/>
      <c r="F1" s="46"/>
      <c r="G1" s="44" t="s">
        <v>42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43</v>
      </c>
      <c r="E1" s="46"/>
      <c r="F1" s="46"/>
      <c r="G1" s="44" t="s">
        <v>44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45</v>
      </c>
      <c r="E1" s="46"/>
      <c r="F1" s="46"/>
      <c r="G1" s="44" t="s">
        <v>46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RMR Group</v>
      </c>
      <c r="B1" s="45"/>
      <c r="C1" s="45"/>
      <c r="D1" s="46" t="s">
        <v>47</v>
      </c>
      <c r="E1" s="46"/>
      <c r="F1" s="46"/>
      <c r="G1" s="44" t="s">
        <v>48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49</v>
      </c>
      <c r="B1" t="s">
        <v>50</v>
      </c>
    </row>
    <row r="3" spans="1:7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7" ht="14.45">
      <c r="A4" t="s">
        <v>54</v>
      </c>
      <c r="B4" t="s">
        <v>54</v>
      </c>
      <c r="C4" s="4" t="s">
        <v>55</v>
      </c>
      <c r="E4" t="s">
        <v>56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B19BB07E-0568-4813-A5CD-9ADEF0CC89F9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