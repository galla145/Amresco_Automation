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3" documentId="13_ncr:1_{BEF15F90-16B8-42FF-B0D7-18D66156189A}" xr6:coauthVersionLast="47" xr6:coauthVersionMax="47" xr10:uidLastSave="{1A85F2A7-8F30-4DE8-A195-0246B3EF9176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 a="1"/>
  <c r="A4" i="4"/>
  <c r="G5" i="30"/>
  <c r="G4" i="30"/>
  <c r="G4" i="29"/>
  <c r="G5" i="29"/>
  <c r="G5" i="18"/>
  <c r="G4" i="18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4" i="34" l="1"/>
  <c r="D4" i="34"/>
  <c r="D2" i="34" s="1"/>
  <c r="E5" i="18"/>
  <c r="F5" i="18" s="1"/>
  <c r="D2" i="18"/>
  <c r="E5" i="30"/>
  <c r="F5" i="30" s="1"/>
  <c r="E4" i="18"/>
  <c r="F4" i="18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4" i="18" l="1"/>
  <c r="H4" i="34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<sst xmlns="http://schemas.openxmlformats.org/spreadsheetml/2006/main" count="264" uniqueCount="64">
  <si>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</si>
  <si>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</si>
  <si>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</si>
  <si>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</si>
  <si>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</si>
  <si>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</si>
  <si>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</si>
  <si>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</si>
  <si>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</si>
  <si>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</si>
  <si>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</si>
  <si>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</si>
  <si>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</si>
  <si>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</si>
  <si>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</si>
  <si>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</si>
  <si>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</si>
  <si>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</si>
  <si>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</si>
  <si>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</si>
  <si>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</si>
  <si>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</si>
  <si>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</si>
  <si>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production was low on 01/20 to 01/28  due to rain.</t>
  </si>
  <si>
    <t/>
  </si>
  <si>
    <t>1. Inverter 1 is performing low compared to peers due to several optimizers underperformance.</t>
  </si>
  <si>
    <t>1.SR092525</t>
  </si>
  <si>
    <t>February Actual v. Expected</t>
  </si>
  <si>
    <t>February Actual v. Forecasted</t>
  </si>
  <si>
    <t>1. Site production was low on 02/09 to 02/14  due to rain.</t>
  </si>
  <si>
    <t>March Actual v. Expected</t>
  </si>
  <si>
    <t>March Actual v. Forecasted</t>
  </si>
  <si>
    <t>1. Inverter 3 tripped offline at 9:15am on 03/07 reporting AC Voltage too low.  After remote reset inverter back online at 11:15 on 03/07 
2. Inverter 1 tripped offline at 10:00 on 03/13 reporting Power output outside specified limits.  technician replaced  relay board and inverter back online at 09:00 on 03/26</t>
  </si>
  <si>
    <t>1.	SR098256
2.SR098498</t>
  </si>
  <si>
    <t>SR098498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</si>
  <si>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</si>
  <si>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</si>
  <si>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</si>
  <si>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</si>
  <si>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</si>
  <si>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</si>
  <si>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</si>
  <si>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</si>
  <si>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</si>
  <si>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</si>
  <si>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</si>
  <si>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</si>
  <si>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</si>
  <si>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</si>
  <si>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</si>
  <si>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</si>
  <si>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</si>
  <si>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</si>
  <si>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</si>
  <si>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Yankee Sprinkler</t>
  </si>
  <si>
    <t>Site DAS Name</t>
  </si>
  <si>
    <t>Update</t>
  </si>
  <si>
    <t>DAS</t>
  </si>
  <si>
    <t>Yankee Sprinkler Phase 1</t>
  </si>
  <si>
    <t>Yankee Phase 1</t>
  </si>
  <si>
    <t>MA</t>
  </si>
  <si>
    <t>PowerTrack</t>
  </si>
  <si>
    <t>Yankee Sprinkler Phase 2</t>
  </si>
  <si>
    <t>Yankee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</si>
</sst>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 applyNumberFormat="0" applyFill="0" applyBorder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3" fontId="29" fillId="0" borderId="0" xfId="1" applyNumberFormat="1" applyFont="1" applyFill="1" applyBorder="1" applyAlignment="1">
      <alignment horizontal="right" vertical="center"/>
    </xf>
    <xf numFmtId="49" fontId="34" fillId="38" borderId="0" xfId="45" applyNumberFormat="1" applyFill="1" applyBorder="1" applyAlignment="1">
      <alignment vertical="top" wrapText="1"/>
    </xf>
    <xf numFmtId="49" fontId="34" fillId="0" borderId="0" xfId="45" applyNumberFormat="1" applyAlignment="1">
      <alignment vertical="top" wrapText="1"/>
    </xf>
    <xf numFmtId="0" fontId="34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252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2525" TargetMode="External"/><Relationship Id="rId2" Type="http://schemas.openxmlformats.org/officeDocument/2006/relationships/hyperlink" Target="https://us3.assetplanner.com/service_request?ID=098498" TargetMode="External"/><Relationship Id="rId1" Type="http://schemas.openxmlformats.org/officeDocument/2006/relationships/hyperlink" Target="https://us3.assetplanner.com/service_request?ID=09825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C4" sqref="C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Yankee Sprinkler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SUM(C4:C77)</f>
        <v>43100.583449999998</v>
      </c>
      <c r="D2" s="5">
        <f>SUM(D4:D77)</f>
        <v>0</v>
      </c>
      <c r="E2" s="5">
        <f>C2-D2</f>
        <v>43100.583449999998</v>
      </c>
      <c r="F2" s="6">
        <f>IFERROR(E2/D2, 0)</f>
        <v>0</v>
      </c>
      <c r="G2" s="5">
        <f>SUM(G4:G77)</f>
        <v>40075.240000000005</v>
      </c>
      <c r="H2" s="7">
        <f>C2-G2</f>
        <v>3025.343449999993</v>
      </c>
      <c r="I2" s="6">
        <f>IFERROR(H2/G2, 0)</f>
        <v>7.5491586575651012E-2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Yankee Phase 1</v>
      </c>
      <c r="B4" s="30" t="str" cm="1">
        <f t="array" ref="B4:B5">Sites[State]</f>
        <v>MA</v>
      </c>
      <c r="C4" s="23">
        <f>SUM('1st Qtr'!C4, '2nd Qtr'!C4, '3rd Qtr'!C4, '4th Qtr'!C4)</f>
        <v>27367.564920000001</v>
      </c>
      <c r="D4" s="12">
        <f>SUM('1st Qtr'!D4, '2nd Qtr'!D4, '3rd Qtr'!D4, '4th Qtr'!D4)</f>
        <v>0</v>
      </c>
      <c r="E4" s="12">
        <f>IF(AND(ISNUMBER(C4),ISNUMBER(D4)), C4-D4, "")</f>
        <v>27367.564920000001</v>
      </c>
      <c r="F4" s="13" t="str">
        <f>IFERROR(E4/D4, "")</f>
        <v/>
      </c>
      <c r="G4" s="14">
        <f>SUM('1st Qtr'!G4, '2nd Qtr'!G4, '3rd Qtr'!G4, '4th Qtr'!G4)</f>
        <v>40075.240000000005</v>
      </c>
      <c r="H4" s="14">
        <f>SUM('1st Qtr'!H4, '2nd Qtr'!H4, '3rd Qtr'!H4, '4th Qtr'!H4)</f>
        <v>-12707.675080000001</v>
      </c>
      <c r="I4" s="15">
        <f>IFERROR(H4/G4, "")</f>
        <v>-0.31709542051401313</v>
      </c>
    </row>
    <row r="5" spans="1:9" ht="15.6">
      <c r="A5" s="28" t="str">
        <v>Yankee Phase 2</v>
      </c>
      <c r="B5" s="28" t="str">
        <v>MA</v>
      </c>
      <c r="C5" s="11">
        <f>SUM(Jan!C5, Feb!C5, Mar!C5)</f>
        <v>15733.018529999999</v>
      </c>
      <c r="D5" s="17">
        <f>SUM(Jan!D5, Feb!D5, Mar!D5)</f>
        <v>0</v>
      </c>
      <c r="E5" s="17">
        <f t="shared" ref="E5" si="0">IF(AND(ISNUMBER(C5),ISNUMBER(D5)), C5-D5, "")</f>
        <v>15733.018529999999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Yankee Sprinkler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SUM(C4:C77)</f>
        <v>43100.583449999998</v>
      </c>
      <c r="D2" s="5">
        <f>SUM(D4:D77)</f>
        <v>0</v>
      </c>
      <c r="E2" s="5">
        <f>C2-D2</f>
        <v>43100.583449999998</v>
      </c>
      <c r="F2" s="6">
        <f>IFERROR(E2/D2, 0)</f>
        <v>0</v>
      </c>
      <c r="G2" s="5">
        <f>SUM(G4:G77)</f>
        <v>40075.240000000005</v>
      </c>
      <c r="H2" s="7">
        <f>C2-G2</f>
        <v>3025.343449999993</v>
      </c>
      <c r="I2" s="6">
        <f>IFERROR(H2/G2, 0)</f>
        <v>7.5491586575651012E-2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SUM(Jan!C4, Feb!C4, Mar!C4)</f>
        <v>27367.564920000001</v>
      </c>
      <c r="D4" s="12">
        <f>SUM(Jan!D4, Feb!D4, Mar!D4)</f>
        <v>0</v>
      </c>
      <c r="E4" s="12">
        <f>IF(AND(ISNUMBER(C4),ISNUMBER(D4)), C4-D4, "")</f>
        <v>27367.564920000001</v>
      </c>
      <c r="F4" s="13" t="str">
        <f>IFERROR(E4/D4, "")</f>
        <v/>
      </c>
      <c r="G4" s="14">
        <f>SUM(Jan!G4, Feb!G4, Mar!G4)</f>
        <v>40075.240000000005</v>
      </c>
      <c r="H4" s="14">
        <f>SUM(Jan!H4, Feb!H4, Mar!H4)</f>
        <v>-12707.675080000001</v>
      </c>
      <c r="I4" s="15">
        <f>IFERROR(H4/G4, "")</f>
        <v>-0.31709542051401313</v>
      </c>
    </row>
    <row r="5" spans="1:9" ht="15.6">
      <c r="A5" s="16" t="str">
        <v>Yankee Phase 2</v>
      </c>
      <c r="B5" s="10" t="str">
        <v>MA</v>
      </c>
      <c r="C5" s="11">
        <f>SUM(Jan!C5, Feb!C5, Mar!C5)</f>
        <v>15733.018529999999</v>
      </c>
      <c r="D5" s="17">
        <f>SUM(Jan!D5, Feb!D5, Mar!D5)</f>
        <v>0</v>
      </c>
      <c r="E5" s="17">
        <f t="shared" ref="E5" si="0">IF(AND(ISNUMBER(C5),ISNUMBER(D5)), C5-D5, "")</f>
        <v>15733.018529999999</v>
      </c>
      <c r="F5" s="18" t="str">
        <f>IFERROR(E5/D5, "")</f>
        <v/>
      </c>
      <c r="G5" s="19">
        <f>SUM(Jan!G5, Feb!G5, Mar!G5)</f>
        <v>0</v>
      </c>
      <c r="H5" s="19">
        <f>SUM(Jan!H5, Feb!H5, Mar!H5)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G4" activePane="bottomRight" state="frozen"/>
      <selection pane="bottomRight" activeCell="G11" sqref="G11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Yankee Sprinkler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16" t="str">
        <v>Yankee Phase 2</v>
      </c>
      <c r="B5" s="10" t="str">
        <v>MA</v>
      </c>
      <c r="C5" s="11">
        <f>SUM(Apr!C5, May!C5, Jun!C5)</f>
        <v>0</v>
      </c>
      <c r="D5" s="17">
        <f>SUM(Apr!D5, May!D5, Jun!D5)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20">
        <f>SUM(Apr!G5,May!G5,Jun!G5)</f>
        <v>0</v>
      </c>
      <c r="H5" s="19">
        <f>SUM(Apr!H5, May!H5, Jun!H5)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G5">
    <cfRule type="cellIs" dxfId="38" priority="1" stopIfTrue="1" operator="lessThanOrEqual">
      <formula>-0.1</formula>
    </cfRule>
    <cfRule type="expression" dxfId="37" priority="2">
      <formula>AND(ISNUMBER(G5), G5&gt;=0.1)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4" sqref="C4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Yankee Sprinkler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 t="str">
        <v>Yankee Phase 2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7">
        <f>SUM(Jul!G5,Aug!G5,Sep!G5)</f>
        <v>0</v>
      </c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G12" sqref="G12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Yankee Sprinkler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 t="str">
        <v>Yankee Phase 2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7">
        <f>SUM(Oct!G5,Nov!G5,Dec!G5)</f>
        <v>0</v>
      </c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80" zoomScaleNormal="80" workbookViewId="0">
      <pane xSplit="2" ySplit="3" topLeftCell="C4" activePane="bottomRight" state="frozen"/>
      <selection pane="bottomRight" activeCell="I24" sqref="I2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Yankee Sprinkler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SUM(C4:C76)</f>
        <v>8146.3729999999996</v>
      </c>
      <c r="D2" s="5">
        <f>SUM(D4:D76)</f>
        <v>0</v>
      </c>
      <c r="E2" s="5">
        <f>C2-D2</f>
        <v>8146.3729999999996</v>
      </c>
      <c r="F2" s="6">
        <f>IFERROR(E2/D2, 0)</f>
        <v>0</v>
      </c>
      <c r="G2" s="5">
        <f>SUM(G4:G76)</f>
        <v>9310.4</v>
      </c>
      <c r="H2" s="7">
        <f>C2-G2</f>
        <v>-1164.027</v>
      </c>
      <c r="I2" s="6">
        <f>IFERROR(H2/G2, 0)</f>
        <v>-0.1250243813369995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5093.9650000000001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14">
        <v>9310.4</v>
      </c>
      <c r="H4" s="14">
        <f>IF(AND(ISNUMBER(C4),ISNUMBER(G4)), C4-G4, "")</f>
        <v>-4216.4349999999995</v>
      </c>
      <c r="I4" s="15">
        <f>IFERROR(H4/G4, "")</f>
        <v>-0.45287366815604052</v>
      </c>
      <c r="J4" s="39" t="s">
        <v>23</v>
      </c>
      <c r="K4" s="39" t="s">
        <v>24</v>
      </c>
    </row>
    <row r="5" spans="1:11" ht="28.9">
      <c r="A5" s="28" t="str">
        <v>Yankee Phase 2</v>
      </c>
      <c r="B5" s="29" t="str">
        <v>MA</v>
      </c>
      <c r="C5" s="11">
        <v>3052.4079999999999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47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25</v>
      </c>
      <c r="K5" s="49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hyperlinks>
    <hyperlink ref="K5" r:id="rId1" display="https://us3.assetplanner.com/service_request?ID=092525" xr:uid="{8AC0F3E2-DB56-473D-AC2E-2688BBE5624D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zoomScale="70" zoomScaleNormal="70" workbookViewId="0">
      <pane xSplit="2" ySplit="3" topLeftCell="C4" activePane="bottomRight" state="frozen"/>
      <selection pane="bottomRight" activeCell="K1" sqref="K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Yankee Sprinkler</v>
      </c>
      <c r="B1" s="52"/>
      <c r="C1" s="52"/>
      <c r="D1" s="53" t="s">
        <v>27</v>
      </c>
      <c r="E1" s="53"/>
      <c r="F1" s="53"/>
      <c r="G1" s="51" t="s">
        <v>28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11707.275000000001</v>
      </c>
      <c r="D2" s="5">
        <f>SUM(D4:D77)</f>
        <v>0</v>
      </c>
      <c r="E2" s="5">
        <f>C2-D2</f>
        <v>11707.275000000001</v>
      </c>
      <c r="F2" s="6">
        <f>IFERROR(E2/D2, 0)</f>
        <v>0</v>
      </c>
      <c r="G2" s="5">
        <f>SUM(G4:G77)</f>
        <v>12380.68</v>
      </c>
      <c r="H2" s="7">
        <f>C2-G2</f>
        <v>-673.40499999999884</v>
      </c>
      <c r="I2" s="6">
        <f>IFERROR(H2/G2, 0)</f>
        <v>-5.4391600461363904E-2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7580.31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14">
        <v>12380.68</v>
      </c>
      <c r="H4" s="14">
        <f>IF(AND(ISNUMBER(C4),ISNUMBER(G4)), C4-G4, "")</f>
        <v>-4800.37</v>
      </c>
      <c r="I4" s="15">
        <f>IFERROR(H4/G4, "")</f>
        <v>-0.38773072238358475</v>
      </c>
      <c r="J4" s="39" t="s">
        <v>29</v>
      </c>
      <c r="K4" s="39"/>
    </row>
    <row r="5" spans="1:11" ht="28.9">
      <c r="A5" s="28" t="str">
        <v>Yankee Phase 2</v>
      </c>
      <c r="B5" s="29" t="str">
        <v>MA</v>
      </c>
      <c r="C5" s="11">
        <v>4126.9650000000001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47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25</v>
      </c>
      <c r="K5" s="49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1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1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H16:H17">
    <cfRule type="cellIs" dxfId="28" priority="3" stopIfTrue="1" operator="lessThanOrEqual">
      <formula>-0.1</formula>
    </cfRule>
    <cfRule type="expression" dxfId="27" priority="4">
      <formula>AND(ISNUMBER(H16), H16&gt;=0.1)</formula>
    </cfRule>
  </conditionalFormatting>
  <conditionalFormatting sqref="I4:I77">
    <cfRule type="cellIs" dxfId="26" priority="1" stopIfTrue="1" operator="lessThanOrEqual">
      <formula>-0.1</formula>
    </cfRule>
    <cfRule type="expression" dxfId="25" priority="2">
      <formula>AND(ISNUMBER(I4), I4&gt;=0.1)</formula>
    </cfRule>
  </conditionalFormatting>
  <hyperlinks>
    <hyperlink ref="K5" r:id="rId1" display="https://us3.assetplanner.com/service_request?ID=092525" xr:uid="{06FD39C8-1E64-46B7-AF4A-0DB5D809BBB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19"/>
  <sheetViews>
    <sheetView tabSelected="1" zoomScale="80" zoomScaleNormal="80" workbookViewId="0">
      <pane xSplit="2" ySplit="3" topLeftCell="C4" activePane="bottomRight" state="frozen"/>
      <selection pane="bottomRight" activeCell="I12" sqref="I12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2" t="str" cm="1">
        <f t="array" ref="A1">portfolio</f>
        <v>Yankee Sprinkler</v>
      </c>
      <c r="B1" s="52"/>
      <c r="C1" s="52"/>
      <c r="D1" s="53" t="s">
        <v>30</v>
      </c>
      <c r="E1" s="53"/>
      <c r="F1" s="53"/>
      <c r="G1" s="51" t="s">
        <v>31</v>
      </c>
      <c r="H1" s="51"/>
      <c r="I1" s="51"/>
      <c r="J1" s="4"/>
      <c r="K1" s="4"/>
    </row>
    <row r="2" spans="1:12" ht="19.5" customHeight="1">
      <c r="A2" s="54" t="s">
        <v>2</v>
      </c>
      <c r="B2" s="54"/>
      <c r="C2" s="5">
        <f>SUM(C4:C77)</f>
        <v>23246.935449999997</v>
      </c>
      <c r="D2" s="5">
        <f>SUM(D4:D77)</f>
        <v>0</v>
      </c>
      <c r="E2" s="5">
        <f>C2-D2</f>
        <v>23246.935449999997</v>
      </c>
      <c r="F2" s="6">
        <f>IFERROR(E2/D2, 0)</f>
        <v>0</v>
      </c>
      <c r="G2" s="5">
        <f>SUM(G4:G77)</f>
        <v>18384.16</v>
      </c>
      <c r="H2" s="7">
        <f>C2-G2</f>
        <v>4862.7754499999974</v>
      </c>
      <c r="I2" s="6">
        <f>IFERROR(H2/G2, 0)</f>
        <v>0.26450898218901475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2" ht="76.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14693.289919999999</v>
      </c>
      <c r="D4" s="12" t="s">
        <v>22</v>
      </c>
      <c r="E4" s="12" t="str">
        <f t="shared" ref="E4:E5" si="0">IF(AND(ISNUMBER(C4),ISNUMBER(D4)), C4-D4, "")</f>
        <v/>
      </c>
      <c r="F4" s="12" t="str">
        <f>IFERROR(E4/D4, "")</f>
        <v/>
      </c>
      <c r="G4" s="14">
        <v>18384.16</v>
      </c>
      <c r="H4" s="14">
        <f>IF(AND(ISNUMBER(C4),ISNUMBER(G4)), C4-G4, "")</f>
        <v>-3690.8700800000006</v>
      </c>
      <c r="I4" s="15">
        <f>IFERROR(H4/G4, "")</f>
        <v>-0.20076359648741093</v>
      </c>
      <c r="J4" s="39" t="s">
        <v>32</v>
      </c>
      <c r="K4" s="48" t="s">
        <v>33</v>
      </c>
      <c r="L4" s="50" t="s">
        <v>34</v>
      </c>
    </row>
    <row r="5" spans="1:12" ht="28.9">
      <c r="A5" s="28" t="str">
        <v>Yankee Phase 2</v>
      </c>
      <c r="B5" s="29" t="str">
        <v>MA</v>
      </c>
      <c r="C5" s="11">
        <v>8553.6455299999998</v>
      </c>
      <c r="D5" s="17" t="s">
        <v>22</v>
      </c>
      <c r="E5" s="17" t="str">
        <f t="shared" si="0"/>
        <v/>
      </c>
      <c r="F5" s="18" t="str">
        <f>IFERROR(E5/D5, "")</f>
        <v/>
      </c>
      <c r="G5" s="47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49" t="s">
        <v>26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I4:I77">
    <cfRule type="cellIs" dxfId="22" priority="1" stopIfTrue="1" operator="lessThanOrEqual">
      <formula>-0.1</formula>
    </cfRule>
    <cfRule type="expression" dxfId="21" priority="2">
      <formula>AND(ISNUMBER(I4), I4&gt;=0.1)</formula>
    </cfRule>
  </conditionalFormatting>
  <hyperlinks>
    <hyperlink ref="K4" r:id="rId1" display="https://us3.assetplanner.com/service_request?ID=098256" xr:uid="{5C8DBBE0-8DB3-4B45-BC7B-130B066632A7}"/>
    <hyperlink ref="L4" r:id="rId2" display="https://us3.assetplanner.com/service_request?ID=098498" xr:uid="{3B458709-1749-4E00-A956-8F0F0530FD1B}"/>
    <hyperlink ref="K5" r:id="rId3" display="https://us3.assetplanner.com/service_request?ID=092525" xr:uid="{23F0768B-971B-4577-8111-0245BF3BF2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D11" sqref="D1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Yankee Sprinkler</v>
      </c>
      <c r="B1" s="52"/>
      <c r="C1" s="52"/>
      <c r="D1" s="53" t="s">
        <v>35</v>
      </c>
      <c r="E1" s="53"/>
      <c r="F1" s="53"/>
      <c r="G1" s="51" t="s">
        <v>36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H4" activePane="bottomRight" state="frozen"/>
      <selection pane="bottomRight" activeCell="J4" sqref="J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Yankee Sprinkler</v>
      </c>
      <c r="B1" s="52"/>
      <c r="C1" s="52"/>
      <c r="D1" s="53" t="s">
        <v>37</v>
      </c>
      <c r="E1" s="53"/>
      <c r="F1" s="53"/>
      <c r="G1" s="51" t="s">
        <v>38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5"/>
      <c r="K5" s="45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D4" activePane="bottomRight" state="frozen"/>
      <selection pane="bottomRight" activeCell="G10" sqref="G10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Yankee Sprinkler</v>
      </c>
      <c r="B1" s="52"/>
      <c r="C1" s="52"/>
      <c r="D1" s="53" t="s">
        <v>39</v>
      </c>
      <c r="E1" s="53"/>
      <c r="F1" s="53"/>
      <c r="G1" s="51" t="s">
        <v>40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H10" sqref="H10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Yankee Sprinkler</v>
      </c>
      <c r="B1" s="52"/>
      <c r="C1" s="52"/>
      <c r="D1" s="53" t="s">
        <v>41</v>
      </c>
      <c r="E1" s="53"/>
      <c r="F1" s="53"/>
      <c r="G1" s="51" t="s">
        <v>42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H11" sqref="H1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Yankee Sprinkler</v>
      </c>
      <c r="B1" s="52"/>
      <c r="C1" s="52"/>
      <c r="D1" s="53" t="s">
        <v>43</v>
      </c>
      <c r="E1" s="53"/>
      <c r="F1" s="53"/>
      <c r="G1" s="51" t="s">
        <v>44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G12" sqref="G12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Yankee Sprinkler</v>
      </c>
      <c r="B1" s="52"/>
      <c r="C1" s="52"/>
      <c r="D1" s="53" t="s">
        <v>45</v>
      </c>
      <c r="E1" s="53"/>
      <c r="F1" s="53"/>
      <c r="G1" s="51" t="s">
        <v>46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H4" activePane="bottomRight" state="frozen"/>
      <selection pane="bottomRight" activeCell="J16" sqref="J1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Yankee Sprinkler</v>
      </c>
      <c r="B1" s="52"/>
      <c r="C1" s="52"/>
      <c r="D1" s="53" t="s">
        <v>47</v>
      </c>
      <c r="E1" s="53"/>
      <c r="F1" s="53"/>
      <c r="G1" s="51" t="s">
        <v>48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6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H4" activePane="bottomRight" state="frozen"/>
      <selection pane="bottomRight" activeCell="K14" sqref="K1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Yankee Sprinkler</v>
      </c>
      <c r="B1" s="52"/>
      <c r="C1" s="52"/>
      <c r="D1" s="53" t="s">
        <v>49</v>
      </c>
      <c r="E1" s="53"/>
      <c r="F1" s="53"/>
      <c r="G1" s="51" t="s">
        <v>50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zoomScale="90" zoomScaleNormal="90" workbookViewId="0">
      <pane xSplit="2" ySplit="3" topLeftCell="C4" activePane="bottomRight" state="frozen"/>
      <selection pane="bottomRight" activeCell="G9" sqref="G9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Yankee Sprinkler</v>
      </c>
      <c r="B1" s="52"/>
      <c r="C1" s="52"/>
      <c r="D1" s="53" t="s">
        <v>51</v>
      </c>
      <c r="E1" s="53"/>
      <c r="F1" s="53"/>
      <c r="G1" s="51" t="s">
        <v>52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53</v>
      </c>
      <c r="B1" t="s">
        <v>54</v>
      </c>
    </row>
    <row r="3" spans="1:12" ht="13.1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12" ht="14.45">
      <c r="A4" t="s">
        <v>58</v>
      </c>
      <c r="B4" t="s">
        <v>59</v>
      </c>
      <c r="C4" t="s">
        <v>60</v>
      </c>
      <c r="E4" t="s">
        <v>61</v>
      </c>
      <c r="G4" s="3"/>
    </row>
    <row r="5" spans="1:12" ht="14.45">
      <c r="A5" t="s">
        <v>62</v>
      </c>
      <c r="B5" t="s">
        <v>63</v>
      </c>
      <c r="C5" t="s">
        <v>60</v>
      </c>
      <c r="E5" t="s">
        <v>61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5697F18F-CF8E-4CB4-9650-EB86F5244FB5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2024-10-18T20:10:51Z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5f926c70-9755-41c8-9181-8f4fd1711be3</vt:lpwstr>
  </property>
  <property fmtid="{D5CDD505-2E9C-101B-9397-08002B2CF9AE}" pid="9" name="MSIP_Label_9d817c99-0b37-4a07-8277-96aa1f96b74b_ContentBits">
    <vt:lpwstr>0</vt:lpwstr>
  </property>
</Properties>
</file>