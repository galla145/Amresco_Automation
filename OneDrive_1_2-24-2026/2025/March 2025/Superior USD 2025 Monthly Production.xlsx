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5FC3062B-0A5C-4696-8341-269606C12E91}" xr6:coauthVersionLast="47" xr6:coauthVersionMax="47" xr10:uidLastSave="{00000000-0000-0000-0000-000000000000}"/>
  <bookViews>
    <workbookView xWindow="-108" yWindow="-108" windowWidth="23256" windowHeight="12456" tabRatio="86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72" l="1"/>
  <c r="F4" i="72"/>
  <c r="G4" i="18"/>
  <c r="G4" i="29"/>
  <c r="G4" i="30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H2" i="27" s="1"/>
  <c r="I2" i="27" s="1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G2" i="72"/>
  <c r="D2" i="72"/>
  <c r="C2" i="72"/>
  <c r="J2" i="72" s="1"/>
  <c r="E4" i="72"/>
  <c r="A1" i="72" a="1"/>
  <c r="A1" i="72" s="1"/>
  <c r="E4" i="30" l="1"/>
  <c r="F4" i="30" s="1"/>
  <c r="J2" i="4"/>
  <c r="H2" i="21"/>
  <c r="I2" i="21" s="1"/>
  <c r="J2" i="21"/>
  <c r="H2" i="20"/>
  <c r="I2" i="20" s="1"/>
  <c r="D2" i="18"/>
  <c r="E4" i="18"/>
  <c r="F4" i="18" s="1"/>
  <c r="J2" i="20"/>
  <c r="H2" i="19"/>
  <c r="I2" i="19" s="1"/>
  <c r="J2" i="19"/>
  <c r="D2" i="29"/>
  <c r="J2" i="26"/>
  <c r="J2" i="27"/>
  <c r="E2" i="28"/>
  <c r="F2" i="28" s="1"/>
  <c r="J2" i="28"/>
  <c r="J2" i="31"/>
  <c r="J2" i="33"/>
  <c r="D4" i="34"/>
  <c r="D2" i="34" s="1"/>
  <c r="J2" i="32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<sst xmlns="http://schemas.openxmlformats.org/spreadsheetml/2006/main" count="251" uniqueCount="58">
  <si>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</si>
  <si>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</si>
  <si>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</si>
  <si>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</si>
  <si>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</si>
  <si>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</si>
  <si>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</si>
  <si>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</si>
  <si>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</si>
  <si>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</si>
  <si>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</si>
  <si>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</si>
  <si>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</si>
  <si>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</si>
  <si>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</si>
  <si>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</si>
  <si>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</si>
  <si>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</si>
  <si>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</si>
  <si>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</si>
  <si>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</si>
  <si>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</si>
  <si>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</si>
  <si>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2 tripped offline at 16:00 on 01/04 and back online at 9:15 on 01/08. On 01/10 technician replaced Surge Trap Device and reenergized inverter and confirmed production.</t>
  </si>
  <si>
    <t>1.SR094077</t>
  </si>
  <si>
    <t>February Actual v. Expected</t>
  </si>
  <si>
    <t>February Actual v. Forecasted</t>
  </si>
  <si>
    <t>1.Inverter 2 tripped offline from 02/27 at 8:30am through out the month.</t>
  </si>
  <si>
    <t>1.SR097894</t>
  </si>
  <si>
    <t>March Actual v. Expected</t>
  </si>
  <si>
    <t>March Actual v. Forecasted</t>
  </si>
  <si>
    <t>1.Inverter 2 has tripped offline from 02/27 at 8:30am and was being RMA'D from 03/27.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</si>
  <si>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</si>
  <si>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</si>
  <si>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</si>
  <si>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</si>
  <si>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</si>
  <si>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</si>
  <si>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</si>
  <si>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</si>
  <si>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</si>
  <si>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</si>
  <si>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</si>
  <si>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</si>
  <si>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</si>
  <si>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</si>
  <si>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</si>
  <si>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</si>
  <si>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</si>
  <si>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</si>
  <si>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</si>
  <si>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Superior USD</t>
  </si>
  <si>
    <t>Site DAS Name</t>
  </si>
  <si>
    <t>Update</t>
  </si>
  <si>
    <t>DAS</t>
  </si>
  <si>
    <t>AZ: Superior - Superior High School</t>
  </si>
  <si>
    <t>AZ: Superior High School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</si>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</sst>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7894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789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1"/>
  <sheetViews>
    <sheetView workbookViewId="0">
      <pane ySplit="2" topLeftCell="A3" activePane="bottomLeft" state="frozen"/>
      <selection pane="bottomLeft" activeCell="H19" sqref="H1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Superior USD</v>
      </c>
      <c r="B1" s="47"/>
      <c r="C1" s="47"/>
      <c r="D1" s="48" t="s">
        <v>0</v>
      </c>
      <c r="E1" s="48"/>
      <c r="F1" s="48"/>
      <c r="G1" s="46" t="s">
        <v>1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SUM(C4:C89)</f>
        <v>56093</v>
      </c>
      <c r="D2" s="6">
        <f>SUM(D4:D89)</f>
        <v>0</v>
      </c>
      <c r="E2" s="6">
        <f>C2-D2</f>
        <v>56093</v>
      </c>
      <c r="F2" s="7">
        <f>IFERROR(E2/D2, 0)</f>
        <v>0</v>
      </c>
      <c r="G2" s="6">
        <f>SUM(G4:G89)</f>
        <v>0</v>
      </c>
      <c r="H2" s="8">
        <f>C2-G2</f>
        <v>56093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 x14ac:dyDescent="0.2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SUM('1st Qtr'!C4, '2nd Qtr'!C4, '3rd Qtr'!C4, '4th Qtr'!C4)</f>
        <v>56093</v>
      </c>
      <c r="D4" s="14">
        <f>SUM('1st Qtr'!D4, '2nd Qtr'!D4, '3rd Qtr'!D4, '4th Qtr'!D4)</f>
        <v>0</v>
      </c>
      <c r="E4" s="14">
        <f>IF(AND(ISNUMBER(C4),ISNUMBER(D4)), C4-D4, "")</f>
        <v>56093</v>
      </c>
      <c r="F4" s="15">
        <f>IFERROR(E4/D4, 0)</f>
        <v>0</v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>
        <f>IFERROR(H4/G4, 0)</f>
        <v>0</v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9 I4:I8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1"/>
  <sheetViews>
    <sheetView workbookViewId="0">
      <pane ySplit="2" topLeftCell="A3" activePane="bottomLeft" state="frozen"/>
      <selection activeCell="E22" sqref="E22"/>
      <selection pane="bottomLef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Superior USD</v>
      </c>
      <c r="B1" s="47"/>
      <c r="C1" s="47"/>
      <c r="D1" s="48" t="s">
        <v>10</v>
      </c>
      <c r="E1" s="48"/>
      <c r="F1" s="48"/>
      <c r="G1" s="46" t="s">
        <v>11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SUM(C4:C89)</f>
        <v>56093</v>
      </c>
      <c r="D2" s="6">
        <f>SUM(D4:D89)</f>
        <v>0</v>
      </c>
      <c r="E2" s="6">
        <f>C2-D2</f>
        <v>56093</v>
      </c>
      <c r="F2" s="7">
        <f>IFERROR(E2/D2, 0)</f>
        <v>0</v>
      </c>
      <c r="G2" s="6">
        <f>SUM(G4:G89)</f>
        <v>0</v>
      </c>
      <c r="H2" s="8">
        <f>C2-G2</f>
        <v>56093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 x14ac:dyDescent="0.2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SUM(Jan!C4, Feb!C4, Mar!C4)</f>
        <v>56093</v>
      </c>
      <c r="D4" s="14">
        <f>SUM(Jan!D4, Feb!D4, Mar!D4)</f>
        <v>0</v>
      </c>
      <c r="E4" s="14">
        <f>IF(AND(ISNUMBER(C4),ISNUMBER(D4)), C4-D4, "")</f>
        <v>56093</v>
      </c>
      <c r="F4" s="15">
        <f>IFERROR(E4/D4, 0)</f>
        <v>0</v>
      </c>
      <c r="G4" s="16">
        <f>SUM(Jan!G4, Feb!G4, Mar!G4)</f>
        <v>0</v>
      </c>
      <c r="H4" s="16">
        <f>SUM(Jan!H4, Feb!H4, Mar!H4)</f>
        <v>0</v>
      </c>
      <c r="I4" s="17">
        <f>IFERROR(H4/G4, 0)</f>
        <v>0</v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9 I4:I8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F15" sqref="F15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Superior USD</v>
      </c>
      <c r="B1" s="47"/>
      <c r="C1" s="47"/>
      <c r="D1" s="48" t="s">
        <v>12</v>
      </c>
      <c r="E1" s="48"/>
      <c r="F1" s="48"/>
      <c r="G1" s="46" t="s">
        <v>13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 x14ac:dyDescent="0.2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Superior USD</v>
      </c>
      <c r="B1" s="47"/>
      <c r="C1" s="47"/>
      <c r="D1" s="48" t="s">
        <v>14</v>
      </c>
      <c r="E1" s="48"/>
      <c r="F1" s="48"/>
      <c r="G1" s="46" t="s">
        <v>15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 x14ac:dyDescent="0.2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Superior USD</v>
      </c>
      <c r="B1" s="47"/>
      <c r="C1" s="47"/>
      <c r="D1" s="48" t="s">
        <v>16</v>
      </c>
      <c r="E1" s="48"/>
      <c r="F1" s="48"/>
      <c r="G1" s="46" t="s">
        <v>17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 x14ac:dyDescent="0.2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activeCell="A6" sqref="A6:A15"/>
      <selection pane="bottomLeft" activeCell="I5" sqref="I5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Superior USD</v>
      </c>
      <c r="B1" s="47"/>
      <c r="C1" s="47"/>
      <c r="D1" s="48" t="s">
        <v>18</v>
      </c>
      <c r="E1" s="48"/>
      <c r="F1" s="48"/>
      <c r="G1" s="46" t="s">
        <v>19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SUM(C4:C89)</f>
        <v>18389</v>
      </c>
      <c r="D2" s="6">
        <f>SUM(D4:D89)</f>
        <v>0</v>
      </c>
      <c r="E2" s="6">
        <f>C2-D2</f>
        <v>18389</v>
      </c>
      <c r="F2" s="7">
        <f>IFERROR(E2/D2, 0)</f>
        <v>0</v>
      </c>
      <c r="G2" s="6">
        <f>SUM(G4:G89)</f>
        <v>0</v>
      </c>
      <c r="H2" s="8">
        <f>C2-G2</f>
        <v>18389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3.2" x14ac:dyDescent="0.25">
      <c r="A4" s="43" t="str" cm="1">
        <f t="array" ref="A4">Sites[Site]</f>
        <v>AZ: Superior High School</v>
      </c>
      <c r="B4" s="30" t="str" cm="1">
        <f t="array" ref="B4">Sites[State]</f>
        <v>AZ</v>
      </c>
      <c r="C4" s="26">
        <v>18389</v>
      </c>
      <c r="D4" s="14" t="s">
        <v>22</v>
      </c>
      <c r="E4" s="14" t="str">
        <f>IF(AND(ISNUMBER(C4),ISNUMBER(D4)), C4-D4, "")</f>
        <v/>
      </c>
      <c r="F4" s="15" t="str">
        <f>IFERROR(E4/D4,"")</f>
        <v/>
      </c>
      <c r="G4" s="44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23</v>
      </c>
      <c r="K4" s="18" t="s">
        <v>24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tabSelected="1" workbookViewId="0">
      <pane ySplit="2" topLeftCell="A3" activePane="bottomLeft" state="frozen"/>
      <selection activeCell="A6" sqref="A6:A15"/>
      <selection pane="bottomLeft" activeCell="H15" sqref="H15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Superior USD</v>
      </c>
      <c r="B1" s="47"/>
      <c r="C1" s="47"/>
      <c r="D1" s="48" t="s">
        <v>25</v>
      </c>
      <c r="E1" s="48"/>
      <c r="F1" s="48"/>
      <c r="G1" s="46" t="s">
        <v>26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21250</v>
      </c>
      <c r="D2" s="6">
        <f>SUM(D4:D90)</f>
        <v>0</v>
      </c>
      <c r="E2" s="6">
        <f>C2-D2</f>
        <v>21250</v>
      </c>
      <c r="F2" s="7">
        <f>IFERROR(E2/D2, 0)</f>
        <v>0</v>
      </c>
      <c r="G2" s="6">
        <f>SUM(G4:G90)</f>
        <v>0</v>
      </c>
      <c r="H2" s="8">
        <f>C2-G2</f>
        <v>21250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21250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4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27</v>
      </c>
      <c r="K4" s="45" t="s">
        <v>28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hyperlinks>
    <hyperlink ref="K4" r:id="rId1" display="https://us3.assetplanner.com/service_request?ID=097894" xr:uid="{C707CFB9-85E2-431E-B114-C9827434C77F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activeCell="A6" sqref="A6:A15"/>
      <selection pane="bottomLeft" activeCell="F4" sqref="F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Superior USD</v>
      </c>
      <c r="B1" s="47"/>
      <c r="C1" s="47"/>
      <c r="D1" s="48" t="s">
        <v>29</v>
      </c>
      <c r="E1" s="48"/>
      <c r="F1" s="48"/>
      <c r="G1" s="46" t="s">
        <v>30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16454</v>
      </c>
      <c r="D2" s="6">
        <f>SUM(D4:D90)</f>
        <v>0</v>
      </c>
      <c r="E2" s="6">
        <f>C2-D2</f>
        <v>16454</v>
      </c>
      <c r="F2" s="7">
        <f>IFERROR(E2/D2, 0)</f>
        <v>0</v>
      </c>
      <c r="G2" s="6">
        <f>SUM(G4:G90)</f>
        <v>0</v>
      </c>
      <c r="H2" s="8">
        <f>C2-G2</f>
        <v>16454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16454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4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31</v>
      </c>
      <c r="K4" s="45" t="s">
        <v>28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hyperlinks>
    <hyperlink ref="K4" r:id="rId1" display="https://us3.assetplanner.com/service_request?ID=097894" xr:uid="{9128A0BB-1627-4210-8F82-02B9A306123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activeCell="A6" sqref="A6:A15"/>
      <selection pane="bottomLeft" activeCell="C9" sqref="C9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Superior USD</v>
      </c>
      <c r="B1" s="47"/>
      <c r="C1" s="47"/>
      <c r="D1" s="48" t="s">
        <v>32</v>
      </c>
      <c r="E1" s="48"/>
      <c r="F1" s="48"/>
      <c r="G1" s="46" t="s">
        <v>33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>
        <v>0</v>
      </c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activeCell="A6" sqref="A6:A15"/>
      <selection pane="bottomLeft" activeCell="D10" sqref="D10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Superior USD</v>
      </c>
      <c r="B1" s="47"/>
      <c r="C1" s="47"/>
      <c r="D1" s="48" t="s">
        <v>34</v>
      </c>
      <c r="E1" s="48"/>
      <c r="F1" s="48"/>
      <c r="G1" s="46" t="s">
        <v>35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activeCell="A6" sqref="A6:A15"/>
      <selection pane="bottomLeft" activeCell="D10" sqref="D10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Superior USD</v>
      </c>
      <c r="B1" s="47"/>
      <c r="C1" s="47"/>
      <c r="D1" s="48" t="s">
        <v>36</v>
      </c>
      <c r="E1" s="48"/>
      <c r="F1" s="48"/>
      <c r="G1" s="46" t="s">
        <v>37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activeCell="A6" sqref="A6:A15"/>
      <selection pane="bottomLeft" activeCell="D8" sqref="D8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Superior USD</v>
      </c>
      <c r="B1" s="47"/>
      <c r="C1" s="47"/>
      <c r="D1" s="48" t="s">
        <v>38</v>
      </c>
      <c r="E1" s="48"/>
      <c r="F1" s="48"/>
      <c r="G1" s="46" t="s">
        <v>39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activeCell="A6" sqref="A6:A15"/>
      <selection pane="bottomLeft" activeCell="D8" sqref="D8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Superior USD</v>
      </c>
      <c r="B1" s="47"/>
      <c r="C1" s="47"/>
      <c r="D1" s="48" t="s">
        <v>40</v>
      </c>
      <c r="E1" s="48"/>
      <c r="F1" s="48"/>
      <c r="G1" s="46" t="s">
        <v>41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activeCell="A6" sqref="A6:A15"/>
      <selection pane="bottomLeft" activeCell="E10" sqref="E10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Superior USD</v>
      </c>
      <c r="B1" s="47"/>
      <c r="C1" s="47"/>
      <c r="D1" s="48" t="s">
        <v>42</v>
      </c>
      <c r="E1" s="48"/>
      <c r="F1" s="48"/>
      <c r="G1" s="46" t="s">
        <v>43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activeCell="A6" sqref="A6:A15"/>
      <selection pane="bottomLeft" activeCell="E8" sqref="E8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Superior USD</v>
      </c>
      <c r="B1" s="47"/>
      <c r="C1" s="47"/>
      <c r="D1" s="48" t="s">
        <v>44</v>
      </c>
      <c r="E1" s="48"/>
      <c r="F1" s="48"/>
      <c r="G1" s="46" t="s">
        <v>45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activeCell="A6" sqref="A6:A15"/>
      <selection pane="bottomLeft" activeCell="J8" sqref="J8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Superior USD</v>
      </c>
      <c r="B1" s="47"/>
      <c r="C1" s="47"/>
      <c r="D1" s="48" t="s">
        <v>46</v>
      </c>
      <c r="E1" s="48"/>
      <c r="F1" s="48"/>
      <c r="G1" s="46" t="s">
        <v>47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 t="s">
        <v>24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C4" sqref="C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Superior USD</v>
      </c>
      <c r="B1" s="47"/>
      <c r="C1" s="47"/>
      <c r="D1" s="48" t="s">
        <v>48</v>
      </c>
      <c r="E1" s="48"/>
      <c r="F1" s="48"/>
      <c r="G1" s="46" t="s">
        <v>49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" sqref="B2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18.33203125" customWidth="1"/>
    <col min="6" max="14" width="9.109375" customWidth="1"/>
  </cols>
  <sheetData>
    <row r="1" spans="1:7" ht="12.75" customHeight="1" x14ac:dyDescent="0.25">
      <c r="A1" t="s">
        <v>50</v>
      </c>
      <c r="B1" s="36" t="s">
        <v>51</v>
      </c>
    </row>
    <row r="3" spans="1:7" ht="13.2" x14ac:dyDescent="0.2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7" ht="14.4" x14ac:dyDescent="0.3">
      <c r="A4" t="s">
        <v>55</v>
      </c>
      <c r="B4" t="s">
        <v>56</v>
      </c>
      <c r="C4" s="4" t="s">
        <v>57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3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4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5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6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7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8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9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0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1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2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3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4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5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6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7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8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20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3</cp:lastModifiedBy>
  <cp:revision/>
  <dcterms:created xsi:type="dcterms:W3CDTF">2021-01-01T16:39:53Z</dcterms:created>
  <dcterms:modified xsi:type="dcterms:W3CDTF">2025-04-10T18:19:58Z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