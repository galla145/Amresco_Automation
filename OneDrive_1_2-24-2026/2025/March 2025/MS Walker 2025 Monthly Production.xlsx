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2" documentId="13_ncr:1_{3062082B-9E10-4CE2-9414-55AB716F4604}" xr6:coauthVersionLast="47" xr6:coauthVersionMax="47" xr10:uidLastSave="{F329DA97-0266-43B5-B92C-631F367E5228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C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4" l="1"/>
  <c r="I2" i="4" s="1"/>
  <c r="H2" i="33"/>
  <c r="I2" i="33" s="1"/>
  <c r="H2" i="31"/>
  <c r="I2" i="31" s="1"/>
  <c r="G4" i="34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<sst xmlns="http://schemas.openxmlformats.org/spreadsheetml/2006/main" count="248" uniqueCount="56">
  <si>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</si>
  <si>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</si>
  <si>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</si>
  <si>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</si>
  <si>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</si>
  <si>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</si>
  <si>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</si>
  <si>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</si>
  <si>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</si>
  <si>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</si>
  <si>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</si>
  <si>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</si>
  <si>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</si>
  <si>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</si>
  <si>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</si>
  <si>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</si>
  <si>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</si>
  <si>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</si>
  <si>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</si>
  <si>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</si>
  <si>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</si>
  <si>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</si>
  <si>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</si>
  <si>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</si>
  <si>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</si>
  <si>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</si>
  <si>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</si>
  <si>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 xml:space="preserve">1.The site was offline from 07:45 AM to 02:03 PM on 03/14. MS Walker technicians re-energized the site by closing the recloser
2.Inverter 17 is underperforming by approximately 4 kW, possibly due to a string being down, when compared to Inverters 16 and 15
</t>
  </si>
  <si>
    <t>1.SR098583
2.SR098784</t>
  </si>
  <si>
    <t>SR098784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</si>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</sst>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8784" TargetMode="External"/><Relationship Id="rId1" Type="http://schemas.openxmlformats.org/officeDocument/2006/relationships/hyperlink" Target="https://us3.assetplanner.com/service_request?ID=09858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18" sqref="G18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MS Walker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6">
        <f>SUM(C4:C60)</f>
        <v>121978.82800000001</v>
      </c>
      <c r="D2" s="6">
        <f>SUM(D4:D60)</f>
        <v>0</v>
      </c>
      <c r="E2" s="6">
        <f>C2-D2</f>
        <v>121978.82800000001</v>
      </c>
      <c r="F2" s="7">
        <f>IFERROR(E2/D2, 0)</f>
        <v>0</v>
      </c>
      <c r="G2" s="6">
        <f>SUM(G4:G60)</f>
        <v>0</v>
      </c>
      <c r="H2" s="8">
        <f>C2-G2</f>
        <v>121978.82800000001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121978.82800000001</v>
      </c>
      <c r="D4" s="14">
        <f>SUM('1st Qtr'!D4, '2nd Qtr'!D4, '3rd Qtr'!D4, '4th Qtr'!D4)</f>
        <v>0</v>
      </c>
      <c r="E4" s="14">
        <f>IF(AND(ISNUMBER(C4),ISNUMBER(D4)), C4-D4, "")</f>
        <v>121978.82800000001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MS Walker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6">
        <f>SUM(C4:C68)</f>
        <v>121978.82800000001</v>
      </c>
      <c r="D2" s="6">
        <f>SUM(D4:D68)</f>
        <v>0</v>
      </c>
      <c r="E2" s="6">
        <f>C2-D2</f>
        <v>121978.82800000001</v>
      </c>
      <c r="F2" s="7">
        <f>IFERROR(E2/D2, 0)</f>
        <v>0</v>
      </c>
      <c r="G2" s="6">
        <f>SUM(G4:G68)</f>
        <v>0</v>
      </c>
      <c r="H2" s="8">
        <f>C2-G2</f>
        <v>121978.82800000001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121978.82800000001</v>
      </c>
      <c r="D4" s="14">
        <f>SUM(Jan!D4, Feb!D4, Mar!D4)</f>
        <v>0</v>
      </c>
      <c r="E4" s="14">
        <f>IF(AND(ISNUMBER(C4),ISNUMBER(D4)), C4-D4, "")</f>
        <v>121978.82800000001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MS Walker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MS Walker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19" sqref="E1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MS Walker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zoomScale="90" zoomScaleNormal="90" workbookViewId="0">
      <pane ySplit="3" topLeftCell="A4" activePane="bottomLeft" state="frozen"/>
      <selection pane="bottomLeft" activeCell="E16" sqref="E16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MS Walker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SUM(C4:C89)</f>
        <v>29177.128000000001</v>
      </c>
      <c r="D2" s="6">
        <f>SUM(D4:D89)</f>
        <v>0</v>
      </c>
      <c r="E2" s="6">
        <f>C2-D2</f>
        <v>29177.128000000001</v>
      </c>
      <c r="F2" s="7">
        <f>IFERROR(E2/D2, 0)</f>
        <v>0</v>
      </c>
      <c r="G2" s="6">
        <f>SUM(G4:G89)</f>
        <v>0</v>
      </c>
      <c r="H2" s="8">
        <f>C2-G2</f>
        <v>29177.128000000001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29177.128000000001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2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I15" sqref="I15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MS Walker</v>
      </c>
      <c r="B1" s="46"/>
      <c r="C1" s="46"/>
      <c r="D1" s="47" t="s">
        <v>23</v>
      </c>
      <c r="E1" s="47"/>
      <c r="F1" s="47"/>
      <c r="G1" s="45" t="s">
        <v>24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SUM(C4:C85)</f>
        <v>27473.4</v>
      </c>
      <c r="D2" s="6">
        <f>SUM(D4:D85)</f>
        <v>0</v>
      </c>
      <c r="E2" s="6">
        <f>C2-D2</f>
        <v>27473.4</v>
      </c>
      <c r="F2" s="7">
        <f>IFERROR(E2/D2, 0)</f>
        <v>0</v>
      </c>
      <c r="G2" s="6">
        <f>SUM(G4:G85)</f>
        <v>0</v>
      </c>
      <c r="H2" s="8">
        <f>C2-G2</f>
        <v>27473.4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27473.4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2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tabSelected="1" zoomScale="80" zoomScaleNormal="80" workbookViewId="0">
      <pane ySplit="2" topLeftCell="A3" activePane="bottomLeft" state="frozen"/>
      <selection pane="bottomLeft" activeCell="C4" sqref="C4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6" t="str" cm="1">
        <f t="array" ref="A1">portfolio</f>
        <v>MS Walker</v>
      </c>
      <c r="B1" s="46"/>
      <c r="C1" s="46"/>
      <c r="D1" s="47" t="s">
        <v>25</v>
      </c>
      <c r="E1" s="47"/>
      <c r="F1" s="47"/>
      <c r="G1" s="45" t="s">
        <v>26</v>
      </c>
      <c r="H1" s="45"/>
      <c r="I1" s="45"/>
      <c r="J1" s="5"/>
      <c r="K1" s="5"/>
    </row>
    <row r="2" spans="1:12" ht="19.5" customHeight="1">
      <c r="A2" s="48" t="s">
        <v>2</v>
      </c>
      <c r="B2" s="48"/>
      <c r="C2" s="6">
        <f>SUM(C4:C90)</f>
        <v>65328.3</v>
      </c>
      <c r="D2" s="6">
        <f>SUM(D4:D90)</f>
        <v>0</v>
      </c>
      <c r="E2" s="6">
        <f>C2-D2</f>
        <v>65328.3</v>
      </c>
      <c r="F2" s="7">
        <f>IFERROR(E2/D2, 0)</f>
        <v>0</v>
      </c>
      <c r="G2" s="6">
        <f>SUM(G4:G90)</f>
        <v>0</v>
      </c>
      <c r="H2" s="8">
        <f>C2-G2</f>
        <v>65328.3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76.5">
      <c r="A4" s="33" t="str" cm="1">
        <f t="array" ref="A4">Sites[Site]</f>
        <v>MA: MS Walker</v>
      </c>
      <c r="B4" s="30" t="str" cm="1">
        <f t="array" ref="B4">Sites[State]</f>
        <v>MA</v>
      </c>
      <c r="C4" s="26">
        <v>65328.3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42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27</v>
      </c>
      <c r="K4" s="43" t="s">
        <v>28</v>
      </c>
      <c r="L4" s="44" t="s">
        <v>29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4" r:id="rId1" display="https://us3.assetplanner.com/service_request?ID=098583" xr:uid="{6FFA8704-A7C8-4388-BDC7-120F413A49A7}"/>
    <hyperlink ref="L4" r:id="rId2" display="https://us3.assetplanner.com/service_request?ID=098784" xr:uid="{776DE1B4-8B1D-4B6E-8F68-784DCF9E7548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MS Walker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MS Walker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MS Walker</v>
      </c>
      <c r="B1" s="46"/>
      <c r="C1" s="46"/>
      <c r="D1" s="47" t="s">
        <v>34</v>
      </c>
      <c r="E1" s="47"/>
      <c r="F1" s="47"/>
      <c r="G1" s="45" t="s">
        <v>35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MS Walker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opLeftCell="B1"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MS Walker</v>
      </c>
      <c r="B1" s="46"/>
      <c r="C1" s="46"/>
      <c r="D1" s="47" t="s">
        <v>38</v>
      </c>
      <c r="E1" s="47"/>
      <c r="F1" s="47"/>
      <c r="G1" s="45" t="s">
        <v>39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MS Walker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opLeftCell="B1"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MS Walker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MS Walker</v>
      </c>
      <c r="B1" s="46"/>
      <c r="C1" s="46"/>
      <c r="D1" s="47" t="s">
        <v>44</v>
      </c>
      <c r="E1" s="47"/>
      <c r="F1" s="47"/>
      <c r="G1" s="45" t="s">
        <v>45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F27" sqref="F26:F27"/>
      <selection activeCell="C32" sqref="C32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MS Walker</v>
      </c>
      <c r="B1" s="46"/>
      <c r="C1" s="46"/>
      <c r="D1" s="47" t="s">
        <v>46</v>
      </c>
      <c r="E1" s="47"/>
      <c r="F1" s="47"/>
      <c r="G1" s="45" t="s">
        <v>47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6" sqref="E16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45">
      <c r="A4" t="s">
        <v>49</v>
      </c>
      <c r="B4" t="s">
        <v>53</v>
      </c>
      <c r="C4" s="4" t="s">
        <v>54</v>
      </c>
      <c r="E4" t="s">
        <v>55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FB556BA7-7551-4AAD-99CE-194C3F99D706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2025-06-25T20:00:13Z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2025-05-14T13:18:17Z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95ca6028-3f16-4089-987e-f28f5e61c104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