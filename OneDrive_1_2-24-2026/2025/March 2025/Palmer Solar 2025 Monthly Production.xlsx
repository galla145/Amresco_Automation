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13_ncr:1_{1994A6B8-41E6-43A9-B365-153F0A614D5B}" xr6:coauthVersionLast="47" xr6:coauthVersionMax="47" xr10:uidLastSave="{AB31C2CC-9BEB-4182-8A8D-C1C651439DFB}"/>
  <bookViews>
    <workbookView xWindow="-108" yWindow="-108" windowWidth="23256" windowHeight="1245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G4" i="30"/>
  <c r="G4" i="18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<sst xmlns="http://schemas.openxmlformats.org/spreadsheetml/2006/main" count="250" uniqueCount="58">
  <si>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</si>
  <si>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</si>
  <si>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</si>
  <si>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</si>
  <si>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</si>
  <si>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</si>
  <si>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</si>
  <si>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</si>
  <si>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</si>
  <si>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</si>
  <si>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</si>
  <si>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</si>
  <si>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</si>
  <si>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</si>
  <si>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</si>
  <si>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</si>
  <si>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</si>
  <si>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</si>
  <si>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</si>
  <si>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</si>
  <si>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</si>
  <si>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</si>
  <si>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</si>
  <si>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1.Inverter 2 is showing low production on 01/22 and is offline and inverter was back to normal production from 01/26</t>
  </si>
  <si>
    <t>1.SR095926</t>
  </si>
  <si>
    <t>February Actual v. Expected</t>
  </si>
  <si>
    <t>February Actual v. Forecasted</t>
  </si>
  <si>
    <t>1. Inverters are offline on 02/16 and on 02/17 technician found inverters are online, after a powercycle comms are restored.</t>
  </si>
  <si>
    <t>1. SR097163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</si>
  <si>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</si>
  <si>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</si>
  <si>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</si>
  <si>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</si>
  <si>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</si>
  <si>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</si>
  <si>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</si>
  <si>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</si>
  <si>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</si>
  <si>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</si>
  <si>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</si>
  <si>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</si>
  <si>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</si>
  <si>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</si>
  <si>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</si>
  <si>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</si>
  <si>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</si>
  <si>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</si>
  <si>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</si>
  <si>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</si>
  <si>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</si>
  <si>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MA: Palmer - 105 North Street</t>
  </si>
  <si>
    <t>Site DAS Name</t>
  </si>
  <si>
    <t>Update</t>
  </si>
  <si>
    <t>DAS</t>
  </si>
  <si>
    <t>MA - Palmer Solar</t>
  </si>
  <si>
    <t>MA</t>
  </si>
  <si>
    <t>A</t>
  </si>
  <si>
    <t>Solrenview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</si>
</sst>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2CC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0" fontId="30" fillId="46" borderId="1" xfId="0" applyFont="1" applyFill="1" applyBorder="1" applyAlignment="1">
      <alignment wrapText="1"/>
    </xf>
    <xf numFmtId="0" fontId="30" fillId="46" borderId="12" xfId="0" applyFont="1" applyFill="1" applyBorder="1" applyAlignment="1">
      <alignment wrapText="1"/>
    </xf>
    <xf numFmtId="0" fontId="34" fillId="40" borderId="0" xfId="0" applyFont="1" applyFill="1" applyAlignment="1">
      <alignment horizontal="center" vertical="center"/>
    </xf>
    <xf numFmtId="3" fontId="30" fillId="4" borderId="0" xfId="1" applyNumberFormat="1" applyFont="1" applyFill="1" applyBorder="1" applyAlignment="1">
      <alignment horizontal="right" vertical="center"/>
    </xf>
    <xf numFmtId="49" fontId="35" fillId="38" borderId="0" xfId="45" applyNumberForma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5926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7163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D4" sqref="D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MA: Palmer - 105 North Street</v>
      </c>
      <c r="B1" s="55"/>
      <c r="C1" s="55"/>
      <c r="D1" s="56" t="s">
        <v>0</v>
      </c>
      <c r="E1" s="56"/>
      <c r="F1" s="56"/>
      <c r="G1" s="54" t="s">
        <v>1</v>
      </c>
      <c r="H1" s="54"/>
      <c r="I1" s="54"/>
    </row>
    <row r="2" spans="1:9" ht="19.5" customHeight="1">
      <c r="A2" s="57" t="s">
        <v>2</v>
      </c>
      <c r="B2" s="57"/>
      <c r="C2" s="5">
        <f>SUM(C4:C79)</f>
        <v>552922</v>
      </c>
      <c r="D2" s="5">
        <f>SUM(D4:D79)</f>
        <v>0</v>
      </c>
      <c r="E2" s="5">
        <f>C2-D2</f>
        <v>552922</v>
      </c>
      <c r="F2" s="6">
        <f>IFERROR(E2/D2, 0)</f>
        <v>0</v>
      </c>
      <c r="G2" s="5">
        <f>SUM(G4:G79)</f>
        <v>0</v>
      </c>
      <c r="H2" s="7">
        <f>C2-G2</f>
        <v>552922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MA: Palmer - 105 North Street</v>
      </c>
      <c r="B4" s="9" t="str" cm="1">
        <f t="array" ref="B4">Sites[State]</f>
        <v>MA</v>
      </c>
      <c r="C4" s="23">
        <f>SUM('1st Qtr'!C4, '2nd Qtr'!C4, '3rd Qtr'!C4, '4th Qtr'!C4)</f>
        <v>552922</v>
      </c>
      <c r="D4" s="12">
        <f>SUM('1st Qtr'!D4, '2nd Qtr'!D4, '3rd Qtr'!D4, '4th Qtr'!D4)</f>
        <v>0</v>
      </c>
      <c r="E4" s="12">
        <f>IF(AND(ISNUMBER(C4),ISNUMBER(D4)), C4-D4, "")</f>
        <v>552922</v>
      </c>
      <c r="F4" s="13" t="str">
        <f>IFERROR(E4/D4, "")</f>
        <v/>
      </c>
      <c r="G4" s="14">
        <f>SUM('1st Qtr'!G4, '2nd Qtr'!G4, '3rd Qtr'!G4, '4th Qtr'!G4)</f>
        <v>0</v>
      </c>
      <c r="H4" s="14">
        <f>SUM('1st Qtr'!H4, '2nd Qtr'!H4, '3rd Qtr'!H4, '4th Qtr'!H4)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C13" sqref="C13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MA: Palmer - 105 North Street</v>
      </c>
      <c r="B1" s="55"/>
      <c r="C1" s="55"/>
      <c r="D1" s="56" t="s">
        <v>10</v>
      </c>
      <c r="E1" s="56"/>
      <c r="F1" s="56"/>
      <c r="G1" s="54" t="s">
        <v>11</v>
      </c>
      <c r="H1" s="54"/>
      <c r="I1" s="54"/>
    </row>
    <row r="2" spans="1:9" ht="19.5" customHeight="1">
      <c r="A2" s="57" t="s">
        <v>2</v>
      </c>
      <c r="B2" s="57"/>
      <c r="C2" s="5">
        <f>SUM(C4:C79)</f>
        <v>552922</v>
      </c>
      <c r="D2" s="5">
        <f>SUM(D4:D79)</f>
        <v>0</v>
      </c>
      <c r="E2" s="5">
        <f>C2-D2</f>
        <v>552922</v>
      </c>
      <c r="F2" s="6">
        <f>IFERROR(E2/D2, 0)</f>
        <v>0</v>
      </c>
      <c r="G2" s="5">
        <f>SUM(G4:G79)</f>
        <v>0</v>
      </c>
      <c r="H2" s="7">
        <f>C2-G2</f>
        <v>552922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MA: Palmer - 105 North Street</v>
      </c>
      <c r="B4" s="9" t="str" cm="1">
        <f t="array" ref="B4">Sites[State]</f>
        <v>MA</v>
      </c>
      <c r="C4" s="23">
        <f>SUM(Jan!C4, Feb!C4, Mar!C4)</f>
        <v>552922</v>
      </c>
      <c r="D4" s="12">
        <f>SUM(Jan!D4, Feb!D4, Mar!D4)</f>
        <v>0</v>
      </c>
      <c r="E4" s="12">
        <f>IF(AND(ISNUMBER(C4),ISNUMBER(D4)), C4-D4, "")</f>
        <v>552922</v>
      </c>
      <c r="F4" s="13" t="str">
        <f>IFERROR(E4/D4, "")</f>
        <v/>
      </c>
      <c r="G4" s="14">
        <f>SUM(Jan!G4, Feb!G4, Mar!G4)</f>
        <v>0</v>
      </c>
      <c r="H4" s="14">
        <f>SUM(Jan!H4, Feb!H4, Mar!H4)</f>
        <v>0</v>
      </c>
      <c r="I4" s="15" t="str">
        <f>IFERROR(H4/G4, "")</f>
        <v/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G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MA: Palmer - 105 North Street</v>
      </c>
      <c r="B1" s="55"/>
      <c r="C1" s="55"/>
      <c r="D1" s="56" t="s">
        <v>12</v>
      </c>
      <c r="E1" s="56"/>
      <c r="F1" s="56"/>
      <c r="G1" s="54" t="s">
        <v>13</v>
      </c>
      <c r="H1" s="54"/>
      <c r="I1" s="54"/>
    </row>
    <row r="2" spans="1:9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MA: Palmer - 105 North Street</v>
      </c>
      <c r="B4" s="9" t="str" cm="1">
        <f t="array" ref="B4">Sites[State]</f>
        <v>MA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MA: Palmer - 105 North Street</v>
      </c>
      <c r="B1" s="55"/>
      <c r="C1" s="55"/>
      <c r="D1" s="56" t="s">
        <v>14</v>
      </c>
      <c r="E1" s="56"/>
      <c r="F1" s="56"/>
      <c r="G1" s="54" t="s">
        <v>15</v>
      </c>
      <c r="H1" s="54"/>
      <c r="I1" s="54"/>
    </row>
    <row r="2" spans="1:9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MA: Palmer - 105 North Street</v>
      </c>
      <c r="B4" s="9" t="str" cm="1">
        <f t="array" ref="B4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SUM(Jul!G4,Aug!G4,Sep!G4)</f>
        <v>0</v>
      </c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F4" activePane="bottomRight" state="frozen"/>
      <selection pane="bottomRight" activeCell="I12" sqref="I12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MA: Palmer - 105 North Street</v>
      </c>
      <c r="B1" s="55"/>
      <c r="C1" s="55"/>
      <c r="D1" s="56" t="s">
        <v>16</v>
      </c>
      <c r="E1" s="56"/>
      <c r="F1" s="56"/>
      <c r="G1" s="54" t="s">
        <v>17</v>
      </c>
      <c r="H1" s="54"/>
      <c r="I1" s="54"/>
    </row>
    <row r="2" spans="1:9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MA: Palmer - 105 North Street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40"/>
      <c r="D5" s="17"/>
      <c r="E5" s="17"/>
      <c r="F5" s="18"/>
      <c r="G5" s="19"/>
      <c r="H5" s="19"/>
      <c r="I5" s="18"/>
    </row>
    <row r="6" spans="1:9" ht="14.45">
      <c r="A6" s="20"/>
      <c r="B6" s="10"/>
      <c r="C6" s="40"/>
      <c r="D6" s="17"/>
      <c r="E6" s="17"/>
      <c r="F6" s="18"/>
      <c r="G6" s="19"/>
      <c r="H6" s="19"/>
      <c r="I6" s="18"/>
    </row>
    <row r="7" spans="1:9" ht="14.45">
      <c r="A7" s="20"/>
      <c r="B7" s="10"/>
      <c r="C7" s="40"/>
      <c r="D7" s="17"/>
      <c r="E7" s="17"/>
      <c r="F7" s="18"/>
      <c r="G7" s="19"/>
      <c r="H7" s="19"/>
      <c r="I7" s="18"/>
    </row>
    <row r="8" spans="1:9" ht="14.45">
      <c r="A8" s="20"/>
      <c r="B8" s="10"/>
      <c r="C8" s="40"/>
      <c r="D8" s="17"/>
      <c r="E8" s="17"/>
      <c r="F8" s="18"/>
      <c r="G8" s="19"/>
      <c r="H8" s="19"/>
      <c r="I8" s="18"/>
    </row>
    <row r="9" spans="1:9" ht="14.45">
      <c r="A9" s="20"/>
      <c r="B9" s="10"/>
      <c r="C9" s="40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J9" sqref="J9"/>
      <selection pane="bottomLeft" activeCell="A4" sqref="A4:XFD4"/>
      <selection pane="topRight" activeCell="A4" sqref="A4:XFD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Palmer - 105 North Street</v>
      </c>
      <c r="B1" s="55"/>
      <c r="C1" s="55"/>
      <c r="D1" s="56" t="s">
        <v>18</v>
      </c>
      <c r="E1" s="56"/>
      <c r="F1" s="56"/>
      <c r="G1" s="54" t="s">
        <v>19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SUM(C4:C78)</f>
        <v>143914</v>
      </c>
      <c r="D2" s="5">
        <f>SUM(D4:D78)</f>
        <v>0</v>
      </c>
      <c r="E2" s="5">
        <f>C2-D2</f>
        <v>143914</v>
      </c>
      <c r="F2" s="6">
        <f>IFERROR(E2/D2, 0)</f>
        <v>0</v>
      </c>
      <c r="G2" s="5">
        <f>SUM(G4:G78)</f>
        <v>0</v>
      </c>
      <c r="H2" s="7">
        <f>C2-G2</f>
        <v>143914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6" t="s">
        <v>5</v>
      </c>
      <c r="D3" s="47" t="s">
        <v>6</v>
      </c>
      <c r="E3" s="31" t="s">
        <v>7</v>
      </c>
      <c r="F3" s="32" t="s">
        <v>8</v>
      </c>
      <c r="G3" s="48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45" t="str" cm="1">
        <f t="array" ref="A4">Sites[Site]</f>
        <v>MA: Palmer - 105 North Street</v>
      </c>
      <c r="B4" s="27" t="str" cm="1">
        <f t="array" ref="B4">Sites[State]</f>
        <v>MA</v>
      </c>
      <c r="C4" s="23">
        <v>143914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2" t="s">
        <v>22</v>
      </c>
      <c r="H4" s="14" t="str">
        <f>IF(AND(ISNUMBER(C4),ISNUMBER(G4)), C4-G4, "")</f>
        <v/>
      </c>
      <c r="I4" s="15" t="str">
        <f>IFERROR(H4/G4, "")</f>
        <v/>
      </c>
      <c r="J4" s="36" t="s">
        <v>23</v>
      </c>
      <c r="K4" s="53" t="s">
        <v>24</v>
      </c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78 I4:I78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hyperlinks>
    <hyperlink ref="K4" r:id="rId1" display="https://us3.assetplanner.com/service_request?ID=095926" xr:uid="{3DD4C0D5-FDD2-4D36-B9AA-BCFB114A2BE8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J8" sqref="J8"/>
      <selection pane="bottomLeft" activeCell="J14" sqref="J14"/>
      <selection pane="topRight" activeCell="J14" sqref="J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Palmer - 105 North Street</v>
      </c>
      <c r="B1" s="55"/>
      <c r="C1" s="55"/>
      <c r="D1" s="56" t="s">
        <v>25</v>
      </c>
      <c r="E1" s="56"/>
      <c r="F1" s="56"/>
      <c r="G1" s="54" t="s">
        <v>26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138085</v>
      </c>
      <c r="D2" s="5">
        <f>SUM(D4:D79)</f>
        <v>0</v>
      </c>
      <c r="E2" s="5">
        <f>C2-D2</f>
        <v>138085</v>
      </c>
      <c r="F2" s="6">
        <f>IFERROR(E2/D2, 0)</f>
        <v>0</v>
      </c>
      <c r="G2" s="5">
        <f>SUM(G4:G79)</f>
        <v>0</v>
      </c>
      <c r="H2" s="7">
        <f>C2-G2</f>
        <v>138085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45" t="str" cm="1">
        <f t="array" ref="A4">Sites[Site]</f>
        <v>MA: Palmer - 105 North Street</v>
      </c>
      <c r="B4" s="27" t="str" cm="1">
        <f t="array" ref="B4">Sites[State]</f>
        <v>MA</v>
      </c>
      <c r="C4" s="23">
        <v>138085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2" t="s">
        <v>22</v>
      </c>
      <c r="H4" s="14" t="str">
        <f>IF(AND(ISNUMBER(C4),ISNUMBER(G4)), C4-G4, "")</f>
        <v/>
      </c>
      <c r="I4" s="15" t="str">
        <f>IFERROR(H4/G4, "")</f>
        <v/>
      </c>
      <c r="J4" s="36" t="s">
        <v>27</v>
      </c>
      <c r="K4" s="53" t="s">
        <v>28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7163" xr:uid="{CE0F2157-9A62-4A40-BE28-57921753D72F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tabSelected="1" workbookViewId="0">
      <pane xSplit="2" ySplit="3" topLeftCell="C4" activePane="bottomRight" state="frozen"/>
      <selection pane="bottomRight" activeCell="C14" sqref="C14"/>
      <selection pane="bottomLeft" activeCell="J14" sqref="J14"/>
      <selection pane="topRight" activeCell="J14" sqref="J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Palmer - 105 North Street</v>
      </c>
      <c r="B1" s="55"/>
      <c r="C1" s="55"/>
      <c r="D1" s="56" t="s">
        <v>29</v>
      </c>
      <c r="E1" s="56"/>
      <c r="F1" s="56"/>
      <c r="G1" s="54" t="s">
        <v>30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270923</v>
      </c>
      <c r="D2" s="5">
        <f>SUM(D4:D79)</f>
        <v>0</v>
      </c>
      <c r="E2" s="5">
        <f>C2-D2</f>
        <v>270923</v>
      </c>
      <c r="F2" s="6">
        <f>IFERROR(E2/D2, 0)</f>
        <v>0</v>
      </c>
      <c r="G2" s="5">
        <f>SUM(G4:G79)</f>
        <v>0</v>
      </c>
      <c r="H2" s="7">
        <f>C2-G2</f>
        <v>270923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>
        <v>270923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2" t="s">
        <v>22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bottomRight" activeCell="J14" sqref="J14"/>
      <selection pane="bottomLeft" activeCell="J14" sqref="J14"/>
      <selection pane="topRight" activeCell="J14" sqref="J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Palmer - 105 North Street</v>
      </c>
      <c r="B1" s="55"/>
      <c r="C1" s="55"/>
      <c r="D1" s="56" t="s">
        <v>31</v>
      </c>
      <c r="E1" s="56"/>
      <c r="F1" s="56"/>
      <c r="G1" s="54" t="s">
        <v>32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49"/>
      <c r="K4" s="50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bottomRight" activeCell="J14" sqref="J14"/>
      <selection pane="bottomLeft" activeCell="J14" sqref="J14"/>
      <selection pane="topRight" activeCell="J14" sqref="J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Palmer - 105 North Street</v>
      </c>
      <c r="B1" s="55"/>
      <c r="C1" s="55"/>
      <c r="D1" s="56" t="s">
        <v>33</v>
      </c>
      <c r="E1" s="56"/>
      <c r="F1" s="56"/>
      <c r="G1" s="54" t="s">
        <v>34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49"/>
      <c r="K4" s="50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E4" activePane="bottomRight" state="frozen"/>
      <selection pane="bottomRight" activeCell="J14" sqref="J14"/>
      <selection pane="bottomLeft" activeCell="J14" sqref="J14"/>
      <selection pane="topRight" activeCell="J14" sqref="J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Palmer - 105 North Street</v>
      </c>
      <c r="B1" s="55"/>
      <c r="C1" s="55"/>
      <c r="D1" s="56" t="s">
        <v>35</v>
      </c>
      <c r="E1" s="56"/>
      <c r="F1" s="56"/>
      <c r="G1" s="54" t="s">
        <v>36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J14" sqref="J14"/>
      <selection pane="bottomLeft" activeCell="J14" sqref="J14"/>
      <selection pane="topRight" activeCell="J14" sqref="J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Palmer - 105 North Street</v>
      </c>
      <c r="B1" s="55"/>
      <c r="C1" s="55"/>
      <c r="D1" s="56" t="s">
        <v>37</v>
      </c>
      <c r="E1" s="56"/>
      <c r="F1" s="56"/>
      <c r="G1" s="54" t="s">
        <v>38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F4" activePane="bottomRight" state="frozen"/>
      <selection pane="bottomRight" activeCell="J14" sqref="J14"/>
      <selection pane="bottomLeft" activeCell="J14" sqref="J14"/>
      <selection pane="topRight" activeCell="J14" sqref="J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Palmer - 105 North Street</v>
      </c>
      <c r="B1" s="55"/>
      <c r="C1" s="55"/>
      <c r="D1" s="56" t="s">
        <v>39</v>
      </c>
      <c r="E1" s="56"/>
      <c r="F1" s="56"/>
      <c r="G1" s="54" t="s">
        <v>40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F4" activePane="bottomRight" state="frozen"/>
      <selection pane="bottomRight" activeCell="J14" sqref="J14"/>
      <selection pane="bottomLeft" activeCell="J14" sqref="J14"/>
      <selection pane="topRight" activeCell="J14" sqref="J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Palmer - 105 North Street</v>
      </c>
      <c r="B1" s="55"/>
      <c r="C1" s="55"/>
      <c r="D1" s="56" t="s">
        <v>41</v>
      </c>
      <c r="E1" s="56"/>
      <c r="F1" s="56"/>
      <c r="G1" s="54" t="s">
        <v>42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9.75" customHeight="1">
      <c r="A4" s="51" t="str" cm="1">
        <f t="array" ref="A4">Sites[Site]</f>
        <v>MA: Palmer - 105 North Street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F4" activePane="bottomRight" state="frozen"/>
      <selection pane="bottomRight" activeCell="J14" sqref="J14"/>
      <selection pane="bottomLeft" activeCell="J14" sqref="J14"/>
      <selection pane="topRight" activeCell="J14" sqref="J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Palmer - 105 North Street</v>
      </c>
      <c r="B1" s="55"/>
      <c r="C1" s="55"/>
      <c r="D1" s="56" t="s">
        <v>43</v>
      </c>
      <c r="E1" s="56"/>
      <c r="F1" s="56"/>
      <c r="G1" s="54" t="s">
        <v>44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J14" sqref="J14"/>
      <selection pane="bottomLeft" activeCell="J14" sqref="J14"/>
      <selection pane="topRight" activeCell="J14" sqref="J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Palmer - 105 North Street</v>
      </c>
      <c r="B1" s="55"/>
      <c r="C1" s="55"/>
      <c r="D1" s="56" t="s">
        <v>45</v>
      </c>
      <c r="E1" s="56"/>
      <c r="F1" s="56"/>
      <c r="G1" s="54" t="s">
        <v>46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4" activePane="bottomRight" state="frozen"/>
      <selection pane="bottomRight" activeCell="J14" sqref="J14"/>
      <selection pane="bottomLeft" activeCell="J14" sqref="J14"/>
      <selection pane="topRight" activeCell="J14" sqref="J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Palmer - 105 North Street</v>
      </c>
      <c r="B1" s="55"/>
      <c r="C1" s="55"/>
      <c r="D1" s="56" t="s">
        <v>47</v>
      </c>
      <c r="E1" s="56"/>
      <c r="F1" s="56"/>
      <c r="G1" s="54" t="s">
        <v>48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A4" sqref="A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49</v>
      </c>
      <c r="B1" t="s">
        <v>50</v>
      </c>
    </row>
    <row r="3" spans="1:12" ht="13.15">
      <c r="A3" t="s">
        <v>51</v>
      </c>
      <c r="B3" t="s">
        <v>3</v>
      </c>
      <c r="C3" t="s">
        <v>4</v>
      </c>
      <c r="D3" t="s">
        <v>52</v>
      </c>
      <c r="E3" s="2" t="s">
        <v>53</v>
      </c>
    </row>
    <row r="4" spans="1:12" ht="14.45">
      <c r="A4" s="44" t="s">
        <v>54</v>
      </c>
      <c r="B4" t="s">
        <v>50</v>
      </c>
      <c r="C4" s="42" t="s">
        <v>55</v>
      </c>
      <c r="D4" s="41" t="s">
        <v>56</v>
      </c>
      <c r="E4" t="s">
        <v>57</v>
      </c>
      <c r="G4" s="3"/>
    </row>
    <row r="5" spans="1:12" ht="14.45">
      <c r="A5" s="44"/>
      <c r="C5" s="42"/>
      <c r="D5" s="41"/>
      <c r="G5" s="3"/>
    </row>
    <row r="6" spans="1:12" ht="14.45">
      <c r="A6" s="44"/>
      <c r="C6" s="42"/>
      <c r="D6" s="41"/>
      <c r="G6" s="3"/>
    </row>
    <row r="7" spans="1:12" ht="12.75" customHeight="1">
      <c r="A7" s="44"/>
      <c r="C7" s="42"/>
      <c r="D7" s="41"/>
    </row>
    <row r="8" spans="1:12" ht="12.75" customHeight="1">
      <c r="A8" s="44"/>
      <c r="C8" s="42"/>
      <c r="D8" s="41"/>
    </row>
    <row r="9" spans="1:12" ht="12.75" customHeight="1">
      <c r="A9" s="44"/>
      <c r="C9" s="42"/>
      <c r="D9" s="41"/>
    </row>
    <row r="10" spans="1:12" ht="12.75" customHeight="1">
      <c r="A10" s="44"/>
      <c r="C10" s="42"/>
      <c r="D10" s="41"/>
      <c r="K10" s="38"/>
      <c r="L10" s="38"/>
    </row>
    <row r="11" spans="1:12" ht="12.75" customHeight="1">
      <c r="A11" s="44"/>
      <c r="C11" s="42"/>
      <c r="D11" s="41"/>
      <c r="K11" s="38"/>
      <c r="L11" s="38"/>
    </row>
    <row r="12" spans="1:12" ht="12.75" customHeight="1">
      <c r="A12" s="44"/>
      <c r="C12" s="42"/>
      <c r="D12" s="41"/>
      <c r="K12" s="38"/>
      <c r="L12" s="38"/>
    </row>
    <row r="13" spans="1:12" ht="12.75" customHeight="1">
      <c r="A13" s="44"/>
      <c r="C13" s="42"/>
      <c r="D13" s="41"/>
      <c r="K13" s="38"/>
      <c r="L13" s="38"/>
    </row>
    <row r="14" spans="1:12" ht="12.75" customHeight="1">
      <c r="A14" s="44"/>
      <c r="C14" s="42"/>
      <c r="D14" s="41"/>
      <c r="K14" s="38"/>
      <c r="L14" s="38"/>
    </row>
    <row r="15" spans="1:12" ht="12.75" customHeight="1">
      <c r="A15" s="44"/>
      <c r="C15" s="42"/>
      <c r="D15" s="41"/>
      <c r="K15" s="38"/>
      <c r="L15" s="38"/>
    </row>
    <row r="16" spans="1:12" ht="12.75" customHeight="1">
      <c r="A16" s="44"/>
      <c r="C16" s="42"/>
      <c r="D16" s="41"/>
      <c r="K16" s="38"/>
      <c r="L16" s="38"/>
    </row>
    <row r="17" spans="1:12" ht="12.75" customHeight="1">
      <c r="A17" s="44"/>
      <c r="C17" s="42"/>
      <c r="D17" s="41"/>
      <c r="K17" s="38"/>
      <c r="L17" s="38"/>
    </row>
    <row r="18" spans="1:12" ht="12.75" customHeight="1">
      <c r="A18" s="44"/>
      <c r="C18" s="42"/>
      <c r="D18" s="41"/>
      <c r="K18" s="38"/>
      <c r="L18" s="38"/>
    </row>
    <row r="19" spans="1:12" ht="12.75" customHeight="1">
      <c r="A19" s="44"/>
      <c r="C19" s="42"/>
      <c r="D19" s="41"/>
      <c r="K19" s="38"/>
      <c r="L19" s="38"/>
    </row>
    <row r="20" spans="1:12" ht="12.75" customHeight="1">
      <c r="A20" s="44"/>
      <c r="C20" s="42"/>
      <c r="D20" s="41"/>
      <c r="K20" s="38"/>
      <c r="L20" s="38"/>
    </row>
    <row r="21" spans="1:12" ht="12.75" customHeight="1">
      <c r="A21" s="44"/>
      <c r="C21" s="42"/>
      <c r="D21" s="41"/>
      <c r="K21" s="38"/>
      <c r="L21" s="38"/>
    </row>
    <row r="22" spans="1:12" ht="12.75" customHeight="1">
      <c r="A22" s="44"/>
      <c r="C22" s="42"/>
      <c r="D22" s="41"/>
      <c r="K22" s="38"/>
      <c r="L22" s="38"/>
    </row>
    <row r="23" spans="1:12" ht="12.75" customHeight="1">
      <c r="A23" s="44"/>
      <c r="C23" s="42"/>
      <c r="D23" s="41"/>
      <c r="K23" s="38"/>
      <c r="L23" s="38"/>
    </row>
    <row r="24" spans="1:12" ht="12.75" customHeight="1">
      <c r="A24" s="44"/>
      <c r="C24" s="42"/>
      <c r="D24" s="41"/>
      <c r="K24" s="38"/>
      <c r="L24" s="38"/>
    </row>
    <row r="25" spans="1:12" ht="12.75" customHeight="1">
      <c r="A25" s="44"/>
      <c r="C25" s="42"/>
      <c r="D25" s="41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3.xml>��
</file>

<file path=customXml/item14.xml>��
</file>

<file path=customXml/item15.xml>��
</file>

<file path=customXml/item1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4966E4F-347B-477B-B74C-9DAC05405806}"/>
</file>

<file path=customXml/itemProps2.xml><?xml version="1.0" encoding="utf-8"?>
<ds:datastoreItem xmlns:ds="http://schemas.openxmlformats.org/officeDocument/2006/customXml" ds:itemID="{E3716282-BFD2-4ED2-BA47-BFA1123827F0}"/>
</file>

<file path=customXml/itemProps3.xml><?xml version="1.0" encoding="utf-8"?>
<ds:datastoreItem xmlns:ds="http://schemas.openxmlformats.org/officeDocument/2006/customXml" ds:itemID="{078388C9-06F9-42F4-B857-EF76B5CAF1FD}"/>
</file>

<file path=customXml/itemProps4.xml><?xml version="1.0" encoding="utf-8"?>
<ds:datastoreItem xmlns:ds="http://schemas.openxmlformats.org/officeDocument/2006/customXml" ds:itemID="{F6B2B1A1-1C4B-4AC9-9A7D-7A102DD1C942}"/>
</file>

<file path=customXml/itemProps5.xml><?xml version="1.0" encoding="utf-8"?>
<ds:datastoreItem xmlns:ds="http://schemas.openxmlformats.org/officeDocument/2006/customXml" ds:itemID="{D3A7101F-9A85-4235-8B03-415370C100B2}"/>
</file>

<file path=customXml/itemProps6.xml><?xml version="1.0" encoding="utf-8"?>
<ds:datastoreItem xmlns:ds="http://schemas.openxmlformats.org/officeDocument/2006/customXml" ds:itemID="{1954BBA4-0359-438C-B0EC-A756015F7C02}"/>
</file>

<file path=customXml/itemProps7.xml><?xml version="1.0" encoding="utf-8"?>
<ds:datastoreItem xmlns:ds="http://schemas.openxmlformats.org/officeDocument/2006/customXml" ds:itemID="{89CF5C07-45EB-4100-9AFB-2C6AF77FA787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E20E8303-6A67-485C-B6F4-303542CC295C}"/>
</file>

<file path=customXml/itemProps10.xml><?xml version="1.0" encoding="utf-8"?>
<ds:datastoreItem xmlns:ds="http://schemas.openxmlformats.org/officeDocument/2006/customXml" ds:itemID="{F12EFA50-0068-4A8C-85A0-F1B26389EBC3}"/>
</file>

<file path=customXml/itemProps11.xml><?xml version="1.0" encoding="utf-8"?>
<ds:datastoreItem xmlns:ds="http://schemas.openxmlformats.org/officeDocument/2006/customXml" ds:itemID="{7946C510-7D04-49D8-9B25-EEC04582A1CA}"/>
</file>

<file path=customXml/itemProps12.xml><?xml version="1.0" encoding="utf-8"?>
<ds:datastoreItem xmlns:ds="http://schemas.openxmlformats.org/officeDocument/2006/customXml" ds:itemID="{8D732231-4216-4543-A665-18A2886B0EB7}"/>
</file>

<file path=customXml/itemProps13.xml><?xml version="1.0" encoding="utf-8"?>
<ds:datastoreItem xmlns:ds="http://schemas.openxmlformats.org/officeDocument/2006/customXml" ds:itemID="{BE26B669-A686-459C-A5E9-FEC3409C4C81}"/>
</file>

<file path=customXml/itemProps14.xml><?xml version="1.0" encoding="utf-8"?>
<ds:datastoreItem xmlns:ds="http://schemas.openxmlformats.org/officeDocument/2006/customXml" ds:itemID="{CB52044A-5C0B-44A2-99D0-C1C315EC302D}"/>
</file>

<file path=customXml/itemProps15.xml><?xml version="1.0" encoding="utf-8"?>
<ds:datastoreItem xmlns:ds="http://schemas.openxmlformats.org/officeDocument/2006/customXml" ds:itemID="{0389C43E-394D-44C0-87DC-4780FCFCFB40}"/>
</file>

<file path=customXml/itemProps16.xml><?xml version="1.0" encoding="utf-8"?>
<ds:datastoreItem xmlns:ds="http://schemas.openxmlformats.org/officeDocument/2006/customXml" ds:itemID="{BA163D46-6AB1-43B7-8006-058102ACB0C3}"/>
</file>

<file path=customXml/itemProps17.xml><?xml version="1.0" encoding="utf-8"?>
<ds:datastoreItem xmlns:ds="http://schemas.openxmlformats.org/officeDocument/2006/customXml" ds:itemID="{66B09F59-6532-46F8-924A-9A02417E070D}"/>
</file>

<file path=customXml/itemProps18.xml><?xml version="1.0" encoding="utf-8"?>
<ds:datastoreItem xmlns:ds="http://schemas.openxmlformats.org/officeDocument/2006/customXml" ds:itemID="{BF5C6359-7763-4C37-8EAF-2BC4698CB285}"/>
</file>

<file path=customXml/itemProps19.xml><?xml version="1.0" encoding="utf-8"?>
<ds:datastoreItem xmlns:ds="http://schemas.openxmlformats.org/officeDocument/2006/customXml" ds:itemID="{3AEAA9D8-2182-46BA-A58E-96C72DDA1C54}"/>
</file>

<file path=customXml/itemProps20.xml><?xml version="1.0" encoding="utf-8"?>
<ds:datastoreItem xmlns:ds="http://schemas.openxmlformats.org/officeDocument/2006/customXml" ds:itemID="{98A113BB-8B7A-453C-8BD4-8EFC67FC2D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2025-06-25T20:00:03Z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2025-04-15T12:22:19Z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e6a2f1c4-78d3-41f6-a32c-9ed20b80210f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