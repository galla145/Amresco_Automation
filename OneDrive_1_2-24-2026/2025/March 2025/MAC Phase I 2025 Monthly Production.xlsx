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443A6AD6-8C57-4042-BF2C-28153D15096C}" xr6:coauthVersionLast="47" xr6:coauthVersionMax="47" xr10:uidLastSave="{4E6E0DC8-488E-4FB2-9B79-5ECD4CEC3B04}"/>
  <bookViews>
    <workbookView xWindow="-108" yWindow="-108" windowWidth="23256" windowHeight="1245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72" l="1"/>
  <c r="G4" i="30"/>
  <c r="G4" i="29"/>
  <c r="G2" i="29" s="1"/>
  <c r="G4" i="18"/>
  <c r="G2" i="18"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72"/>
  <c r="F6" i="72" s="1"/>
  <c r="H6" i="72"/>
  <c r="I6" i="72" s="1"/>
  <c r="G4" i="1"/>
  <c r="B4" i="34" a="1"/>
  <c r="B4" i="34" s="1"/>
  <c r="A4" i="34" a="1"/>
  <c r="A4" i="34" s="1"/>
  <c r="A1" i="34" a="1"/>
  <c r="A1" i="34" s="1"/>
  <c r="D4" i="30"/>
  <c r="D2" i="30" s="1"/>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H2" i="31" s="1"/>
  <c r="I2" i="31" s="1"/>
  <c r="A1" i="31" a="1"/>
  <c r="A1" i="31" s="1"/>
  <c r="H5" i="28"/>
  <c r="I5" i="28" s="1"/>
  <c r="E5" i="28"/>
  <c r="F5" i="28" s="1"/>
  <c r="H4" i="28"/>
  <c r="I4" i="28" s="1"/>
  <c r="E4" i="28"/>
  <c r="F4" i="28" s="1"/>
  <c r="B4" i="28" a="1"/>
  <c r="B4" i="28" s="1"/>
  <c r="A4" i="28" a="1"/>
  <c r="A4" i="28" s="1"/>
  <c r="G2" i="28"/>
  <c r="D2" i="28"/>
  <c r="C2" i="28"/>
  <c r="H2" i="28" s="1"/>
  <c r="I2" i="28" s="1"/>
  <c r="A1" i="28" a="1"/>
  <c r="A1" i="28" s="1"/>
  <c r="H5" i="27"/>
  <c r="I5" i="27" s="1"/>
  <c r="E5" i="27"/>
  <c r="F5" i="27" s="1"/>
  <c r="H4" i="27"/>
  <c r="I4" i="27" s="1"/>
  <c r="E4" i="27"/>
  <c r="F4" i="27" s="1"/>
  <c r="G2" i="27"/>
  <c r="D2" i="27"/>
  <c r="C2" i="27"/>
  <c r="A1" i="27" a="1"/>
  <c r="A1" i="27" s="1"/>
  <c r="H5" i="26"/>
  <c r="E5" i="26"/>
  <c r="F5" i="26" s="1"/>
  <c r="H4" i="26"/>
  <c r="I4" i="26" s="1"/>
  <c r="E4" i="26"/>
  <c r="F4" i="26" s="1"/>
  <c r="G2" i="26"/>
  <c r="D2" i="26"/>
  <c r="C2" i="26"/>
  <c r="H2" i="26" s="1"/>
  <c r="I2" i="26" s="1"/>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H2" i="4" s="1"/>
  <c r="I2" i="4" s="1"/>
  <c r="A1" i="4" a="1"/>
  <c r="A1" i="4" s="1"/>
  <c r="G2" i="3"/>
  <c r="D2" i="3"/>
  <c r="C2" i="3"/>
  <c r="J2" i="3" s="1"/>
  <c r="A1" i="3" a="1"/>
  <c r="A1" i="3" s="1"/>
  <c r="E5" i="72"/>
  <c r="F5" i="72" s="1"/>
  <c r="H5" i="72"/>
  <c r="I5" i="72" s="1"/>
  <c r="I4" i="72"/>
  <c r="G2" i="72"/>
  <c r="D2" i="72"/>
  <c r="C2" i="72"/>
  <c r="J2" i="72" s="1"/>
  <c r="E4" i="72"/>
  <c r="F4" i="72" s="1"/>
  <c r="A1" i="72" a="1"/>
  <c r="A1" i="72" s="1"/>
  <c r="H2" i="33" l="1"/>
  <c r="I2" i="33" s="1"/>
  <c r="H2" i="32"/>
  <c r="I2" i="32" s="1"/>
  <c r="E4" i="30"/>
  <c r="F4" i="30" s="1"/>
  <c r="H2" i="27"/>
  <c r="I2" i="27" s="1"/>
  <c r="E2" i="20"/>
  <c r="F2" i="20" s="1"/>
  <c r="J2" i="4"/>
  <c r="H2" i="21"/>
  <c r="I2" i="21" s="1"/>
  <c r="J2" i="21"/>
  <c r="H2" i="20"/>
  <c r="I2" i="20" s="1"/>
  <c r="D2" i="18"/>
  <c r="E4" i="18"/>
  <c r="F4" i="18" s="1"/>
  <c r="J2" i="20"/>
  <c r="H2" i="19"/>
  <c r="I2" i="19" s="1"/>
  <c r="J2" i="19"/>
  <c r="D2" i="29"/>
  <c r="J2" i="26"/>
  <c r="J2" i="27"/>
  <c r="E2" i="28"/>
  <c r="F2" i="28" s="1"/>
  <c r="J2" i="28"/>
  <c r="J2" i="31"/>
  <c r="J2" i="33"/>
  <c r="D4" i="34"/>
  <c r="D2" i="34" s="1"/>
  <c r="J2" i="32"/>
  <c r="H2" i="3"/>
  <c r="I2" i="3" s="1"/>
  <c r="G2" i="1"/>
  <c r="H4" i="30"/>
  <c r="I5" i="26"/>
  <c r="H4" i="29"/>
  <c r="I4" i="29" s="1"/>
  <c r="H4" i="18"/>
  <c r="I4" i="18" s="1"/>
  <c r="C4" i="34"/>
  <c r="C2" i="29"/>
  <c r="C2" i="30"/>
  <c r="E4" i="29"/>
  <c r="F4" i="29" s="1"/>
  <c r="C2" i="18"/>
  <c r="H4" i="1"/>
  <c r="I4"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E4" i="34"/>
  <c r="F4" i="34" s="1"/>
  <c r="H2" i="1"/>
  <c r="I2" i="1" s="1"/>
  <c r="C2" i="34"/>
  <c r="H4" i="34"/>
  <c r="H2" i="29"/>
  <c r="I2" i="29" s="1"/>
  <c r="E2" i="30"/>
  <c r="F2" i="30" s="1"/>
  <c r="H2" i="18"/>
  <c r="I2" i="18" s="1"/>
  <c r="E2" i="18"/>
  <c r="F2" i="18" s="1"/>
  <c r="E2" i="1"/>
  <c r="F2" i="1" s="1"/>
  <c r="I2" i="72"/>
  <c r="E2" i="72"/>
  <c r="F2" i="72" s="1"/>
  <c r="E2" i="34" l="1"/>
  <c r="F2" i="34" s="1"/>
  <c r="G4" i="34"/>
  <c r="G2" i="34" s="1"/>
  <c r="H2" i="34" s="1"/>
  <c r="I2" i="34" s="1"/>
  <c r="G2" i="30"/>
  <c r="H2" i="30" s="1"/>
  <c r="I2" i="30" s="1"/>
  <c r="I4" i="30"/>
  <c r="I4" i="3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<sst xmlns="http://schemas.openxmlformats.org/spreadsheetml/2006/main" count="249" uniqueCount="63">
  <si>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</si>
  <si>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</si>
  <si>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</si>
  <si>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</si>
  <si>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</si>
  <si>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</si>
  <si>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</si>
  <si>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</si>
  <si>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</si>
  <si>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</si>
  <si>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</si>
  <si>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</si>
  <si>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</si>
  <si>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</si>
  <si>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</si>
  <si>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</si>
  <si>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</si>
  <si>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</si>
  <si>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</si>
  <si>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</si>
  <si>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</si>
  <si>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</si>
  <si>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3.1 has tripped offline at 9:00AM CST on 12/27/24 due to electric arc fault and remained offline through out the month. Waiting on keys from MAC airport to enter the electrical room where the DAS is located.
2. Actual Energy is the combination of Both MAC -Phase 1 and MAC Phase 2</t>
  </si>
  <si>
    <t>1.SR094282</t>
  </si>
  <si>
    <t>February Actual v. Expected</t>
  </si>
  <si>
    <t>February Actual v. Forecasted</t>
  </si>
  <si>
    <t>1. Inverter 3.1 tripped offline at 9 CST on 12/27/24 due to an arc fault. On 02/26, the technician reconfigured the IP on the vCluster controller to regain access. Upon inspection, it was found that all 15A fuses on the negative side and one on the positive side were blown and need to be replaced.
2.Inverter 1.7 was offline on 02/15 due to Insulation resistance fault and back online on 02/16. From 02/23 to 02/26 Inverter was offline daily between 7:00 to 13:00 due to Insulation resistance fault.
3. Actual Energy is the combination of Both MAC -Phase 1 and MAC Phase 2</t>
  </si>
  <si>
    <t>1.SR094282, SR096592
2.SR097147</t>
  </si>
  <si>
    <t>SR096592</t>
  </si>
  <si>
    <t>SR097147</t>
  </si>
  <si>
    <t>March Actual v. Expected</t>
  </si>
  <si>
    <t>March Actual v. Forecasted</t>
  </si>
  <si>
    <t>1.Inverter 3.1 was  offline from  09:00 AM on 12/27/24 due to electric arc fault. Fuse holder is being RMA’d from 03/11.
2.Inverter 3.12 tripped at 6:00 PM CDT on 03/24/25 reporting an interference device. On 03/31, a technician visited the site and mentioned that further troubleshooting is required, including access to the front of the inverter for further evaluation. 
3. Actual Energy is the combination of Both MAC -Phase 1 and MAC Phase 2</t>
  </si>
  <si>
    <t>1.SR096592
2.SR098967</t>
  </si>
  <si>
    <t>SR098967</t>
  </si>
  <si>
    <t xml:space="preserve"> </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</si>
  <si>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</si>
  <si>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</si>
  <si>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</si>
  <si>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</si>
  <si>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</si>
  <si>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</si>
  <si>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</si>
  <si>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</si>
  <si>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</si>
  <si>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</si>
  <si>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</si>
  <si>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</si>
  <si>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</si>
  <si>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</si>
  <si>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</si>
  <si>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</si>
  <si>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</si>
  <si>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</si>
  <si>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</si>
  <si>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MAC Phase I</t>
  </si>
  <si>
    <t>Site DAS Name</t>
  </si>
  <si>
    <t>Update</t>
  </si>
  <si>
    <t>DAS</t>
  </si>
  <si>
    <t>MAC</t>
  </si>
  <si>
    <t>MAC - Phase 1</t>
  </si>
  <si>
    <t>MN</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</si>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</sst>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2">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0" fontId="34" fillId="40" borderId="0" xfId="0" applyFont="1" applyFill="1" applyAlignment="1">
      <alignment horizontal="center" vertical="center"/>
    </xf>
    <xf numFmtId="4" fontId="32" fillId="0" borderId="0" xfId="0" applyNumberFormat="1" applyFont="1"/>
    <xf numFmtId="0" fontId="34" fillId="40" borderId="0" xfId="0" applyFont="1" applyFill="1" applyAlignment="1">
      <alignment horizontal="left" vertical="center"/>
    </xf>
    <xf numFmtId="49" fontId="35" fillId="38" borderId="0" xfId="45" applyNumberFormat="1" applyFill="1" applyBorder="1" applyAlignment="1">
      <alignment horizontal="left" vertical="top" wrapText="1"/>
    </xf>
    <xf numFmtId="0" fontId="35" fillId="0" borderId="0" xfId="45"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47" TargetMode="External"/><Relationship Id="rId2" Type="http://schemas.openxmlformats.org/officeDocument/2006/relationships/hyperlink" Target="https://us3.assetplanner.com/service_request?ID=096592" TargetMode="External"/><Relationship Id="rId1" Type="http://schemas.openxmlformats.org/officeDocument/2006/relationships/hyperlink" Target="https://us3.assetplanner.com/service_request?ID=094282"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967" TargetMode="External"/><Relationship Id="rId1" Type="http://schemas.openxmlformats.org/officeDocument/2006/relationships/hyperlink" Target="https://us3.assetplanner.com/service_request?ID=09659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1"/>
  <sheetViews>
    <sheetView workbookViewId="0">
      <pane ySplit="2" topLeftCell="A3" activePane="bottomLeft" state="frozen"/>
      <selection pane="bottomLeft" activeCell="A3" sqref="A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MAC Phase I</v>
      </c>
      <c r="B1" s="49"/>
      <c r="C1" s="49"/>
      <c r="D1" s="50" t="s">
        <v>0</v>
      </c>
      <c r="E1" s="50"/>
      <c r="F1" s="50"/>
      <c r="G1" s="48" t="s">
        <v>1</v>
      </c>
      <c r="H1" s="48"/>
      <c r="I1" s="48"/>
    </row>
    <row r="2" spans="1:9" ht="19.5" customHeight="1">
      <c r="A2" s="51" t="s">
        <v>2</v>
      </c>
      <c r="B2" s="51"/>
      <c r="C2" s="6">
        <f>SUM(C4:C89)</f>
        <v>557750</v>
      </c>
      <c r="D2" s="6">
        <f>SUM(D4:D89)</f>
        <v>205548.08899999998</v>
      </c>
      <c r="E2" s="6">
        <f>C2-D2</f>
        <v>352201.91100000002</v>
      </c>
      <c r="F2" s="7">
        <f>IFERROR(E2/D2, 0)</f>
        <v>1.7134769421281268</v>
      </c>
      <c r="G2" s="6">
        <f>SUM(G4:G89)</f>
        <v>264890.57699999999</v>
      </c>
      <c r="H2" s="8">
        <f>C2-G2</f>
        <v>292859.42300000001</v>
      </c>
      <c r="I2" s="7">
        <f>IFERROR(H2/G2, 0)</f>
        <v>1.1055864135174578</v>
      </c>
    </row>
    <row r="3" spans="1:9" ht="14.25" customHeight="1">
      <c r="A3" s="9" t="s">
        <v>3</v>
      </c>
      <c r="B3" s="9" t="s">
        <v>4</v>
      </c>
      <c r="C3" s="25" t="s">
        <v>5</v>
      </c>
      <c r="D3" s="37" t="s">
        <v>6</v>
      </c>
      <c r="E3" s="37" t="s">
        <v>7</v>
      </c>
      <c r="F3" s="38" t="s">
        <v>8</v>
      </c>
      <c r="G3" s="39" t="s">
        <v>9</v>
      </c>
      <c r="H3" s="40" t="s">
        <v>7</v>
      </c>
      <c r="I3" s="41" t="s">
        <v>8</v>
      </c>
    </row>
    <row r="4" spans="1:9" ht="15.6">
      <c r="A4" s="13" t="str" cm="1">
        <f t="array" ref="A4">Sites[Site]</f>
        <v>MAC - Phase 1</v>
      </c>
      <c r="B4" s="10" t="str" cm="1">
        <f t="array" ref="B4">Sites[State]</f>
        <v>MN</v>
      </c>
      <c r="C4" s="26">
        <f>SUM('1st Qtr'!C4, '2nd Qtr'!C4, '3rd Qtr'!C4, '4th Qtr'!C4)</f>
        <v>557750</v>
      </c>
      <c r="D4" s="14">
        <f>SUM('1st Qtr'!D4, '2nd Qtr'!D4, '3rd Qtr'!D4, '4th Qtr'!D4)</f>
        <v>205548.08899999998</v>
      </c>
      <c r="E4" s="14">
        <f>IF(AND(ISNUMBER(C4),ISNUMBER(D4)), C4-D4, "")</f>
        <v>352201.91100000002</v>
      </c>
      <c r="F4" s="15">
        <f>IFERROR(E4/D4, 0)</f>
        <v>1.7134769421281268</v>
      </c>
      <c r="G4" s="16">
        <f>SUM('1st Qtr'!G4,'2nd Qtr'!G4,'3rd Qtr'!G4,'4th Qtr'!G4)</f>
        <v>264890.57699999999</v>
      </c>
      <c r="H4" s="16">
        <f>SUM('1st Qtr'!H4, '2nd Qtr'!H4, '3rd Qtr'!H4, '4th Qtr'!H4)</f>
        <v>292859.42299999995</v>
      </c>
      <c r="I4" s="17">
        <f>IFERROR(H4/G4, 0)</f>
        <v>1.1055864135174576</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autoFilter ref="A2:I2" xr:uid="{D5C25034-9971-4A61-864F-C938F31EB1B8}"/>
  <mergeCells count="4">
    <mergeCell ref="G1:I1"/>
    <mergeCell ref="A1:C1"/>
    <mergeCell ref="D1:F1"/>
    <mergeCell ref="A2:B2"/>
  </mergeCells>
  <conditionalFormatting sqref="F2 I2 F4:F89 I4:I8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1"/>
  <sheetViews>
    <sheetView workbookViewId="0">
      <pane ySplit="2" topLeftCell="A3" activePane="bottomLeft" state="frozen"/>
      <selection pane="bottomLeft" activeCell="A3" sqref="A3"/>
      <selection activeCell="E22" sqref="E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MAC Phase I</v>
      </c>
      <c r="B1" s="49"/>
      <c r="C1" s="49"/>
      <c r="D1" s="50" t="s">
        <v>10</v>
      </c>
      <c r="E1" s="50"/>
      <c r="F1" s="50"/>
      <c r="G1" s="48" t="s">
        <v>11</v>
      </c>
      <c r="H1" s="48"/>
      <c r="I1" s="48"/>
    </row>
    <row r="2" spans="1:9" ht="19.5" customHeight="1">
      <c r="A2" s="51" t="s">
        <v>2</v>
      </c>
      <c r="B2" s="51"/>
      <c r="C2" s="6">
        <f>SUM(C4:C89)</f>
        <v>557750</v>
      </c>
      <c r="D2" s="6">
        <f>SUM(D4:D89)</f>
        <v>205548.08899999998</v>
      </c>
      <c r="E2" s="6">
        <f>C2-D2</f>
        <v>352201.91100000002</v>
      </c>
      <c r="F2" s="7">
        <f>IFERROR(E2/D2, 0)</f>
        <v>1.7134769421281268</v>
      </c>
      <c r="G2" s="6">
        <f>SUM(G4:G89)</f>
        <v>264890.57699999999</v>
      </c>
      <c r="H2" s="8">
        <f>C2-G2</f>
        <v>292859.42300000001</v>
      </c>
      <c r="I2" s="7">
        <f>IFERROR(H2/G2, 0)</f>
        <v>1.1055864135174578</v>
      </c>
    </row>
    <row r="3" spans="1:9" ht="14.25" customHeight="1">
      <c r="A3" s="9" t="s">
        <v>3</v>
      </c>
      <c r="B3" s="9" t="s">
        <v>4</v>
      </c>
      <c r="C3" s="25" t="s">
        <v>5</v>
      </c>
      <c r="D3" s="37" t="s">
        <v>6</v>
      </c>
      <c r="E3" s="37" t="s">
        <v>7</v>
      </c>
      <c r="F3" s="38" t="s">
        <v>8</v>
      </c>
      <c r="G3" s="39" t="s">
        <v>9</v>
      </c>
      <c r="H3" s="40" t="s">
        <v>7</v>
      </c>
      <c r="I3" s="41" t="s">
        <v>8</v>
      </c>
    </row>
    <row r="4" spans="1:9" ht="15.6">
      <c r="A4" s="13" t="str" cm="1">
        <f t="array" ref="A4">Sites[Site]</f>
        <v>MAC - Phase 1</v>
      </c>
      <c r="B4" s="10" t="str" cm="1">
        <f t="array" ref="B4">Sites[State]</f>
        <v>MN</v>
      </c>
      <c r="C4" s="26">
        <f>SUM(Jan!C4, Feb!C4, Mar!C4)</f>
        <v>557750</v>
      </c>
      <c r="D4" s="14">
        <f>SUM(Jan!D4, Feb!D4, Mar!D4)</f>
        <v>205548.08899999998</v>
      </c>
      <c r="E4" s="14">
        <f>IF(AND(ISNUMBER(C4),ISNUMBER(D4)), C4-D4, "")</f>
        <v>352201.91100000002</v>
      </c>
      <c r="F4" s="15">
        <f>IFERROR(E4/D4, 0)</f>
        <v>1.7134769421281268</v>
      </c>
      <c r="G4" s="16">
        <f>SUM(Jan!G4, Feb!G4, Mar!G4)</f>
        <v>264890.57699999999</v>
      </c>
      <c r="H4" s="16">
        <f>SUM(Jan!H4, Feb!H4, Mar!H4)</f>
        <v>292859.42299999995</v>
      </c>
      <c r="I4" s="17">
        <f>IFERROR(H4/G4, 0)</f>
        <v>1.1055864135174576</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3">
    <sortCondition ref="A3"/>
  </sortState>
  <mergeCells count="4">
    <mergeCell ref="G1:I1"/>
    <mergeCell ref="A1:C1"/>
    <mergeCell ref="D1:F1"/>
    <mergeCell ref="A2:B2"/>
  </mergeCells>
  <conditionalFormatting sqref="F2 I2 F4:F89 I4:I8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1"/>
  <sheetViews>
    <sheetView workbookViewId="0">
      <pane ySplit="2" topLeftCell="A3" activePane="bottomLeft" state="frozen"/>
      <selection pane="bottomLeft" activeCell="G4" sqref="G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MAC Phase I</v>
      </c>
      <c r="B1" s="49"/>
      <c r="C1" s="49"/>
      <c r="D1" s="50" t="s">
        <v>12</v>
      </c>
      <c r="E1" s="50"/>
      <c r="F1" s="50"/>
      <c r="G1" s="48" t="s">
        <v>13</v>
      </c>
      <c r="H1" s="48"/>
      <c r="I1" s="48"/>
    </row>
    <row r="2" spans="1:9" ht="19.5" customHeight="1">
      <c r="A2" s="51" t="s">
        <v>2</v>
      </c>
      <c r="B2" s="51"/>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Sites[Site]</f>
        <v>MAC - Phase 1</v>
      </c>
      <c r="B4" s="10" t="str" cm="1">
        <f t="array" ref="B4">Sites[State]</f>
        <v>MN</v>
      </c>
      <c r="C4" s="26">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4">
    <sortCondition ref="A3:A4"/>
  </sortState>
  <mergeCells count="4">
    <mergeCell ref="G1:I1"/>
    <mergeCell ref="A1:C1"/>
    <mergeCell ref="D1:F1"/>
    <mergeCell ref="A2:B2"/>
  </mergeCells>
  <conditionalFormatting sqref="F2 I2 F4:F89 I4:I8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1"/>
  <sheetViews>
    <sheetView workbookViewId="0">
      <pane ySplit="2" topLeftCell="A3" activePane="bottomLeft" state="frozen"/>
      <selection pane="bottomLeft" activeCell="F16" sqref="F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MAC Phase I</v>
      </c>
      <c r="B1" s="49"/>
      <c r="C1" s="49"/>
      <c r="D1" s="50" t="s">
        <v>14</v>
      </c>
      <c r="E1" s="50"/>
      <c r="F1" s="50"/>
      <c r="G1" s="48" t="s">
        <v>15</v>
      </c>
      <c r="H1" s="48"/>
      <c r="I1" s="48"/>
    </row>
    <row r="2" spans="1:9" ht="19.5" customHeight="1">
      <c r="A2" s="51" t="s">
        <v>2</v>
      </c>
      <c r="B2" s="51"/>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Sites[Site]</f>
        <v>MAC - Phase 1</v>
      </c>
      <c r="B4" s="10" t="str" cm="1">
        <f t="array" ref="B4">Sites[State]</f>
        <v>MN</v>
      </c>
      <c r="C4" s="26">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1"/>
  <sheetViews>
    <sheetView workbookViewId="0">
      <pane ySplit="2" topLeftCell="A3" activePane="bottomLeft" state="frozen"/>
      <selection pane="bottomLeft" activeCell="I4" sqref="I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MAC Phase I</v>
      </c>
      <c r="B1" s="49"/>
      <c r="C1" s="49"/>
      <c r="D1" s="50" t="s">
        <v>16</v>
      </c>
      <c r="E1" s="50"/>
      <c r="F1" s="50"/>
      <c r="G1" s="48" t="s">
        <v>17</v>
      </c>
      <c r="H1" s="48"/>
      <c r="I1" s="48"/>
    </row>
    <row r="2" spans="1:9" ht="19.5" customHeight="1">
      <c r="A2" s="51" t="s">
        <v>2</v>
      </c>
      <c r="B2" s="51"/>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Sites[Site]</f>
        <v>MAC - Phase 1</v>
      </c>
      <c r="B4" s="10" t="str" cm="1">
        <f t="array" ref="B4">Sites[State]</f>
        <v>MN</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1"/>
  <sheetViews>
    <sheetView topLeftCell="D1" workbookViewId="0">
      <pane ySplit="3" topLeftCell="A4" activePane="bottomLeft" state="frozen"/>
      <selection pane="bottomLeft" activeCell="E13" sqref="E13"/>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18</v>
      </c>
      <c r="E1" s="50"/>
      <c r="F1" s="50"/>
      <c r="G1" s="48" t="s">
        <v>19</v>
      </c>
      <c r="H1" s="48"/>
      <c r="I1" s="48"/>
      <c r="J1" s="5"/>
      <c r="K1" s="5"/>
    </row>
    <row r="2" spans="1:11" ht="19.5" customHeight="1">
      <c r="A2" s="51" t="s">
        <v>2</v>
      </c>
      <c r="B2" s="51"/>
      <c r="C2" s="6">
        <f>SUM(C4:C89)</f>
        <v>127800</v>
      </c>
      <c r="D2" s="6">
        <f>SUM(D4:D89)</f>
        <v>43735.538</v>
      </c>
      <c r="E2" s="6">
        <f>C2-D2</f>
        <v>84064.462</v>
      </c>
      <c r="F2" s="7">
        <f>IFERROR(E2/D2, 0)</f>
        <v>1.9221087894242892</v>
      </c>
      <c r="G2" s="6">
        <f>SUM(G4:G89)</f>
        <v>62344.347000000002</v>
      </c>
      <c r="H2" s="8">
        <f>C2-G2</f>
        <v>65455.652999999998</v>
      </c>
      <c r="I2" s="7">
        <f>IFERROR(H2/G2, 0)</f>
        <v>1.0499051822613523</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7" t="s">
        <v>6</v>
      </c>
      <c r="E3" s="37" t="s">
        <v>7</v>
      </c>
      <c r="F3" s="38" t="s">
        <v>8</v>
      </c>
      <c r="G3" s="42" t="s">
        <v>9</v>
      </c>
      <c r="H3" s="40" t="s">
        <v>7</v>
      </c>
      <c r="I3" s="41" t="s">
        <v>8</v>
      </c>
      <c r="J3" s="27" t="s">
        <v>20</v>
      </c>
      <c r="K3" s="27" t="s">
        <v>21</v>
      </c>
    </row>
    <row r="4" spans="1:11" ht="57.6">
      <c r="A4" s="45" t="str" cm="1">
        <f t="array" ref="A4">Sites[Site]</f>
        <v>MAC - Phase 1</v>
      </c>
      <c r="B4" s="30" t="str" cm="1">
        <f t="array" ref="B4">Sites[State]</f>
        <v>MN</v>
      </c>
      <c r="C4" s="26">
        <v>127800</v>
      </c>
      <c r="D4" s="14">
        <v>43735.538</v>
      </c>
      <c r="E4" s="14">
        <f>IF(AND(ISNUMBER(C4),ISNUMBER(D4)), C4-D4, "")</f>
        <v>84064.462</v>
      </c>
      <c r="F4" s="15">
        <f>IFERROR(E4/D4, 0)</f>
        <v>1.9221087894242892</v>
      </c>
      <c r="G4" s="16">
        <v>62344.347000000002</v>
      </c>
      <c r="H4" s="16">
        <f>IF(AND(ISNUMBER(C4),ISNUMBER(G4)), C4-G4, "")</f>
        <v>65455.652999999998</v>
      </c>
      <c r="I4" s="17">
        <f>IFERROR(H4/G4, 0)</f>
        <v>1.0499051822613523</v>
      </c>
      <c r="J4" s="18" t="s">
        <v>22</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t="str">
        <f t="shared" ref="E6" si="4">IF(AND(ISNUMBER(C6),ISNUMBER(D6)), C6-D6, "")</f>
        <v/>
      </c>
      <c r="F6" s="23" t="str">
        <f t="shared" ref="F6" si="5">IFERROR(E6/D6, "")</f>
        <v/>
      </c>
      <c r="G6" s="23"/>
      <c r="H6" s="23" t="str">
        <f t="shared" ref="H6" si="6">IF(AND(ISNUMBER(C6),ISNUMBER(G6)), C6-G6, "")</f>
        <v/>
      </c>
      <c r="I6" s="23" t="str">
        <f t="shared" ref="I6" si="7">IFERROR(H6/G6, "")</f>
        <v/>
      </c>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44"/>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sheetData>
  <mergeCells count="4">
    <mergeCell ref="D1:F1"/>
    <mergeCell ref="A1:C1"/>
    <mergeCell ref="G1:I1"/>
    <mergeCell ref="A2:B2"/>
  </mergeCells>
  <conditionalFormatting sqref="F2 I2 F4:F89 I4:I89">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2"/>
  <sheetViews>
    <sheetView topLeftCell="E1" workbookViewId="0">
      <pane ySplit="2" topLeftCell="A3" activePane="bottomLeft" state="frozen"/>
      <selection pane="bottomLeft" activeCell="L8" sqref="L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49" t="str" cm="1">
        <f t="array" ref="A1">portfolio</f>
        <v>MAC Phase I</v>
      </c>
      <c r="B1" s="49"/>
      <c r="C1" s="49"/>
      <c r="D1" s="50" t="s">
        <v>24</v>
      </c>
      <c r="E1" s="50"/>
      <c r="F1" s="50"/>
      <c r="G1" s="48" t="s">
        <v>25</v>
      </c>
      <c r="H1" s="48"/>
      <c r="I1" s="48"/>
      <c r="J1" s="5"/>
      <c r="K1" s="5"/>
    </row>
    <row r="2" spans="1:13" ht="19.5" customHeight="1">
      <c r="A2" s="51" t="s">
        <v>2</v>
      </c>
      <c r="B2" s="51"/>
      <c r="C2" s="6">
        <f>SUM(C4:C90)</f>
        <v>155800</v>
      </c>
      <c r="D2" s="6">
        <f>SUM(D4:D90)</f>
        <v>64556.828999999998</v>
      </c>
      <c r="E2" s="6">
        <f>C2-D2</f>
        <v>91243.171000000002</v>
      </c>
      <c r="F2" s="7">
        <f>IFERROR(E2/D2, 0)</f>
        <v>1.4133775219969371</v>
      </c>
      <c r="G2" s="6">
        <f>SUM(G4:G90)</f>
        <v>83139.426999999996</v>
      </c>
      <c r="H2" s="8">
        <f>C2-G2</f>
        <v>72660.573000000004</v>
      </c>
      <c r="I2" s="7">
        <f>IFERROR(H2/G2, 0)</f>
        <v>0.87396047365108742</v>
      </c>
      <c r="J2" s="28" t="str">
        <f ca="1">IF(AND(TODAY()&gt;DATE(2024, 2, 1), COUNTA(Sites[Site])&lt;&gt;(COUNT(C:C)-1)), "Some sites are missing actual data; if new sites were added, make sure they are aligned correctly (including prior months!)", "")</f>
        <v/>
      </c>
      <c r="K2" s="5"/>
    </row>
    <row r="3" spans="1:13" ht="14.25" customHeight="1">
      <c r="A3" s="9" t="s">
        <v>3</v>
      </c>
      <c r="B3" s="9" t="s">
        <v>4</v>
      </c>
      <c r="C3" s="25" t="s">
        <v>5</v>
      </c>
      <c r="D3" s="37" t="s">
        <v>6</v>
      </c>
      <c r="E3" s="37" t="s">
        <v>7</v>
      </c>
      <c r="F3" s="38" t="s">
        <v>8</v>
      </c>
      <c r="G3" s="39" t="s">
        <v>9</v>
      </c>
      <c r="H3" s="40" t="s">
        <v>7</v>
      </c>
      <c r="I3" s="41" t="s">
        <v>8</v>
      </c>
      <c r="J3" s="27" t="s">
        <v>20</v>
      </c>
      <c r="K3" s="27" t="s">
        <v>21</v>
      </c>
    </row>
    <row r="4" spans="1:13" ht="115.15">
      <c r="A4" s="43" t="str" cm="1">
        <f t="array" ref="A4">Sites[Site]</f>
        <v>MAC - Phase 1</v>
      </c>
      <c r="B4" s="30" t="str" cm="1">
        <f t="array" ref="B4">Sites[State]</f>
        <v>MN</v>
      </c>
      <c r="C4" s="26">
        <v>155800</v>
      </c>
      <c r="D4" s="14">
        <v>64556.828999999998</v>
      </c>
      <c r="E4" s="14">
        <f>IF(AND(ISNUMBER(C4),ISNUMBER(D4)), C4-D4, "")</f>
        <v>91243.171000000002</v>
      </c>
      <c r="F4" s="15">
        <f>IFERROR(E4/D4, "")</f>
        <v>1.4133775219969371</v>
      </c>
      <c r="G4" s="16">
        <v>83139.426999999996</v>
      </c>
      <c r="H4" s="16">
        <f>IF(AND(ISNUMBER(C4),ISNUMBER(G4)), C4-G4, "")</f>
        <v>72660.573000000004</v>
      </c>
      <c r="I4" s="17">
        <f>IFERROR(H4/G4, "")</f>
        <v>0.87396047365108742</v>
      </c>
      <c r="J4" s="18" t="s">
        <v>26</v>
      </c>
      <c r="K4" s="46" t="s">
        <v>27</v>
      </c>
      <c r="L4" s="47" t="s">
        <v>28</v>
      </c>
      <c r="M4" s="47" t="s">
        <v>29</v>
      </c>
    </row>
    <row r="5" spans="1:13"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3" ht="14.45">
      <c r="A6" s="23"/>
      <c r="B6" s="34"/>
      <c r="C6" s="23"/>
      <c r="D6" s="23"/>
      <c r="E6" s="23"/>
      <c r="F6" s="23"/>
      <c r="G6" s="23"/>
      <c r="H6" s="23"/>
      <c r="I6" s="23"/>
      <c r="J6" s="23"/>
      <c r="K6" s="23"/>
    </row>
    <row r="7" spans="1:13" ht="14.45">
      <c r="A7" s="23"/>
      <c r="B7" s="34"/>
      <c r="C7" s="23"/>
      <c r="D7" s="23"/>
      <c r="E7" s="23"/>
      <c r="F7" s="23"/>
      <c r="G7" s="23"/>
      <c r="H7" s="23"/>
      <c r="I7" s="23"/>
      <c r="J7" s="23"/>
      <c r="K7" s="23"/>
    </row>
    <row r="8" spans="1:13" ht="12.75" customHeight="1">
      <c r="A8" s="23"/>
      <c r="B8" s="34"/>
      <c r="C8" s="23"/>
      <c r="D8" s="23"/>
      <c r="E8" s="23"/>
      <c r="F8" s="23"/>
      <c r="G8" s="23"/>
      <c r="H8" s="23"/>
      <c r="I8" s="23"/>
      <c r="J8" s="23"/>
      <c r="K8" s="23"/>
    </row>
    <row r="9" spans="1:13" ht="14.45">
      <c r="A9" s="23"/>
      <c r="B9" s="34"/>
      <c r="C9" s="23"/>
      <c r="D9" s="23"/>
      <c r="E9" s="23"/>
      <c r="F9" s="23"/>
      <c r="G9" s="23"/>
      <c r="H9" s="23"/>
      <c r="I9" s="23"/>
      <c r="J9" s="23"/>
      <c r="K9" s="23"/>
    </row>
    <row r="10" spans="1:13" ht="14.45">
      <c r="A10" s="23"/>
      <c r="B10" s="34"/>
      <c r="C10" s="23"/>
      <c r="D10" s="23"/>
      <c r="E10" s="23"/>
      <c r="F10" s="23"/>
      <c r="G10" s="23"/>
      <c r="H10" s="23"/>
      <c r="I10" s="23"/>
      <c r="J10" s="23"/>
      <c r="K10" s="23"/>
    </row>
    <row r="11" spans="1:13" ht="14.45">
      <c r="A11" s="23"/>
      <c r="B11" s="34"/>
      <c r="C11" s="23"/>
      <c r="D11" s="23"/>
      <c r="E11" s="23"/>
      <c r="F11" s="23"/>
      <c r="G11" s="23"/>
      <c r="H11" s="23"/>
      <c r="I11" s="23"/>
      <c r="J11" s="23"/>
      <c r="K11" s="23"/>
    </row>
    <row r="12" spans="1:13" ht="14.45">
      <c r="A12" s="23"/>
      <c r="B12" s="34"/>
      <c r="C12" s="23"/>
      <c r="D12" s="23"/>
      <c r="E12" s="23"/>
      <c r="F12" s="23"/>
      <c r="G12" s="23"/>
      <c r="H12" s="23"/>
      <c r="I12" s="23"/>
      <c r="J12" s="23"/>
      <c r="K12" s="23"/>
    </row>
    <row r="13" spans="1:13" ht="14.45">
      <c r="A13" s="23"/>
      <c r="B13" s="34"/>
      <c r="C13" s="23"/>
      <c r="D13" s="23"/>
      <c r="E13" s="23"/>
      <c r="F13" s="23"/>
      <c r="G13" s="23"/>
      <c r="H13" s="23"/>
      <c r="I13" s="23"/>
      <c r="J13" s="23"/>
      <c r="K13" s="23"/>
    </row>
    <row r="14" spans="1:13" ht="14.45">
      <c r="A14" s="23"/>
      <c r="B14" s="34"/>
      <c r="C14" s="23"/>
      <c r="D14" s="23"/>
      <c r="E14" s="23"/>
      <c r="F14" s="23"/>
      <c r="G14" s="23"/>
      <c r="H14" s="23"/>
      <c r="I14" s="23"/>
      <c r="J14" s="23"/>
      <c r="K14" s="23"/>
    </row>
    <row r="15" spans="1:13" ht="14.45">
      <c r="A15" s="23"/>
      <c r="B15" s="34"/>
      <c r="C15" s="23"/>
      <c r="D15" s="23"/>
      <c r="E15" s="23"/>
      <c r="F15" s="23"/>
      <c r="G15" s="23"/>
      <c r="H15" s="23"/>
      <c r="I15" s="23"/>
      <c r="J15" s="23"/>
      <c r="K15" s="23"/>
    </row>
    <row r="16" spans="1:13"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4282" xr:uid="{58C0304F-C63E-48C0-A7F8-8343C8E284D1}"/>
    <hyperlink ref="L4" r:id="rId2" display="https://us3.assetplanner.com/service_request?ID=096592" xr:uid="{FEEA4E6A-52EC-42CD-B070-849A7239AD44}"/>
    <hyperlink ref="M4" r:id="rId3" display="https://us3.assetplanner.com/service_request?ID=097147" xr:uid="{3FB94246-BC56-449B-BDDE-C628B4BD2929}"/>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32"/>
  <sheetViews>
    <sheetView tabSelected="1" zoomScale="80" zoomScaleNormal="80" workbookViewId="0">
      <pane ySplit="2" topLeftCell="A3" activePane="bottomLeft" state="frozen"/>
      <selection pane="bottomLeft" activeCell="J9" sqref="J9"/>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49" t="str" cm="1">
        <f t="array" ref="A1">portfolio</f>
        <v>MAC Phase I</v>
      </c>
      <c r="B1" s="49"/>
      <c r="C1" s="49"/>
      <c r="D1" s="50" t="s">
        <v>30</v>
      </c>
      <c r="E1" s="50"/>
      <c r="F1" s="50"/>
      <c r="G1" s="48" t="s">
        <v>31</v>
      </c>
      <c r="H1" s="48"/>
      <c r="I1" s="48"/>
      <c r="J1" s="5"/>
      <c r="K1" s="5"/>
    </row>
    <row r="2" spans="1:12" ht="19.5" customHeight="1">
      <c r="A2" s="51" t="s">
        <v>2</v>
      </c>
      <c r="B2" s="51"/>
      <c r="C2" s="6">
        <f>SUM(C4:C90)</f>
        <v>274150</v>
      </c>
      <c r="D2" s="6">
        <f>SUM(D4:D90)</f>
        <v>97255.721999999994</v>
      </c>
      <c r="E2" s="6">
        <f>C2-D2</f>
        <v>176894.27799999999</v>
      </c>
      <c r="F2" s="7">
        <f>IFERROR(E2/D2, 0)</f>
        <v>1.8188572801916991</v>
      </c>
      <c r="G2" s="6">
        <f>SUM(G4:G90)</f>
        <v>119406.803</v>
      </c>
      <c r="H2" s="8">
        <f>C2-G2</f>
        <v>154743.19699999999</v>
      </c>
      <c r="I2" s="7">
        <f>IFERROR(H2/G2, 0)</f>
        <v>1.2959328372605368</v>
      </c>
      <c r="J2" s="28" t="str">
        <f ca="1">IF(AND(TODAY()&gt;DATE(2024, 3, 1), COUNTA(Sites[Site])&lt;&gt;(COUNT(C:C)-1)), "Some sites are missing actual data; if new sites were added, make sure they are aligned correctly (including prior months!)", "")</f>
        <v/>
      </c>
      <c r="K2" s="5"/>
    </row>
    <row r="3" spans="1:12" ht="14.25" customHeight="1">
      <c r="A3" s="9" t="s">
        <v>3</v>
      </c>
      <c r="B3" s="9" t="s">
        <v>4</v>
      </c>
      <c r="C3" s="25" t="s">
        <v>5</v>
      </c>
      <c r="D3" s="37" t="s">
        <v>6</v>
      </c>
      <c r="E3" s="37" t="s">
        <v>7</v>
      </c>
      <c r="F3" s="38" t="s">
        <v>8</v>
      </c>
      <c r="G3" s="39" t="s">
        <v>9</v>
      </c>
      <c r="H3" s="40" t="s">
        <v>7</v>
      </c>
      <c r="I3" s="41" t="s">
        <v>8</v>
      </c>
      <c r="J3" s="27" t="s">
        <v>20</v>
      </c>
      <c r="K3" s="27" t="s">
        <v>21</v>
      </c>
    </row>
    <row r="4" spans="1:12" ht="100.9">
      <c r="A4" s="43" t="str" cm="1">
        <f t="array" ref="A4">Sites[Site]</f>
        <v>MAC - Phase 1</v>
      </c>
      <c r="B4" s="30" t="str" cm="1">
        <f t="array" ref="B4">Sites[State]</f>
        <v>MN</v>
      </c>
      <c r="C4" s="26">
        <v>274150</v>
      </c>
      <c r="D4" s="14">
        <v>97255.721999999994</v>
      </c>
      <c r="E4" s="14">
        <f>IF(AND(ISNUMBER(C4),ISNUMBER(D4)), C4-D4, "")</f>
        <v>176894.27799999999</v>
      </c>
      <c r="F4" s="15">
        <f>IFERROR(E4/D4, "")</f>
        <v>1.8188572801916991</v>
      </c>
      <c r="G4" s="16">
        <v>119406.803</v>
      </c>
      <c r="H4" s="16">
        <f>IF(AND(ISNUMBER(C4),ISNUMBER(G4)), C4-G4, "")</f>
        <v>154743.19699999999</v>
      </c>
      <c r="I4" s="17">
        <f>IFERROR(H4/G4, "")</f>
        <v>1.2959328372605368</v>
      </c>
      <c r="J4" s="18" t="s">
        <v>32</v>
      </c>
      <c r="K4" s="46" t="s">
        <v>33</v>
      </c>
      <c r="L4" s="47" t="s">
        <v>34</v>
      </c>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t="s">
        <v>35</v>
      </c>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hyperlinks>
    <hyperlink ref="K4" r:id="rId1" display="https://us3.assetplanner.com/service_request?ID=096592" xr:uid="{2214A39D-2CF7-4B73-AB74-C73740F8C2C9}"/>
    <hyperlink ref="L4" r:id="rId2" display="https://us3.assetplanner.com/service_request?ID=098967" xr:uid="{A035BA8D-2080-45F6-88A1-ADD3AEE7C77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zoomScale="80" zoomScaleNormal="80" workbookViewId="0">
      <pane ySplit="2" topLeftCell="A3" activePane="bottomLeft" state="frozen"/>
      <selection pane="bottomLeft" activeCell="A3" sqref="A3"/>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36</v>
      </c>
      <c r="E1" s="50"/>
      <c r="F1" s="50"/>
      <c r="G1" s="48" t="s">
        <v>37</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38</v>
      </c>
      <c r="E1" s="50"/>
      <c r="F1" s="50"/>
      <c r="G1" s="48" t="s">
        <v>39</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80" zoomScaleNormal="8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40</v>
      </c>
      <c r="E1" s="50"/>
      <c r="F1" s="50"/>
      <c r="G1" s="48" t="s">
        <v>41</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63" customHeight="1">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42</v>
      </c>
      <c r="E1" s="50"/>
      <c r="F1" s="50"/>
      <c r="G1" s="48" t="s">
        <v>43</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2"/>
  <sheetViews>
    <sheetView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44</v>
      </c>
      <c r="E1" s="50"/>
      <c r="F1" s="50"/>
      <c r="G1" s="48" t="s">
        <v>45</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topLeftCell="B1" zoomScale="90" zoomScaleNormal="9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46</v>
      </c>
      <c r="E1" s="50"/>
      <c r="F1" s="50"/>
      <c r="G1" s="48" t="s">
        <v>47</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64.5" customHeight="1">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70" zoomScaleNormal="7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48</v>
      </c>
      <c r="E1" s="50"/>
      <c r="F1" s="50"/>
      <c r="G1" s="48" t="s">
        <v>49</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08" customHeight="1">
      <c r="A4" s="4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80" zoomScaleNormal="8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50</v>
      </c>
      <c r="E1" s="50"/>
      <c r="F1" s="50"/>
      <c r="G1" s="48" t="s">
        <v>51</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80" zoomScaleNormal="80" workbookViewId="0">
      <pane ySplit="2" topLeftCell="A3" activePane="bottomLeft" state="frozen"/>
      <selection pane="bottomLeft" activeCell="J18" sqref="J18"/>
      <selection activeCell="J18" sqref="J1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MAC Phase I</v>
      </c>
      <c r="B1" s="49"/>
      <c r="C1" s="49"/>
      <c r="D1" s="50" t="s">
        <v>52</v>
      </c>
      <c r="E1" s="50"/>
      <c r="F1" s="50"/>
      <c r="G1" s="48" t="s">
        <v>53</v>
      </c>
      <c r="H1" s="48"/>
      <c r="I1" s="48"/>
      <c r="J1" s="5"/>
      <c r="K1" s="5"/>
    </row>
    <row r="2" spans="1:11" ht="19.5" customHeight="1">
      <c r="A2" s="51" t="s">
        <v>2</v>
      </c>
      <c r="B2" s="51"/>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75" customHeight="1">
      <c r="A4" s="33" t="str" cm="1">
        <f t="array" ref="A4">Sites[Site]</f>
        <v>MAC - Phase 1</v>
      </c>
      <c r="B4" s="30" t="str" cm="1">
        <f t="array" ref="B4">Sites[State]</f>
        <v>MN</v>
      </c>
      <c r="C4" s="26"/>
      <c r="D4" s="14"/>
      <c r="E4" s="14" t="str">
        <f>IF(AND(ISNUMBER(C4),ISNUMBER(D4)), C4-D4, "")</f>
        <v/>
      </c>
      <c r="F4" s="15" t="str">
        <f>IFERROR(E4/D4, "")</f>
        <v/>
      </c>
      <c r="G4" s="16"/>
      <c r="H4" s="16" t="str">
        <f>IF(AND(ISNUMBER(C4),ISNUMBER(G4)), C4-G4, "")</f>
        <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B16" sqref="B16"/>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54</v>
      </c>
      <c r="B1" s="36" t="s">
        <v>55</v>
      </c>
    </row>
    <row r="3" spans="1:7" ht="13.15">
      <c r="A3" t="s">
        <v>56</v>
      </c>
      <c r="B3" t="s">
        <v>3</v>
      </c>
      <c r="C3" t="s">
        <v>4</v>
      </c>
      <c r="D3" t="s">
        <v>57</v>
      </c>
      <c r="E3" s="2" t="s">
        <v>58</v>
      </c>
    </row>
    <row r="4" spans="1:7" ht="14.45">
      <c r="A4" t="s">
        <v>59</v>
      </c>
      <c r="B4" t="s">
        <v>60</v>
      </c>
      <c r="C4" s="4" t="s">
        <v>61</v>
      </c>
      <c r="E4" t="s">
        <v>62</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AE58009F-20E6-4DCA-A5C2-6E884387EC1A}"/>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Chase, Henry</cp:lastModifiedBy>
  <cp:revision/>
  <dcterms:created xsi:type="dcterms:W3CDTF">2021-01-01T16:39:53Z</dcterms:created>
  <dcterms:modified xsi:type="dcterms:W3CDTF">2025-10-23T14:32:57Z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2025-10-23T14:32:37Z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646c3736-3c22-40ea-a2b6-25e194852599</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