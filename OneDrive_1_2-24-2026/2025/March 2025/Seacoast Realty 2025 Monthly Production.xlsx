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1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SR's\"/>
    </mc:Choice>
  </mc:AlternateContent>
  <xr:revisionPtr revIDLastSave="1" documentId="13_ncr:1_{E8118D24-3E42-4DD7-81D5-4AE0674E1F28}" xr6:coauthVersionLast="47" xr6:coauthVersionMax="47" xr10:uidLastSave="{EFBFC9C4-26E8-494E-8F17-116B9FB77221}"/>
  <bookViews>
    <workbookView xWindow="-108" yWindow="-108" windowWidth="23256" windowHeight="13896" tabRatio="866" firstSheet="7" activeTab="7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3" l="1"/>
  <c r="I4" i="3" s="1"/>
  <c r="G4" i="30"/>
  <c r="G2" i="30" s="1"/>
  <c r="G4" i="29"/>
  <c r="G4" i="18"/>
  <c r="D2" i="3"/>
  <c r="F5" i="1"/>
  <c r="F5" i="4"/>
  <c r="H4" i="4"/>
  <c r="I4" i="4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G4" i="1"/>
  <c r="B4" i="34" a="1"/>
  <c r="B4" i="34" s="1"/>
  <c r="A4" i="34" a="1"/>
  <c r="A4" i="34" s="1"/>
  <c r="A1" i="34" a="1"/>
  <c r="A1" i="34" s="1"/>
  <c r="D4" i="30"/>
  <c r="C4" i="30"/>
  <c r="D4" i="29"/>
  <c r="D2" i="29" s="1"/>
  <c r="C4" i="29"/>
  <c r="D4" i="18"/>
  <c r="C4" i="18"/>
  <c r="D2" i="18"/>
  <c r="B4" i="30" a="1"/>
  <c r="B4" i="30" s="1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4" i="1"/>
  <c r="D4" i="1"/>
  <c r="B4" i="1" a="1"/>
  <c r="B4" i="1" s="1"/>
  <c r="A4" i="1" a="1"/>
  <c r="A4" i="1" s="1"/>
  <c r="A1" i="1" a="1"/>
  <c r="A1" i="1" s="1"/>
  <c r="H4" i="33"/>
  <c r="I4" i="33" s="1"/>
  <c r="E4" i="33"/>
  <c r="F4" i="33" s="1"/>
  <c r="G2" i="33"/>
  <c r="D2" i="33"/>
  <c r="C2" i="33"/>
  <c r="A1" i="33" a="1"/>
  <c r="A1" i="33" s="1"/>
  <c r="H4" i="32"/>
  <c r="I4" i="32" s="1"/>
  <c r="E4" i="32"/>
  <c r="F4" i="32" s="1"/>
  <c r="G2" i="32"/>
  <c r="D2" i="32"/>
  <c r="C2" i="32"/>
  <c r="A1" i="32" a="1"/>
  <c r="A1" i="32" s="1"/>
  <c r="H4" i="31"/>
  <c r="I4" i="31" s="1"/>
  <c r="E4" i="31"/>
  <c r="F4" i="31" s="1"/>
  <c r="G2" i="31"/>
  <c r="D2" i="31"/>
  <c r="C2" i="31"/>
  <c r="A1" i="31" a="1"/>
  <c r="A1" i="31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4" i="26"/>
  <c r="I4" i="26" s="1"/>
  <c r="E4" i="26"/>
  <c r="F4" i="26" s="1"/>
  <c r="G2" i="26"/>
  <c r="D2" i="26"/>
  <c r="C2" i="26"/>
  <c r="A1" i="26" a="1"/>
  <c r="A1" i="26" s="1"/>
  <c r="H4" i="19"/>
  <c r="I4" i="19" s="1"/>
  <c r="E4" i="19"/>
  <c r="F4" i="19" s="1"/>
  <c r="G2" i="19"/>
  <c r="D2" i="19"/>
  <c r="C2" i="19"/>
  <c r="A1" i="19" a="1"/>
  <c r="A1" i="19" s="1"/>
  <c r="H4" i="20"/>
  <c r="I4" i="20" s="1"/>
  <c r="E4" i="20"/>
  <c r="F4" i="20" s="1"/>
  <c r="G2" i="20"/>
  <c r="D2" i="20"/>
  <c r="C2" i="20"/>
  <c r="A1" i="20" a="1"/>
  <c r="A1" i="20" s="1"/>
  <c r="H4" i="21"/>
  <c r="I4" i="21" s="1"/>
  <c r="E4" i="21"/>
  <c r="F4" i="21" s="1"/>
  <c r="G2" i="21"/>
  <c r="D2" i="21"/>
  <c r="C2" i="21"/>
  <c r="A1" i="21" a="1"/>
  <c r="A1" i="21" s="1"/>
  <c r="E4" i="4"/>
  <c r="F4" i="4" s="1"/>
  <c r="G2" i="4"/>
  <c r="D2" i="4"/>
  <c r="C2" i="4"/>
  <c r="A1" i="4" a="1"/>
  <c r="A1" i="4" s="1"/>
  <c r="G2" i="3"/>
  <c r="C2" i="3"/>
  <c r="J2" i="3" s="1"/>
  <c r="A1" i="3" a="1"/>
  <c r="A1" i="3" s="1"/>
  <c r="H4" i="72"/>
  <c r="I4" i="72" s="1"/>
  <c r="G2" i="72"/>
  <c r="D2" i="72"/>
  <c r="C2" i="72"/>
  <c r="J2" i="72" s="1"/>
  <c r="A1" i="72" a="1"/>
  <c r="A1" i="72" s="1"/>
  <c r="G4" i="34" l="1"/>
  <c r="E4" i="18"/>
  <c r="F4" i="18" s="1"/>
  <c r="D4" i="34"/>
  <c r="D2" i="34" s="1"/>
  <c r="E4" i="30"/>
  <c r="F4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G2" i="1"/>
  <c r="H4" i="30"/>
  <c r="I4" i="30" s="1"/>
  <c r="H4" i="29"/>
  <c r="I4" i="29" s="1"/>
  <c r="H4" i="18"/>
  <c r="I4" i="18" s="1"/>
  <c r="C4" i="34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<sst xmlns="http://schemas.openxmlformats.org/spreadsheetml/2006/main" count="261" uniqueCount="59">
  <si>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</si>
  <si>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</si>
  <si>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</si>
  <si>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</si>
  <si>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</si>
  <si>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</si>
  <si>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</si>
  <si>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</si>
  <si>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</si>
  <si>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</si>
  <si>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</si>
  <si>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</si>
  <si>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 xml:space="preserve"> 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</si>
  <si>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</si>
  <si>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</si>
  <si>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</si>
  <si>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</si>
  <si>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</si>
  <si>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</si>
  <si>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</si>
  <si>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</si>
  <si>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</si>
  <si>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</si>
  <si>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N/A</t>
  </si>
  <si>
    <t>1. Low generation due to snow/rain.</t>
  </si>
  <si>
    <t>February Actual v. Expected</t>
  </si>
  <si>
    <t>February Actual v. Forecasted</t>
  </si>
  <si>
    <t>March Actual v. Expected</t>
  </si>
  <si>
    <t>March Actual v. Forecasted</t>
  </si>
  <si>
    <t xml:space="preserve">1. Inverter 1 started late for production on 03/09 due to  "DC voltage too high Wait for grid" and selfresolved on 03/09 at 10:30AM.
2. The site tripped offline at 7:30 AM on 03/18. Following a thermal event investigation on 03/19, the site will remain offline. While panel damage appears minimal, the wiring insulation may be compromised. Further investigation and repairs are required before safely re-energizing the site.
</t>
  </si>
  <si>
    <t>1.	SR098309
2. SR098691</t>
  </si>
  <si>
    <t>SR098691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</si>
  <si>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</si>
  <si>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</si>
  <si>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</si>
  <si>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</si>
  <si>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</si>
  <si>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</si>
  <si>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</si>
  <si>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</si>
  <si>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</si>
  <si>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</si>
  <si>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</si>
  <si>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</si>
  <si>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</si>
  <si>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</si>
  <si>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</si>
  <si>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</si>
  <si>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</si>
  <si>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</si>
  <si>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</si>
  <si>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MA: Plymouth - Seacoast Realty</t>
  </si>
  <si>
    <t>Site DAS Name</t>
  </si>
  <si>
    <t>Update</t>
  </si>
  <si>
    <t>DAS</t>
  </si>
  <si>
    <t>CDF (77 Industrial Park, Plymouth)</t>
  </si>
  <si>
    <t>MA</t>
  </si>
  <si>
    <t>AE</t>
  </si>
  <si>
    <t>PowerTrack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</si>
</sst>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7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1"/>
      <name val="Calibri"/>
      <family val="2"/>
      <scheme val="minor"/>
    </font>
    <font>
      <u/>
      <sz val="10"/>
      <color theme="10"/>
      <name val="Arial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  <xf numFmtId="0" fontId="36" fillId="0" borderId="0" applyNumberFormat="0" applyFill="0" applyBorder="0" applyAlignment="0" applyProtection="0"/>
  </cellStyleXfs>
  <cellXfs count="66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49" fontId="30" fillId="0" borderId="0" xfId="2" applyNumberFormat="1" applyFont="1" applyFill="1" applyBorder="1" applyAlignment="1">
      <alignment vertical="top" wrapText="1"/>
    </xf>
    <xf numFmtId="164" fontId="28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0" fontId="0" fillId="0" borderId="0" xfId="0" applyAlignment="1">
      <alignment horizontal="left" wrapText="1"/>
    </xf>
    <xf numFmtId="0" fontId="34" fillId="40" borderId="0" xfId="0" applyFont="1" applyFill="1" applyAlignment="1">
      <alignment horizontal="left"/>
    </xf>
    <xf numFmtId="0" fontId="29" fillId="43" borderId="11" xfId="0" applyFont="1" applyFill="1" applyBorder="1" applyAlignment="1">
      <alignment horizontal="center" vertical="center" wrapText="1"/>
    </xf>
    <xf numFmtId="0" fontId="24" fillId="41" borderId="11" xfId="0" applyFont="1" applyFill="1" applyBorder="1" applyAlignment="1">
      <alignment horizontal="center" vertical="center" wrapText="1"/>
    </xf>
    <xf numFmtId="0" fontId="24" fillId="42" borderId="11" xfId="0" applyFont="1" applyFill="1" applyBorder="1" applyAlignment="1">
      <alignment horizontal="center" vertical="center"/>
    </xf>
    <xf numFmtId="4" fontId="35" fillId="0" borderId="0" xfId="0" applyNumberFormat="1" applyFont="1" applyAlignment="1">
      <alignment horizontal="right"/>
    </xf>
    <xf numFmtId="4" fontId="30" fillId="0" borderId="0" xfId="0" applyNumberFormat="1" applyFont="1" applyAlignment="1">
      <alignment horizontal="right"/>
    </xf>
    <xf numFmtId="3" fontId="35" fillId="0" borderId="0" xfId="0" applyNumberFormat="1" applyFont="1" applyAlignment="1">
      <alignment horizontal="right" wrapText="1"/>
    </xf>
    <xf numFmtId="3" fontId="35" fillId="0" borderId="0" xfId="0" applyNumberFormat="1" applyFont="1" applyAlignment="1">
      <alignment horizontal="right"/>
    </xf>
    <xf numFmtId="3" fontId="30" fillId="0" borderId="0" xfId="0" applyNumberFormat="1" applyFont="1"/>
    <xf numFmtId="3" fontId="32" fillId="0" borderId="0" xfId="0" applyNumberFormat="1" applyFont="1"/>
    <xf numFmtId="164" fontId="32" fillId="0" borderId="0" xfId="0" applyNumberFormat="1" applyFont="1"/>
    <xf numFmtId="0" fontId="34" fillId="40" borderId="0" xfId="0" applyFont="1" applyFill="1" applyAlignment="1">
      <alignment horizontal="left" vertical="center"/>
    </xf>
    <xf numFmtId="3" fontId="30" fillId="4" borderId="0" xfId="1" applyNumberFormat="1" applyFont="1" applyFill="1" applyBorder="1" applyAlignment="1">
      <alignment horizontal="right"/>
    </xf>
    <xf numFmtId="3" fontId="30" fillId="4" borderId="0" xfId="1" applyNumberFormat="1" applyFont="1" applyFill="1" applyBorder="1" applyAlignment="1">
      <alignment horizontal="right" vertical="center"/>
    </xf>
    <xf numFmtId="3" fontId="30" fillId="4" borderId="0" xfId="1" applyNumberFormat="1" applyFont="1" applyFill="1" applyBorder="1" applyAlignment="1">
      <alignment horizontal="right" vertical="center" indent="1"/>
    </xf>
    <xf numFmtId="49" fontId="36" fillId="38" borderId="0" xfId="45" applyNumberFormat="1" applyFill="1" applyBorder="1" applyAlignment="1">
      <alignment vertical="top" wrapText="1"/>
    </xf>
    <xf numFmtId="0" fontId="36" fillId="0" borderId="0" xfId="45" applyAlignment="1">
      <alignment vertical="top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4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hyperlink" Target="https://us3.assetplanner.com/service_request?ID=098691" TargetMode="External"/><Relationship Id="rId1" Type="http://schemas.openxmlformats.org/officeDocument/2006/relationships/hyperlink" Target="https://us3.assetplanner.com/service_request?ID=098309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21"/>
  <sheetViews>
    <sheetView workbookViewId="0">
      <pane xSplit="2" ySplit="3" topLeftCell="C4" activePane="bottomRight" state="frozen"/>
      <selection pane="bottomRight" activeCell="D13" sqref="D13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3" t="str" cm="1">
        <f t="array" ref="A1">portfolio</f>
        <v>MA: Plymouth - Seacoast Realty</v>
      </c>
      <c r="B1" s="63"/>
      <c r="C1" s="63"/>
      <c r="D1" s="64" t="s">
        <v>0</v>
      </c>
      <c r="E1" s="64"/>
      <c r="F1" s="64"/>
      <c r="G1" s="62" t="s">
        <v>1</v>
      </c>
      <c r="H1" s="62"/>
      <c r="I1" s="62"/>
    </row>
    <row r="2" spans="1:9" ht="19.5" customHeight="1">
      <c r="A2" s="65" t="s">
        <v>2</v>
      </c>
      <c r="B2" s="65"/>
      <c r="C2" s="5">
        <f>SUM(C4:C79)</f>
        <v>76730</v>
      </c>
      <c r="D2" s="5">
        <f>SUM(D4:D79)</f>
        <v>108943.44</v>
      </c>
      <c r="E2" s="5">
        <f>C2-D2</f>
        <v>-32213.440000000002</v>
      </c>
      <c r="F2" s="6">
        <f>IFERROR(E2/D2, 0)</f>
        <v>-0.29568957984069533</v>
      </c>
      <c r="G2" s="5">
        <f>SUM(G4:G79)</f>
        <v>0</v>
      </c>
      <c r="H2" s="7">
        <f>C2-G2</f>
        <v>76730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11" t="str" cm="1">
        <f t="array" ref="A4">Sites[Site]</f>
        <v>MA: Plymouth - Seacoast Realty</v>
      </c>
      <c r="B4" s="9" t="str" cm="1">
        <f t="array" ref="B4">Sites[State]</f>
        <v>MA</v>
      </c>
      <c r="C4" s="23">
        <f>SUM('1st Qtr'!C4, '2nd Qtr'!C4, '3rd Qtr'!C4, '4th Qtr'!C4)</f>
        <v>76730</v>
      </c>
      <c r="D4" s="12">
        <f>SUM('1st Qtr'!D4, '2nd Qtr'!D4, '3rd Qtr'!D4, '4th Qtr'!D4)</f>
        <v>108943.44</v>
      </c>
      <c r="E4" s="12">
        <f>IF(AND(ISNUMBER(C4),ISNUMBER(D4)), C4-D4, "")</f>
        <v>-32213.440000000002</v>
      </c>
      <c r="F4" s="13">
        <f>IFERROR(E4/D4, "")</f>
        <v>-0.29568957984069533</v>
      </c>
      <c r="G4" s="14">
        <f>SUM('1st Qtr'!G4, '2nd Qtr'!G4, '3rd Qtr'!G4, '4th Qtr'!G4)</f>
        <v>0</v>
      </c>
      <c r="H4" s="14">
        <f>SUM('1st Qtr'!H4, '2nd Qtr'!H4, '3rd Qtr'!H4, '4th Qtr'!H4)</f>
        <v>0</v>
      </c>
      <c r="I4" s="15" t="str">
        <f>IFERROR(H4/G4, "")</f>
        <v/>
      </c>
    </row>
    <row r="5" spans="1:9" ht="13.9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79 I4:I79">
    <cfRule type="cellIs" dxfId="40" priority="1" stopIfTrue="1" operator="lessThanOrEqual">
      <formula>-0.1</formula>
    </cfRule>
    <cfRule type="expression" dxfId="39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21"/>
  <sheetViews>
    <sheetView workbookViewId="0">
      <pane xSplit="2" ySplit="3" topLeftCell="C4" activePane="bottomRight" state="frozen"/>
      <selection pane="bottomRight" activeCell="J4" sqref="J4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3" t="str" cm="1">
        <f t="array" ref="A1">portfolio</f>
        <v>MA: Plymouth - Seacoast Realty</v>
      </c>
      <c r="B1" s="63"/>
      <c r="C1" s="63"/>
      <c r="D1" s="64" t="s">
        <v>10</v>
      </c>
      <c r="E1" s="64"/>
      <c r="F1" s="64"/>
      <c r="G1" s="62" t="s">
        <v>11</v>
      </c>
      <c r="H1" s="62"/>
      <c r="I1" s="62"/>
    </row>
    <row r="2" spans="1:9" ht="19.5" customHeight="1">
      <c r="A2" s="65" t="s">
        <v>2</v>
      </c>
      <c r="B2" s="65"/>
      <c r="C2" s="5">
        <f>SUM(C4:C79)</f>
        <v>76730</v>
      </c>
      <c r="D2" s="5">
        <f>SUM(D4:D79)</f>
        <v>108943.44</v>
      </c>
      <c r="E2" s="5">
        <f>C2-D2</f>
        <v>-32213.440000000002</v>
      </c>
      <c r="F2" s="6">
        <f>IFERROR(E2/D2, 0)</f>
        <v>-0.29568957984069533</v>
      </c>
      <c r="G2" s="5">
        <f>SUM(G4:G79)</f>
        <v>0</v>
      </c>
      <c r="H2" s="7">
        <f>C2-G2</f>
        <v>76730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3" t="str" cm="1">
        <f t="array" ref="A4">Sites[Site]</f>
        <v>MA: Plymouth - Seacoast Realty</v>
      </c>
      <c r="B4" s="9" t="str" cm="1">
        <f t="array" ref="B4">Sites[State]</f>
        <v>MA</v>
      </c>
      <c r="C4" s="23">
        <f>SUM(Jan!C4, Feb!C4, Mar!C4)</f>
        <v>76730</v>
      </c>
      <c r="D4" s="12">
        <f>SUM(Jan!D4, Feb!D4, Mar!D4)</f>
        <v>108943.44</v>
      </c>
      <c r="E4" s="12">
        <f>IF(AND(ISNUMBER(C4),ISNUMBER(D4)), C4-D4, "")</f>
        <v>-32213.440000000002</v>
      </c>
      <c r="F4" s="13">
        <f>IFERROR(E4/D4, "")</f>
        <v>-0.29568957984069533</v>
      </c>
      <c r="G4" s="14">
        <f>SUM(Jan!G4, Feb!G4, Mar!G4)</f>
        <v>0</v>
      </c>
      <c r="H4" s="14">
        <f>SUM(Jan!H4, Feb!H4, Mar!H4)</f>
        <v>0</v>
      </c>
      <c r="I4" s="15" t="str">
        <f>IFERROR(H4/G4, "")</f>
        <v/>
      </c>
    </row>
    <row r="5" spans="1:9" ht="14.45">
      <c r="A5" s="20"/>
      <c r="B5" s="10"/>
      <c r="C5" s="54" t="s">
        <v>12</v>
      </c>
      <c r="D5" s="54" t="s">
        <v>12</v>
      </c>
      <c r="E5" s="17" t="s">
        <v>12</v>
      </c>
      <c r="F5" s="18" t="str">
        <f>IFERROR(E5/D5, "")</f>
        <v/>
      </c>
      <c r="G5" s="20"/>
      <c r="H5" s="20"/>
      <c r="I5" s="20"/>
    </row>
    <row r="6" spans="1:9" ht="13.9">
      <c r="A6" s="20"/>
      <c r="B6" s="20"/>
      <c r="C6" s="20"/>
      <c r="D6" s="20"/>
      <c r="E6" s="54" t="s">
        <v>12</v>
      </c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79 I4:I79">
    <cfRule type="cellIs" dxfId="38" priority="1" stopIfTrue="1" operator="lessThanOrEqual">
      <formula>-0.1</formula>
    </cfRule>
    <cfRule type="expression" dxfId="37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21"/>
  <sheetViews>
    <sheetView workbookViewId="0">
      <pane xSplit="2" ySplit="3" topLeftCell="C4" activePane="bottomRight" state="frozen"/>
      <selection pane="bottomRight" activeCell="G4" sqref="G4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3" t="str" cm="1">
        <f t="array" ref="A1">portfolio</f>
        <v>MA: Plymouth - Seacoast Realty</v>
      </c>
      <c r="B1" s="63"/>
      <c r="C1" s="63"/>
      <c r="D1" s="64" t="s">
        <v>13</v>
      </c>
      <c r="E1" s="64"/>
      <c r="F1" s="64"/>
      <c r="G1" s="62" t="s">
        <v>14</v>
      </c>
      <c r="H1" s="62"/>
      <c r="I1" s="62"/>
    </row>
    <row r="2" spans="1:9" ht="19.5" customHeight="1">
      <c r="A2" s="65" t="s">
        <v>2</v>
      </c>
      <c r="B2" s="65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3" t="str" cm="1">
        <f t="array" ref="A4">Sites[Site]</f>
        <v>MA: Plymouth - Seacoast Realty</v>
      </c>
      <c r="B4" s="9" t="str" cm="1">
        <f t="array" ref="B4">Sites[State]</f>
        <v>MA</v>
      </c>
      <c r="C4" s="23">
        <f>SUM(Apr!C4, May!C4, Jun!C4)</f>
        <v>0</v>
      </c>
      <c r="D4" s="12">
        <f>SUM(Apr!D4, May!D4, Jun!D4)</f>
        <v>0</v>
      </c>
      <c r="E4" s="12">
        <f>IF(AND(ISNUMBER(C4),ISNUMBER(D4)), C4-D4, "")</f>
        <v>0</v>
      </c>
      <c r="F4" s="13" t="str">
        <f>IFERROR(E4/D4, "")</f>
        <v/>
      </c>
      <c r="G4" s="14">
        <f>SUM(Apr!G4,May!G4,Jun!G4,)</f>
        <v>0</v>
      </c>
      <c r="H4" s="14">
        <f>SUM(Apr!H4, May!H4, Jun!H4)</f>
        <v>0</v>
      </c>
      <c r="I4" s="15" t="str">
        <f>IFERROR(H4/G4, "")</f>
        <v/>
      </c>
    </row>
    <row r="5" spans="1:9" ht="13.9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79 I4:I79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1"/>
  <sheetViews>
    <sheetView workbookViewId="0">
      <pane xSplit="2" ySplit="3" topLeftCell="C4" activePane="bottomRight" state="frozen"/>
      <selection pane="bottomRight" activeCell="G4" sqref="G4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3" t="str" cm="1">
        <f t="array" ref="A1">portfolio</f>
        <v>MA: Plymouth - Seacoast Realty</v>
      </c>
      <c r="B1" s="63"/>
      <c r="C1" s="63"/>
      <c r="D1" s="64" t="s">
        <v>15</v>
      </c>
      <c r="E1" s="64"/>
      <c r="F1" s="64"/>
      <c r="G1" s="62" t="s">
        <v>16</v>
      </c>
      <c r="H1" s="62"/>
      <c r="I1" s="62"/>
    </row>
    <row r="2" spans="1:9" ht="19.5" customHeight="1">
      <c r="A2" s="65" t="s">
        <v>2</v>
      </c>
      <c r="B2" s="65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3" t="str" cm="1">
        <f t="array" ref="A4">Sites[Site]</f>
        <v>MA: Plymouth - Seacoast Realty</v>
      </c>
      <c r="B4" s="9" t="str" cm="1">
        <f t="array" ref="B4">Sites[State]</f>
        <v>MA</v>
      </c>
      <c r="C4" s="23">
        <f>SUM(Jul!C4, Aug!C4, Sep!C4)</f>
        <v>0</v>
      </c>
      <c r="D4" s="12">
        <f>SUM(Jul!D4, Aug!D4, Sep!D4)</f>
        <v>0</v>
      </c>
      <c r="E4" s="12">
        <f>IF(AND(ISNUMBER(C4),ISNUMBER(D4)), C4-D4, "")</f>
        <v>0</v>
      </c>
      <c r="F4" s="13" t="str">
        <f>IFERROR(E4/D4, "")</f>
        <v/>
      </c>
      <c r="G4" s="14">
        <f>SUM(Jul!G4,Aug!G4,Sep!G4)</f>
        <v>0</v>
      </c>
      <c r="H4" s="14">
        <f>SUM(Jul!H4, Aug!H4, Sep!H4)</f>
        <v>0</v>
      </c>
      <c r="I4" s="15" t="str">
        <f>IFERROR(H4/G4, "")</f>
        <v/>
      </c>
    </row>
    <row r="5" spans="1:9" ht="15.6">
      <c r="A5" s="16"/>
      <c r="B5" s="20"/>
      <c r="C5" s="20"/>
      <c r="D5" s="20"/>
      <c r="E5" s="20"/>
      <c r="F5" s="20"/>
      <c r="G5" s="20"/>
      <c r="H5" s="20"/>
      <c r="I5" s="20"/>
    </row>
    <row r="6" spans="1:9" ht="15.6">
      <c r="A6" s="16"/>
      <c r="B6" s="20"/>
      <c r="C6" s="20"/>
      <c r="D6" s="20"/>
      <c r="E6" s="20"/>
      <c r="F6" s="20"/>
      <c r="G6" s="20"/>
      <c r="H6" s="20"/>
      <c r="I6" s="20"/>
    </row>
    <row r="7" spans="1:9" ht="15.6">
      <c r="A7" s="16"/>
      <c r="B7" s="20"/>
      <c r="C7" s="20"/>
      <c r="D7" s="20"/>
      <c r="E7" s="20"/>
      <c r="F7" s="20"/>
      <c r="G7" s="20"/>
      <c r="H7" s="20"/>
      <c r="I7" s="20"/>
    </row>
    <row r="8" spans="1:9" ht="15.6">
      <c r="A8" s="16"/>
      <c r="B8" s="20"/>
      <c r="C8" s="20"/>
      <c r="D8" s="20"/>
      <c r="E8" s="20"/>
      <c r="F8" s="20"/>
      <c r="G8" s="20"/>
      <c r="H8" s="20"/>
      <c r="I8" s="20"/>
    </row>
    <row r="9" spans="1:9" ht="15.6">
      <c r="A9" s="16"/>
      <c r="B9" s="20"/>
      <c r="C9" s="20"/>
      <c r="D9" s="20"/>
      <c r="E9" s="20"/>
      <c r="F9" s="20"/>
      <c r="G9" s="20"/>
      <c r="H9" s="20"/>
      <c r="I9" s="20"/>
    </row>
    <row r="10" spans="1:9" ht="15.6">
      <c r="A10" s="16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mergeCells count="4">
    <mergeCell ref="G1:I1"/>
    <mergeCell ref="A1:C1"/>
    <mergeCell ref="D1:F1"/>
    <mergeCell ref="A2:B2"/>
  </mergeCells>
  <conditionalFormatting sqref="F2 I2 F4:F79 I4:I79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1"/>
  <sheetViews>
    <sheetView workbookViewId="0">
      <pane xSplit="2" ySplit="3" topLeftCell="F4" activePane="bottomRight" state="frozen"/>
      <selection pane="bottomRight" activeCell="F10" sqref="F10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3" t="str" cm="1">
        <f t="array" ref="A1">portfolio</f>
        <v>MA: Plymouth - Seacoast Realty</v>
      </c>
      <c r="B1" s="63"/>
      <c r="C1" s="63"/>
      <c r="D1" s="64" t="s">
        <v>17</v>
      </c>
      <c r="E1" s="64"/>
      <c r="F1" s="64"/>
      <c r="G1" s="62" t="s">
        <v>18</v>
      </c>
      <c r="H1" s="62"/>
      <c r="I1" s="62"/>
    </row>
    <row r="2" spans="1:9" ht="19.5" customHeight="1">
      <c r="A2" s="65" t="s">
        <v>2</v>
      </c>
      <c r="B2" s="65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3" t="str" cm="1">
        <f t="array" ref="A4">Sites[Site]</f>
        <v>MA: Plymouth - Seacoast Realty</v>
      </c>
      <c r="B4" s="9" t="str" cm="1">
        <f t="array" ref="B4">Sites[State]</f>
        <v>MA</v>
      </c>
      <c r="C4" s="23">
        <f>SUM(Oct!C4, Nov!C4, Dec!C4)</f>
        <v>0</v>
      </c>
      <c r="D4" s="12">
        <f>SUM(Oct!D4, Nov!D4, Dec!D4)</f>
        <v>0</v>
      </c>
      <c r="E4" s="12">
        <f>IF(AND(ISNUMBER(C4),ISNUMBER(D4)), C4-D4, "")</f>
        <v>0</v>
      </c>
      <c r="F4" s="13" t="str">
        <f>IFERROR(E4/D4, "")</f>
        <v/>
      </c>
      <c r="G4" s="14">
        <f>SUM(Oct!G4,Nov!G4,Dec!G4)</f>
        <v>0</v>
      </c>
      <c r="H4" s="14">
        <f>SUM(Oct!H4, Nov!H4, Dec!H4)</f>
        <v>0</v>
      </c>
      <c r="I4" s="15" t="str">
        <f>IFERROR(H4/G4, "")</f>
        <v/>
      </c>
    </row>
    <row r="5" spans="1:9" ht="15.6">
      <c r="A5" s="16"/>
      <c r="B5" s="10"/>
      <c r="C5" s="40"/>
      <c r="D5" s="17"/>
      <c r="E5" s="17"/>
      <c r="F5" s="18"/>
      <c r="G5" s="19"/>
      <c r="H5" s="19"/>
      <c r="I5" s="18"/>
    </row>
    <row r="6" spans="1:9" ht="14.45">
      <c r="A6" s="20"/>
      <c r="B6" s="10"/>
      <c r="C6" s="40"/>
      <c r="D6" s="17"/>
      <c r="E6" s="17"/>
      <c r="F6" s="18"/>
      <c r="G6" s="19"/>
      <c r="H6" s="19"/>
      <c r="I6" s="18"/>
    </row>
    <row r="7" spans="1:9" ht="14.45">
      <c r="A7" s="20"/>
      <c r="B7" s="10"/>
      <c r="C7" s="40"/>
      <c r="D7" s="17"/>
      <c r="E7" s="17"/>
      <c r="F7" s="18"/>
      <c r="G7" s="19"/>
      <c r="H7" s="19"/>
      <c r="I7" s="18"/>
    </row>
    <row r="8" spans="1:9" ht="14.45">
      <c r="A8" s="20"/>
      <c r="B8" s="10"/>
      <c r="C8" s="40"/>
      <c r="D8" s="17"/>
      <c r="E8" s="17"/>
      <c r="F8" s="18"/>
      <c r="G8" s="19"/>
      <c r="H8" s="19"/>
      <c r="I8" s="18"/>
    </row>
    <row r="9" spans="1:9" ht="14.45">
      <c r="A9" s="20"/>
      <c r="B9" s="10"/>
      <c r="C9" s="40"/>
      <c r="D9" s="17"/>
      <c r="E9" s="17"/>
      <c r="F9" s="18"/>
      <c r="G9" s="19"/>
      <c r="H9" s="19"/>
      <c r="I9" s="18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mergeCells count="4">
    <mergeCell ref="G1:I1"/>
    <mergeCell ref="A1:C1"/>
    <mergeCell ref="D1:F1"/>
    <mergeCell ref="A2:B2"/>
  </mergeCells>
  <conditionalFormatting sqref="F2 I2 F4:F79 I4:I79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20"/>
  <sheetViews>
    <sheetView workbookViewId="0">
      <pane xSplit="2" ySplit="3" topLeftCell="C4" activePane="bottomRight" state="frozen"/>
      <selection pane="bottomRight" activeCell="F11" sqref="F11"/>
      <selection pane="bottomLeft" activeCell="A4" sqref="A4:XFD4"/>
      <selection pane="topRight" activeCell="A4" sqref="A4:XFD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3" t="str" cm="1">
        <f t="array" ref="A1">portfolio</f>
        <v>MA: Plymouth - Seacoast Realty</v>
      </c>
      <c r="B1" s="63"/>
      <c r="C1" s="63"/>
      <c r="D1" s="64" t="s">
        <v>19</v>
      </c>
      <c r="E1" s="64"/>
      <c r="F1" s="64"/>
      <c r="G1" s="62" t="s">
        <v>20</v>
      </c>
      <c r="H1" s="62"/>
      <c r="I1" s="62"/>
      <c r="J1" s="4"/>
      <c r="K1" s="4"/>
    </row>
    <row r="2" spans="1:11" ht="19.5" customHeight="1">
      <c r="A2" s="65" t="s">
        <v>2</v>
      </c>
      <c r="B2" s="65"/>
      <c r="C2" s="5">
        <f>SUM(C4:C78)</f>
        <v>22040</v>
      </c>
      <c r="D2" s="5">
        <f>SUM(D4:D78)</f>
        <v>31721.37</v>
      </c>
      <c r="E2" s="5">
        <f>C2-D2</f>
        <v>-9681.369999999999</v>
      </c>
      <c r="F2" s="6">
        <f>IFERROR(E2/D2, 0)</f>
        <v>-0.30520024828688042</v>
      </c>
      <c r="G2" s="5">
        <f>SUM(G4:G78)</f>
        <v>0</v>
      </c>
      <c r="H2" s="7">
        <f>C2-G2</f>
        <v>22040</v>
      </c>
      <c r="I2" s="6">
        <f>IFERROR(H2/G2, 0)</f>
        <v>0</v>
      </c>
      <c r="J2" s="25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6" t="s">
        <v>3</v>
      </c>
      <c r="B3" s="8" t="s">
        <v>4</v>
      </c>
      <c r="C3" s="46" t="s">
        <v>5</v>
      </c>
      <c r="D3" s="47" t="s">
        <v>6</v>
      </c>
      <c r="E3" s="31" t="s">
        <v>7</v>
      </c>
      <c r="F3" s="32" t="s">
        <v>8</v>
      </c>
      <c r="G3" s="48" t="s">
        <v>9</v>
      </c>
      <c r="H3" s="34" t="s">
        <v>7</v>
      </c>
      <c r="I3" s="35" t="s">
        <v>8</v>
      </c>
      <c r="J3" s="24" t="s">
        <v>21</v>
      </c>
      <c r="K3" s="24" t="s">
        <v>22</v>
      </c>
    </row>
    <row r="4" spans="1:11" ht="15.6">
      <c r="A4" s="45" t="str" cm="1">
        <f t="array" ref="A4">Sites[Site]</f>
        <v>MA: Plymouth - Seacoast Realty</v>
      </c>
      <c r="B4" s="27" t="str" cm="1">
        <f t="array" ref="B4">Sites[State]</f>
        <v>MA</v>
      </c>
      <c r="C4" s="23">
        <v>22040</v>
      </c>
      <c r="D4" s="12">
        <v>31721.37</v>
      </c>
      <c r="E4" s="12">
        <f>IF(AND(ISNUMBER(C4),ISNUMBER(D4)), C4-D4, "")</f>
        <v>-9681.369999999999</v>
      </c>
      <c r="F4" s="13">
        <f>IFERROR(E4/D4, "")</f>
        <v>-0.30520024828688042</v>
      </c>
      <c r="G4" s="57" t="s">
        <v>23</v>
      </c>
      <c r="H4" s="14" t="str">
        <f>IF(AND(ISNUMBER(C4),ISNUMBER(G4)), C4-G4, "")</f>
        <v/>
      </c>
      <c r="I4" s="15" t="str">
        <f>IFERROR(H4/G4, "")</f>
        <v/>
      </c>
      <c r="J4" s="36" t="s">
        <v>24</v>
      </c>
      <c r="K4" s="36"/>
    </row>
    <row r="5" spans="1:11" ht="14.45">
      <c r="A5" s="20"/>
      <c r="B5" s="29"/>
      <c r="C5" s="51" t="s">
        <v>12</v>
      </c>
      <c r="D5" s="52" t="s">
        <v>12</v>
      </c>
      <c r="E5" s="52" t="s">
        <v>12</v>
      </c>
      <c r="F5" s="51" t="s">
        <v>12</v>
      </c>
      <c r="G5" s="49"/>
      <c r="H5" s="49"/>
      <c r="I5" s="50"/>
      <c r="J5" s="39"/>
      <c r="K5" s="20"/>
    </row>
    <row r="6" spans="1:11" ht="14.45">
      <c r="A6" s="20"/>
      <c r="B6" s="29"/>
      <c r="C6" s="20"/>
      <c r="D6" s="20"/>
      <c r="E6" s="54" t="s">
        <v>12</v>
      </c>
      <c r="F6" s="20"/>
      <c r="G6" s="20"/>
      <c r="H6" s="20"/>
      <c r="I6" s="20"/>
      <c r="J6" s="37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</sheetData>
  <mergeCells count="4">
    <mergeCell ref="D1:F1"/>
    <mergeCell ref="A1:C1"/>
    <mergeCell ref="G1:I1"/>
    <mergeCell ref="A2:B2"/>
  </mergeCells>
  <conditionalFormatting sqref="F2 I2">
    <cfRule type="cellIs" dxfId="30" priority="6" stopIfTrue="1" operator="lessThanOrEqual">
      <formula>-0.1</formula>
    </cfRule>
    <cfRule type="expression" dxfId="29" priority="7">
      <formula>AND(ISNUMBER(F2), F2&gt;=0.1)</formula>
    </cfRule>
  </conditionalFormatting>
  <conditionalFormatting sqref="F4 I4:I78">
    <cfRule type="cellIs" dxfId="28" priority="1" stopIfTrue="1" operator="lessThanOrEqual">
      <formula>-0.1</formula>
    </cfRule>
    <cfRule type="expression" dxfId="27" priority="2">
      <formula>AND(ISNUMBER(F4), F4&gt;=0.1)</formula>
    </cfRule>
  </conditionalFormatting>
  <conditionalFormatting sqref="F6:F78">
    <cfRule type="cellIs" dxfId="26" priority="3" stopIfTrue="1" operator="lessThanOrEqual">
      <formula>-0.1</formula>
    </cfRule>
    <cfRule type="expression" dxfId="25" priority="4">
      <formula>AND(ISNUMBER(F6), F6&gt;=0.1)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21"/>
  <sheetViews>
    <sheetView zoomScale="90" zoomScaleNormal="90" workbookViewId="0">
      <pane xSplit="2" ySplit="3" topLeftCell="C4" activePane="bottomRight" state="frozen"/>
      <selection pane="bottomRight" activeCell="G4" sqref="G4"/>
      <selection pane="bottomLeft" activeCell="J16" sqref="J16"/>
      <selection pane="topRight" activeCell="J16" sqref="J16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3" t="str" cm="1">
        <f t="array" ref="A1">portfolio</f>
        <v>MA: Plymouth - Seacoast Realty</v>
      </c>
      <c r="B1" s="63"/>
      <c r="C1" s="63"/>
      <c r="D1" s="64" t="s">
        <v>25</v>
      </c>
      <c r="E1" s="64"/>
      <c r="F1" s="64"/>
      <c r="G1" s="62" t="s">
        <v>26</v>
      </c>
      <c r="H1" s="62"/>
      <c r="I1" s="62"/>
      <c r="J1" s="4"/>
      <c r="K1" s="4"/>
    </row>
    <row r="2" spans="1:11" ht="19.5" customHeight="1">
      <c r="A2" s="65" t="s">
        <v>2</v>
      </c>
      <c r="B2" s="65"/>
      <c r="C2" s="5">
        <f>SUM(C4:C79)</f>
        <v>27840</v>
      </c>
      <c r="D2" s="5">
        <f>SUM(D4:D79)</f>
        <v>32921.550000000003</v>
      </c>
      <c r="E2" s="5">
        <f>C2-D2</f>
        <v>-5081.5500000000029</v>
      </c>
      <c r="F2" s="6">
        <f>IFERROR(E2/D2, 0)</f>
        <v>-0.15435330353522245</v>
      </c>
      <c r="G2" s="5">
        <f>SUM(G4:G79)</f>
        <v>0</v>
      </c>
      <c r="H2" s="7">
        <f>C2-G2</f>
        <v>27840</v>
      </c>
      <c r="I2" s="6">
        <f>IFERROR(H2/G2, 0)</f>
        <v>0</v>
      </c>
      <c r="J2" s="25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21</v>
      </c>
      <c r="K3" s="24" t="s">
        <v>22</v>
      </c>
    </row>
    <row r="4" spans="1:11" ht="15.6">
      <c r="A4" s="45" t="str" cm="1">
        <f t="array" ref="A4">Sites[Site]</f>
        <v>MA: Plymouth - Seacoast Realty</v>
      </c>
      <c r="B4" s="27" t="str" cm="1">
        <f t="array" ref="B4">Sites[State]</f>
        <v>MA</v>
      </c>
      <c r="C4" s="23">
        <v>27840</v>
      </c>
      <c r="D4" s="12">
        <v>32921.550000000003</v>
      </c>
      <c r="E4" s="12">
        <f>IF(AND(ISNUMBER(C4),ISNUMBER(D4)), C4-D4, "")</f>
        <v>-5081.5500000000029</v>
      </c>
      <c r="F4" s="13">
        <f>IFERROR(E4/D4, "")</f>
        <v>-0.15435330353522245</v>
      </c>
      <c r="G4" s="58" t="s">
        <v>23</v>
      </c>
      <c r="H4" s="14" t="str">
        <f>IF(AND(ISNUMBER(C4),ISNUMBER(G4)), C4-G4, "")</f>
        <v/>
      </c>
      <c r="I4" s="15" t="str">
        <f>IFERROR(H4/G4, "")</f>
        <v/>
      </c>
      <c r="J4" s="36" t="s">
        <v>24</v>
      </c>
      <c r="K4" s="36"/>
    </row>
    <row r="5" spans="1:11" ht="14.45">
      <c r="A5" s="20"/>
      <c r="B5" s="29"/>
      <c r="C5" s="53"/>
      <c r="D5" s="53"/>
      <c r="E5" s="53"/>
      <c r="F5" s="18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55" t="s">
        <v>12</v>
      </c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L321"/>
  <sheetViews>
    <sheetView tabSelected="1" zoomScale="80" zoomScaleNormal="80" workbookViewId="0">
      <pane xSplit="2" ySplit="3" topLeftCell="C4" activePane="bottomRight" state="frozen"/>
      <selection pane="bottomRight" activeCell="G12" sqref="G12"/>
      <selection pane="bottomLeft" activeCell="J16" sqref="J16"/>
      <selection pane="topRight" activeCell="J16" sqref="J16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63" t="str" cm="1">
        <f t="array" ref="A1">portfolio</f>
        <v>MA: Plymouth - Seacoast Realty</v>
      </c>
      <c r="B1" s="63"/>
      <c r="C1" s="63"/>
      <c r="D1" s="64" t="s">
        <v>27</v>
      </c>
      <c r="E1" s="64"/>
      <c r="F1" s="64"/>
      <c r="G1" s="62" t="s">
        <v>28</v>
      </c>
      <c r="H1" s="62"/>
      <c r="I1" s="62"/>
      <c r="J1" s="4"/>
      <c r="K1" s="4"/>
    </row>
    <row r="2" spans="1:12" ht="19.5" customHeight="1">
      <c r="A2" s="65" t="s">
        <v>2</v>
      </c>
      <c r="B2" s="65"/>
      <c r="C2" s="5">
        <f>SUM(C4:C79)</f>
        <v>26850</v>
      </c>
      <c r="D2" s="5">
        <f>SUM(D4:D79)</f>
        <v>44300.52</v>
      </c>
      <c r="E2" s="5">
        <f>C2-D2</f>
        <v>-17450.519999999997</v>
      </c>
      <c r="F2" s="6">
        <f>IFERROR(E2/D2, 0)</f>
        <v>-0.39391230622123619</v>
      </c>
      <c r="G2" s="5">
        <f>SUM(G4:G79)</f>
        <v>0</v>
      </c>
      <c r="H2" s="7">
        <f>C2-G2</f>
        <v>26850</v>
      </c>
      <c r="I2" s="6">
        <f>IFERROR(H2/G2, 0)</f>
        <v>0</v>
      </c>
      <c r="J2" s="25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2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21</v>
      </c>
      <c r="K3" s="24" t="s">
        <v>22</v>
      </c>
    </row>
    <row r="4" spans="1:12" ht="102" customHeight="1">
      <c r="A4" s="56" t="str" cm="1">
        <f t="array" ref="A4">Sites[Site]</f>
        <v>MA: Plymouth - Seacoast Realty</v>
      </c>
      <c r="B4" s="27" t="str" cm="1">
        <f t="array" ref="B4">Sites[State]</f>
        <v>MA</v>
      </c>
      <c r="C4" s="23">
        <v>26850</v>
      </c>
      <c r="D4" s="12">
        <v>44300.52</v>
      </c>
      <c r="E4" s="12">
        <f>IF(AND(ISNUMBER(C4),ISNUMBER(D4)), C4-D4, "")</f>
        <v>-17450.519999999997</v>
      </c>
      <c r="F4" s="13">
        <f>IFERROR(E4/D4, "")</f>
        <v>-0.39391230622123619</v>
      </c>
      <c r="G4" s="59" t="s">
        <v>23</v>
      </c>
      <c r="H4" s="14" t="str">
        <f>IF(AND(ISNUMBER(C4),ISNUMBER(G4)), C4-G4, "")</f>
        <v/>
      </c>
      <c r="I4" s="15" t="str">
        <f>IFERROR(H4/G4, "")</f>
        <v/>
      </c>
      <c r="J4" s="36" t="s">
        <v>29</v>
      </c>
      <c r="K4" s="60" t="s">
        <v>30</v>
      </c>
      <c r="L4" s="61" t="s">
        <v>31</v>
      </c>
    </row>
    <row r="5" spans="1:12" ht="14.45">
      <c r="A5" s="20"/>
      <c r="B5" s="29"/>
      <c r="C5" s="54" t="s">
        <v>12</v>
      </c>
      <c r="D5" s="54" t="s">
        <v>12</v>
      </c>
      <c r="E5" s="17" t="s">
        <v>12</v>
      </c>
      <c r="F5" s="18" t="str">
        <f>IFERROR(E5/D5, "")</f>
        <v/>
      </c>
      <c r="G5" s="20"/>
      <c r="H5" s="20"/>
      <c r="I5" s="20"/>
      <c r="J5" s="20"/>
      <c r="K5" s="20"/>
    </row>
    <row r="6" spans="1:12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2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2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2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2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2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2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2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2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2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2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hyperlinks>
    <hyperlink ref="K4" r:id="rId1" display="https://us3.assetplanner.com/service_request?ID=098309" xr:uid="{BC194B4F-CCD7-4355-B645-459C114AA6C3}"/>
    <hyperlink ref="L4" r:id="rId2" display="https://us3.assetplanner.com/service_request?ID=098691" xr:uid="{AC01CE18-6A08-4FDC-A27F-132316A5166D}"/>
  </hyperlinks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21"/>
  <sheetViews>
    <sheetView workbookViewId="0">
      <pane xSplit="2" ySplit="3" topLeftCell="J16" activePane="bottomRight" state="frozen"/>
      <selection pane="bottomRight" activeCell="J16" sqref="J16"/>
      <selection pane="bottomLeft" activeCell="J16" sqref="J16"/>
      <selection pane="topRight" activeCell="J16" sqref="J16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3" t="str" cm="1">
        <f t="array" ref="A1">portfolio</f>
        <v>MA: Plymouth - Seacoast Realty</v>
      </c>
      <c r="B1" s="63"/>
      <c r="C1" s="63"/>
      <c r="D1" s="64" t="s">
        <v>32</v>
      </c>
      <c r="E1" s="64"/>
      <c r="F1" s="64"/>
      <c r="G1" s="62" t="s">
        <v>33</v>
      </c>
      <c r="H1" s="62"/>
      <c r="I1" s="62"/>
      <c r="J1" s="4"/>
      <c r="K1" s="4"/>
    </row>
    <row r="2" spans="1:11" ht="19.5" customHeight="1">
      <c r="A2" s="65" t="s">
        <v>2</v>
      </c>
      <c r="B2" s="65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21</v>
      </c>
      <c r="K3" s="24" t="s">
        <v>22</v>
      </c>
    </row>
    <row r="4" spans="1:11" ht="15.6">
      <c r="A4" s="28" t="str" cm="1">
        <f t="array" ref="A4">Sites[Site]</f>
        <v>MA: Plymouth - Seacoast Realty</v>
      </c>
      <c r="B4" s="27" t="str" cm="1">
        <f t="array" ref="B4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>
        <v>0</v>
      </c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21"/>
  <sheetViews>
    <sheetView workbookViewId="0">
      <pane xSplit="2" ySplit="3" topLeftCell="C4" activePane="bottomRight" state="frozen"/>
      <selection pane="bottomRight" activeCell="J16" sqref="J16"/>
      <selection pane="bottomLeft" activeCell="J16" sqref="J16"/>
      <selection pane="topRight" activeCell="J16" sqref="J16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3" t="str" cm="1">
        <f t="array" ref="A1">portfolio</f>
        <v>MA: Plymouth - Seacoast Realty</v>
      </c>
      <c r="B1" s="63"/>
      <c r="C1" s="63"/>
      <c r="D1" s="64" t="s">
        <v>34</v>
      </c>
      <c r="E1" s="64"/>
      <c r="F1" s="64"/>
      <c r="G1" s="62" t="s">
        <v>35</v>
      </c>
      <c r="H1" s="62"/>
      <c r="I1" s="62"/>
      <c r="J1" s="4"/>
      <c r="K1" s="4"/>
    </row>
    <row r="2" spans="1:11" ht="19.5" customHeight="1">
      <c r="A2" s="65" t="s">
        <v>2</v>
      </c>
      <c r="B2" s="65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21</v>
      </c>
      <c r="K3" s="24" t="s">
        <v>22</v>
      </c>
    </row>
    <row r="4" spans="1:11" ht="15.6">
      <c r="A4" s="28" t="str" cm="1">
        <f t="array" ref="A4">Sites[Site]</f>
        <v>MA: Plymouth - Seacoast Realty</v>
      </c>
      <c r="B4" s="27" t="str" cm="1">
        <f t="array" ref="B4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>
        <v>0</v>
      </c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21"/>
  <sheetViews>
    <sheetView workbookViewId="0">
      <pane xSplit="2" ySplit="3" topLeftCell="C4" activePane="bottomRight" state="frozen"/>
      <selection pane="bottomRight" activeCell="J16" sqref="J16"/>
      <selection pane="bottomLeft" activeCell="J16" sqref="J16"/>
      <selection pane="topRight" activeCell="J16" sqref="J16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3" t="str" cm="1">
        <f t="array" ref="A1">portfolio</f>
        <v>MA: Plymouth - Seacoast Realty</v>
      </c>
      <c r="B1" s="63"/>
      <c r="C1" s="63"/>
      <c r="D1" s="64" t="s">
        <v>36</v>
      </c>
      <c r="E1" s="64"/>
      <c r="F1" s="64"/>
      <c r="G1" s="62" t="s">
        <v>37</v>
      </c>
      <c r="H1" s="62"/>
      <c r="I1" s="62"/>
      <c r="J1" s="4"/>
      <c r="K1" s="4"/>
    </row>
    <row r="2" spans="1:11" ht="19.5" customHeight="1">
      <c r="A2" s="65" t="s">
        <v>2</v>
      </c>
      <c r="B2" s="65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21</v>
      </c>
      <c r="K3" s="24" t="s">
        <v>22</v>
      </c>
    </row>
    <row r="4" spans="1:11" ht="15.6">
      <c r="A4" s="28" t="str" cm="1">
        <f t="array" ref="A4">Sites[Site]</f>
        <v>MA: Plymouth - Seacoast Realty</v>
      </c>
      <c r="B4" s="27" t="str" cm="1">
        <f t="array" ref="B4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>
        <v>0</v>
      </c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21"/>
  <sheetViews>
    <sheetView workbookViewId="0">
      <pane xSplit="2" ySplit="3" topLeftCell="C4" activePane="bottomRight" state="frozen"/>
      <selection pane="bottomRight" activeCell="J16" sqref="J16"/>
      <selection pane="bottomLeft" activeCell="J16" sqref="J16"/>
      <selection pane="topRight" activeCell="J16" sqref="J16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3" t="str" cm="1">
        <f t="array" ref="A1">portfolio</f>
        <v>MA: Plymouth - Seacoast Realty</v>
      </c>
      <c r="B1" s="63"/>
      <c r="C1" s="63"/>
      <c r="D1" s="64" t="s">
        <v>38</v>
      </c>
      <c r="E1" s="64"/>
      <c r="F1" s="64"/>
      <c r="G1" s="62" t="s">
        <v>39</v>
      </c>
      <c r="H1" s="62"/>
      <c r="I1" s="62"/>
      <c r="J1" s="4"/>
      <c r="K1" s="4"/>
    </row>
    <row r="2" spans="1:11" ht="19.5" customHeight="1">
      <c r="A2" s="65" t="s">
        <v>2</v>
      </c>
      <c r="B2" s="65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21</v>
      </c>
      <c r="K3" s="24" t="s">
        <v>22</v>
      </c>
    </row>
    <row r="4" spans="1:11" ht="15.6">
      <c r="A4" s="28" t="str" cm="1">
        <f t="array" ref="A4">Sites[Site]</f>
        <v>MA: Plymouth - Seacoast Realty</v>
      </c>
      <c r="B4" s="27" t="str" cm="1">
        <f t="array" ref="B4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>
        <v>0</v>
      </c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sortState xmlns:xlrd2="http://schemas.microsoft.com/office/spreadsheetml/2017/richdata2" ref="A3:K4">
    <sortCondition ref="A3:A4"/>
  </sortState>
  <mergeCells count="4">
    <mergeCell ref="G1:I1"/>
    <mergeCell ref="A1:C1"/>
    <mergeCell ref="D1:F1"/>
    <mergeCell ref="A2:B2"/>
  </mergeCells>
  <conditionalFormatting sqref="F2 I2 F4:F79 I4:I79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21"/>
  <sheetViews>
    <sheetView workbookViewId="0">
      <pane xSplit="2" ySplit="3" topLeftCell="C4" activePane="bottomRight" state="frozen"/>
      <selection pane="bottomRight" activeCell="J16" sqref="J16"/>
      <selection pane="bottomLeft" activeCell="J16" sqref="J16"/>
      <selection pane="topRight" activeCell="J16" sqref="J16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3" t="str" cm="1">
        <f t="array" ref="A1">portfolio</f>
        <v>MA: Plymouth - Seacoast Realty</v>
      </c>
      <c r="B1" s="63"/>
      <c r="C1" s="63"/>
      <c r="D1" s="64" t="s">
        <v>40</v>
      </c>
      <c r="E1" s="64"/>
      <c r="F1" s="64"/>
      <c r="G1" s="62" t="s">
        <v>41</v>
      </c>
      <c r="H1" s="62"/>
      <c r="I1" s="62"/>
      <c r="J1" s="4"/>
      <c r="K1" s="4"/>
    </row>
    <row r="2" spans="1:11" ht="19.5" customHeight="1">
      <c r="A2" s="65" t="s">
        <v>2</v>
      </c>
      <c r="B2" s="65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21</v>
      </c>
      <c r="K3" s="24" t="s">
        <v>22</v>
      </c>
    </row>
    <row r="4" spans="1:11" ht="15.6">
      <c r="A4" s="28" t="str" cm="1">
        <f t="array" ref="A4">Sites[Site]</f>
        <v>MA: Plymouth - Seacoast Realty</v>
      </c>
      <c r="B4" s="27" t="str" cm="1">
        <f t="array" ref="B4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>
        <v>0</v>
      </c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21"/>
  <sheetViews>
    <sheetView workbookViewId="0">
      <pane xSplit="2" ySplit="3" topLeftCell="F4" activePane="bottomRight" state="frozen"/>
      <selection pane="bottomRight" activeCell="J16" sqref="J16"/>
      <selection pane="bottomLeft" activeCell="J16" sqref="J16"/>
      <selection pane="topRight" activeCell="J16" sqref="J16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3" t="str" cm="1">
        <f t="array" ref="A1">portfolio</f>
        <v>MA: Plymouth - Seacoast Realty</v>
      </c>
      <c r="B1" s="63"/>
      <c r="C1" s="63"/>
      <c r="D1" s="64" t="s">
        <v>42</v>
      </c>
      <c r="E1" s="64"/>
      <c r="F1" s="64"/>
      <c r="G1" s="62" t="s">
        <v>43</v>
      </c>
      <c r="H1" s="62"/>
      <c r="I1" s="62"/>
      <c r="J1" s="4"/>
      <c r="K1" s="4"/>
    </row>
    <row r="2" spans="1:11" ht="19.5" customHeight="1">
      <c r="A2" s="65" t="s">
        <v>2</v>
      </c>
      <c r="B2" s="65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21</v>
      </c>
      <c r="K3" s="24" t="s">
        <v>22</v>
      </c>
    </row>
    <row r="4" spans="1:11" ht="15.6">
      <c r="A4" s="28" t="str" cm="1">
        <f t="array" ref="A4">Sites[Site]</f>
        <v>MA: Plymouth - Seacoast Realty</v>
      </c>
      <c r="B4" s="27" t="str" cm="1">
        <f t="array" ref="B4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>
        <v>0</v>
      </c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21"/>
  <sheetViews>
    <sheetView workbookViewId="0">
      <pane xSplit="2" ySplit="3" topLeftCell="C4" activePane="bottomRight" state="frozen"/>
      <selection pane="bottomRight" activeCell="J16" sqref="J16"/>
      <selection pane="bottomLeft" activeCell="J16" sqref="J16"/>
      <selection pane="topRight" activeCell="J16" sqref="J16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3" t="str" cm="1">
        <f t="array" ref="A1">portfolio</f>
        <v>MA: Plymouth - Seacoast Realty</v>
      </c>
      <c r="B1" s="63"/>
      <c r="C1" s="63"/>
      <c r="D1" s="64" t="s">
        <v>44</v>
      </c>
      <c r="E1" s="64"/>
      <c r="F1" s="64"/>
      <c r="G1" s="62" t="s">
        <v>45</v>
      </c>
      <c r="H1" s="62"/>
      <c r="I1" s="62"/>
      <c r="J1" s="4"/>
      <c r="K1" s="4"/>
    </row>
    <row r="2" spans="1:11" ht="19.5" customHeight="1">
      <c r="A2" s="65" t="s">
        <v>2</v>
      </c>
      <c r="B2" s="65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21</v>
      </c>
      <c r="K3" s="24" t="s">
        <v>22</v>
      </c>
    </row>
    <row r="4" spans="1:11" ht="15.6">
      <c r="A4" s="28" t="str" cm="1">
        <f t="array" ref="A4">Sites[Site]</f>
        <v>MA: Plymouth - Seacoast Realty</v>
      </c>
      <c r="B4" s="27" t="str" cm="1">
        <f t="array" ref="B4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>
        <v>0</v>
      </c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21"/>
  <sheetViews>
    <sheetView workbookViewId="0">
      <pane xSplit="2" ySplit="3" topLeftCell="C4" activePane="bottomRight" state="frozen"/>
      <selection pane="bottomRight" activeCell="J16" sqref="J16"/>
      <selection pane="bottomLeft" activeCell="J16" sqref="J16"/>
      <selection pane="topRight" activeCell="J16" sqref="J16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3" t="str" cm="1">
        <f t="array" ref="A1">portfolio</f>
        <v>MA: Plymouth - Seacoast Realty</v>
      </c>
      <c r="B1" s="63"/>
      <c r="C1" s="63"/>
      <c r="D1" s="64" t="s">
        <v>46</v>
      </c>
      <c r="E1" s="64"/>
      <c r="F1" s="64"/>
      <c r="G1" s="62" t="s">
        <v>47</v>
      </c>
      <c r="H1" s="62"/>
      <c r="I1" s="62"/>
      <c r="J1" s="4"/>
      <c r="K1" s="4"/>
    </row>
    <row r="2" spans="1:11" ht="19.5" customHeight="1">
      <c r="A2" s="65" t="s">
        <v>2</v>
      </c>
      <c r="B2" s="65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21</v>
      </c>
      <c r="K3" s="24" t="s">
        <v>22</v>
      </c>
    </row>
    <row r="4" spans="1:11" ht="15.6">
      <c r="A4" s="28" t="str" cm="1">
        <f t="array" ref="A4">Sites[Site]</f>
        <v>MA: Plymouth - Seacoast Realty</v>
      </c>
      <c r="B4" s="27" t="str" cm="1">
        <f t="array" ref="B4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>
        <v>0</v>
      </c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21"/>
  <sheetViews>
    <sheetView workbookViewId="0">
      <pane xSplit="2" ySplit="3" topLeftCell="C4" activePane="bottomRight" state="frozen"/>
      <selection pane="bottomRight" activeCell="J16" sqref="J16"/>
      <selection pane="bottomLeft" activeCell="J16" sqref="J16"/>
      <selection pane="topRight" activeCell="J16" sqref="J16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3" t="str" cm="1">
        <f t="array" ref="A1">portfolio</f>
        <v>MA: Plymouth - Seacoast Realty</v>
      </c>
      <c r="B1" s="63"/>
      <c r="C1" s="63"/>
      <c r="D1" s="64" t="s">
        <v>48</v>
      </c>
      <c r="E1" s="64"/>
      <c r="F1" s="64"/>
      <c r="G1" s="62" t="s">
        <v>49</v>
      </c>
      <c r="H1" s="62"/>
      <c r="I1" s="62"/>
      <c r="J1" s="4"/>
      <c r="K1" s="4"/>
    </row>
    <row r="2" spans="1:11" ht="19.5" customHeight="1">
      <c r="A2" s="65" t="s">
        <v>2</v>
      </c>
      <c r="B2" s="65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21</v>
      </c>
      <c r="K3" s="24" t="s">
        <v>22</v>
      </c>
    </row>
    <row r="4" spans="1:11" ht="15.6">
      <c r="A4" s="28" t="str" cm="1">
        <f t="array" ref="A4">Sites[Site]</f>
        <v>MA: Plymouth - Seacoast Realty</v>
      </c>
      <c r="B4" s="27" t="str" cm="1">
        <f t="array" ref="B4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>
        <v>0</v>
      </c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A2" sqref="A2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50</v>
      </c>
      <c r="B1" t="s">
        <v>51</v>
      </c>
    </row>
    <row r="3" spans="1:12" ht="13.15">
      <c r="A3" t="s">
        <v>52</v>
      </c>
      <c r="B3" t="s">
        <v>3</v>
      </c>
      <c r="C3" t="s">
        <v>4</v>
      </c>
      <c r="D3" t="s">
        <v>53</v>
      </c>
      <c r="E3" s="2" t="s">
        <v>54</v>
      </c>
    </row>
    <row r="4" spans="1:12" ht="14.45">
      <c r="A4" s="44" t="s">
        <v>55</v>
      </c>
      <c r="B4" t="s">
        <v>51</v>
      </c>
      <c r="C4" s="42" t="s">
        <v>56</v>
      </c>
      <c r="D4" s="41" t="s">
        <v>57</v>
      </c>
      <c r="E4" t="s">
        <v>58</v>
      </c>
      <c r="G4" s="3"/>
    </row>
    <row r="5" spans="1:12" ht="14.45">
      <c r="A5" s="44"/>
      <c r="C5" s="42"/>
      <c r="D5" s="41"/>
      <c r="G5" s="3"/>
    </row>
    <row r="6" spans="1:12" ht="14.45">
      <c r="A6" s="44"/>
      <c r="C6" s="42"/>
      <c r="D6" s="41"/>
      <c r="G6" s="3"/>
    </row>
    <row r="7" spans="1:12" ht="12.75" customHeight="1">
      <c r="A7" s="44"/>
      <c r="C7" s="42"/>
      <c r="D7" s="41"/>
    </row>
    <row r="8" spans="1:12" ht="12.75" customHeight="1">
      <c r="A8" s="44"/>
      <c r="C8" s="42"/>
      <c r="D8" s="41"/>
    </row>
    <row r="9" spans="1:12" ht="12.75" customHeight="1">
      <c r="A9" s="44"/>
      <c r="C9" s="42"/>
      <c r="D9" s="41"/>
    </row>
    <row r="10" spans="1:12" ht="12.75" customHeight="1">
      <c r="A10" s="44"/>
      <c r="C10" s="42"/>
      <c r="D10" s="41"/>
      <c r="K10" s="38"/>
      <c r="L10" s="38"/>
    </row>
    <row r="11" spans="1:12" ht="12.75" customHeight="1">
      <c r="A11" s="44"/>
      <c r="C11" s="42"/>
      <c r="D11" s="41"/>
      <c r="K11" s="38"/>
      <c r="L11" s="38"/>
    </row>
    <row r="12" spans="1:12" ht="12.75" customHeight="1">
      <c r="A12" s="44"/>
      <c r="C12" s="42"/>
      <c r="D12" s="41"/>
      <c r="K12" s="38"/>
      <c r="L12" s="38"/>
    </row>
    <row r="13" spans="1:12" ht="12.75" customHeight="1">
      <c r="A13" s="44"/>
      <c r="C13" s="42"/>
      <c r="D13" s="41"/>
      <c r="K13" s="38"/>
      <c r="L13" s="38"/>
    </row>
    <row r="14" spans="1:12" ht="12.75" customHeight="1">
      <c r="A14" s="44"/>
      <c r="C14" s="42"/>
      <c r="D14" s="41"/>
      <c r="K14" s="38"/>
      <c r="L14" s="38"/>
    </row>
    <row r="15" spans="1:12" ht="12.75" customHeight="1">
      <c r="A15" s="44"/>
      <c r="C15" s="42"/>
      <c r="D15" s="41"/>
      <c r="K15" s="38"/>
      <c r="L15" s="38"/>
    </row>
    <row r="16" spans="1:12" ht="12.75" customHeight="1">
      <c r="A16" s="44"/>
      <c r="C16" s="42"/>
      <c r="D16" s="41"/>
      <c r="K16" s="38"/>
      <c r="L16" s="38"/>
    </row>
    <row r="17" spans="1:12" ht="12.75" customHeight="1">
      <c r="A17" s="44"/>
      <c r="C17" s="42"/>
      <c r="D17" s="41"/>
      <c r="K17" s="38"/>
      <c r="L17" s="38"/>
    </row>
    <row r="18" spans="1:12" ht="12.75" customHeight="1">
      <c r="A18" s="44"/>
      <c r="C18" s="42"/>
      <c r="D18" s="41"/>
      <c r="K18" s="38"/>
      <c r="L18" s="38"/>
    </row>
    <row r="19" spans="1:12" ht="12.75" customHeight="1">
      <c r="A19" s="44"/>
      <c r="C19" s="42"/>
      <c r="D19" s="41"/>
      <c r="K19" s="38"/>
      <c r="L19" s="38"/>
    </row>
    <row r="20" spans="1:12" ht="12.75" customHeight="1">
      <c r="A20" s="44"/>
      <c r="C20" s="42"/>
      <c r="D20" s="41"/>
      <c r="K20" s="38"/>
      <c r="L20" s="38"/>
    </row>
    <row r="21" spans="1:12" ht="12.75" customHeight="1">
      <c r="A21" s="44"/>
      <c r="C21" s="42"/>
      <c r="D21" s="41"/>
      <c r="K21" s="38"/>
      <c r="L21" s="38"/>
    </row>
    <row r="22" spans="1:12" ht="12.75" customHeight="1">
      <c r="A22" s="44"/>
      <c r="C22" s="42"/>
      <c r="D22" s="41"/>
      <c r="K22" s="38"/>
      <c r="L22" s="38"/>
    </row>
    <row r="23" spans="1:12" ht="12.75" customHeight="1">
      <c r="A23" s="44"/>
      <c r="C23" s="42"/>
      <c r="D23" s="41"/>
      <c r="K23" s="38"/>
      <c r="L23" s="38"/>
    </row>
    <row r="24" spans="1:12" ht="12.75" customHeight="1">
      <c r="A24" s="44"/>
      <c r="C24" s="42"/>
      <c r="D24" s="41"/>
      <c r="K24" s="38"/>
      <c r="L24" s="38"/>
    </row>
    <row r="25" spans="1:12" ht="12.75" customHeight="1">
      <c r="A25" s="44"/>
      <c r="C25" s="42"/>
      <c r="D25" s="41"/>
      <c r="K25" s="38"/>
      <c r="L25" s="38"/>
    </row>
    <row r="26" spans="1:12" ht="12.75" customHeight="1">
      <c r="K26" s="38"/>
      <c r="L26" s="38"/>
    </row>
    <row r="27" spans="1:12" ht="12.75" customHeight="1">
      <c r="K27" s="38"/>
      <c r="L27" s="38"/>
    </row>
    <row r="28" spans="1:12" ht="12.75" customHeight="1">
      <c r="K28" s="38"/>
      <c r="L28" s="38"/>
    </row>
    <row r="29" spans="1:12" ht="12.75" customHeight="1">
      <c r="K29" s="38"/>
      <c r="L29" s="38"/>
    </row>
    <row r="30" spans="1:12" ht="12.75" customHeight="1">
      <c r="K30" s="38"/>
      <c r="L30" s="38"/>
    </row>
    <row r="31" spans="1:12" ht="12.75" customHeight="1">
      <c r="K31" s="38"/>
      <c r="L31" s="38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6.xml>��
</file>

<file path=customXml/item7.xml>��
</file>

<file path=customXml/item8.xml>��
</file>

<file path=customXml/item9.xml>��
</file>

<file path=customXml/item10.xml>��
</file>

<file path=customXml/item1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2.xml>��
</file>

<file path=customXml/item1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BE26B669-A686-459C-A5E9-FEC3409C4C81}"/>
</file>

<file path=customXml/itemProps2.xml><?xml version="1.0" encoding="utf-8"?>
<ds:datastoreItem xmlns:ds="http://schemas.openxmlformats.org/officeDocument/2006/customXml" ds:itemID="{14966E4F-347B-477B-B74C-9DAC05405806}"/>
</file>

<file path=customXml/itemProps3.xml><?xml version="1.0" encoding="utf-8"?>
<ds:datastoreItem xmlns:ds="http://schemas.openxmlformats.org/officeDocument/2006/customXml" ds:itemID="{BF5C6359-7763-4C37-8EAF-2BC4698CB285}"/>
</file>

<file path=customXml/itemProps4.xml><?xml version="1.0" encoding="utf-8"?>
<ds:datastoreItem xmlns:ds="http://schemas.openxmlformats.org/officeDocument/2006/customXml" ds:itemID="{F12EFA50-0068-4A8C-85A0-F1B26389EBC3}"/>
</file>

<file path=customXml/itemProps5.xml><?xml version="1.0" encoding="utf-8"?>
<ds:datastoreItem xmlns:ds="http://schemas.openxmlformats.org/officeDocument/2006/customXml" ds:itemID="{AD14705A-7EBC-46AD-A95F-FFB517FCDCA2}"/>
</file>

<file path=customXml/itemProps6.xml><?xml version="1.0" encoding="utf-8"?>
<ds:datastoreItem xmlns:ds="http://schemas.openxmlformats.org/officeDocument/2006/customXml" ds:itemID="{0389C43E-394D-44C0-87DC-4780FCFCFB40}"/>
</file>

<file path=customXml/itemProps7.xml><?xml version="1.0" encoding="utf-8"?>
<ds:datastoreItem xmlns:ds="http://schemas.openxmlformats.org/officeDocument/2006/customXml" ds:itemID="{078388C9-06F9-42F4-B857-EF76B5CAF1FD}"/>
</file>

<file path=customXml/itemProps8.xml><?xml version="1.0" encoding="utf-8"?>
<ds:datastoreItem xmlns:ds="http://schemas.openxmlformats.org/officeDocument/2006/customXml" ds:itemID="{1954BBA4-0359-438C-B0EC-A756015F7C02}"/>
</file>

<file path=customXml/itemProps9.xml><?xml version="1.0" encoding="utf-8"?>
<ds:datastoreItem xmlns:ds="http://schemas.openxmlformats.org/officeDocument/2006/customXml" ds:itemID="{3AEAA9D8-2182-46BA-A58E-96C72DDA1C54}"/>
</file>

<file path=customXml/itemProps10.xml><?xml version="1.0" encoding="utf-8"?>
<ds:datastoreItem xmlns:ds="http://schemas.openxmlformats.org/officeDocument/2006/customXml" ds:itemID="{D3A7101F-9A85-4235-8B03-415370C100B2}"/>
</file>

<file path=customXml/itemProps11.xml><?xml version="1.0" encoding="utf-8"?>
<ds:datastoreItem xmlns:ds="http://schemas.openxmlformats.org/officeDocument/2006/customXml" ds:itemID="{7946C510-7D04-49D8-9B25-EEC04582A1CA}"/>
</file>

<file path=customXml/itemProps12.xml><?xml version="1.0" encoding="utf-8"?>
<ds:datastoreItem xmlns:ds="http://schemas.openxmlformats.org/officeDocument/2006/customXml" ds:itemID="{F6B2B1A1-1C4B-4AC9-9A7D-7A102DD1C942}"/>
</file>

<file path=customXml/itemProps13.xml><?xml version="1.0" encoding="utf-8"?>
<ds:datastoreItem xmlns:ds="http://schemas.openxmlformats.org/officeDocument/2006/customXml" ds:itemID="{8D732231-4216-4543-A665-18A2886B0EB7}"/>
</file>

<file path=customXml/itemProps14.xml><?xml version="1.0" encoding="utf-8"?>
<ds:datastoreItem xmlns:ds="http://schemas.openxmlformats.org/officeDocument/2006/customXml" ds:itemID="{E20E8303-6A67-485C-B6F4-303542CC295C}"/>
</file>

<file path=customXml/itemProps15.xml><?xml version="1.0" encoding="utf-8"?>
<ds:datastoreItem xmlns:ds="http://schemas.openxmlformats.org/officeDocument/2006/customXml" ds:itemID="{98A113BB-8B7A-453C-8BD4-8EFC67FC2D3F}"/>
</file>

<file path=customXml/itemProps16.xml><?xml version="1.0" encoding="utf-8"?>
<ds:datastoreItem xmlns:ds="http://schemas.openxmlformats.org/officeDocument/2006/customXml" ds:itemID="{89CF5C07-45EB-4100-9AFB-2C6AF77FA787}"/>
</file>

<file path=customXml/itemProps17.xml><?xml version="1.0" encoding="utf-8"?>
<ds:datastoreItem xmlns:ds="http://schemas.openxmlformats.org/officeDocument/2006/customXml" ds:itemID="{66B09F59-6532-46F8-924A-9A02417E070D}"/>
</file>

<file path=customXml/itemProps18.xml><?xml version="1.0" encoding="utf-8"?>
<ds:datastoreItem xmlns:ds="http://schemas.openxmlformats.org/officeDocument/2006/customXml" ds:itemID="{CB52044A-5C0B-44A2-99D0-C1C315EC302D}"/>
</file>

<file path=customXml/itemProps19.xml><?xml version="1.0" encoding="utf-8"?>
<ds:datastoreItem xmlns:ds="http://schemas.openxmlformats.org/officeDocument/2006/customXml" ds:itemID="{E3716282-BFD2-4ED2-BA47-BFA1123827F0}"/>
</file>

<file path=customXml/itemProps20.xml><?xml version="1.0" encoding="utf-8"?>
<ds:datastoreItem xmlns:ds="http://schemas.openxmlformats.org/officeDocument/2006/customXml" ds:itemID="{2BC74AAC-D69B-4AF1-9649-B21EF3C1C46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Srinivasa Krishnan [Libsys]</cp:lastModifiedBy>
  <cp:revision/>
  <dcterms:created xsi:type="dcterms:W3CDTF">2021-01-01T16:39:53Z</dcterms:created>
  <dcterms:modified xsi:type="dcterms:W3CDTF">2025-06-25T19:59:58Z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