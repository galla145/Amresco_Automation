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82B02FEC-066D-45E4-BBB4-0C80D270D26C}" xr6:coauthVersionLast="47" xr6:coauthVersionMax="47" xr10:uidLastSave="{9DF28650-F4B6-4BB7-9C2D-FB14378F2C81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4" i="72"/>
  <c r="I4" i="72" s="1"/>
  <c r="G4" i="30"/>
  <c r="G4" i="29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I4" i="3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<sst xmlns="http://schemas.openxmlformats.org/spreadsheetml/2006/main" count="243" uniqueCount="57">
  <si>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</si>
  <si>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</si>
  <si>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</si>
  <si>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</si>
  <si>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</si>
  <si>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</si>
  <si>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</si>
  <si>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</si>
  <si>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</si>
  <si>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</si>
  <si>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</si>
  <si>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</si>
  <si>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</si>
  <si>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</si>
  <si>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</si>
  <si>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</si>
  <si>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</si>
  <si>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</si>
  <si>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</si>
  <si>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</si>
  <si>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</si>
  <si>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</si>
  <si>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1.Due to snow event site production was low.</t>
  </si>
  <si>
    <t>February Actual v. Expected</t>
  </si>
  <si>
    <t>February Actual v. Forecasted</t>
  </si>
  <si>
    <t>1.The phase A current on the meter has been low since 02/06. Upon the technician's arrival on 02/18, it was stated that the modules were covered with 8 inches of snow, preventing access to the pad. Production was low due to the snow.
2. Low generation due to rain/snow.</t>
  </si>
  <si>
    <t>1.SR096944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</si>
  <si>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</si>
  <si>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</si>
  <si>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</si>
  <si>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</si>
  <si>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</si>
  <si>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</si>
  <si>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</si>
  <si>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</si>
  <si>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</si>
  <si>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</si>
  <si>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</si>
  <si>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</si>
  <si>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</si>
  <si>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</si>
  <si>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</si>
  <si>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</si>
  <si>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</si>
  <si>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</si>
  <si>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</si>
  <si>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</si>
  <si>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</si>
  <si>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National Grid</t>
  </si>
  <si>
    <t>Site DAS Name</t>
  </si>
  <si>
    <t>Update</t>
  </si>
  <si>
    <t>DAS</t>
  </si>
  <si>
    <t>PIII - Electric St, Athol</t>
  </si>
  <si>
    <t>NGRID - PIII - Electric St, Athol</t>
  </si>
  <si>
    <t>MA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</si>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</sst>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/>
    <xf numFmtId="49" fontId="35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94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SUM(C4:C77)</f>
        <v>29140.25</v>
      </c>
      <c r="D2" s="5">
        <f>SUM(D4:D77)</f>
        <v>47290.046000000002</v>
      </c>
      <c r="E2" s="5">
        <f>C2-D2</f>
        <v>-18149.796000000002</v>
      </c>
      <c r="F2" s="6">
        <f>IFERROR(E2/D2, 0)</f>
        <v>-0.38379738518334283</v>
      </c>
      <c r="G2" s="5">
        <f>SUM(G4:G77)</f>
        <v>40673.864999999998</v>
      </c>
      <c r="H2" s="7">
        <f>C2-G2</f>
        <v>-11533.614999999998</v>
      </c>
      <c r="I2" s="6">
        <f>IFERROR(H2/G2, 0)</f>
        <v>-0.28356329057983543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NGRID - PIII - Electric St, Athol</v>
      </c>
      <c r="B4" s="9" t="str" cm="1">
        <f t="array" ref="B4">Sites[State]</f>
        <v>MA</v>
      </c>
      <c r="C4" s="23">
        <f>SUM('1st Qtr'!C4, '2nd Qtr'!C4, '3rd Qtr'!C4, '4th Qtr'!C4)</f>
        <v>29140.25</v>
      </c>
      <c r="D4" s="12">
        <f>SUM('1st Qtr'!D4, '2nd Qtr'!D4, '3rd Qtr'!D4, '4th Qtr'!D4)</f>
        <v>47290.046000000002</v>
      </c>
      <c r="E4" s="12">
        <f>IF(AND(ISNUMBER(C4),ISNUMBER(D4)), C4-D4, "")</f>
        <v>-18149.796000000002</v>
      </c>
      <c r="F4" s="13">
        <f>IFERROR(E4/D4, "")</f>
        <v>-0.38379738518334283</v>
      </c>
      <c r="G4" s="14">
        <f>SUM('1st Qtr'!G4, '2nd Qtr'!G4, '3rd Qtr'!G4, '4th Qtr'!G4)</f>
        <v>40673.864999999998</v>
      </c>
      <c r="H4" s="14">
        <f>SUM('1st Qtr'!H4, '2nd Qtr'!H4, '3rd Qtr'!H4, '4th Qtr'!H4)</f>
        <v>-11533.615</v>
      </c>
      <c r="I4" s="15">
        <f>IFERROR(H4/G4, "")</f>
        <v>-0.28356329057983548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5" sqref="A5:XFD27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SUM(C4:C77)</f>
        <v>29140.25</v>
      </c>
      <c r="D2" s="5">
        <f>SUM(D4:D77)</f>
        <v>47290.046000000002</v>
      </c>
      <c r="E2" s="5">
        <f>C2-D2</f>
        <v>-18149.796000000002</v>
      </c>
      <c r="F2" s="6">
        <f>IFERROR(E2/D2, 0)</f>
        <v>-0.38379738518334283</v>
      </c>
      <c r="G2" s="5">
        <f>SUM(G4:G77)</f>
        <v>40673.864999999998</v>
      </c>
      <c r="H2" s="7">
        <f>C2-G2</f>
        <v>-11533.614999999998</v>
      </c>
      <c r="I2" s="6">
        <f>IFERROR(H2/G2, 0)</f>
        <v>-0.28356329057983543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SUM(Jan!C4, Feb!C4, Mar!C4)</f>
        <v>29140.25</v>
      </c>
      <c r="D4" s="12">
        <f>SUM(Jan!D4, Feb!D4, Mar!D4)</f>
        <v>47290.046000000002</v>
      </c>
      <c r="E4" s="12">
        <f>IF(AND(ISNUMBER(C4),ISNUMBER(D4)), C4-D4, "")</f>
        <v>-18149.796000000002</v>
      </c>
      <c r="F4" s="13">
        <f>IFERROR(E4/D4, "")</f>
        <v>-0.38379738518334283</v>
      </c>
      <c r="G4" s="14">
        <f>SUM(Jan!G4, Feb!G4, Mar!G4)</f>
        <v>40673.864999999998</v>
      </c>
      <c r="H4" s="14">
        <f>SUM(Jan!H4, Feb!H4, Mar!H4)</f>
        <v>-11533.615</v>
      </c>
      <c r="I4" s="15">
        <f>IFERROR(H4/G4, "")</f>
        <v>-0.28356329057983548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E12" sqref="E12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D9" sqref="D9"/>
      <selection pane="bottomLeft" activeCell="A5" sqref="A5:XFD27"/>
      <selection pane="topRight" activeCell="A5" sqref="A5:XFD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National Grid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2" t="str" cm="1">
        <f t="array" ref="A4">Sites[Site]</f>
        <v>NGRID - PIII - Electric St, Athol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39"/>
      <c r="D5" s="17"/>
      <c r="E5" s="17"/>
      <c r="F5" s="18"/>
      <c r="G5" s="19"/>
      <c r="H5" s="19"/>
      <c r="I5" s="18"/>
    </row>
    <row r="6" spans="1:9" ht="14.45">
      <c r="A6" s="20"/>
      <c r="B6" s="10"/>
      <c r="C6" s="39"/>
      <c r="D6" s="17"/>
      <c r="E6" s="17"/>
      <c r="F6" s="18"/>
      <c r="G6" s="19"/>
      <c r="H6" s="19"/>
      <c r="I6" s="18"/>
    </row>
    <row r="7" spans="1:9" ht="14.45">
      <c r="A7" s="20"/>
      <c r="B7" s="10"/>
      <c r="C7" s="39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11" sqref="J11"/>
      <selection pane="bottomLeft" activeCell="A5" sqref="A5:XFD27"/>
      <selection pane="topRight" activeCell="A5" sqref="A5:XFD27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SUM(C4:C76)</f>
        <v>6491.875</v>
      </c>
      <c r="D2" s="5">
        <f>SUM(D4:D76)</f>
        <v>12474.984</v>
      </c>
      <c r="E2" s="5">
        <f>C2-D2</f>
        <v>-5983.1090000000004</v>
      </c>
      <c r="F2" s="6">
        <f>IFERROR(E2/D2, 0)</f>
        <v>-0.47960855100094718</v>
      </c>
      <c r="G2" s="5">
        <f>SUM(G4:G76)</f>
        <v>11373.686</v>
      </c>
      <c r="H2" s="7">
        <f>C2-G2</f>
        <v>-4881.8109999999997</v>
      </c>
      <c r="I2" s="6">
        <f>IFERROR(H2/G2, 0)</f>
        <v>-0.42921977976181158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6491.875</v>
      </c>
      <c r="D4" s="12">
        <v>12474.984</v>
      </c>
      <c r="E4" s="12">
        <f>IF(AND(ISNUMBER(C4),ISNUMBER(D4)), C4-D4, "")</f>
        <v>-5983.1090000000004</v>
      </c>
      <c r="F4" s="13">
        <f>IFERROR(E4/D4, "")</f>
        <v>-0.47960855100094718</v>
      </c>
      <c r="G4" s="14">
        <v>11373.686</v>
      </c>
      <c r="H4" s="14">
        <f>IF(AND(ISNUMBER(C4),ISNUMBER(G4)), C4-G4, "")</f>
        <v>-4881.8109999999997</v>
      </c>
      <c r="I4" s="15">
        <f>IFERROR(H4/G4, "")</f>
        <v>-0.42921977976181158</v>
      </c>
      <c r="J4" s="37" t="s">
        <v>22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5:I76 F5:F76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 I4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J7" sqref="J7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23</v>
      </c>
      <c r="E1" s="50"/>
      <c r="F1" s="50"/>
      <c r="G1" s="48" t="s">
        <v>24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2997.625</v>
      </c>
      <c r="D2" s="5">
        <f>SUM(D4:D77)</f>
        <v>14983.39</v>
      </c>
      <c r="E2" s="5">
        <f>C2-D2</f>
        <v>-11985.764999999999</v>
      </c>
      <c r="F2" s="6">
        <f>IFERROR(E2/D2, 0)</f>
        <v>-0.79993679667952311</v>
      </c>
      <c r="G2" s="5">
        <f>SUM(G4:G77)</f>
        <v>12988.130999999999</v>
      </c>
      <c r="H2" s="7">
        <f>C2-G2</f>
        <v>-9990.5059999999994</v>
      </c>
      <c r="I2" s="6">
        <f>IFERROR(H2/G2, 0)</f>
        <v>-0.7692027436434079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6.5">
      <c r="A4" s="44" t="str" cm="1">
        <f t="array" ref="A4">Sites[Site]</f>
        <v>NGRID - PIII - Electric St, Athol</v>
      </c>
      <c r="B4" s="27" t="str" cm="1">
        <f t="array" ref="B4">Sites[State]</f>
        <v>MA</v>
      </c>
      <c r="C4" s="23">
        <v>2997.625</v>
      </c>
      <c r="D4" s="12">
        <v>14983.39</v>
      </c>
      <c r="E4" s="12">
        <f>IF(AND(ISNUMBER(C4),ISNUMBER(D4)), C4-D4, "")</f>
        <v>-11985.764999999999</v>
      </c>
      <c r="F4" s="13">
        <f>IFERROR(E4/D4, "")</f>
        <v>-0.79993679667952311</v>
      </c>
      <c r="G4" s="14">
        <v>12988.130999999999</v>
      </c>
      <c r="H4" s="14">
        <f>IF(AND(ISNUMBER(C4),ISNUMBER(G4)), C4-G4, "")</f>
        <v>-9990.5059999999994</v>
      </c>
      <c r="I4" s="15">
        <f>IFERROR(H4/G4, "")</f>
        <v>-0.7692027436434079</v>
      </c>
      <c r="J4" s="37" t="s">
        <v>25</v>
      </c>
      <c r="K4" s="47" t="s">
        <v>26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944" xr:uid="{7254A7D2-ED7B-4165-BC71-179A35AEB588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J20" sqref="J20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27</v>
      </c>
      <c r="E1" s="50"/>
      <c r="F1" s="50"/>
      <c r="G1" s="48" t="s">
        <v>28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19650.75</v>
      </c>
      <c r="D2" s="5">
        <f>SUM(D4:D77)</f>
        <v>19831.671999999999</v>
      </c>
      <c r="E2" s="5">
        <f>C2-D2</f>
        <v>-180.92199999999866</v>
      </c>
      <c r="F2" s="6">
        <f>IFERROR(E2/D2, 0)</f>
        <v>-9.1228818225714235E-3</v>
      </c>
      <c r="G2" s="5">
        <f>SUM(G4:G77)</f>
        <v>16312.048000000001</v>
      </c>
      <c r="H2" s="7">
        <f>C2-G2</f>
        <v>3338.7019999999993</v>
      </c>
      <c r="I2" s="6">
        <f>IFERROR(H2/G2, 0)</f>
        <v>0.20467705833136338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>
        <v>19650.75</v>
      </c>
      <c r="D4" s="12">
        <v>19831.671999999999</v>
      </c>
      <c r="E4" s="12">
        <f>IF(AND(ISNUMBER(C4),ISNUMBER(D4)), C4-D4, "")</f>
        <v>-180.92199999999866</v>
      </c>
      <c r="F4" s="13">
        <f>IFERROR(E4/D4, "")</f>
        <v>-9.1228818225714235E-3</v>
      </c>
      <c r="G4" s="14">
        <v>16312.048000000001</v>
      </c>
      <c r="H4" s="14">
        <f>IF(AND(ISNUMBER(C4),ISNUMBER(G4)), C4-G4, "")</f>
        <v>3338.7019999999993</v>
      </c>
      <c r="I4" s="15">
        <f>IFERROR(H4/G4, "")</f>
        <v>0.20467705833136338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D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29</v>
      </c>
      <c r="E1" s="50"/>
      <c r="F1" s="50"/>
      <c r="G1" s="48" t="s">
        <v>30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G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31</v>
      </c>
      <c r="E1" s="50"/>
      <c r="F1" s="50"/>
      <c r="G1" s="48" t="s">
        <v>32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D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33</v>
      </c>
      <c r="E1" s="50"/>
      <c r="F1" s="50"/>
      <c r="G1" s="48" t="s">
        <v>34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35</v>
      </c>
      <c r="E1" s="50"/>
      <c r="F1" s="50"/>
      <c r="G1" s="48" t="s">
        <v>36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G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37</v>
      </c>
      <c r="E1" s="50"/>
      <c r="F1" s="50"/>
      <c r="G1" s="48" t="s">
        <v>38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D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39</v>
      </c>
      <c r="E1" s="50"/>
      <c r="F1" s="50"/>
      <c r="G1" s="48" t="s">
        <v>40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G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41</v>
      </c>
      <c r="E1" s="50"/>
      <c r="F1" s="50"/>
      <c r="G1" s="48" t="s">
        <v>42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G26" sqref="G26"/>
      <selection pane="bottomLeft" activeCell="G26" sqref="G26"/>
      <selection pane="topRight" activeCell="G26" sqref="G26"/>
    </sheetView>
  </sheetViews>
  <sheetFormatPr defaultRowHeight="13.9"/>
  <cols>
    <col min="1" max="1" width="52.28515625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43</v>
      </c>
      <c r="E1" s="50"/>
      <c r="F1" s="50"/>
      <c r="G1" s="48" t="s">
        <v>44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7" sqref="J27"/>
      <selection pane="bottomLeft" activeCell="G26" sqref="G26"/>
      <selection pane="topRight" activeCell="G26" sqref="G2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National Grid</v>
      </c>
      <c r="B1" s="49"/>
      <c r="C1" s="49"/>
      <c r="D1" s="50" t="s">
        <v>45</v>
      </c>
      <c r="E1" s="50"/>
      <c r="F1" s="50"/>
      <c r="G1" s="48" t="s">
        <v>46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NGRID - PIII - Electric St, Athol</v>
      </c>
      <c r="B4" s="27" t="str" cm="1">
        <f t="array" ref="B4">Sites[State]</f>
        <v>MA</v>
      </c>
      <c r="C4" s="23"/>
      <c r="D4" s="12"/>
      <c r="E4" s="12"/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47</v>
      </c>
      <c r="B1" t="s">
        <v>48</v>
      </c>
    </row>
    <row r="3" spans="1:12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12" ht="14.45">
      <c r="A4" s="43" t="s">
        <v>52</v>
      </c>
      <c r="B4" t="s">
        <v>53</v>
      </c>
      <c r="C4" s="41" t="s">
        <v>54</v>
      </c>
      <c r="D4" s="45" t="s">
        <v>55</v>
      </c>
      <c r="E4" s="46" t="s">
        <v>56</v>
      </c>
      <c r="G4" s="3"/>
    </row>
    <row r="5" spans="1:12" ht="14.45">
      <c r="A5" s="43"/>
      <c r="C5" s="41"/>
      <c r="D5" s="40"/>
      <c r="G5" s="3"/>
    </row>
    <row r="6" spans="1:12" ht="14.45">
      <c r="A6" s="43"/>
      <c r="C6" s="41"/>
      <c r="D6" s="40"/>
      <c r="G6" s="3"/>
    </row>
    <row r="7" spans="1:12" ht="12.75" customHeight="1">
      <c r="A7" s="43"/>
      <c r="C7" s="41"/>
      <c r="D7" s="40"/>
    </row>
    <row r="8" spans="1:12" ht="12.75" customHeight="1">
      <c r="A8" s="43"/>
      <c r="C8" s="41"/>
      <c r="D8" s="40"/>
    </row>
    <row r="9" spans="1:12" ht="12.75" customHeight="1">
      <c r="A9" s="43"/>
      <c r="C9" s="41"/>
      <c r="D9" s="40"/>
    </row>
    <row r="10" spans="1:12" ht="12.75" customHeight="1">
      <c r="A10" s="43"/>
      <c r="C10" s="41"/>
      <c r="D10" s="40"/>
      <c r="K10" s="38"/>
      <c r="L10" s="38"/>
    </row>
    <row r="11" spans="1:12" ht="12.75" customHeight="1">
      <c r="A11" s="43"/>
      <c r="C11" s="41"/>
      <c r="D11" s="40"/>
      <c r="K11" s="38"/>
      <c r="L11" s="38"/>
    </row>
    <row r="12" spans="1:12" ht="12.75" customHeight="1">
      <c r="A12" s="43"/>
      <c r="C12" s="41"/>
      <c r="D12" s="40"/>
      <c r="K12" s="38"/>
      <c r="L12" s="38"/>
    </row>
    <row r="13" spans="1:12" ht="12.75" customHeight="1">
      <c r="A13" s="43"/>
      <c r="C13" s="41"/>
      <c r="D13" s="40"/>
      <c r="K13" s="38"/>
      <c r="L13" s="38"/>
    </row>
    <row r="14" spans="1:12" ht="12.75" customHeight="1">
      <c r="A14" s="43"/>
      <c r="C14" s="41"/>
      <c r="D14" s="40"/>
      <c r="K14" s="38"/>
      <c r="L14" s="38"/>
    </row>
    <row r="15" spans="1:12" ht="12.75" customHeight="1">
      <c r="A15" s="43"/>
      <c r="C15" s="41"/>
      <c r="D15" s="40"/>
      <c r="K15" s="38"/>
      <c r="L15" s="38"/>
    </row>
    <row r="16" spans="1:12" ht="12.75" customHeight="1">
      <c r="A16" s="43"/>
      <c r="C16" s="41"/>
      <c r="D16" s="40"/>
      <c r="K16" s="38"/>
      <c r="L16" s="38"/>
    </row>
    <row r="17" spans="1:12" ht="12.75" customHeight="1">
      <c r="A17" s="43"/>
      <c r="C17" s="41"/>
      <c r="D17" s="40"/>
      <c r="K17" s="38"/>
      <c r="L17" s="38"/>
    </row>
    <row r="18" spans="1:12" ht="12.75" customHeight="1">
      <c r="A18" s="43"/>
      <c r="C18" s="41"/>
      <c r="D18" s="40"/>
      <c r="K18" s="38"/>
      <c r="L18" s="38"/>
    </row>
    <row r="19" spans="1:12" ht="12.75" customHeight="1">
      <c r="A19" s="43"/>
      <c r="C19" s="41"/>
      <c r="D19" s="40"/>
      <c r="K19" s="38"/>
      <c r="L19" s="38"/>
    </row>
    <row r="20" spans="1:12" ht="12.75" customHeight="1">
      <c r="A20" s="43"/>
      <c r="C20" s="41"/>
      <c r="D20" s="40"/>
      <c r="K20" s="38"/>
      <c r="L20" s="38"/>
    </row>
    <row r="21" spans="1:12" ht="12.75" customHeight="1">
      <c r="A21" s="43"/>
      <c r="C21" s="41"/>
      <c r="D21" s="40"/>
      <c r="K21" s="38"/>
      <c r="L21" s="38"/>
    </row>
    <row r="22" spans="1:12" ht="12.75" customHeight="1">
      <c r="A22" s="43"/>
      <c r="C22" s="41"/>
      <c r="D22" s="40"/>
      <c r="K22" s="38"/>
      <c r="L22" s="38"/>
    </row>
    <row r="23" spans="1:12" ht="12.75" customHeight="1">
      <c r="A23" s="43"/>
      <c r="C23" s="41"/>
      <c r="D23" s="40"/>
      <c r="K23" s="38"/>
      <c r="L23" s="38"/>
    </row>
    <row r="24" spans="1:12" ht="12.75" customHeight="1">
      <c r="A24" s="43"/>
      <c r="C24" s="41"/>
      <c r="D24" s="40"/>
      <c r="K24" s="38"/>
      <c r="L24" s="38"/>
    </row>
    <row r="25" spans="1:12" ht="12.75" customHeight="1">
      <c r="A25" s="43"/>
      <c r="C25" s="41"/>
      <c r="D25" s="40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B978B972-9063-4177-AB4C-3D4EE0C18E3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