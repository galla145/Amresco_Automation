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40D9095-4ED0-4414-98E0-D631A0A5B70F}" xr6:coauthVersionLast="47" xr6:coauthVersionMax="47" xr10:uidLastSave="{00000000-0000-0000-0000-000000000000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<sst xmlns="http://schemas.openxmlformats.org/spreadsheetml/2006/main" count="246" uniqueCount="58">
  <si>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</si>
  <si>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</si>
  <si>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</si>
  <si>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</si>
  <si>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</si>
  <si>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</si>
  <si>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</si>
  <si>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</si>
  <si>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</si>
  <si>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</si>
  <si>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</si>
  <si>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</si>
  <si>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</si>
  <si>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</si>
  <si>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</si>
  <si>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</si>
  <si>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</si>
  <si>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</si>
  <si>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</si>
  <si>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</si>
  <si>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</si>
  <si>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</si>
  <si>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14 was being RMA'D since 06/10/24. On 01/29/25 technician replaced dc relay board and fan the inverter back online at 11:15 and producing in line with its peers.
2.Inverter 9 was being RMA'D since 09/23/24. On 01/29/25 technician replaced dc relay board and fan the inverter back online at 11:15 and producing in line with its peers. </t>
  </si>
  <si>
    <t>1.SR085759
2.SR091076</t>
  </si>
  <si>
    <t>February Actual v. Expected</t>
  </si>
  <si>
    <t>February Actual v. Forecasted</t>
  </si>
  <si>
    <t>1.Inverter 1 tripped offline from 02/13 at 10AM due to 03x9B/Error in SolarEdge and offline through out the month. On 02/19 technician checked-in and RMA'D failed  DC relay board.</t>
  </si>
  <si>
    <t>1.SR096986</t>
  </si>
  <si>
    <t>March Actual v. Expected</t>
  </si>
  <si>
    <t>March Actual v. Forecasted</t>
  </si>
  <si>
    <t>1.Inverter 1 tripped offline from 02/13 at 10AM due to 03x9B/Error in SolarEdge and offline through out the month. On 03/14 technician checked in and RMA'D the inverter.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</si>
  <si>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</si>
  <si>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</si>
  <si>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</si>
  <si>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</si>
  <si>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</si>
  <si>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</si>
  <si>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</si>
  <si>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</si>
  <si>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</si>
  <si>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</si>
  <si>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</si>
  <si>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</si>
  <si>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</si>
  <si>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</si>
  <si>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</si>
  <si>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</si>
  <si>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</si>
  <si>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</si>
  <si>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</si>
  <si>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Accel International</t>
  </si>
  <si>
    <t>Site DAS Name</t>
  </si>
  <si>
    <t>Update</t>
  </si>
  <si>
    <t>DAS</t>
  </si>
  <si>
    <t>CT: Meriden - Accel International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</si>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</sst>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5" fillId="46" borderId="12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6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98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98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D10" sqref="D10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Accel International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SUM(C4:C77)</f>
        <v>138287.24</v>
      </c>
      <c r="D2" s="5">
        <f>SUM(D4:D77)</f>
        <v>0</v>
      </c>
      <c r="E2" s="5">
        <f>C2-D2</f>
        <v>138287.24</v>
      </c>
      <c r="F2" s="6">
        <f>IFERROR(E2/D2, 0)</f>
        <v>0</v>
      </c>
      <c r="G2" s="5">
        <f>SUM(G4:G77)</f>
        <v>143182.34700000001</v>
      </c>
      <c r="H2" s="7">
        <f>C2-G2</f>
        <v>-4895.1070000000182</v>
      </c>
      <c r="I2" s="6">
        <f>IFERROR(H2/G2, 0)</f>
        <v>-3.4187922621494796E-2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Meriden - Accel International</v>
      </c>
      <c r="B4" s="9" t="str" cm="1">
        <f t="array" ref="B4">Sites[State]</f>
        <v>CT</v>
      </c>
      <c r="C4" s="23">
        <f>SUM('1st Qtr'!C4, '2nd Qtr'!C4, '3rd Qtr'!C4, '4th Qtr'!C4)</f>
        <v>138287.24</v>
      </c>
      <c r="D4" s="12">
        <f>SUM('1st Qtr'!D4, '2nd Qtr'!D4, '3rd Qtr'!D4, '4th Qtr'!D4)</f>
        <v>0</v>
      </c>
      <c r="E4" s="12">
        <f>IF(AND(ISNUMBER(C4),ISNUMBER(D4)), C4-D4, "")</f>
        <v>138287.24</v>
      </c>
      <c r="F4" s="13" t="str">
        <f>IFERROR(E4/D4, "")</f>
        <v/>
      </c>
      <c r="G4" s="14">
        <f>SUM('1st Qtr'!G4, '2nd Qtr'!G4, '3rd Qtr'!G4, '4th Qtr'!G4)</f>
        <v>143182.34700000001</v>
      </c>
      <c r="H4" s="14">
        <f>SUM('1st Qtr'!H4, '2nd Qtr'!H4, '3rd Qtr'!H4, '4th Qtr'!H4)</f>
        <v>1883.3479999999909</v>
      </c>
      <c r="I4" s="15">
        <f>IFERROR(H4/G4, "")</f>
        <v>1.3153493007067351E-2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zoomScale="90" zoomScaleNormal="90" workbookViewId="0">
      <pane xSplit="2" ySplit="3" topLeftCell="C4" activePane="bottomRight" state="frozen"/>
      <selection pane="bottomRight" activeCell="H4" sqref="H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Accel International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SUM(C4:C77)</f>
        <v>138287.24</v>
      </c>
      <c r="D2" s="5">
        <f>SUM(D4:D77)</f>
        <v>0</v>
      </c>
      <c r="E2" s="5">
        <f>C2-D2</f>
        <v>138287.24</v>
      </c>
      <c r="F2" s="6">
        <f>IFERROR(E2/D2, 0)</f>
        <v>0</v>
      </c>
      <c r="G2" s="5">
        <f>SUM(G4:G77)</f>
        <v>143182.34700000001</v>
      </c>
      <c r="H2" s="7">
        <f>C2-G2</f>
        <v>-4895.1070000000182</v>
      </c>
      <c r="I2" s="6">
        <f>IFERROR(H2/G2, 0)</f>
        <v>-3.4187922621494796E-2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SUM(Jan!C4, Feb!C4, Mar!C4)</f>
        <v>138287.24</v>
      </c>
      <c r="D4" s="12">
        <f>SUM(Jan!D4, Feb!D4, Mar!D4)</f>
        <v>0</v>
      </c>
      <c r="E4" s="12">
        <f>IF(AND(ISNUMBER(C4),ISNUMBER(D4)), C4-D4, "")</f>
        <v>138287.24</v>
      </c>
      <c r="F4" s="13" t="str">
        <f>IFERROR(E4/D4, "")</f>
        <v/>
      </c>
      <c r="G4" s="14">
        <f>SUM(Jan!G4, Feb!G4, Mar!G4)</f>
        <v>143182.34700000001</v>
      </c>
      <c r="H4" s="14">
        <f>SUM(Jan!H4, Feb!H4, Mar!H4)</f>
        <v>1883.3479999999909</v>
      </c>
      <c r="I4" s="15">
        <f>IFERROR(H4/G4, "")</f>
        <v>1.3153493007067351E-2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Accel International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Accel International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1" sqref="G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Accel International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70" zoomScaleNormal="70" workbookViewId="0">
      <pane xSplit="2" ySplit="3" topLeftCell="C4" activePane="bottomRight" state="frozen"/>
      <selection pane="bottomRight" activeCell="I16" sqref="I16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SUM(C4:C76)</f>
        <v>32483.759999999998</v>
      </c>
      <c r="D2" s="5">
        <f>SUM(D4:D76)</f>
        <v>0</v>
      </c>
      <c r="E2" s="5">
        <f>C2-D2</f>
        <v>32483.759999999998</v>
      </c>
      <c r="F2" s="6">
        <f>IFERROR(E2/D2, 0)</f>
        <v>0</v>
      </c>
      <c r="G2" s="5">
        <f>SUM(G4:G76)</f>
        <v>34863.273999999998</v>
      </c>
      <c r="H2" s="7">
        <f>C2-G2</f>
        <v>-2379.5139999999992</v>
      </c>
      <c r="I2" s="6">
        <f>IFERROR(H2/G2, 0)</f>
        <v>-6.8252740692110542E-2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86.45">
      <c r="A4" s="47" t="str" cm="1">
        <f t="array" ref="A4">Sites[Site]</f>
        <v>CT: Meriden - Accel International</v>
      </c>
      <c r="B4" s="27" t="str" cm="1">
        <f t="array" ref="B4">Sites[State]</f>
        <v>CT</v>
      </c>
      <c r="C4" s="23">
        <v>32483.759999999998</v>
      </c>
      <c r="D4" s="12">
        <v>0</v>
      </c>
      <c r="E4" s="12">
        <f>IF(AND(ISNUMBER(C4),ISNUMBER(D4)), C4-D4, "")</f>
        <v>32483.759999999998</v>
      </c>
      <c r="F4" s="39" t="str">
        <f>IFERROR(E4/D4, "")</f>
        <v/>
      </c>
      <c r="G4" s="14">
        <v>34863.273999999998</v>
      </c>
      <c r="H4" s="14"/>
      <c r="I4" s="15">
        <f>IFERROR(H4/G4, "")</f>
        <v>0</v>
      </c>
      <c r="J4" s="46" t="s">
        <v>22</v>
      </c>
      <c r="K4" s="46" t="s">
        <v>23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tabSelected="1" zoomScale="85" zoomScaleNormal="85" workbookViewId="0">
      <pane xSplit="2" ySplit="3" topLeftCell="C4" activePane="bottomRight" state="frozen"/>
      <selection pane="bottomRight" activeCell="J8" sqref="J8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39758.94</v>
      </c>
      <c r="D2" s="5">
        <f>SUM(D4:D77)</f>
        <v>0</v>
      </c>
      <c r="E2" s="5">
        <f>C2-D2</f>
        <v>39758.94</v>
      </c>
      <c r="F2" s="6">
        <f>IFERROR(E2/D2, 0)</f>
        <v>0</v>
      </c>
      <c r="G2" s="5">
        <f>SUM(G4:G77)</f>
        <v>44157.881000000001</v>
      </c>
      <c r="H2" s="7">
        <f>C2-G2</f>
        <v>-4398.9409999999989</v>
      </c>
      <c r="I2" s="6">
        <f>IFERROR(H2/G2, 0)</f>
        <v>-9.9618480334235218E-2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23">
        <v>39758.94</v>
      </c>
      <c r="D4" s="12">
        <v>0</v>
      </c>
      <c r="E4" s="12">
        <f>IF(AND(ISNUMBER(C4),ISNUMBER(D4)), C4-D4, "")</f>
        <v>39758.94</v>
      </c>
      <c r="F4" s="13" t="str">
        <f>IFERROR(E4/D4, "")</f>
        <v/>
      </c>
      <c r="G4" s="14">
        <v>44157.881000000001</v>
      </c>
      <c r="H4" s="14"/>
      <c r="I4" s="15">
        <f>IFERROR(H4/G4, "")</f>
        <v>0</v>
      </c>
      <c r="J4" s="37" t="s">
        <v>26</v>
      </c>
      <c r="K4" s="48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986" xr:uid="{6D0AF765-BB6A-4DCE-A7ED-F1BA1C03A229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K11" sqref="K11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28</v>
      </c>
      <c r="E1" s="51"/>
      <c r="F1" s="51"/>
      <c r="G1" s="49" t="s">
        <v>29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66044.539999999994</v>
      </c>
      <c r="D2" s="5">
        <f>SUM(D4:D77)</f>
        <v>0</v>
      </c>
      <c r="E2" s="5">
        <f>C2-D2</f>
        <v>66044.539999999994</v>
      </c>
      <c r="F2" s="6">
        <f>IFERROR(E2/D2, 0)</f>
        <v>0</v>
      </c>
      <c r="G2" s="5">
        <f>SUM(G4:G77)</f>
        <v>64161.192000000003</v>
      </c>
      <c r="H2" s="7">
        <f>C2-G2</f>
        <v>1883.3479999999909</v>
      </c>
      <c r="I2" s="6">
        <f>IFERROR(H2/G2, 0)</f>
        <v>2.9353382337410295E-2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5" customHeight="1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66044.539999999994</v>
      </c>
      <c r="D4" s="12">
        <v>0</v>
      </c>
      <c r="E4" s="12">
        <f>IF(AND(ISNUMBER(C4),ISNUMBER(D4)), C4-D4, "")</f>
        <v>66044.539999999994</v>
      </c>
      <c r="F4" s="13" t="str">
        <f>IFERROR(E4/D4, "")</f>
        <v/>
      </c>
      <c r="G4" s="14">
        <v>64161.192000000003</v>
      </c>
      <c r="H4" s="14">
        <f>IF(AND(ISNUMBER(C4),ISNUMBER(G4)), C4-G4, "")</f>
        <v>1883.3479999999909</v>
      </c>
      <c r="I4" s="15">
        <f>IFERROR(H4/G4, "")</f>
        <v>2.9353382337410295E-2</v>
      </c>
      <c r="J4" s="37" t="s">
        <v>30</v>
      </c>
      <c r="K4" s="48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6986" xr:uid="{EA782402-846A-4C4C-A98A-BC2E64C0466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31</v>
      </c>
      <c r="E1" s="51"/>
      <c r="F1" s="51"/>
      <c r="G1" s="49" t="s">
        <v>32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J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J6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35</v>
      </c>
      <c r="E1" s="51"/>
      <c r="F1" s="51"/>
      <c r="G1" s="49" t="s">
        <v>36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37</v>
      </c>
      <c r="E1" s="51"/>
      <c r="F1" s="51"/>
      <c r="G1" s="49" t="s">
        <v>38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G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39</v>
      </c>
      <c r="E1" s="51"/>
      <c r="F1" s="51"/>
      <c r="G1" s="49" t="s">
        <v>40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41</v>
      </c>
      <c r="E1" s="51"/>
      <c r="F1" s="51"/>
      <c r="G1" s="49" t="s">
        <v>42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7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F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43</v>
      </c>
      <c r="E1" s="51"/>
      <c r="F1" s="51"/>
      <c r="G1" s="49" t="s">
        <v>44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7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F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45</v>
      </c>
      <c r="E1" s="51"/>
      <c r="F1" s="51"/>
      <c r="G1" s="49" t="s">
        <v>46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7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G4" sqref="G4"/>
      <selection pane="topRight" activeCell="G4" sqref="G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Accel International</v>
      </c>
      <c r="B1" s="50"/>
      <c r="C1" s="50"/>
      <c r="D1" s="51" t="s">
        <v>47</v>
      </c>
      <c r="E1" s="51"/>
      <c r="F1" s="51"/>
      <c r="G1" s="49" t="s">
        <v>48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4" sqref="B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4" t="s">
        <v>50</v>
      </c>
      <c r="B4" t="s">
        <v>54</v>
      </c>
      <c r="C4" s="42" t="s">
        <v>55</v>
      </c>
      <c r="D4" s="41" t="s">
        <v>56</v>
      </c>
      <c r="E4" t="s">
        <v>57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33588864-BEE8-4EEB-9062-454432BB6FEA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2025-06-07T03:51:08Z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