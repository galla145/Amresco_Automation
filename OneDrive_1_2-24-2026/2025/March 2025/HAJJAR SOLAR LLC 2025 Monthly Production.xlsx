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2" documentId="13_ncr:1_{CE5748CB-A8AB-4F67-A766-86F28447AE9E}" xr6:coauthVersionLast="47" xr6:coauthVersionMax="47" xr10:uidLastSave="{750462E0-915C-4386-B59A-86302ED4AF05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2" i="30" s="1"/>
  <c r="G5" i="29"/>
  <c r="G4" i="29"/>
  <c r="G2" i="29" s="1"/>
  <c r="A4" i="26" a="1"/>
  <c r="A4" i="26"/>
  <c r="G5" i="18"/>
  <c r="G4" i="18"/>
  <c r="G2" i="18" s="1"/>
  <c r="A4" i="3" a="1"/>
  <c r="A4" i="3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B4" i="27" a="1"/>
  <c r="B4" i="27" s="1"/>
  <c r="A4" i="27" a="1"/>
  <c r="A4" i="27" s="1"/>
  <c r="B4" i="26" a="1"/>
  <c r="B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4" i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E4" i="30" s="1"/>
  <c r="F4" i="30" s="1"/>
  <c r="D5" i="29"/>
  <c r="C5" i="29"/>
  <c r="D4" i="29"/>
  <c r="C4" i="29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5" i="34" s="1"/>
  <c r="C4" i="1"/>
  <c r="C4" i="34" s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G4" i="34" l="1"/>
  <c r="G5" i="34"/>
  <c r="D2" i="18"/>
  <c r="D4" i="34"/>
  <c r="D2" i="34" s="1"/>
  <c r="E4" i="18"/>
  <c r="F4" i="18" s="1"/>
  <c r="E5" i="18"/>
  <c r="F5" i="18" s="1"/>
  <c r="E5" i="30"/>
  <c r="F5" i="30" s="1"/>
  <c r="D2" i="29"/>
  <c r="E5" i="29"/>
  <c r="F5" i="29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H5" i="34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<sst xmlns="http://schemas.openxmlformats.org/spreadsheetml/2006/main" count="269" uniqueCount="73">
  <si>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</si>
  <si>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</si>
  <si>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</si>
  <si>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</si>
  <si>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</si>
  <si>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</si>
  <si>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</si>
  <si>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</si>
  <si>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</si>
  <si>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</si>
  <si>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</si>
  <si>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</si>
  <si>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</si>
  <si>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</si>
  <si>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</si>
  <si>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</si>
  <si>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</si>
  <si>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</si>
  <si>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</si>
  <si>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</si>
  <si>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</si>
  <si>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</si>
  <si>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</si>
  <si>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1 left unit has tripped offline at 11AM on 12/31 and back online on 01/02, it has been RMA'd since 11/18/24.
Inverter 1 primary unit has been RMA'D since 01/15.
2.Inverter 2 left unit was offline from 12/30/24 and back online on 01/04/25.</t>
  </si>
  <si>
    <t>1.SR090032, SR095614.
2.SR095301 &amp; SR095351</t>
  </si>
  <si>
    <t>SR095614</t>
  </si>
  <si>
    <t>SR095301</t>
  </si>
  <si>
    <t>SR095351</t>
  </si>
  <si>
    <t>February Actual v. Expected</t>
  </si>
  <si>
    <t>February Actual v. Forecasted</t>
  </si>
  <si>
    <t>1.Inverter 1 left unit tripped offline at 14:00 on 02/23 and remained offline through-out the month.
Inverter 1 primary unit has been RMA'D since 01/15 back online on 02/16.
2.Inverter 2 left unit was offline from 02/25 and right unit was offline from 02/28.
3. Low generation due to snow/rain.</t>
  </si>
  <si>
    <t>1.SR090032, SR095614 &amp; SR097696
2.SR097934</t>
  </si>
  <si>
    <t>SR097696</t>
  </si>
  <si>
    <t>SR097934</t>
  </si>
  <si>
    <t>1.Low generation due to rain/snow.</t>
  </si>
  <si>
    <t>March Actual v. Expected</t>
  </si>
  <si>
    <t>March Actual v. Forecasted</t>
  </si>
  <si>
    <t>1.Inverter 1 left unit tripped offline from 14:00 on 02/23 and remained offline through out the month. 
2.Inverter 2 left unit was offline from 02/25 and back online on 03/02. On 03/03 technician RMA'd left unit.
Inverter 2 right unit was offline on 02/28 and back online on 03/01. Agian offline on 03/06, 03/07, 03/17 and 03/18.
Inverter 2 central unit was tripped offline from 15:00 on 03/24. On 03/26, technician RMA'D center relay board.
3.Inverters 2&amp;3 were offline on 03/17 and back online on 03/18. Inverter 2 was offline from 03/30.</t>
  </si>
  <si>
    <t>1.SR095614 &amp; SR097696
2. SR097934 &amp;SR099467
3. SR098663</t>
  </si>
  <si>
    <t>SR099467</t>
  </si>
  <si>
    <t>SR098663</t>
  </si>
  <si>
    <t>1. Inverter 2 middle unit began derating by 15 kW on 03/03. A technician was dispatched and performed an optimizer repair and firmware update. However, the issue reoccurred on 03/04 and has persisted throughout the month. The issue is suspected to be related to a failing optimizer or moisture affecting MC4 connectors under certain conditions. Further investigation is needed with LV technicians.</t>
  </si>
  <si>
    <t>1.SR097974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</si>
  <si>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</si>
  <si>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</si>
  <si>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</si>
  <si>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</si>
  <si>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</si>
  <si>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</si>
  <si>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</si>
  <si>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</si>
  <si>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</si>
  <si>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</si>
  <si>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</si>
  <si>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</si>
  <si>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</si>
  <si>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</si>
  <si>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</si>
  <si>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</si>
  <si>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</si>
  <si>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</si>
  <si>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</si>
  <si>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HAJJAR SOLAR LLC</t>
  </si>
  <si>
    <t>Site DAS Name</t>
  </si>
  <si>
    <t>Update</t>
  </si>
  <si>
    <t>DAS</t>
  </si>
  <si>
    <t>24 Norfolk Ave</t>
  </si>
  <si>
    <t>South Easton - Hajjar Solar LLC</t>
  </si>
  <si>
    <t>MA</t>
  </si>
  <si>
    <t>PowerTrack</t>
  </si>
  <si>
    <t>389 Columbia Road</t>
  </si>
  <si>
    <t>Hanover - Hajjar Solar LLC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</si>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</sst>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  <xf numFmtId="0" fontId="36" fillId="0" borderId="0" applyNumberFormat="0" applyFill="0" applyBorder="0" applyAlignment="0" applyProtection="0"/>
  </cellStyleXfs>
  <cellXfs count="6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3" fillId="0" borderId="12" xfId="45" applyFont="1" applyBorder="1"/>
    <xf numFmtId="0" fontId="0" fillId="0" borderId="13" xfId="0" applyBorder="1"/>
    <xf numFmtId="0" fontId="23" fillId="0" borderId="1" xfId="45" applyFont="1" applyBorder="1"/>
    <xf numFmtId="0" fontId="3" fillId="0" borderId="0" xfId="0" applyFont="1"/>
    <xf numFmtId="49" fontId="29" fillId="0" borderId="0" xfId="0" applyNumberFormat="1" applyFont="1" applyAlignment="1">
      <alignment horizontal="left" vertical="top" wrapText="1"/>
    </xf>
    <xf numFmtId="49" fontId="36" fillId="38" borderId="0" xfId="46" applyNumberFormat="1" applyFill="1" applyBorder="1" applyAlignment="1">
      <alignment vertical="top" wrapText="1"/>
    </xf>
    <xf numFmtId="49" fontId="36" fillId="0" borderId="0" xfId="46" applyNumberFormat="1" applyAlignment="1">
      <alignment vertical="top" wrapText="1"/>
    </xf>
    <xf numFmtId="0" fontId="36" fillId="0" borderId="0" xfId="46" applyAlignment="1">
      <alignment vertical="top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6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2 2" xfId="45" xr:uid="{34506D49-97C2-44AE-BC0B-82057B449233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01" TargetMode="External"/><Relationship Id="rId2" Type="http://schemas.openxmlformats.org/officeDocument/2006/relationships/hyperlink" Target="https://us3.assetplanner.com/service_request?ID=095614" TargetMode="External"/><Relationship Id="rId1" Type="http://schemas.openxmlformats.org/officeDocument/2006/relationships/hyperlink" Target="https://us3.assetplanner.com/service_request?ID=090032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us3.assetplanner.com/service_request?ID=095351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696" TargetMode="External"/><Relationship Id="rId2" Type="http://schemas.openxmlformats.org/officeDocument/2006/relationships/hyperlink" Target="https://us3.assetplanner.com/service_request?ID=095614" TargetMode="External"/><Relationship Id="rId1" Type="http://schemas.openxmlformats.org/officeDocument/2006/relationships/hyperlink" Target="https://us3.assetplanner.com/service_request?ID=090032" TargetMode="External"/><Relationship Id="rId4" Type="http://schemas.openxmlformats.org/officeDocument/2006/relationships/hyperlink" Target="https://us3.assetplanner.com/service_request?ID=09793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934" TargetMode="External"/><Relationship Id="rId2" Type="http://schemas.openxmlformats.org/officeDocument/2006/relationships/hyperlink" Target="https://us3.assetplanner.com/service_request?ID=097696" TargetMode="External"/><Relationship Id="rId1" Type="http://schemas.openxmlformats.org/officeDocument/2006/relationships/hyperlink" Target="https://us3.assetplanner.com/service_request?ID=095614" TargetMode="External"/><Relationship Id="rId6" Type="http://schemas.openxmlformats.org/officeDocument/2006/relationships/hyperlink" Target="https://us3.assetplanner.com/service_request?ID=097974" TargetMode="External"/><Relationship Id="rId5" Type="http://schemas.openxmlformats.org/officeDocument/2006/relationships/hyperlink" Target="https://us3.assetplanner.com/service_request?ID=098663" TargetMode="External"/><Relationship Id="rId4" Type="http://schemas.openxmlformats.org/officeDocument/2006/relationships/hyperlink" Target="https://us3.assetplanner.com/service_request?ID=09946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C10" sqref="C10"/>
      <selection pane="bottomLeft"/>
      <selection pane="topRight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HAJJAR SOLAR LLC</v>
      </c>
      <c r="B1" s="59"/>
      <c r="C1" s="59"/>
      <c r="D1" s="60" t="s">
        <v>0</v>
      </c>
      <c r="E1" s="60"/>
      <c r="F1" s="60"/>
      <c r="G1" s="58" t="s">
        <v>1</v>
      </c>
      <c r="H1" s="58"/>
      <c r="I1" s="58"/>
    </row>
    <row r="2" spans="1:9" ht="19.5" customHeight="1">
      <c r="A2" s="61" t="s">
        <v>2</v>
      </c>
      <c r="B2" s="61"/>
      <c r="C2" s="5">
        <f>SUM(C4:C69)</f>
        <v>138923.529967604</v>
      </c>
      <c r="D2" s="5">
        <f>SUM(D4:D69)</f>
        <v>0</v>
      </c>
      <c r="E2" s="5">
        <f>C2-D2</f>
        <v>138923.529967604</v>
      </c>
      <c r="F2" s="6">
        <f>IFERROR(E2/D2, 0)</f>
        <v>0</v>
      </c>
      <c r="G2" s="5">
        <f>SUM(G4:G69)</f>
        <v>167101.31</v>
      </c>
      <c r="H2" s="7">
        <f>C2-G2</f>
        <v>-28177.780032395996</v>
      </c>
      <c r="I2" s="6">
        <f>IFERROR(H2/G2, 0)</f>
        <v>-0.16862692478231317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SUM('1st Qtr'!C4, '2nd Qtr'!C4, '3rd Qtr'!C4, '4th Qtr'!C4)</f>
        <v>47225.249996666505</v>
      </c>
      <c r="D4" s="13">
        <f>SUM('1st Qtr'!D4, '2nd Qtr'!D4, '3rd Qtr'!D4, '4th Qtr'!D4)</f>
        <v>0</v>
      </c>
      <c r="E4" s="13">
        <f>IF(AND(ISNUMBER(C4),ISNUMBER(D4)), C4-D4, "")</f>
        <v>47225.249996666505</v>
      </c>
      <c r="F4" s="14" t="str">
        <f>IFERROR(E4/D4, "")</f>
        <v/>
      </c>
      <c r="G4" s="15">
        <f>SUM('1st Qtr'!G4, '2nd Qtr'!G4, '3rd Qtr'!G4, '4th Qtr'!G4)</f>
        <v>66238.2</v>
      </c>
      <c r="H4" s="15">
        <f>SUM('1st Qtr'!H4, '2nd Qtr'!H4, '3rd Qtr'!H4, '4th Qtr'!H4)</f>
        <v>-19012.950003333499</v>
      </c>
      <c r="I4" s="16">
        <f>IFERROR(H4/G4, "")</f>
        <v>-0.28703905002451002</v>
      </c>
    </row>
    <row r="5" spans="1:9" ht="15.6">
      <c r="A5" s="17" t="str">
        <v>Hanover - Hajjar Solar LLC</v>
      </c>
      <c r="B5" s="10" t="str">
        <v>MA</v>
      </c>
      <c r="C5" s="11">
        <f>SUM('1st Qtr'!C5, '2nd Qtr'!C5, '3rd Qtr'!C5, '4th Qtr'!C5)</f>
        <v>91698.279970937496</v>
      </c>
      <c r="D5" s="18">
        <f>SUM(Jan!D5, Feb!D5, Mar!D5)</f>
        <v>0</v>
      </c>
      <c r="E5" s="18">
        <f t="shared" ref="E5" si="0">IF(AND(ISNUMBER(C5),ISNUMBER(D5)), C5-D5, "")</f>
        <v>91698.279970937496</v>
      </c>
      <c r="F5" s="19" t="str">
        <f>IFERROR(E5/D5, "")</f>
        <v/>
      </c>
      <c r="G5" s="20">
        <f>SUM('1st Qtr'!G5, '2nd Qtr'!G5, '3rd Qtr'!G5, '4th Qtr'!G5)</f>
        <v>100863.11</v>
      </c>
      <c r="H5" s="20">
        <f>SUM(Jan!H5, Feb!H5, Mar!H5)</f>
        <v>-9164.8300290624938</v>
      </c>
      <c r="I5" s="19">
        <f>IFERROR(H5/G5, "")</f>
        <v>-9.0864043643533232E-2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C5" sqref="C5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HAJJAR SOLAR LLC</v>
      </c>
      <c r="B1" s="59"/>
      <c r="C1" s="59"/>
      <c r="D1" s="60" t="s">
        <v>10</v>
      </c>
      <c r="E1" s="60"/>
      <c r="F1" s="60"/>
      <c r="G1" s="58" t="s">
        <v>11</v>
      </c>
      <c r="H1" s="58"/>
      <c r="I1" s="58"/>
    </row>
    <row r="2" spans="1:9" ht="19.5" customHeight="1">
      <c r="A2" s="61" t="s">
        <v>2</v>
      </c>
      <c r="B2" s="61"/>
      <c r="C2" s="5">
        <f>SUM(C4:C69)</f>
        <v>138923.529967604</v>
      </c>
      <c r="D2" s="5">
        <f>SUM(D4:D69)</f>
        <v>0</v>
      </c>
      <c r="E2" s="5">
        <f>C2-D2</f>
        <v>138923.529967604</v>
      </c>
      <c r="F2" s="6">
        <f>IFERROR(E2/D2, 0)</f>
        <v>0</v>
      </c>
      <c r="G2" s="5">
        <f>SUM(G4:G69)</f>
        <v>167101.31</v>
      </c>
      <c r="H2" s="7">
        <f>C2-G2</f>
        <v>-28177.780032395996</v>
      </c>
      <c r="I2" s="6">
        <f>IFERROR(H2/G2, 0)</f>
        <v>-0.16862692478231317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SUM(Jan!C4, Feb!C4, Mar!C4)</f>
        <v>47225.249996666505</v>
      </c>
      <c r="D4" s="13">
        <f>SUM(Jan!D4, Feb!D4, Mar!D4)</f>
        <v>0</v>
      </c>
      <c r="E4" s="13">
        <f>IF(AND(ISNUMBER(C4),ISNUMBER(D4)), C4-D4, "")</f>
        <v>47225.249996666505</v>
      </c>
      <c r="F4" s="14" t="str">
        <f>IFERROR(E4/D4, "")</f>
        <v/>
      </c>
      <c r="G4" s="15">
        <f>SUM(Jan!G4, Feb!G4, Mar!G4)</f>
        <v>66238.2</v>
      </c>
      <c r="H4" s="15">
        <f>SUM(Jan!H4, Feb!H4, Mar!H4)</f>
        <v>-19012.950003333499</v>
      </c>
      <c r="I4" s="16">
        <f>IFERROR(H4/G4, "")</f>
        <v>-0.28703905002451002</v>
      </c>
    </row>
    <row r="5" spans="1:9" ht="15.6">
      <c r="A5" s="46" t="str">
        <v>Hanover - Hajjar Solar LLC</v>
      </c>
      <c r="B5" s="10" t="str">
        <v>MA</v>
      </c>
      <c r="C5" s="11">
        <f>SUM(Jan!C5, Feb!C5, Mar!C5)</f>
        <v>91698.279970937496</v>
      </c>
      <c r="D5" s="18">
        <f>SUM(Jan!D5, Feb!D5, Mar!D5)</f>
        <v>0</v>
      </c>
      <c r="E5" s="18">
        <f t="shared" ref="E5" si="0">IF(AND(ISNUMBER(C5),ISNUMBER(D5)), C5-D5, "")</f>
        <v>91698.279970937496</v>
      </c>
      <c r="F5" s="19" t="str">
        <f>IFERROR(E5/D5, "")</f>
        <v/>
      </c>
      <c r="G5" s="20">
        <f>SUM(Jan!G5, Feb!G5, Mar!G5)</f>
        <v>100863.11</v>
      </c>
      <c r="H5" s="20">
        <f>SUM(Jan!H5, Feb!H5, Mar!H5)</f>
        <v>-9164.8300290624938</v>
      </c>
      <c r="I5" s="19">
        <f>IFERROR(H5/G5, "")</f>
        <v>-9.0864043643533232E-2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4" activePane="bottomRight" state="frozen"/>
      <selection pane="bottomRight" activeCell="C5" sqref="C5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HAJJAR SOLAR LLC</v>
      </c>
      <c r="B1" s="59"/>
      <c r="C1" s="59"/>
      <c r="D1" s="60" t="s">
        <v>12</v>
      </c>
      <c r="E1" s="60"/>
      <c r="F1" s="60"/>
      <c r="G1" s="58" t="s">
        <v>13</v>
      </c>
      <c r="H1" s="58"/>
      <c r="I1" s="58"/>
    </row>
    <row r="2" spans="1:9" ht="19.5" customHeight="1">
      <c r="A2" s="61" t="s">
        <v>2</v>
      </c>
      <c r="B2" s="6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6" t="str">
        <v>Hanover - Hajjar Solar LLC</v>
      </c>
      <c r="B5" s="10" t="str">
        <v>MA</v>
      </c>
      <c r="C5" s="11">
        <f>SUM(Apr!C5, May!C5, Jun!C5)</f>
        <v>0</v>
      </c>
      <c r="D5" s="18">
        <f>SUM(Apr!D5, May!D5, Jun!D5)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0"/>
  <sheetViews>
    <sheetView workbookViewId="0">
      <pane xSplit="2" ySplit="3" topLeftCell="C4" activePane="bottomRight" state="frozen"/>
      <selection pane="bottomRight" activeCell="C5" sqref="C5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HAJJAR SOLAR LLC</v>
      </c>
      <c r="B1" s="59"/>
      <c r="C1" s="59"/>
      <c r="D1" s="60" t="s">
        <v>14</v>
      </c>
      <c r="E1" s="60"/>
      <c r="F1" s="60"/>
      <c r="G1" s="58" t="s">
        <v>15</v>
      </c>
      <c r="H1" s="58"/>
      <c r="I1" s="58"/>
    </row>
    <row r="2" spans="1:9" ht="19.5" customHeight="1">
      <c r="A2" s="61" t="s">
        <v>2</v>
      </c>
      <c r="B2" s="61"/>
      <c r="C2" s="5">
        <f>SUM(C4:C68)</f>
        <v>0</v>
      </c>
      <c r="D2" s="5">
        <f>SUM(D4:D68)</f>
        <v>0</v>
      </c>
      <c r="E2" s="5">
        <f>C2-D2</f>
        <v>0</v>
      </c>
      <c r="F2" s="6">
        <f>IFERROR(E2/D2, 0)</f>
        <v>0</v>
      </c>
      <c r="G2" s="5">
        <f>SUM(G4:G68)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6" t="str">
        <v>Hanover - Hajjar Solar LLC</v>
      </c>
      <c r="B5" s="10" t="str">
        <v>MA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</sheetData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D13" activePane="bottomRight" state="frozen"/>
      <selection pane="bottomRight" activeCell="D13" sqref="D13"/>
      <selection pane="bottomLeft" activeCell="A6" sqref="A6:XFD36"/>
      <selection pane="topRight" activeCell="A6" sqref="A6:XFD36"/>
    </sheetView>
  </sheetViews>
  <sheetFormatPr defaultRowHeight="13.15"/>
  <cols>
    <col min="1" max="1" width="35.71093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HAJJAR SOLAR LLC</v>
      </c>
      <c r="B1" s="59"/>
      <c r="C1" s="59"/>
      <c r="D1" s="60" t="s">
        <v>16</v>
      </c>
      <c r="E1" s="60"/>
      <c r="F1" s="60"/>
      <c r="G1" s="58" t="s">
        <v>17</v>
      </c>
      <c r="H1" s="58"/>
      <c r="I1" s="58"/>
    </row>
    <row r="2" spans="1:9" ht="19.5" customHeight="1">
      <c r="A2" s="61" t="s">
        <v>2</v>
      </c>
      <c r="B2" s="6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South Easton - Hajjar Solar LLC</v>
      </c>
      <c r="B4" s="9" t="str" cm="1">
        <f t="array" ref="B4:B5">Sites[State]</f>
        <v>MA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6" t="str">
        <v>Hanover - Hajjar Solar LLC</v>
      </c>
      <c r="B5" s="10" t="str">
        <v>MA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1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10"/>
  <sheetViews>
    <sheetView workbookViewId="0">
      <pane xSplit="2" ySplit="3" topLeftCell="C4" activePane="bottomRight" state="frozen"/>
      <selection pane="bottomRight" activeCell="J17" sqref="J17"/>
      <selection pane="bottomLeft" activeCell="A4" sqref="A4:XFD4"/>
      <selection pane="topRight" activeCell="A4" sqref="A4:XFD4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9" t="str" cm="1">
        <f t="array" ref="A1">portfolio</f>
        <v>HAJJAR SOLAR LLC</v>
      </c>
      <c r="B1" s="59"/>
      <c r="C1" s="59"/>
      <c r="D1" s="60" t="s">
        <v>18</v>
      </c>
      <c r="E1" s="60"/>
      <c r="F1" s="60"/>
      <c r="G1" s="58" t="s">
        <v>19</v>
      </c>
      <c r="H1" s="58"/>
      <c r="I1" s="58"/>
      <c r="J1" s="4"/>
      <c r="K1" s="4"/>
    </row>
    <row r="2" spans="1:14" ht="19.5" customHeight="1">
      <c r="A2" s="61" t="s">
        <v>2</v>
      </c>
      <c r="B2" s="61"/>
      <c r="C2" s="5">
        <f>SUM(C4:C68)</f>
        <v>28219.309997558601</v>
      </c>
      <c r="D2" s="5">
        <f>SUM(D4:D68)</f>
        <v>0</v>
      </c>
      <c r="E2" s="5">
        <f>C2-D2</f>
        <v>28219.309997558601</v>
      </c>
      <c r="F2" s="6">
        <f>IFERROR(E2/D2, 0)</f>
        <v>0</v>
      </c>
      <c r="G2" s="5">
        <f>SUM(G4:G68)</f>
        <v>28052.3</v>
      </c>
      <c r="H2" s="7">
        <f>C2-G2</f>
        <v>167.00999755860175</v>
      </c>
      <c r="I2" s="6">
        <f>IFERROR(H2/G2, 0)</f>
        <v>5.9535224405343505E-3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60.75">
      <c r="A4" s="48" t="str" cm="1">
        <f t="array" ref="A4:A5">Sites[Site]</f>
        <v>South Easton - Hajjar Solar LLC</v>
      </c>
      <c r="B4" s="28" t="str" cm="1">
        <f t="array" ref="B4:B5">Sites[State]</f>
        <v>MA</v>
      </c>
      <c r="C4" s="24">
        <v>9957.75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11033</v>
      </c>
      <c r="H4" s="15">
        <f>IF(AND(ISNUMBER(C4),ISNUMBER(G4)), C4-G4, "")</f>
        <v>-1075.25</v>
      </c>
      <c r="I4" s="16">
        <f>IFERROR(H4/G4, "")</f>
        <v>-9.7457627118644072E-2</v>
      </c>
      <c r="J4" s="40" t="s">
        <v>23</v>
      </c>
      <c r="K4" s="55" t="s">
        <v>24</v>
      </c>
      <c r="L4" s="57" t="s">
        <v>25</v>
      </c>
      <c r="M4" s="57" t="s">
        <v>26</v>
      </c>
      <c r="N4" s="57" t="s">
        <v>27</v>
      </c>
    </row>
    <row r="5" spans="1:14" ht="15.6">
      <c r="A5" s="49" t="str">
        <v>Hanover - Hajjar Solar LLC</v>
      </c>
      <c r="B5" s="30" t="str">
        <v>MA</v>
      </c>
      <c r="C5" s="11">
        <v>18261.559997558601</v>
      </c>
      <c r="D5" s="18" t="s">
        <v>22</v>
      </c>
      <c r="E5" s="18" t="str">
        <f t="shared" ref="E5" si="0">IF(AND(ISNUMBER(C5),ISNUMBER(D5)), C5-D5, "")</f>
        <v/>
      </c>
      <c r="F5" s="19" t="str">
        <f t="shared" ref="F5" si="1">IFERROR(E5/D5, "")</f>
        <v/>
      </c>
      <c r="G5" s="20">
        <v>17019.3</v>
      </c>
      <c r="H5" s="20">
        <f t="shared" ref="H5" si="2">IF(AND(ISNUMBER(C5),ISNUMBER(G5)), C5-G5, "")</f>
        <v>1242.2599975586018</v>
      </c>
      <c r="I5" s="19">
        <f t="shared" ref="I5" si="3">IFERROR(H5/G5, "")</f>
        <v>7.299125096558623E-2</v>
      </c>
      <c r="J5" s="41"/>
      <c r="K5" s="41"/>
    </row>
    <row r="6" spans="1:14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4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4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4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4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4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4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4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4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4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4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F6:F68 I6:I68">
    <cfRule type="cellIs" dxfId="30" priority="8" stopIfTrue="1" operator="lessThanOrEqual">
      <formula>-0.1</formula>
    </cfRule>
    <cfRule type="expression" dxfId="29" priority="9">
      <formula>AND(ISNUMBER(F2), F2&gt;=0.1)</formula>
    </cfRule>
  </conditionalFormatting>
  <conditionalFormatting sqref="F5 I5">
    <cfRule type="cellIs" dxfId="28" priority="3" stopIfTrue="1" operator="lessThanOrEqual">
      <formula>-0.1</formula>
    </cfRule>
    <cfRule type="expression" dxfId="27" priority="4">
      <formula>AND(ISNUMBER(F5), F5&gt;=0.1)</formula>
    </cfRule>
  </conditionalFormatting>
  <conditionalFormatting sqref="F4 I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0032" xr:uid="{9C95014D-C5C3-4943-8DAC-C7F9E6F3EDAA}"/>
    <hyperlink ref="L4" r:id="rId2" display="https://us3.assetplanner.com/service_request?ID=095614" xr:uid="{0F8930D8-F672-46C5-8D24-440E81E72A1C}"/>
    <hyperlink ref="M4" r:id="rId3" display="https://us3.assetplanner.com/service_request?ID=095301" xr:uid="{582E0402-1E5B-4434-9ADD-B0297EF91829}"/>
    <hyperlink ref="N4" r:id="rId4" display="https://us3.assetplanner.com/service_request?ID=095351" xr:uid="{8585770C-AAF5-451E-AC7B-7E8566EC3DB2}"/>
  </hyperlinks>
  <pageMargins left="0.4" right="0.7" top="0.25" bottom="0.25" header="0.3" footer="0.3"/>
  <pageSetup fitToHeight="99" orientation="landscape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11"/>
  <sheetViews>
    <sheetView workbookViewId="0">
      <pane xSplit="2" ySplit="3" topLeftCell="C4" activePane="bottomRight" state="frozen"/>
      <selection pane="bottomRight" activeCell="J8" sqref="J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9" t="str" cm="1">
        <f t="array" ref="A1">portfolio</f>
        <v>HAJJAR SOLAR LLC</v>
      </c>
      <c r="B1" s="59"/>
      <c r="C1" s="59"/>
      <c r="D1" s="60" t="s">
        <v>28</v>
      </c>
      <c r="E1" s="60"/>
      <c r="F1" s="60"/>
      <c r="G1" s="58" t="s">
        <v>29</v>
      </c>
      <c r="H1" s="58"/>
      <c r="I1" s="58"/>
      <c r="J1" s="4"/>
      <c r="K1" s="4"/>
    </row>
    <row r="2" spans="1:14" ht="19.5" customHeight="1">
      <c r="A2" s="61" t="s">
        <v>2</v>
      </c>
      <c r="B2" s="61"/>
      <c r="C2" s="5">
        <f>SUM(C4:C69)</f>
        <v>37139.025380045401</v>
      </c>
      <c r="D2" s="5">
        <f>SUM(D4:D69)</f>
        <v>0</v>
      </c>
      <c r="E2" s="5">
        <f>C2-D2</f>
        <v>37139.025380045401</v>
      </c>
      <c r="F2" s="6">
        <f>IFERROR(E2/D2, 0)</f>
        <v>0</v>
      </c>
      <c r="G2" s="5">
        <f>SUM(G4:G69)</f>
        <v>50160.960000000006</v>
      </c>
      <c r="H2" s="7">
        <f>C2-G2</f>
        <v>-13021.934619954605</v>
      </c>
      <c r="I2" s="6">
        <f>IFERROR(H2/G2, 0)</f>
        <v>-0.25960297849073471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4" ht="76.5">
      <c r="A4" s="48" t="str" cm="1">
        <f t="array" ref="A4:A5">Sites[Site]</f>
        <v>South Easton - Hajjar Solar LLC</v>
      </c>
      <c r="B4" s="28" t="str" cm="1">
        <f t="array" ref="B4:B5">Sites[State]</f>
        <v>MA</v>
      </c>
      <c r="C4" s="24">
        <v>12463.6254166665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18443.240000000002</v>
      </c>
      <c r="H4" s="15">
        <f>IF(AND(ISNUMBER(C4),ISNUMBER(G4)), C4-G4, "")</f>
        <v>-5979.6145833335013</v>
      </c>
      <c r="I4" s="16">
        <f>IFERROR(H4/G4, "")</f>
        <v>-0.32421714315562239</v>
      </c>
      <c r="J4" s="40" t="s">
        <v>30</v>
      </c>
      <c r="K4" s="55" t="s">
        <v>31</v>
      </c>
      <c r="L4" s="57" t="s">
        <v>25</v>
      </c>
      <c r="M4" s="57" t="s">
        <v>32</v>
      </c>
      <c r="N4" s="57" t="s">
        <v>33</v>
      </c>
    </row>
    <row r="5" spans="1:14" ht="15.75">
      <c r="A5" s="49" t="str">
        <v>Hanover - Hajjar Solar LLC</v>
      </c>
      <c r="B5" s="30" t="str">
        <v>MA</v>
      </c>
      <c r="C5" s="11">
        <v>24675.399963378899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31717.72</v>
      </c>
      <c r="H5" s="20">
        <f t="shared" ref="H5" si="1">IF(AND(ISNUMBER(C5),ISNUMBER(G5)), C5-G5, "")</f>
        <v>-7042.3200366211022</v>
      </c>
      <c r="I5" s="19">
        <f t="shared" ref="I5" si="2">IFERROR(H5/G5, "")</f>
        <v>-0.22203109292285517</v>
      </c>
      <c r="J5" s="41" t="s">
        <v>34</v>
      </c>
      <c r="K5" s="41"/>
    </row>
    <row r="6" spans="1:14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4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4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4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4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4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4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4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4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4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4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0032" xr:uid="{7AD3BA87-83B0-4218-AFE9-960802C5FD86}"/>
    <hyperlink ref="L4" r:id="rId2" display="https://us3.assetplanner.com/service_request?ID=095614" xr:uid="{4E2C1BFC-5326-4722-B063-DB72627D97B4}"/>
    <hyperlink ref="M4" r:id="rId3" display="https://us3.assetplanner.com/service_request?ID=097696" xr:uid="{0BB296C6-06E3-4C84-9683-4420DD922ABA}"/>
    <hyperlink ref="N4" r:id="rId4" display="https://us3.assetplanner.com/service_request?ID=097934" xr:uid="{E5EBC5F7-8F23-427A-9E16-361963687DF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11"/>
  <sheetViews>
    <sheetView tabSelected="1" workbookViewId="0">
      <pane xSplit="2" ySplit="3" topLeftCell="C4" activePane="bottomRight" state="frozen"/>
      <selection pane="bottomRight" activeCell="I9" sqref="I9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9" t="str" cm="1">
        <f t="array" ref="A1">portfolio</f>
        <v>HAJJAR SOLAR LLC</v>
      </c>
      <c r="B1" s="59"/>
      <c r="C1" s="59"/>
      <c r="D1" s="60" t="s">
        <v>35</v>
      </c>
      <c r="E1" s="60"/>
      <c r="F1" s="60"/>
      <c r="G1" s="58" t="s">
        <v>36</v>
      </c>
      <c r="H1" s="58"/>
      <c r="I1" s="58"/>
      <c r="J1" s="4"/>
      <c r="K1" s="4"/>
    </row>
    <row r="2" spans="1:15" ht="19.5" customHeight="1">
      <c r="A2" s="61" t="s">
        <v>2</v>
      </c>
      <c r="B2" s="61"/>
      <c r="C2" s="5">
        <f>SUM(C4:C69)</f>
        <v>73565.194589999999</v>
      </c>
      <c r="D2" s="5">
        <f>SUM(D4:D69)</f>
        <v>0</v>
      </c>
      <c r="E2" s="5">
        <f>C2-D2</f>
        <v>73565.194589999999</v>
      </c>
      <c r="F2" s="6">
        <f>IFERROR(E2/D2, 0)</f>
        <v>0</v>
      </c>
      <c r="G2" s="5">
        <f>SUM(G4:G69)</f>
        <v>88888.049999999988</v>
      </c>
      <c r="H2" s="7">
        <f>C2-G2</f>
        <v>-15322.855409999989</v>
      </c>
      <c r="I2" s="6">
        <f>IFERROR(H2/G2, 0)</f>
        <v>-0.17238375023414274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5" ht="152.25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>
        <v>24803.87458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36761.96</v>
      </c>
      <c r="H4" s="15">
        <f>IF(AND(ISNUMBER(C4),ISNUMBER(G4)), C4-G4, "")</f>
        <v>-11958.085419999999</v>
      </c>
      <c r="I4" s="16">
        <f>IFERROR(H4/G4, "")</f>
        <v>-0.32528421825169279</v>
      </c>
      <c r="J4" s="40" t="s">
        <v>37</v>
      </c>
      <c r="K4" s="55" t="s">
        <v>38</v>
      </c>
      <c r="L4" s="57" t="s">
        <v>32</v>
      </c>
      <c r="M4" s="57" t="s">
        <v>33</v>
      </c>
      <c r="N4" s="57" t="s">
        <v>39</v>
      </c>
      <c r="O4" s="57" t="s">
        <v>40</v>
      </c>
    </row>
    <row r="5" spans="1:15" ht="72">
      <c r="A5" s="29" t="str">
        <v>Hanover - Hajjar Solar LLC</v>
      </c>
      <c r="B5" s="30" t="str">
        <v>MA</v>
      </c>
      <c r="C5" s="11">
        <v>48761.320010000003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52126.09</v>
      </c>
      <c r="H5" s="20">
        <f t="shared" ref="H5" si="1">IF(AND(ISNUMBER(C5),ISNUMBER(G5)), C5-G5, "")</f>
        <v>-3364.7699899999934</v>
      </c>
      <c r="I5" s="19">
        <f t="shared" ref="I5" si="2">IFERROR(H5/G5, "")</f>
        <v>-6.455059241926632E-2</v>
      </c>
      <c r="J5" s="54" t="s">
        <v>41</v>
      </c>
      <c r="K5" s="56" t="s">
        <v>42</v>
      </c>
    </row>
    <row r="6" spans="1:15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5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5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5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5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5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5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5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5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5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5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5614" xr:uid="{DD5B161C-53EB-48D1-B2AE-56FCBA2E646C}"/>
    <hyperlink ref="L4" r:id="rId2" display="https://us3.assetplanner.com/service_request?ID=097696" xr:uid="{B7A43102-AAED-4F28-BACB-BEBA185457F0}"/>
    <hyperlink ref="M4" r:id="rId3" display="https://us3.assetplanner.com/service_request?ID=097934" xr:uid="{270FC749-B234-46B9-A1C0-EE2606576D83}"/>
    <hyperlink ref="N4" r:id="rId4" display="https://us3.assetplanner.com/service_request?ID=099467" xr:uid="{05560C34-CA6A-4896-8C39-AC34C42F516D}"/>
    <hyperlink ref="O4" r:id="rId5" display="https://us3.assetplanner.com/service_request?ID=098663" xr:uid="{035100CB-5D9F-466C-BA4D-43B9D3D531D8}"/>
    <hyperlink ref="K5" r:id="rId6" display="https://us3.assetplanner.com/service_request?ID=097974" xr:uid="{EB9829B5-B32B-4969-A4E5-9930B5AD18C4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D18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HAJJAR SOLAR LLC</v>
      </c>
      <c r="B1" s="59"/>
      <c r="C1" s="59"/>
      <c r="D1" s="60" t="s">
        <v>43</v>
      </c>
      <c r="E1" s="60"/>
      <c r="F1" s="60"/>
      <c r="G1" s="58" t="s">
        <v>44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D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HAJJAR SOLAR LLC</v>
      </c>
      <c r="B1" s="59"/>
      <c r="C1" s="59"/>
      <c r="D1" s="60" t="s">
        <v>45</v>
      </c>
      <c r="E1" s="60"/>
      <c r="F1" s="60"/>
      <c r="G1" s="58" t="s">
        <v>46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workbookViewId="0">
      <pane xSplit="2" ySplit="3" topLeftCell="J12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HAJJAR SOLAR LLC</v>
      </c>
      <c r="B1" s="59"/>
      <c r="C1" s="59"/>
      <c r="D1" s="60" t="s">
        <v>47</v>
      </c>
      <c r="E1" s="60"/>
      <c r="F1" s="60"/>
      <c r="G1" s="58" t="s">
        <v>48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C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HAJJAR SOLAR LLC</v>
      </c>
      <c r="B1" s="59"/>
      <c r="C1" s="59"/>
      <c r="D1" s="60" t="s">
        <v>49</v>
      </c>
      <c r="E1" s="60"/>
      <c r="F1" s="60"/>
      <c r="G1" s="58" t="s">
        <v>50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J13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HAJJAR SOLAR LLC</v>
      </c>
      <c r="B1" s="59"/>
      <c r="C1" s="59"/>
      <c r="D1" s="60" t="s">
        <v>51</v>
      </c>
      <c r="E1" s="60"/>
      <c r="F1" s="60"/>
      <c r="G1" s="58" t="s">
        <v>52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workbookViewId="0">
      <pane xSplit="2" ySplit="3" topLeftCell="C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HAJJAR SOLAR LLC</v>
      </c>
      <c r="B1" s="59"/>
      <c r="C1" s="59"/>
      <c r="D1" s="60" t="s">
        <v>53</v>
      </c>
      <c r="E1" s="60"/>
      <c r="F1" s="60"/>
      <c r="G1" s="58" t="s">
        <v>54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HAJJAR SOLAR LLC</v>
      </c>
      <c r="B1" s="59"/>
      <c r="C1" s="59"/>
      <c r="D1" s="60" t="s">
        <v>55</v>
      </c>
      <c r="E1" s="60"/>
      <c r="F1" s="60"/>
      <c r="G1" s="58" t="s">
        <v>56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HAJJAR SOLAR LLC</v>
      </c>
      <c r="B1" s="59"/>
      <c r="C1" s="59"/>
      <c r="D1" s="60" t="s">
        <v>57</v>
      </c>
      <c r="E1" s="60"/>
      <c r="F1" s="60"/>
      <c r="G1" s="58" t="s">
        <v>58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C4" activePane="bottomRight" state="frozen"/>
      <selection pane="bottomRight" activeCell="E18" sqref="E18"/>
      <selection pane="bottomLeft" activeCell="E18" sqref="E18"/>
      <selection pane="topRight" activeCell="E18" sqref="E18"/>
    </sheetView>
  </sheetViews>
  <sheetFormatPr defaultRowHeight="13.9"/>
  <cols>
    <col min="1" max="1" width="35.71093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HAJJAR SOLAR LLC</v>
      </c>
      <c r="B1" s="59"/>
      <c r="C1" s="59"/>
      <c r="D1" s="60" t="s">
        <v>59</v>
      </c>
      <c r="E1" s="60"/>
      <c r="F1" s="60"/>
      <c r="G1" s="58" t="s">
        <v>60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South Easton - Hajjar Solar LLC</v>
      </c>
      <c r="B4" s="28" t="str" cm="1">
        <f t="array" ref="B4:B5">Sites[State]</f>
        <v>MA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Hanover - Hajjar Solar LLC</v>
      </c>
      <c r="B5" s="30" t="str">
        <v>MA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G8" sqref="G8"/>
    </sheetView>
  </sheetViews>
  <sheetFormatPr defaultRowHeight="12.75" customHeight="1"/>
  <cols>
    <col min="1" max="2" width="41.7109375" customWidth="1"/>
    <col min="4" max="4" width="9.28515625" customWidth="1"/>
    <col min="5" max="5" width="24.28515625" customWidth="1"/>
    <col min="6" max="10" width="9.28515625" customWidth="1"/>
    <col min="11" max="12" width="22" bestFit="1" customWidth="1"/>
    <col min="13" max="14" width="9.28515625" customWidth="1"/>
  </cols>
  <sheetData>
    <row r="1" spans="1:12" ht="12.75" customHeight="1">
      <c r="A1" t="s">
        <v>61</v>
      </c>
      <c r="B1" s="2" t="s">
        <v>62</v>
      </c>
    </row>
    <row r="3" spans="1:12" ht="13.15">
      <c r="A3" t="s">
        <v>63</v>
      </c>
      <c r="B3" t="s">
        <v>3</v>
      </c>
      <c r="C3" t="s">
        <v>4</v>
      </c>
      <c r="D3" t="s">
        <v>64</v>
      </c>
      <c r="E3" s="2" t="s">
        <v>65</v>
      </c>
    </row>
    <row r="4" spans="1:12" ht="14.45">
      <c r="A4" s="50" t="s">
        <v>66</v>
      </c>
      <c r="B4" s="50" t="s">
        <v>67</v>
      </c>
      <c r="C4" s="50" t="s">
        <v>68</v>
      </c>
      <c r="D4" s="51"/>
      <c r="E4" s="53" t="s">
        <v>69</v>
      </c>
      <c r="G4" s="3"/>
    </row>
    <row r="5" spans="1:12" ht="14.45">
      <c r="A5" s="52" t="s">
        <v>70</v>
      </c>
      <c r="B5" s="52" t="s">
        <v>71</v>
      </c>
      <c r="C5" s="50" t="s">
        <v>68</v>
      </c>
      <c r="D5" s="51" t="s">
        <v>72</v>
      </c>
      <c r="E5" s="53" t="s">
        <v>69</v>
      </c>
      <c r="G5" s="3"/>
    </row>
    <row r="6" spans="1:12" ht="14.45">
      <c r="A6" s="47"/>
      <c r="C6" s="44"/>
      <c r="D6" s="43"/>
      <c r="G6" s="3"/>
    </row>
    <row r="7" spans="1:12" ht="12.75" customHeight="1">
      <c r="A7" s="47"/>
      <c r="C7" s="44"/>
      <c r="D7" s="43"/>
    </row>
    <row r="8" spans="1:12" ht="12.75" customHeight="1">
      <c r="A8" s="47"/>
      <c r="C8" s="44"/>
      <c r="D8" s="43"/>
    </row>
    <row r="9" spans="1:12" ht="12.75" customHeight="1">
      <c r="A9" s="47"/>
      <c r="C9" s="44"/>
      <c r="D9" s="43"/>
    </row>
    <row r="10" spans="1:12" ht="12.75" customHeight="1">
      <c r="A10" s="47"/>
      <c r="C10" s="44"/>
      <c r="D10" s="43"/>
      <c r="K10" s="42"/>
      <c r="L10" s="42"/>
    </row>
    <row r="11" spans="1:12" ht="12.75" customHeight="1">
      <c r="A11" s="47"/>
      <c r="C11" s="44"/>
      <c r="D11" s="43"/>
      <c r="K11" s="42"/>
      <c r="L11" s="42"/>
    </row>
    <row r="12" spans="1:12" ht="12.75" customHeight="1">
      <c r="A12" s="47"/>
      <c r="C12" s="44"/>
      <c r="D12" s="43"/>
      <c r="K12" s="42"/>
      <c r="L12" s="42"/>
    </row>
    <row r="13" spans="1:12" ht="12.75" customHeight="1">
      <c r="A13" s="47"/>
      <c r="C13" s="44"/>
      <c r="D13" s="43"/>
      <c r="K13" s="42"/>
      <c r="L13" s="42"/>
    </row>
    <row r="14" spans="1:12" ht="12.75" customHeight="1">
      <c r="A14" s="47"/>
      <c r="C14" s="44"/>
      <c r="D14" s="43"/>
      <c r="K14" s="42"/>
      <c r="L14" s="42"/>
    </row>
    <row r="15" spans="1:12" ht="12.75" customHeight="1">
      <c r="A15" s="47"/>
      <c r="C15" s="44"/>
      <c r="D15" s="43"/>
      <c r="K15" s="42"/>
      <c r="L15" s="42"/>
    </row>
    <row r="16" spans="1:12" ht="12.75" customHeight="1">
      <c r="A16" s="47"/>
      <c r="C16" s="44"/>
      <c r="D16" s="43"/>
      <c r="K16" s="42"/>
      <c r="L16" s="42"/>
    </row>
    <row r="17" spans="1:12" ht="12.75" customHeight="1">
      <c r="A17" s="47"/>
      <c r="C17" s="44"/>
      <c r="D17" s="43"/>
      <c r="K17" s="42"/>
      <c r="L17" s="42"/>
    </row>
    <row r="18" spans="1:12" ht="12.75" customHeight="1">
      <c r="A18" s="47"/>
      <c r="C18" s="44"/>
      <c r="D18" s="43"/>
      <c r="K18" s="42"/>
      <c r="L18" s="42"/>
    </row>
    <row r="19" spans="1:12" ht="12.75" customHeight="1">
      <c r="A19" s="47"/>
      <c r="C19" s="44"/>
      <c r="D19" s="43"/>
      <c r="K19" s="42"/>
      <c r="L19" s="42"/>
    </row>
    <row r="20" spans="1:12" ht="12.75" customHeight="1">
      <c r="A20" s="47"/>
      <c r="C20" s="44"/>
      <c r="D20" s="43"/>
      <c r="K20" s="42"/>
      <c r="L20" s="42"/>
    </row>
    <row r="21" spans="1:12" ht="12.75" customHeight="1">
      <c r="A21" s="47"/>
      <c r="C21" s="44"/>
      <c r="D21" s="43"/>
      <c r="K21" s="42"/>
      <c r="L21" s="42"/>
    </row>
    <row r="22" spans="1:12" ht="12.75" customHeight="1">
      <c r="A22" s="47"/>
      <c r="C22" s="44"/>
      <c r="D22" s="43"/>
      <c r="K22" s="42"/>
      <c r="L22" s="42"/>
    </row>
    <row r="23" spans="1:12" ht="12.75" customHeight="1">
      <c r="A23" s="47"/>
      <c r="C23" s="44"/>
      <c r="D23" s="43"/>
      <c r="K23" s="42"/>
      <c r="L23" s="42"/>
    </row>
    <row r="24" spans="1:12" ht="12.75" customHeight="1">
      <c r="A24" s="47"/>
      <c r="C24" s="44"/>
      <c r="D24" s="43"/>
      <c r="K24" s="42"/>
      <c r="L24" s="42"/>
    </row>
    <row r="25" spans="1:12" ht="12.75" customHeight="1">
      <c r="A25" s="47"/>
      <c r="C25" s="44"/>
      <c r="D25" s="43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39971EBD-A1E5-4009-AD24-076EBCBAFF45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2024-10-17T18:44:55Z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65dc6046-f844-4f41-a2ad-42995875d621</vt:lpwstr>
  </property>
  <property fmtid="{D5CDD505-2E9C-101B-9397-08002B2CF9AE}" pid="9" name="MSIP_Label_9d817c99-0b37-4a07-8277-96aa1f96b74b_ContentBits">
    <vt:lpwstr>0</vt:lpwstr>
  </property>
</Properties>
</file>