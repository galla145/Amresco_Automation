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A5330FF3-F83C-4767-8816-FC991E8DCB65}" xr6:coauthVersionLast="47" xr6:coauthVersionMax="47" xr10:uidLastSave="{00000000-0000-0000-0000-000000000000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<sst xmlns="http://schemas.openxmlformats.org/spreadsheetml/2006/main" count="245" uniqueCount="52">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</sst>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456483</v>
      </c>
      <c r="D4" s="13">
        <f>SUM('1st Qtr'!D4, '2nd Qtr'!D4, '3rd Qtr'!D4, '4th Qtr'!D4)</f>
        <v>0</v>
      </c>
      <c r="E4" s="13">
        <f>IF(AND(ISNUMBER(C4),ISNUMBER(D4)), C4-D4, "")</f>
        <v>456483</v>
      </c>
      <c r="F4" s="14" t="str">
        <f>IFERROR(E4/D4, "")</f>
        <v/>
      </c>
      <c r="G4" s="15"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5" sqref="E1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456483</v>
      </c>
      <c r="D4" s="13">
        <f>SUM(Jan!D4, Feb!D4, Mar!D4)</f>
        <v>0</v>
      </c>
      <c r="E4" s="13">
        <f>IF(AND(ISNUMBER(C4),ISNUMBER(D4)), C4-D4, "")</f>
        <v>456483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Hubbardston Solar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H16" sqref="H16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62341</v>
      </c>
      <c r="D2" s="6">
        <f>SUM(D4:D88)</f>
        <v>0</v>
      </c>
      <c r="E2" s="6">
        <f>C2-D2</f>
        <v>62341</v>
      </c>
      <c r="F2" s="7">
        <f>IFERROR(E2/D2, 0)</f>
        <v>0</v>
      </c>
      <c r="G2" s="6">
        <f>SUM(G4:G88)</f>
        <v>0</v>
      </c>
      <c r="H2" s="8">
        <f>C2-G2</f>
        <v>62341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62341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267072</v>
      </c>
      <c r="D2" s="6">
        <f>SUM(D4:D88)</f>
        <v>0</v>
      </c>
      <c r="E2" s="6">
        <f>C2-D2</f>
        <v>267072</v>
      </c>
      <c r="F2" s="7">
        <f>IFERROR(E2/D2, 0)</f>
        <v>0</v>
      </c>
      <c r="G2" s="6">
        <f>SUM(G4:G88)</f>
        <v>0</v>
      </c>
      <c r="H2" s="8">
        <f>C2-G2</f>
        <v>267072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267072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H13" sqref="H13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31</v>
      </c>
      <c r="E1" s="45"/>
      <c r="F1" s="45"/>
      <c r="G1" s="43" t="s">
        <v>32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/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Hubbardston Solar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s="3" t="s">
        <v>46</v>
      </c>
      <c r="B4" t="s">
        <v>46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A2B9091-758F-4DB6-8778-4EF21A252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2025-07-10T10:39:48Z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