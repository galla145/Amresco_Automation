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4" documentId="13_ncr:1_{CA4B7C2D-B038-483E-ADEE-1879A793F2F4}" xr6:coauthVersionLast="47" xr6:coauthVersionMax="47" xr10:uidLastSave="{2A1A2295-8E29-461B-AB64-C5AB4210C715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3" l="1"/>
  <c r="H4" i="32"/>
  <c r="H4" i="31"/>
  <c r="H4" i="28"/>
  <c r="H4" i="27"/>
  <c r="H4" i="26"/>
  <c r="H4" i="19"/>
  <c r="H4" i="20"/>
  <c r="H4" i="21"/>
  <c r="H4" i="4"/>
  <c r="H4" i="3"/>
  <c r="H4" i="72"/>
  <c r="I4" i="72" s="1"/>
  <c r="G4" i="30"/>
  <c r="G4" i="29"/>
  <c r="G4" i="18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I4" i="31"/>
  <c r="E4" i="31"/>
  <c r="F4" i="31" s="1"/>
  <c r="G2" i="31"/>
  <c r="D2" i="31"/>
  <c r="C2" i="31"/>
  <c r="A1" i="31" a="1"/>
  <c r="A1" i="31" s="1"/>
  <c r="I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E4" i="27"/>
  <c r="F4" i="27" s="1"/>
  <c r="G2" i="27"/>
  <c r="D2" i="27"/>
  <c r="C2" i="27"/>
  <c r="A1" i="27" a="1"/>
  <c r="A1" i="27" s="1"/>
  <c r="I4" i="26"/>
  <c r="E4" i="26"/>
  <c r="F4" i="26" s="1"/>
  <c r="G2" i="26"/>
  <c r="D2" i="26"/>
  <c r="C2" i="26"/>
  <c r="A1" i="26" a="1"/>
  <c r="A1" i="26" s="1"/>
  <c r="I4" i="19"/>
  <c r="E4" i="19"/>
  <c r="F4" i="19" s="1"/>
  <c r="G2" i="19"/>
  <c r="D2" i="19"/>
  <c r="C2" i="19"/>
  <c r="A1" i="19" a="1"/>
  <c r="A1" i="19" s="1"/>
  <c r="I4" i="20"/>
  <c r="E4" i="20"/>
  <c r="F4" i="20" s="1"/>
  <c r="G2" i="20"/>
  <c r="D2" i="20"/>
  <c r="C2" i="20"/>
  <c r="A1" i="20" a="1"/>
  <c r="A1" i="20" s="1"/>
  <c r="I4" i="2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<sst xmlns="http://schemas.openxmlformats.org/spreadsheetml/2006/main" count="255" uniqueCount="61">
  <si>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</si>
  <si>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</si>
  <si>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</si>
  <si>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</si>
  <si>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</si>
  <si>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</si>
  <si>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</si>
  <si>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</si>
  <si>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</si>
  <si>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</si>
  <si>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</si>
  <si>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</si>
  <si>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</si>
  <si>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</si>
  <si>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</si>
  <si>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</si>
  <si>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</si>
  <si>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</si>
  <si>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</si>
  <si>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</si>
  <si>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</si>
  <si>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</si>
  <si>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</si>
  <si>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Weather station reporting erraneous values since 03/12/2024.</t>
  </si>
  <si>
    <t>1. SR081787</t>
  </si>
  <si>
    <t>February Actual v. Expected</t>
  </si>
  <si>
    <t>February Actual v. Forecasted</t>
  </si>
  <si>
    <t>1.Inverter 16 went offline on 02/01 and came back online at 7:15 AM on 02/02. However, the inverter started production late at 2:25 PM on 02/04. It tripped offline again at 12:35 PM on 02/19. On 02/20, upon the technician's arrival, several faults were identified: "Isolation Error, grid voltage fault, and protect 0260." The inverter was brought back online on 02/20.
2.Inverter 16 was offline on 02/25 and back online at 02:35PM on same day.
3.Inverter 12 was taken offline from 09:15AM to 09:55AM on 02/26 to replace damaged screen
4. Weather station reporting erraneous values since 03/12/2024.</t>
  </si>
  <si>
    <t>1.SR096218
2.SR097773
3.SR097591
4. SR081787</t>
  </si>
  <si>
    <t>SR097773</t>
  </si>
  <si>
    <t>SR097591</t>
  </si>
  <si>
    <t>SR081787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</si>
  <si>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</si>
  <si>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</si>
  <si>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</si>
  <si>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</si>
  <si>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</si>
  <si>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</si>
  <si>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</si>
  <si>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</si>
  <si>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</si>
  <si>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</si>
  <si>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</si>
  <si>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</si>
  <si>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</si>
  <si>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</si>
  <si>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</si>
  <si>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</si>
  <si>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</si>
  <si>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</si>
  <si>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</si>
  <si>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</si>
  <si>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</si>
  <si>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Norton - Wheaton College</t>
  </si>
  <si>
    <t>Site DAS Name</t>
  </si>
  <si>
    <t>Update</t>
  </si>
  <si>
    <t>DAS</t>
  </si>
  <si>
    <t>Wheaton College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</si>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</sst>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9" fontId="30" fillId="38" borderId="12" xfId="2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6" fillId="38" borderId="0" xfId="45" applyNumberFormat="1" applyFill="1" applyBorder="1" applyAlignment="1">
      <alignment vertical="top" wrapText="1"/>
    </xf>
    <xf numFmtId="0" fontId="35" fillId="46" borderId="0" xfId="0" applyFont="1" applyFill="1" applyAlignment="1">
      <alignment horizontal="right" vertical="center"/>
    </xf>
    <xf numFmtId="3" fontId="35" fillId="47" borderId="0" xfId="0" applyNumberFormat="1" applyFont="1" applyFill="1" applyAlignment="1">
      <alignment horizontal="right" vertical="center"/>
    </xf>
    <xf numFmtId="9" fontId="36" fillId="38" borderId="12" xfId="45" applyNumberFormat="1" applyFill="1" applyBorder="1" applyAlignment="1">
      <alignment horizontal="left" vertical="top" wrapText="1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178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591" TargetMode="External"/><Relationship Id="rId2" Type="http://schemas.openxmlformats.org/officeDocument/2006/relationships/hyperlink" Target="https://us3.assetplanner.com/service_request?ID=097773" TargetMode="External"/><Relationship Id="rId1" Type="http://schemas.openxmlformats.org/officeDocument/2006/relationships/hyperlink" Target="https://us3.assetplanner.com/service_request?ID=096218" TargetMode="External"/><Relationship Id="rId4" Type="http://schemas.openxmlformats.org/officeDocument/2006/relationships/hyperlink" Target="https://us3.assetplanner.com/service_request?ID=08178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178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Norton - Wheaton College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67281</v>
      </c>
      <c r="D2" s="5">
        <f>SUM(D4:D79)</f>
        <v>0</v>
      </c>
      <c r="E2" s="5">
        <f>C2-D2</f>
        <v>67281</v>
      </c>
      <c r="F2" s="6">
        <f>IFERROR(E2/D2, 0)</f>
        <v>0</v>
      </c>
      <c r="G2" s="5">
        <f>SUM(G4:G79)</f>
        <v>0</v>
      </c>
      <c r="H2" s="7">
        <f>C2-G2</f>
        <v>67281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67281</v>
      </c>
      <c r="D4" s="12">
        <f>SUM('1st Qtr'!D4, '2nd Qtr'!D4, '3rd Qtr'!D4, '4th Qtr'!D4)</f>
        <v>0</v>
      </c>
      <c r="E4" s="12">
        <f>IF(AND(ISNUMBER(C4),ISNUMBER(D4)), C4-D4, "")</f>
        <v>67281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I4" sqref="I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Norton - Wheaton College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67281</v>
      </c>
      <c r="D2" s="5">
        <f>SUM(D4:D79)</f>
        <v>0</v>
      </c>
      <c r="E2" s="5">
        <f>C2-D2</f>
        <v>67281</v>
      </c>
      <c r="F2" s="6">
        <f>IFERROR(E2/D2, 0)</f>
        <v>0</v>
      </c>
      <c r="G2" s="5">
        <f>SUM(G4:G79)</f>
        <v>0</v>
      </c>
      <c r="H2" s="7">
        <f>C2-G2</f>
        <v>67281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67281</v>
      </c>
      <c r="D4" s="12">
        <f>SUM(Jan!D4, Feb!D4, Mar!D4)</f>
        <v>0</v>
      </c>
      <c r="E4" s="12">
        <f>IF(AND(ISNUMBER(C4),ISNUMBER(D4)), C4-D4, "")</f>
        <v>67281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Norton - Wheaton College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Norton - Wheaton College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M15" sqref="M1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Norton - Wheaton College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15" sqref="J15"/>
      <selection pane="bottomLeft" activeCell="F16" sqref="F16"/>
      <selection pane="topRight" activeCell="F16" sqref="F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13777</v>
      </c>
      <c r="D2" s="5">
        <f>SUM(D4:D78)</f>
        <v>0</v>
      </c>
      <c r="E2" s="5">
        <f>C2-D2</f>
        <v>13777</v>
      </c>
      <c r="F2" s="6">
        <f>IFERROR(E2/D2, 0)</f>
        <v>0</v>
      </c>
      <c r="G2" s="5">
        <f>SUM(G4:G78)</f>
        <v>0</v>
      </c>
      <c r="H2" s="7">
        <f>C2-G2</f>
        <v>13777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13777</v>
      </c>
      <c r="D4" s="55" t="s">
        <v>22</v>
      </c>
      <c r="E4" s="12" t="str">
        <f>IF(AND(ISNUMBER(C4),ISNUMBER(D4)), C4-D4, "")</f>
        <v/>
      </c>
      <c r="F4" s="40" t="str">
        <f>IFERROR(E4/D4, "")</f>
        <v/>
      </c>
      <c r="G4" s="56" t="s">
        <v>22</v>
      </c>
      <c r="H4" s="14" t="str">
        <f>IF(AND(ISNUMBER(C4),ISNUMBER(G4)), C4-G4, "")</f>
        <v/>
      </c>
      <c r="I4" s="15" t="str">
        <f>IFERROR(H4/G4, "")</f>
        <v/>
      </c>
      <c r="J4" s="51" t="s">
        <v>23</v>
      </c>
      <c r="K4" s="57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81787" xr:uid="{C92A38EC-EE8A-4A15-8C21-3C7EF9D132C6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1"/>
  <sheetViews>
    <sheetView zoomScale="80" zoomScaleNormal="80" workbookViewId="0">
      <pane xSplit="2" ySplit="3" topLeftCell="C4" activePane="bottomRight" state="frozen"/>
      <selection pane="bottomRight" activeCell="F11" sqref="F11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0" t="str" cm="1">
        <f t="array" ref="A1">portfolio</f>
        <v>MA: Norton - Wheaton College</v>
      </c>
      <c r="B1" s="60"/>
      <c r="C1" s="60"/>
      <c r="D1" s="61" t="s">
        <v>25</v>
      </c>
      <c r="E1" s="61"/>
      <c r="F1" s="61"/>
      <c r="G1" s="59" t="s">
        <v>26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18434</v>
      </c>
      <c r="D2" s="5">
        <f>SUM(D4:D79)</f>
        <v>0</v>
      </c>
      <c r="E2" s="5">
        <f>C2-D2</f>
        <v>18434</v>
      </c>
      <c r="F2" s="6">
        <f>IFERROR(E2/D2, 0)</f>
        <v>0</v>
      </c>
      <c r="G2" s="5">
        <f>SUM(G4:G79)</f>
        <v>0</v>
      </c>
      <c r="H2" s="7">
        <f>C2-G2</f>
        <v>18434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33.5" customHeight="1">
      <c r="A4" s="52" t="str" cm="1">
        <f t="array" ref="A4">Sites[Site]</f>
        <v>MA: Norton - Wheaton College</v>
      </c>
      <c r="B4" s="27" t="str" cm="1">
        <f t="array" ref="B4">Sites[State]</f>
        <v>MA</v>
      </c>
      <c r="C4" s="23">
        <v>18434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4" t="s">
        <v>28</v>
      </c>
      <c r="L4" s="58" t="s">
        <v>29</v>
      </c>
      <c r="M4" s="58" t="s">
        <v>30</v>
      </c>
      <c r="N4" s="58" t="s">
        <v>31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218" xr:uid="{E6459B33-BE01-409A-923B-D1D195907CA3}"/>
    <hyperlink ref="L4" r:id="rId2" display="https://us3.assetplanner.com/service_request?ID=097773" xr:uid="{B6AF72BB-04E7-41EC-9413-8118E933954F}"/>
    <hyperlink ref="M4" r:id="rId3" display="https://us3.assetplanner.com/service_request?ID=097591" xr:uid="{97A4DC24-EE34-4169-B008-CCB9E87719CA}"/>
    <hyperlink ref="N4" r:id="rId4" display="https://us3.assetplanner.com/service_request?ID=081787" xr:uid="{5AAED69C-AD44-4D95-8259-0D18A778C84C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21" sqref="J21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35070</v>
      </c>
      <c r="D2" s="5">
        <f>SUM(D4:D79)</f>
        <v>0</v>
      </c>
      <c r="E2" s="5">
        <f>C2-D2</f>
        <v>35070</v>
      </c>
      <c r="F2" s="6">
        <f>IFERROR(E2/D2, 0)</f>
        <v>0</v>
      </c>
      <c r="G2" s="5">
        <f>SUM(G4:G79)</f>
        <v>0</v>
      </c>
      <c r="H2" s="7">
        <f>C2-G2</f>
        <v>35070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35070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54" t="s">
        <v>24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81787" xr:uid="{BBBF320A-2E54-469E-9B21-335038B21FC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E4" activePane="bottomRight" state="frozen"/>
      <selection pane="bottomRight" activeCell="H4" sqref="H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40</v>
      </c>
      <c r="E1" s="61"/>
      <c r="F1" s="61"/>
      <c r="G1" s="59" t="s">
        <v>41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G14" sqref="G1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Norton - Wheaton College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45" t="s">
        <v>57</v>
      </c>
      <c r="B4" t="s">
        <v>53</v>
      </c>
      <c r="C4" s="43" t="s">
        <v>58</v>
      </c>
      <c r="D4" s="42" t="s">
        <v>59</v>
      </c>
      <c r="E4" t="s">
        <v>60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69FF182-CB41-46AA-8E9E-119535EE986E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2025-04-17T15:10:55Z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6e691dd0-32e1-4f97-96bd-0bb2beb3a8c8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