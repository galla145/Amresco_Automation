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 documentId="13_ncr:1_{89B3053A-2A3A-464B-ACCA-1C03130B4C09}" xr6:coauthVersionLast="47" xr6:coauthVersionMax="47" xr10:uidLastSave="{AFA616FB-2420-4BFE-B6F8-7C53BEE34033}"/>
  <bookViews>
    <workbookView xWindow="-108" yWindow="-108" windowWidth="23256" windowHeight="13896" tabRatio="866" firstSheet="7" activeTab="7"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0" l="1"/>
  <c r="G4" i="29"/>
  <c r="G4" i="18"/>
  <c r="C4" i="30"/>
  <c r="D4" i="30"/>
  <c r="C4" i="29"/>
  <c r="D4" i="29"/>
  <c r="C4" i="18"/>
  <c r="D4" i="18"/>
  <c r="C4" i="1"/>
  <c r="D4" i="1"/>
  <c r="G4" i="1"/>
  <c r="D4" i="34" l="1"/>
  <c r="G4" i="34"/>
  <c r="C4" i="34"/>
  <c r="E4" i="72" l="1"/>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B4" i="34" a="1"/>
  <c r="B4" i="34" s="1"/>
  <c r="A4" i="34" a="1"/>
  <c r="A4" i="34" s="1"/>
  <c r="A1" i="34" a="1"/>
  <c r="A1" i="34" s="1"/>
  <c r="E4" i="30"/>
  <c r="F4" i="30" s="1"/>
  <c r="D2" i="29"/>
  <c r="E4" i="18"/>
  <c r="F4" i="18" s="1"/>
  <c r="D2"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E4" i="21"/>
  <c r="F4" i="21" s="1"/>
  <c r="G2" i="21"/>
  <c r="D2" i="21"/>
  <c r="C2" i="21"/>
  <c r="A1" i="21" a="1"/>
  <c r="A1" i="21" s="1"/>
  <c r="H4" i="4"/>
  <c r="I4" i="4" s="1"/>
  <c r="E4" i="4"/>
  <c r="F4" i="4" s="1"/>
  <c r="G2" i="4"/>
  <c r="D2" i="4"/>
  <c r="C2" i="4"/>
  <c r="A1" i="4" a="1"/>
  <c r="A1" i="4" s="1"/>
  <c r="G2" i="3"/>
  <c r="D2" i="3"/>
  <c r="C2" i="3"/>
  <c r="J2" i="3" s="1"/>
  <c r="A1" i="3" a="1"/>
  <c r="A1" i="3" s="1"/>
  <c r="H4" i="72"/>
  <c r="I4" i="72" s="1"/>
  <c r="G2" i="72"/>
  <c r="D2" i="72"/>
  <c r="C2" i="72"/>
  <c r="J2" i="72" s="1"/>
  <c r="A1" i="72" a="1"/>
  <c r="A1" i="72" s="1"/>
  <c r="D2" i="30" l="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D2" i="34"/>
  <c r="H4" i="30"/>
  <c r="I4" i="30" s="1"/>
  <c r="H4" i="29"/>
  <c r="I4" i="29" s="1"/>
  <c r="H4" i="18"/>
  <c r="I4" i="18" s="1"/>
  <c r="E4" i="34"/>
  <c r="F4" i="34" s="1"/>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G2" i="34" l="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<sst xmlns="http://schemas.openxmlformats.org/spreadsheetml/2006/main" count="250" uniqueCount="60">
  <si>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</si>
  <si>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</si>
  <si>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</si>
  <si>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</si>
  <si>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</si>
  <si>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</si>
  <si>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</si>
  <si>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</si>
  <si>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</si>
  <si>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</si>
  <si>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</si>
  <si>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</si>
  <si>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</si>
  <si>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</si>
  <si>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</si>
  <si>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</si>
  <si>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</si>
  <si>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</si>
  <si>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</si>
  <si>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</si>
  <si>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</si>
  <si>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</si>
  <si>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</si>
  <si>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Inverter 4 stopped communicating at 10:36 AM on 08/16/24 in SolarEdge, currently production cannot be confirmed as the Site expired in AlsoEnergy. The inverter was replaced on 10/18/24. But still not communicating.
2. Low generation due to weather/snow.</t>
  </si>
  <si>
    <t>1. SR098937</t>
  </si>
  <si>
    <t>February Actual v. Expected</t>
  </si>
  <si>
    <t>February Actual v. Forecasted</t>
  </si>
  <si>
    <t>March Actual v. Expected</t>
  </si>
  <si>
    <t>March Actual v. Forecasted</t>
  </si>
  <si>
    <t>1. Inverter 4 stopped communicating at 10:36 AM on 08/16/24 in SolarEdge, currently production cannot be confirmed as the Site expired in AlsoEnergy. The inverter was replaced on 10/18/24. But communication issue still persist, on 03/26 technician updated serial number and inverter comms were restored.
2. Inverter 3 central unit went offline on 03/25 due to an isolation fault. A technician found no visible damage but, after troubleshooting and consulting with Solaredge, suspected that recent heavy rains may have caused water intrusion in one or more MC4 connectors, leading to the fault. Central unit started for production on 03/26.</t>
  </si>
  <si>
    <t>1. SR098937
2. SR098962</t>
  </si>
  <si>
    <t>SR098962</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</si>
  <si>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</si>
  <si>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</si>
  <si>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</si>
  <si>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</si>
  <si>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</si>
  <si>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</si>
  <si>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</si>
  <si>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</si>
  <si>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</si>
  <si>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</si>
  <si>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</si>
  <si>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</si>
  <si>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</si>
  <si>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</si>
  <si>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</si>
  <si>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</si>
  <si>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</si>
  <si>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</si>
  <si>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</si>
  <si>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Crawford Realty</t>
  </si>
  <si>
    <t>Site DAS Name</t>
  </si>
  <si>
    <t>Update</t>
  </si>
  <si>
    <t>DAS</t>
  </si>
  <si>
    <t>101 Crawford</t>
  </si>
  <si>
    <t>MA: Leominster - Crawford Realty</t>
  </si>
  <si>
    <t>MA</t>
  </si>
  <si>
    <t>AF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</si>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</sst>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9" tint="0.79998168889431442"/>
        <bgColor rgb="FF000000"/>
      </patternFill>
    </fill>
    <fill>
      <patternFill patternType="solid">
        <fgColor rgb="FFD9E1F2"/>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0" fontId="0" fillId="0" borderId="0" xfId="0" applyAlignment="1">
      <alignment horizontal="center"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3" fontId="35" fillId="46" borderId="0" xfId="0" applyNumberFormat="1" applyFont="1" applyFill="1" applyAlignment="1">
      <alignment horizontal="right" vertical="center"/>
    </xf>
    <xf numFmtId="0" fontId="35" fillId="46" borderId="0" xfId="0" applyFont="1" applyFill="1" applyAlignment="1">
      <alignment horizontal="right" vertical="center"/>
    </xf>
    <xf numFmtId="0" fontId="24" fillId="42" borderId="11" xfId="0" applyFont="1" applyFill="1" applyBorder="1" applyAlignment="1">
      <alignment horizontal="center" vertical="center"/>
    </xf>
    <xf numFmtId="3" fontId="36" fillId="47" borderId="0" xfId="0" applyNumberFormat="1" applyFont="1" applyFill="1" applyAlignment="1">
      <alignment vertical="center"/>
    </xf>
    <xf numFmtId="49" fontId="30" fillId="38" borderId="0" xfId="2" applyNumberFormat="1" applyFont="1" applyFill="1" applyBorder="1" applyAlignment="1">
      <alignment horizontal="left" vertical="top" wrapText="1"/>
    </xf>
    <xf numFmtId="49" fontId="23" fillId="38" borderId="0" xfId="2" applyNumberFormat="1" applyFont="1" applyFill="1" applyBorder="1" applyAlignment="1">
      <alignment vertical="top" wrapText="1"/>
    </xf>
    <xf numFmtId="0" fontId="34" fillId="40" borderId="0" xfId="0" applyFont="1" applyFill="1" applyAlignment="1">
      <alignment horizontal="left" vertical="center"/>
    </xf>
    <xf numFmtId="49" fontId="37" fillId="38" borderId="0" xfId="45" applyNumberFormat="1" applyFill="1" applyBorder="1" applyAlignment="1">
      <alignment vertical="top" wrapText="1"/>
    </xf>
    <xf numFmtId="0" fontId="37" fillId="0" borderId="0" xfId="45"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s3.assetplanner.com/service_request?ID=09893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us3.assetplanner.com/service_request?ID=098937"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us3.assetplanner.com/service_request?ID=098962" TargetMode="External"/><Relationship Id="rId1" Type="http://schemas.openxmlformats.org/officeDocument/2006/relationships/hyperlink" Target="https://us3.assetplanner.com/service_request?ID=09893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7"/>
  <sheetViews>
    <sheetView workbookViewId="0">
      <pane xSplit="2" ySplit="3" topLeftCell="C4" activePane="bottomRight" state="frozen"/>
      <selection pane="bottomRight" activeCell="D12" sqref="D12"/>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0</v>
      </c>
      <c r="E1" s="58"/>
      <c r="F1" s="58"/>
      <c r="G1" s="56" t="s">
        <v>1</v>
      </c>
      <c r="H1" s="56"/>
      <c r="I1" s="56"/>
    </row>
    <row r="2" spans="1:9" ht="19.5" customHeight="1">
      <c r="A2" s="59" t="s">
        <v>2</v>
      </c>
      <c r="B2" s="59"/>
      <c r="C2" s="5">
        <f>SUM(C4:C75)</f>
        <v>89024.249933179701</v>
      </c>
      <c r="D2" s="5">
        <f>SUM(D4:D75)</f>
        <v>0</v>
      </c>
      <c r="E2" s="5">
        <f>C2-D2</f>
        <v>89024.249933179701</v>
      </c>
      <c r="F2" s="6">
        <f>IFERROR(E2/D2, 0)</f>
        <v>0</v>
      </c>
      <c r="G2" s="5">
        <f>SUM(G4:G75)</f>
        <v>158659.02000000002</v>
      </c>
      <c r="H2" s="7">
        <f>C2-G2</f>
        <v>-69634.770066820318</v>
      </c>
      <c r="I2" s="6">
        <f>IFERROR(H2/G2, 0)</f>
        <v>-0.43889575308621159</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MA: Leominster - Crawford Realty</v>
      </c>
      <c r="B4" s="9" t="str" cm="1">
        <f t="array" ref="B4">Sites[State]</f>
        <v>MA</v>
      </c>
      <c r="C4" s="23">
        <f>SUM('1st Qtr'!C4, '2nd Qtr'!C4, '3rd Qtr'!C4, '4th Qtr'!C4)</f>
        <v>89024.249933179701</v>
      </c>
      <c r="D4" s="12">
        <f>SUM('1st Qtr'!D4, '2nd Qtr'!D4, '3rd Qtr'!D4, '4th Qtr'!D4)</f>
        <v>0</v>
      </c>
      <c r="E4" s="12">
        <f>IF(AND(ISNUMBER(C4),ISNUMBER(D4)), C4-D4, "")</f>
        <v>89024.249933179701</v>
      </c>
      <c r="F4" s="13" t="str">
        <f>IFERROR(E4/D4, "")</f>
        <v/>
      </c>
      <c r="G4" s="14">
        <f>SUM('1st Qtr'!G4, '2nd Qtr'!G4, '3rd Qtr'!G4, '4th Qtr'!G4)</f>
        <v>158659.02000000002</v>
      </c>
      <c r="H4" s="14">
        <f>SUM('1st Qtr'!H4, '2nd Qtr'!H4, '3rd Qtr'!H4, '4th Qtr'!H4)</f>
        <v>-69634.770066820303</v>
      </c>
      <c r="I4" s="15">
        <f>IFERROR(H4/G4, "")</f>
        <v>-0.43889575308621154</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autoFilter ref="A2:I2" xr:uid="{D5C25034-9971-4A61-864F-C938F31EB1B8}"/>
  <mergeCells count="4">
    <mergeCell ref="G1:I1"/>
    <mergeCell ref="A1:C1"/>
    <mergeCell ref="D1:F1"/>
    <mergeCell ref="A2:B2"/>
  </mergeCells>
  <conditionalFormatting sqref="F2 I2 F4:F75 I4:I7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7"/>
  <sheetViews>
    <sheetView workbookViewId="0">
      <pane xSplit="2" ySplit="3" topLeftCell="C4" activePane="bottomRight" state="frozen"/>
      <selection pane="bottomRight" activeCell="D4" sqref="D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10</v>
      </c>
      <c r="E1" s="58"/>
      <c r="F1" s="58"/>
      <c r="G1" s="56" t="s">
        <v>11</v>
      </c>
      <c r="H1" s="56"/>
      <c r="I1" s="56"/>
    </row>
    <row r="2" spans="1:9" ht="19.5" customHeight="1">
      <c r="A2" s="59" t="s">
        <v>2</v>
      </c>
      <c r="B2" s="59"/>
      <c r="C2" s="5">
        <f>SUM(C4:C75)</f>
        <v>89024.249933179701</v>
      </c>
      <c r="D2" s="5">
        <f>SUM(D4:D75)</f>
        <v>0</v>
      </c>
      <c r="E2" s="5">
        <f>C2-D2</f>
        <v>89024.249933179701</v>
      </c>
      <c r="F2" s="6">
        <f>IFERROR(E2/D2, 0)</f>
        <v>0</v>
      </c>
      <c r="G2" s="5">
        <f>SUM(G4:G75)</f>
        <v>158659.02000000002</v>
      </c>
      <c r="H2" s="7">
        <f>C2-G2</f>
        <v>-69634.770066820318</v>
      </c>
      <c r="I2" s="6">
        <f>IFERROR(H2/G2, 0)</f>
        <v>-0.43889575308621159</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SUM(Jan!C4, Feb!C4, Mar!C4)</f>
        <v>89024.249933179701</v>
      </c>
      <c r="D4" s="12">
        <f>SUM(Jan!D4, Feb!D4, Mar!D4)</f>
        <v>0</v>
      </c>
      <c r="E4" s="12">
        <f>IF(AND(ISNUMBER(C4),ISNUMBER(D4)), C4-D4, "")</f>
        <v>89024.249933179701</v>
      </c>
      <c r="F4" s="13" t="str">
        <f>IFERROR(E4/D4, "")</f>
        <v/>
      </c>
      <c r="G4" s="14">
        <f>SUM(Jan!G4, Feb!G4, Mar!G4)</f>
        <v>158659.02000000002</v>
      </c>
      <c r="H4" s="14">
        <f>SUM(Jan!H4, Feb!H4, Mar!H4)</f>
        <v>-69634.770066820303</v>
      </c>
      <c r="I4" s="15">
        <f>IFERROR(H4/G4, "")</f>
        <v>-0.43889575308621154</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sortState xmlns:xlrd2="http://schemas.microsoft.com/office/spreadsheetml/2017/richdata2" ref="A3:I3">
    <sortCondition ref="A3"/>
  </sortState>
  <mergeCells count="4">
    <mergeCell ref="G1:I1"/>
    <mergeCell ref="A1:C1"/>
    <mergeCell ref="D1:F1"/>
    <mergeCell ref="A2:B2"/>
  </mergeCells>
  <conditionalFormatting sqref="F2 I2 F4:F75 I4:I75">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12</v>
      </c>
      <c r="E1" s="58"/>
      <c r="F1" s="58"/>
      <c r="G1" s="56" t="s">
        <v>13</v>
      </c>
      <c r="H1" s="56"/>
      <c r="I1" s="56"/>
    </row>
    <row r="2" spans="1:9" ht="19.5" customHeight="1">
      <c r="A2" s="59" t="s">
        <v>2</v>
      </c>
      <c r="B2" s="59"/>
      <c r="C2" s="5">
        <f>SUM(C4:C75)</f>
        <v>0</v>
      </c>
      <c r="D2" s="5">
        <f>SUM(D4:D75)</f>
        <v>0</v>
      </c>
      <c r="E2" s="5">
        <f>C2-D2</f>
        <v>0</v>
      </c>
      <c r="F2" s="6">
        <f>IFERROR(E2/D2, 0)</f>
        <v>0</v>
      </c>
      <c r="G2" s="5">
        <f>SUM(G4:G75)</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SUM(Apr!C4, May!C4, Jun!C4)</f>
        <v>0</v>
      </c>
      <c r="D4" s="12">
        <f>SUM(Apr!D4, May!D4, Jun!D4)</f>
        <v>0</v>
      </c>
      <c r="E4" s="12">
        <f>IF(AND(ISNUMBER(C4),ISNUMBER(D4)), C4-D4, "")</f>
        <v>0</v>
      </c>
      <c r="F4" s="13" t="str">
        <f>IFERROR(E4/D4, "")</f>
        <v/>
      </c>
      <c r="G4" s="14">
        <f>SUM(Apr!G4,May!G4,Jun!G4)</f>
        <v>0</v>
      </c>
      <c r="H4" s="14">
        <f>SUM(Apr!H4, May!H4, Jun!H4)</f>
        <v>0</v>
      </c>
      <c r="I4" s="15" t="str">
        <f>IFERROR(H4/G4, "")</f>
        <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sortState xmlns:xlrd2="http://schemas.microsoft.com/office/spreadsheetml/2017/richdata2" ref="A3:I4">
    <sortCondition ref="A3:A4"/>
  </sortState>
  <mergeCells count="4">
    <mergeCell ref="G1:I1"/>
    <mergeCell ref="A1:C1"/>
    <mergeCell ref="D1:F1"/>
    <mergeCell ref="A2:B2"/>
  </mergeCells>
  <conditionalFormatting sqref="F2 I2 F4:F75 I4:I75">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14</v>
      </c>
      <c r="E1" s="58"/>
      <c r="F1" s="58"/>
      <c r="G1" s="56" t="s">
        <v>15</v>
      </c>
      <c r="H1" s="56"/>
      <c r="I1" s="56"/>
    </row>
    <row r="2" spans="1:9" ht="19.5" customHeight="1">
      <c r="A2" s="59" t="s">
        <v>2</v>
      </c>
      <c r="B2" s="59"/>
      <c r="C2" s="5">
        <f>SUM(C4:C75)</f>
        <v>0</v>
      </c>
      <c r="D2" s="5">
        <f>SUM(D4:D75)</f>
        <v>0</v>
      </c>
      <c r="E2" s="5">
        <f>C2-D2</f>
        <v>0</v>
      </c>
      <c r="F2" s="6">
        <f>IFERROR(E2/D2, 0)</f>
        <v>0</v>
      </c>
      <c r="G2" s="5">
        <f>SUM(G4:G75)</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SUM(Jul!C4, Aug!C4, Sep!C4)</f>
        <v>0</v>
      </c>
      <c r="D4" s="12">
        <f>SUM(Jul!D4, Aug!D4, Sep!D4)</f>
        <v>0</v>
      </c>
      <c r="E4" s="12">
        <f>IF(AND(ISNUMBER(C4),ISNUMBER(D4)), C4-D4, "")</f>
        <v>0</v>
      </c>
      <c r="F4" s="13" t="str">
        <f>IFERROR(E4/D4, "")</f>
        <v/>
      </c>
      <c r="G4" s="14">
        <f>SUM(Jul!G4,Aug!G4,Sep!G4)</f>
        <v>0</v>
      </c>
      <c r="H4" s="14">
        <f>SUM(Jul!H4, Aug!H4, Sep!H4)</f>
        <v>0</v>
      </c>
      <c r="I4" s="15" t="str">
        <f>IFERROR(H4/G4, "")</f>
        <v/>
      </c>
    </row>
    <row r="5" spans="1:9" ht="15.6">
      <c r="A5" s="16"/>
      <c r="B5" s="20"/>
      <c r="C5" s="20"/>
      <c r="D5" s="20"/>
      <c r="E5" s="20"/>
      <c r="F5" s="20"/>
      <c r="G5" s="20"/>
      <c r="H5" s="20"/>
      <c r="I5" s="20"/>
    </row>
    <row r="6" spans="1:9" ht="15.6">
      <c r="A6" s="16"/>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mergeCells count="4">
    <mergeCell ref="G1:I1"/>
    <mergeCell ref="A1:C1"/>
    <mergeCell ref="D1:F1"/>
    <mergeCell ref="A2:B2"/>
  </mergeCells>
  <conditionalFormatting sqref="F2 I2 F4:F75 I4:I7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16</v>
      </c>
      <c r="E1" s="58"/>
      <c r="F1" s="58"/>
      <c r="G1" s="56" t="s">
        <v>17</v>
      </c>
      <c r="H1" s="56"/>
      <c r="I1" s="56"/>
    </row>
    <row r="2" spans="1:9" ht="19.5" customHeight="1">
      <c r="A2" s="59" t="s">
        <v>2</v>
      </c>
      <c r="B2" s="59"/>
      <c r="C2" s="5">
        <f>SUM(C4:C75)</f>
        <v>0</v>
      </c>
      <c r="D2" s="5">
        <f>SUM(D4:D75)</f>
        <v>0</v>
      </c>
      <c r="E2" s="5">
        <f>C2-D2</f>
        <v>0</v>
      </c>
      <c r="F2" s="6">
        <f>IFERROR(E2/D2, 0)</f>
        <v>0</v>
      </c>
      <c r="G2" s="5">
        <f>SUM(G4:G75)</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4.45">
      <c r="A5" s="20"/>
      <c r="B5" s="10"/>
      <c r="C5" s="39"/>
      <c r="D5" s="17"/>
      <c r="E5" s="17"/>
      <c r="F5" s="18"/>
      <c r="G5" s="19"/>
      <c r="H5" s="19"/>
      <c r="I5" s="18"/>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mergeCells count="4">
    <mergeCell ref="G1:I1"/>
    <mergeCell ref="A1:C1"/>
    <mergeCell ref="D1:F1"/>
    <mergeCell ref="A2:B2"/>
  </mergeCells>
  <conditionalFormatting sqref="F2 I2 F4:F75 I4:I7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16"/>
  <sheetViews>
    <sheetView zoomScale="80" zoomScaleNormal="80" workbookViewId="0">
      <pane xSplit="2" ySplit="3" topLeftCell="C4" activePane="bottomRight" state="frozen"/>
      <selection pane="bottomRight" activeCell="F16" sqref="F16"/>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18</v>
      </c>
      <c r="E1" s="58"/>
      <c r="F1" s="58"/>
      <c r="G1" s="56" t="s">
        <v>19</v>
      </c>
      <c r="H1" s="56"/>
      <c r="I1" s="56"/>
      <c r="J1" s="4"/>
      <c r="K1" s="4"/>
    </row>
    <row r="2" spans="1:11" ht="19.5" customHeight="1">
      <c r="A2" s="59" t="s">
        <v>2</v>
      </c>
      <c r="B2" s="59"/>
      <c r="C2" s="5">
        <f>SUM(C4:C74)</f>
        <v>22114.97998</v>
      </c>
      <c r="D2" s="5">
        <f>SUM(D4:D74)</f>
        <v>0</v>
      </c>
      <c r="E2" s="5">
        <f>C2-D2</f>
        <v>22114.97998</v>
      </c>
      <c r="F2" s="6">
        <f>IFERROR(E2/D2, 0)</f>
        <v>0</v>
      </c>
      <c r="G2" s="5">
        <f>SUM(G4:G74)</f>
        <v>41708.07</v>
      </c>
      <c r="H2" s="7">
        <f>C2-G2</f>
        <v>-19593.09002</v>
      </c>
      <c r="I2" s="6">
        <f>IFERROR(H2/G2, 0)</f>
        <v>-0.46976736204768044</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9" t="s">
        <v>9</v>
      </c>
      <c r="H3" s="34" t="s">
        <v>7</v>
      </c>
      <c r="I3" s="35" t="s">
        <v>8</v>
      </c>
      <c r="J3" s="24" t="s">
        <v>20</v>
      </c>
      <c r="K3" s="24" t="s">
        <v>21</v>
      </c>
    </row>
    <row r="4" spans="1:11" ht="57.6">
      <c r="A4" s="44" t="str" cm="1">
        <f t="array" ref="A4">Sites[Site]</f>
        <v>MA: Leominster - Crawford Realty</v>
      </c>
      <c r="B4" s="27" t="str" cm="1">
        <f t="array" ref="B4">Sites[State]</f>
        <v>MA</v>
      </c>
      <c r="C4" s="47">
        <v>22114.97998</v>
      </c>
      <c r="D4" s="48" t="s">
        <v>22</v>
      </c>
      <c r="E4" s="12" t="str">
        <f>IF(AND(ISNUMBER(C4),ISNUMBER(D4)), C4-D4, "")</f>
        <v/>
      </c>
      <c r="F4" s="38" t="str">
        <f>IFERROR(E4/D4, "")</f>
        <v/>
      </c>
      <c r="G4" s="50">
        <v>41708.07</v>
      </c>
      <c r="H4" s="14">
        <f>IF(AND(ISNUMBER(C4),ISNUMBER(G4)), C4-G4, "")</f>
        <v>-19593.09002</v>
      </c>
      <c r="I4" s="15">
        <f>IFERROR(H4/G4, "")</f>
        <v>-0.46976736204768044</v>
      </c>
      <c r="J4" s="52" t="s">
        <v>23</v>
      </c>
      <c r="K4" s="54" t="s">
        <v>24</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1"/>
      <c r="G7" s="20"/>
      <c r="H7" s="20"/>
      <c r="I7" s="21"/>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sheetData>
  <mergeCells count="4">
    <mergeCell ref="D1:F1"/>
    <mergeCell ref="A1:C1"/>
    <mergeCell ref="G1:I1"/>
    <mergeCell ref="A2:B2"/>
  </mergeCells>
  <conditionalFormatting sqref="F2 I2 I4:I74 F5:F74">
    <cfRule type="cellIs" dxfId="26" priority="4" stopIfTrue="1" operator="lessThanOrEqual">
      <formula>-0.1</formula>
    </cfRule>
    <cfRule type="expression" dxfId="25" priority="5">
      <formula>AND(ISNUMBER(F2), F2&gt;=0.1)</formula>
    </cfRule>
  </conditionalFormatting>
  <hyperlinks>
    <hyperlink ref="K4" r:id="rId1" display="https://us3.assetplanner.com/service_request?ID=098937" xr:uid="{54996E1D-A892-437E-B794-F3EE309F4184}"/>
  </hyperlinks>
  <pageMargins left="0.4" right="0.7" top="0.25" bottom="0.25" header="0.3" footer="0.3"/>
  <pageSetup fitToHeight="9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17"/>
  <sheetViews>
    <sheetView workbookViewId="0">
      <pane xSplit="2" ySplit="3" topLeftCell="C4" activePane="bottomRight" state="frozen"/>
      <selection pane="bottomRight" activeCell="J13" sqref="J13"/>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25</v>
      </c>
      <c r="E1" s="58"/>
      <c r="F1" s="58"/>
      <c r="G1" s="56" t="s">
        <v>26</v>
      </c>
      <c r="H1" s="56"/>
      <c r="I1" s="56"/>
      <c r="J1" s="4"/>
      <c r="K1" s="4"/>
    </row>
    <row r="2" spans="1:11" ht="19.5" customHeight="1">
      <c r="A2" s="59" t="s">
        <v>2</v>
      </c>
      <c r="B2" s="59"/>
      <c r="C2" s="5">
        <f>SUM(C4:C75)</f>
        <v>6301.1099190000004</v>
      </c>
      <c r="D2" s="5">
        <f>SUM(D4:D75)</f>
        <v>0</v>
      </c>
      <c r="E2" s="5">
        <f>C2-D2</f>
        <v>6301.1099190000004</v>
      </c>
      <c r="F2" s="6">
        <f>IFERROR(E2/D2, 0)</f>
        <v>0</v>
      </c>
      <c r="G2" s="5">
        <f>SUM(G4:G75)</f>
        <v>49081.57</v>
      </c>
      <c r="H2" s="7">
        <f>C2-G2</f>
        <v>-42780.460080999997</v>
      </c>
      <c r="I2" s="6">
        <f>IFERROR(H2/G2, 0)</f>
        <v>-0.87161963402963671</v>
      </c>
      <c r="J2" s="25"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57.6">
      <c r="A4" s="53" t="str" cm="1">
        <f t="array" ref="A4">Sites[Site]</f>
        <v>MA: Leominster - Crawford Realty</v>
      </c>
      <c r="B4" s="27" t="str" cm="1">
        <f t="array" ref="B4">Sites[State]</f>
        <v>MA</v>
      </c>
      <c r="C4" s="23">
        <v>6301.1099190000004</v>
      </c>
      <c r="D4" s="12" t="s">
        <v>22</v>
      </c>
      <c r="E4" s="12" t="str">
        <f>IF(AND(ISNUMBER(C4),ISNUMBER(D4)), C4-D4, "")</f>
        <v/>
      </c>
      <c r="F4" s="13" t="str">
        <f>IFERROR(E4/D4, "")</f>
        <v/>
      </c>
      <c r="G4" s="14">
        <v>49081.57</v>
      </c>
      <c r="H4" s="14">
        <f>IF(AND(ISNUMBER(C4),ISNUMBER(G4)), C4-G4, "")</f>
        <v>-42780.460080999997</v>
      </c>
      <c r="I4" s="15">
        <f>IFERROR(H4/G4, "")</f>
        <v>-0.87161963402963671</v>
      </c>
      <c r="J4" s="36" t="s">
        <v>23</v>
      </c>
      <c r="K4" s="54" t="s">
        <v>24</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8937" xr:uid="{3B4CFAD3-C46F-4B29-860B-528AF9D64B98}"/>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17"/>
  <sheetViews>
    <sheetView tabSelected="1" zoomScale="80" zoomScaleNormal="80" workbookViewId="0">
      <pane xSplit="2" ySplit="3" topLeftCell="C4" activePane="bottomRight" state="frozen"/>
      <selection pane="bottomRight" activeCell="G13" sqref="G13"/>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5.5703125" customWidth="1"/>
    <col min="11" max="11" width="20.5703125" bestFit="1" customWidth="1"/>
  </cols>
  <sheetData>
    <row r="1" spans="1:12" ht="19.5" customHeight="1">
      <c r="A1" s="57" t="str" cm="1">
        <f t="array" ref="A1">portfolio</f>
        <v>Crawford Realty</v>
      </c>
      <c r="B1" s="57"/>
      <c r="C1" s="57"/>
      <c r="D1" s="58" t="s">
        <v>27</v>
      </c>
      <c r="E1" s="58"/>
      <c r="F1" s="58"/>
      <c r="G1" s="56" t="s">
        <v>28</v>
      </c>
      <c r="H1" s="56"/>
      <c r="I1" s="56"/>
      <c r="J1" s="4"/>
      <c r="K1" s="4"/>
    </row>
    <row r="2" spans="1:12" ht="19.5" customHeight="1">
      <c r="A2" s="59" t="s">
        <v>2</v>
      </c>
      <c r="B2" s="59"/>
      <c r="C2" s="5">
        <f>SUM(C4:C75)</f>
        <v>60608.160034179702</v>
      </c>
      <c r="D2" s="5">
        <f>SUM(D4:D75)</f>
        <v>0</v>
      </c>
      <c r="E2" s="5">
        <f>C2-D2</f>
        <v>60608.160034179702</v>
      </c>
      <c r="F2" s="6">
        <f>IFERROR(E2/D2, 0)</f>
        <v>0</v>
      </c>
      <c r="G2" s="5">
        <f>SUM(G4:G75)</f>
        <v>67869.38</v>
      </c>
      <c r="H2" s="7">
        <f>C2-G2</f>
        <v>-7261.2199658203026</v>
      </c>
      <c r="I2" s="6">
        <f>IFERROR(H2/G2, 0)</f>
        <v>-0.10698815822128185</v>
      </c>
      <c r="J2" s="25" t="str">
        <f ca="1">IF(AND(TODAY()&gt;DATE(2024, 3,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121.5">
      <c r="A4" s="53" t="str" cm="1">
        <f t="array" ref="A4">Sites[Site]</f>
        <v>MA: Leominster - Crawford Realty</v>
      </c>
      <c r="B4" s="27" t="str" cm="1">
        <f t="array" ref="B4">Sites[State]</f>
        <v>MA</v>
      </c>
      <c r="C4" s="23">
        <v>60608.160034179702</v>
      </c>
      <c r="D4" s="12" t="s">
        <v>22</v>
      </c>
      <c r="E4" s="12" t="str">
        <f>IF(AND(ISNUMBER(C4),ISNUMBER(D4)), C4-D4, "")</f>
        <v/>
      </c>
      <c r="F4" s="13" t="str">
        <f>IFERROR(E4/D4, "")</f>
        <v/>
      </c>
      <c r="G4" s="14">
        <v>67869.38</v>
      </c>
      <c r="H4" s="14">
        <f>IF(AND(ISNUMBER(C4),ISNUMBER(G4)), C4-G4, "")</f>
        <v>-7261.2199658203026</v>
      </c>
      <c r="I4" s="15">
        <f>IFERROR(H4/G4, "")</f>
        <v>-0.10698815822128185</v>
      </c>
      <c r="J4" s="36" t="s">
        <v>29</v>
      </c>
      <c r="K4" s="54" t="s">
        <v>30</v>
      </c>
      <c r="L4" s="55" t="s">
        <v>31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1"/>
      <c r="G8" s="20"/>
      <c r="H8" s="20"/>
      <c r="I8" s="21"/>
      <c r="J8" s="20"/>
      <c r="K8" s="20"/>
    </row>
    <row r="9" spans="1:12" ht="14.45">
      <c r="A9" s="20"/>
      <c r="B9" s="29"/>
      <c r="C9" s="20"/>
      <c r="D9" s="20"/>
      <c r="E9" s="20"/>
      <c r="F9" s="21"/>
      <c r="G9" s="20"/>
      <c r="H9" s="20"/>
      <c r="I9" s="21"/>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8937" xr:uid="{11CE1714-B1CE-4407-BE50-20410926F26F}"/>
    <hyperlink ref="L4" r:id="rId2" display="https://us3.assetplanner.com/service_request?ID=098962" xr:uid="{91DE7C80-2853-4F2E-B0E5-9BA3C64A92FF}"/>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17"/>
  <sheetViews>
    <sheetView zoomScale="90" zoomScaleNormal="90"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32</v>
      </c>
      <c r="E1" s="58"/>
      <c r="F1" s="58"/>
      <c r="G1" s="56" t="s">
        <v>33</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17"/>
  <sheetViews>
    <sheetView zoomScale="90" zoomScaleNormal="90"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34</v>
      </c>
      <c r="E1" s="58"/>
      <c r="F1" s="58"/>
      <c r="G1" s="56" t="s">
        <v>35</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17"/>
  <sheetViews>
    <sheetView zoomScale="80" zoomScaleNormal="80" workbookViewId="0">
      <pane xSplit="2" ySplit="3" topLeftCell="I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36</v>
      </c>
      <c r="E1" s="58"/>
      <c r="F1" s="58"/>
      <c r="G1" s="56" t="s">
        <v>37</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17"/>
  <sheetViews>
    <sheetView workbookViewId="0">
      <pane xSplit="2" ySplit="3" topLeftCell="F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38</v>
      </c>
      <c r="E1" s="58"/>
      <c r="F1" s="58"/>
      <c r="G1" s="56" t="s">
        <v>39</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sortState xmlns:xlrd2="http://schemas.microsoft.com/office/spreadsheetml/2017/richdata2" ref="A3:K4">
    <sortCondition ref="A3:A4"/>
  </sortState>
  <mergeCells count="4">
    <mergeCell ref="G1:I1"/>
    <mergeCell ref="A1:C1"/>
    <mergeCell ref="D1:F1"/>
    <mergeCell ref="A2:B2"/>
  </mergeCells>
  <conditionalFormatting sqref="F2 I2 F4:F75 I4:I75">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17"/>
  <sheetViews>
    <sheetView workbookViewId="0">
      <pane xSplit="2" ySplit="3" topLeftCell="I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40</v>
      </c>
      <c r="E1" s="58"/>
      <c r="F1" s="58"/>
      <c r="G1" s="56" t="s">
        <v>41</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17"/>
  <sheetViews>
    <sheetView workbookViewId="0">
      <pane xSplit="2" ySplit="3" topLeftCell="F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42</v>
      </c>
      <c r="E1" s="58"/>
      <c r="F1" s="58"/>
      <c r="G1" s="56" t="s">
        <v>43</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17"/>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44</v>
      </c>
      <c r="E1" s="58"/>
      <c r="F1" s="58"/>
      <c r="G1" s="56" t="s">
        <v>45</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51"/>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17"/>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46</v>
      </c>
      <c r="E1" s="58"/>
      <c r="F1" s="58"/>
      <c r="G1" s="56" t="s">
        <v>47</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17"/>
  <sheetViews>
    <sheetView workbookViewId="0">
      <pane xSplit="2" ySplit="3" topLeftCell="C4" activePane="bottomRight" state="frozen"/>
      <selection pane="bottomRight" activeCell="C14" sqref="C14"/>
      <selection pane="bottomLeft" activeCell="I18" sqref="I18"/>
      <selection pane="topRight" activeCell="I18" sqref="I18"/>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48</v>
      </c>
      <c r="E1" s="58"/>
      <c r="F1" s="58"/>
      <c r="G1" s="56" t="s">
        <v>49</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9" activePane="bottomLeft" state="frozen"/>
      <selection pane="bottomLeft" activeCell="A4" sqref="A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50</v>
      </c>
      <c r="B1" t="s">
        <v>51</v>
      </c>
    </row>
    <row r="3" spans="1:12" ht="13.15">
      <c r="A3" t="s">
        <v>52</v>
      </c>
      <c r="B3" t="s">
        <v>3</v>
      </c>
      <c r="C3" t="s">
        <v>4</v>
      </c>
      <c r="D3" t="s">
        <v>53</v>
      </c>
      <c r="E3" s="2" t="s">
        <v>54</v>
      </c>
    </row>
    <row r="4" spans="1:12" ht="14.45">
      <c r="A4" s="43" t="s">
        <v>55</v>
      </c>
      <c r="B4" t="s">
        <v>56</v>
      </c>
      <c r="C4" s="41" t="s">
        <v>57</v>
      </c>
      <c r="D4" s="40" t="s">
        <v>58</v>
      </c>
      <c r="E4" t="s">
        <v>59</v>
      </c>
      <c r="G4" s="3"/>
    </row>
    <row r="5" spans="1:12" ht="14.45">
      <c r="A5" s="43"/>
      <c r="C5" s="41"/>
      <c r="D5" s="40"/>
      <c r="G5" s="3"/>
    </row>
    <row r="6" spans="1:12" ht="14.45">
      <c r="A6" s="43"/>
      <c r="C6" s="41"/>
      <c r="D6" s="40"/>
      <c r="G6" s="3"/>
    </row>
    <row r="7" spans="1:12" ht="12.75" customHeight="1">
      <c r="A7" s="43"/>
      <c r="C7" s="41"/>
      <c r="D7" s="40"/>
    </row>
    <row r="8" spans="1:12" ht="12.75" customHeight="1">
      <c r="A8" s="43"/>
      <c r="C8" s="41"/>
      <c r="D8" s="40"/>
    </row>
    <row r="9" spans="1:12" ht="12.75" customHeight="1">
      <c r="A9" s="43"/>
      <c r="C9" s="41"/>
      <c r="D9" s="40"/>
    </row>
    <row r="10" spans="1:12" ht="12.75" customHeight="1">
      <c r="A10" s="43"/>
      <c r="C10" s="41"/>
      <c r="D10" s="40"/>
      <c r="K10" s="37"/>
      <c r="L10" s="37"/>
    </row>
    <row r="11" spans="1:12" ht="12.75" customHeight="1">
      <c r="A11" s="43"/>
      <c r="C11" s="41"/>
      <c r="D11" s="40"/>
      <c r="K11" s="37"/>
      <c r="L11" s="37"/>
    </row>
    <row r="12" spans="1:12" ht="12.75" customHeight="1">
      <c r="A12" s="43"/>
      <c r="C12" s="41"/>
      <c r="D12" s="40"/>
      <c r="K12" s="37"/>
      <c r="L12" s="37"/>
    </row>
    <row r="13" spans="1:12" ht="12.75" customHeight="1">
      <c r="A13" s="43"/>
      <c r="C13" s="41"/>
      <c r="D13" s="40"/>
      <c r="K13" s="37"/>
      <c r="L13" s="37"/>
    </row>
    <row r="14" spans="1:12" ht="12.75" customHeight="1">
      <c r="A14" s="43"/>
      <c r="C14" s="41"/>
      <c r="D14" s="40"/>
      <c r="K14" s="37"/>
      <c r="L14" s="37"/>
    </row>
    <row r="15" spans="1:12" ht="12.75" customHeight="1">
      <c r="A15" s="43"/>
      <c r="C15" s="41"/>
      <c r="D15" s="40"/>
      <c r="K15" s="37"/>
      <c r="L15" s="37"/>
    </row>
    <row r="16" spans="1:12" ht="12.75" customHeight="1">
      <c r="A16" s="43"/>
      <c r="C16" s="41"/>
      <c r="D16" s="40"/>
      <c r="K16" s="37"/>
      <c r="L16" s="37"/>
    </row>
    <row r="17" spans="1:12" ht="12.75" customHeight="1">
      <c r="A17" s="43"/>
      <c r="C17" s="41"/>
      <c r="D17" s="40"/>
      <c r="K17" s="37"/>
      <c r="L17" s="37"/>
    </row>
    <row r="18" spans="1:12" ht="12.75" customHeight="1">
      <c r="A18" s="43"/>
      <c r="C18" s="41"/>
      <c r="D18" s="40"/>
      <c r="K18" s="37"/>
      <c r="L18" s="37"/>
    </row>
    <row r="19" spans="1:12" ht="12.75" customHeight="1">
      <c r="A19" s="43"/>
      <c r="C19" s="41"/>
      <c r="D19" s="40"/>
      <c r="K19" s="37"/>
      <c r="L19" s="37"/>
    </row>
    <row r="20" spans="1:12" ht="12.75" customHeight="1">
      <c r="A20" s="43"/>
      <c r="C20" s="41"/>
      <c r="D20" s="40"/>
      <c r="K20" s="37"/>
      <c r="L20" s="37"/>
    </row>
    <row r="21" spans="1:12" ht="12.75" customHeight="1">
      <c r="A21" s="43"/>
      <c r="C21" s="41"/>
      <c r="D21" s="40"/>
      <c r="K21" s="37"/>
      <c r="L21" s="37"/>
    </row>
    <row r="22" spans="1:12" ht="12.75" customHeight="1">
      <c r="A22" s="43"/>
      <c r="C22" s="41"/>
      <c r="D22" s="40"/>
      <c r="K22" s="37"/>
      <c r="L22" s="37"/>
    </row>
    <row r="23" spans="1:12" ht="12.75" customHeight="1">
      <c r="A23" s="43"/>
      <c r="C23" s="41"/>
      <c r="D23" s="40"/>
      <c r="K23" s="37"/>
      <c r="L23" s="37"/>
    </row>
    <row r="24" spans="1:12" ht="12.75" customHeight="1">
      <c r="A24" s="43"/>
      <c r="C24" s="41"/>
      <c r="D24" s="40"/>
      <c r="K24" s="37"/>
      <c r="L24" s="37"/>
    </row>
    <row r="25" spans="1:12" ht="12.75" customHeight="1">
      <c r="A25" s="43"/>
      <c r="C25" s="41"/>
      <c r="D25" s="40"/>
      <c r="K25" s="37"/>
      <c r="L25" s="37"/>
    </row>
    <row r="26" spans="1:12" ht="12.75" customHeight="1">
      <c r="K26" s="37"/>
      <c r="L26" s="37"/>
    </row>
    <row r="27" spans="1:12" ht="12.75" customHeight="1">
      <c r="K27" s="37"/>
      <c r="L27" s="37"/>
    </row>
    <row r="28" spans="1:12" ht="12.75" customHeight="1">
      <c r="K28" s="37"/>
      <c r="L28" s="37"/>
    </row>
    <row r="29" spans="1:12" ht="12.75" customHeight="1">
      <c r="K29" s="37"/>
      <c r="L29" s="37"/>
    </row>
    <row r="30" spans="1:12" ht="12.75" customHeight="1">
      <c r="K30" s="37"/>
      <c r="L30" s="37"/>
    </row>
    <row r="31" spans="1:12" ht="12.75" customHeight="1">
      <c r="K31" s="37"/>
      <c r="L31" s="37"/>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E20E8303-6A67-485C-B6F4-303542CC295C}"/>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CB52044A-5C0B-44A2-99D0-C1C315EC302D}"/>
</file>

<file path=customXml/itemProps5.xml><?xml version="1.0" encoding="utf-8"?>
<ds:datastoreItem xmlns:ds="http://schemas.openxmlformats.org/officeDocument/2006/customXml" ds:itemID="{98A113BB-8B7A-453C-8BD4-8EFC67FC2D3F}"/>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078388C9-06F9-42F4-B857-EF76B5CAF1FD}"/>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BF5C6359-7763-4C37-8EAF-2BC4698CB285}"/>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1954BBA4-0359-438C-B0EC-A756015F7C02}"/>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89CF5C07-45EB-4100-9AFB-2C6AF77FA787}"/>
</file>

<file path=customXml/itemProps20.xml><?xml version="1.0" encoding="utf-8"?>
<ds:datastoreItem xmlns:ds="http://schemas.openxmlformats.org/officeDocument/2006/customXml" ds:itemID="{DB2A862B-D117-4A39-ACAD-BA867264C01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Anusha Vempati</cp:lastModifiedBy>
  <cp:revision/>
  <dcterms:created xsi:type="dcterms:W3CDTF">2021-01-01T16:39:53Z</dcterms:created>
  <dcterms:modified xsi:type="dcterms:W3CDTF">2025-06-25T19:47:23Z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