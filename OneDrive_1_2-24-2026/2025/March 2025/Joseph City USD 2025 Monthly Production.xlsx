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4" documentId="13_ncr:1_{ABC0DC5A-A491-4AFA-AF97-ADE947133EE3}" xr6:coauthVersionLast="47" xr6:coauthVersionMax="47" xr10:uidLastSave="{9DE7D90A-9502-48F9-91E7-9A9E6CAD333C}"/>
  <bookViews>
    <workbookView xWindow="-108" yWindow="-108" windowWidth="23256" windowHeight="1389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I4" i="3" s="1"/>
  <c r="G4" i="30"/>
  <c r="E4" i="33"/>
  <c r="E4" i="32"/>
  <c r="F4" i="32" s="1"/>
  <c r="G4" i="29"/>
  <c r="G2" i="29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E5" i="72"/>
  <c r="F5" i="72" s="1"/>
  <c r="H5" i="72"/>
  <c r="I5" i="72" s="1"/>
  <c r="G4" i="1"/>
  <c r="B4" i="34" a="1"/>
  <c r="B4" i="34" s="1"/>
  <c r="A4" i="34" a="1"/>
  <c r="A4" i="34" s="1"/>
  <c r="A1" i="34" a="1"/>
  <c r="A1" i="34" s="1"/>
  <c r="D4" i="30"/>
  <c r="D2" i="30" s="1"/>
  <c r="C4" i="30"/>
  <c r="E4" i="30" s="1"/>
  <c r="F4" i="30" s="1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J2" i="33" s="1"/>
  <c r="A1" i="33" a="1"/>
  <c r="A1" i="33" s="1"/>
  <c r="H4" i="32"/>
  <c r="I4" i="32" s="1"/>
  <c r="G2" i="32"/>
  <c r="D2" i="32"/>
  <c r="C2" i="32"/>
  <c r="J2" i="32" s="1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J2" i="27" s="1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E4" i="72"/>
  <c r="F4" i="72" s="1"/>
  <c r="A1" i="72" a="1"/>
  <c r="A1" i="72" s="1"/>
  <c r="H2" i="31" l="1"/>
  <c r="I2" i="31" s="1"/>
  <c r="H2" i="28"/>
  <c r="I2" i="28" s="1"/>
  <c r="J2" i="28"/>
  <c r="D4" i="34"/>
  <c r="D2" i="34" s="1"/>
  <c r="G4" i="34"/>
  <c r="G2" i="34" s="1"/>
  <c r="H2" i="21"/>
  <c r="I2" i="21" s="1"/>
  <c r="H2" i="19"/>
  <c r="I2" i="19" s="1"/>
  <c r="C4" i="34"/>
  <c r="E4" i="18"/>
  <c r="F4" i="18" s="1"/>
  <c r="J2" i="4"/>
  <c r="J2" i="21"/>
  <c r="J2" i="20"/>
  <c r="H2" i="20"/>
  <c r="I2" i="20" s="1"/>
  <c r="J2" i="19"/>
  <c r="H2" i="26"/>
  <c r="I2" i="26" s="1"/>
  <c r="J2" i="26"/>
  <c r="H2" i="27"/>
  <c r="I2" i="27" s="1"/>
  <c r="E2" i="28"/>
  <c r="F2" i="28" s="1"/>
  <c r="J2" i="31"/>
  <c r="H2" i="32"/>
  <c r="I2" i="32" s="1"/>
  <c r="H2" i="33"/>
  <c r="I2" i="33" s="1"/>
  <c r="H2" i="3"/>
  <c r="I2" i="3" s="1"/>
  <c r="G2" i="1"/>
  <c r="H4" i="30"/>
  <c r="I4" i="30" s="1"/>
  <c r="H4" i="29"/>
  <c r="I4" i="29" s="1"/>
  <c r="H4" i="18"/>
  <c r="I4" i="18" s="1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<sst xmlns="http://schemas.openxmlformats.org/spreadsheetml/2006/main" count="258" uniqueCount="63">
  <si>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</si>
  <si>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</si>
  <si>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</si>
  <si>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</si>
  <si>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</si>
  <si>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</si>
  <si>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</si>
  <si>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</si>
  <si>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</si>
  <si>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</si>
  <si>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</si>
  <si>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</si>
  <si>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</si>
  <si>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</si>
  <si>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</si>
  <si>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</si>
  <si>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</si>
  <si>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</si>
  <si>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</si>
  <si>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</si>
  <si>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</si>
  <si>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</si>
  <si>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1.Inverter A11 is derating multiple times by approximately 11 kW during midday throughout the month and is being RMA'D.
2. Pad C inverters have stopped communicating from 08/23 possibly offline.
3.Weather station on Pad C is experiencing frequent communication outages.
4.Inverter B15 has tripped offline at 12:15PM on 01/31.</t>
  </si>
  <si>
    <t>1.SR093126
2.SR089462,SR088994
3.SR087336,SR089462
4.SR096205</t>
  </si>
  <si>
    <t>SR089462</t>
  </si>
  <si>
    <t>SR088994</t>
  </si>
  <si>
    <t>SR087336</t>
  </si>
  <si>
    <t>SR096205</t>
  </si>
  <si>
    <t>February Actual v. Expected</t>
  </si>
  <si>
    <t>February Actual v. Forecasted</t>
  </si>
  <si>
    <t>1.Inverter A11 is derating multiple times by approximately 11 kW during midday throughout the month and is being RMA'D.
2.Pad C inverters have stopped communicating from 08/23 possibly offline.
3.Weather station on Pad C is experiencing frequent communication outages.
4.Inverter B15 tripped offline at 12:30 PM on 01/31, restored on 02/01, tripped again at 12:15 PM on 02/03, back online on 02/04, and tripped once again from 11:30 AM to 5:00 PM on 02/04.</t>
  </si>
  <si>
    <t>March Actual v. Expected</t>
  </si>
  <si>
    <t>March Actual v. Forecasted</t>
  </si>
  <si>
    <t>1.Inverter A11 is derating multiple times by approximately 11 kW during midday and was being RMA'D from 12/05/24. On 03/12, technician replaced cooling fan on the CPS 14KTL inverter.
2.Meter pad B was not communicating from 01/22/25 and POA Pyranometer SE-C1 was giving abnormal readings.
3.Pad C inverters have stopped communicating from 08/23/24 possibly offline and resumed communications and back online on 03/14/25. 
Weather station on Pad C is experiencing frequent communication outages.
4.Inverter C08 derating by 3 kW on 03/24, 03/25, 03/27 and 03/29.</t>
  </si>
  <si>
    <t>1.SR093126
2.SR098771
3.SR089462 &amp; SR088994
4.SR098976</t>
  </si>
  <si>
    <t>SR098771</t>
  </si>
  <si>
    <t>SR098976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</si>
  <si>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</si>
  <si>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</si>
  <si>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</si>
  <si>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</si>
  <si>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</si>
  <si>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</si>
  <si>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</si>
  <si>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</si>
  <si>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</si>
  <si>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</si>
  <si>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</si>
  <si>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</si>
  <si>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</si>
  <si>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</si>
  <si>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</si>
  <si>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</si>
  <si>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</si>
  <si>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</si>
  <si>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</si>
  <si>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Joseph City USD</t>
  </si>
  <si>
    <t>Site DAS Name</t>
  </si>
  <si>
    <t>Update</t>
  </si>
  <si>
    <t>DAS</t>
  </si>
  <si>
    <t>JCUSD</t>
  </si>
  <si>
    <t>AZ: Joseph City USD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</si>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</sst>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 inden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center" vertical="center" wrapText="1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9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89462" TargetMode="External"/><Relationship Id="rId1" Type="http://schemas.openxmlformats.org/officeDocument/2006/relationships/hyperlink" Target="https://us3.assetplanner.com/service_request?ID=093126" TargetMode="External"/><Relationship Id="rId6" Type="http://schemas.openxmlformats.org/officeDocument/2006/relationships/hyperlink" Target="https://us3.assetplanner.com/service_request?ID=096205" TargetMode="External"/><Relationship Id="rId5" Type="http://schemas.openxmlformats.org/officeDocument/2006/relationships/hyperlink" Target="https://us3.assetplanner.com/service_request?ID=089462" TargetMode="External"/><Relationship Id="rId4" Type="http://schemas.openxmlformats.org/officeDocument/2006/relationships/hyperlink" Target="https://us3.assetplanner.com/service_request?ID=08733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94" TargetMode="External"/><Relationship Id="rId2" Type="http://schemas.openxmlformats.org/officeDocument/2006/relationships/hyperlink" Target="https://us3.assetplanner.com/service_request?ID=089462" TargetMode="External"/><Relationship Id="rId1" Type="http://schemas.openxmlformats.org/officeDocument/2006/relationships/hyperlink" Target="https://us3.assetplanner.com/service_request?ID=093126" TargetMode="External"/><Relationship Id="rId6" Type="http://schemas.openxmlformats.org/officeDocument/2006/relationships/hyperlink" Target="https://us3.assetplanner.com/service_request?ID=096205" TargetMode="External"/><Relationship Id="rId5" Type="http://schemas.openxmlformats.org/officeDocument/2006/relationships/hyperlink" Target="https://us3.assetplanner.com/service_request?ID=089462" TargetMode="External"/><Relationship Id="rId4" Type="http://schemas.openxmlformats.org/officeDocument/2006/relationships/hyperlink" Target="https://us3.assetplanner.com/service_request?ID=08733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9462" TargetMode="External"/><Relationship Id="rId2" Type="http://schemas.openxmlformats.org/officeDocument/2006/relationships/hyperlink" Target="https://us3.assetplanner.com/service_request?ID=098771" TargetMode="External"/><Relationship Id="rId1" Type="http://schemas.openxmlformats.org/officeDocument/2006/relationships/hyperlink" Target="https://us3.assetplanner.com/service_request?ID=093126" TargetMode="External"/><Relationship Id="rId5" Type="http://schemas.openxmlformats.org/officeDocument/2006/relationships/hyperlink" Target="https://us3.assetplanner.com/service_request?ID=098976" TargetMode="External"/><Relationship Id="rId4" Type="http://schemas.openxmlformats.org/officeDocument/2006/relationships/hyperlink" Target="https://us3.assetplanner.com/service_request?ID=08899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J4" sqref="J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Joseph City USD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6">
        <f>SUM(C4:C89)</f>
        <v>234886.19</v>
      </c>
      <c r="D2" s="6">
        <f>SUM(D4:D89)</f>
        <v>174011.614</v>
      </c>
      <c r="E2" s="6">
        <f>C2-D2</f>
        <v>60874.576000000001</v>
      </c>
      <c r="F2" s="7">
        <f>IFERROR(E2/D2, 0)</f>
        <v>0.34983053487452853</v>
      </c>
      <c r="G2" s="6">
        <f>SUM(G4:G89)</f>
        <v>105944.583</v>
      </c>
      <c r="H2" s="8">
        <f>C2-G2</f>
        <v>128941.607</v>
      </c>
      <c r="I2" s="7">
        <f>IFERROR(H2/G2, 0)</f>
        <v>1.2170665394001314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SUM('1st Qtr'!C4, '2nd Qtr'!C4, '3rd Qtr'!C4, '4th Qtr'!C4)</f>
        <v>234886.19</v>
      </c>
      <c r="D4" s="14">
        <f>SUM('1st Qtr'!D4, '2nd Qtr'!D4, '3rd Qtr'!D4, '4th Qtr'!D4)</f>
        <v>174011.614</v>
      </c>
      <c r="E4" s="14">
        <f>IF(AND(ISNUMBER(C4),ISNUMBER(D4)), C4-D4, "")</f>
        <v>60874.576000000001</v>
      </c>
      <c r="F4" s="15">
        <f>IFERROR(E4/D4, 0)</f>
        <v>0.34983053487452853</v>
      </c>
      <c r="G4" s="16">
        <f>SUM('1st Qtr'!G4,'2nd Qtr'!G4,'3rd Qtr'!G4,'4th Qtr'!G4)</f>
        <v>105944.583</v>
      </c>
      <c r="H4" s="16">
        <f>SUM('1st Qtr'!H4, '2nd Qtr'!H4, '3rd Qtr'!H4, '4th Qtr'!H4)</f>
        <v>128941.607</v>
      </c>
      <c r="I4" s="17">
        <f>IFERROR(H4/G4, 0)</f>
        <v>1.2170665394001314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C10" sqref="C10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Joseph City USD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6">
        <f>SUM(C4:C89)</f>
        <v>234886.19</v>
      </c>
      <c r="D2" s="6">
        <f>SUM(D4:D89)</f>
        <v>174011.614</v>
      </c>
      <c r="E2" s="6">
        <f>C2-D2</f>
        <v>60874.576000000001</v>
      </c>
      <c r="F2" s="7">
        <f>IFERROR(E2/D2, 0)</f>
        <v>0.34983053487452853</v>
      </c>
      <c r="G2" s="6">
        <f>SUM(G4:G89)</f>
        <v>105944.583</v>
      </c>
      <c r="H2" s="8">
        <f>C2-G2</f>
        <v>128941.607</v>
      </c>
      <c r="I2" s="7">
        <f>IFERROR(H2/G2, 0)</f>
        <v>1.2170665394001314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SUM(Jan!C4, Feb!C4, Mar!C4)</f>
        <v>234886.19</v>
      </c>
      <c r="D4" s="14">
        <f>SUM(Jan!D4, Feb!D4, Mar!D4)</f>
        <v>174011.614</v>
      </c>
      <c r="E4" s="14">
        <f>IF(AND(ISNUMBER(C4),ISNUMBER(D4)), C4-D4, "")</f>
        <v>60874.576000000001</v>
      </c>
      <c r="F4" s="15">
        <f>IFERROR(E4/D4, 0)</f>
        <v>0.34983053487452853</v>
      </c>
      <c r="G4" s="16">
        <f>SUM(Jan!G4, Feb!G4, Mar!G4)</f>
        <v>105944.583</v>
      </c>
      <c r="H4" s="16">
        <f>SUM(Jan!H4, Feb!H4, Mar!H4)</f>
        <v>128941.607</v>
      </c>
      <c r="I4" s="17">
        <f>IFERROR(H4/G4, 0)</f>
        <v>1.2170665394001314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G19" sqref="G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Joseph City USD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F11" sqref="F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Joseph City USD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D19" sqref="D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Joseph City USD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P330"/>
  <sheetViews>
    <sheetView tabSelected="1" workbookViewId="0">
      <pane ySplit="3" topLeftCell="A4" activePane="bottomLeft" state="frozen"/>
      <selection pane="bottomLeft" activeCell="J21" sqref="J21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48" t="str" cm="1">
        <f t="array" ref="A1">portfolio</f>
        <v>Joseph City USD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5"/>
      <c r="K1" s="5"/>
    </row>
    <row r="2" spans="1:16" ht="19.5" customHeight="1">
      <c r="A2" s="50" t="s">
        <v>2</v>
      </c>
      <c r="B2" s="50"/>
      <c r="C2" s="6">
        <f>SUM(C4:C88)</f>
        <v>22909.19</v>
      </c>
      <c r="D2" s="6">
        <f>SUM(D4:D88)</f>
        <v>62902.921999999999</v>
      </c>
      <c r="E2" s="6">
        <f>C2-D2</f>
        <v>-39993.732000000004</v>
      </c>
      <c r="F2" s="7">
        <f>IFERROR(E2/D2, 0)</f>
        <v>-0.6358008615243661</v>
      </c>
      <c r="G2" s="6">
        <f>SUM(G4:G88)</f>
        <v>25787.395</v>
      </c>
      <c r="H2" s="8">
        <f>C2-G2</f>
        <v>-2878.2050000000017</v>
      </c>
      <c r="I2" s="7">
        <f>IFERROR(H2/G2, 0)</f>
        <v>-0.11161286357152406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6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6" ht="76.5">
      <c r="A4" s="43" t="str" cm="1">
        <f t="array" ref="A4">Sites[Site]</f>
        <v>AZ: Joseph City USD</v>
      </c>
      <c r="B4" s="30" t="str" cm="1">
        <f t="array" ref="B4">Sites[State]</f>
        <v>AZ</v>
      </c>
      <c r="C4" s="26">
        <v>22909.19</v>
      </c>
      <c r="D4" s="14">
        <v>62902.921999999999</v>
      </c>
      <c r="E4" s="14">
        <f>IF(AND(ISNUMBER(C4),ISNUMBER(D4)), C4-D4, "")</f>
        <v>-39993.732000000004</v>
      </c>
      <c r="F4" s="15">
        <f>IFERROR(E4/D4, 0)</f>
        <v>-0.6358008615243661</v>
      </c>
      <c r="G4" s="16">
        <v>25787.395</v>
      </c>
      <c r="H4" s="16">
        <f>IF(AND(ISNUMBER(C4),ISNUMBER(G4)), C4-G4, "")</f>
        <v>-2878.2050000000017</v>
      </c>
      <c r="I4" s="17">
        <f>IFERROR(H4/G4, 0)</f>
        <v>-0.11161286357152406</v>
      </c>
      <c r="J4" s="18" t="s">
        <v>22</v>
      </c>
      <c r="K4" s="45" t="s">
        <v>23</v>
      </c>
      <c r="L4" s="46" t="s">
        <v>24</v>
      </c>
      <c r="M4" s="46" t="s">
        <v>25</v>
      </c>
      <c r="N4" s="46" t="s">
        <v>26</v>
      </c>
      <c r="O4" s="46" t="s">
        <v>24</v>
      </c>
      <c r="P4" s="46" t="s">
        <v>27</v>
      </c>
    </row>
    <row r="5" spans="1:16" ht="14.45">
      <c r="A5" s="23"/>
      <c r="B5" s="34"/>
      <c r="C5" s="23"/>
      <c r="D5" s="23"/>
      <c r="E5" s="23" t="str">
        <f t="shared" ref="E5" si="0">IF(AND(ISNUMBER(C5),ISNUMBER(D5)), C5-D5, "")</f>
        <v/>
      </c>
      <c r="F5" s="23" t="str">
        <f t="shared" ref="F5" si="1">IFERROR(E5/D5, "")</f>
        <v/>
      </c>
      <c r="G5" s="23"/>
      <c r="H5" s="23" t="str">
        <f t="shared" ref="H5" si="2">IF(AND(ISNUMBER(C5),ISNUMBER(G5)), C5-G5, "")</f>
        <v/>
      </c>
      <c r="I5" s="23" t="str">
        <f t="shared" ref="I5" si="3">IFERROR(H5/G5, "")</f>
        <v/>
      </c>
      <c r="J5" s="23"/>
      <c r="K5" s="23"/>
    </row>
    <row r="6" spans="1:16" ht="12.75" customHeight="1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6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6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6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6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6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6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6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6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6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6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D1:F1"/>
    <mergeCell ref="A1:C1"/>
    <mergeCell ref="G1:I1"/>
    <mergeCell ref="A2:B2"/>
  </mergeCells>
  <conditionalFormatting sqref="F2 I2 F4:F88 I4:I88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4" r:id="rId1" display="https://us3.assetplanner.com/service_request?ID=093126" xr:uid="{A73C64FB-A47D-4845-AC9D-35CFA5EA99EC}"/>
    <hyperlink ref="L4" r:id="rId2" display="https://us3.assetplanner.com/service_request?ID=089462" xr:uid="{4B9D1086-76EC-4C3E-A2C8-C2C3A52B0AC3}"/>
    <hyperlink ref="M4" r:id="rId3" display="https://us3.assetplanner.com/service_request?ID=088994" xr:uid="{4B7AE182-07DA-4186-B143-5D8D08EA4296}"/>
    <hyperlink ref="N4" r:id="rId4" display="https://us3.assetplanner.com/service_request?ID=087336" xr:uid="{4E39D020-D828-4D74-9E11-D12E65095714}"/>
    <hyperlink ref="O4" r:id="rId5" display="https://us3.assetplanner.com/service_request?ID=089462" xr:uid="{80CBC3E5-0E8C-4DA3-A7A5-E4CC72523720}"/>
    <hyperlink ref="P4" r:id="rId6" display="https://us3.assetplanner.com/service_request?ID=096205" xr:uid="{7C92D249-8464-4DB9-BD83-4955B627D697}"/>
  </hyperlinks>
  <pageMargins left="0.4" right="0.7" top="0.25" bottom="0.25" header="0.3" footer="0.3"/>
  <pageSetup fitToHeight="99" orientation="landscape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31"/>
  <sheetViews>
    <sheetView workbookViewId="0">
      <pane ySplit="2" topLeftCell="C3" activePane="bottomLeft" state="frozen"/>
      <selection pane="bottomLeft" activeCell="J14" sqref="J14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48" t="str" cm="1">
        <f t="array" ref="A1">portfolio</f>
        <v>Joseph City USD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5"/>
      <c r="K1" s="5"/>
    </row>
    <row r="2" spans="1:16" ht="19.5" customHeight="1">
      <c r="A2" s="50" t="s">
        <v>2</v>
      </c>
      <c r="B2" s="50"/>
      <c r="C2" s="6">
        <f>SUM(C4:C89)</f>
        <v>24281</v>
      </c>
      <c r="D2" s="6">
        <f>SUM(D4:D89)</f>
        <v>52666.080000000002</v>
      </c>
      <c r="E2" s="6">
        <f>C2-D2</f>
        <v>-28385.08</v>
      </c>
      <c r="F2" s="7">
        <f>IFERROR(E2/D2, 0)</f>
        <v>-0.53896321883079201</v>
      </c>
      <c r="G2" s="6">
        <f>SUM(G4:G89)</f>
        <v>32456.19</v>
      </c>
      <c r="H2" s="8">
        <f>C2-G2</f>
        <v>-8175.1899999999987</v>
      </c>
      <c r="I2" s="7">
        <f>IFERROR(H2/G2, 0)</f>
        <v>-0.25188384711822304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6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6" ht="106.5">
      <c r="A4" s="43" t="str" cm="1">
        <f t="array" ref="A4">Sites[Site]</f>
        <v>AZ: Joseph City USD</v>
      </c>
      <c r="B4" s="30" t="str" cm="1">
        <f t="array" ref="B4">Sites[State]</f>
        <v>AZ</v>
      </c>
      <c r="C4" s="26">
        <v>24281</v>
      </c>
      <c r="D4" s="14">
        <v>52666.080000000002</v>
      </c>
      <c r="E4" s="14">
        <f>IF(AND(ISNUMBER(C4),ISNUMBER(D4)), C4-D4, "")</f>
        <v>-28385.08</v>
      </c>
      <c r="F4" s="15">
        <f>IFERROR(E4/D4, "")</f>
        <v>-0.53896321883079201</v>
      </c>
      <c r="G4" s="16">
        <v>32456.19</v>
      </c>
      <c r="H4" s="16">
        <f>IF(AND(ISNUMBER(C4),ISNUMBER(G4)), C4-G4, "")</f>
        <v>-8175.1899999999987</v>
      </c>
      <c r="I4" s="17">
        <f>IFERROR(H4/G4, "")</f>
        <v>-0.25188384711822304</v>
      </c>
      <c r="J4" s="18" t="s">
        <v>30</v>
      </c>
      <c r="K4" s="45" t="s">
        <v>23</v>
      </c>
      <c r="L4" s="46" t="s">
        <v>24</v>
      </c>
      <c r="M4" s="46" t="s">
        <v>25</v>
      </c>
      <c r="N4" s="46" t="s">
        <v>26</v>
      </c>
      <c r="O4" s="46" t="s">
        <v>24</v>
      </c>
      <c r="P4" s="46" t="s">
        <v>27</v>
      </c>
    </row>
    <row r="5" spans="1:16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6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6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6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6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6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6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6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6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6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6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6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3126" xr:uid="{AC2840DD-8609-4D74-9DAD-E98F9F6FFA6D}"/>
    <hyperlink ref="L4" r:id="rId2" display="https://us3.assetplanner.com/service_request?ID=089462" xr:uid="{A311C71C-DFA2-435F-B8E1-EC48FA0C2F69}"/>
    <hyperlink ref="M4" r:id="rId3" display="https://us3.assetplanner.com/service_request?ID=088994" xr:uid="{D4CD3AB7-79F9-4FEC-ACB0-0461CDA8A345}"/>
    <hyperlink ref="N4" r:id="rId4" display="https://us3.assetplanner.com/service_request?ID=087336" xr:uid="{FEA368C9-145B-47CC-AF39-3BE5E9A02291}"/>
    <hyperlink ref="O4" r:id="rId5" display="https://us3.assetplanner.com/service_request?ID=089462" xr:uid="{0C5970FD-F83D-451E-A57C-6678E2B9D68B}"/>
    <hyperlink ref="P4" r:id="rId6" display="https://us3.assetplanner.com/service_request?ID=096205" xr:uid="{BE021EEF-2AFF-4D42-B9D2-D00BF308A234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32"/>
  <sheetViews>
    <sheetView workbookViewId="0">
      <pane ySplit="2" topLeftCell="A3" activePane="bottomLeft" state="frozen"/>
      <selection pane="bottomLeft" activeCell="F17" sqref="F17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48" t="str" cm="1">
        <f t="array" ref="A1">portfolio</f>
        <v>Joseph City USD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5"/>
      <c r="K1" s="5"/>
    </row>
    <row r="2" spans="1:15" ht="19.5" customHeight="1">
      <c r="A2" s="50" t="s">
        <v>2</v>
      </c>
      <c r="B2" s="50"/>
      <c r="C2" s="6">
        <f>SUM(C4:C90)</f>
        <v>187696</v>
      </c>
      <c r="D2" s="6">
        <f>SUM(D4:D90)</f>
        <v>58442.612000000001</v>
      </c>
      <c r="E2" s="6">
        <f>C2-D2</f>
        <v>129253.38800000001</v>
      </c>
      <c r="F2" s="7">
        <f>IFERROR(E2/D2, 0)</f>
        <v>2.2116292132870448</v>
      </c>
      <c r="G2" s="6">
        <f>SUM(G4:G90)</f>
        <v>47700.998</v>
      </c>
      <c r="H2" s="8">
        <f>C2-G2</f>
        <v>139995.00200000001</v>
      </c>
      <c r="I2" s="7">
        <f>IFERROR(H2/G2, 0)</f>
        <v>2.9348442982262135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5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5" ht="137.25">
      <c r="A4" s="43" t="str" cm="1">
        <f t="array" ref="A4">Sites[Site]</f>
        <v>AZ: Joseph City USD</v>
      </c>
      <c r="B4" s="30" t="str" cm="1">
        <f t="array" ref="B4">Sites[State]</f>
        <v>AZ</v>
      </c>
      <c r="C4" s="26">
        <v>187696</v>
      </c>
      <c r="D4" s="14">
        <v>58442.612000000001</v>
      </c>
      <c r="E4" s="14">
        <f>IF(AND(ISNUMBER(C4),ISNUMBER(D4)), C4-D4, "")</f>
        <v>129253.38800000001</v>
      </c>
      <c r="F4" s="15">
        <f>IFERROR(E4/D4, "")</f>
        <v>2.2116292132870448</v>
      </c>
      <c r="G4" s="16">
        <v>47700.998</v>
      </c>
      <c r="H4" s="16">
        <f>IF(AND(ISNUMBER(C4),ISNUMBER(G4)), C4-G4, "")</f>
        <v>139995.00200000001</v>
      </c>
      <c r="I4" s="17">
        <f>IFERROR(H4/G4, "")</f>
        <v>2.9348442982262135</v>
      </c>
      <c r="J4" s="18" t="s">
        <v>33</v>
      </c>
      <c r="K4" s="45" t="s">
        <v>34</v>
      </c>
      <c r="L4" s="46" t="s">
        <v>35</v>
      </c>
      <c r="M4" s="46" t="s">
        <v>24</v>
      </c>
      <c r="N4" s="46" t="s">
        <v>25</v>
      </c>
      <c r="O4" s="46" t="s">
        <v>36</v>
      </c>
    </row>
    <row r="5" spans="1:15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5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5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5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5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5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5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5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5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5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5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5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3126" xr:uid="{B8187E76-449E-434F-87DE-952A6A87ADA6}"/>
    <hyperlink ref="L4" r:id="rId2" display="https://us3.assetplanner.com/service_request?ID=098771" xr:uid="{4B981E8C-9ED4-4EDA-96F1-5F5251ED3E2C}"/>
    <hyperlink ref="M4" r:id="rId3" display="https://us3.assetplanner.com/service_request?ID=089462" xr:uid="{02EB9477-DA96-4E17-A96E-515D6D4CA270}"/>
    <hyperlink ref="N4" r:id="rId4" display="https://us3.assetplanner.com/service_request?ID=088994" xr:uid="{63230CDA-40EC-457B-8176-34207F29B009}"/>
    <hyperlink ref="O4" r:id="rId5" display="https://us3.assetplanner.com/service_request?ID=098976" xr:uid="{36409DB3-319E-459D-B034-82CFF7A4FC7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17" sqref="F17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Joseph City USD</v>
      </c>
      <c r="B1" s="48"/>
      <c r="C1" s="48"/>
      <c r="D1" s="49" t="s">
        <v>37</v>
      </c>
      <c r="E1" s="49"/>
      <c r="F1" s="49"/>
      <c r="G1" s="47" t="s">
        <v>38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17" sqref="F17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Joseph City USD</v>
      </c>
      <c r="B1" s="48"/>
      <c r="C1" s="48"/>
      <c r="D1" s="49" t="s">
        <v>39</v>
      </c>
      <c r="E1" s="49"/>
      <c r="F1" s="49"/>
      <c r="G1" s="47" t="s">
        <v>40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1"/>
  <sheetViews>
    <sheetView workbookViewId="0">
      <pane ySplit="2" topLeftCell="A3" activePane="bottomLeft" state="frozen"/>
      <selection pane="bottomLeft" activeCell="F17" sqref="F17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Joseph City USD</v>
      </c>
      <c r="B1" s="48"/>
      <c r="C1" s="48"/>
      <c r="D1" s="49" t="s">
        <v>41</v>
      </c>
      <c r="E1" s="49"/>
      <c r="F1" s="49"/>
      <c r="G1" s="47" t="s">
        <v>42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75.75" customHeight="1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1"/>
  <sheetViews>
    <sheetView workbookViewId="0">
      <pane ySplit="2" topLeftCell="A3" activePane="bottomLeft" state="frozen"/>
      <selection pane="bottomLeft" activeCell="F17" sqref="F17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Joseph City USD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42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1"/>
  <sheetViews>
    <sheetView workbookViewId="0">
      <pane ySplit="2" topLeftCell="A3" activePane="bottomLeft" state="frozen"/>
      <selection pane="bottomLeft" activeCell="F17" sqref="F17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Joseph City USD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4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workbookViewId="0">
      <pane ySplit="2" topLeftCell="A22" activePane="bottomLeft" state="frozen"/>
      <selection pane="bottomLeft" activeCell="F17" sqref="F17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Joseph City USD</v>
      </c>
      <c r="B1" s="48"/>
      <c r="C1" s="48"/>
      <c r="D1" s="49" t="s">
        <v>47</v>
      </c>
      <c r="E1" s="49"/>
      <c r="F1" s="49"/>
      <c r="G1" s="47" t="s">
        <v>48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5.25" customHeight="1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44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1"/>
  <sheetViews>
    <sheetView topLeftCell="B1" zoomScale="80" zoomScaleNormal="80" workbookViewId="0">
      <pane ySplit="2" topLeftCell="A3" activePane="bottomLeft" state="frozen"/>
      <selection pane="bottomLeft" activeCell="F17" sqref="F17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Joseph City USD</v>
      </c>
      <c r="B1" s="48"/>
      <c r="C1" s="48"/>
      <c r="D1" s="49" t="s">
        <v>49</v>
      </c>
      <c r="E1" s="49"/>
      <c r="F1" s="49"/>
      <c r="G1" s="47" t="s">
        <v>50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73.5" customHeight="1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1"/>
  <sheetViews>
    <sheetView zoomScale="70" zoomScaleNormal="70" workbookViewId="0">
      <pane ySplit="2" topLeftCell="A3" activePane="bottomLeft" state="frozen"/>
      <selection pane="bottomLeft" activeCell="F17" sqref="F17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Joseph City USD</v>
      </c>
      <c r="B1" s="48"/>
      <c r="C1" s="48"/>
      <c r="D1" s="49" t="s">
        <v>51</v>
      </c>
      <c r="E1" s="49"/>
      <c r="F1" s="49"/>
      <c r="G1" s="47" t="s">
        <v>52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1"/>
  <sheetViews>
    <sheetView zoomScale="90" zoomScaleNormal="90" workbookViewId="0">
      <pane ySplit="2" topLeftCell="A3" activePane="bottomLeft" state="frozen"/>
      <selection pane="bottomLeft" activeCell="F17" sqref="F17"/>
      <selection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Joseph City USD</v>
      </c>
      <c r="B1" s="48"/>
      <c r="C1" s="48"/>
      <c r="D1" s="49" t="s">
        <v>53</v>
      </c>
      <c r="E1" s="49"/>
      <c r="F1" s="49"/>
      <c r="G1" s="47" t="s">
        <v>54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4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5" sqref="A5:XFD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55</v>
      </c>
      <c r="B1" t="s">
        <v>56</v>
      </c>
    </row>
    <row r="3" spans="1:7" ht="13.15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7" ht="14.45">
      <c r="A4" t="s">
        <v>60</v>
      </c>
      <c r="B4" t="s">
        <v>61</v>
      </c>
      <c r="C4" s="4" t="s">
        <v>62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95A2F541-FB72-4716-ADAC-3ABA14CD8CE3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2025-01-10T20:05:08Z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7e39af45-f7cf-4d46-998a-97826174daff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