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4" documentId="13_ncr:1_{498F0A5A-32F0-496D-96E7-9BDA4B90FA8B}" xr6:coauthVersionLast="47" xr6:coauthVersionMax="47" xr10:uidLastSave="{0AE28031-23EA-47A0-8846-E8F4243C0C7F}"/>
  <bookViews>
    <workbookView xWindow="-108" yWindow="-108" windowWidth="23256" windowHeight="1389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G2" i="29" s="1"/>
  <c r="G4" i="18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E4" i="18" s="1"/>
  <c r="F4" i="18" s="1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<sst xmlns="http://schemas.openxmlformats.org/spreadsheetml/2006/main" count="246" uniqueCount="56">
  <si>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</si>
  <si>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</si>
  <si>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</si>
  <si>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</si>
  <si>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</si>
  <si>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</si>
  <si>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</si>
  <si>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</si>
  <si>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</si>
  <si>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</si>
  <si>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</si>
  <si>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</si>
  <si>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</si>
  <si>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</si>
  <si>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</si>
  <si>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</si>
  <si>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</si>
  <si>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</si>
  <si>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</si>
  <si>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</si>
  <si>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</si>
  <si>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</si>
  <si>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</si>
  <si>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Low production due to snow/rain.</t>
  </si>
  <si>
    <t>February Actual v. Expected</t>
  </si>
  <si>
    <t>February Actual v. Forecasted</t>
  </si>
  <si>
    <t>March Actual v. Expected</t>
  </si>
  <si>
    <t>March Actual v. Forecasted</t>
  </si>
  <si>
    <t>1. Site production was low on 03/05,  03/24 due to rain.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</si>
  <si>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</si>
  <si>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</si>
  <si>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</si>
  <si>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</si>
  <si>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</si>
  <si>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</si>
  <si>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</si>
  <si>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</si>
  <si>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</si>
  <si>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</si>
  <si>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</si>
  <si>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</si>
  <si>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</si>
  <si>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</si>
  <si>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</si>
  <si>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</si>
  <si>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</si>
  <si>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</si>
  <si>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</si>
  <si>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Burt Process Equipment</t>
  </si>
  <si>
    <t>Site DAS Name</t>
  </si>
  <si>
    <t>Update</t>
  </si>
  <si>
    <t>DAS</t>
  </si>
  <si>
    <t>CT: Hamden - Burt Process Equipment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</si>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</sst>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7"/>
  <sheetViews>
    <sheetView workbookViewId="0">
      <pane xSplit="2" ySplit="3" topLeftCell="C4" activePane="bottomRight" state="frozen"/>
      <selection pane="bottomRight" activeCell="D11" sqref="D11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Burt Process Equipment</v>
      </c>
      <c r="B1" s="42"/>
      <c r="C1" s="42"/>
      <c r="D1" s="43" t="s">
        <v>0</v>
      </c>
      <c r="E1" s="43"/>
      <c r="F1" s="43"/>
      <c r="G1" s="41" t="s">
        <v>1</v>
      </c>
      <c r="H1" s="41"/>
      <c r="I1" s="41"/>
    </row>
    <row r="2" spans="1:9" ht="19.5" customHeight="1">
      <c r="A2" s="44" t="s">
        <v>2</v>
      </c>
      <c r="B2" s="44"/>
      <c r="C2" s="5">
        <f>SUM(C4:C65)</f>
        <v>37754.924687499995</v>
      </c>
      <c r="D2" s="5">
        <f>SUM(D4:D65)</f>
        <v>0</v>
      </c>
      <c r="E2" s="5">
        <f>C2-D2</f>
        <v>37754.924687499995</v>
      </c>
      <c r="F2" s="6">
        <f>IFERROR(E2/D2, 0)</f>
        <v>0</v>
      </c>
      <c r="G2" s="5">
        <f>SUM(G4:G65)</f>
        <v>55227</v>
      </c>
      <c r="H2" s="7">
        <f>C2-G2</f>
        <v>-17472.075312500005</v>
      </c>
      <c r="I2" s="6">
        <f>IFERROR(H2/G2, 0)</f>
        <v>-0.31636835809477259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Hamden - Burt Process Equipment</v>
      </c>
      <c r="B4" s="9" t="str" cm="1">
        <f t="array" ref="B4">Sites[State]</f>
        <v>CT</v>
      </c>
      <c r="C4" s="18">
        <f>SUM('1st Qtr'!C4, '2nd Qtr'!C4, '3rd Qtr'!C4, '4th Qtr'!C4)</f>
        <v>37754.924687499995</v>
      </c>
      <c r="D4" s="11">
        <f>SUM('1st Qtr'!D4, '2nd Qtr'!D4, '3rd Qtr'!D4, '4th Qtr'!D4)</f>
        <v>0</v>
      </c>
      <c r="E4" s="11">
        <f>IF(AND(ISNUMBER(C4),ISNUMBER(D4)), C4-D4, "")</f>
        <v>37754.924687499995</v>
      </c>
      <c r="F4" s="12" t="str">
        <f>IFERROR(E4/D4, "")</f>
        <v/>
      </c>
      <c r="G4" s="13">
        <f>SUM('1st Qtr'!G4, '2nd Qtr'!G4, '3rd Qtr'!G4, '4th Qtr'!G4)</f>
        <v>55227</v>
      </c>
      <c r="H4" s="13">
        <f>SUM('1st Qtr'!H4, '2nd Qtr'!H4, '3rd Qtr'!H4, '4th Qtr'!H4)</f>
        <v>-17472.075312500001</v>
      </c>
      <c r="I4" s="14">
        <f>IFERROR(H4/G4, "")</f>
        <v>-0.31636835809477248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5 I4:I65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7"/>
  <sheetViews>
    <sheetView workbookViewId="0">
      <pane xSplit="2" ySplit="3" topLeftCell="C4" activePane="bottomRight" state="frozen"/>
      <selection pane="bottomRight" activeCell="J4" sqref="J4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Burt Process Equipment</v>
      </c>
      <c r="B1" s="42"/>
      <c r="C1" s="42"/>
      <c r="D1" s="43" t="s">
        <v>10</v>
      </c>
      <c r="E1" s="43"/>
      <c r="F1" s="43"/>
      <c r="G1" s="41" t="s">
        <v>11</v>
      </c>
      <c r="H1" s="41"/>
      <c r="I1" s="41"/>
    </row>
    <row r="2" spans="1:9" ht="19.5" customHeight="1">
      <c r="A2" s="44" t="s">
        <v>2</v>
      </c>
      <c r="B2" s="44"/>
      <c r="C2" s="5">
        <f>SUM(C4:C65)</f>
        <v>37754.924687499995</v>
      </c>
      <c r="D2" s="5">
        <f>SUM(D4:D65)</f>
        <v>0</v>
      </c>
      <c r="E2" s="5">
        <f>C2-D2</f>
        <v>37754.924687499995</v>
      </c>
      <c r="F2" s="6">
        <f>IFERROR(E2/D2, 0)</f>
        <v>0</v>
      </c>
      <c r="G2" s="5">
        <f>SUM(G4:G65)</f>
        <v>55227</v>
      </c>
      <c r="H2" s="7">
        <f>C2-G2</f>
        <v>-17472.075312500005</v>
      </c>
      <c r="I2" s="6">
        <f>IFERROR(H2/G2, 0)</f>
        <v>-0.31636835809477259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Hamden - Burt Process Equipment</v>
      </c>
      <c r="B4" s="9" t="str" cm="1">
        <f t="array" ref="B4">Sites[State]</f>
        <v>CT</v>
      </c>
      <c r="C4" s="18">
        <f>SUM(Jan!C4, Feb!C4, Mar!C4)</f>
        <v>37754.924687499995</v>
      </c>
      <c r="D4" s="11">
        <f>SUM(Jan!D4, Feb!D4, Mar!D4)</f>
        <v>0</v>
      </c>
      <c r="E4" s="11">
        <f>IF(AND(ISNUMBER(C4),ISNUMBER(D4)), C4-D4, "")</f>
        <v>37754.924687499995</v>
      </c>
      <c r="F4" s="12" t="str">
        <f>IFERROR(E4/D4, "")</f>
        <v/>
      </c>
      <c r="G4" s="13">
        <f>SUM(Jan!G4, Feb!G4, Mar!G4)</f>
        <v>55227</v>
      </c>
      <c r="H4" s="13">
        <f>SUM(Jan!H4, Feb!H4, Mar!H4)</f>
        <v>-17472.075312500001</v>
      </c>
      <c r="I4" s="14">
        <f>IFERROR(H4/G4, "")</f>
        <v>-0.31636835809477248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5 I4:I65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7"/>
  <sheetViews>
    <sheetView workbookViewId="0">
      <pane xSplit="2" ySplit="3" topLeftCell="C4" activePane="bottomRight" state="frozen"/>
      <selection pane="bottomRight" activeCell="G4" sqref="G4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Burt Process Equipment</v>
      </c>
      <c r="B1" s="42"/>
      <c r="C1" s="42"/>
      <c r="D1" s="43" t="s">
        <v>12</v>
      </c>
      <c r="E1" s="43"/>
      <c r="F1" s="43"/>
      <c r="G1" s="41" t="s">
        <v>13</v>
      </c>
      <c r="H1" s="41"/>
      <c r="I1" s="41"/>
    </row>
    <row r="2" spans="1:9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Hamden - Burt Process Equipment</v>
      </c>
      <c r="B4" s="9" t="str" cm="1">
        <f t="array" ref="B4">Sites[State]</f>
        <v>CT</v>
      </c>
      <c r="C4" s="18">
        <f>SUM(Apr!C4, May!C4, Jun!C4)</f>
        <v>0</v>
      </c>
      <c r="D4" s="11">
        <f>SUM(Apr!D4, May!D4, Jun!D4)</f>
        <v>0</v>
      </c>
      <c r="E4" s="11">
        <f>IF(AND(ISNUMBER(C4),ISNUMBER(D4)), C4-D4, "")</f>
        <v>0</v>
      </c>
      <c r="F4" s="12" t="str">
        <f>IFERROR(E4/D4, "")</f>
        <v/>
      </c>
      <c r="G4" s="13">
        <f>SUM(Apr!G4,May!G4,Jun!G4)</f>
        <v>0</v>
      </c>
      <c r="H4" s="13">
        <f>SUM(Apr!H4, May!H4, Jun!H4)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7"/>
  <sheetViews>
    <sheetView workbookViewId="0">
      <pane xSplit="2" ySplit="3" topLeftCell="C4" activePane="bottomRight" state="frozen"/>
      <selection pane="bottomRight" activeCell="G4" sqref="G4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Burt Process Equipment</v>
      </c>
      <c r="B1" s="42"/>
      <c r="C1" s="42"/>
      <c r="D1" s="43" t="s">
        <v>14</v>
      </c>
      <c r="E1" s="43"/>
      <c r="F1" s="43"/>
      <c r="G1" s="41" t="s">
        <v>15</v>
      </c>
      <c r="H1" s="41"/>
      <c r="I1" s="41"/>
    </row>
    <row r="2" spans="1:9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Hamden - Burt Process Equipment</v>
      </c>
      <c r="B4" s="9" t="str" cm="1">
        <f t="array" ref="B4">Sites[State]</f>
        <v>CT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>
        <f>SUM(Jul!G4,Aug!G4,Sep!G4)</f>
        <v>0</v>
      </c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7"/>
  <sheetViews>
    <sheetView workbookViewId="0">
      <pane xSplit="2" ySplit="3" topLeftCell="C4" activePane="bottomRight" state="frozen"/>
      <selection pane="bottomRight" activeCell="C12" sqref="C12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Burt Process Equipment</v>
      </c>
      <c r="B1" s="42"/>
      <c r="C1" s="42"/>
      <c r="D1" s="43" t="s">
        <v>16</v>
      </c>
      <c r="E1" s="43"/>
      <c r="F1" s="43"/>
      <c r="G1" s="41" t="s">
        <v>17</v>
      </c>
      <c r="H1" s="41"/>
      <c r="I1" s="41"/>
    </row>
    <row r="2" spans="1:9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Hamden - Burt Process Equipment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6"/>
  <sheetViews>
    <sheetView workbookViewId="0">
      <pane xSplit="2" ySplit="3" topLeftCell="D4" activePane="bottomRight" state="frozen"/>
      <selection pane="bottomRight" activeCell="J16" sqref="J16"/>
      <selection pane="bottomLeft" activeCell="G23" sqref="G23"/>
      <selection pane="topRight" activeCell="G23" sqref="G2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Burt Process Equipment</v>
      </c>
      <c r="B1" s="42"/>
      <c r="C1" s="42"/>
      <c r="D1" s="43" t="s">
        <v>18</v>
      </c>
      <c r="E1" s="43"/>
      <c r="F1" s="43"/>
      <c r="G1" s="41" t="s">
        <v>19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SUM(C4:C64)</f>
        <v>8464.09</v>
      </c>
      <c r="D2" s="5">
        <f>SUM(D4:D64)</f>
        <v>0</v>
      </c>
      <c r="E2" s="5">
        <f>C2-D2</f>
        <v>8464.09</v>
      </c>
      <c r="F2" s="6">
        <f>IFERROR(E2/D2, 0)</f>
        <v>0</v>
      </c>
      <c r="G2" s="5">
        <f>SUM(G4:G64)</f>
        <v>12910</v>
      </c>
      <c r="H2" s="7">
        <f>C2-G2</f>
        <v>-4445.91</v>
      </c>
      <c r="I2" s="6">
        <f>IFERROR(H2/G2, 0)</f>
        <v>-0.34437722695584816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37" t="s">
        <v>5</v>
      </c>
      <c r="D3" s="38" t="s">
        <v>6</v>
      </c>
      <c r="E3" s="26" t="s">
        <v>7</v>
      </c>
      <c r="F3" s="27" t="s">
        <v>8</v>
      </c>
      <c r="G3" s="39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9.5" customHeight="1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8464.09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12910</v>
      </c>
      <c r="H4" s="13">
        <f>IF(AND(ISNUMBER(C4),ISNUMBER(G4)), C4-G4, "")</f>
        <v>-4445.91</v>
      </c>
      <c r="I4" s="14">
        <f>IFERROR(H4/G4, "")</f>
        <v>-0.34437722695584816</v>
      </c>
      <c r="J4" s="31" t="s">
        <v>23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D1:F1"/>
    <mergeCell ref="A1:C1"/>
    <mergeCell ref="G1:I1"/>
    <mergeCell ref="A2:B2"/>
  </mergeCells>
  <conditionalFormatting sqref="F2 I2">
    <cfRule type="cellIs" dxfId="30" priority="6" stopIfTrue="1" operator="lessThanOrEqual">
      <formula>-0.1</formula>
    </cfRule>
    <cfRule type="expression" dxfId="29" priority="7">
      <formula>AND(ISNUMBER(F2), F2&gt;=0.1)</formula>
    </cfRule>
  </conditionalFormatting>
  <conditionalFormatting sqref="F4:F64 I4:I64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7"/>
  <sheetViews>
    <sheetView workbookViewId="0">
      <pane xSplit="2" ySplit="3" topLeftCell="D4" activePane="bottomRight" state="frozen"/>
      <selection pane="bottomRight" activeCell="D14" sqref="D14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Burt Process Equipment</v>
      </c>
      <c r="B1" s="42"/>
      <c r="C1" s="42"/>
      <c r="D1" s="43" t="s">
        <v>24</v>
      </c>
      <c r="E1" s="43"/>
      <c r="F1" s="43"/>
      <c r="G1" s="41" t="s">
        <v>25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6972.03</v>
      </c>
      <c r="D2" s="5">
        <f>SUM(D4:D65)</f>
        <v>0</v>
      </c>
      <c r="E2" s="5">
        <f>C2-D2</f>
        <v>6972.03</v>
      </c>
      <c r="F2" s="6">
        <f>IFERROR(E2/D2, 0)</f>
        <v>0</v>
      </c>
      <c r="G2" s="5">
        <f>SUM(G4:G65)</f>
        <v>17368</v>
      </c>
      <c r="H2" s="7">
        <f>C2-G2</f>
        <v>-10395.970000000001</v>
      </c>
      <c r="I2" s="6">
        <f>IFERROR(H2/G2, 0)</f>
        <v>-0.5985703592814372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6972.03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17368</v>
      </c>
      <c r="H4" s="13">
        <f>IF(AND(ISNUMBER(C4),ISNUMBER(G4)), C4-G4, "")</f>
        <v>-10395.970000000001</v>
      </c>
      <c r="I4" s="14">
        <f>IFERROR(H4/G4, "")</f>
        <v>-0.5985703592814372</v>
      </c>
      <c r="J4" s="31" t="s">
        <v>23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65 I4:I65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7"/>
  <sheetViews>
    <sheetView tabSelected="1" workbookViewId="0">
      <pane xSplit="2" ySplit="3" topLeftCell="C4" activePane="bottomRight" state="frozen"/>
      <selection pane="bottomRight" activeCell="J4" sqref="J4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Burt Process Equipment</v>
      </c>
      <c r="B1" s="42"/>
      <c r="C1" s="42"/>
      <c r="D1" s="43" t="s">
        <v>26</v>
      </c>
      <c r="E1" s="43"/>
      <c r="F1" s="43"/>
      <c r="G1" s="41" t="s">
        <v>27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22318.8046875</v>
      </c>
      <c r="D2" s="5">
        <f>SUM(D4:D65)</f>
        <v>0</v>
      </c>
      <c r="E2" s="5">
        <f>C2-D2</f>
        <v>22318.8046875</v>
      </c>
      <c r="F2" s="6">
        <f>IFERROR(E2/D2, 0)</f>
        <v>0</v>
      </c>
      <c r="G2" s="5">
        <f>SUM(G4:G65)</f>
        <v>24949</v>
      </c>
      <c r="H2" s="7">
        <f>C2-G2</f>
        <v>-2630.1953125</v>
      </c>
      <c r="I2" s="6">
        <f>IFERROR(H2/G2, 0)</f>
        <v>-0.10542287516533728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40" t="str" cm="1">
        <f t="array" ref="A4">Sites[Site]</f>
        <v>CT: Hamden - Burt Process Equipment</v>
      </c>
      <c r="B4" s="22" t="str" cm="1">
        <f t="array" ref="B4">Sites[State]</f>
        <v>CT</v>
      </c>
      <c r="C4" s="18">
        <v>22318.8046875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24949</v>
      </c>
      <c r="H4" s="13">
        <f>IF(AND(ISNUMBER(C4),ISNUMBER(G4)), C4-G4, "")</f>
        <v>-2630.1953125</v>
      </c>
      <c r="I4" s="14">
        <f>IFERROR(H4/G4, "")</f>
        <v>-0.10542287516533728</v>
      </c>
      <c r="J4" s="31" t="s">
        <v>28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7"/>
  <sheetViews>
    <sheetView workbookViewId="0">
      <pane xSplit="2" ySplit="3" topLeftCell="D4" activePane="bottomRight" state="frozen"/>
      <selection pane="bottomRight" activeCell="D34" sqref="D34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Burt Process Equipment</v>
      </c>
      <c r="B1" s="42"/>
      <c r="C1" s="42"/>
      <c r="D1" s="43" t="s">
        <v>29</v>
      </c>
      <c r="E1" s="43"/>
      <c r="F1" s="43"/>
      <c r="G1" s="41" t="s">
        <v>30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7"/>
  <sheetViews>
    <sheetView workbookViewId="0">
      <pane xSplit="2" ySplit="3" topLeftCell="D4" activePane="bottomRight" state="frozen"/>
      <selection pane="bottomRight" activeCell="D34" sqref="D34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Burt Process Equipment</v>
      </c>
      <c r="B1" s="42"/>
      <c r="C1" s="42"/>
      <c r="D1" s="43" t="s">
        <v>31</v>
      </c>
      <c r="E1" s="43"/>
      <c r="F1" s="43"/>
      <c r="G1" s="41" t="s">
        <v>32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7"/>
  <sheetViews>
    <sheetView workbookViewId="0">
      <pane xSplit="2" ySplit="3" topLeftCell="C4" activePane="bottomRight" state="frozen"/>
      <selection pane="bottomRight" activeCell="D34" sqref="D34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Burt Process Equipment</v>
      </c>
      <c r="B1" s="42"/>
      <c r="C1" s="42"/>
      <c r="D1" s="43" t="s">
        <v>33</v>
      </c>
      <c r="E1" s="43"/>
      <c r="F1" s="43"/>
      <c r="G1" s="41" t="s">
        <v>34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7"/>
  <sheetViews>
    <sheetView workbookViewId="0">
      <pane xSplit="2" ySplit="3" topLeftCell="C4" activePane="bottomRight" state="frozen"/>
      <selection pane="bottomRight" activeCell="D34" sqref="D34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Burt Process Equipment</v>
      </c>
      <c r="B1" s="42"/>
      <c r="C1" s="42"/>
      <c r="D1" s="43" t="s">
        <v>35</v>
      </c>
      <c r="E1" s="43"/>
      <c r="F1" s="43"/>
      <c r="G1" s="41" t="s">
        <v>36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7"/>
  <sheetViews>
    <sheetView workbookViewId="0">
      <pane xSplit="2" ySplit="3" topLeftCell="C4" activePane="bottomRight" state="frozen"/>
      <selection pane="bottomRight" activeCell="D34" sqref="D34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Burt Process Equipment</v>
      </c>
      <c r="B1" s="42"/>
      <c r="C1" s="42"/>
      <c r="D1" s="43" t="s">
        <v>37</v>
      </c>
      <c r="E1" s="43"/>
      <c r="F1" s="43"/>
      <c r="G1" s="41" t="s">
        <v>38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7"/>
  <sheetViews>
    <sheetView workbookViewId="0">
      <pane xSplit="2" ySplit="3" topLeftCell="C4" activePane="bottomRight" state="frozen"/>
      <selection pane="bottomRight" activeCell="D34" sqref="D34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Burt Process Equipment</v>
      </c>
      <c r="B1" s="42"/>
      <c r="C1" s="42"/>
      <c r="D1" s="43" t="s">
        <v>39</v>
      </c>
      <c r="E1" s="43"/>
      <c r="F1" s="43"/>
      <c r="G1" s="41" t="s">
        <v>40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7"/>
  <sheetViews>
    <sheetView workbookViewId="0">
      <pane xSplit="2" ySplit="3" topLeftCell="C4" activePane="bottomRight" state="frozen"/>
      <selection pane="bottomRight" activeCell="D34" sqref="D34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Burt Process Equipment</v>
      </c>
      <c r="B1" s="42"/>
      <c r="C1" s="42"/>
      <c r="D1" s="43" t="s">
        <v>41</v>
      </c>
      <c r="E1" s="43"/>
      <c r="F1" s="43"/>
      <c r="G1" s="41" t="s">
        <v>42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7"/>
  <sheetViews>
    <sheetView workbookViewId="0">
      <pane xSplit="2" ySplit="3" topLeftCell="C4" activePane="bottomRight" state="frozen"/>
      <selection pane="bottomRight" activeCell="D34" sqref="D34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Burt Process Equipment</v>
      </c>
      <c r="B1" s="42"/>
      <c r="C1" s="42"/>
      <c r="D1" s="43" t="s">
        <v>43</v>
      </c>
      <c r="E1" s="43"/>
      <c r="F1" s="43"/>
      <c r="G1" s="41" t="s">
        <v>44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7"/>
  <sheetViews>
    <sheetView workbookViewId="0">
      <pane xSplit="2" ySplit="3" topLeftCell="C4" activePane="bottomRight" state="frozen"/>
      <selection pane="bottomRight" activeCell="D34" sqref="D34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Burt Process Equipment</v>
      </c>
      <c r="B1" s="42"/>
      <c r="C1" s="42"/>
      <c r="D1" s="43" t="s">
        <v>45</v>
      </c>
      <c r="E1" s="43"/>
      <c r="F1" s="43"/>
      <c r="G1" s="41" t="s">
        <v>46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C14" sqref="C1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47</v>
      </c>
      <c r="B1" t="s">
        <v>48</v>
      </c>
    </row>
    <row r="3" spans="1:12" ht="13.15">
      <c r="A3" t="s">
        <v>49</v>
      </c>
      <c r="B3" t="s">
        <v>3</v>
      </c>
      <c r="C3" t="s">
        <v>4</v>
      </c>
      <c r="D3" t="s">
        <v>50</v>
      </c>
      <c r="E3" s="2" t="s">
        <v>51</v>
      </c>
    </row>
    <row r="4" spans="1:12" ht="14.45">
      <c r="A4" s="36" t="s">
        <v>48</v>
      </c>
      <c r="B4" t="s">
        <v>52</v>
      </c>
      <c r="C4" s="34" t="s">
        <v>53</v>
      </c>
      <c r="D4" s="33" t="s">
        <v>54</v>
      </c>
      <c r="E4" t="s">
        <v>55</v>
      </c>
      <c r="G4" s="3"/>
    </row>
    <row r="5" spans="1:12" ht="14.45">
      <c r="A5" s="36"/>
      <c r="C5" s="34"/>
      <c r="D5" s="33"/>
      <c r="G5" s="3"/>
    </row>
    <row r="6" spans="1:12" ht="14.45">
      <c r="A6" s="36"/>
      <c r="C6" s="34"/>
      <c r="D6" s="33"/>
      <c r="G6" s="3"/>
    </row>
    <row r="7" spans="1:12" ht="12.75" customHeight="1">
      <c r="A7" s="36"/>
      <c r="C7" s="34"/>
      <c r="D7" s="33"/>
    </row>
    <row r="8" spans="1:12" ht="12.75" customHeight="1">
      <c r="A8" s="36"/>
      <c r="C8" s="34"/>
      <c r="D8" s="33"/>
    </row>
    <row r="9" spans="1:12" ht="12.75" customHeight="1">
      <c r="A9" s="36"/>
      <c r="C9" s="34"/>
      <c r="D9" s="33"/>
    </row>
    <row r="10" spans="1:12" ht="12.75" customHeight="1">
      <c r="A10" s="36"/>
      <c r="C10" s="34"/>
      <c r="D10" s="33"/>
      <c r="K10" s="32"/>
      <c r="L10" s="32"/>
    </row>
    <row r="11" spans="1:12" ht="12.75" customHeight="1">
      <c r="A11" s="36"/>
      <c r="C11" s="34"/>
      <c r="D11" s="33"/>
      <c r="K11" s="32"/>
      <c r="L11" s="32"/>
    </row>
    <row r="12" spans="1:12" ht="12.75" customHeight="1">
      <c r="A12" s="36"/>
      <c r="C12" s="34"/>
      <c r="D12" s="33"/>
      <c r="K12" s="32"/>
      <c r="L12" s="32"/>
    </row>
    <row r="13" spans="1:12" ht="12.75" customHeight="1">
      <c r="A13" s="36"/>
      <c r="C13" s="34"/>
      <c r="D13" s="33"/>
      <c r="K13" s="32"/>
      <c r="L13" s="32"/>
    </row>
    <row r="14" spans="1:12" ht="12.75" customHeight="1">
      <c r="A14" s="36"/>
      <c r="C14" s="34"/>
      <c r="D14" s="33"/>
      <c r="K14" s="32"/>
      <c r="L14" s="32"/>
    </row>
    <row r="15" spans="1:12" ht="12.75" customHeight="1">
      <c r="A15" s="36"/>
      <c r="C15" s="34"/>
      <c r="D15" s="33"/>
      <c r="K15" s="32"/>
      <c r="L15" s="32"/>
    </row>
    <row r="16" spans="1:12" ht="12.75" customHeight="1">
      <c r="A16" s="36"/>
      <c r="C16" s="34"/>
      <c r="D16" s="33"/>
      <c r="K16" s="32"/>
      <c r="L16" s="32"/>
    </row>
    <row r="17" spans="1:12" ht="12.75" customHeight="1">
      <c r="A17" s="36"/>
      <c r="C17" s="34"/>
      <c r="D17" s="33"/>
      <c r="K17" s="32"/>
      <c r="L17" s="32"/>
    </row>
    <row r="18" spans="1:12" ht="12.75" customHeight="1">
      <c r="A18" s="36"/>
      <c r="C18" s="34"/>
      <c r="D18" s="33"/>
      <c r="K18" s="32"/>
      <c r="L18" s="32"/>
    </row>
    <row r="19" spans="1:12" ht="12.75" customHeight="1">
      <c r="A19" s="36"/>
      <c r="C19" s="34"/>
      <c r="D19" s="33"/>
      <c r="K19" s="32"/>
      <c r="L19" s="32"/>
    </row>
    <row r="20" spans="1:12" ht="12.75" customHeight="1">
      <c r="A20" s="36"/>
      <c r="C20" s="34"/>
      <c r="D20" s="33"/>
      <c r="K20" s="32"/>
      <c r="L20" s="32"/>
    </row>
    <row r="21" spans="1:12" ht="12.75" customHeight="1">
      <c r="A21" s="36"/>
      <c r="C21" s="34"/>
      <c r="D21" s="33"/>
      <c r="K21" s="32"/>
      <c r="L21" s="32"/>
    </row>
    <row r="22" spans="1:12" ht="12.75" customHeight="1">
      <c r="A22" s="36"/>
      <c r="C22" s="34"/>
      <c r="D22" s="33"/>
      <c r="K22" s="32"/>
      <c r="L22" s="32"/>
    </row>
    <row r="23" spans="1:12" ht="12.75" customHeight="1">
      <c r="A23" s="36"/>
      <c r="C23" s="34"/>
      <c r="D23" s="33"/>
      <c r="K23" s="32"/>
      <c r="L23" s="32"/>
    </row>
    <row r="24" spans="1:12" ht="12.75" customHeight="1">
      <c r="A24" s="36"/>
      <c r="C24" s="34"/>
      <c r="D24" s="33"/>
      <c r="K24" s="32"/>
      <c r="L24" s="32"/>
    </row>
    <row r="25" spans="1:12" ht="12.75" customHeight="1">
      <c r="A25" s="36"/>
      <c r="C25" s="34"/>
      <c r="D25" s="33"/>
      <c r="K25" s="32"/>
      <c r="L25" s="32"/>
    </row>
    <row r="26" spans="1:12" ht="12.75" customHeight="1">
      <c r="K26" s="32"/>
      <c r="L26" s="32"/>
    </row>
    <row r="27" spans="1:12" ht="12.75" customHeight="1">
      <c r="K27" s="32"/>
      <c r="L27" s="32"/>
    </row>
    <row r="28" spans="1:12" ht="12.75" customHeight="1">
      <c r="K28" s="32"/>
      <c r="L28" s="32"/>
    </row>
    <row r="29" spans="1:12" ht="12.75" customHeight="1">
      <c r="K29" s="32"/>
      <c r="L29" s="32"/>
    </row>
    <row r="30" spans="1:12" ht="12.75" customHeight="1">
      <c r="K30" s="32"/>
      <c r="L30" s="32"/>
    </row>
    <row r="31" spans="1:12" ht="12.75" customHeight="1">
      <c r="K31" s="32"/>
      <c r="L31" s="3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E73B2736-2F64-4432-A3FF-CD1592E12782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2025-06-25T19:49:57Z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