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98DC59E0-F181-4A18-B7D4-6FCC0FC13233}" xr6:coauthVersionLast="47" xr6:coauthVersionMax="47" xr10:uidLastSave="{1A429A0C-BC83-4DA8-B8EB-9BF8DEDCD370}"/>
  <bookViews>
    <workbookView xWindow="28680" yWindow="-12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I6" i="34"/>
  <c r="I4" i="34"/>
  <c r="F6" i="34"/>
  <c r="F4" i="34"/>
  <c r="I5" i="1"/>
  <c r="I6" i="1"/>
  <c r="I7" i="1"/>
  <c r="I4" i="1"/>
  <c r="F6" i="1"/>
  <c r="F4" i="1"/>
  <c r="I6" i="4"/>
  <c r="I4" i="4"/>
  <c r="I6" i="3"/>
  <c r="I4" i="3"/>
  <c r="I6" i="72"/>
  <c r="I7" i="72"/>
  <c r="I4" i="72"/>
  <c r="F6" i="4"/>
  <c r="F6" i="3"/>
  <c r="F4" i="3"/>
  <c r="F6" i="72"/>
  <c r="F4" i="72"/>
  <c r="E4" i="4"/>
  <c r="E5" i="4"/>
  <c r="F5" i="4" s="1"/>
  <c r="E7" i="3"/>
  <c r="F7" i="3" s="1"/>
  <c r="G6" i="18"/>
  <c r="G7" i="18"/>
  <c r="G5" i="18"/>
  <c r="G4" i="18"/>
  <c r="G2" i="18"/>
  <c r="G6" i="30"/>
  <c r="G7" i="30"/>
  <c r="G5" i="30"/>
  <c r="G4" i="30"/>
  <c r="G6" i="29"/>
  <c r="G7" i="29"/>
  <c r="G4" i="29"/>
  <c r="G5" i="29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J2" i="33"/>
  <c r="E4" i="3"/>
  <c r="H4" i="3"/>
  <c r="E5" i="3"/>
  <c r="F5" i="3" s="1"/>
  <c r="H5" i="3"/>
  <c r="I5" i="3" s="1"/>
  <c r="E6" i="3"/>
  <c r="H6" i="3"/>
  <c r="H7" i="3"/>
  <c r="I7" i="3" s="1"/>
  <c r="E8" i="3"/>
  <c r="G8" i="3"/>
  <c r="H8" i="3"/>
  <c r="E9" i="72"/>
  <c r="F9" i="72"/>
  <c r="H9" i="72"/>
  <c r="I9" i="72"/>
  <c r="G6" i="1"/>
  <c r="G6" i="34"/>
  <c r="G7" i="1"/>
  <c r="G7" i="34"/>
  <c r="G5" i="1"/>
  <c r="G5" i="34" s="1"/>
  <c r="G4" i="1"/>
  <c r="B4" i="34" a="1"/>
  <c r="B4" i="34"/>
  <c r="A4" i="34" a="1"/>
  <c r="A4" i="34"/>
  <c r="A1" i="34" a="1"/>
  <c r="A1" i="34"/>
  <c r="D7" i="30"/>
  <c r="C7" i="30"/>
  <c r="D6" i="30"/>
  <c r="C6" i="30"/>
  <c r="D5" i="30"/>
  <c r="C5" i="30"/>
  <c r="D4" i="30"/>
  <c r="C4" i="30"/>
  <c r="D7" i="29"/>
  <c r="C7" i="29"/>
  <c r="D6" i="29"/>
  <c r="C6" i="29"/>
  <c r="D5" i="29"/>
  <c r="C5" i="29"/>
  <c r="D4" i="29"/>
  <c r="C4" i="29"/>
  <c r="D7" i="18"/>
  <c r="C7" i="18"/>
  <c r="D6" i="18"/>
  <c r="C6" i="18"/>
  <c r="D5" i="18"/>
  <c r="C5" i="18"/>
  <c r="D4" i="18"/>
  <c r="C4" i="18"/>
  <c r="E4" i="18"/>
  <c r="F4" i="18"/>
  <c r="B4" i="30" a="1"/>
  <c r="B4" i="30"/>
  <c r="A1" i="30" a="1"/>
  <c r="A1" i="30"/>
  <c r="B4" i="29" a="1"/>
  <c r="B4" i="29"/>
  <c r="A4" i="29" a="1"/>
  <c r="A4" i="29"/>
  <c r="G2" i="29"/>
  <c r="A1" i="29" a="1"/>
  <c r="A1" i="29"/>
  <c r="B4" i="18" a="1"/>
  <c r="B4" i="18"/>
  <c r="A4" i="18" a="1"/>
  <c r="A4" i="18"/>
  <c r="A1" i="18" a="1"/>
  <c r="A1" i="18"/>
  <c r="C7" i="1"/>
  <c r="C7" i="34" s="1"/>
  <c r="C6" i="1"/>
  <c r="C5" i="1"/>
  <c r="C5" i="34" s="1"/>
  <c r="C4" i="1"/>
  <c r="D6" i="1"/>
  <c r="D7" i="1"/>
  <c r="D7" i="34" s="1"/>
  <c r="D5" i="1"/>
  <c r="D4" i="1"/>
  <c r="B4" i="1" a="1"/>
  <c r="B4" i="1"/>
  <c r="A4" i="1" a="1"/>
  <c r="A4" i="1"/>
  <c r="A1" i="1" a="1"/>
  <c r="A1" i="1"/>
  <c r="H8" i="33"/>
  <c r="I8" i="33"/>
  <c r="E8" i="33"/>
  <c r="F8" i="33"/>
  <c r="H7" i="33"/>
  <c r="I7" i="33"/>
  <c r="E7" i="33"/>
  <c r="F7" i="33"/>
  <c r="H6" i="33"/>
  <c r="E6" i="33"/>
  <c r="F6" i="33"/>
  <c r="H5" i="33"/>
  <c r="I5" i="33"/>
  <c r="E5" i="33"/>
  <c r="F5" i="33"/>
  <c r="H4" i="33"/>
  <c r="I4" i="33"/>
  <c r="E4" i="33"/>
  <c r="F4" i="33"/>
  <c r="G2" i="33"/>
  <c r="D2" i="33"/>
  <c r="C2" i="33"/>
  <c r="A1" i="33" a="1"/>
  <c r="A1" i="33"/>
  <c r="H8" i="32"/>
  <c r="I8" i="32"/>
  <c r="E8" i="32"/>
  <c r="F8" i="32"/>
  <c r="H7" i="32"/>
  <c r="I7" i="32"/>
  <c r="E7" i="32"/>
  <c r="F7" i="32"/>
  <c r="H6" i="32"/>
  <c r="I6" i="32"/>
  <c r="E6" i="32"/>
  <c r="F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7" i="31"/>
  <c r="I7" i="31"/>
  <c r="E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/>
  <c r="H8" i="28"/>
  <c r="I8" i="28"/>
  <c r="E8" i="28"/>
  <c r="F8" i="28"/>
  <c r="H7" i="28"/>
  <c r="I7" i="28"/>
  <c r="E7" i="28"/>
  <c r="F7" i="28"/>
  <c r="H6" i="28"/>
  <c r="I6" i="28"/>
  <c r="E6" i="28"/>
  <c r="F6" i="28"/>
  <c r="H5" i="28"/>
  <c r="I5" i="28"/>
  <c r="E5" i="28"/>
  <c r="F5" i="28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8" i="27"/>
  <c r="I8" i="27"/>
  <c r="E8" i="27"/>
  <c r="F8" i="27"/>
  <c r="H7" i="27"/>
  <c r="I7" i="27"/>
  <c r="E7" i="27"/>
  <c r="F7" i="27"/>
  <c r="H6" i="27"/>
  <c r="I6" i="27"/>
  <c r="E6" i="27"/>
  <c r="F6" i="27"/>
  <c r="H5" i="27"/>
  <c r="I5" i="27"/>
  <c r="E5" i="27"/>
  <c r="F5" i="27"/>
  <c r="H4" i="27"/>
  <c r="I4" i="27"/>
  <c r="E4" i="27"/>
  <c r="F4" i="27"/>
  <c r="G2" i="27"/>
  <c r="D2" i="27"/>
  <c r="C2" i="27"/>
  <c r="J2" i="27"/>
  <c r="A1" i="27" a="1"/>
  <c r="A1" i="27"/>
  <c r="H8" i="26"/>
  <c r="E8" i="26"/>
  <c r="F8" i="26"/>
  <c r="H7" i="26"/>
  <c r="E7" i="26"/>
  <c r="F7" i="26"/>
  <c r="H6" i="26"/>
  <c r="E6" i="26"/>
  <c r="F6" i="26"/>
  <c r="H5" i="26"/>
  <c r="I5" i="26"/>
  <c r="E5" i="26"/>
  <c r="F5" i="26"/>
  <c r="H4" i="26"/>
  <c r="I4" i="26"/>
  <c r="E4" i="26"/>
  <c r="F4" i="26"/>
  <c r="G2" i="26"/>
  <c r="D2" i="26"/>
  <c r="C2" i="26"/>
  <c r="A1" i="26" a="1"/>
  <c r="A1" i="26"/>
  <c r="H8" i="19"/>
  <c r="I8" i="19"/>
  <c r="E8" i="19"/>
  <c r="F8" i="19"/>
  <c r="H7" i="19"/>
  <c r="I7" i="19"/>
  <c r="E7" i="19"/>
  <c r="F7" i="19"/>
  <c r="H6" i="19"/>
  <c r="I6" i="19"/>
  <c r="E6" i="19"/>
  <c r="F6" i="19"/>
  <c r="H5" i="19"/>
  <c r="I5" i="19"/>
  <c r="E5" i="19"/>
  <c r="F5" i="19"/>
  <c r="H4" i="19"/>
  <c r="I4" i="19"/>
  <c r="E4" i="19"/>
  <c r="F4" i="19"/>
  <c r="G2" i="19"/>
  <c r="D2" i="19"/>
  <c r="C2" i="19"/>
  <c r="H2" i="19"/>
  <c r="I2" i="19"/>
  <c r="A1" i="19" a="1"/>
  <c r="A1" i="19"/>
  <c r="H8" i="20"/>
  <c r="I8" i="20"/>
  <c r="E8" i="20"/>
  <c r="F8" i="20"/>
  <c r="H7" i="20"/>
  <c r="I7" i="20"/>
  <c r="E7" i="20"/>
  <c r="F7" i="20"/>
  <c r="H6" i="20"/>
  <c r="I6" i="20"/>
  <c r="E6" i="20"/>
  <c r="F6" i="20"/>
  <c r="H5" i="20"/>
  <c r="I5" i="20"/>
  <c r="E5" i="20"/>
  <c r="F5" i="20"/>
  <c r="H4" i="20"/>
  <c r="I4" i="20"/>
  <c r="E4" i="20"/>
  <c r="F4" i="20"/>
  <c r="G2" i="20"/>
  <c r="D2" i="20"/>
  <c r="C2" i="20"/>
  <c r="E2" i="20"/>
  <c r="F2" i="20"/>
  <c r="A1" i="20" a="1"/>
  <c r="A1" i="20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E4" i="21"/>
  <c r="F4" i="21"/>
  <c r="G2" i="21"/>
  <c r="D2" i="21"/>
  <c r="C2" i="21"/>
  <c r="A1" i="21" a="1"/>
  <c r="A1" i="21"/>
  <c r="H8" i="4"/>
  <c r="I8" i="4"/>
  <c r="E8" i="4"/>
  <c r="F8" i="4"/>
  <c r="H7" i="4"/>
  <c r="I7" i="4" s="1"/>
  <c r="E7" i="4"/>
  <c r="F7" i="4" s="1"/>
  <c r="H6" i="4"/>
  <c r="E6" i="4"/>
  <c r="H5" i="4"/>
  <c r="I5" i="4" s="1"/>
  <c r="H4" i="4"/>
  <c r="G2" i="4"/>
  <c r="H2" i="4" s="1"/>
  <c r="I2" i="4" s="1"/>
  <c r="D2" i="4"/>
  <c r="C2" i="4"/>
  <c r="J2" i="4" s="1"/>
  <c r="A1" i="4" a="1"/>
  <c r="A1" i="4"/>
  <c r="G2" i="3"/>
  <c r="D2" i="3"/>
  <c r="C2" i="3"/>
  <c r="J2" i="3" s="1"/>
  <c r="A1" i="3" a="1"/>
  <c r="A1" i="3"/>
  <c r="E5" i="72"/>
  <c r="F5" i="72" s="1"/>
  <c r="E6" i="72"/>
  <c r="E7" i="72"/>
  <c r="F7" i="72" s="1"/>
  <c r="E8" i="72"/>
  <c r="F8" i="72"/>
  <c r="H6" i="72"/>
  <c r="H7" i="72"/>
  <c r="H7" i="1" s="1"/>
  <c r="H8" i="72"/>
  <c r="I8" i="72"/>
  <c r="H5" i="72"/>
  <c r="I5" i="72" s="1"/>
  <c r="H4" i="72"/>
  <c r="G2" i="72"/>
  <c r="D2" i="72"/>
  <c r="C2" i="72"/>
  <c r="J2" i="72" s="1"/>
  <c r="E4" i="72"/>
  <c r="A1" i="72" a="1"/>
  <c r="A1" i="72"/>
  <c r="I4" i="21"/>
  <c r="H4" i="18"/>
  <c r="H2" i="28"/>
  <c r="I2" i="28"/>
  <c r="G4" i="34"/>
  <c r="H2" i="26"/>
  <c r="I2" i="26"/>
  <c r="H6" i="29"/>
  <c r="I6" i="29"/>
  <c r="D6" i="34"/>
  <c r="G2" i="30"/>
  <c r="H2" i="33"/>
  <c r="I2" i="33"/>
  <c r="H2" i="32"/>
  <c r="I2" i="32"/>
  <c r="H2" i="31"/>
  <c r="I2" i="31"/>
  <c r="E6" i="29"/>
  <c r="F6" i="29"/>
  <c r="C6" i="34"/>
  <c r="H7" i="29"/>
  <c r="I7" i="29"/>
  <c r="D2" i="29"/>
  <c r="E5" i="29"/>
  <c r="F5" i="29"/>
  <c r="E6" i="18"/>
  <c r="F6" i="18"/>
  <c r="H2" i="21"/>
  <c r="I2" i="21"/>
  <c r="E7" i="18"/>
  <c r="F7" i="18"/>
  <c r="D2" i="18"/>
  <c r="J2" i="21"/>
  <c r="E5" i="30"/>
  <c r="F5" i="30"/>
  <c r="E2" i="28"/>
  <c r="F2" i="28"/>
  <c r="J2" i="20"/>
  <c r="J2" i="19"/>
  <c r="I8" i="29"/>
  <c r="J2" i="26"/>
  <c r="H2" i="20"/>
  <c r="I2" i="20"/>
  <c r="H2" i="27"/>
  <c r="I2" i="27"/>
  <c r="E5" i="18"/>
  <c r="F5" i="18"/>
  <c r="J2" i="28"/>
  <c r="D2" i="30"/>
  <c r="J2" i="31"/>
  <c r="H6" i="30"/>
  <c r="J2" i="32"/>
  <c r="E6" i="30"/>
  <c r="F6" i="30"/>
  <c r="I6" i="33"/>
  <c r="D4" i="34"/>
  <c r="E4" i="30"/>
  <c r="F4" i="30"/>
  <c r="E6" i="1"/>
  <c r="H4" i="30"/>
  <c r="I4" i="30"/>
  <c r="E7" i="30"/>
  <c r="F7" i="30"/>
  <c r="H7" i="30"/>
  <c r="H5" i="30"/>
  <c r="E7" i="29"/>
  <c r="F7" i="29"/>
  <c r="I6" i="26"/>
  <c r="I8" i="26"/>
  <c r="H4" i="29"/>
  <c r="I4" i="29"/>
  <c r="H5" i="29"/>
  <c r="I5" i="29"/>
  <c r="I7" i="26"/>
  <c r="H6" i="18"/>
  <c r="I6" i="18"/>
  <c r="I4" i="18"/>
  <c r="H7" i="18"/>
  <c r="I7" i="18"/>
  <c r="C4" i="34"/>
  <c r="H5" i="18"/>
  <c r="I5" i="18"/>
  <c r="C2" i="29"/>
  <c r="E2" i="29"/>
  <c r="F2" i="29"/>
  <c r="C2" i="30"/>
  <c r="E4" i="29"/>
  <c r="F4" i="29"/>
  <c r="C2" i="18"/>
  <c r="H4" i="1"/>
  <c r="H6" i="1"/>
  <c r="E2" i="3"/>
  <c r="F2" i="3" s="1"/>
  <c r="E4" i="1"/>
  <c r="E2" i="33"/>
  <c r="F2" i="33"/>
  <c r="E2" i="32"/>
  <c r="F2" i="32"/>
  <c r="E2" i="31"/>
  <c r="F2" i="31"/>
  <c r="E2" i="27"/>
  <c r="F2" i="27"/>
  <c r="E2" i="26"/>
  <c r="F2" i="26"/>
  <c r="E2" i="19"/>
  <c r="F2" i="19"/>
  <c r="E2" i="21"/>
  <c r="F2" i="21"/>
  <c r="E6" i="34"/>
  <c r="I6" i="30"/>
  <c r="H6" i="34"/>
  <c r="I5" i="30"/>
  <c r="I7" i="30"/>
  <c r="E4" i="34"/>
  <c r="H4" i="34"/>
  <c r="H2" i="29"/>
  <c r="I2" i="29"/>
  <c r="H2" i="30"/>
  <c r="I2" i="30"/>
  <c r="E2" i="30"/>
  <c r="F2" i="30"/>
  <c r="H2" i="18"/>
  <c r="I2" i="18"/>
  <c r="E2" i="18"/>
  <c r="F2" i="18"/>
  <c r="E2" i="72"/>
  <c r="F2" i="72" s="1"/>
  <c r="H2" i="72" l="1"/>
  <c r="I2" i="72" s="1"/>
  <c r="E7" i="34"/>
  <c r="F7" i="34" s="1"/>
  <c r="D2" i="1"/>
  <c r="E2" i="4"/>
  <c r="F2" i="4" s="1"/>
  <c r="G2" i="1"/>
  <c r="D5" i="34"/>
  <c r="D2" i="34" s="1"/>
  <c r="E5" i="1"/>
  <c r="F5" i="1" s="1"/>
  <c r="G2" i="34"/>
  <c r="C2" i="1"/>
  <c r="E7" i="1"/>
  <c r="F7" i="1" s="1"/>
  <c r="H2" i="3"/>
  <c r="I2" i="3" s="1"/>
  <c r="H7" i="34"/>
  <c r="I7" i="34" s="1"/>
  <c r="C2" i="34"/>
  <c r="H5" i="1"/>
  <c r="E5" i="34" l="1"/>
  <c r="F5" i="34" s="1"/>
  <c r="E2" i="1"/>
  <c r="F2" i="1" s="1"/>
  <c r="H2" i="1"/>
  <c r="I2" i="1" s="1"/>
  <c r="H5" i="34"/>
  <c r="I5" i="34" s="1"/>
  <c r="H2" i="34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<sst xmlns="http://schemas.openxmlformats.org/spreadsheetml/2006/main" count="273" uniqueCount="69">
  <si>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</si>
  <si>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</si>
  <si>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</si>
  <si>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</si>
  <si>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</si>
  <si>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</si>
  <si>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</si>
  <si>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</si>
  <si>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</si>
  <si>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</si>
  <si>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</si>
  <si>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</si>
  <si>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</si>
  <si>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</si>
  <si>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</si>
  <si>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</si>
  <si>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</si>
  <si>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</si>
  <si>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</si>
  <si>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</si>
  <si>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</si>
  <si>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</si>
  <si>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has not been reporting since 10/29/2024 due to the replacement of the GHI sensor and POA sensor.</t>
  </si>
  <si>
    <t>1.SR094976, SR092908</t>
  </si>
  <si>
    <t>SR092908</t>
  </si>
  <si>
    <t>1.  Weather station has not been reporting since 10/29/2024 due to the 
replacement of the GHI sensor and POA sensor.
2. Site was taken offline from 10:00 AM to 2:00PM on 01/09/25 to replace the inverter 1 conductor and make the inverter 1 fully operational.
3. Site was taken offline from 9:00AM to 12:00PM on 01/15/25 to perform an Annual Preventative Maintenance Inspection.</t>
  </si>
  <si>
    <t>1. SR094976
2. SR086609
3. PM8296</t>
  </si>
  <si>
    <t>SR086609</t>
  </si>
  <si>
    <t xml:space="preserve"> 1. Weather station has not been reporting since 10/29/2024 due to the replacement of the GHI sensor and POA sensor.
2. Site was taken offline from 9:15AM to 11:15AM on 01/07/25 to perform an Annual Preventative Maintenance Inspection.
</t>
  </si>
  <si>
    <t>1.SR094976
2. PM8361</t>
  </si>
  <si>
    <t>1. Site was taken offline from 09:00AM to 11:15AM on 01/06/25 to perform an Annual Preventative Maintenance Inspection.</t>
  </si>
  <si>
    <t>1. PM8441</t>
  </si>
  <si>
    <t>February Actual v. Expected</t>
  </si>
  <si>
    <t>February Actual v. Forecasted</t>
  </si>
  <si>
    <t>1. Weather station has not been reporting since 10/29/2024 due to the 
replacement of the GHI sensor and POA sensor.</t>
  </si>
  <si>
    <t>1. SR094976</t>
  </si>
  <si>
    <t>1. All Lake Havasu sites experienced a poor production day on 02/13/25, yet only the Public Works has a functioning Weather Station, therefore it kicked the difference.</t>
  </si>
  <si>
    <t>March Actual v. Expected</t>
  </si>
  <si>
    <t>March Actual v. Forecasted</t>
  </si>
  <si>
    <t>1.SR094976</t>
  </si>
  <si>
    <t>1.The weather station reported irradiance spikes of 5697 W/m² during non-production hours on 03/14 and 03/16 ,03/19 and after that did not reoccurred.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</si>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</sst>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0" fontId="27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left" vertical="center"/>
    </xf>
    <xf numFmtId="0" fontId="35" fillId="0" borderId="0" xfId="45"/>
    <xf numFmtId="0" fontId="35" fillId="0" borderId="0" xfId="45" applyAlignment="1">
      <alignment horizontal="left" vertical="top"/>
    </xf>
    <xf numFmtId="49" fontId="35" fillId="0" borderId="0" xfId="45" applyNumberFormat="1" applyAlignment="1">
      <alignment horizontal="left" vertical="top" wrapText="1"/>
    </xf>
    <xf numFmtId="49" fontId="30" fillId="38" borderId="0" xfId="2" applyNumberFormat="1" applyFont="1" applyFill="1" applyAlignment="1">
      <alignment horizontal="left" vertical="top" wrapText="1"/>
    </xf>
    <xf numFmtId="164" fontId="28" fillId="44" borderId="0" xfId="1" applyNumberFormat="1" applyFont="1" applyFill="1" applyAlignment="1">
      <alignment horizontal="right" vertical="center"/>
    </xf>
    <xf numFmtId="3" fontId="30" fillId="4" borderId="0" xfId="1" applyNumberFormat="1" applyFont="1" applyFill="1" applyAlignment="1">
      <alignment horizontal="right" vertical="center"/>
    </xf>
    <xf numFmtId="9" fontId="30" fillId="3" borderId="0" xfId="2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us3.assetplanner.com/service_request?ID=086609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334"/>
  <sheetViews>
    <sheetView workbookViewId="0">
      <pane ySplit="2" topLeftCell="A3" activePane="bottomLeft" state="frozen"/>
      <selection pane="bottomLeft" activeCell="G19" sqref="G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2" t="str" cm="1">
        <f t="array" ref="A1">portfolio</f>
        <v>LX International America, Inc.</v>
      </c>
      <c r="B1" s="62"/>
      <c r="C1" s="62"/>
      <c r="D1" s="63" t="s">
        <v>0</v>
      </c>
      <c r="E1" s="63"/>
      <c r="F1" s="63"/>
      <c r="G1" s="61" t="s">
        <v>1</v>
      </c>
      <c r="H1" s="61"/>
      <c r="I1" s="61"/>
    </row>
    <row r="2" spans="1:11" ht="19.5" customHeight="1">
      <c r="A2" s="64" t="s">
        <v>2</v>
      </c>
      <c r="B2" s="64"/>
      <c r="C2" s="6">
        <f>SUM(C4:C92)</f>
        <v>257799.48</v>
      </c>
      <c r="D2" s="6">
        <f>SUM(D4:D92)</f>
        <v>27680.89</v>
      </c>
      <c r="E2" s="6">
        <f>C2-D2</f>
        <v>230118.59000000003</v>
      </c>
      <c r="F2" s="7">
        <f>IFERROR(E2/D2, 0)</f>
        <v>8.3132655778047617</v>
      </c>
      <c r="G2" s="6">
        <f>SUM(G4:G92)</f>
        <v>0</v>
      </c>
      <c r="H2" s="8">
        <f>C2-G2</f>
        <v>257799.48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92331</v>
      </c>
      <c r="D4" s="14">
        <f>SUM('1st Qtr'!D4, '2nd Qtr'!D4, '3rd Qtr'!D4, '4th Qtr'!D4)</f>
        <v>0</v>
      </c>
      <c r="E4" s="14">
        <f>IF(AND(ISNUMBER(C4),ISNUMBER(D4)), C4-D4, "")</f>
        <v>92331</v>
      </c>
      <c r="F4" s="15" t="str">
        <f>IFERROR(E4/D4, "")</f>
        <v/>
      </c>
      <c r="G4" s="16">
        <f>SUM('1st Qtr'!G4, '2nd Qtr'!G4, '3rd Qtr'!G4, '4th Qtr'!G4)</f>
        <v>0</v>
      </c>
      <c r="H4" s="16">
        <f>SUM('1st Qtr'!H4, '2nd Qtr'!H4, '3rd Qtr'!H4, '4th Qtr'!H4)</f>
        <v>92331</v>
      </c>
      <c r="I4" s="17" t="str">
        <f>IFERROR(H4/G4, "")</f>
        <v/>
      </c>
    </row>
    <row r="5" spans="1:11" ht="28.15" customHeight="1">
      <c r="A5" s="32" t="str">
        <v>AZ: Lake Havasu City - Aquatic Center</v>
      </c>
      <c r="B5" s="33" t="str">
        <v>AZ</v>
      </c>
      <c r="C5" s="12">
        <f>SUM('1st Qtr'!C5, '2nd Qtr'!C5, '3rd Qtr'!C5, '4th Qtr'!C5)</f>
        <v>104664</v>
      </c>
      <c r="D5" s="20">
        <f>SUM('1st Qtr'!D5, '2nd Qtr'!D5, '3rd Qtr'!D5, '4th Qtr'!D5)</f>
        <v>0</v>
      </c>
      <c r="E5" s="20">
        <f t="shared" ref="E5:E7" si="0">IF(AND(ISNUMBER(C5),ISNUMBER(D5)), C5-D5, "")</f>
        <v>104664</v>
      </c>
      <c r="F5" s="21" t="str">
        <f t="shared" ref="F5:F7" si="1">IFERROR(E5/D5, "")</f>
        <v/>
      </c>
      <c r="G5" s="22">
        <f>SUM('1st Qtr'!G5, '2nd Qtr'!G5, '3rd Qtr'!G5, '4th Qtr'!G5)</f>
        <v>0</v>
      </c>
      <c r="H5" s="22">
        <f>SUM('1st Qtr'!H5, '2nd Qtr'!H5, '3rd Qtr'!H5, '4th Qtr'!H5)</f>
        <v>104664</v>
      </c>
      <c r="I5" s="21" t="str">
        <f t="shared" ref="I5:I7" si="2">IFERROR(H5/G5, 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SUM('1st Qtr'!C6, '2nd Qtr'!C6, '3rd Qtr'!C6, '4th Qtr'!C6)</f>
        <v>36787.25</v>
      </c>
      <c r="D6" s="14">
        <f>SUM('1st Qtr'!D6, '2nd Qtr'!D6, '3rd Qtr'!D6, '4th Qtr'!D6)</f>
        <v>0</v>
      </c>
      <c r="E6" s="14">
        <f t="shared" si="0"/>
        <v>36787.25</v>
      </c>
      <c r="F6" s="15" t="str">
        <f t="shared" si="1"/>
        <v/>
      </c>
      <c r="G6" s="16">
        <f>SUM('1st Qtr'!G6, '2nd Qtr'!G6, '3rd Qtr'!G6, '4th Qtr'!G6)</f>
        <v>0</v>
      </c>
      <c r="H6" s="16">
        <f>SUM('1st Qtr'!H6, '2nd Qtr'!H6, '3rd Qtr'!H6, '4th Qtr'!H6)</f>
        <v>36787.25</v>
      </c>
      <c r="I6" s="17" t="str">
        <f t="shared" si="2"/>
        <v/>
      </c>
    </row>
    <row r="7" spans="1:11" ht="23.45" customHeight="1">
      <c r="A7" s="32" t="str">
        <v>AZ: Lake Havasu City - Public Works</v>
      </c>
      <c r="B7" s="33" t="str">
        <v>AZ</v>
      </c>
      <c r="C7" s="12">
        <f>SUM('1st Qtr'!C7, '2nd Qtr'!C7, '3rd Qtr'!C7, '4th Qtr'!C7)</f>
        <v>24017.230000000003</v>
      </c>
      <c r="D7" s="20">
        <f>SUM('1st Qtr'!D7, '2nd Qtr'!D7, '3rd Qtr'!D7, '4th Qtr'!D7)</f>
        <v>27680.89</v>
      </c>
      <c r="E7" s="20">
        <f t="shared" si="0"/>
        <v>-3663.6599999999962</v>
      </c>
      <c r="F7" s="21">
        <f t="shared" si="1"/>
        <v>-0.13235340337684215</v>
      </c>
      <c r="G7" s="22">
        <f>SUM('1st Qtr'!G7, '2nd Qtr'!G7, '3rd Qtr'!G7, '4th Qtr'!G7)</f>
        <v>0</v>
      </c>
      <c r="H7" s="22">
        <f>SUM('1st Qtr'!H7, '2nd Qtr'!H7, '3rd Qtr'!H7, '4th Qtr'!H7)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mergeCells count="4">
    <mergeCell ref="G1:I1"/>
    <mergeCell ref="A1:C1"/>
    <mergeCell ref="D1:F1"/>
    <mergeCell ref="A2:B2"/>
  </mergeCells>
  <conditionalFormatting sqref="F2 I2">
    <cfRule type="cellIs" dxfId="66" priority="9" stopIfTrue="1" operator="lessThanOrEqual">
      <formula>-0.1</formula>
    </cfRule>
    <cfRule type="expression" dxfId="65" priority="10">
      <formula>AND(ISNUMBER(F2), F2&gt;=0.1)</formula>
    </cfRule>
  </conditionalFormatting>
  <conditionalFormatting sqref="F4 I4 I6 F6 F8:F92 I8:I92">
    <cfRule type="cellIs" dxfId="64" priority="5" stopIfTrue="1" operator="lessThanOrEqual">
      <formula>-0.1</formula>
    </cfRule>
    <cfRule type="expression" dxfId="63" priority="6">
      <formula>AND(ISNUMBER(F4), F4&gt;=0.1)</formula>
    </cfRule>
  </conditionalFormatting>
  <conditionalFormatting sqref="F5 I5">
    <cfRule type="cellIs" dxfId="62" priority="3" stopIfTrue="1" operator="lessThanOrEqual">
      <formula>-0.1</formula>
    </cfRule>
    <cfRule type="expression" dxfId="61" priority="4">
      <formula>AND(ISNUMBER(F5), F5&gt;=0.1)</formula>
    </cfRule>
  </conditionalFormatting>
  <conditionalFormatting sqref="F7 I7">
    <cfRule type="cellIs" dxfId="60" priority="1" stopIfTrue="1" operator="lessThanOrEqual">
      <formula>-0.1</formula>
    </cfRule>
    <cfRule type="expression" dxfId="59" priority="2">
      <formula>AND(ISNUMBER(F7), F7&gt;=0.1)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34"/>
  <sheetViews>
    <sheetView workbookViewId="0">
      <pane ySplit="2" topLeftCell="A3" activePane="bottomLeft" state="frozen"/>
      <selection pane="bottomLeft" activeCell="E17" sqref="E17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2" t="str" cm="1">
        <f t="array" ref="A1">portfolio</f>
        <v>LX International America, Inc.</v>
      </c>
      <c r="B1" s="62"/>
      <c r="C1" s="62"/>
      <c r="D1" s="63" t="s">
        <v>10</v>
      </c>
      <c r="E1" s="63"/>
      <c r="F1" s="63"/>
      <c r="G1" s="61" t="s">
        <v>11</v>
      </c>
      <c r="H1" s="61"/>
      <c r="I1" s="61"/>
    </row>
    <row r="2" spans="1:11" ht="19.5" customHeight="1">
      <c r="A2" s="64" t="s">
        <v>2</v>
      </c>
      <c r="B2" s="64"/>
      <c r="C2" s="6">
        <f>SUM(C4:C92)</f>
        <v>257799.48</v>
      </c>
      <c r="D2" s="6">
        <f>SUM(D4:D92)</f>
        <v>27680.89</v>
      </c>
      <c r="E2" s="6">
        <f>C2-D2</f>
        <v>230118.59000000003</v>
      </c>
      <c r="F2" s="7">
        <f>IFERROR(E2/D2, 0)</f>
        <v>8.3132655778047617</v>
      </c>
      <c r="G2" s="6">
        <f>SUM(G4:G92)</f>
        <v>0</v>
      </c>
      <c r="H2" s="8">
        <f>C2-G2</f>
        <v>257799.48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92331</v>
      </c>
      <c r="D4" s="14">
        <f>SUM(Jan!D4, Feb!D4, Mar!D4)</f>
        <v>0</v>
      </c>
      <c r="E4" s="14">
        <f>IF(AND(ISNUMBER(C4),ISNUMBER(D4)), C4-D4, "")</f>
        <v>92331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92331</v>
      </c>
      <c r="I4" s="17" t="str">
        <f>IFERROR(H4/G4,"")</f>
        <v/>
      </c>
    </row>
    <row r="5" spans="1:11" ht="20.45" customHeight="1">
      <c r="A5" s="32" t="str">
        <v>AZ: Lake Havasu City - Aquatic Center</v>
      </c>
      <c r="B5" s="33" t="str">
        <v>AZ</v>
      </c>
      <c r="C5" s="12">
        <f>SUM(Jan!C5, Feb!C5, Mar!C5)</f>
        <v>104664</v>
      </c>
      <c r="D5" s="20">
        <f>SUM(Jan!D5, Feb!D5, Mar!D5)</f>
        <v>0</v>
      </c>
      <c r="E5" s="20">
        <f t="shared" ref="E5:E7" si="0">IF(AND(ISNUMBER(C5),ISNUMBER(D5)), C5-D5, "")</f>
        <v>104664</v>
      </c>
      <c r="F5" s="21" t="str">
        <f t="shared" ref="F5:F7" si="1">IFERROR(E5/D5, "")</f>
        <v/>
      </c>
      <c r="G5" s="22">
        <f>SUM(Jan!G5, Feb!G5, Mar!G5)</f>
        <v>0</v>
      </c>
      <c r="H5" s="22">
        <f>SUM(Jan!H5, Feb!H5, Mar!H5)</f>
        <v>104664</v>
      </c>
      <c r="I5" s="21" t="str">
        <f t="shared" ref="I5:I7" si="2">IFERROR(H5/G5,"")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SUM(Jan!C6, Feb!C6, Mar!C6)</f>
        <v>36787.25</v>
      </c>
      <c r="D6" s="14">
        <f>SUM(Jan!D6, Feb!D6, Mar!D6)</f>
        <v>0</v>
      </c>
      <c r="E6" s="14">
        <f t="shared" si="0"/>
        <v>36787.25</v>
      </c>
      <c r="F6" s="15" t="str">
        <f t="shared" si="1"/>
        <v/>
      </c>
      <c r="G6" s="16">
        <f>SUM(Jan!G6, Feb!G6, Mar!G6)</f>
        <v>0</v>
      </c>
      <c r="H6" s="16">
        <f>SUM(Jan!H6, Feb!H6, Mar!H6)</f>
        <v>36787.25</v>
      </c>
      <c r="I6" s="17" t="str">
        <f t="shared" si="2"/>
        <v/>
      </c>
    </row>
    <row r="7" spans="1:11" ht="20.45" customHeight="1">
      <c r="A7" s="32" t="str">
        <v>AZ: Lake Havasu City - Public Works</v>
      </c>
      <c r="B7" s="33" t="str">
        <v>AZ</v>
      </c>
      <c r="C7" s="12">
        <f>SUM(Jan!C7, Feb!C7, Mar!C7)</f>
        <v>24017.230000000003</v>
      </c>
      <c r="D7" s="20">
        <f>SUM(Jan!D7, Feb!D7, Mar!D7)</f>
        <v>27680.89</v>
      </c>
      <c r="E7" s="20">
        <f t="shared" si="0"/>
        <v>-3663.6599999999962</v>
      </c>
      <c r="F7" s="21">
        <f t="shared" si="1"/>
        <v>-0.13235340337684215</v>
      </c>
      <c r="G7" s="22">
        <f>SUM(Jan!G7, Feb!G7, Mar!G7)</f>
        <v>0</v>
      </c>
      <c r="H7" s="22">
        <f>SUM(Jan!H7, Feb!H7, Mar!H7)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58" priority="11" stopIfTrue="1" operator="lessThanOrEqual">
      <formula>-0.1</formula>
    </cfRule>
    <cfRule type="expression" dxfId="57" priority="12">
      <formula>AND(ISNUMBER(F2), F2&gt;=0.1)</formula>
    </cfRule>
  </conditionalFormatting>
  <conditionalFormatting sqref="F4 I4 I6 F6 F8:F92 I8:I92">
    <cfRule type="cellIs" dxfId="56" priority="5" stopIfTrue="1" operator="lessThanOrEqual">
      <formula>-0.1</formula>
    </cfRule>
    <cfRule type="expression" dxfId="55" priority="6">
      <formula>AND(ISNUMBER(F4), F4&gt;=0.1)</formula>
    </cfRule>
  </conditionalFormatting>
  <conditionalFormatting sqref="F5 I5">
    <cfRule type="cellIs" dxfId="54" priority="3" stopIfTrue="1" operator="lessThanOrEqual">
      <formula>-0.1</formula>
    </cfRule>
    <cfRule type="expression" dxfId="53" priority="4">
      <formula>AND(ISNUMBER(F5), F5&gt;=0.1)</formula>
    </cfRule>
  </conditionalFormatting>
  <conditionalFormatting sqref="F7 I7">
    <cfRule type="cellIs" dxfId="52" priority="1" stopIfTrue="1" operator="lessThanOrEqual">
      <formula>-0.1</formula>
    </cfRule>
    <cfRule type="expression" dxfId="51" priority="2">
      <formula>AND(ISNUMBER(F7), F7&gt;=0.1)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A5" sqref="A5:XFD5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LX International America, Inc.</v>
      </c>
      <c r="B1" s="62"/>
      <c r="C1" s="62"/>
      <c r="D1" s="63" t="s">
        <v>12</v>
      </c>
      <c r="E1" s="63"/>
      <c r="F1" s="63"/>
      <c r="G1" s="61" t="s">
        <v>13</v>
      </c>
      <c r="H1" s="61"/>
      <c r="I1" s="61"/>
    </row>
    <row r="2" spans="1:9" ht="19.5" customHeight="1">
      <c r="A2" s="64" t="s">
        <v>2</v>
      </c>
      <c r="B2" s="64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7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>
        <f>SUM(Apr!G7,May!G7,Jun!G7)</f>
        <v>0</v>
      </c>
      <c r="H7" s="22">
        <f>SUM(Apr!H7, May!H7, Jun!H7)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I16" sqref="I16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LX International America, Inc.</v>
      </c>
      <c r="B1" s="62"/>
      <c r="C1" s="62"/>
      <c r="D1" s="63" t="s">
        <v>14</v>
      </c>
      <c r="E1" s="63"/>
      <c r="F1" s="63"/>
      <c r="G1" s="61" t="s">
        <v>15</v>
      </c>
      <c r="H1" s="61"/>
      <c r="I1" s="61"/>
    </row>
    <row r="2" spans="1:9" ht="19.5" customHeight="1">
      <c r="A2" s="64" t="s">
        <v>2</v>
      </c>
      <c r="B2" s="64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7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>
        <f>SUM(Jul!G7,Aug!G7,Sep!G7)</f>
        <v>0</v>
      </c>
      <c r="H7" s="22">
        <f>SUM(Jul!H7, Aug!H7, Sep!H7)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F19" sqref="F19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LX International America, Inc.</v>
      </c>
      <c r="B1" s="62"/>
      <c r="C1" s="62"/>
      <c r="D1" s="63" t="s">
        <v>16</v>
      </c>
      <c r="E1" s="63"/>
      <c r="F1" s="63"/>
      <c r="G1" s="61" t="s">
        <v>17</v>
      </c>
      <c r="H1" s="61"/>
      <c r="I1" s="61"/>
    </row>
    <row r="2" spans="1:9" ht="19.5" customHeight="1">
      <c r="A2" s="64" t="s">
        <v>2</v>
      </c>
      <c r="B2" s="64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34"/>
  <sheetViews>
    <sheetView topLeftCell="C1" zoomScale="120" zoomScaleNormal="120" workbookViewId="0">
      <pane ySplit="3" topLeftCell="J17" activePane="bottomLeft" state="frozen"/>
      <selection pane="bottomLeft" activeCell="J17" sqref="J17"/>
      <selection activeCell="H22" sqref="H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2" t="str" cm="1">
        <f t="array" ref="A1">portfolio</f>
        <v>LX International America, Inc.</v>
      </c>
      <c r="B1" s="62"/>
      <c r="C1" s="62"/>
      <c r="D1" s="63" t="s">
        <v>18</v>
      </c>
      <c r="E1" s="63"/>
      <c r="F1" s="63"/>
      <c r="G1" s="61" t="s">
        <v>19</v>
      </c>
      <c r="H1" s="61"/>
      <c r="I1" s="61"/>
      <c r="J1" s="5"/>
      <c r="K1" s="5"/>
    </row>
    <row r="2" spans="1:12" ht="19.5" customHeight="1">
      <c r="A2" s="64" t="s">
        <v>2</v>
      </c>
      <c r="B2" s="64"/>
      <c r="C2" s="6">
        <f>SUM(C4:C92)</f>
        <v>69692</v>
      </c>
      <c r="D2" s="6">
        <f>SUM(D4:D92)</f>
        <v>8421</v>
      </c>
      <c r="E2" s="6">
        <f>C2-D2</f>
        <v>61271</v>
      </c>
      <c r="F2" s="7">
        <f>IFERROR(E2/D2, 0)</f>
        <v>7.2759767248545302</v>
      </c>
      <c r="G2" s="6">
        <f>SUM(G4:G92)</f>
        <v>0</v>
      </c>
      <c r="H2" s="8">
        <f>C2-G2</f>
        <v>69692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23363</v>
      </c>
      <c r="D4" s="14">
        <v>0</v>
      </c>
      <c r="E4" s="14">
        <f>IF(AND(ISNUMBER(C4),ISNUMBER(D4)), C4-D4, "")</f>
        <v>23363</v>
      </c>
      <c r="F4" s="15" t="str">
        <f>IFERROR(E4/D4,"")</f>
        <v/>
      </c>
      <c r="G4" s="16">
        <v>0</v>
      </c>
      <c r="H4" s="16">
        <f>IF(AND(ISNUMBER(C4),ISNUMBER(G4)), C4-G4, "")</f>
        <v>23363</v>
      </c>
      <c r="I4" s="17" t="str">
        <f>IFERROR(H4/G4, "")</f>
        <v/>
      </c>
      <c r="J4" s="18" t="s">
        <v>22</v>
      </c>
      <c r="K4" s="59" t="s">
        <v>23</v>
      </c>
      <c r="L4" s="52" t="s">
        <v>24</v>
      </c>
    </row>
    <row r="5" spans="1:12" ht="28.15" customHeight="1">
      <c r="A5" s="32" t="str">
        <v>AZ: Lake Havasu City - Aquatic Center</v>
      </c>
      <c r="B5" s="33" t="str">
        <v>AZ</v>
      </c>
      <c r="C5" s="12">
        <v>29390</v>
      </c>
      <c r="D5" s="20">
        <v>0</v>
      </c>
      <c r="E5" s="20">
        <f t="shared" ref="E5:E6" si="0">IF(AND(ISNUMBER(C5),ISNUMBER(D5)), C5-D5, "")</f>
        <v>29390</v>
      </c>
      <c r="F5" s="21" t="str">
        <f t="shared" ref="F5:F7" si="1">IFERROR(E5/D5,"")</f>
        <v/>
      </c>
      <c r="G5" s="22">
        <v>0</v>
      </c>
      <c r="H5" s="22">
        <f t="shared" ref="H5:H6" si="2">IF(AND(ISNUMBER(C5),ISNUMBER(G5)), C5-G5, "")</f>
        <v>29390</v>
      </c>
      <c r="I5" s="21" t="str">
        <f t="shared" ref="I5:I7" si="3">IFERROR(H5/G5, "")</f>
        <v/>
      </c>
      <c r="J5" s="43" t="s">
        <v>25</v>
      </c>
      <c r="K5" s="54" t="s">
        <v>26</v>
      </c>
      <c r="L5" s="52" t="s">
        <v>27</v>
      </c>
    </row>
    <row r="6" spans="1:12" ht="63" customHeight="1">
      <c r="A6" s="30" t="str">
        <v>AZ: Lake Havasu City - City Hall</v>
      </c>
      <c r="B6" s="31" t="str">
        <v>AZ</v>
      </c>
      <c r="C6" s="26">
        <v>10074</v>
      </c>
      <c r="D6" s="14">
        <v>0</v>
      </c>
      <c r="E6" s="14">
        <f t="shared" si="0"/>
        <v>10074</v>
      </c>
      <c r="F6" s="15" t="str">
        <f t="shared" si="1"/>
        <v/>
      </c>
      <c r="G6" s="16">
        <v>0</v>
      </c>
      <c r="H6" s="16">
        <f t="shared" si="2"/>
        <v>10074</v>
      </c>
      <c r="I6" s="17" t="str">
        <f t="shared" si="3"/>
        <v/>
      </c>
      <c r="J6" s="18" t="s">
        <v>28</v>
      </c>
      <c r="K6" s="59" t="s">
        <v>29</v>
      </c>
    </row>
    <row r="7" spans="1:12" ht="28.15" customHeight="1">
      <c r="A7" s="32" t="str">
        <v>AZ: Lake Havasu City - Public Works</v>
      </c>
      <c r="B7" s="33" t="str">
        <v>AZ</v>
      </c>
      <c r="C7" s="12">
        <v>6865</v>
      </c>
      <c r="D7" s="20">
        <v>8421</v>
      </c>
      <c r="E7" s="20">
        <f t="shared" ref="E7:E8" si="4">IF(AND(ISNUMBER(C7),ISNUMBER(D7)), C7-D7, "")</f>
        <v>-1556</v>
      </c>
      <c r="F7" s="21">
        <f t="shared" si="1"/>
        <v>-0.18477615485096782</v>
      </c>
      <c r="G7" s="22">
        <v>0</v>
      </c>
      <c r="H7" s="22">
        <f t="shared" ref="H7:H8" si="5">IF(AND(ISNUMBER(C7),ISNUMBER(G7)), C7-G7, "")</f>
        <v>6865</v>
      </c>
      <c r="I7" s="21" t="str">
        <f t="shared" si="3"/>
        <v/>
      </c>
      <c r="J7" s="43" t="s">
        <v>30</v>
      </c>
      <c r="K7" s="43" t="s">
        <v>31</v>
      </c>
    </row>
    <row r="8" spans="1:12" ht="15.6">
      <c r="A8" s="32"/>
      <c r="B8" s="33"/>
      <c r="C8" s="12"/>
      <c r="D8" s="20"/>
      <c r="E8" s="20" t="str">
        <f t="shared" si="4"/>
        <v/>
      </c>
      <c r="F8" s="21" t="str">
        <f t="shared" ref="F8" si="6">IFERROR(E8/D8, "")</f>
        <v/>
      </c>
      <c r="G8" s="22"/>
      <c r="H8" s="22" t="str">
        <f t="shared" si="5"/>
        <v/>
      </c>
      <c r="I8" s="21" t="str">
        <f t="shared" ref="I8" si="7">IFERROR(H8/G8, "")</f>
        <v/>
      </c>
      <c r="J8" s="11"/>
      <c r="K8" s="19"/>
    </row>
    <row r="9" spans="1:12" ht="14.45">
      <c r="A9" s="23"/>
      <c r="B9" s="35"/>
      <c r="C9" s="23"/>
      <c r="D9" s="23"/>
      <c r="E9" s="23" t="str">
        <f t="shared" ref="E9" si="8">IF(AND(ISNUMBER(C9),ISNUMBER(D9)), C9-D9, "")</f>
        <v/>
      </c>
      <c r="F9" s="23" t="str">
        <f t="shared" ref="F9" si="9">IFERROR(E9/D9, "")</f>
        <v/>
      </c>
      <c r="G9" s="23"/>
      <c r="H9" s="23" t="str">
        <f t="shared" ref="H9" si="10">IF(AND(ISNUMBER(C9),ISNUMBER(G9)), C9-G9, "")</f>
        <v/>
      </c>
      <c r="I9" s="23" t="str">
        <f t="shared" ref="I9" si="11">IFERROR(H9/G9, "")</f>
        <v/>
      </c>
      <c r="J9" s="23"/>
      <c r="K9" s="23"/>
    </row>
    <row r="10" spans="1:12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 F4 F6 F8:F92 I4 I6 I8:I92">
    <cfRule type="cellIs" dxfId="44" priority="10" stopIfTrue="1" operator="lessThanOrEqual">
      <formula>-0.1</formula>
    </cfRule>
    <cfRule type="expression" dxfId="43" priority="11">
      <formula>AND(ISNUMBER(F2), F2&gt;=0.1)</formula>
    </cfRule>
  </conditionalFormatting>
  <conditionalFormatting sqref="F5 I5">
    <cfRule type="cellIs" dxfId="42" priority="3" stopIfTrue="1" operator="lessThanOrEqual">
      <formula>-0.1</formula>
    </cfRule>
    <cfRule type="expression" dxfId="41" priority="4">
      <formula>AND(ISNUMBER(F5), F5&gt;=0.1)</formula>
    </cfRule>
  </conditionalFormatting>
  <conditionalFormatting sqref="F7 I7">
    <cfRule type="cellIs" dxfId="40" priority="1" stopIfTrue="1" operator="lessThanOrEqual">
      <formula>-0.1</formula>
    </cfRule>
    <cfRule type="expression" dxfId="39" priority="2">
      <formula>AND(ISNUMBER(F7), F7&gt;=0.1)</formula>
    </cfRule>
  </conditionalFormatting>
  <hyperlinks>
    <hyperlink ref="K4" r:id="rId1" display="https://us3.assetplanner.com/service_request?ID=094976" xr:uid="{31D84A8F-465C-4F0A-9935-890DA2A9EB47}"/>
    <hyperlink ref="K5" r:id="rId2" display="https://us3.assetplanner.com/service_request?ID=094976" xr:uid="{E0C09AD8-5444-4C3D-9B37-E70A39D87212}"/>
    <hyperlink ref="K6" r:id="rId3" display="https://us3.assetplanner.com/service_request?ID=094976" xr:uid="{4C80CCE6-751A-4E65-A4AC-335CD12ED20F}"/>
    <hyperlink ref="L4" r:id="rId4" display="https://us3.assetplanner.com/service_request?ID=092908" xr:uid="{7FAD9ABF-E42B-4184-BE11-CE581F308316}"/>
    <hyperlink ref="L5" r:id="rId5" display="https://us3.assetplanner.com/service_request?ID=086609" xr:uid="{6FC4801C-4AD2-4D79-B365-A96F1B231D62}"/>
  </hyperlinks>
  <pageMargins left="0.4" right="0.7" top="0.25" bottom="0.25" header="0.3" footer="0.3"/>
  <pageSetup fitToHeight="99" orientation="landscape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19" sqref="J19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customWidth="1"/>
  </cols>
  <sheetData>
    <row r="1" spans="1:12" ht="19.5" customHeight="1">
      <c r="A1" s="62" t="str" cm="1">
        <f t="array" ref="A1">portfolio</f>
        <v>LX International America, Inc.</v>
      </c>
      <c r="B1" s="62"/>
      <c r="C1" s="62"/>
      <c r="D1" s="63" t="s">
        <v>32</v>
      </c>
      <c r="E1" s="63"/>
      <c r="F1" s="63"/>
      <c r="G1" s="61" t="s">
        <v>33</v>
      </c>
      <c r="H1" s="61"/>
      <c r="I1" s="61"/>
      <c r="J1" s="5"/>
      <c r="K1" s="5"/>
    </row>
    <row r="2" spans="1:12" ht="19.5" customHeight="1">
      <c r="A2" s="64" t="s">
        <v>2</v>
      </c>
      <c r="B2" s="64"/>
      <c r="C2" s="6">
        <f>SUM(C4:C93)</f>
        <v>82790.47</v>
      </c>
      <c r="D2" s="6">
        <f>SUM(D4:D93)</f>
        <v>8632.1</v>
      </c>
      <c r="E2" s="6">
        <f>C2-D2</f>
        <v>74158.37</v>
      </c>
      <c r="F2" s="7">
        <f>IFERROR(E2/D2, 0)</f>
        <v>8.590999872568668</v>
      </c>
      <c r="G2" s="6">
        <f>SUM(G4:G93)</f>
        <v>0</v>
      </c>
      <c r="H2" s="8">
        <f>C2-G2</f>
        <v>82790.47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51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30567.75</v>
      </c>
      <c r="D4" s="14">
        <v>0</v>
      </c>
      <c r="E4" s="14">
        <f>IF(AND(ISNUMBER(C4),ISNUMBER(D4)), C4-D4, "")</f>
        <v>30567.75</v>
      </c>
      <c r="F4" s="15" t="str">
        <f>IFERROR(E4/D4,"")</f>
        <v/>
      </c>
      <c r="G4" s="16">
        <v>0</v>
      </c>
      <c r="H4" s="16">
        <f>IF(AND(ISNUMBER(C4),ISNUMBER(G4)), C4-G4, "")</f>
        <v>30567.75</v>
      </c>
      <c r="I4" s="17" t="str">
        <f>IFERROR(H4/G4, "")</f>
        <v/>
      </c>
      <c r="J4" s="18" t="s">
        <v>22</v>
      </c>
      <c r="K4" s="53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32984.5</v>
      </c>
      <c r="D5" s="20">
        <v>0</v>
      </c>
      <c r="E5" s="20">
        <f t="shared" ref="E5:E8" si="0">IF(AND(ISNUMBER(C5),ISNUMBER(D5)), C5-D5, "")</f>
        <v>32984.5</v>
      </c>
      <c r="F5" s="21" t="str">
        <f t="shared" ref="F5:F7" si="1">IFERROR(E5/D5,"")</f>
        <v/>
      </c>
      <c r="G5" s="22">
        <v>0</v>
      </c>
      <c r="H5" s="22">
        <f t="shared" ref="H5:H7" si="2">IF(AND(ISNUMBER(C5),ISNUMBER(G5)), C5-G5, "")</f>
        <v>32984.5</v>
      </c>
      <c r="I5" s="21" t="str">
        <f t="shared" ref="I5:I7" si="3">IFERROR(H5/G5, "")</f>
        <v/>
      </c>
      <c r="J5" s="43" t="s">
        <v>34</v>
      </c>
      <c r="K5" s="54" t="s">
        <v>35</v>
      </c>
    </row>
    <row r="6" spans="1:12" ht="28.9">
      <c r="A6" s="50" t="str">
        <v>AZ: Lake Havasu City - City Hall</v>
      </c>
      <c r="B6" s="31" t="str">
        <v>AZ</v>
      </c>
      <c r="C6" s="26">
        <v>11625.5</v>
      </c>
      <c r="D6" s="14">
        <v>0</v>
      </c>
      <c r="E6" s="14">
        <f t="shared" si="0"/>
        <v>11625.5</v>
      </c>
      <c r="F6" s="15" t="str">
        <f t="shared" si="1"/>
        <v/>
      </c>
      <c r="G6" s="16">
        <v>0</v>
      </c>
      <c r="H6" s="16">
        <f t="shared" si="2"/>
        <v>11625.5</v>
      </c>
      <c r="I6" s="17" t="str">
        <f t="shared" si="3"/>
        <v/>
      </c>
      <c r="J6" s="18" t="s">
        <v>22</v>
      </c>
      <c r="K6" s="53" t="s">
        <v>35</v>
      </c>
    </row>
    <row r="7" spans="1:12" ht="24" customHeight="1">
      <c r="A7" s="32" t="str">
        <v>AZ: Lake Havasu City - Public Works</v>
      </c>
      <c r="B7" s="33" t="str">
        <v>AZ</v>
      </c>
      <c r="C7" s="12">
        <v>7612.72</v>
      </c>
      <c r="D7" s="20">
        <v>8632.1</v>
      </c>
      <c r="E7" s="20">
        <f t="shared" si="0"/>
        <v>-1019.3800000000001</v>
      </c>
      <c r="F7" s="21">
        <f t="shared" si="1"/>
        <v>-0.11809177372829324</v>
      </c>
      <c r="G7" s="22">
        <v>0</v>
      </c>
      <c r="H7" s="22">
        <f t="shared" si="2"/>
        <v>7612.72</v>
      </c>
      <c r="I7" s="21" t="str">
        <f t="shared" si="3"/>
        <v/>
      </c>
      <c r="J7" s="43" t="s">
        <v>36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2"/>
      <c r="G8" s="22" t="str">
        <f>IF(AND(ISNUMBER(C8),ISNUMBER(F8)), C8-F8, "")</f>
        <v/>
      </c>
      <c r="H8" s="21" t="str">
        <f t="shared" ref="H8" si="4">IFERROR(G8/F8, "")</f>
        <v/>
      </c>
      <c r="I8" s="11"/>
      <c r="J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H8 I9:I93">
    <cfRule type="cellIs" dxfId="38" priority="25" stopIfTrue="1" operator="lessThanOrEqual">
      <formula>-0.1</formula>
    </cfRule>
    <cfRule type="expression" dxfId="37" priority="26">
      <formula>AND(ISNUMBER(F2), F2&gt;=0.1)</formula>
    </cfRule>
  </conditionalFormatting>
  <conditionalFormatting sqref="F4 F6 F8:F93 I4 I6">
    <cfRule type="cellIs" dxfId="36" priority="9" stopIfTrue="1" operator="lessThanOrEqual">
      <formula>-0.1</formula>
    </cfRule>
    <cfRule type="expression" dxfId="35" priority="10">
      <formula>AND(ISNUMBER(F4), F4&gt;=0.1)</formula>
    </cfRule>
  </conditionalFormatting>
  <conditionalFormatting sqref="P4 S4 P6 S6">
    <cfRule type="cellIs" dxfId="34" priority="11" stopIfTrue="1" operator="lessThanOrEqual">
      <formula>-0.1</formula>
    </cfRule>
    <cfRule type="expression" dxfId="33" priority="12">
      <formula>AND(ISNUMBER(P4), P4&gt;=0.1)</formula>
    </cfRule>
  </conditionalFormatting>
  <conditionalFormatting sqref="F5 I5">
    <cfRule type="cellIs" dxfId="32" priority="3" stopIfTrue="1" operator="lessThanOrEqual">
      <formula>-0.1</formula>
    </cfRule>
    <cfRule type="expression" dxfId="31" priority="4">
      <formula>AND(ISNUMBER(F5), F5&gt;=0.1)</formula>
    </cfRule>
  </conditionalFormatting>
  <conditionalFormatting sqref="F7 I7">
    <cfRule type="cellIs" dxfId="30" priority="1" stopIfTrue="1" operator="lessThanOrEqual">
      <formula>-0.1</formula>
    </cfRule>
    <cfRule type="expression" dxfId="29" priority="2">
      <formula>AND(ISNUMBER(F7), F7&gt;=0.1)</formula>
    </cfRule>
  </conditionalFormatting>
  <hyperlinks>
    <hyperlink ref="K4" r:id="rId1" display="https://us3.assetplanner.com/service_request?ID=094976" xr:uid="{46EBDFD8-B586-4691-80CD-E971DAD6EE3B}"/>
    <hyperlink ref="K5" r:id="rId2" display="https://us3.assetplanner.com/service_request?ID=094976" xr:uid="{5BEB7ED7-2070-4AB2-8E7D-0EEEE784F9CC}"/>
    <hyperlink ref="K6" r:id="rId3" display="https://us3.assetplanner.com/service_request?ID=094976" xr:uid="{57B2BA12-663C-428F-86AC-E27B3977961F}"/>
    <hyperlink ref="L4" r:id="rId4" display="https://us3.assetplanner.com/service_request?ID=092908" xr:uid="{09CB6EE6-6FC2-47F1-A916-8D48A6B016C6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5"/>
  <sheetViews>
    <sheetView tabSelected="1" zoomScale="101" zoomScaleNormal="80" workbookViewId="0">
      <pane ySplit="2" topLeftCell="A3" activePane="bottomLeft" state="frozen"/>
      <selection pane="bottomLeft" activeCell="J12" sqref="J12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2" t="str" cm="1">
        <f t="array" ref="A1">portfolio</f>
        <v>LX International America, Inc.</v>
      </c>
      <c r="B1" s="62"/>
      <c r="C1" s="62"/>
      <c r="D1" s="63" t="s">
        <v>37</v>
      </c>
      <c r="E1" s="63"/>
      <c r="F1" s="63"/>
      <c r="G1" s="61" t="s">
        <v>38</v>
      </c>
      <c r="H1" s="61"/>
      <c r="I1" s="61"/>
      <c r="J1" s="5"/>
      <c r="K1" s="5"/>
    </row>
    <row r="2" spans="1:12" ht="19.5" customHeight="1">
      <c r="A2" s="64" t="s">
        <v>2</v>
      </c>
      <c r="B2" s="64"/>
      <c r="C2" s="6">
        <f>SUM(C4:C93)</f>
        <v>105317.01</v>
      </c>
      <c r="D2" s="6">
        <f>SUM(D4:D93)</f>
        <v>10627.79</v>
      </c>
      <c r="E2" s="6">
        <f>C2-D2</f>
        <v>94689.22</v>
      </c>
      <c r="F2" s="7">
        <f>IFERROR(E2/D2, 0)</f>
        <v>8.9095870354984434</v>
      </c>
      <c r="G2" s="6">
        <f>SUM(G4:G93)</f>
        <v>0</v>
      </c>
      <c r="H2" s="8">
        <f>C2-G2</f>
        <v>105317.01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30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6">
        <v>38400.25</v>
      </c>
      <c r="D4" s="14">
        <v>0</v>
      </c>
      <c r="E4" s="14">
        <f>IF(AND(ISNUMBER(C4),ISNUMBER(D4)), C4-D4, "")</f>
        <v>38400.25</v>
      </c>
      <c r="F4" s="58" t="str">
        <f>IFERROR(E4/D4,"")</f>
        <v/>
      </c>
      <c r="G4" s="57">
        <v>0</v>
      </c>
      <c r="H4" s="57">
        <f>IF(AND(ISNUMBER(C4),ISNUMBER(G4)), C4-G4, "")</f>
        <v>38400.25</v>
      </c>
      <c r="I4" s="17" t="str">
        <f>IFERROR(H4/G4,"")</f>
        <v/>
      </c>
      <c r="J4" s="18" t="s">
        <v>22</v>
      </c>
      <c r="K4" s="59" t="s">
        <v>23</v>
      </c>
      <c r="L4" s="60" t="s">
        <v>24</v>
      </c>
    </row>
    <row r="5" spans="1:12" ht="27.6" customHeight="1">
      <c r="A5" s="32" t="str">
        <v>AZ: Lake Havasu City - Aquatic Center</v>
      </c>
      <c r="B5" s="33" t="str">
        <v>AZ</v>
      </c>
      <c r="C5" s="12">
        <v>42289.5</v>
      </c>
      <c r="D5" s="20">
        <v>0</v>
      </c>
      <c r="E5" s="20">
        <f t="shared" ref="E5:E8" si="0">IF(AND(ISNUMBER(C5),ISNUMBER(D5)), C5-D5, "")</f>
        <v>42289.5</v>
      </c>
      <c r="F5" s="21" t="str">
        <f t="shared" ref="F5:F7" si="1">IFERROR(E5/D5,"")</f>
        <v/>
      </c>
      <c r="G5" s="22">
        <v>0</v>
      </c>
      <c r="H5" s="22">
        <f t="shared" ref="H5:H8" si="2">IF(AND(ISNUMBER(C5),ISNUMBER(G5)), C5-G5, "")</f>
        <v>42289.5</v>
      </c>
      <c r="I5" s="21" t="str">
        <f t="shared" ref="I5:I7" si="3">IFERROR(H5/G5,"")</f>
        <v/>
      </c>
      <c r="J5" s="43" t="s">
        <v>34</v>
      </c>
      <c r="K5" s="54" t="s">
        <v>39</v>
      </c>
    </row>
    <row r="6" spans="1:12" ht="28.9">
      <c r="A6" s="30" t="str">
        <v>AZ: Lake Havasu City - City Hall</v>
      </c>
      <c r="B6" s="31" t="str">
        <v>AZ</v>
      </c>
      <c r="C6" s="56">
        <v>15087.75</v>
      </c>
      <c r="D6" s="14">
        <v>0</v>
      </c>
      <c r="E6" s="14">
        <f t="shared" si="0"/>
        <v>15087.75</v>
      </c>
      <c r="F6" s="58" t="str">
        <f t="shared" si="1"/>
        <v/>
      </c>
      <c r="G6" s="57">
        <v>0</v>
      </c>
      <c r="H6" s="57">
        <f t="shared" si="2"/>
        <v>15087.75</v>
      </c>
      <c r="I6" s="17" t="str">
        <f t="shared" si="3"/>
        <v/>
      </c>
      <c r="J6" s="55" t="s">
        <v>34</v>
      </c>
      <c r="K6" s="59" t="s">
        <v>39</v>
      </c>
    </row>
    <row r="7" spans="1:12" ht="34.9" customHeight="1">
      <c r="A7" s="32" t="str">
        <v>AZ: Lake Havasu City - Public Works</v>
      </c>
      <c r="B7" s="33" t="str">
        <v>AZ</v>
      </c>
      <c r="C7" s="12">
        <v>9539.51</v>
      </c>
      <c r="D7" s="20">
        <v>10627.79</v>
      </c>
      <c r="E7" s="20">
        <f t="shared" si="0"/>
        <v>-1088.2800000000007</v>
      </c>
      <c r="F7" s="21">
        <f t="shared" si="1"/>
        <v>-0.10239946404661746</v>
      </c>
      <c r="G7" s="22">
        <v>0</v>
      </c>
      <c r="H7" s="22">
        <f t="shared" si="2"/>
        <v>9539.51</v>
      </c>
      <c r="I7" s="21" t="str">
        <f t="shared" si="3"/>
        <v/>
      </c>
      <c r="J7" s="43" t="s">
        <v>40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ref="F8" si="4">IFERROR(E8/D8, "")</f>
        <v/>
      </c>
      <c r="G8" s="22"/>
      <c r="H8" s="22" t="str">
        <f t="shared" si="2"/>
        <v/>
      </c>
      <c r="I8" s="21" t="str">
        <f t="shared" ref="I8" si="5">IFERROR(H8/G8, "")</f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">
    <cfRule type="cellIs" dxfId="28" priority="17" stopIfTrue="1" operator="lessThanOrEqual">
      <formula>-0.1</formula>
    </cfRule>
    <cfRule type="expression" dxfId="27" priority="18">
      <formula>AND(ISNUMBER(F2), F2&gt;=0.1)</formula>
    </cfRule>
  </conditionalFormatting>
  <conditionalFormatting sqref="F4 F6 F8:F93 I4 I6 I8:I93">
    <cfRule type="cellIs" dxfId="26" priority="9" stopIfTrue="1" operator="lessThanOrEqual">
      <formula>-0.1</formula>
    </cfRule>
    <cfRule type="expression" dxfId="25" priority="10">
      <formula>AND(ISNUMBER(F4), F4&gt;=0.1)</formula>
    </cfRule>
  </conditionalFormatting>
  <conditionalFormatting sqref="F5 I5">
    <cfRule type="cellIs" dxfId="24" priority="3" stopIfTrue="1" operator="lessThanOrEqual">
      <formula>-0.1</formula>
    </cfRule>
    <cfRule type="expression" dxfId="23" priority="4">
      <formula>AND(ISNUMBER(F5), F5&gt;=0.1)</formula>
    </cfRule>
  </conditionalFormatting>
  <conditionalFormatting sqref="F7 I7">
    <cfRule type="cellIs" dxfId="22" priority="1" stopIfTrue="1" operator="lessThanOrEqual">
      <formula>-0.1</formula>
    </cfRule>
    <cfRule type="expression" dxfId="21" priority="2">
      <formula>AND(ISNUMBER(F7), F7&gt;=0.1)</formula>
    </cfRule>
  </conditionalFormatting>
  <hyperlinks>
    <hyperlink ref="K4" r:id="rId1" display="https://us3.assetplanner.com/service_request?ID=094976" xr:uid="{4528098C-946F-42CE-849D-D87685948B44}"/>
    <hyperlink ref="K5" r:id="rId2" display="https://us3.assetplanner.com/service_request?ID=094976" xr:uid="{F2614E0A-071D-41E5-8CC0-844787B02523}"/>
    <hyperlink ref="K6" r:id="rId3" display="https://us3.assetplanner.com/service_request?ID=094976" xr:uid="{89630210-9745-4F75-AB28-90CFC5DE1665}"/>
    <hyperlink ref="L4" r:id="rId4" display="https://us3.assetplanner.com/service_request?ID=092908" xr:uid="{343E48E4-BB88-4D45-9BDE-3470BD5A167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5"/>
  <sheetViews>
    <sheetView workbookViewId="0">
      <pane ySplit="2" topLeftCell="A3" activePane="bottomLeft" state="frozen"/>
      <selection pane="bottomLeft" activeCell="A5" sqref="A5:XFD5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LX International America, Inc.</v>
      </c>
      <c r="B1" s="62"/>
      <c r="C1" s="62"/>
      <c r="D1" s="63" t="s">
        <v>41</v>
      </c>
      <c r="E1" s="63"/>
      <c r="F1" s="63"/>
      <c r="G1" s="61" t="s">
        <v>42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3"/>
      <c r="K7" s="43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G12" sqref="G1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LX International America, Inc.</v>
      </c>
      <c r="B1" s="62"/>
      <c r="C1" s="62"/>
      <c r="D1" s="63" t="s">
        <v>43</v>
      </c>
      <c r="E1" s="63"/>
      <c r="F1" s="63"/>
      <c r="G1" s="61" t="s">
        <v>44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0" customHeight="1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49.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7"/>
    </row>
    <row r="6" spans="1:11" ht="43.5" customHeight="1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3"/>
      <c r="K7" s="44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LX International America, Inc.</v>
      </c>
      <c r="B1" s="62"/>
      <c r="C1" s="62"/>
      <c r="D1" s="63" t="s">
        <v>45</v>
      </c>
      <c r="E1" s="63"/>
      <c r="F1" s="63"/>
      <c r="G1" s="61" t="s">
        <v>46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7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42.75" customHeight="1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3"/>
      <c r="K7" s="44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LX International America, Inc.</v>
      </c>
      <c r="B1" s="62"/>
      <c r="C1" s="62"/>
      <c r="D1" s="63" t="s">
        <v>47</v>
      </c>
      <c r="E1" s="63"/>
      <c r="F1" s="63"/>
      <c r="G1" s="61" t="s">
        <v>48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5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LX International America, Inc.</v>
      </c>
      <c r="B1" s="62"/>
      <c r="C1" s="62"/>
      <c r="D1" s="63" t="s">
        <v>49</v>
      </c>
      <c r="E1" s="63"/>
      <c r="F1" s="63"/>
      <c r="G1" s="61" t="s">
        <v>50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48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5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LX International America, Inc.</v>
      </c>
      <c r="B1" s="62"/>
      <c r="C1" s="62"/>
      <c r="D1" s="63" t="s">
        <v>51</v>
      </c>
      <c r="E1" s="63"/>
      <c r="F1" s="63"/>
      <c r="G1" s="61" t="s">
        <v>52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5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</cols>
  <sheetData>
    <row r="1" spans="1:11" ht="19.5" customHeight="1">
      <c r="A1" s="62" t="str" cm="1">
        <f t="array" ref="A1">portfolio</f>
        <v>LX International America, Inc.</v>
      </c>
      <c r="B1" s="62"/>
      <c r="C1" s="62"/>
      <c r="D1" s="63" t="s">
        <v>53</v>
      </c>
      <c r="E1" s="63"/>
      <c r="F1" s="63"/>
      <c r="G1" s="61" t="s">
        <v>54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1.7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49"/>
      <c r="K5" s="44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4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>
      <c r="A11" s="23"/>
      <c r="B11" s="23"/>
      <c r="C11" s="23"/>
      <c r="F11" s="23"/>
      <c r="G11" s="23"/>
      <c r="H11" s="23"/>
      <c r="I11" s="23"/>
      <c r="J11" s="23"/>
      <c r="K11" s="23"/>
    </row>
    <row r="12" spans="1:11">
      <c r="A12" s="23"/>
      <c r="B12" s="23"/>
      <c r="F12" s="23"/>
      <c r="G12" s="23"/>
      <c r="H12" s="23"/>
      <c r="I12" s="23"/>
      <c r="J12" s="23"/>
      <c r="K12" s="23"/>
    </row>
    <row r="13" spans="1:11">
      <c r="A13" s="23"/>
      <c r="B13" s="23"/>
      <c r="F13" s="23"/>
      <c r="G13" s="23"/>
      <c r="H13" s="23"/>
      <c r="I13" s="23"/>
      <c r="J13" s="23"/>
      <c r="K13" s="23"/>
    </row>
    <row r="14" spans="1:11" ht="14.45">
      <c r="A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H25" s="23"/>
      <c r="I25" s="24"/>
      <c r="J25" s="23"/>
      <c r="K25" s="23"/>
    </row>
    <row r="26" spans="1:11" ht="14.45">
      <c r="A26" s="23"/>
      <c r="B26" s="35"/>
      <c r="C26" s="23"/>
      <c r="D26" s="24"/>
      <c r="E26" s="23"/>
      <c r="F26" s="23"/>
      <c r="H26" s="23"/>
      <c r="I26" s="24"/>
      <c r="J26" s="23"/>
      <c r="K26" s="23"/>
    </row>
    <row r="27" spans="1:11" ht="14.45">
      <c r="A27" s="23"/>
      <c r="B27" s="35"/>
      <c r="C27" s="23"/>
      <c r="D27" s="24"/>
      <c r="E27" s="23"/>
      <c r="F27" s="23"/>
      <c r="H27" s="23"/>
      <c r="I27" s="24"/>
      <c r="J27" s="23"/>
      <c r="K27" s="23"/>
    </row>
    <row r="28" spans="1:11" ht="14.45">
      <c r="A28" s="23"/>
      <c r="B28" s="35"/>
      <c r="C28" s="23"/>
      <c r="D28" s="24"/>
      <c r="E28" s="23"/>
      <c r="F28" s="23"/>
      <c r="H28" s="23"/>
      <c r="I28" s="24"/>
      <c r="K28" s="23"/>
    </row>
    <row r="29" spans="1:11" ht="14.45">
      <c r="A29" s="23"/>
      <c r="B29" s="35"/>
      <c r="C29" s="23"/>
      <c r="D29" s="24"/>
      <c r="E29" s="23"/>
      <c r="F29" s="23"/>
      <c r="H29" s="23"/>
      <c r="I29" s="24"/>
      <c r="J29" s="23"/>
      <c r="K29" s="23"/>
    </row>
    <row r="30" spans="1:11" ht="14.45">
      <c r="A30" s="23"/>
      <c r="B30" s="35"/>
      <c r="C30" s="23"/>
      <c r="D30" s="24"/>
      <c r="E30" s="23"/>
      <c r="F30" s="23"/>
      <c r="H30" s="23"/>
      <c r="I30" s="24"/>
      <c r="J30" s="23"/>
      <c r="K30" s="23"/>
    </row>
    <row r="31" spans="1:11" ht="14.45">
      <c r="A31" s="23"/>
      <c r="B31" s="35"/>
      <c r="C31" s="23"/>
      <c r="D31" s="24"/>
      <c r="E31" s="23"/>
      <c r="F31" s="23"/>
      <c r="H31" s="23"/>
      <c r="I31" s="24"/>
      <c r="J31" s="23"/>
      <c r="K31" s="23"/>
    </row>
    <row r="32" spans="1:11" ht="14.45">
      <c r="A32" s="23"/>
      <c r="B32" s="35"/>
      <c r="C32" s="23"/>
      <c r="D32" s="24"/>
      <c r="E32" s="23"/>
      <c r="F32" s="23"/>
      <c r="H32" s="23"/>
      <c r="I32" s="24"/>
      <c r="J32" s="23"/>
      <c r="K32" s="23"/>
    </row>
    <row r="33" spans="1:11" ht="14.45">
      <c r="A33" s="23"/>
      <c r="B33" s="35"/>
      <c r="C33" s="23"/>
      <c r="D33" s="24"/>
      <c r="E33" s="23"/>
      <c r="F33" s="23"/>
      <c r="H33" s="23"/>
      <c r="I33" s="24"/>
      <c r="J33" s="23"/>
      <c r="K33" s="23"/>
    </row>
    <row r="34" spans="1:11" ht="14.45">
      <c r="A34" s="23"/>
      <c r="B34" s="35"/>
      <c r="C34" s="23"/>
      <c r="D34" s="24"/>
      <c r="E34" s="23"/>
      <c r="F34" s="23"/>
      <c r="H34" s="23"/>
      <c r="I34" s="24"/>
      <c r="J34" s="23"/>
      <c r="K34" s="23"/>
    </row>
    <row r="35" spans="1:11" ht="14.45">
      <c r="A35" s="23"/>
      <c r="B35" s="35"/>
      <c r="C35" s="23"/>
      <c r="D35" s="24"/>
      <c r="E35" s="23"/>
      <c r="F35" s="23"/>
      <c r="H35" s="23"/>
      <c r="I35" s="24"/>
      <c r="J35" s="23"/>
      <c r="K35" s="23"/>
    </row>
    <row r="36" spans="1:11" ht="14.45">
      <c r="A36" s="23"/>
      <c r="B36" s="35"/>
      <c r="C36" s="23"/>
      <c r="D36" s="24"/>
      <c r="E36" s="23"/>
      <c r="F36" s="23"/>
      <c r="H36" s="23"/>
      <c r="I36" s="24"/>
      <c r="J36" s="23"/>
      <c r="K36" s="23"/>
    </row>
    <row r="37" spans="1:11" ht="14.45">
      <c r="A37" s="23"/>
      <c r="B37" s="35"/>
      <c r="C37" s="23"/>
      <c r="D37" s="24"/>
      <c r="E37" s="23"/>
      <c r="F37" s="23"/>
      <c r="H37" s="23"/>
      <c r="I37" s="24"/>
      <c r="J37" s="23"/>
      <c r="K37" s="23"/>
    </row>
    <row r="38" spans="1:11" ht="14.45">
      <c r="A38" s="23"/>
      <c r="B38" s="35"/>
      <c r="C38" s="23"/>
      <c r="D38" s="24"/>
      <c r="E38" s="23"/>
      <c r="F38" s="23"/>
      <c r="H38" s="23"/>
      <c r="I38" s="24"/>
      <c r="J38" s="23"/>
      <c r="K38" s="23"/>
    </row>
    <row r="39" spans="1:11" ht="14.45">
      <c r="A39" s="23"/>
      <c r="B39" s="35"/>
      <c r="C39" s="23"/>
      <c r="D39" s="24"/>
      <c r="E39" s="23"/>
      <c r="F39" s="23"/>
      <c r="H39" s="23"/>
      <c r="I39" s="24"/>
      <c r="J39" s="23"/>
      <c r="K39" s="23"/>
    </row>
    <row r="40" spans="1:11" ht="14.45">
      <c r="A40" s="23"/>
      <c r="B40" s="35"/>
      <c r="C40" s="23"/>
      <c r="D40" s="24"/>
      <c r="E40" s="23"/>
      <c r="F40" s="23"/>
      <c r="H40" s="23"/>
      <c r="I40" s="24"/>
      <c r="J40" s="23"/>
      <c r="K40" s="23"/>
    </row>
    <row r="41" spans="1:11" ht="14.4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LX International America, Inc.</v>
      </c>
      <c r="B1" s="62"/>
      <c r="C1" s="62"/>
      <c r="D1" s="63" t="s">
        <v>55</v>
      </c>
      <c r="E1" s="63"/>
      <c r="F1" s="63"/>
      <c r="G1" s="61" t="s">
        <v>56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40.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LX International America, Inc.</v>
      </c>
      <c r="B1" s="62"/>
      <c r="C1" s="62"/>
      <c r="D1" s="63" t="s">
        <v>57</v>
      </c>
      <c r="E1" s="63"/>
      <c r="F1" s="63"/>
      <c r="G1" s="61" t="s">
        <v>58</v>
      </c>
      <c r="H1" s="61"/>
      <c r="I1" s="61"/>
      <c r="J1" s="5"/>
      <c r="K1" s="5"/>
    </row>
    <row r="2" spans="1:11" ht="19.5" customHeight="1">
      <c r="A2" s="64" t="s">
        <v>2</v>
      </c>
      <c r="B2" s="64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59</v>
      </c>
      <c r="B1" t="s">
        <v>60</v>
      </c>
    </row>
    <row r="3" spans="1:7" ht="13.15">
      <c r="A3" t="s">
        <v>61</v>
      </c>
      <c r="B3" t="s">
        <v>3</v>
      </c>
      <c r="C3" t="s">
        <v>4</v>
      </c>
      <c r="D3" t="s">
        <v>62</v>
      </c>
      <c r="E3" s="2" t="s">
        <v>63</v>
      </c>
    </row>
    <row r="4" spans="1:7" ht="14.45">
      <c r="A4" t="s">
        <v>64</v>
      </c>
      <c r="B4" t="s">
        <v>64</v>
      </c>
      <c r="C4" s="4" t="s">
        <v>65</v>
      </c>
      <c r="G4" s="3"/>
    </row>
    <row r="5" spans="1:7" ht="14.45">
      <c r="A5" t="s">
        <v>66</v>
      </c>
      <c r="B5" t="s">
        <v>66</v>
      </c>
      <c r="C5" s="4" t="s">
        <v>65</v>
      </c>
      <c r="G5" s="3"/>
    </row>
    <row r="6" spans="1:7" ht="14.45">
      <c r="A6" t="s">
        <v>67</v>
      </c>
      <c r="B6" t="s">
        <v>67</v>
      </c>
      <c r="C6" s="4" t="s">
        <v>65</v>
      </c>
      <c r="G6" s="3"/>
    </row>
    <row r="7" spans="1:7" ht="12.75" customHeight="1">
      <c r="A7" t="s">
        <v>68</v>
      </c>
      <c r="B7" t="s">
        <v>68</v>
      </c>
      <c r="C7" s="4" t="s">
        <v>65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4409749F-6A3A-40B5-A935-42BEAADD0A97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