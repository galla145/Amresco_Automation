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8" documentId="13_ncr:1_{20C9F70A-2761-4075-8492-472E0435253A}" xr6:coauthVersionLast="47" xr6:coauthVersionMax="47" xr10:uidLastSave="{17529F22-2476-4111-AABC-76DD9E3E6A5E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4" i="29"/>
  <c r="G5" i="29"/>
  <c r="G5" i="18"/>
  <c r="G4" i="18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C4" i="34" s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5" i="34" l="1"/>
  <c r="D4" i="34"/>
  <c r="D2" i="34" s="1"/>
  <c r="E5" i="18"/>
  <c r="F5" i="18" s="1"/>
  <c r="D2" i="18"/>
  <c r="E5" i="30"/>
  <c r="F5" i="30" s="1"/>
  <c r="E4" i="18"/>
  <c r="F4" i="18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4" i="34" l="1"/>
  <c r="I4" i="34" s="1"/>
  <c r="E4" i="34"/>
  <c r="F4" i="34" s="1"/>
  <c r="E2" i="29"/>
  <c r="F2" i="29" s="1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<sst xmlns="http://schemas.openxmlformats.org/spreadsheetml/2006/main" count="274" uniqueCount="69">
  <si>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</si>
  <si>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</si>
  <si>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</si>
  <si>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</si>
  <si>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</si>
  <si>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</si>
  <si>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</si>
  <si>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</si>
  <si>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</si>
  <si>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</si>
  <si>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</si>
  <si>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</si>
  <si>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</si>
  <si>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</si>
  <si>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</si>
  <si>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</si>
  <si>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</si>
  <si>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</si>
  <si>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</si>
  <si>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</si>
  <si>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</si>
  <si>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</si>
  <si>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</si>
  <si>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 xml:space="preserve">1. Inverter 2 was underperforming by 10 kW compared to its peers. Tech isolated string 2.3, which will be disconnected until the new optimizers is replaced.
2.  Virtual weather stopped communicating from 04/01/2024.
</t>
  </si>
  <si>
    <t>1. SR096097,SR091134
2. SR092275</t>
  </si>
  <si>
    <t>SR091134</t>
  </si>
  <si>
    <t>SR092275</t>
  </si>
  <si>
    <t>1.  Weather station is stopped communicating from 06/14/2024. Tech was unable to programme new weather station data due to poor WiFi.</t>
  </si>
  <si>
    <t>1. SR085123</t>
  </si>
  <si>
    <t>February Actual v. Expected</t>
  </si>
  <si>
    <t>February Actual v. Forecasted</t>
  </si>
  <si>
    <t>1. Inverter 4 tripped offline at 02:00 PM on 02/10 due to a fault and possible 3-phase arc detection. Additionally, the DC relay board has been RMA'd. The inverter will remain offline until the replacement is installed.
2. Virtual weather stopped communicating from 04/01/2024.
3. Inverter 2 was underperforming by 10 kW compared to its peers. Tech isolated string 2.3, which will be disconnected until the new optimizers is replaced.</t>
  </si>
  <si>
    <t>1. SR096681
2. SR092275
3. SR096097,SR091134</t>
  </si>
  <si>
    <t>SR096097</t>
  </si>
  <si>
    <t>1. Weather station is stopped communicating from 06/14/2024. Tech was unable to upload data due to poor internet.</t>
  </si>
  <si>
    <t>March Actual v. Expected</t>
  </si>
  <si>
    <t>March Actual v. Forecasted</t>
  </si>
  <si>
    <t>1. Inverter 4 tripped offline at 02:00 PM on 02/10 due to a fault and possible 3-phase arc detection. Additionally, the DC relay board has been RMA'd. On 03/13 Technician replaced DC Relay Board inverter back online at 11:30 
2. Virtual weather stopped communicating from 04/01/2024.
3.Inverter 2 was underperforming by 10 kW compared to its peers. Tech isolated string 2.3, which will be disconnected until the new optimizers is replaced.</t>
  </si>
  <si>
    <t>1. SR096681
2.SR092275
3. SR096097,SR091134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</si>
  <si>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</si>
  <si>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</si>
  <si>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</si>
  <si>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</si>
  <si>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</si>
  <si>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</si>
  <si>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</si>
  <si>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</si>
  <si>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</si>
  <si>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</si>
  <si>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</si>
  <si>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</si>
  <si>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</si>
  <si>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</si>
  <si>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</si>
  <si>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</si>
  <si>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</si>
  <si>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</si>
  <si>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</si>
  <si>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Solar Income LLC</t>
  </si>
  <si>
    <t>Site DAS Name</t>
  </si>
  <si>
    <t>Update</t>
  </si>
  <si>
    <t>DAS</t>
  </si>
  <si>
    <t>Lee Company - B9</t>
  </si>
  <si>
    <t>Westbrook - Lee Building 9</t>
  </si>
  <si>
    <t>CT</t>
  </si>
  <si>
    <t>AEF</t>
  </si>
  <si>
    <t>PowerTrack</t>
  </si>
  <si>
    <t>The Lee Company B82</t>
  </si>
  <si>
    <t>Westbrook - Lee Building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</si>
</sst>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242424"/>
      <name val="Aptos Narrow"/>
      <family val="2"/>
    </font>
    <font>
      <sz val="11"/>
      <color rgb="FF242424"/>
      <name val="Calibri"/>
      <family val="2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0" fontId="34" fillId="46" borderId="0" xfId="0" applyFont="1" applyFill="1" applyAlignment="1">
      <alignment horizontal="left" vertical="top"/>
    </xf>
    <xf numFmtId="0" fontId="34" fillId="46" borderId="12" xfId="0" applyFont="1" applyFill="1" applyBorder="1"/>
    <xf numFmtId="0" fontId="0" fillId="0" borderId="13" xfId="0" applyBorder="1"/>
    <xf numFmtId="0" fontId="34" fillId="0" borderId="0" xfId="0" applyFont="1" applyAlignment="1">
      <alignment horizontal="left" vertical="top"/>
    </xf>
    <xf numFmtId="0" fontId="34" fillId="0" borderId="0" xfId="0" applyFont="1"/>
    <xf numFmtId="0" fontId="34" fillId="0" borderId="12" xfId="0" applyFont="1" applyBorder="1"/>
    <xf numFmtId="49" fontId="27" fillId="0" borderId="0" xfId="0" applyNumberFormat="1" applyFont="1" applyAlignment="1">
      <alignment horizontal="left" vertical="top" wrapText="1"/>
    </xf>
    <xf numFmtId="0" fontId="35" fillId="0" borderId="0" xfId="0" applyFont="1"/>
    <xf numFmtId="0" fontId="36" fillId="0" borderId="0" xfId="0" applyFont="1"/>
    <xf numFmtId="0" fontId="35" fillId="0" borderId="0" xfId="0" applyFont="1" applyAlignment="1">
      <alignment horizontal="left" vertical="top"/>
    </xf>
    <xf numFmtId="49" fontId="29" fillId="38" borderId="0" xfId="2" applyNumberFormat="1" applyFont="1" applyFill="1" applyBorder="1" applyAlignment="1">
      <alignment horizontal="left" vertical="top" wrapText="1"/>
    </xf>
    <xf numFmtId="3" fontId="29" fillId="4" borderId="0" xfId="1" applyNumberFormat="1" applyFont="1" applyFill="1" applyBorder="1" applyAlignment="1">
      <alignment horizontal="right" vertical="center"/>
    </xf>
    <xf numFmtId="49" fontId="37" fillId="38" borderId="0" xfId="45" applyNumberFormat="1" applyFill="1" applyBorder="1" applyAlignment="1">
      <alignment vertical="top" wrapText="1"/>
    </xf>
    <xf numFmtId="0" fontId="37" fillId="0" borderId="0" xfId="45"/>
    <xf numFmtId="49" fontId="37" fillId="0" borderId="0" xfId="45" applyNumberFormat="1" applyAlignment="1">
      <alignment vertical="center" wrapText="1"/>
    </xf>
    <xf numFmtId="49" fontId="37" fillId="0" borderId="0" xfId="45" applyNumberFormat="1" applyAlignment="1">
      <alignment vertical="top" wrapText="1"/>
    </xf>
    <xf numFmtId="49" fontId="37" fillId="0" borderId="0" xfId="45" applyNumberFormat="1" applyAlignment="1">
      <alignment horizontal="left" vertical="top" wrapText="1"/>
    </xf>
    <xf numFmtId="0" fontId="37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2275" TargetMode="External"/><Relationship Id="rId2" Type="http://schemas.openxmlformats.org/officeDocument/2006/relationships/hyperlink" Target="https://us3.assetplanner.com/service_request?ID=091134" TargetMode="External"/><Relationship Id="rId1" Type="http://schemas.openxmlformats.org/officeDocument/2006/relationships/hyperlink" Target="https://us3.assetplanner.com/service_request?ID=096097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us3.assetplanner.com/service_request?ID=085123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6097" TargetMode="External"/><Relationship Id="rId2" Type="http://schemas.openxmlformats.org/officeDocument/2006/relationships/hyperlink" Target="https://us3.assetplanner.com/service_request?ID=092275" TargetMode="External"/><Relationship Id="rId1" Type="http://schemas.openxmlformats.org/officeDocument/2006/relationships/hyperlink" Target="https://us3.assetplanner.com/service_request?ID=096681" TargetMode="External"/><Relationship Id="rId5" Type="http://schemas.openxmlformats.org/officeDocument/2006/relationships/hyperlink" Target="https://us3.assetplanner.com/service_request?ID=085123" TargetMode="External"/><Relationship Id="rId4" Type="http://schemas.openxmlformats.org/officeDocument/2006/relationships/hyperlink" Target="https://us3.assetplanner.com/service_request?ID=09113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6097" TargetMode="External"/><Relationship Id="rId2" Type="http://schemas.openxmlformats.org/officeDocument/2006/relationships/hyperlink" Target="https://us3.assetplanner.com/service_request?ID=092275" TargetMode="External"/><Relationship Id="rId1" Type="http://schemas.openxmlformats.org/officeDocument/2006/relationships/hyperlink" Target="https://us3.assetplanner.com/service_request?ID=096681" TargetMode="External"/><Relationship Id="rId5" Type="http://schemas.openxmlformats.org/officeDocument/2006/relationships/hyperlink" Target="https://us3.assetplanner.com/service_request?ID=085123" TargetMode="External"/><Relationship Id="rId4" Type="http://schemas.openxmlformats.org/officeDocument/2006/relationships/hyperlink" Target="https://us3.assetplanner.com/service_request?ID=09113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J19" sqref="J19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Solar Income LLC</v>
      </c>
      <c r="B1" s="64"/>
      <c r="C1" s="64"/>
      <c r="D1" s="65" t="s">
        <v>0</v>
      </c>
      <c r="E1" s="65"/>
      <c r="F1" s="65"/>
      <c r="G1" s="63" t="s">
        <v>1</v>
      </c>
      <c r="H1" s="63"/>
      <c r="I1" s="63"/>
    </row>
    <row r="2" spans="1:9" ht="19.5" customHeight="1">
      <c r="A2" s="66" t="s">
        <v>2</v>
      </c>
      <c r="B2" s="66"/>
      <c r="C2" s="5">
        <f>SUM(C4:C77)</f>
        <v>161679.8702468611</v>
      </c>
      <c r="D2" s="5">
        <f>SUM(D4:D77)</f>
        <v>0</v>
      </c>
      <c r="E2" s="5">
        <f>C2-D2</f>
        <v>161679.8702468611</v>
      </c>
      <c r="F2" s="6">
        <f>IFERROR(E2/D2, 0)</f>
        <v>0</v>
      </c>
      <c r="G2" s="5">
        <f>SUM(G4:G77)</f>
        <v>85045.15</v>
      </c>
      <c r="H2" s="7">
        <f>C2-G2</f>
        <v>76634.720246861107</v>
      </c>
      <c r="I2" s="6">
        <f>IFERROR(H2/G2, 0)</f>
        <v>0.90110629761792549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Westbrook - Lee Building 9</v>
      </c>
      <c r="B4" s="30" t="str" cm="1">
        <f t="array" ref="B4:B5">Sites[State]</f>
        <v>CT</v>
      </c>
      <c r="C4" s="23">
        <f>SUM('1st Qtr'!C4, '2nd Qtr'!C4, '3rd Qtr'!C4, '4th Qtr'!C4)</f>
        <v>70966.8901673293</v>
      </c>
      <c r="D4" s="12">
        <f>SUM('1st Qtr'!D4, '2nd Qtr'!D4, '3rd Qtr'!D4, '4th Qtr'!D4)</f>
        <v>0</v>
      </c>
      <c r="E4" s="12">
        <f>IF(AND(ISNUMBER(C4),ISNUMBER(D4)), C4-D4, "")</f>
        <v>70966.8901673293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5.6">
      <c r="A5" s="28" t="str">
        <v>Westbrook - Lee Building 82</v>
      </c>
      <c r="B5" s="28" t="str">
        <v>CT</v>
      </c>
      <c r="C5" s="11">
        <f>SUM('1st Qtr'!C5, '2nd Qtr'!C5, '3rd Qtr'!C5, '4th Qtr'!C5)</f>
        <v>90712.980079531801</v>
      </c>
      <c r="D5" s="17">
        <f>SUM(Jan!D5, Feb!D5, Mar!D5)</f>
        <v>0</v>
      </c>
      <c r="E5" s="17">
        <f t="shared" ref="E5" si="0">IF(AND(ISNUMBER(C5),ISNUMBER(D5)), C5-D5, "")</f>
        <v>90712.980079531801</v>
      </c>
      <c r="F5" s="18" t="str">
        <f>IFERROR(E5/D5, "")</f>
        <v/>
      </c>
      <c r="G5" s="19">
        <f>SUM('1st Qtr'!G5, '2nd Qtr'!G5, '3rd Qtr'!G5, '4th Qtr'!G5)</f>
        <v>85045.15</v>
      </c>
      <c r="H5" s="19">
        <f>SUM(Jan!H5, Feb!H5, Mar!H5)</f>
        <v>5667.8300795317991</v>
      </c>
      <c r="I5" s="18">
        <f>IFERROR(H5/G5, "")</f>
        <v>6.6644953645584717E-2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D5" sqref="D5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Solar Income LLC</v>
      </c>
      <c r="B1" s="64"/>
      <c r="C1" s="64"/>
      <c r="D1" s="65" t="s">
        <v>10</v>
      </c>
      <c r="E1" s="65"/>
      <c r="F1" s="65"/>
      <c r="G1" s="63" t="s">
        <v>11</v>
      </c>
      <c r="H1" s="63"/>
      <c r="I1" s="63"/>
    </row>
    <row r="2" spans="1:9" ht="19.5" customHeight="1">
      <c r="A2" s="66" t="s">
        <v>2</v>
      </c>
      <c r="B2" s="66"/>
      <c r="C2" s="5">
        <f>SUM(C4:C77)</f>
        <v>161679.8702468611</v>
      </c>
      <c r="D2" s="5">
        <f>SUM(D4:D77)</f>
        <v>0</v>
      </c>
      <c r="E2" s="5">
        <f>C2-D2</f>
        <v>161679.8702468611</v>
      </c>
      <c r="F2" s="6">
        <f>IFERROR(E2/D2, 0)</f>
        <v>0</v>
      </c>
      <c r="G2" s="5">
        <f>SUM(G4:G77)</f>
        <v>85045.15</v>
      </c>
      <c r="H2" s="7">
        <f>C2-G2</f>
        <v>76634.720246861107</v>
      </c>
      <c r="I2" s="6">
        <f>IFERROR(H2/G2, 0)</f>
        <v>0.90110629761792549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SUM(Jan!C4, Feb!C4, Mar!C4)</f>
        <v>70966.8901673293</v>
      </c>
      <c r="D4" s="12">
        <f>SUM(Jan!D4, Feb!D4, Mar!D4)</f>
        <v>0</v>
      </c>
      <c r="E4" s="12">
        <f>IF(AND(ISNUMBER(C4),ISNUMBER(D4)), C4-D4, "")</f>
        <v>70966.8901673293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SUM(Jan!C5, Feb!C5, Mar!C5)</f>
        <v>90712.980079531801</v>
      </c>
      <c r="D5" s="17">
        <f>SUM(Jan!D5, Feb!D5, Mar!D5)</f>
        <v>0</v>
      </c>
      <c r="E5" s="17">
        <f t="shared" ref="E5" si="0">IF(AND(ISNUMBER(C5),ISNUMBER(D5)), C5-D5, "")</f>
        <v>90712.980079531801</v>
      </c>
      <c r="F5" s="18" t="str">
        <f>IFERROR(E5/D5, "")</f>
        <v/>
      </c>
      <c r="G5" s="19">
        <f>SUM(Jan!G5, Feb!G5, Mar!G5)</f>
        <v>85045.15</v>
      </c>
      <c r="H5" s="19">
        <f>SUM(Jan!H5, Feb!H5, Mar!H5)</f>
        <v>5667.8300795317991</v>
      </c>
      <c r="I5" s="18">
        <f>IFERROR(H5/G5, "")</f>
        <v>6.6644953645584717E-2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C5" sqref="C5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Solar Income LLC</v>
      </c>
      <c r="B1" s="64"/>
      <c r="C1" s="64"/>
      <c r="D1" s="65" t="s">
        <v>12</v>
      </c>
      <c r="E1" s="65"/>
      <c r="F1" s="65"/>
      <c r="G1" s="63" t="s">
        <v>13</v>
      </c>
      <c r="H1" s="63"/>
      <c r="I1" s="63"/>
    </row>
    <row r="2" spans="1:9" ht="19.5" customHeight="1">
      <c r="A2" s="66" t="s">
        <v>2</v>
      </c>
      <c r="B2" s="66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SUM(Apr!C5, May!C5, Jun!C5)</f>
        <v>0</v>
      </c>
      <c r="D5" s="17">
        <f>SUM(Apr!D5, May!D5, Jun!D5)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7">
        <f>SUM(Apr!G5,May!G5,Jun!G5)</f>
        <v>0</v>
      </c>
      <c r="H5" s="19">
        <f>SUM(Apr!H5, May!H5, Jun!H5)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C5" sqref="C5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Solar Income LLC</v>
      </c>
      <c r="B1" s="64"/>
      <c r="C1" s="64"/>
      <c r="D1" s="65" t="s">
        <v>14</v>
      </c>
      <c r="E1" s="65"/>
      <c r="F1" s="65"/>
      <c r="G1" s="63" t="s">
        <v>15</v>
      </c>
      <c r="H1" s="63"/>
      <c r="I1" s="63"/>
    </row>
    <row r="2" spans="1:9" ht="19.5" customHeight="1">
      <c r="A2" s="66" t="s">
        <v>2</v>
      </c>
      <c r="B2" s="66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SUM(Jul!C5, Aug!C5, Sep!C5)</f>
        <v>0</v>
      </c>
      <c r="D5" s="17">
        <f>SUM(Jul!D5, Aug!D5, Sep!D5)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7">
        <f>SUM(Jul!G5,Aug!G5,Sep!G5)</f>
        <v>0</v>
      </c>
      <c r="H5" s="19">
        <f>SUM(Jul!H5, Aug!H5, Sep!H5)</f>
        <v>0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D5" sqref="D5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Solar Income LLC</v>
      </c>
      <c r="B1" s="64"/>
      <c r="C1" s="64"/>
      <c r="D1" s="65" t="s">
        <v>16</v>
      </c>
      <c r="E1" s="65"/>
      <c r="F1" s="65"/>
      <c r="G1" s="63" t="s">
        <v>17</v>
      </c>
      <c r="H1" s="63"/>
      <c r="I1" s="63"/>
    </row>
    <row r="2" spans="1:9" ht="19.5" customHeight="1">
      <c r="A2" s="66" t="s">
        <v>2</v>
      </c>
      <c r="B2" s="66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1">
        <f>SUM(Oct!G5,Nov!G5,Dec!G5)</f>
        <v>0</v>
      </c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18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4" t="str" cm="1">
        <f t="array" ref="A1">portfolio</f>
        <v>Solar Income LLC</v>
      </c>
      <c r="B1" s="64"/>
      <c r="C1" s="64"/>
      <c r="D1" s="65" t="s">
        <v>18</v>
      </c>
      <c r="E1" s="65"/>
      <c r="F1" s="65"/>
      <c r="G1" s="63" t="s">
        <v>19</v>
      </c>
      <c r="H1" s="63"/>
      <c r="I1" s="63"/>
      <c r="J1" s="4"/>
      <c r="K1" s="4"/>
    </row>
    <row r="2" spans="1:13" ht="19.5" customHeight="1">
      <c r="A2" s="66" t="s">
        <v>2</v>
      </c>
      <c r="B2" s="66"/>
      <c r="C2" s="5">
        <f>SUM(C4:C76)</f>
        <v>44086.459728263406</v>
      </c>
      <c r="D2" s="5">
        <f>SUM(D4:D76)</f>
        <v>0</v>
      </c>
      <c r="E2" s="5">
        <f>C2-D2</f>
        <v>44086.459728263406</v>
      </c>
      <c r="F2" s="6">
        <f>IFERROR(E2/D2, 0)</f>
        <v>0</v>
      </c>
      <c r="G2" s="5">
        <f>SUM(G4:G76)</f>
        <v>22894.69</v>
      </c>
      <c r="H2" s="7">
        <f>C2-G2</f>
        <v>21191.769728263407</v>
      </c>
      <c r="I2" s="6">
        <f>IFERROR(H2/G2, 0)</f>
        <v>0.92561942215698956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3" ht="57" customHeight="1">
      <c r="A4" s="43" t="str" cm="1">
        <f t="array" ref="A4:A5">Sites[Site]</f>
        <v>Westbrook - Lee Building 9</v>
      </c>
      <c r="B4" s="27" t="str" cm="1">
        <f t="array" ref="B4:B5">Sites[State]</f>
        <v>CT</v>
      </c>
      <c r="C4" s="23">
        <v>19387.489724194202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56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23</v>
      </c>
      <c r="K4" s="57" t="s">
        <v>24</v>
      </c>
      <c r="L4" s="58" t="s">
        <v>25</v>
      </c>
      <c r="M4" s="58" t="s">
        <v>26</v>
      </c>
    </row>
    <row r="5" spans="1:13" ht="28.9">
      <c r="A5" s="28" t="str">
        <v>Westbrook - Lee Building 82</v>
      </c>
      <c r="B5" s="29" t="str">
        <v>CT</v>
      </c>
      <c r="C5" s="11">
        <v>24698.970004069201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19">
        <v>22894.69</v>
      </c>
      <c r="H5" s="19">
        <f t="shared" ref="H5" si="2">IF(AND(ISNUMBER(C5),ISNUMBER(G5)), C5-G5, "")</f>
        <v>1804.2800040692018</v>
      </c>
      <c r="I5" s="18">
        <f t="shared" ref="I5" si="3">IFERROR(H5/G5, "")</f>
        <v>7.8807793600577339E-2</v>
      </c>
      <c r="J5" s="40" t="s">
        <v>27</v>
      </c>
      <c r="K5" s="59" t="s">
        <v>28</v>
      </c>
    </row>
    <row r="6" spans="1:13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3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3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3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hyperlinks>
    <hyperlink ref="K4" r:id="rId1" display="https://us3.assetplanner.com/service_request?ID=096097" xr:uid="{D090BC03-F5D4-41BD-8BD4-473DB8BB49AD}"/>
    <hyperlink ref="L4" r:id="rId2" display="https://us3.assetplanner.com/service_request?ID=091134" xr:uid="{FAD06798-F6C8-46FC-9333-054656EC84B4}"/>
    <hyperlink ref="M4" r:id="rId3" display="https://us3.assetplanner.com/service_request?ID=092275" xr:uid="{5E7EABA9-28A7-4EC7-A8F8-732999F59DDE}"/>
    <hyperlink ref="K5" r:id="rId4" display="https://us3.assetplanner.com/service_request?ID=085123" xr:uid="{F1F44751-7842-4201-A25D-8BE3A1DB542C}"/>
  </hyperlinks>
  <pageMargins left="0.4" right="0.7" top="0.25" bottom="0.25" header="0.3" footer="0.3"/>
  <pageSetup fitToHeight="99" orientation="landscape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19"/>
  <sheetViews>
    <sheetView zoomScale="70" zoomScaleNormal="70" workbookViewId="0">
      <pane xSplit="2" ySplit="3" topLeftCell="C4" activePane="bottomRight" state="frozen"/>
      <selection pane="bottomRight" activeCell="J18" sqref="J18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4" t="str" cm="1">
        <f t="array" ref="A1">portfolio</f>
        <v>Solar Income LLC</v>
      </c>
      <c r="B1" s="64"/>
      <c r="C1" s="64"/>
      <c r="D1" s="65" t="s">
        <v>29</v>
      </c>
      <c r="E1" s="65"/>
      <c r="F1" s="65"/>
      <c r="G1" s="63" t="s">
        <v>30</v>
      </c>
      <c r="H1" s="63"/>
      <c r="I1" s="63"/>
      <c r="J1" s="4"/>
      <c r="K1" s="4"/>
    </row>
    <row r="2" spans="1:14" ht="19.5" customHeight="1">
      <c r="A2" s="66" t="s">
        <v>2</v>
      </c>
      <c r="B2" s="66"/>
      <c r="C2" s="5">
        <f>SUM(C4:C77)</f>
        <v>47513.790208597697</v>
      </c>
      <c r="D2" s="5">
        <f>SUM(D4:D77)</f>
        <v>0</v>
      </c>
      <c r="E2" s="5">
        <f>C2-D2</f>
        <v>47513.790208597697</v>
      </c>
      <c r="F2" s="6">
        <f>IFERROR(E2/D2, 0)</f>
        <v>0</v>
      </c>
      <c r="G2" s="5">
        <f>SUM(G4:G77)</f>
        <v>26976.46</v>
      </c>
      <c r="H2" s="7">
        <f>C2-G2</f>
        <v>20537.330208597697</v>
      </c>
      <c r="I2" s="6">
        <f>IFERROR(H2/G2, 0)</f>
        <v>0.76130560527948066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4" ht="98.25" customHeight="1">
      <c r="A4" s="43" t="str" cm="1">
        <f t="array" ref="A4:A5">Sites[Site]</f>
        <v>Westbrook - Lee Building 9</v>
      </c>
      <c r="B4" s="27" t="str" cm="1">
        <f t="array" ref="B4:B5">Sites[State]</f>
        <v>CT</v>
      </c>
      <c r="C4" s="23">
        <v>20619.490193135101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56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31</v>
      </c>
      <c r="K4" s="57" t="s">
        <v>32</v>
      </c>
      <c r="L4" s="62" t="s">
        <v>26</v>
      </c>
      <c r="M4" s="62" t="s">
        <v>33</v>
      </c>
      <c r="N4" s="62" t="s">
        <v>25</v>
      </c>
    </row>
    <row r="5" spans="1:14" ht="28.9">
      <c r="A5" s="28" t="str">
        <v>Westbrook - Lee Building 82</v>
      </c>
      <c r="B5" s="29" t="str">
        <v>CT</v>
      </c>
      <c r="C5" s="11">
        <v>26894.300015462599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19">
        <v>26976.46</v>
      </c>
      <c r="H5" s="19">
        <f t="shared" ref="H5" si="2">IF(AND(ISNUMBER(C5),ISNUMBER(G5)), C5-G5, "")</f>
        <v>-82.159984537400305</v>
      </c>
      <c r="I5" s="18">
        <f t="shared" ref="I5" si="3">IFERROR(H5/G5, "")</f>
        <v>-3.0456177177213134E-3</v>
      </c>
      <c r="J5" s="51" t="s">
        <v>34</v>
      </c>
      <c r="K5" s="61" t="s">
        <v>28</v>
      </c>
    </row>
    <row r="6" spans="1:14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4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4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hyperlinks>
    <hyperlink ref="K4" r:id="rId1" display="https://us3.assetplanner.com/service_request?ID=096681" xr:uid="{6EC292E1-F6C1-4B68-AC26-1232AB9192BA}"/>
    <hyperlink ref="L4" r:id="rId2" display="https://us3.assetplanner.com/service_request?ID=092275" xr:uid="{958728F2-CAB8-4BB5-AFB1-C3D34E44D6C9}"/>
    <hyperlink ref="M4" r:id="rId3" display="https://us3.assetplanner.com/service_request?ID=096097" xr:uid="{F5D3D82A-F2E0-4D30-BA1F-B0B761C99964}"/>
    <hyperlink ref="N4" r:id="rId4" display="https://us3.assetplanner.com/service_request?ID=091134" xr:uid="{EB48F563-C9AF-4309-8556-5E34E67B2CD3}"/>
    <hyperlink ref="K5" r:id="rId5" display="https://us3.assetplanner.com/service_request?ID=085123" xr:uid="{76100D0E-EE97-4857-9687-6F5565B41843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19"/>
  <sheetViews>
    <sheetView tabSelected="1" zoomScale="70" zoomScaleNormal="70" workbookViewId="0">
      <pane xSplit="2" ySplit="3" topLeftCell="C4" activePane="bottomRight" state="frozen"/>
      <selection pane="bottomRight" activeCell="J12" sqref="J12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4" t="str" cm="1">
        <f t="array" ref="A1">portfolio</f>
        <v>Solar Income LLC</v>
      </c>
      <c r="B1" s="64"/>
      <c r="C1" s="64"/>
      <c r="D1" s="65" t="s">
        <v>35</v>
      </c>
      <c r="E1" s="65"/>
      <c r="F1" s="65"/>
      <c r="G1" s="63" t="s">
        <v>36</v>
      </c>
      <c r="H1" s="63"/>
      <c r="I1" s="63"/>
      <c r="J1" s="4"/>
      <c r="K1" s="4"/>
    </row>
    <row r="2" spans="1:14" ht="19.5" customHeight="1">
      <c r="A2" s="66" t="s">
        <v>2</v>
      </c>
      <c r="B2" s="66"/>
      <c r="C2" s="5">
        <f>SUM(C4:C77)</f>
        <v>70079.620309999998</v>
      </c>
      <c r="D2" s="5">
        <f>SUM(D4:D77)</f>
        <v>0</v>
      </c>
      <c r="E2" s="5">
        <f>C2-D2</f>
        <v>70079.620309999998</v>
      </c>
      <c r="F2" s="6">
        <f>IFERROR(E2/D2, 0)</f>
        <v>0</v>
      </c>
      <c r="G2" s="5">
        <f>SUM(G4:G77)</f>
        <v>35174</v>
      </c>
      <c r="H2" s="7">
        <f>C2-G2</f>
        <v>34905.620309999998</v>
      </c>
      <c r="I2" s="6">
        <f>IFERROR(H2/G2, 0)</f>
        <v>0.99236994114971278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4" ht="105.75" customHeight="1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30959.910250000001</v>
      </c>
      <c r="D4" s="12" t="s">
        <v>22</v>
      </c>
      <c r="E4" s="12" t="str">
        <f t="shared" ref="E4:E5" si="0">IF(AND(ISNUMBER(C4),ISNUMBER(D4)), C4-D4, "")</f>
        <v/>
      </c>
      <c r="F4" s="12" t="str">
        <f>IFERROR(E4/D4, "")</f>
        <v/>
      </c>
      <c r="G4" s="56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37</v>
      </c>
      <c r="K4" s="57" t="s">
        <v>38</v>
      </c>
      <c r="L4" s="62" t="s">
        <v>26</v>
      </c>
      <c r="M4" s="62" t="s">
        <v>33</v>
      </c>
      <c r="N4" s="62" t="s">
        <v>25</v>
      </c>
    </row>
    <row r="5" spans="1:14" ht="28.9">
      <c r="A5" s="28" t="str">
        <v>Westbrook - Lee Building 82</v>
      </c>
      <c r="B5" s="29" t="str">
        <v>CT</v>
      </c>
      <c r="C5" s="11">
        <v>39119.710059999998</v>
      </c>
      <c r="D5" s="17" t="s">
        <v>22</v>
      </c>
      <c r="E5" s="17" t="str">
        <f t="shared" si="0"/>
        <v/>
      </c>
      <c r="F5" s="17" t="str">
        <f>IFERROR(E5/D5, "")</f>
        <v/>
      </c>
      <c r="G5" s="19">
        <v>35174</v>
      </c>
      <c r="H5" s="19">
        <f t="shared" ref="H5" si="1">IF(AND(ISNUMBER(C5),ISNUMBER(G5)), C5-G5, "")</f>
        <v>3945.7100599999976</v>
      </c>
      <c r="I5" s="18">
        <f t="shared" ref="I5" si="2">IFERROR(H5/G5, "")</f>
        <v>0.11217689372832199</v>
      </c>
      <c r="J5" s="40" t="s">
        <v>34</v>
      </c>
      <c r="K5" s="60" t="s">
        <v>28</v>
      </c>
    </row>
    <row r="6" spans="1:14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4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4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6:F77">
    <cfRule type="cellIs" dxfId="25" priority="7" stopIfTrue="1" operator="lessThanOrEqual">
      <formula>-0.1</formula>
    </cfRule>
    <cfRule type="expression" dxfId="24" priority="8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hyperlinks>
    <hyperlink ref="K4" r:id="rId1" display="https://us3.assetplanner.com/service_request?ID=096681" xr:uid="{75D228A4-3246-497A-BB1A-BCA8D1AA874A}"/>
    <hyperlink ref="L4" r:id="rId2" display="https://us3.assetplanner.com/service_request?ID=092275" xr:uid="{944E870B-CCCB-4842-9F87-2C1C99146BBD}"/>
    <hyperlink ref="M4" r:id="rId3" display="https://us3.assetplanner.com/service_request?ID=096097" xr:uid="{D92E1807-D6E0-4322-82CE-DE7692C30EAD}"/>
    <hyperlink ref="N4" r:id="rId4" display="https://us3.assetplanner.com/service_request?ID=091134" xr:uid="{98C4D9B8-331B-430C-B73A-3646C0BF3B0D}"/>
    <hyperlink ref="K5" r:id="rId5" display="https://us3.assetplanner.com/service_request?ID=085123" xr:uid="{6FF692F4-A10D-4AA2-9CF6-70F9BE06FB6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E17" sqref="E17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Solar Income LLC</v>
      </c>
      <c r="B1" s="64"/>
      <c r="C1" s="64"/>
      <c r="D1" s="65" t="s">
        <v>39</v>
      </c>
      <c r="E1" s="65"/>
      <c r="F1" s="65"/>
      <c r="G1" s="63" t="s">
        <v>40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39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J4" activeCellId="3" sqref="C4:C5 D4:D6 G4:G5 J4:K5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Solar Income LLC</v>
      </c>
      <c r="B1" s="64"/>
      <c r="C1" s="64"/>
      <c r="D1" s="65" t="s">
        <v>41</v>
      </c>
      <c r="E1" s="65"/>
      <c r="F1" s="65"/>
      <c r="G1" s="63" t="s">
        <v>42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J4" activeCellId="3" sqref="C4:C5 D4:D6 G4:G5 J4:K5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Solar Income LLC</v>
      </c>
      <c r="B1" s="64"/>
      <c r="C1" s="64"/>
      <c r="D1" s="65" t="s">
        <v>43</v>
      </c>
      <c r="E1" s="65"/>
      <c r="F1" s="65"/>
      <c r="G1" s="63" t="s">
        <v>44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J4" activePane="bottomRight" state="frozen"/>
      <selection pane="bottomRight" activeCell="J4" activeCellId="3" sqref="C4:C5 D4:D6 G4:G5 J4:K5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Solar Income LLC</v>
      </c>
      <c r="B1" s="64"/>
      <c r="C1" s="64"/>
      <c r="D1" s="65" t="s">
        <v>45</v>
      </c>
      <c r="E1" s="65"/>
      <c r="F1" s="65"/>
      <c r="G1" s="63" t="s">
        <v>46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51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J4" activeCellId="3" sqref="C4:C5 D4:D6 G4:G5 J4:K5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Solar Income LLC</v>
      </c>
      <c r="B1" s="64"/>
      <c r="C1" s="64"/>
      <c r="D1" s="65" t="s">
        <v>47</v>
      </c>
      <c r="E1" s="65"/>
      <c r="F1" s="65"/>
      <c r="G1" s="63" t="s">
        <v>48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51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J4" activePane="bottomRight" state="frozen"/>
      <selection pane="bottomRight" activeCell="J4" activeCellId="3" sqref="C4:C5 D4:D6 G4:G5 J4:K5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Solar Income LLC</v>
      </c>
      <c r="B1" s="64"/>
      <c r="C1" s="64"/>
      <c r="D1" s="65" t="s">
        <v>49</v>
      </c>
      <c r="E1" s="65"/>
      <c r="F1" s="65"/>
      <c r="G1" s="63" t="s">
        <v>50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51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J4" activeCellId="3" sqref="C4:C5 D4:D6 G4:G5 J4:K5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28515625" customWidth="1"/>
    <col min="11" max="11" width="30.5703125" customWidth="1"/>
  </cols>
  <sheetData>
    <row r="1" spans="1:11" ht="19.5" customHeight="1">
      <c r="A1" s="64" t="str" cm="1">
        <f t="array" ref="A1">portfolio</f>
        <v>Solar Income LLC</v>
      </c>
      <c r="B1" s="64"/>
      <c r="C1" s="64"/>
      <c r="D1" s="65" t="s">
        <v>51</v>
      </c>
      <c r="E1" s="65"/>
      <c r="F1" s="65"/>
      <c r="G1" s="63" t="s">
        <v>52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2"/>
      <c r="K5" s="53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J4" activeCellId="3" sqref="C4:C5 D4:D6 G4:G5 J4:K5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5.140625" customWidth="1"/>
    <col min="11" max="11" width="35" customWidth="1"/>
  </cols>
  <sheetData>
    <row r="1" spans="1:11" ht="19.5" customHeight="1">
      <c r="A1" s="64" t="str" cm="1">
        <f t="array" ref="A1">portfolio</f>
        <v>Solar Income LLC</v>
      </c>
      <c r="B1" s="64"/>
      <c r="C1" s="64"/>
      <c r="D1" s="65" t="s">
        <v>53</v>
      </c>
      <c r="E1" s="65"/>
      <c r="F1" s="65"/>
      <c r="G1" s="63" t="s">
        <v>54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2"/>
      <c r="K5" s="53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4" activeCellId="3" sqref="C4:C5 D4:D6 G4:G5 J4:K5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6.7109375" customWidth="1"/>
    <col min="11" max="11" width="20.5703125" bestFit="1" customWidth="1"/>
  </cols>
  <sheetData>
    <row r="1" spans="1:11" ht="19.5" customHeight="1">
      <c r="A1" s="64" t="str" cm="1">
        <f t="array" ref="A1">portfolio</f>
        <v>Solar Income LLC</v>
      </c>
      <c r="B1" s="64"/>
      <c r="C1" s="64"/>
      <c r="D1" s="65" t="s">
        <v>55</v>
      </c>
      <c r="E1" s="65"/>
      <c r="F1" s="65"/>
      <c r="G1" s="63" t="s">
        <v>56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5"/>
      <c r="K4" s="55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4"/>
      <c r="K5" s="51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57</v>
      </c>
      <c r="B1" t="s">
        <v>58</v>
      </c>
    </row>
    <row r="3" spans="1:12" ht="13.15">
      <c r="A3" t="s">
        <v>59</v>
      </c>
      <c r="B3" t="s">
        <v>3</v>
      </c>
      <c r="C3" t="s">
        <v>4</v>
      </c>
      <c r="D3" t="s">
        <v>60</v>
      </c>
      <c r="E3" s="2" t="s">
        <v>61</v>
      </c>
    </row>
    <row r="4" spans="1:12" ht="14.45">
      <c r="A4" s="45" t="s">
        <v>62</v>
      </c>
      <c r="B4" s="46" t="s">
        <v>63</v>
      </c>
      <c r="C4" s="46" t="s">
        <v>64</v>
      </c>
      <c r="D4" s="47" t="s">
        <v>65</v>
      </c>
      <c r="E4" t="s">
        <v>66</v>
      </c>
      <c r="G4" s="3"/>
    </row>
    <row r="5" spans="1:12" ht="14.45">
      <c r="A5" s="48" t="s">
        <v>67</v>
      </c>
      <c r="B5" s="49" t="s">
        <v>68</v>
      </c>
      <c r="C5" s="50" t="s">
        <v>64</v>
      </c>
      <c r="D5" s="47" t="s">
        <v>65</v>
      </c>
      <c r="E5" t="s">
        <v>66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D1438F42-4C91-4BBD-93E2-174C5D962C10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2024-10-17T15:47:45Z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569a0cc3-59ad-4a60-b9e4-83b3229a8c7e</vt:lpwstr>
  </property>
  <property fmtid="{D5CDD505-2E9C-101B-9397-08002B2CF9AE}" pid="9" name="MSIP_Label_9d817c99-0b37-4a07-8277-96aa1f96b74b_ContentBits">
    <vt:lpwstr>0</vt:lpwstr>
  </property>
</Properties>
</file>