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2" documentId="13_ncr:1_{27921290-E4D3-4D3E-9E67-3409394AA1B2}" xr6:coauthVersionLast="47" xr6:coauthVersionMax="47" xr10:uidLastSave="{9CA761A6-A97C-4776-A712-A679B5BAD7F3}"/>
  <bookViews>
    <workbookView xWindow="430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F4" i="20"/>
  <c r="H4" i="20"/>
  <c r="I4" i="20"/>
  <c r="E4" i="72"/>
  <c r="F4" i="72"/>
  <c r="H4" i="72"/>
  <c r="I4" i="72"/>
  <c r="G4" i="30"/>
  <c r="G2" i="30" s="1"/>
  <c r="G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G4" i="34" l="1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<sst xmlns="http://schemas.openxmlformats.org/spreadsheetml/2006/main" count="247" uniqueCount="61">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</sst>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J11" sqref="J11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SUM(C4:C60)</f>
        <v>1207402</v>
      </c>
      <c r="D2" s="6">
        <f>SUM(D4:D60)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SUM(G4:G60)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1207402</v>
      </c>
      <c r="D4" s="14">
        <f>SUM('1st Qtr'!D4, '2nd Qtr'!D4, '3rd Qtr'!D4, '4th Qtr'!D4)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SUM('1st Qtr'!G4,'2nd Qtr'!G4,'3rd Qtr'!G4,'4th Qtr'!G4)</f>
        <v>1495210.12</v>
      </c>
      <c r="H4" s="16">
        <f>SUM('1st Qtr'!H4, '2nd Qtr'!H4, '3rd Qtr'!H4, '4th Qtr'!H4)</f>
        <v>-287808.12</v>
      </c>
      <c r="I4" s="17">
        <f>IFERROR(H4/G4, "")</f>
        <v>-0.19248673892068091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H4" sqref="H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H12" sqref="H12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46" t="str" cm="1">
        <f t="array" ref="A1">portfolio</f>
        <v>Walden Renewables Dev't LLC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2" ht="19.5" customHeight="1">
      <c r="A2" s="48" t="s">
        <v>2</v>
      </c>
      <c r="B2" s="48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pane="bottomLeft" activeCell="J8" sqref="J8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29</v>
      </c>
      <c r="E1" s="47"/>
      <c r="F1" s="47"/>
      <c r="G1" s="45" t="s">
        <v>30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60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31</v>
      </c>
      <c r="K4" s="18" t="s">
        <v>32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10" sqref="F10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49</v>
      </c>
      <c r="E1" s="47"/>
      <c r="F1" s="47"/>
      <c r="G1" s="45" t="s">
        <v>50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t="s">
        <v>52</v>
      </c>
    </row>
    <row r="3" spans="1:7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4.25">
      <c r="A4" t="s">
        <v>56</v>
      </c>
      <c r="B4" t="s">
        <v>57</v>
      </c>
      <c r="C4" s="4" t="s">
        <v>58</v>
      </c>
      <c r="D4" t="s">
        <v>59</v>
      </c>
      <c r="E4" t="s">
        <v>60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A051F251-08EA-47DD-9A24-B039A1EF74BF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