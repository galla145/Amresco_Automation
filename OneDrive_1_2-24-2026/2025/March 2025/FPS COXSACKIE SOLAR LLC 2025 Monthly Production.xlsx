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 _AC5\Downloads\"/>
    </mc:Choice>
  </mc:AlternateContent>
  <xr:revisionPtr revIDLastSave="0" documentId="13_ncr:1_{6E7393F0-FCD8-4E74-AC41-1D901FA11FA4}" xr6:coauthVersionLast="47" xr6:coauthVersionMax="47" xr10:uidLastSave="{00000000-0000-0000-0000-000000000000}"/>
  <bookViews>
    <workbookView xWindow="-108" yWindow="-108" windowWidth="23256" windowHeight="12456"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C4" i="1"/>
  <c r="C2" i="1" s="1"/>
  <c r="G4" i="30"/>
  <c r="G4" i="18"/>
  <c r="I4" i="4"/>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c r="C4" i="29"/>
  <c r="C2" i="29" s="1"/>
  <c r="D4" i="18"/>
  <c r="D2" i="18" s="1"/>
  <c r="C4" i="18"/>
  <c r="E4" i="18" s="1"/>
  <c r="F4" i="18" s="1"/>
  <c r="B4" i="30" a="1"/>
  <c r="B4" i="30"/>
  <c r="G2" i="30"/>
  <c r="A1" i="30" a="1"/>
  <c r="A1" i="30"/>
  <c r="B4" i="29" a="1"/>
  <c r="B4" i="29"/>
  <c r="A4" i="29" a="1"/>
  <c r="A4" i="29"/>
  <c r="A1" i="29" a="1"/>
  <c r="A1" i="29"/>
  <c r="B4" i="18" a="1"/>
  <c r="B4" i="18"/>
  <c r="A4" i="18" a="1"/>
  <c r="A4" i="18"/>
  <c r="G2"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c r="E4" i="31"/>
  <c r="F4" i="31"/>
  <c r="G2" i="31"/>
  <c r="H2" i="31" s="1"/>
  <c r="I2" i="31" s="1"/>
  <c r="D2" i="31"/>
  <c r="E2" i="31" s="1"/>
  <c r="F2" i="31" s="1"/>
  <c r="C2" i="31"/>
  <c r="J2" i="31" s="1"/>
  <c r="A1" i="31" a="1"/>
  <c r="A1" i="31"/>
  <c r="H4" i="28"/>
  <c r="I4" i="28" s="1"/>
  <c r="E4" i="28"/>
  <c r="F4" i="28"/>
  <c r="B4" i="28" a="1"/>
  <c r="B4" i="28"/>
  <c r="A4" i="28" a="1"/>
  <c r="A4" i="28"/>
  <c r="G2" i="28"/>
  <c r="D2" i="28"/>
  <c r="C2" i="28"/>
  <c r="A1" i="28" a="1"/>
  <c r="A1" i="28"/>
  <c r="H4" i="27"/>
  <c r="G4" i="29" s="1"/>
  <c r="I4" i="27"/>
  <c r="E4" i="27"/>
  <c r="F4" i="27"/>
  <c r="G2" i="27"/>
  <c r="D2" i="27"/>
  <c r="C2" i="27"/>
  <c r="J2" i="27" s="1"/>
  <c r="A1" i="27" a="1"/>
  <c r="A1" i="27"/>
  <c r="H4" i="26"/>
  <c r="I4" i="26"/>
  <c r="E4" i="26"/>
  <c r="F4" i="26" s="1"/>
  <c r="G2" i="26"/>
  <c r="D2" i="26"/>
  <c r="C2" i="26"/>
  <c r="J2" i="26" s="1"/>
  <c r="A1" i="26" a="1"/>
  <c r="A1" i="26"/>
  <c r="H4" i="19"/>
  <c r="I4" i="19"/>
  <c r="E4" i="19"/>
  <c r="F4" i="19"/>
  <c r="G2" i="19"/>
  <c r="D2" i="19"/>
  <c r="E2" i="19" s="1"/>
  <c r="F2" i="19" s="1"/>
  <c r="C2" i="19"/>
  <c r="A1" i="19" a="1"/>
  <c r="A1" i="19"/>
  <c r="H4" i="20"/>
  <c r="I4" i="20" s="1"/>
  <c r="E4" i="20"/>
  <c r="F4" i="20"/>
  <c r="G2" i="20"/>
  <c r="H2" i="20" s="1"/>
  <c r="I2" i="20" s="1"/>
  <c r="D2" i="20"/>
  <c r="C2" i="20"/>
  <c r="A1" i="20" a="1"/>
  <c r="A1" i="20"/>
  <c r="H4" i="21"/>
  <c r="I4" i="21" s="1"/>
  <c r="E4" i="21"/>
  <c r="F4" i="21"/>
  <c r="G2" i="21"/>
  <c r="D2" i="21"/>
  <c r="C2" i="21"/>
  <c r="E2" i="21" s="1"/>
  <c r="F2" i="21" s="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J2" i="20"/>
  <c r="H2" i="21"/>
  <c r="I2" i="21"/>
  <c r="H4" i="29"/>
  <c r="E2" i="27"/>
  <c r="F2" i="27" s="1"/>
  <c r="H2" i="3" l="1"/>
  <c r="I2" i="3" s="1"/>
  <c r="H4" i="1"/>
  <c r="I4" i="1" s="1"/>
  <c r="E2" i="1"/>
  <c r="F2" i="1" s="1"/>
  <c r="E4" i="1"/>
  <c r="F4" i="1" s="1"/>
  <c r="E2" i="3"/>
  <c r="F2" i="3" s="1"/>
  <c r="H4" i="30"/>
  <c r="H2" i="72"/>
  <c r="I2" i="72" s="1"/>
  <c r="H2" i="27"/>
  <c r="I2" i="27" s="1"/>
  <c r="H2" i="4"/>
  <c r="I2" i="4" s="1"/>
  <c r="H2" i="19"/>
  <c r="I2" i="19" s="1"/>
  <c r="H2" i="28"/>
  <c r="I2" i="28" s="1"/>
  <c r="J2" i="21"/>
  <c r="J2" i="32"/>
  <c r="E2" i="20"/>
  <c r="F2" i="20" s="1"/>
  <c r="E2" i="29"/>
  <c r="F2" i="29" s="1"/>
  <c r="I4" i="30"/>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<sst xmlns="http://schemas.openxmlformats.org/spreadsheetml/2006/main" count="254" uniqueCount="67">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</sst>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2">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5" fillId="38" borderId="14" xfId="0" applyFont="1" applyFill="1" applyBorder="1" applyAlignment="1">
      <alignment horizontal="left" vertical="top" wrapText="1"/>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D4" sqref="D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Freepoint</v>
      </c>
      <c r="B1" s="59"/>
      <c r="C1" s="59"/>
      <c r="D1" s="60" t="s">
        <v>0</v>
      </c>
      <c r="E1" s="60"/>
      <c r="F1" s="60"/>
      <c r="G1" s="58" t="s">
        <v>1</v>
      </c>
      <c r="H1" s="58"/>
      <c r="I1" s="58"/>
    </row>
    <row r="2" spans="1:9" ht="19.5" customHeight="1">
      <c r="A2" s="61" t="s">
        <v>2</v>
      </c>
      <c r="B2" s="61"/>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1566294</v>
      </c>
      <c r="D4" s="12">
        <f>SUM('1st Qtr'!D4, '2nd Qtr'!D4, '3rd Qtr'!D4, '4th Qtr'!D4)</f>
        <v>1784267.686</v>
      </c>
      <c r="E4" s="12">
        <f>IF(AND(ISNUMBER(C4),ISNUMBER(D4)), C4-D4, "")</f>
        <v>-217973.68599999999</v>
      </c>
      <c r="F4" s="13">
        <f>IFERROR(E4/D4, "")</f>
        <v>-0.12216422889362352</v>
      </c>
      <c r="G4" s="14">
        <f>SUM('1st Qtr'!G4, '2nd Qtr'!G4, '3rd Qtr'!G4, '4th Qtr'!G4)</f>
        <v>1812746.14</v>
      </c>
      <c r="H4" s="14">
        <f>SUM('1st Qtr'!H4, '2nd Qtr'!H4, '3rd Qtr'!H4, '4th Qtr'!H4)</f>
        <v>-246452.13999999996</v>
      </c>
      <c r="I4" s="15">
        <f>IFERROR(H4/G4, "")</f>
        <v>-0.13595513158836459</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F4" sqref="F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Freepoint</v>
      </c>
      <c r="B1" s="59"/>
      <c r="C1" s="59"/>
      <c r="D1" s="60" t="s">
        <v>10</v>
      </c>
      <c r="E1" s="60"/>
      <c r="F1" s="60"/>
      <c r="G1" s="58" t="s">
        <v>11</v>
      </c>
      <c r="H1" s="58"/>
      <c r="I1" s="58"/>
    </row>
    <row r="2" spans="1:9" ht="19.5" customHeight="1">
      <c r="A2" s="61" t="s">
        <v>2</v>
      </c>
      <c r="B2" s="61"/>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F17" sqref="F17"/>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Freepoint</v>
      </c>
      <c r="B1" s="59"/>
      <c r="C1" s="59"/>
      <c r="D1" s="60" t="s">
        <v>12</v>
      </c>
      <c r="E1" s="60"/>
      <c r="F1" s="60"/>
      <c r="G1" s="58" t="s">
        <v>13</v>
      </c>
      <c r="H1" s="58"/>
      <c r="I1" s="58"/>
    </row>
    <row r="2" spans="1:9" ht="19.5" customHeight="1">
      <c r="A2" s="61" t="s">
        <v>2</v>
      </c>
      <c r="B2" s="61"/>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0</v>
      </c>
      <c r="D4" s="12">
        <f>SUM(Apr!D4, May!D4, Jun!D4)</f>
        <v>0</v>
      </c>
      <c r="E4" s="12">
        <f>IF(AND(ISNUMBER(C4),ISNUMBER(D4)), C4-D4, "")</f>
        <v>0</v>
      </c>
      <c r="F4" s="13" t="str">
        <f>IFERROR(E4/D4, "")</f>
        <v/>
      </c>
      <c r="G4" s="14">
        <f>SUM(Apr!G4,May!G4,Jun!G4)</f>
        <v>0</v>
      </c>
      <c r="H4" s="14">
        <f>SUM(Apr!H4, May!H4, Jun!H4)</f>
        <v>0</v>
      </c>
      <c r="I4" s="15" t="str">
        <f>IFERROR(H4/G4, "")</f>
        <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Freepoint</v>
      </c>
      <c r="B1" s="59"/>
      <c r="C1" s="59"/>
      <c r="D1" s="60" t="s">
        <v>14</v>
      </c>
      <c r="E1" s="60"/>
      <c r="F1" s="60"/>
      <c r="G1" s="58" t="s">
        <v>15</v>
      </c>
      <c r="H1" s="58"/>
      <c r="I1" s="58"/>
    </row>
    <row r="2" spans="1:9" ht="19.5" customHeight="1">
      <c r="A2" s="61" t="s">
        <v>2</v>
      </c>
      <c r="B2" s="61"/>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0</v>
      </c>
      <c r="D4" s="12">
        <f>SUM(Jul!D4, Aug!D4, Sep!D4)</f>
        <v>0</v>
      </c>
      <c r="E4" s="12">
        <f>IF(AND(ISNUMBER(C4),ISNUMBER(D4)), C4-D4, "")</f>
        <v>0</v>
      </c>
      <c r="F4" s="13" t="str">
        <f>IFERROR(E4/D4, "")</f>
        <v/>
      </c>
      <c r="G4" s="14">
        <f>SUM(Jul!G4,Aug!H4,Sep!G4)</f>
        <v>0</v>
      </c>
      <c r="H4" s="14">
        <f>SUM(Jul!H4, Aug!H4, Sep!H4)</f>
        <v>0</v>
      </c>
      <c r="I4" s="15" t="str">
        <f>IFERROR(H4/G4, "")</f>
        <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Freepoint</v>
      </c>
      <c r="B1" s="59"/>
      <c r="C1" s="59"/>
      <c r="D1" s="60" t="s">
        <v>16</v>
      </c>
      <c r="E1" s="60"/>
      <c r="F1" s="60"/>
      <c r="G1" s="58" t="s">
        <v>17</v>
      </c>
      <c r="H1" s="58"/>
      <c r="I1" s="58"/>
    </row>
    <row r="2" spans="1:9" ht="19.5" customHeight="1">
      <c r="A2" s="61" t="s">
        <v>2</v>
      </c>
      <c r="B2" s="61"/>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0</v>
      </c>
      <c r="D4" s="12">
        <f>SUM(Oct!D4, Nov!D4, Dec!D4)</f>
        <v>0</v>
      </c>
      <c r="E4" s="12">
        <f>IF(AND(ISNUMBER(C4),ISNUMBER(D4)), C4-D4, "")</f>
        <v>0</v>
      </c>
      <c r="F4" s="13" t="str">
        <f>IFERROR(E4/D4, "")</f>
        <v/>
      </c>
      <c r="G4" s="14">
        <f>SUM(Oct!G4,Nov!G4,Dec!G5)</f>
        <v>0</v>
      </c>
      <c r="H4" s="14">
        <f>SUM(Oct!H4, Nov!H4, Dec!H4)</f>
        <v>0</v>
      </c>
      <c r="I4" s="15" t="str">
        <f>IFERROR(H4/G4, "")</f>
        <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18</v>
      </c>
      <c r="E1" s="60"/>
      <c r="F1" s="60"/>
      <c r="G1" s="58" t="s">
        <v>19</v>
      </c>
      <c r="H1" s="58"/>
      <c r="I1" s="58"/>
      <c r="J1" s="4"/>
      <c r="K1" s="4"/>
    </row>
    <row r="2" spans="1:11" ht="19.5" customHeight="1">
      <c r="A2" s="61" t="s">
        <v>2</v>
      </c>
      <c r="B2" s="61"/>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tabSelected="1" zoomScale="90" zoomScaleNormal="90" workbookViewId="0">
      <pane xSplit="2" ySplit="3" topLeftCell="E4" activePane="bottomRight" state="frozen"/>
      <selection pane="bottomRight" activeCell="J11" sqref="J11"/>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59" t="str" cm="1">
        <f t="array" ref="A1">portfolio</f>
        <v>Freepoint</v>
      </c>
      <c r="B1" s="59"/>
      <c r="C1" s="59"/>
      <c r="D1" s="60" t="s">
        <v>24</v>
      </c>
      <c r="E1" s="60"/>
      <c r="F1" s="60"/>
      <c r="G1" s="58" t="s">
        <v>25</v>
      </c>
      <c r="H1" s="58"/>
      <c r="I1" s="58"/>
      <c r="J1" s="4"/>
      <c r="K1" s="4"/>
    </row>
    <row r="2" spans="1:16" ht="19.5" customHeight="1">
      <c r="A2" s="61" t="s">
        <v>2</v>
      </c>
      <c r="B2" s="61"/>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2"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4" t="s">
        <v>27</v>
      </c>
      <c r="L4" s="55" t="s">
        <v>28</v>
      </c>
      <c r="M4" s="55" t="s">
        <v>29</v>
      </c>
      <c r="N4" s="55" t="s">
        <v>29</v>
      </c>
      <c r="O4" s="55" t="s">
        <v>30</v>
      </c>
      <c r="P4" s="55"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G4" activePane="bottomRight" state="frozen"/>
      <selection pane="bottomRight" activeCell="J13" sqref="J13"/>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9" t="str" cm="1">
        <f t="array" ref="A1">portfolio</f>
        <v>Freepoint</v>
      </c>
      <c r="B1" s="59"/>
      <c r="C1" s="59"/>
      <c r="D1" s="60" t="s">
        <v>32</v>
      </c>
      <c r="E1" s="60"/>
      <c r="F1" s="60"/>
      <c r="G1" s="58" t="s">
        <v>33</v>
      </c>
      <c r="H1" s="58"/>
      <c r="I1" s="58"/>
      <c r="J1" s="4"/>
      <c r="K1" s="4"/>
    </row>
    <row r="2" spans="1:15" ht="19.5" customHeight="1">
      <c r="A2" s="61" t="s">
        <v>2</v>
      </c>
      <c r="B2" s="61"/>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7"/>
      <c r="M3" s="57"/>
      <c r="N3" s="57"/>
      <c r="O3" s="57"/>
    </row>
    <row r="4" spans="1:15" ht="100.9">
      <c r="A4" s="52"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6" t="s">
        <v>35</v>
      </c>
      <c r="L4" s="55" t="s">
        <v>36</v>
      </c>
      <c r="M4" s="55" t="s">
        <v>37</v>
      </c>
      <c r="N4" s="55" t="s">
        <v>38</v>
      </c>
      <c r="O4" s="57"/>
    </row>
    <row r="5" spans="1:15" ht="14.45">
      <c r="A5" s="20"/>
      <c r="B5" s="29"/>
      <c r="C5" s="20"/>
      <c r="D5" s="20"/>
      <c r="E5" s="20"/>
      <c r="F5" s="20"/>
      <c r="G5" s="20"/>
      <c r="H5" s="20"/>
      <c r="I5" s="20"/>
      <c r="J5" s="20"/>
      <c r="K5" s="20"/>
      <c r="L5" s="57"/>
      <c r="M5" s="57"/>
      <c r="N5" s="57"/>
      <c r="O5" s="57"/>
    </row>
    <row r="6" spans="1:15" ht="14.45">
      <c r="A6" s="20"/>
      <c r="B6" s="29"/>
      <c r="C6" s="20"/>
      <c r="D6" s="20"/>
      <c r="E6" s="20"/>
      <c r="F6" s="20"/>
      <c r="G6" s="20"/>
      <c r="H6" s="20"/>
      <c r="I6" s="20"/>
      <c r="J6" s="20"/>
      <c r="K6" s="20"/>
      <c r="L6" s="57"/>
      <c r="M6" s="57"/>
      <c r="N6" s="57"/>
      <c r="O6" s="57"/>
    </row>
    <row r="7" spans="1:15" ht="14.45">
      <c r="A7" s="20"/>
      <c r="B7" s="29"/>
      <c r="C7" s="20"/>
      <c r="D7" s="20"/>
      <c r="E7" s="20"/>
      <c r="F7" s="20"/>
      <c r="G7" s="20"/>
      <c r="H7" s="20"/>
      <c r="I7" s="20"/>
      <c r="J7" s="20"/>
      <c r="K7" s="20"/>
      <c r="L7" s="57"/>
      <c r="M7" s="57"/>
      <c r="N7" s="57"/>
      <c r="O7" s="57"/>
    </row>
    <row r="8" spans="1:15" ht="14.45">
      <c r="A8" s="20"/>
      <c r="B8" s="29"/>
      <c r="C8" s="20"/>
      <c r="D8" s="20"/>
      <c r="E8" s="20"/>
      <c r="F8" s="20"/>
      <c r="G8" s="20"/>
      <c r="H8" s="20"/>
      <c r="I8" s="20"/>
      <c r="J8" s="20"/>
      <c r="K8" s="20"/>
      <c r="L8" s="57"/>
      <c r="M8" s="57"/>
      <c r="N8" s="57"/>
      <c r="O8" s="57"/>
    </row>
    <row r="9" spans="1:15" ht="14.45">
      <c r="A9" s="20"/>
      <c r="B9" s="29"/>
      <c r="C9" s="20"/>
      <c r="D9" s="20"/>
      <c r="E9" s="20"/>
      <c r="F9" s="20"/>
      <c r="G9" s="20"/>
      <c r="H9" s="20"/>
      <c r="I9" s="20"/>
      <c r="J9" s="20"/>
      <c r="K9" s="20"/>
      <c r="L9" s="57"/>
      <c r="M9" s="57"/>
      <c r="N9" s="57"/>
      <c r="O9" s="57"/>
    </row>
    <row r="10" spans="1:15" ht="14.45">
      <c r="A10" s="20"/>
      <c r="B10" s="29"/>
      <c r="C10" s="20"/>
      <c r="D10" s="20"/>
      <c r="E10" s="20"/>
      <c r="F10" s="20"/>
      <c r="G10" s="20"/>
      <c r="H10" s="20"/>
      <c r="I10" s="20"/>
      <c r="J10" s="20"/>
      <c r="K10" s="20"/>
      <c r="L10" s="57"/>
      <c r="M10" s="57"/>
      <c r="N10" s="57"/>
      <c r="O10" s="57"/>
    </row>
    <row r="11" spans="1:15" ht="14.45">
      <c r="A11" s="20"/>
      <c r="B11" s="29"/>
      <c r="C11" s="20"/>
      <c r="D11" s="20"/>
      <c r="E11" s="20"/>
      <c r="F11" s="20"/>
      <c r="G11" s="20"/>
      <c r="H11" s="20"/>
      <c r="I11" s="20"/>
      <c r="J11" s="20"/>
      <c r="K11" s="20"/>
      <c r="L11" s="57"/>
      <c r="M11" s="57"/>
      <c r="N11" s="57"/>
      <c r="O11" s="57"/>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21"/>
  <sheetViews>
    <sheetView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39</v>
      </c>
      <c r="E1" s="60"/>
      <c r="F1" s="60"/>
      <c r="G1" s="58" t="s">
        <v>40</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52"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50"/>
      <c r="K4" s="51"/>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1"/>
  <sheetViews>
    <sheetView workbookViewId="0">
      <pane xSplit="2" ySplit="3" topLeftCell="C4" activePane="bottomRight" state="frozen"/>
      <selection pane="bottomRight" activeCell="H33" sqref="H33"/>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41</v>
      </c>
      <c r="E1" s="60"/>
      <c r="F1" s="60"/>
      <c r="G1" s="58" t="s">
        <v>42</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52"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1"/>
  <sheetViews>
    <sheetView workbookViewId="0">
      <pane xSplit="2" ySplit="3" topLeftCell="J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s>
  <sheetData>
    <row r="1" spans="1:11" ht="19.5" customHeight="1">
      <c r="A1" s="59" t="str" cm="1">
        <f t="array" ref="A1">portfolio</f>
        <v>Freepoint</v>
      </c>
      <c r="B1" s="59"/>
      <c r="C1" s="59"/>
      <c r="D1" s="60" t="s">
        <v>43</v>
      </c>
      <c r="E1" s="60"/>
      <c r="F1" s="60"/>
      <c r="G1" s="58" t="s">
        <v>44</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1"/>
  <sheetViews>
    <sheetView zoomScale="80" zoomScaleNormal="80" workbookViewId="0">
      <pane xSplit="2" ySplit="3" topLeftCell="D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45</v>
      </c>
      <c r="E1" s="60"/>
      <c r="F1" s="60"/>
      <c r="G1" s="58" t="s">
        <v>46</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1"/>
  <sheetViews>
    <sheetView zoomScale="90" zoomScaleNormal="90" workbookViewId="0">
      <pane xSplit="2" ySplit="3" topLeftCell="E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47</v>
      </c>
      <c r="E1" s="60"/>
      <c r="F1" s="60"/>
      <c r="G1" s="58" t="s">
        <v>48</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1"/>
  <sheetViews>
    <sheetView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49</v>
      </c>
      <c r="E1" s="60"/>
      <c r="F1" s="60"/>
      <c r="G1" s="58" t="s">
        <v>50</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1"/>
  <sheetViews>
    <sheetView zoomScale="80" zoomScaleNormal="80"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51</v>
      </c>
      <c r="E1" s="60"/>
      <c r="F1" s="60"/>
      <c r="G1" s="58" t="s">
        <v>52</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53"/>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53</v>
      </c>
      <c r="E1" s="60"/>
      <c r="F1" s="60"/>
      <c r="G1" s="58" t="s">
        <v>54</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Freepoint</v>
      </c>
      <c r="B1" s="59"/>
      <c r="C1" s="59"/>
      <c r="D1" s="60" t="s">
        <v>55</v>
      </c>
      <c r="E1" s="60"/>
      <c r="F1" s="60"/>
      <c r="G1" s="58" t="s">
        <v>56</v>
      </c>
      <c r="H1" s="58"/>
      <c r="I1" s="58"/>
      <c r="J1" s="4"/>
      <c r="K1" s="4"/>
    </row>
    <row r="2" spans="1:11" ht="19.5" customHeight="1">
      <c r="A2" s="61" t="s">
        <v>2</v>
      </c>
      <c r="B2" s="61"/>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57</v>
      </c>
      <c r="B1" t="s">
        <v>58</v>
      </c>
    </row>
    <row r="3" spans="1:12" ht="13.15">
      <c r="A3" t="s">
        <v>59</v>
      </c>
      <c r="B3" t="s">
        <v>3</v>
      </c>
      <c r="C3" t="s">
        <v>4</v>
      </c>
      <c r="D3" t="s">
        <v>60</v>
      </c>
      <c r="E3" s="2" t="s">
        <v>61</v>
      </c>
    </row>
    <row r="4" spans="1:12" ht="14.45">
      <c r="A4" s="44" t="s">
        <v>62</v>
      </c>
      <c r="B4" t="s">
        <v>63</v>
      </c>
      <c r="C4" s="42" t="s">
        <v>64</v>
      </c>
      <c r="D4" s="41" t="s">
        <v>65</v>
      </c>
      <c r="E4" t="s">
        <v>66</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C60EA773-DA53-48F4-A23C-2D6C80A5BFC9}"/>
</file>

<file path=customXml/itemProps15.xml><?xml version="1.0" encoding="utf-8"?>
<ds:datastoreItem xmlns:ds="http://schemas.openxmlformats.org/officeDocument/2006/customXml" ds:itemID="{1954BBA4-0359-438C-B0EC-A756015F7C02}"/>
</file>

<file path=customXml/itemProps16.xml><?xml version="1.0" encoding="utf-8"?>
<ds:datastoreItem xmlns:ds="http://schemas.openxmlformats.org/officeDocument/2006/customXml" ds:itemID="{3AEAA9D8-2182-46BA-A58E-96C72DDA1C54}"/>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Anusha Vempati</cp:lastModifiedBy>
  <cp:revision/>
  <dcterms:created xsi:type="dcterms:W3CDTF">2021-01-01T16:39:53Z</dcterms:created>
  <dcterms:modified xsi:type="dcterms:W3CDTF">2025-06-25T19:47:21Z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