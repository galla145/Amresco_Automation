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F83DADBD-6804-40AB-9E49-D0459841FB2A}" xr6:coauthVersionLast="47" xr6:coauthVersionMax="47" xr10:uidLastSave="{2A03531A-2311-41FC-888A-BB69B2502122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H5" i="3"/>
  <c r="E5" i="3"/>
  <c r="F5" i="3" s="1"/>
  <c r="H5" i="72"/>
  <c r="G5" i="30"/>
  <c r="G4" i="30"/>
  <c r="G4" i="29"/>
  <c r="G2" i="29" s="1"/>
  <c r="G5" i="29"/>
  <c r="G5" i="18"/>
  <c r="G4" i="18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I5" i="3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5" i="34" s="1"/>
  <c r="C4" i="1"/>
  <c r="D5" i="1"/>
  <c r="D5" i="34" s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I5" i="72"/>
  <c r="H4" i="72"/>
  <c r="I4" i="72" s="1"/>
  <c r="G2" i="72"/>
  <c r="D2" i="72"/>
  <c r="C2" i="72"/>
  <c r="J2" i="72" s="1"/>
  <c r="A1" i="72" a="1"/>
  <c r="A1" i="72" s="1"/>
  <c r="G4" i="34" l="1"/>
  <c r="G2" i="18"/>
  <c r="C4" i="34"/>
  <c r="G5" i="34"/>
  <c r="D2" i="18"/>
  <c r="E5" i="18"/>
  <c r="F5" i="18" s="1"/>
  <c r="E5" i="30"/>
  <c r="F5" i="30" s="1"/>
  <c r="D2" i="29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C2" i="29"/>
  <c r="E2" i="29" s="1"/>
  <c r="F2" i="29" s="1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1" l="1"/>
  <c r="H5" i="34"/>
  <c r="I5" i="34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<sst xmlns="http://schemas.openxmlformats.org/spreadsheetml/2006/main" count="259" uniqueCount="62">
  <si>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</si>
  <si>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</si>
  <si>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</si>
  <si>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</si>
  <si>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</si>
  <si>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</si>
  <si>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</si>
  <si>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</si>
  <si>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</si>
  <si>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</si>
  <si>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</si>
  <si>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</si>
  <si>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</si>
  <si>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</si>
  <si>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</si>
  <si>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</si>
  <si>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</si>
  <si>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</si>
  <si>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</si>
  <si>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</si>
  <si>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</si>
  <si>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</si>
  <si>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</si>
  <si>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</si>
  <si>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</si>
  <si>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</si>
  <si>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1.Site was offline from 7:00AM to 14:00 on 02/08.</t>
  </si>
  <si>
    <t>1.SR096528</t>
  </si>
  <si>
    <t>March Actual v. Expected</t>
  </si>
  <si>
    <t>March Actual v. Forecasted</t>
  </si>
  <si>
    <t>1.Inverters 1 and 2 are turning on and off repeatedly during high irradiance, likely an imbalance in the array.</t>
  </si>
  <si>
    <t>1.SR098036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</si>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</sst>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242424"/>
      <name val="Aptos Narrow"/>
      <charset val="1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3" fontId="35" fillId="0" borderId="0" xfId="0" applyNumberFormat="1" applyFont="1"/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52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American Polyfilm, Inc.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SUM(C4:C69)</f>
        <v>42694.232000000098</v>
      </c>
      <c r="D2" s="5">
        <f>SUM(D4:D69)</f>
        <v>0</v>
      </c>
      <c r="E2" s="5">
        <f>C2-D2</f>
        <v>42694.232000000098</v>
      </c>
      <c r="F2" s="6">
        <f>IFERROR(E2/D2, 0)</f>
        <v>0</v>
      </c>
      <c r="G2" s="5">
        <f>SUM(G4:G69)</f>
        <v>28703.678</v>
      </c>
      <c r="H2" s="7">
        <f>C2-G2</f>
        <v>13990.554000000098</v>
      </c>
      <c r="I2" s="6">
        <f>IFERROR(H2/G2, 0)</f>
        <v>0.48741328550299717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13764.031999999999</v>
      </c>
      <c r="D4" s="13">
        <f>SUM('1st Qtr'!D4, '2nd Qtr'!D4, '3rd Qtr'!D4, '4th Qtr'!D4)</f>
        <v>0</v>
      </c>
      <c r="E4" s="13">
        <f>IF(AND(ISNUMBER(C4),ISNUMBER(D4)), C4-D4, "")</f>
        <v>13764.031999999999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8 Sycamore Way</v>
      </c>
      <c r="B5" s="10" t="str">
        <v>CT</v>
      </c>
      <c r="C5" s="11">
        <f>SUM('1st Qtr'!C5, '2nd Qtr'!C5, '3rd Qtr'!C5, '4th Qtr'!C5)</f>
        <v>28930.200000000099</v>
      </c>
      <c r="D5" s="20">
        <f>SUM('1st Qtr'!D5, '2nd Qtr'!D5, '3rd Qtr'!D5, '4th Qtr'!D5)</f>
        <v>0</v>
      </c>
      <c r="E5" s="18">
        <f t="shared" ref="E5" si="0">IF(AND(ISNUMBER(C5),ISNUMBER(D5)), C5-D5, "")</f>
        <v>28930.200000000099</v>
      </c>
      <c r="F5" s="19" t="str">
        <f>IFERROR(E5/D5, "")</f>
        <v/>
      </c>
      <c r="G5" s="20">
        <f>SUM('1st Qtr'!G5, '2nd Qtr'!G5, '3rd Qtr'!G5, '4th Qtr'!G5)</f>
        <v>28703.678</v>
      </c>
      <c r="H5" s="20">
        <f>SUM('1st Qtr'!H5, '2nd Qtr'!H5, '3rd Qtr'!H5, '4th Qtr'!H5)</f>
        <v>226.52200000010089</v>
      </c>
      <c r="I5" s="19">
        <f>IFERROR(H5/G5, "")</f>
        <v>7.8917412604789152E-3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E25" sqref="E2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American Polyfilm, Inc.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SUM(C4:C69)</f>
        <v>42694.232000000098</v>
      </c>
      <c r="D2" s="5">
        <f>SUM(D4:D69)</f>
        <v>0</v>
      </c>
      <c r="E2" s="5">
        <f>C2-D2</f>
        <v>42694.232000000098</v>
      </c>
      <c r="F2" s="6">
        <f>IFERROR(E2/D2, 0)</f>
        <v>0</v>
      </c>
      <c r="G2" s="5">
        <f>SUM(G4:G69)</f>
        <v>28703.678</v>
      </c>
      <c r="H2" s="7">
        <f>C2-G2</f>
        <v>13990.554000000098</v>
      </c>
      <c r="I2" s="6">
        <f>IFERROR(H2/G2, 0)</f>
        <v>0.48741328550299717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13764.031999999999</v>
      </c>
      <c r="D4" s="13">
        <f>SUM(Jan!D4, Feb!D4, Mar!D4)</f>
        <v>0</v>
      </c>
      <c r="E4" s="13">
        <f>IF(AND(ISNUMBER(C4),ISNUMBER(D4)), C4-D4, "")</f>
        <v>13764.031999999999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SUM(Jan!C5, Feb!C5, Mar!C5)</f>
        <v>28930.200000000099</v>
      </c>
      <c r="D5" s="18">
        <f>SUM(Jan!D5, Feb!D5, Mar!D5)</f>
        <v>0</v>
      </c>
      <c r="E5" s="18">
        <f t="shared" ref="E5" si="0">IF(AND(ISNUMBER(C5),ISNUMBER(D5)), C5-D5, "")</f>
        <v>28930.200000000099</v>
      </c>
      <c r="F5" s="19" t="str">
        <f>IFERROR(E5/D5, "")</f>
        <v/>
      </c>
      <c r="G5" s="20">
        <f>SUM(Jan!G5, Feb!G5, Mar!G5)</f>
        <v>28703.678</v>
      </c>
      <c r="H5" s="20">
        <f>SUM(Jan!H5, Feb!H5, Mar!H5)</f>
        <v>226.52200000010089</v>
      </c>
      <c r="I5" s="19">
        <f>IFERROR(H5/G5, "")</f>
        <v>7.8917412604789152E-3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D22" sqref="D22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American Polyfilm, Inc.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American Polyfilm, Inc.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F25" sqref="F2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American Polyfilm, Inc.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1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SUM(C4:C68)</f>
        <v>10908.308000000001</v>
      </c>
      <c r="D2" s="5">
        <f>SUM(D4:D68)</f>
        <v>0</v>
      </c>
      <c r="E2" s="5">
        <f>C2-D2</f>
        <v>10908.308000000001</v>
      </c>
      <c r="F2" s="6">
        <f>IFERROR(E2/D2, 0)</f>
        <v>0</v>
      </c>
      <c r="G2" s="5">
        <f>SUM(G4:G68)</f>
        <v>7766.6779999999999</v>
      </c>
      <c r="H2" s="7">
        <f>C2-G2</f>
        <v>3141.630000000001</v>
      </c>
      <c r="I2" s="6">
        <f>IFERROR(H2/G2, 0)</f>
        <v>0.40450112647904302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3975.0079999999998</v>
      </c>
      <c r="D4" s="13" t="s">
        <v>22</v>
      </c>
      <c r="E4" s="13" t="str">
        <f>IF(AND(ISNUMBER(C4),ISNUMBER(D4)), C4-D4, "")</f>
        <v/>
      </c>
      <c r="F4" s="43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75">
      <c r="A5" s="50" t="str">
        <v>8 Sycamore Way</v>
      </c>
      <c r="B5" s="30" t="str">
        <v>CT</v>
      </c>
      <c r="C5" s="18">
        <v>6933.3</v>
      </c>
      <c r="D5" s="18" t="s">
        <v>22</v>
      </c>
      <c r="E5" s="18" t="str">
        <f t="shared" ref="E5" si="0">IF(AND(ISNUMBER(C5),ISNUMBER(D5)), C5-D5, "")</f>
        <v/>
      </c>
      <c r="F5" s="22" t="str">
        <f t="shared" ref="F5" si="1">IFERROR(E5/D5, "")</f>
        <v/>
      </c>
      <c r="G5" s="18">
        <v>7766.6779999999999</v>
      </c>
      <c r="H5" s="32">
        <f>IF(AND(ISNUMBER(C5),ISNUMBER(G5)), C5-G5, "")</f>
        <v>-833.3779999999997</v>
      </c>
      <c r="I5" s="19">
        <f t="shared" ref="I5" si="2">IFERROR(H5/G5, "")</f>
        <v>-0.1073017318343827</v>
      </c>
      <c r="J5" s="41" t="s">
        <v>23</v>
      </c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J15" sqref="J15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11876.716</v>
      </c>
      <c r="D2" s="5">
        <f>SUM(D4:D69)</f>
        <v>0</v>
      </c>
      <c r="E2" s="5">
        <f>C2-D2</f>
        <v>11876.716</v>
      </c>
      <c r="F2" s="6">
        <f>IFERROR(E2/D2, 0)</f>
        <v>0</v>
      </c>
      <c r="G2" s="5">
        <f>SUM(G4:G69)</f>
        <v>9148</v>
      </c>
      <c r="H2" s="7">
        <f>C2-G2</f>
        <v>2728.7160000000003</v>
      </c>
      <c r="I2" s="6">
        <f>IFERROR(H2/G2, 0)</f>
        <v>0.29828552689112375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3838.0160000000001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1">
        <v>8038.7</v>
      </c>
      <c r="D5" s="18" t="s">
        <v>22</v>
      </c>
      <c r="E5" s="18" t="str">
        <f>IF(AND(ISNUMBER(C5),ISNUMBER(D5)), C5-D5, "")</f>
        <v/>
      </c>
      <c r="F5" s="19" t="str">
        <f>IFERROR(E5/D5, "")</f>
        <v/>
      </c>
      <c r="G5" s="52">
        <v>9148</v>
      </c>
      <c r="H5" s="20">
        <f>IF(AND(ISNUMBER(C5),ISNUMBER(G5)), C5-G5, "")</f>
        <v>-1109.3000000000002</v>
      </c>
      <c r="I5" s="19">
        <f t="shared" ref="I5" si="0">IFERROR(H5/G5, "")</f>
        <v>-0.12126147791867077</v>
      </c>
      <c r="J5" s="41" t="s">
        <v>26</v>
      </c>
      <c r="K5" s="54" t="s">
        <v>27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hyperlinks>
    <hyperlink ref="K5" r:id="rId1" display="https://us3.assetplanner.com/service_request?ID=096528" xr:uid="{0CF38391-B0E7-4B8B-9014-3BD39F2D1279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tabSelected="1" zoomScale="80" zoomScaleNormal="80"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19909.208000000101</v>
      </c>
      <c r="D2" s="5">
        <f>SUM(D4:D69)</f>
        <v>0</v>
      </c>
      <c r="E2" s="5">
        <f>C2-D2</f>
        <v>19909.208000000101</v>
      </c>
      <c r="F2" s="6">
        <f>IFERROR(E2/D2, 0)</f>
        <v>0</v>
      </c>
      <c r="G2" s="5">
        <f>SUM(G4:G69)</f>
        <v>11789</v>
      </c>
      <c r="H2" s="7">
        <f>C2-G2</f>
        <v>8120.2080000001006</v>
      </c>
      <c r="I2" s="6">
        <f>IFERROR(H2/G2, 0)</f>
        <v>0.68879531766902202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5951.0079999999998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30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13958.200000000101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11789</v>
      </c>
      <c r="H5" s="20">
        <f t="shared" ref="H5" si="1">IF(AND(ISNUMBER(C5),ISNUMBER(G5)), C5-G5, "")</f>
        <v>2169.2000000001008</v>
      </c>
      <c r="I5" s="19">
        <f t="shared" ref="I5" si="2">IFERROR(H5/G5, "")</f>
        <v>0.18400203579608965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hyperlinks>
    <hyperlink ref="K4" r:id="rId1" display="https://us3.assetplanner.com/service_request?ID=098036" xr:uid="{E68BE015-1BAB-443B-8620-C91DB8ACE79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E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H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G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G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46</v>
      </c>
      <c r="E1" s="58"/>
      <c r="F1" s="58"/>
      <c r="G1" s="56" t="s">
        <v>47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E4" activePane="bottomRight" state="frozen"/>
      <selection pane="bottomRight" activeCell="H11" sqref="H11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American Polyfilm, Inc.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3" t="s">
        <v>55</v>
      </c>
      <c r="B4" s="3" t="s">
        <v>56</v>
      </c>
      <c r="C4" s="51" t="s">
        <v>57</v>
      </c>
      <c r="D4" s="2" t="s">
        <v>58</v>
      </c>
      <c r="E4" t="s">
        <v>59</v>
      </c>
      <c r="G4" s="3"/>
    </row>
    <row r="5" spans="1:12" ht="14.45">
      <c r="A5" s="3" t="s">
        <v>60</v>
      </c>
      <c r="B5" s="3" t="s">
        <v>60</v>
      </c>
      <c r="C5" s="51" t="s">
        <v>57</v>
      </c>
      <c r="D5" s="2" t="s">
        <v>61</v>
      </c>
      <c r="E5" t="s">
        <v>59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E8FFDCDA-384C-4BFE-AA6D-04D6C3B2B49D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