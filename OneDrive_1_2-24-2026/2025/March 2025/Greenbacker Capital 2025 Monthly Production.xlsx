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E55B6899-40E5-4A89-8F4B-4D313B0144A2}" xr6:coauthVersionLast="47" xr6:coauthVersionMax="47" xr10:uidLastSave="{00000000-0000-0000-0000-000000000000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30" l="1"/>
  <c r="H36" i="30"/>
  <c r="H37" i="30"/>
  <c r="H38" i="30"/>
  <c r="G35" i="30"/>
  <c r="G36" i="30"/>
  <c r="G37" i="30"/>
  <c r="G38" i="30"/>
  <c r="E35" i="30"/>
  <c r="E36" i="30"/>
  <c r="E37" i="30"/>
  <c r="E38" i="30"/>
  <c r="D35" i="30"/>
  <c r="D36" i="30"/>
  <c r="D37" i="30"/>
  <c r="D38" i="30"/>
  <c r="C35" i="30"/>
  <c r="C35" i="34" s="1"/>
  <c r="C36" i="30"/>
  <c r="C37" i="30"/>
  <c r="C38" i="30"/>
  <c r="H35" i="18"/>
  <c r="H36" i="18"/>
  <c r="H37" i="18"/>
  <c r="H38" i="18"/>
  <c r="G35" i="18"/>
  <c r="G36" i="18"/>
  <c r="G37" i="18"/>
  <c r="G38" i="18"/>
  <c r="E35" i="18"/>
  <c r="E36" i="18"/>
  <c r="E37" i="18"/>
  <c r="E38" i="18"/>
  <c r="D35" i="18"/>
  <c r="D35" i="34" s="1"/>
  <c r="D36" i="18"/>
  <c r="D37" i="18"/>
  <c r="D38" i="18"/>
  <c r="C35" i="18"/>
  <c r="C36" i="18"/>
  <c r="C37" i="18"/>
  <c r="C38" i="18"/>
  <c r="E35" i="29"/>
  <c r="E36" i="29"/>
  <c r="E37" i="29"/>
  <c r="E38" i="29"/>
  <c r="H35" i="29"/>
  <c r="H36" i="29"/>
  <c r="H36" i="34" s="1"/>
  <c r="H37" i="29"/>
  <c r="H37" i="34" s="1"/>
  <c r="H38" i="29"/>
  <c r="G35" i="29"/>
  <c r="G36" i="29"/>
  <c r="G37" i="29"/>
  <c r="G37" i="34" s="1"/>
  <c r="G38" i="29"/>
  <c r="G38" i="34" s="1"/>
  <c r="D35" i="29"/>
  <c r="D36" i="29"/>
  <c r="D37" i="29"/>
  <c r="D38" i="29"/>
  <c r="C35" i="29"/>
  <c r="C36" i="29"/>
  <c r="C37" i="29"/>
  <c r="C38" i="29"/>
  <c r="I34" i="1"/>
  <c r="I35" i="1"/>
  <c r="I36" i="1"/>
  <c r="I37" i="1"/>
  <c r="I38" i="1"/>
  <c r="H33" i="1"/>
  <c r="H34" i="1"/>
  <c r="H35" i="1"/>
  <c r="H35" i="34" s="1"/>
  <c r="H36" i="1"/>
  <c r="H37" i="1"/>
  <c r="H38" i="1"/>
  <c r="G33" i="1"/>
  <c r="G34" i="1"/>
  <c r="G35" i="1"/>
  <c r="G36" i="1"/>
  <c r="G37" i="1"/>
  <c r="G38" i="1"/>
  <c r="F32" i="1"/>
  <c r="F33" i="1"/>
  <c r="F34" i="1"/>
  <c r="F35" i="1"/>
  <c r="F36" i="1"/>
  <c r="F37" i="1"/>
  <c r="F38" i="1"/>
  <c r="E35" i="1"/>
  <c r="E36" i="1"/>
  <c r="E37" i="1"/>
  <c r="E38" i="1"/>
  <c r="D34" i="1"/>
  <c r="D35" i="1"/>
  <c r="D36" i="1"/>
  <c r="D37" i="1"/>
  <c r="D38" i="1"/>
  <c r="C35" i="1"/>
  <c r="C36" i="1"/>
  <c r="C37" i="1"/>
  <c r="C38" i="1"/>
  <c r="G35" i="34"/>
  <c r="F31" i="34"/>
  <c r="F32" i="34"/>
  <c r="F33" i="34"/>
  <c r="D36" i="34"/>
  <c r="D37" i="34"/>
  <c r="C36" i="34"/>
  <c r="C37" i="34"/>
  <c r="I39" i="4"/>
  <c r="H34" i="4"/>
  <c r="I34" i="4" s="1"/>
  <c r="H35" i="4"/>
  <c r="I35" i="4" s="1"/>
  <c r="H36" i="4"/>
  <c r="I36" i="4" s="1"/>
  <c r="H37" i="4"/>
  <c r="I37" i="4" s="1"/>
  <c r="H38" i="4"/>
  <c r="I38" i="4" s="1"/>
  <c r="E34" i="4"/>
  <c r="F34" i="4" s="1"/>
  <c r="E35" i="4"/>
  <c r="F35" i="4" s="1"/>
  <c r="E36" i="4"/>
  <c r="F36" i="4" s="1"/>
  <c r="E37" i="4"/>
  <c r="F37" i="4" s="1"/>
  <c r="E38" i="4"/>
  <c r="F38" i="4" s="1"/>
  <c r="I32" i="3"/>
  <c r="I33" i="3"/>
  <c r="I34" i="3"/>
  <c r="I35" i="3"/>
  <c r="I36" i="3"/>
  <c r="I37" i="3"/>
  <c r="I38" i="3"/>
  <c r="H34" i="3"/>
  <c r="H35" i="3"/>
  <c r="H36" i="3"/>
  <c r="H37" i="3"/>
  <c r="H38" i="3"/>
  <c r="F34" i="3"/>
  <c r="F35" i="3"/>
  <c r="F36" i="3"/>
  <c r="F37" i="3"/>
  <c r="F38" i="3"/>
  <c r="E34" i="3"/>
  <c r="E35" i="3"/>
  <c r="E36" i="3"/>
  <c r="E37" i="3"/>
  <c r="E38" i="3"/>
  <c r="I34" i="72"/>
  <c r="I36" i="72"/>
  <c r="I37" i="72"/>
  <c r="I38" i="72"/>
  <c r="F34" i="72"/>
  <c r="F36" i="72"/>
  <c r="F37" i="72"/>
  <c r="F38" i="72"/>
  <c r="E34" i="72"/>
  <c r="E35" i="72"/>
  <c r="F35" i="72" s="1"/>
  <c r="E36" i="72"/>
  <c r="E37" i="72"/>
  <c r="E38" i="72"/>
  <c r="H35" i="72"/>
  <c r="I35" i="72" s="1"/>
  <c r="I33" i="72"/>
  <c r="H33" i="72"/>
  <c r="H34" i="72"/>
  <c r="H31" i="72"/>
  <c r="F32" i="72"/>
  <c r="F33" i="72"/>
  <c r="I34" i="29"/>
  <c r="H34" i="29"/>
  <c r="G34" i="29"/>
  <c r="F34" i="29"/>
  <c r="E34" i="29"/>
  <c r="D34" i="29"/>
  <c r="C34" i="29"/>
  <c r="I34" i="18"/>
  <c r="H34" i="18"/>
  <c r="G33" i="18"/>
  <c r="G34" i="18"/>
  <c r="F34" i="18"/>
  <c r="E34" i="18"/>
  <c r="D34" i="18"/>
  <c r="C34" i="18"/>
  <c r="G34" i="34"/>
  <c r="D34" i="34"/>
  <c r="C34" i="1"/>
  <c r="I33" i="30"/>
  <c r="I34" i="30"/>
  <c r="H33" i="30"/>
  <c r="H34" i="30"/>
  <c r="G34" i="30"/>
  <c r="F34" i="30"/>
  <c r="E34" i="30"/>
  <c r="D34" i="30"/>
  <c r="C34" i="30"/>
  <c r="I23" i="3"/>
  <c r="I26" i="3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 s="1"/>
  <c r="H22" i="72"/>
  <c r="I22" i="72" s="1"/>
  <c r="E23" i="72"/>
  <c r="F23" i="72" s="1"/>
  <c r="H23" i="72"/>
  <c r="I23" i="72" s="1"/>
  <c r="E24" i="72"/>
  <c r="F24" i="72"/>
  <c r="H24" i="72"/>
  <c r="I24" i="72" s="1"/>
  <c r="E25" i="72"/>
  <c r="F25" i="72" s="1"/>
  <c r="H25" i="72"/>
  <c r="I25" i="72" s="1"/>
  <c r="E26" i="72"/>
  <c r="F26" i="72"/>
  <c r="H26" i="72"/>
  <c r="I26" i="72" s="1"/>
  <c r="E27" i="72"/>
  <c r="F27" i="72"/>
  <c r="H27" i="72"/>
  <c r="I27" i="72" s="1"/>
  <c r="E28" i="72"/>
  <c r="F28" i="72" s="1"/>
  <c r="H28" i="72"/>
  <c r="I28" i="72" s="1"/>
  <c r="E29" i="72"/>
  <c r="F29" i="72"/>
  <c r="H29" i="72"/>
  <c r="I29" i="72" s="1"/>
  <c r="E30" i="72"/>
  <c r="F30" i="72"/>
  <c r="H30" i="72"/>
  <c r="I30" i="72" s="1"/>
  <c r="E31" i="72"/>
  <c r="F31" i="72" s="1"/>
  <c r="I31" i="72"/>
  <c r="E32" i="72"/>
  <c r="H32" i="72"/>
  <c r="I32" i="72" s="1"/>
  <c r="E33" i="72"/>
  <c r="E19" i="33"/>
  <c r="F19" i="33" s="1"/>
  <c r="H19" i="33"/>
  <c r="E20" i="33"/>
  <c r="F20" i="33"/>
  <c r="H20" i="33"/>
  <c r="E21" i="33"/>
  <c r="F21" i="33"/>
  <c r="H21" i="33"/>
  <c r="E22" i="33"/>
  <c r="F22" i="33" s="1"/>
  <c r="H22" i="33"/>
  <c r="E23" i="33"/>
  <c r="F23" i="33"/>
  <c r="H23" i="33"/>
  <c r="E24" i="33"/>
  <c r="F24" i="33"/>
  <c r="H24" i="33"/>
  <c r="E25" i="33"/>
  <c r="F25" i="33" s="1"/>
  <c r="H25" i="33"/>
  <c r="E26" i="33"/>
  <c r="F26" i="33"/>
  <c r="H26" i="33"/>
  <c r="E27" i="33"/>
  <c r="F27" i="33"/>
  <c r="H27" i="33"/>
  <c r="E28" i="33"/>
  <c r="F28" i="33" s="1"/>
  <c r="H28" i="33"/>
  <c r="E29" i="33"/>
  <c r="F29" i="33"/>
  <c r="H29" i="33"/>
  <c r="E30" i="33"/>
  <c r="F30" i="33"/>
  <c r="H30" i="33"/>
  <c r="E31" i="33"/>
  <c r="F31" i="33" s="1"/>
  <c r="H31" i="33"/>
  <c r="E32" i="33"/>
  <c r="F32" i="33"/>
  <c r="H32" i="33"/>
  <c r="E33" i="33"/>
  <c r="F33" i="33"/>
  <c r="H33" i="33"/>
  <c r="I33" i="33"/>
  <c r="E19" i="32"/>
  <c r="F19" i="32" s="1"/>
  <c r="H19" i="32"/>
  <c r="E20" i="32"/>
  <c r="F20" i="32"/>
  <c r="H20" i="32"/>
  <c r="E21" i="32"/>
  <c r="F21" i="32"/>
  <c r="H21" i="32"/>
  <c r="E22" i="32"/>
  <c r="F22" i="32" s="1"/>
  <c r="H22" i="32"/>
  <c r="E23" i="32"/>
  <c r="F23" i="32"/>
  <c r="H23" i="32"/>
  <c r="E24" i="32"/>
  <c r="F24" i="32"/>
  <c r="H24" i="32"/>
  <c r="E25" i="32"/>
  <c r="F25" i="32" s="1"/>
  <c r="H25" i="32"/>
  <c r="E26" i="32"/>
  <c r="F26" i="32"/>
  <c r="H26" i="32"/>
  <c r="E27" i="32"/>
  <c r="F27" i="32"/>
  <c r="H27" i="32"/>
  <c r="E28" i="32"/>
  <c r="F28" i="32" s="1"/>
  <c r="H28" i="32"/>
  <c r="E29" i="32"/>
  <c r="F29" i="32"/>
  <c r="H29" i="32"/>
  <c r="E30" i="32"/>
  <c r="F30" i="32"/>
  <c r="H30" i="32"/>
  <c r="E31" i="32"/>
  <c r="F31" i="32" s="1"/>
  <c r="H31" i="32"/>
  <c r="E32" i="32"/>
  <c r="F32" i="32"/>
  <c r="H32" i="32"/>
  <c r="E33" i="32"/>
  <c r="F33" i="32"/>
  <c r="H33" i="32"/>
  <c r="I33" i="32"/>
  <c r="E19" i="31"/>
  <c r="F19" i="31" s="1"/>
  <c r="H19" i="31"/>
  <c r="E20" i="31"/>
  <c r="F20" i="31"/>
  <c r="H20" i="31"/>
  <c r="E21" i="31"/>
  <c r="F21" i="31"/>
  <c r="H21" i="31"/>
  <c r="E22" i="31"/>
  <c r="F22" i="31" s="1"/>
  <c r="H22" i="31"/>
  <c r="E23" i="31"/>
  <c r="F23" i="31"/>
  <c r="H23" i="31"/>
  <c r="E24" i="31"/>
  <c r="F24" i="31"/>
  <c r="H24" i="31"/>
  <c r="E25" i="31"/>
  <c r="F25" i="31" s="1"/>
  <c r="H25" i="31"/>
  <c r="E26" i="31"/>
  <c r="F26" i="31"/>
  <c r="H26" i="31"/>
  <c r="E27" i="31"/>
  <c r="F27" i="31"/>
  <c r="H27" i="31"/>
  <c r="E28" i="31"/>
  <c r="F28" i="31" s="1"/>
  <c r="H28" i="31"/>
  <c r="E29" i="31"/>
  <c r="F29" i="31"/>
  <c r="H29" i="31"/>
  <c r="E30" i="31"/>
  <c r="F30" i="31"/>
  <c r="H30" i="31"/>
  <c r="E31" i="31"/>
  <c r="F31" i="31" s="1"/>
  <c r="H31" i="31"/>
  <c r="E32" i="31"/>
  <c r="F32" i="31"/>
  <c r="H32" i="31"/>
  <c r="E33" i="31"/>
  <c r="F33" i="31"/>
  <c r="H33" i="31"/>
  <c r="I33" i="31"/>
  <c r="E19" i="28"/>
  <c r="F19" i="28" s="1"/>
  <c r="H19" i="28"/>
  <c r="E20" i="28"/>
  <c r="F20" i="28"/>
  <c r="H20" i="28"/>
  <c r="E21" i="28"/>
  <c r="F21" i="28"/>
  <c r="H21" i="28"/>
  <c r="E22" i="28"/>
  <c r="F22" i="28" s="1"/>
  <c r="H22" i="28"/>
  <c r="E23" i="28"/>
  <c r="F23" i="28"/>
  <c r="H23" i="28"/>
  <c r="E24" i="28"/>
  <c r="F24" i="28"/>
  <c r="H24" i="28"/>
  <c r="E25" i="28"/>
  <c r="F25" i="28" s="1"/>
  <c r="H25" i="28"/>
  <c r="E26" i="28"/>
  <c r="F26" i="28"/>
  <c r="H26" i="28"/>
  <c r="E27" i="28"/>
  <c r="F27" i="28"/>
  <c r="E28" i="28"/>
  <c r="F28" i="28" s="1"/>
  <c r="H28" i="28"/>
  <c r="E29" i="28"/>
  <c r="F29" i="28"/>
  <c r="H29" i="28"/>
  <c r="E30" i="28"/>
  <c r="F30" i="28"/>
  <c r="H30" i="28"/>
  <c r="E31" i="28"/>
  <c r="F31" i="28" s="1"/>
  <c r="H31" i="28"/>
  <c r="E32" i="28"/>
  <c r="F32" i="28"/>
  <c r="H32" i="28"/>
  <c r="E33" i="28"/>
  <c r="F33" i="28"/>
  <c r="H33" i="28"/>
  <c r="I33" i="28"/>
  <c r="E19" i="27"/>
  <c r="F19" i="27" s="1"/>
  <c r="H19" i="27"/>
  <c r="E20" i="27"/>
  <c r="F20" i="27"/>
  <c r="H20" i="27"/>
  <c r="E21" i="27"/>
  <c r="F21" i="27"/>
  <c r="H21" i="27"/>
  <c r="E22" i="27"/>
  <c r="F22" i="27" s="1"/>
  <c r="H22" i="27"/>
  <c r="E23" i="27"/>
  <c r="F23" i="27"/>
  <c r="H23" i="27"/>
  <c r="E24" i="27"/>
  <c r="F24" i="27"/>
  <c r="H24" i="27"/>
  <c r="E25" i="27"/>
  <c r="F25" i="27" s="1"/>
  <c r="H25" i="27"/>
  <c r="E26" i="27"/>
  <c r="F26" i="27"/>
  <c r="H26" i="27"/>
  <c r="E27" i="27"/>
  <c r="F27" i="27"/>
  <c r="E28" i="27"/>
  <c r="F28" i="27"/>
  <c r="H28" i="27"/>
  <c r="E29" i="27"/>
  <c r="F29" i="27" s="1"/>
  <c r="H29" i="27"/>
  <c r="E30" i="27"/>
  <c r="F30" i="27"/>
  <c r="H30" i="27"/>
  <c r="E31" i="27"/>
  <c r="F31" i="27"/>
  <c r="H31" i="27"/>
  <c r="E32" i="27"/>
  <c r="F32" i="27" s="1"/>
  <c r="H32" i="27"/>
  <c r="E33" i="27"/>
  <c r="F33" i="27"/>
  <c r="H33" i="27"/>
  <c r="I33" i="27"/>
  <c r="E19" i="26"/>
  <c r="F19" i="26"/>
  <c r="H19" i="26"/>
  <c r="E20" i="26"/>
  <c r="F20" i="26" s="1"/>
  <c r="H20" i="26"/>
  <c r="E21" i="26"/>
  <c r="F21" i="26"/>
  <c r="H21" i="26"/>
  <c r="E22" i="26"/>
  <c r="F22" i="26"/>
  <c r="H22" i="26"/>
  <c r="E23" i="26"/>
  <c r="F23" i="26" s="1"/>
  <c r="H23" i="26"/>
  <c r="E24" i="26"/>
  <c r="F24" i="26"/>
  <c r="H24" i="26"/>
  <c r="E25" i="26"/>
  <c r="F25" i="26"/>
  <c r="H25" i="26"/>
  <c r="E26" i="26"/>
  <c r="F26" i="26" s="1"/>
  <c r="H26" i="26"/>
  <c r="E27" i="26"/>
  <c r="F27" i="26"/>
  <c r="H27" i="26"/>
  <c r="E28" i="26"/>
  <c r="F28" i="26"/>
  <c r="H28" i="26"/>
  <c r="E29" i="26"/>
  <c r="F29" i="26" s="1"/>
  <c r="H29" i="26"/>
  <c r="E30" i="26"/>
  <c r="F30" i="26"/>
  <c r="H30" i="26"/>
  <c r="E31" i="26"/>
  <c r="F31" i="26"/>
  <c r="H31" i="26"/>
  <c r="E32" i="26"/>
  <c r="F32" i="26" s="1"/>
  <c r="H32" i="26"/>
  <c r="E33" i="26"/>
  <c r="F33" i="26"/>
  <c r="H33" i="26"/>
  <c r="I33" i="26"/>
  <c r="E19" i="19"/>
  <c r="F19" i="19"/>
  <c r="H19" i="19"/>
  <c r="E20" i="19"/>
  <c r="F20" i="19" s="1"/>
  <c r="H20" i="19"/>
  <c r="E21" i="19"/>
  <c r="F21" i="19"/>
  <c r="H21" i="19"/>
  <c r="E22" i="19"/>
  <c r="F22" i="19"/>
  <c r="H22" i="19"/>
  <c r="E23" i="19"/>
  <c r="F23" i="19" s="1"/>
  <c r="H23" i="19"/>
  <c r="E24" i="19"/>
  <c r="F24" i="19"/>
  <c r="H24" i="19"/>
  <c r="E25" i="19"/>
  <c r="F25" i="19"/>
  <c r="H25" i="19"/>
  <c r="E26" i="19"/>
  <c r="F26" i="19" s="1"/>
  <c r="H26" i="19"/>
  <c r="E27" i="19"/>
  <c r="F27" i="19"/>
  <c r="H27" i="19"/>
  <c r="E28" i="19"/>
  <c r="F28" i="19"/>
  <c r="H28" i="19"/>
  <c r="E29" i="19"/>
  <c r="F29" i="19" s="1"/>
  <c r="H29" i="19"/>
  <c r="E30" i="19"/>
  <c r="F30" i="19"/>
  <c r="H30" i="19"/>
  <c r="E31" i="19"/>
  <c r="F31" i="19"/>
  <c r="H31" i="19"/>
  <c r="E32" i="19"/>
  <c r="F32" i="19" s="1"/>
  <c r="H32" i="19"/>
  <c r="E33" i="19"/>
  <c r="F33" i="19"/>
  <c r="H33" i="19"/>
  <c r="I33" i="19"/>
  <c r="E19" i="20"/>
  <c r="F19" i="20"/>
  <c r="H19" i="20"/>
  <c r="E20" i="20"/>
  <c r="F20" i="20" s="1"/>
  <c r="H20" i="20"/>
  <c r="E21" i="20"/>
  <c r="F21" i="20"/>
  <c r="H21" i="20"/>
  <c r="E22" i="20"/>
  <c r="F22" i="20"/>
  <c r="H22" i="20"/>
  <c r="E23" i="20"/>
  <c r="F23" i="20" s="1"/>
  <c r="H23" i="20"/>
  <c r="E24" i="20"/>
  <c r="F24" i="20"/>
  <c r="H24" i="20"/>
  <c r="E25" i="20"/>
  <c r="F25" i="20"/>
  <c r="H25" i="20"/>
  <c r="E26" i="20"/>
  <c r="F26" i="20" s="1"/>
  <c r="H26" i="20"/>
  <c r="E27" i="20"/>
  <c r="F27" i="20"/>
  <c r="H27" i="20"/>
  <c r="E28" i="20"/>
  <c r="F28" i="20"/>
  <c r="H28" i="20"/>
  <c r="E29" i="20"/>
  <c r="F29" i="20" s="1"/>
  <c r="H29" i="20"/>
  <c r="E30" i="20"/>
  <c r="F30" i="20"/>
  <c r="H30" i="20"/>
  <c r="E31" i="20"/>
  <c r="F31" i="20"/>
  <c r="H31" i="20"/>
  <c r="E32" i="20"/>
  <c r="F32" i="20" s="1"/>
  <c r="H32" i="20"/>
  <c r="E33" i="20"/>
  <c r="F33" i="20"/>
  <c r="H33" i="20"/>
  <c r="I33" i="20"/>
  <c r="E19" i="21"/>
  <c r="F19" i="21"/>
  <c r="H19" i="21"/>
  <c r="E20" i="21"/>
  <c r="F20" i="21" s="1"/>
  <c r="H20" i="21"/>
  <c r="E21" i="21"/>
  <c r="F21" i="21"/>
  <c r="H21" i="21"/>
  <c r="E22" i="21"/>
  <c r="F22" i="21"/>
  <c r="H22" i="21"/>
  <c r="E23" i="21"/>
  <c r="F23" i="21" s="1"/>
  <c r="H23" i="21"/>
  <c r="E24" i="21"/>
  <c r="F24" i="21"/>
  <c r="H24" i="21"/>
  <c r="E25" i="21"/>
  <c r="F25" i="21"/>
  <c r="H25" i="21"/>
  <c r="E26" i="21"/>
  <c r="F26" i="21" s="1"/>
  <c r="H26" i="21"/>
  <c r="E27" i="21"/>
  <c r="F27" i="21"/>
  <c r="H27" i="21"/>
  <c r="E28" i="21"/>
  <c r="F28" i="21"/>
  <c r="H28" i="21"/>
  <c r="E29" i="21"/>
  <c r="F29" i="21" s="1"/>
  <c r="H29" i="21"/>
  <c r="E30" i="21"/>
  <c r="F30" i="21"/>
  <c r="H30" i="21"/>
  <c r="E31" i="21"/>
  <c r="F31" i="21"/>
  <c r="H31" i="21"/>
  <c r="E32" i="21"/>
  <c r="F32" i="21" s="1"/>
  <c r="H32" i="21"/>
  <c r="E33" i="21"/>
  <c r="F33" i="21"/>
  <c r="H33" i="21"/>
  <c r="I33" i="21"/>
  <c r="E19" i="4"/>
  <c r="F19" i="4" s="1"/>
  <c r="H19" i="4"/>
  <c r="I19" i="4" s="1"/>
  <c r="E20" i="4"/>
  <c r="F20" i="4" s="1"/>
  <c r="H20" i="4"/>
  <c r="I20" i="4" s="1"/>
  <c r="E21" i="4"/>
  <c r="F21" i="4"/>
  <c r="H21" i="4"/>
  <c r="I21" i="4" s="1"/>
  <c r="E22" i="4"/>
  <c r="F22" i="4"/>
  <c r="H22" i="4"/>
  <c r="I22" i="4" s="1"/>
  <c r="E23" i="4"/>
  <c r="F23" i="4" s="1"/>
  <c r="H23" i="4"/>
  <c r="I23" i="4" s="1"/>
  <c r="E24" i="4"/>
  <c r="F24" i="4"/>
  <c r="H24" i="4"/>
  <c r="I24" i="4" s="1"/>
  <c r="E25" i="4"/>
  <c r="F25" i="4" s="1"/>
  <c r="H25" i="4"/>
  <c r="I25" i="4" s="1"/>
  <c r="E26" i="4"/>
  <c r="F26" i="4" s="1"/>
  <c r="H26" i="4"/>
  <c r="I26" i="4" s="1"/>
  <c r="E27" i="4"/>
  <c r="F27" i="4"/>
  <c r="H27" i="4"/>
  <c r="I27" i="4" s="1"/>
  <c r="E28" i="4"/>
  <c r="F28" i="4"/>
  <c r="H28" i="4"/>
  <c r="I28" i="4" s="1"/>
  <c r="E29" i="4"/>
  <c r="F29" i="4" s="1"/>
  <c r="H29" i="4"/>
  <c r="I29" i="4" s="1"/>
  <c r="E30" i="4"/>
  <c r="F30" i="4"/>
  <c r="H30" i="4"/>
  <c r="I30" i="4" s="1"/>
  <c r="E31" i="4"/>
  <c r="F31" i="4" s="1"/>
  <c r="H31" i="4"/>
  <c r="I31" i="4" s="1"/>
  <c r="E32" i="4"/>
  <c r="F32" i="4" s="1"/>
  <c r="H32" i="4"/>
  <c r="I32" i="4" s="1"/>
  <c r="E33" i="4"/>
  <c r="F33" i="4"/>
  <c r="H33" i="4"/>
  <c r="I33" i="4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26" i="3"/>
  <c r="F26" i="3" s="1"/>
  <c r="H26" i="3"/>
  <c r="E27" i="3"/>
  <c r="F27" i="3"/>
  <c r="H27" i="3"/>
  <c r="I27" i="3" s="1"/>
  <c r="E28" i="3"/>
  <c r="F28" i="3"/>
  <c r="H28" i="3"/>
  <c r="I28" i="3" s="1"/>
  <c r="E29" i="3"/>
  <c r="F29" i="3" s="1"/>
  <c r="H29" i="3"/>
  <c r="I29" i="3" s="1"/>
  <c r="E30" i="3"/>
  <c r="F30" i="3"/>
  <c r="H30" i="3"/>
  <c r="I30" i="3" s="1"/>
  <c r="E31" i="3"/>
  <c r="F31" i="3" s="1"/>
  <c r="H31" i="3"/>
  <c r="I31" i="3" s="1"/>
  <c r="E32" i="3"/>
  <c r="F32" i="3" s="1"/>
  <c r="H32" i="3"/>
  <c r="E33" i="3"/>
  <c r="F33" i="3"/>
  <c r="H33" i="3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5" i="30"/>
  <c r="G4" i="30"/>
  <c r="D26" i="30"/>
  <c r="D27" i="30"/>
  <c r="D28" i="30"/>
  <c r="D29" i="30"/>
  <c r="D30" i="30"/>
  <c r="D31" i="30"/>
  <c r="D32" i="30"/>
  <c r="D33" i="30"/>
  <c r="C26" i="30"/>
  <c r="C27" i="30"/>
  <c r="C28" i="30"/>
  <c r="C29" i="30"/>
  <c r="C30" i="30"/>
  <c r="C31" i="30"/>
  <c r="C32" i="30"/>
  <c r="C33" i="30"/>
  <c r="G33" i="29"/>
  <c r="E31" i="29"/>
  <c r="F31" i="29" s="1"/>
  <c r="E33" i="29"/>
  <c r="F33" i="29" s="1"/>
  <c r="D26" i="29"/>
  <c r="D27" i="29"/>
  <c r="D28" i="29"/>
  <c r="D29" i="29"/>
  <c r="D30" i="29"/>
  <c r="D31" i="29"/>
  <c r="D32" i="29"/>
  <c r="D33" i="29"/>
  <c r="C26" i="29"/>
  <c r="E26" i="29" s="1"/>
  <c r="F26" i="29" s="1"/>
  <c r="C27" i="29"/>
  <c r="E27" i="29" s="1"/>
  <c r="F27" i="29" s="1"/>
  <c r="C28" i="29"/>
  <c r="E28" i="29" s="1"/>
  <c r="F28" i="29" s="1"/>
  <c r="C29" i="29"/>
  <c r="E29" i="29" s="1"/>
  <c r="F29" i="29" s="1"/>
  <c r="C30" i="29"/>
  <c r="C31" i="29"/>
  <c r="C32" i="29"/>
  <c r="E32" i="29" s="1"/>
  <c r="F32" i="29" s="1"/>
  <c r="C33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4" i="29"/>
  <c r="H27" i="29"/>
  <c r="I27" i="29" s="1"/>
  <c r="D1" i="26"/>
  <c r="H38" i="34" l="1"/>
  <c r="I38" i="34" s="1"/>
  <c r="G36" i="34"/>
  <c r="I36" i="34" s="1"/>
  <c r="D38" i="34"/>
  <c r="C38" i="34"/>
  <c r="E38" i="34" s="1"/>
  <c r="F38" i="34" s="1"/>
  <c r="I37" i="34"/>
  <c r="I35" i="34"/>
  <c r="E37" i="34"/>
  <c r="F37" i="34" s="1"/>
  <c r="E35" i="34"/>
  <c r="F35" i="34" s="1"/>
  <c r="E36" i="34"/>
  <c r="F36" i="34" s="1"/>
  <c r="C34" i="34"/>
  <c r="E34" i="34" s="1"/>
  <c r="F34" i="34" s="1"/>
  <c r="E34" i="1"/>
  <c r="H34" i="34"/>
  <c r="I34" i="34" s="1"/>
  <c r="E30" i="29"/>
  <c r="F30" i="29" s="1"/>
  <c r="E32" i="30"/>
  <c r="F32" i="30" s="1"/>
  <c r="E31" i="30"/>
  <c r="F31" i="30" s="1"/>
  <c r="E30" i="30"/>
  <c r="F30" i="30" s="1"/>
  <c r="E29" i="30"/>
  <c r="F29" i="30" s="1"/>
  <c r="E28" i="30"/>
  <c r="F28" i="30" s="1"/>
  <c r="E27" i="30"/>
  <c r="F27" i="30" s="1"/>
  <c r="E26" i="30"/>
  <c r="F26" i="30" s="1"/>
  <c r="E33" i="30"/>
  <c r="F33" i="30" s="1"/>
  <c r="E10" i="27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4" i="18"/>
  <c r="E4" i="20"/>
  <c r="E10" i="21"/>
  <c r="E11" i="21"/>
  <c r="E12" i="21"/>
  <c r="E13" i="21"/>
  <c r="E14" i="21"/>
  <c r="E7" i="21"/>
  <c r="F7" i="21" s="1"/>
  <c r="D26" i="18"/>
  <c r="D27" i="18"/>
  <c r="D28" i="18"/>
  <c r="D29" i="18"/>
  <c r="D30" i="18"/>
  <c r="D31" i="18"/>
  <c r="D32" i="18"/>
  <c r="D33" i="18"/>
  <c r="C26" i="18"/>
  <c r="C27" i="18"/>
  <c r="C28" i="18"/>
  <c r="C29" i="18"/>
  <c r="C30" i="18"/>
  <c r="C31" i="18"/>
  <c r="C32" i="18"/>
  <c r="C33" i="18"/>
  <c r="D33" i="1"/>
  <c r="G26" i="1"/>
  <c r="G27" i="1"/>
  <c r="G28" i="1"/>
  <c r="G29" i="1"/>
  <c r="G30" i="1"/>
  <c r="G31" i="1"/>
  <c r="G32" i="1"/>
  <c r="G32" i="34" s="1"/>
  <c r="G33" i="34"/>
  <c r="C26" i="1"/>
  <c r="C26" i="34" s="1"/>
  <c r="C27" i="1"/>
  <c r="C28" i="1"/>
  <c r="C29" i="1"/>
  <c r="C30" i="1"/>
  <c r="C31" i="1"/>
  <c r="C32" i="1"/>
  <c r="C32" i="34" s="1"/>
  <c r="C33" i="1"/>
  <c r="C33" i="34" s="1"/>
  <c r="D26" i="1"/>
  <c r="D27" i="1"/>
  <c r="D28" i="1"/>
  <c r="D29" i="1"/>
  <c r="E29" i="1" s="1"/>
  <c r="F29" i="1" s="1"/>
  <c r="D30" i="1"/>
  <c r="E30" i="1" s="1"/>
  <c r="F30" i="1" s="1"/>
  <c r="D31" i="1"/>
  <c r="D32" i="1"/>
  <c r="D32" i="34" s="1"/>
  <c r="D25" i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H17" i="3"/>
  <c r="E32" i="34" l="1"/>
  <c r="D26" i="34"/>
  <c r="D27" i="34"/>
  <c r="G30" i="34"/>
  <c r="G29" i="34"/>
  <c r="G28" i="34"/>
  <c r="C31" i="34"/>
  <c r="C30" i="34"/>
  <c r="E30" i="34" s="1"/>
  <c r="F30" i="34" s="1"/>
  <c r="C29" i="34"/>
  <c r="D33" i="34"/>
  <c r="E33" i="34" s="1"/>
  <c r="C28" i="34"/>
  <c r="D31" i="34"/>
  <c r="C27" i="34"/>
  <c r="E32" i="18"/>
  <c r="F32" i="18" s="1"/>
  <c r="D28" i="34"/>
  <c r="E26" i="34"/>
  <c r="F26" i="34" s="1"/>
  <c r="D30" i="34"/>
  <c r="G31" i="34"/>
  <c r="E33" i="1"/>
  <c r="E26" i="18"/>
  <c r="F26" i="18" s="1"/>
  <c r="G27" i="34"/>
  <c r="G26" i="34"/>
  <c r="D29" i="34"/>
  <c r="E29" i="34" s="1"/>
  <c r="F29" i="34" s="1"/>
  <c r="E33" i="18"/>
  <c r="F33" i="18" s="1"/>
  <c r="E30" i="18"/>
  <c r="F30" i="18" s="1"/>
  <c r="E29" i="18"/>
  <c r="F29" i="18" s="1"/>
  <c r="E28" i="18"/>
  <c r="F28" i="18" s="1"/>
  <c r="E27" i="18"/>
  <c r="F27" i="18" s="1"/>
  <c r="E31" i="18"/>
  <c r="F31" i="18" s="1"/>
  <c r="E32" i="1"/>
  <c r="E31" i="1"/>
  <c r="F31" i="1" s="1"/>
  <c r="E26" i="1"/>
  <c r="F26" i="1" s="1"/>
  <c r="E28" i="1"/>
  <c r="F28" i="1" s="1"/>
  <c r="E27" i="1"/>
  <c r="F27" i="1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28" i="34" l="1"/>
  <c r="F28" i="34" s="1"/>
  <c r="E31" i="34"/>
  <c r="E27" i="34"/>
  <c r="F27" i="34" s="1"/>
  <c r="I10" i="19"/>
  <c r="I11" i="26"/>
  <c r="I12" i="26"/>
  <c r="I9" i="28"/>
  <c r="I13" i="28"/>
  <c r="I14" i="28"/>
  <c r="I16" i="3"/>
  <c r="I17" i="3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8" i="20"/>
  <c r="I8" i="20" s="1"/>
  <c r="H9" i="20"/>
  <c r="I9" i="20" s="1"/>
  <c r="H10" i="20"/>
  <c r="I10" i="20" s="1"/>
  <c r="H11" i="20"/>
  <c r="I11" i="20" s="1"/>
  <c r="H12" i="20"/>
  <c r="I12" i="20" s="1"/>
  <c r="H13" i="20"/>
  <c r="I13" i="20" s="1"/>
  <c r="H14" i="20"/>
  <c r="I14" i="20" s="1"/>
  <c r="H15" i="20"/>
  <c r="I15" i="20" s="1"/>
  <c r="H16" i="20"/>
  <c r="I16" i="20" s="1"/>
  <c r="H17" i="20"/>
  <c r="I17" i="20" s="1"/>
  <c r="H18" i="20"/>
  <c r="I18" i="20" s="1"/>
  <c r="H8" i="21"/>
  <c r="I8" i="21" s="1"/>
  <c r="H9" i="21"/>
  <c r="I9" i="21" s="1"/>
  <c r="H10" i="21"/>
  <c r="I10" i="21" s="1"/>
  <c r="H11" i="21"/>
  <c r="I11" i="21" s="1"/>
  <c r="H12" i="21"/>
  <c r="I12" i="21" s="1"/>
  <c r="H13" i="21"/>
  <c r="I13" i="21" s="1"/>
  <c r="H14" i="21"/>
  <c r="I14" i="21" s="1"/>
  <c r="H15" i="21"/>
  <c r="I15" i="21" s="1"/>
  <c r="H16" i="21"/>
  <c r="I16" i="21" s="1"/>
  <c r="H17" i="21"/>
  <c r="I17" i="21" s="1"/>
  <c r="H18" i="21"/>
  <c r="I18" i="21" s="1"/>
  <c r="H8" i="19"/>
  <c r="I8" i="19" s="1"/>
  <c r="H9" i="19"/>
  <c r="I9" i="19" s="1"/>
  <c r="H10" i="19"/>
  <c r="H11" i="19"/>
  <c r="I11" i="19" s="1"/>
  <c r="H12" i="19"/>
  <c r="I12" i="19" s="1"/>
  <c r="H13" i="19"/>
  <c r="I13" i="19" s="1"/>
  <c r="H14" i="19"/>
  <c r="I14" i="19" s="1"/>
  <c r="H15" i="19"/>
  <c r="I15" i="19" s="1"/>
  <c r="H16" i="19"/>
  <c r="I16" i="19" s="1"/>
  <c r="H17" i="19"/>
  <c r="I17" i="19" s="1"/>
  <c r="H18" i="19"/>
  <c r="I18" i="19" s="1"/>
  <c r="H8" i="26"/>
  <c r="I8" i="26" s="1"/>
  <c r="H9" i="26"/>
  <c r="I9" i="26" s="1"/>
  <c r="H10" i="26"/>
  <c r="I10" i="26" s="1"/>
  <c r="H11" i="26"/>
  <c r="H12" i="26"/>
  <c r="H13" i="26"/>
  <c r="I13" i="26" s="1"/>
  <c r="H14" i="26"/>
  <c r="I14" i="26" s="1"/>
  <c r="H15" i="26"/>
  <c r="I15" i="26" s="1"/>
  <c r="H16" i="26"/>
  <c r="I16" i="26" s="1"/>
  <c r="H17" i="26"/>
  <c r="I17" i="26" s="1"/>
  <c r="H18" i="26"/>
  <c r="I18" i="26" s="1"/>
  <c r="H8" i="27"/>
  <c r="I8" i="27" s="1"/>
  <c r="H9" i="27"/>
  <c r="I9" i="27" s="1"/>
  <c r="H10" i="27"/>
  <c r="I10" i="27" s="1"/>
  <c r="H11" i="27"/>
  <c r="I11" i="27" s="1"/>
  <c r="H12" i="27"/>
  <c r="I12" i="27" s="1"/>
  <c r="H13" i="27"/>
  <c r="I13" i="27" s="1"/>
  <c r="H14" i="27"/>
  <c r="I14" i="27" s="1"/>
  <c r="H15" i="27"/>
  <c r="I15" i="27" s="1"/>
  <c r="H16" i="27"/>
  <c r="I16" i="27" s="1"/>
  <c r="H17" i="27"/>
  <c r="I17" i="27" s="1"/>
  <c r="H18" i="27"/>
  <c r="I18" i="27" s="1"/>
  <c r="H8" i="28"/>
  <c r="I8" i="28" s="1"/>
  <c r="H9" i="28"/>
  <c r="H10" i="28"/>
  <c r="I10" i="28" s="1"/>
  <c r="H11" i="28"/>
  <c r="I11" i="28" s="1"/>
  <c r="H12" i="28"/>
  <c r="I12" i="28" s="1"/>
  <c r="H13" i="28"/>
  <c r="H14" i="28"/>
  <c r="H15" i="28"/>
  <c r="I15" i="28" s="1"/>
  <c r="H16" i="28"/>
  <c r="I16" i="28" s="1"/>
  <c r="H17" i="28"/>
  <c r="I17" i="28" s="1"/>
  <c r="H18" i="28"/>
  <c r="I18" i="28" s="1"/>
  <c r="H8" i="31"/>
  <c r="I8" i="31" s="1"/>
  <c r="H9" i="31"/>
  <c r="I9" i="31" s="1"/>
  <c r="H10" i="31"/>
  <c r="I10" i="31" s="1"/>
  <c r="H11" i="31"/>
  <c r="I11" i="31" s="1"/>
  <c r="H12" i="31"/>
  <c r="I12" i="31" s="1"/>
  <c r="H13" i="31"/>
  <c r="I13" i="31" s="1"/>
  <c r="H14" i="31"/>
  <c r="I14" i="31" s="1"/>
  <c r="H15" i="31"/>
  <c r="I15" i="31" s="1"/>
  <c r="H16" i="31"/>
  <c r="I16" i="31" s="1"/>
  <c r="H17" i="31"/>
  <c r="I17" i="31" s="1"/>
  <c r="H18" i="31"/>
  <c r="I18" i="31" s="1"/>
  <c r="H8" i="32"/>
  <c r="I8" i="32" s="1"/>
  <c r="H9" i="32"/>
  <c r="I9" i="32" s="1"/>
  <c r="H10" i="32"/>
  <c r="I10" i="32" s="1"/>
  <c r="H11" i="32"/>
  <c r="I11" i="32" s="1"/>
  <c r="H12" i="32"/>
  <c r="I12" i="32" s="1"/>
  <c r="H13" i="32"/>
  <c r="I13" i="32" s="1"/>
  <c r="H14" i="32"/>
  <c r="I14" i="32" s="1"/>
  <c r="H15" i="32"/>
  <c r="I15" i="32" s="1"/>
  <c r="H16" i="32"/>
  <c r="I16" i="32" s="1"/>
  <c r="H17" i="32"/>
  <c r="I17" i="32" s="1"/>
  <c r="H18" i="32"/>
  <c r="I18" i="32" s="1"/>
  <c r="H8" i="33"/>
  <c r="I8" i="33" s="1"/>
  <c r="H9" i="33"/>
  <c r="I9" i="33" s="1"/>
  <c r="H10" i="33"/>
  <c r="I10" i="33" s="1"/>
  <c r="H11" i="33"/>
  <c r="I11" i="33" s="1"/>
  <c r="H12" i="33"/>
  <c r="I12" i="33" s="1"/>
  <c r="H13" i="33"/>
  <c r="I13" i="33" s="1"/>
  <c r="H14" i="33"/>
  <c r="I14" i="33" s="1"/>
  <c r="H15" i="33"/>
  <c r="I15" i="33" s="1"/>
  <c r="H16" i="33"/>
  <c r="I16" i="33" s="1"/>
  <c r="H17" i="33"/>
  <c r="I17" i="33" s="1"/>
  <c r="H18" i="33"/>
  <c r="I18" i="33" s="1"/>
  <c r="H34" i="33"/>
  <c r="I34" i="33" s="1"/>
  <c r="H18" i="3"/>
  <c r="I18" i="3" s="1"/>
  <c r="F12" i="20"/>
  <c r="F13" i="20"/>
  <c r="F11" i="21"/>
  <c r="F12" i="21"/>
  <c r="F13" i="21"/>
  <c r="F14" i="21"/>
  <c r="F12" i="19"/>
  <c r="F11" i="27"/>
  <c r="F14" i="27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1" i="20"/>
  <c r="F11" i="20" s="1"/>
  <c r="E12" i="20"/>
  <c r="E13" i="20"/>
  <c r="E14" i="20"/>
  <c r="F14" i="20" s="1"/>
  <c r="E15" i="20"/>
  <c r="F15" i="20" s="1"/>
  <c r="E16" i="20"/>
  <c r="F16" i="20" s="1"/>
  <c r="E17" i="20"/>
  <c r="F17" i="20" s="1"/>
  <c r="E18" i="20"/>
  <c r="F18" i="20" s="1"/>
  <c r="E15" i="21"/>
  <c r="F15" i="21" s="1"/>
  <c r="E16" i="21"/>
  <c r="F16" i="21" s="1"/>
  <c r="E17" i="21"/>
  <c r="F17" i="21" s="1"/>
  <c r="E18" i="21"/>
  <c r="F18" i="21" s="1"/>
  <c r="E11" i="19"/>
  <c r="F11" i="19" s="1"/>
  <c r="E12" i="19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F18" i="19" s="1"/>
  <c r="E11" i="26"/>
  <c r="F11" i="26" s="1"/>
  <c r="E12" i="26"/>
  <c r="F12" i="26" s="1"/>
  <c r="E13" i="26"/>
  <c r="F13" i="26" s="1"/>
  <c r="E14" i="26"/>
  <c r="F14" i="26" s="1"/>
  <c r="E15" i="26"/>
  <c r="F15" i="26" s="1"/>
  <c r="E16" i="26"/>
  <c r="F16" i="26" s="1"/>
  <c r="E17" i="26"/>
  <c r="F17" i="26" s="1"/>
  <c r="E18" i="26"/>
  <c r="F18" i="26" s="1"/>
  <c r="E11" i="27"/>
  <c r="E12" i="27"/>
  <c r="F12" i="27" s="1"/>
  <c r="E13" i="27"/>
  <c r="F13" i="27" s="1"/>
  <c r="E14" i="27"/>
  <c r="E15" i="27"/>
  <c r="F15" i="27" s="1"/>
  <c r="E16" i="27"/>
  <c r="F16" i="27" s="1"/>
  <c r="E17" i="27"/>
  <c r="F17" i="27" s="1"/>
  <c r="E18" i="27"/>
  <c r="F18" i="27" s="1"/>
  <c r="E11" i="28"/>
  <c r="F11" i="28" s="1"/>
  <c r="E12" i="28"/>
  <c r="F12" i="28" s="1"/>
  <c r="E13" i="28"/>
  <c r="F13" i="28" s="1"/>
  <c r="E14" i="28"/>
  <c r="F14" i="28" s="1"/>
  <c r="E15" i="28"/>
  <c r="F15" i="28" s="1"/>
  <c r="E16" i="28"/>
  <c r="F16" i="28" s="1"/>
  <c r="E17" i="28"/>
  <c r="F17" i="28" s="1"/>
  <c r="E18" i="28"/>
  <c r="F18" i="28" s="1"/>
  <c r="E11" i="31"/>
  <c r="F11" i="31" s="1"/>
  <c r="E12" i="31"/>
  <c r="F12" i="31" s="1"/>
  <c r="E13" i="31"/>
  <c r="F13" i="31" s="1"/>
  <c r="E14" i="31"/>
  <c r="F14" i="31" s="1"/>
  <c r="E15" i="31"/>
  <c r="F15" i="31" s="1"/>
  <c r="E16" i="31"/>
  <c r="F16" i="31" s="1"/>
  <c r="E17" i="31"/>
  <c r="F17" i="31" s="1"/>
  <c r="E18" i="31"/>
  <c r="F18" i="31" s="1"/>
  <c r="E11" i="32"/>
  <c r="F11" i="32" s="1"/>
  <c r="E12" i="32"/>
  <c r="F12" i="32" s="1"/>
  <c r="E13" i="32"/>
  <c r="F13" i="32" s="1"/>
  <c r="E14" i="32"/>
  <c r="F14" i="32" s="1"/>
  <c r="E15" i="32"/>
  <c r="F15" i="32" s="1"/>
  <c r="E16" i="32"/>
  <c r="F16" i="32" s="1"/>
  <c r="E17" i="32"/>
  <c r="F17" i="32" s="1"/>
  <c r="E18" i="32"/>
  <c r="F18" i="32" s="1"/>
  <c r="E11" i="33"/>
  <c r="F11" i="33" s="1"/>
  <c r="E12" i="33"/>
  <c r="F12" i="33" s="1"/>
  <c r="E13" i="33"/>
  <c r="F13" i="33" s="1"/>
  <c r="E14" i="33"/>
  <c r="F14" i="33" s="1"/>
  <c r="E15" i="33"/>
  <c r="F15" i="33" s="1"/>
  <c r="E16" i="33"/>
  <c r="F16" i="33" s="1"/>
  <c r="E17" i="33"/>
  <c r="F17" i="33" s="1"/>
  <c r="E18" i="33"/>
  <c r="F18" i="33" s="1"/>
  <c r="E34" i="33"/>
  <c r="F34" i="3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3" i="72"/>
  <c r="F13" i="72"/>
  <c r="H13" i="72"/>
  <c r="I13" i="72"/>
  <c r="H30" i="29" l="1"/>
  <c r="I30" i="29" s="1"/>
  <c r="H29" i="29"/>
  <c r="I29" i="29" s="1"/>
  <c r="H32" i="29"/>
  <c r="I32" i="29" s="1"/>
  <c r="H31" i="29"/>
  <c r="I31" i="29" s="1"/>
  <c r="H28" i="29"/>
  <c r="I28" i="29" s="1"/>
  <c r="H26" i="29"/>
  <c r="I26" i="29" s="1"/>
  <c r="H33" i="29"/>
  <c r="I33" i="29" s="1"/>
  <c r="H32" i="30"/>
  <c r="H31" i="30"/>
  <c r="H26" i="30"/>
  <c r="H30" i="30"/>
  <c r="H29" i="30"/>
  <c r="H28" i="30"/>
  <c r="H27" i="30"/>
  <c r="H33" i="18"/>
  <c r="I33" i="18" s="1"/>
  <c r="H30" i="18"/>
  <c r="I30" i="18" s="1"/>
  <c r="H29" i="18"/>
  <c r="I29" i="18" s="1"/>
  <c r="H32" i="18"/>
  <c r="I32" i="18" s="1"/>
  <c r="H28" i="18"/>
  <c r="I28" i="18" s="1"/>
  <c r="H27" i="18"/>
  <c r="I27" i="18" s="1"/>
  <c r="H26" i="18"/>
  <c r="I26" i="18" s="1"/>
  <c r="H31" i="18"/>
  <c r="I31" i="18" s="1"/>
  <c r="H31" i="1"/>
  <c r="I31" i="1" s="1"/>
  <c r="H32" i="1"/>
  <c r="I32" i="1" s="1"/>
  <c r="H26" i="1"/>
  <c r="I26" i="1" s="1"/>
  <c r="H30" i="1"/>
  <c r="I30" i="1" s="1"/>
  <c r="H29" i="1"/>
  <c r="I29" i="1" s="1"/>
  <c r="H28" i="1"/>
  <c r="I28" i="1" s="1"/>
  <c r="H27" i="1"/>
  <c r="I27" i="1" s="1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H17" i="18"/>
  <c r="I17" i="18" s="1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I33" i="1" l="1"/>
  <c r="H33" i="34"/>
  <c r="I33" i="34" s="1"/>
  <c r="H26" i="34"/>
  <c r="I26" i="34" s="1"/>
  <c r="I26" i="30"/>
  <c r="H31" i="34"/>
  <c r="I31" i="34" s="1"/>
  <c r="I31" i="30"/>
  <c r="H32" i="34"/>
  <c r="I32" i="34" s="1"/>
  <c r="I32" i="30"/>
  <c r="H30" i="34"/>
  <c r="I30" i="34" s="1"/>
  <c r="I30" i="30"/>
  <c r="H29" i="34"/>
  <c r="I29" i="34" s="1"/>
  <c r="I29" i="30"/>
  <c r="H28" i="34"/>
  <c r="I28" i="34" s="1"/>
  <c r="I28" i="30"/>
  <c r="H27" i="34"/>
  <c r="I27" i="34" s="1"/>
  <c r="I27" i="30"/>
  <c r="E18" i="29"/>
  <c r="F18" i="29" s="1"/>
  <c r="E17" i="18"/>
  <c r="F17" i="18" s="1"/>
  <c r="E20" i="18"/>
  <c r="F20" i="18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G25" i="1"/>
  <c r="G25" i="34" s="1"/>
  <c r="C25" i="30"/>
  <c r="D25" i="30"/>
  <c r="D25" i="34" s="1"/>
  <c r="H25" i="30"/>
  <c r="C18" i="30"/>
  <c r="C18" i="34" s="1"/>
  <c r="D18" i="30"/>
  <c r="H18" i="30"/>
  <c r="C19" i="30"/>
  <c r="C19" i="34" s="1"/>
  <c r="D19" i="30"/>
  <c r="H19" i="30"/>
  <c r="C20" i="30"/>
  <c r="D20" i="30"/>
  <c r="D20" i="34" s="1"/>
  <c r="H20" i="30"/>
  <c r="C21" i="30"/>
  <c r="D21" i="30"/>
  <c r="H21" i="30"/>
  <c r="C22" i="30"/>
  <c r="C22" i="34" s="1"/>
  <c r="D22" i="30"/>
  <c r="H22" i="30"/>
  <c r="C23" i="30"/>
  <c r="C23" i="34" s="1"/>
  <c r="D23" i="30"/>
  <c r="D23" i="34" s="1"/>
  <c r="H23" i="30"/>
  <c r="C24" i="30"/>
  <c r="D24" i="30"/>
  <c r="D24" i="34" s="1"/>
  <c r="H24" i="30"/>
  <c r="E18" i="72"/>
  <c r="F18" i="72" s="1"/>
  <c r="H18" i="72"/>
  <c r="H18" i="1" s="1"/>
  <c r="H19" i="1"/>
  <c r="H20" i="1"/>
  <c r="H22" i="1"/>
  <c r="C16" i="30"/>
  <c r="D16" i="30"/>
  <c r="H16" i="30"/>
  <c r="C17" i="30"/>
  <c r="D17" i="30"/>
  <c r="H17" i="30"/>
  <c r="I17" i="30"/>
  <c r="C16" i="29"/>
  <c r="D16" i="29"/>
  <c r="H16" i="29"/>
  <c r="I16" i="29" s="1"/>
  <c r="C17" i="29"/>
  <c r="D17" i="29"/>
  <c r="H17" i="29"/>
  <c r="I17" i="29" s="1"/>
  <c r="C16" i="18"/>
  <c r="D16" i="18"/>
  <c r="E16" i="18" s="1"/>
  <c r="F16" i="18" s="1"/>
  <c r="H16" i="18"/>
  <c r="I16" i="18" s="1"/>
  <c r="C16" i="1"/>
  <c r="D16" i="1"/>
  <c r="G16" i="1"/>
  <c r="G16" i="34" s="1"/>
  <c r="C17" i="1"/>
  <c r="D17" i="1"/>
  <c r="G17" i="1"/>
  <c r="G17" i="34" s="1"/>
  <c r="E16" i="72"/>
  <c r="F16" i="72" s="1"/>
  <c r="H16" i="72"/>
  <c r="H16" i="1" s="1"/>
  <c r="E17" i="72"/>
  <c r="F17" i="72" s="1"/>
  <c r="H17" i="72"/>
  <c r="H17" i="1" s="1"/>
  <c r="E15" i="72"/>
  <c r="F15" i="72" s="1"/>
  <c r="E14" i="72"/>
  <c r="F14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E10" i="33"/>
  <c r="F10" i="33" s="1"/>
  <c r="E9" i="33"/>
  <c r="F9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E10" i="32"/>
  <c r="F10" i="32" s="1"/>
  <c r="E9" i="32"/>
  <c r="F9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10" i="31"/>
  <c r="F10" i="31" s="1"/>
  <c r="E9" i="31"/>
  <c r="F9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E10" i="28"/>
  <c r="F10" i="28" s="1"/>
  <c r="E9" i="28"/>
  <c r="F9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3" i="29"/>
  <c r="I13" i="29" s="1"/>
  <c r="H10" i="29"/>
  <c r="I10" i="29" s="1"/>
  <c r="F10" i="27"/>
  <c r="E9" i="27"/>
  <c r="F9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9"/>
  <c r="I15" i="29" s="1"/>
  <c r="H12" i="29"/>
  <c r="I12" i="29" s="1"/>
  <c r="E10" i="26"/>
  <c r="F10" i="26" s="1"/>
  <c r="H9" i="29"/>
  <c r="I9" i="29" s="1"/>
  <c r="E9" i="26"/>
  <c r="F9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E10" i="19"/>
  <c r="F10" i="19" s="1"/>
  <c r="E9" i="19"/>
  <c r="F9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E10" i="20"/>
  <c r="F10" i="20" s="1"/>
  <c r="E9" i="20"/>
  <c r="F9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F4" i="20"/>
  <c r="G2" i="20"/>
  <c r="D2" i="20"/>
  <c r="C2" i="20"/>
  <c r="A1" i="20" a="1"/>
  <c r="A1" i="20" s="1"/>
  <c r="F10" i="21"/>
  <c r="E9" i="21"/>
  <c r="F9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E10" i="4"/>
  <c r="F10" i="4" s="1"/>
  <c r="E9" i="4"/>
  <c r="F9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25" i="34" l="1"/>
  <c r="C14" i="34"/>
  <c r="D18" i="34"/>
  <c r="E18" i="34" s="1"/>
  <c r="F18" i="34" s="1"/>
  <c r="D19" i="34"/>
  <c r="E19" i="34" s="1"/>
  <c r="F19" i="34" s="1"/>
  <c r="C24" i="34"/>
  <c r="E24" i="34" s="1"/>
  <c r="F24" i="34" s="1"/>
  <c r="C20" i="34"/>
  <c r="E20" i="34" s="1"/>
  <c r="F20" i="34" s="1"/>
  <c r="D21" i="34"/>
  <c r="D22" i="34"/>
  <c r="E22" i="34" s="1"/>
  <c r="F22" i="34" s="1"/>
  <c r="D5" i="34"/>
  <c r="D11" i="34"/>
  <c r="I16" i="1"/>
  <c r="E12" i="18"/>
  <c r="F12" i="18" s="1"/>
  <c r="E12" i="29"/>
  <c r="F12" i="29" s="1"/>
  <c r="C6" i="34"/>
  <c r="C12" i="34"/>
  <c r="D6" i="34"/>
  <c r="D12" i="34"/>
  <c r="E13" i="29"/>
  <c r="F13" i="29" s="1"/>
  <c r="C7" i="34"/>
  <c r="C13" i="34"/>
  <c r="E16" i="29"/>
  <c r="F16" i="29" s="1"/>
  <c r="C8" i="34"/>
  <c r="D8" i="34"/>
  <c r="D14" i="34"/>
  <c r="E14" i="34" s="1"/>
  <c r="F14" i="34" s="1"/>
  <c r="H17" i="34"/>
  <c r="D7" i="34"/>
  <c r="D13" i="34"/>
  <c r="C9" i="34"/>
  <c r="C15" i="34"/>
  <c r="D17" i="34"/>
  <c r="D9" i="34"/>
  <c r="C10" i="34"/>
  <c r="D10" i="34"/>
  <c r="I17" i="1"/>
  <c r="E5" i="18"/>
  <c r="F5" i="18" s="1"/>
  <c r="E11" i="18"/>
  <c r="F11" i="18" s="1"/>
  <c r="E11" i="29"/>
  <c r="F11" i="29" s="1"/>
  <c r="C5" i="34"/>
  <c r="C11" i="34"/>
  <c r="C16" i="34"/>
  <c r="E13" i="30"/>
  <c r="F13" i="30" s="1"/>
  <c r="E15" i="30"/>
  <c r="F15" i="30" s="1"/>
  <c r="D15" i="34"/>
  <c r="E17" i="30"/>
  <c r="F17" i="30" s="1"/>
  <c r="C17" i="34"/>
  <c r="I16" i="30"/>
  <c r="H16" i="34"/>
  <c r="I16" i="34" s="1"/>
  <c r="E16" i="30"/>
  <c r="F16" i="30" s="1"/>
  <c r="D16" i="34"/>
  <c r="I24" i="30"/>
  <c r="I23" i="30"/>
  <c r="E23" i="34"/>
  <c r="F23" i="34" s="1"/>
  <c r="I21" i="30"/>
  <c r="E21" i="30"/>
  <c r="F21" i="30" s="1"/>
  <c r="C21" i="34"/>
  <c r="E21" i="34" s="1"/>
  <c r="F21" i="34" s="1"/>
  <c r="I20" i="30"/>
  <c r="H20" i="34"/>
  <c r="I19" i="30"/>
  <c r="H19" i="34"/>
  <c r="I19" i="34" s="1"/>
  <c r="I25" i="30"/>
  <c r="E25" i="34"/>
  <c r="F25" i="34" s="1"/>
  <c r="I22" i="30"/>
  <c r="H22" i="34"/>
  <c r="I22" i="34" s="1"/>
  <c r="I18" i="30"/>
  <c r="H18" i="34"/>
  <c r="I18" i="34" s="1"/>
  <c r="E20" i="30"/>
  <c r="F20" i="30" s="1"/>
  <c r="E14" i="30"/>
  <c r="F14" i="30" s="1"/>
  <c r="E19" i="30"/>
  <c r="F19" i="30" s="1"/>
  <c r="E25" i="30"/>
  <c r="F25" i="30" s="1"/>
  <c r="E12" i="30"/>
  <c r="F12" i="30" s="1"/>
  <c r="E11" i="30"/>
  <c r="F11" i="30" s="1"/>
  <c r="E10" i="30"/>
  <c r="F10" i="30" s="1"/>
  <c r="E9" i="30"/>
  <c r="F9" i="30" s="1"/>
  <c r="E8" i="30"/>
  <c r="F8" i="30" s="1"/>
  <c r="E6" i="30"/>
  <c r="F6" i="30" s="1"/>
  <c r="H6" i="30"/>
  <c r="E5" i="30"/>
  <c r="F5" i="30" s="1"/>
  <c r="E4" i="30"/>
  <c r="F4" i="30" s="1"/>
  <c r="E17" i="29"/>
  <c r="F17" i="29" s="1"/>
  <c r="E8" i="29"/>
  <c r="F8" i="29" s="1"/>
  <c r="H7" i="29"/>
  <c r="I7" i="29" s="1"/>
  <c r="E6" i="29"/>
  <c r="F6" i="29" s="1"/>
  <c r="H6" i="29"/>
  <c r="I6" i="29" s="1"/>
  <c r="E5" i="29"/>
  <c r="F5" i="29" s="1"/>
  <c r="E14" i="29"/>
  <c r="F14" i="29" s="1"/>
  <c r="E10" i="29"/>
  <c r="F10" i="29" s="1"/>
  <c r="D2" i="29"/>
  <c r="E15" i="18"/>
  <c r="F15" i="18" s="1"/>
  <c r="E7" i="18"/>
  <c r="F7" i="18" s="1"/>
  <c r="E13" i="18"/>
  <c r="F13" i="18" s="1"/>
  <c r="E9" i="18"/>
  <c r="F9" i="18" s="1"/>
  <c r="E14" i="18"/>
  <c r="F14" i="18" s="1"/>
  <c r="D2" i="18"/>
  <c r="E6" i="18"/>
  <c r="F6" i="18" s="1"/>
  <c r="D4" i="34"/>
  <c r="E24" i="1"/>
  <c r="F24" i="1" s="1"/>
  <c r="E23" i="1"/>
  <c r="F23" i="1" s="1"/>
  <c r="E21" i="1"/>
  <c r="F21" i="1" s="1"/>
  <c r="H24" i="1"/>
  <c r="I24" i="1" s="1"/>
  <c r="H25" i="1"/>
  <c r="I25" i="1" s="1"/>
  <c r="H23" i="1"/>
  <c r="I23" i="1" s="1"/>
  <c r="H21" i="1"/>
  <c r="H21" i="34" s="1"/>
  <c r="I21" i="34" s="1"/>
  <c r="I18" i="72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7" i="1"/>
  <c r="F17" i="1" s="1"/>
  <c r="E16" i="1"/>
  <c r="F16" i="1" s="1"/>
  <c r="I17" i="72"/>
  <c r="I16" i="72"/>
  <c r="I17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H9" i="30"/>
  <c r="H4" i="30"/>
  <c r="I4" i="30" s="1"/>
  <c r="E7" i="30"/>
  <c r="F7" i="30" s="1"/>
  <c r="H12" i="30"/>
  <c r="H7" i="30"/>
  <c r="H15" i="30"/>
  <c r="H10" i="30"/>
  <c r="H5" i="30"/>
  <c r="H13" i="30"/>
  <c r="H8" i="30"/>
  <c r="H11" i="30"/>
  <c r="E7" i="29"/>
  <c r="F7" i="29" s="1"/>
  <c r="H8" i="29"/>
  <c r="I8" i="29" s="1"/>
  <c r="H11" i="29"/>
  <c r="I11" i="29" s="1"/>
  <c r="I6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10" i="34" l="1"/>
  <c r="F10" i="34" s="1"/>
  <c r="E8" i="34"/>
  <c r="F8" i="34" s="1"/>
  <c r="E13" i="34"/>
  <c r="F13" i="34" s="1"/>
  <c r="E11" i="34"/>
  <c r="F11" i="34" s="1"/>
  <c r="E7" i="34"/>
  <c r="F7" i="34" s="1"/>
  <c r="E5" i="34"/>
  <c r="F5" i="34" s="1"/>
  <c r="E17" i="34"/>
  <c r="F17" i="34" s="1"/>
  <c r="E15" i="34"/>
  <c r="F15" i="34" s="1"/>
  <c r="H24" i="34"/>
  <c r="I24" i="34" s="1"/>
  <c r="E12" i="34"/>
  <c r="F12" i="34" s="1"/>
  <c r="E9" i="34"/>
  <c r="F9" i="34" s="1"/>
  <c r="E6" i="34"/>
  <c r="F6" i="34" s="1"/>
  <c r="H23" i="34"/>
  <c r="I23" i="34" s="1"/>
  <c r="I21" i="1"/>
  <c r="H25" i="34"/>
  <c r="I25" i="34" s="1"/>
  <c r="E16" i="34"/>
  <c r="F16" i="34" s="1"/>
  <c r="D2" i="34"/>
  <c r="I11" i="30"/>
  <c r="H11" i="34"/>
  <c r="I11" i="34" s="1"/>
  <c r="I8" i="30"/>
  <c r="H8" i="34"/>
  <c r="I8" i="34" s="1"/>
  <c r="I13" i="30"/>
  <c r="H13" i="34"/>
  <c r="I13" i="34" s="1"/>
  <c r="I5" i="30"/>
  <c r="H5" i="34"/>
  <c r="I5" i="34" s="1"/>
  <c r="I10" i="30"/>
  <c r="H10" i="34"/>
  <c r="I10" i="34" s="1"/>
  <c r="I7" i="30"/>
  <c r="H7" i="34"/>
  <c r="I7" i="34" s="1"/>
  <c r="I12" i="30"/>
  <c r="H12" i="34"/>
  <c r="I12" i="34" s="1"/>
  <c r="I9" i="30"/>
  <c r="H9" i="34"/>
  <c r="I9" i="34" s="1"/>
  <c r="I14" i="30"/>
  <c r="H14" i="34"/>
  <c r="I14" i="34" s="1"/>
  <c r="I6" i="30"/>
  <c r="H6" i="34"/>
  <c r="I6" i="34" s="1"/>
  <c r="I15" i="30"/>
  <c r="H15" i="34"/>
  <c r="I15" i="34" s="1"/>
  <c r="E2" i="29"/>
  <c r="F2" i="29" s="1"/>
  <c r="E4" i="34"/>
  <c r="F4" i="34" s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<sst xmlns="http://schemas.openxmlformats.org/spreadsheetml/2006/main" count="602" uniqueCount="281">
  <si>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</si>
  <si>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</si>
  <si>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</si>
  <si>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</si>
  <si>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</si>
  <si>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</si>
  <si>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</si>
  <si>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</si>
  <si>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</si>
  <si>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</si>
  <si>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</si>
  <si>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</si>
  <si>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</si>
  <si>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</si>
  <si>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</si>
  <si>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</si>
  <si>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</si>
  <si>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</si>
  <si>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</si>
  <si>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</si>
  <si>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</si>
  <si>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</si>
  <si>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production was low due to rain/ snow.</t>
  </si>
  <si>
    <t xml:space="preserve">1.Inverter 1&amp;3 tripped offline at 12:45PM on 01/04 due to Grid Line Voltage Out of Range fault and back online at 11:45AM on 01/06 after technician re-energised, Inverter 2 stopped communicating at 12:30PM from 01/04, upon technician arrival he found inverter 2 was also offline and is being RMA'd.
</t>
  </si>
  <si>
    <t>1.SR095312</t>
  </si>
  <si>
    <t>1.Inverter 10 tripped offline from 06/18/24 due to Relay fault - Fault0100 and is being RMA'd.
2.Inverter 8 was offline on 01/18 and back online on 01/19.
3.Site was taken offline from 09:15AM to 10:15AM on 01/13 due to technicians checked-in to replace the SEL751a relay battery.</t>
  </si>
  <si>
    <t>1.SR089997
2.SR095693
3.SR094233</t>
  </si>
  <si>
    <t>SR095693</t>
  </si>
  <si>
    <t>SR094233</t>
  </si>
  <si>
    <t>1.Inverter 13 was RMA'd since 08/20/24 due to thermal event in powerhead of the inverter.</t>
  </si>
  <si>
    <t>1.SR089170, SR095220</t>
  </si>
  <si>
    <t>SR095220</t>
  </si>
  <si>
    <t>1.Inverter 9 was offline from 11/02/24 due to Protect 0010 fault and is being RMA'd .
2.The site was taken offline at 10:30 AM on 01/22 as the technician checked in to replace the SEL 751 UPS battery cluster and site was brought back online at 14:30 on 01/23.</t>
  </si>
  <si>
    <t>1.SR089564, SR093404
2.SR093406</t>
  </si>
  <si>
    <t>SR093404</t>
  </si>
  <si>
    <t>SR093406</t>
  </si>
  <si>
    <t xml:space="preserve">1.Inverter B3 is being RMA'd from 12/19/24.
2.Site was taken offfline from 08:30AM to 11:00AM on 01/13 due to technicians checked-in to examine Transformer-1.
3.Inverter C1 tripped offline at 9AM on 01/03 due to Bus hardware overvoltage fault and back online on 01/04,
Inverter C1 failed to restart post transformer inspection and was faulted with a "Fault 0020" fault code and after technician powercycled, inverter resumed its production.
4.Inverters C6 &amp; D5 tripped offline at 14:30 on 01/18 due to Steady state GFCI fault and self-resolved on 01/19.
5.Inverter C6 tripped offline at 12:15PM on 01/31.
</t>
  </si>
  <si>
    <t>1.SR093500
2.SR094025
3.SR094028,
SR095517
4.SR095697
5.SR096199</t>
  </si>
  <si>
    <t>SR094025</t>
  </si>
  <si>
    <t>SR094028</t>
  </si>
  <si>
    <t>SR095517</t>
  </si>
  <si>
    <t>SR095697</t>
  </si>
  <si>
    <t>SR096199</t>
  </si>
  <si>
    <t>1.Inverter 2 right unit has multiple tripping events throughout the month due to low irradiance days.</t>
  </si>
  <si>
    <t>1.SR095300, SR095690</t>
  </si>
  <si>
    <t>SR095690</t>
  </si>
  <si>
    <t>1.Site tripped offline on 04/01/24 at 16:00 and still offline. Ameresco received a Scope of Work to conduct repairs on the existing system to prepare it safely for partial re-energization.</t>
  </si>
  <si>
    <t>1.SR092249,SR093403 &amp; SR096031</t>
  </si>
  <si>
    <t>SR093403</t>
  </si>
  <si>
    <t>SR096031</t>
  </si>
  <si>
    <t>1.The site tripped offline at 22:54 on 01/29 due to an open SEL relay caused by a utility power under-voltage loss. It was brought back online at 13:30 on 01/30 after the technician closed the relay and re-energized the site.</t>
  </si>
  <si>
    <t>1.SR096132</t>
  </si>
  <si>
    <t>1. Inverter 34 tripped offline at 03:15 PM on 01/02 and was RMA'd. The technician brought it back online at 01:45 PM on 01/09 by replacing the inverter.
2. Inverter 12 started late for production on 01/04 and 01/05 and went offline on 01/06. On 01/07, technicians confirmed that the inverter had been RMA'd and brought it back online at 02:15 PM on 01/10 by replacing it with a new one.
3. Site tripped offline at 02:24 AM on 01/22 due to a missing Phase A voltage. The technician brought it back online at 08:27 AM on 01/22 by re-energizing the site.
4.Inverter 27 has been offline since 09/05/2024 and is currently being RMA'd.</t>
  </si>
  <si>
    <t>1.SR095279
2.SR095309,SR095058
3.SR095843
4.SR089983</t>
  </si>
  <si>
    <t>SR095309</t>
  </si>
  <si>
    <t>SR095058</t>
  </si>
  <si>
    <t>SR095843</t>
  </si>
  <si>
    <t>SR089983</t>
  </si>
  <si>
    <t>1. Inverters 11 and 12 tripped offline at 09:15 AM on 01/11 due to a generic inverter fault and came back online at 09:00 AM on 01/23.</t>
  </si>
  <si>
    <t>1. SR095497</t>
  </si>
  <si>
    <t xml:space="preserve">1. Inverter 12 has been RMA'D and offline.
2.Due to snow event, the site has performed very low on 01/11 to 01/30 </t>
  </si>
  <si>
    <t>1.SR094678
2.SR096154</t>
  </si>
  <si>
    <t>SR096154</t>
  </si>
  <si>
    <t xml:space="preserve">1.Inverter 17 is offline since 12/25/2024 due to reporting ARC Protection Fault and technician broought it back online at 08:15AM on 01/06 .
2.Inverter 2 tripped offline on 01/13 and is being RMA'd. The technician stated that the inverters are showing fault codes related to bus overvoltage and arc faults.
3.Inverter 17 tripped offline at 08:45 AM on 01/14, reporting an ARC protection fault. The technician brought it back online at 02:15 PM by clearing the faults.
4.Inverter 3 tripped offline at 07:54 AM on 01/15, reporting an ARC protection fault. The technician brought it back online at 09:00 AM on 01/16 by clearing the fault.
5.Inverter 17 tripped offline at 07:49 AM on 01/16, reporting an ARC protection fault. The technician brought it back online at 01:00 PM by clearing the faults.
6.Inverter 27 tripped offline at 07:46 AM on 01/25 due to an ARC protection fault. The technician brought it back online at 09:45 AM on 01/27 by clearing the fault.
</t>
  </si>
  <si>
    <t>1.SR095079
2.SR095518
3.SR095538
4.SR095579
5.SR095616
6.SR095972</t>
  </si>
  <si>
    <t>SR095518</t>
  </si>
  <si>
    <t>SR095538</t>
  </si>
  <si>
    <t>SR095579</t>
  </si>
  <si>
    <t>SR095616</t>
  </si>
  <si>
    <t>SR095972</t>
  </si>
  <si>
    <t>1.Inverters 1 to 8 are underperforming by 10KW possibly due to seasonal shading.</t>
  </si>
  <si>
    <t>1.SR092108</t>
  </si>
  <si>
    <t>1. Inverter 19 tripped offline at 12:30PM on 01/ 11 and back online at 07:00AM on 01/12 due to Generic inverter fault.
2. Inverter 02 tripped offline at 10:45 AM on 01/17 and back online at 07:00 AM on 01/18. Additionally, Inverters 2, 18, and 19 tripped offline at 12:45 PM on 01/18 and back online at 07:00 AM on 01/19 due to a generic fault.</t>
  </si>
  <si>
    <t>1. SR095495
2. SR095674</t>
  </si>
  <si>
    <t>SR095674</t>
  </si>
  <si>
    <t>1. Inverters 2, 5, 6, 12, and 24 tripped offline at 11:45 AM on 01/11 and back online at 07:00 AM on 01/12. Again, Inverters 1, 2, 5, 6, and 24 tripped offline at 10:30 AM on 01/17 and back online at 07:00 AM on 01/18. Then, Inverters 1, 2, 5, 6, 9, 12, 14, 15, and 24 tripped offline at 12:30 PM on 01/18 and back online at 07:00 AM on 01/19. Lastly, Inverters 2, 5, 6, and 24 tripped offline at 08:15 AM on 01/31 due to a "Generic Inverter Fault.</t>
  </si>
  <si>
    <t>1. SR095494</t>
  </si>
  <si>
    <t>1. Inverter 2 tripped offline at 11:45 AM on 01/07 and back online at 09:15 AM on 01/21. It tripped offline again at 12:15 PM on 01/23 and back online at 10:00 AM on 01/24 due to the grid line voltage over limit fault &amp; broken module and is being RMA'd.</t>
  </si>
  <si>
    <t>1. SR095360, SR092627, SR095903</t>
  </si>
  <si>
    <t>SR092627</t>
  </si>
  <si>
    <t>SR095903</t>
  </si>
  <si>
    <t>1. Meter MTRO1 has no communicatuion whole month due to an faulty meter. Additional troubleshooting is required. The actual energy which we updated was addition of four meters.
2. On 01/27/25, during a PM event, the technician identified 8 faulty modules on the CTC roof that needed replacement.
3. On 01/02 technician was onsite replaced powerhead and communication card for inverters 66 and 67 and they started reporting.
4. Inverter 4-1 was offline since 12/30/24 due to an faulty combiner box. Working with SMA for replacement.</t>
  </si>
  <si>
    <t>1. SR094890, SR094283
2.  SR095761, PM11788.
3. SR094889
4. SR095199</t>
  </si>
  <si>
    <t>SR094283</t>
  </si>
  <si>
    <t>SR095761</t>
  </si>
  <si>
    <t>SR094889</t>
  </si>
  <si>
    <t>SR095199</t>
  </si>
  <si>
    <t>1. Inverter C02 didn't started for production and remained offline whole day. On 01/10 technician powercycled and inverter back online at 11:40AM. However inverter again tripped offline at 14:55 on the same day. On 01/23 technician replaced contactors and inverter back online at 11:35AM.</t>
  </si>
  <si>
    <t>1. SR095429</t>
  </si>
  <si>
    <t>1. Inverter B8 didn't started for production and after a remote reset inverter back online at 10:40AM on 01/16. However on 01/21 inverter again not started and remained offline whole day. On 01/22 technician troubleshooted and brought inverter back online at 10:40AM.</t>
  </si>
  <si>
    <t>1. SR095620</t>
  </si>
  <si>
    <t>February Actual v. Expected</t>
  </si>
  <si>
    <t>February Actual v. Forecasted</t>
  </si>
  <si>
    <t>1.Inverter 2 was being RMA'D and offline since 01/04.
2. Site production was low due to rain/ snow.</t>
  </si>
  <si>
    <t>1.Inverter 10 has been offline since 06/18/24 due to a relay fault (Fault0100) and is being RMA'd. Upon the technician's arrival on 02/26, the inverter was brought back online at 11:00 AM by replacing the old inverter with a new one.
2. Site production was low due to rain/ snow.</t>
  </si>
  <si>
    <t>1.SR089997</t>
  </si>
  <si>
    <t>1.Inverter 13 was RMA'd since 08/20/24 due to thermal event in powerhead of the inverter.
2. Site production was low due to rain/ snow.</t>
  </si>
  <si>
    <t>1.Inverter 9 was offline from 11/02/24 due to Protect 0010 fault and is being RMA'd 2. Site production was low due to rain/ snow.</t>
  </si>
  <si>
    <t>1.SR089564, 	SR093404</t>
  </si>
  <si>
    <t>1.Inverter C6 tripped offline at 12:15PM on 01/31 and back online at 07:00AM on 02/01.
2..Inverter B3 is being RMA'd from 12/19/24.</t>
  </si>
  <si>
    <t>1.SR096199
2.SR093500</t>
  </si>
  <si>
    <t>SR093500</t>
  </si>
  <si>
    <t>1.The site was in battery mode at 11:00 PM on 01/31. On 02/01, upon the technician's arrival, the site was re-energized and brought back online at 10:45 AM on 02/01.
2. Site production was low due to rain/ snow.</t>
  </si>
  <si>
    <t>1.SR096206</t>
  </si>
  <si>
    <t>1.Inverter 6 middle unit tripped at  02:45PM  reporting DC Isolation fault and back online at  07:15AM on 02/08.</t>
  </si>
  <si>
    <t>1.SR096522</t>
  </si>
  <si>
    <t>1.SR096031, 	SR093403</t>
  </si>
  <si>
    <t>1.Inverter 27 has been offline since 09/05/2024 and is currently being RMA'd.
2. 1. Site production was low due to rain/ snow.</t>
  </si>
  <si>
    <t>1.SR089983</t>
  </si>
  <si>
    <t>1.Inverter 12 has been RMA'D and offline.
2.  Site production was low due to rain/ snow.</t>
  </si>
  <si>
    <t>1.SR094678</t>
  </si>
  <si>
    <t>1.Inverter 2 came back online at 10:15 on 02/24 after the technician replaced the faulty powerhead.
2. Site tripped offline at 09:45 on 02/17/25. On 02/18, the technician reset the SEL relay and re-energized the site at 09:15.
3. Site production was low due to rain/ snow.</t>
  </si>
  <si>
    <t>1. SR095518
2. SR097183</t>
  </si>
  <si>
    <t>SR097183</t>
  </si>
  <si>
    <t>1. Inverter 4 tripped offline at 15:45 on 02/16/25 and self resolved at 07:00 on 02/17/25</t>
  </si>
  <si>
    <t>1.SR097175</t>
  </si>
  <si>
    <t>1. Inverter 19 tripped offline at 09:15 on 02/ 06 and back online at 07:00AM on 02/07 due to Generic inverter fault.
2. On 01/15/25, the technician found a faulty module in Inverter 8 string 8-9 during string testing, requiring replacement.
3. Inverters 14, 15, 18, 19 &amp; 21 are tripped offline at 07:45 on 02/26/25 due to a "Generic Inverter Fault"and the technician adjusted the GFCI parameters, bringing them back online at 15:15 the same day.</t>
  </si>
  <si>
    <t>1. SR095495
2. SR095573
3. SR095674</t>
  </si>
  <si>
    <t>SR095573</t>
  </si>
  <si>
    <t>1. Inverters 2, 5, 6, and 24 tripped offline at 08:15 AM on 01/31 due to a "Generic Inverter Fault" and self-resolved on 02/01. Inverters 2 and 24 tripped again at 10:30 on 02/03 and came back online on 02/04. Inverters 2, 5, and 24 tripped at 11:10 on 02/09 and self-resolved on 02/10. On 02/26, Inverters 1, 2, 5, and 14 went offline, and the technician adjusted the GFCI parameters, bringing them back online at 13:15 the same day.</t>
  </si>
  <si>
    <t>1. Inverter 4 &amp; 6 tripped offline at 10:45 on 02/27/25 due to an Generic inverter fault. on 02/28, the technician adjusted the parametres and brought back online at 07:00 the same day.</t>
  </si>
  <si>
    <t>1. SR097872</t>
  </si>
  <si>
    <t>1. Meter MTRO1 has no communicatuion whole month due to an faulty meter. On 03/10 technican troubleshooted but didnot worked. Meter require replacement.
2. Inverter 4-1 was offline since 12/30/24 due to an faulty combiner box. On 02/03/25, the technician replaced faulty onces with new CB and site brought back online at 07:27 on 02/04.
3. On 01/27/25, during a PM event, the technician identified 8 faulty modules on the CTC roof that needed replacement.
4. On 01/15/25, during a PM event , the technician identified faulty positive DC terminal at Inverter 7-5 and additional troubleshooting is required to restore power.
5. Numerous inverters in the BNB Camden site do not communicate to PowerFactors.  Many appear to be duplicates.</t>
  </si>
  <si>
    <t>1. SR093773, SR094890
2. SR095199
3. SR095761, PM11788, SR096555
4. SR096557, SR096558, PM11794
5. SR097964</t>
  </si>
  <si>
    <t>SR094890</t>
  </si>
  <si>
    <t>SR096555</t>
  </si>
  <si>
    <t>SR096557</t>
  </si>
  <si>
    <t>SR096558</t>
  </si>
  <si>
    <t>SR097964</t>
  </si>
  <si>
    <t>1. Site was offline due to  faulty utility recloser from 12:30 on 02/17/25 and  Eversource Tech was able to close the recloser, site is back online at 15:30 on 02/25/25.</t>
  </si>
  <si>
    <t>1. SR097196, SR097608</t>
  </si>
  <si>
    <t>SR097608</t>
  </si>
  <si>
    <t>1. Inverter B08 experienced late started issue throughout the month and on 02/28 technician troubleshooted but didn't work and inverter IGBT on phase A was being RMA'd.</t>
  </si>
  <si>
    <t>1. SR096221</t>
  </si>
  <si>
    <t>March Actual v. Expected</t>
  </si>
  <si>
    <t>March Actual v. Forecasted</t>
  </si>
  <si>
    <t>1.The weather station equipment on the DAS is showing some odd readings</t>
  </si>
  <si>
    <t>1.SR070225</t>
  </si>
  <si>
    <t>1.Inverter 2 was being RMA'D and offline since 01/04.</t>
  </si>
  <si>
    <t>1.SR095220,SR089170</t>
  </si>
  <si>
    <t>SR089170</t>
  </si>
  <si>
    <t>1.Inverter 9 was offline from 11/02/24 due to Protect 0010 fault and is being RMA'd .</t>
  </si>
  <si>
    <t>1.The site tripped offline at 04:00 AM on 03/07. Upon the technician's arrival on the same day, it was found that the main breaker had tripped. The site was brought back online at 09:00 AM on 03/07 by closing the main breaker.
2.The site tripped offline at 07:15 AM on 03/09. Upon the technician's arrival on the same day, it was found that the main breaker was open. The site was brought back online at 03:15 PM on 03/09 by closing the main breaker.
3.Inverter 6 tripped offline at 16:30 on 03/11 and reporting an 'Error.' Upon the technician's arrival on 03/12, he re-energized the inverter and brought it back online at 12:45 on 03/12 and the inverter is running with two strings down.
4.Inverter 6 is underperforming by 6KW.</t>
  </si>
  <si>
    <t>1.SR098239
2.SR098314
3.SR098404
4.SR099133</t>
  </si>
  <si>
    <t>SR098314</t>
  </si>
  <si>
    <t>SR098404</t>
  </si>
  <si>
    <t>SR099133</t>
  </si>
  <si>
    <t>1. Inverter 3 tripped offline at 15:45 on 03/10 due to an ARC fault. Upon the technician's arrival, he cleared the fault and brought it back online at 11:45 on 03/12.</t>
  </si>
  <si>
    <t>1.SR098378</t>
  </si>
  <si>
    <t>1.The Inverter B3 is being RMA'd since 12/19/24, awaiting Greenbeckers' response to proceed with the replacement of the inverter.</t>
  </si>
  <si>
    <t>1.SR093500</t>
  </si>
  <si>
    <t xml:space="preserve">1.Inverter 11 middle unit tripped offline at 13:15 on 03/10, Upon technicians arrival on 03/12 brought it back online at 09:00.
2.Inverter 6 left unit tripped offline at 14:00 on 03/08 ,Upon technicians arrival on 03/12 brought it back online at 08:00.
3.Inverter 1 right unit was underperforming by 15KW from 02/28.
</t>
  </si>
  <si>
    <t>1.SR098367
2.SR098369
3.SR099134</t>
  </si>
  <si>
    <t>SR098369</t>
  </si>
  <si>
    <t>SR099134</t>
  </si>
  <si>
    <t>1. Site production was low on 03/05, 03/16, 03/17 and 03/24 due to bad weather.</t>
  </si>
  <si>
    <t>1.SR096031, 	SR093403, SR097902,	SR098208, SR099015</t>
  </si>
  <si>
    <t>SR097902</t>
  </si>
  <si>
    <t>SR098208</t>
  </si>
  <si>
    <t>SR099015</t>
  </si>
  <si>
    <t>1. The site was offline at 3:00 AM on 03/07 due to the SEL relay being in the open position. After the technician reset the SEL relay, the site came back online at 10:15 AM on 03/08.</t>
  </si>
  <si>
    <t>1. 	SR098246</t>
  </si>
  <si>
    <t>1.The site was offline at 10:30 AM to 2:15 PM on 03/07, but it later self-resolved.</t>
  </si>
  <si>
    <t>1. SR098268</t>
  </si>
  <si>
    <t xml:space="preserve">1. Inverter 7 was offline on multiple days on 03/21, 03/24, and 03/30, due to a bus differential high fault.
</t>
  </si>
  <si>
    <t>1. SR098865</t>
  </si>
  <si>
    <t xml:space="preserve">1.Inverter 12 has been RMA'D and offline,Awaiting for the Greenbackers approval for the replacement of new inverter.
</t>
  </si>
  <si>
    <t>1.Inverter 8 was taken offline by technicians on 03/12 from 13:00 to 13:30 to replace a module in Inverter 8's array.</t>
  </si>
  <si>
    <t>1.SR095573</t>
  </si>
  <si>
    <t>1.Site was taken offline from 07:00 to 10:30 on 03/15 due to a planned outage. After the outage was completed, the site was re-energized.</t>
  </si>
  <si>
    <t>1.SR097601</t>
  </si>
  <si>
    <t>1.Site was offline from 22:15 on 03/15 to  07:00 on 03/16</t>
  </si>
  <si>
    <t>1.SR098621</t>
  </si>
  <si>
    <t>1.Inverter 3 was offline from 03/17 due to isolation fault.On 03/19,a technician was able to troubleshoot inverter 3 and it is back online producing on site, however the communication board has been RMA'd and mentioned that inverter 3 will not have communication  until the board is replaced.</t>
  </si>
  <si>
    <t>1.SR098681</t>
  </si>
  <si>
    <t>1. Inverter 02 tripped offline at 14:15 on 03/10  due to out of range grid line voltage. On 03/11, a technician found DC voltage present but no AC voltage due to a tripped breaker. After resetting it, the inverter was back online and producing at 10:35 AM
2. Inverter 10 &amp;11 tripped offline at 15:55 on 03/25  due to out of range grid line voltage.And Both the inverters are back online at 17:06 EDT on 03/25.</t>
  </si>
  <si>
    <t>1.SR098348
2.SR098978</t>
  </si>
  <si>
    <t>SR098978</t>
  </si>
  <si>
    <t>1.Site was offline from  02:35 PM on 03/28 to 01:30 PM on 03/29 due to an utility outage.</t>
  </si>
  <si>
    <t>1.SR099112</t>
  </si>
  <si>
    <t>1. Meter MTRO1 has no communicatuion whole month due to an faulty meter. it's needed to be replaced and additional troubleshooting is required to restore communications.
2. On 01/27/25, during a PM event, the technician identified 8 faulty modules on the CTC roof that needed replacement.
3.  On 01/15/25, during a PM event , the technician identified faulty positive DC terminal at Inverter 7-5. On 03/10 technician visited the site and Wirebox being RMA'd. Further troubleshoot needed.
4. Several inverters at BNB Camden aren't communicating with PowerFactors, with many duplicates. On 03/10, a technician found comms issues, rewired inverters into a daisy chain, and confirmed comms. Only inverter 02-02 required an RMA'd comm board. Remote access to the CTC roof cell modem was confirmed with Zoë from Greenbacker. A return visit is needed once the RMA'd comm board arrives.</t>
  </si>
  <si>
    <t>1. SR093773, SR094890
2. SR095761, PM11788, SR096555
3. SR096557, SR096558, PM11794
4. SR097964</t>
  </si>
  <si>
    <t>1.Inverter 8 has been RMA'd since 02/28 and will remain offline.On 03/12, a technician replaced the Phase A IGBT, but the fault remained. On 03/28, a technician replaced the DSP and IF boards but the issue persisted. Technician has reached out to Solectria for assistance, and they confirmed IGBT on phase A has still an issue and need to be replaced along with IGHT to interface ribbon and mentioned Inverter 8 will remain offline until parts are replaced.</t>
  </si>
  <si>
    <t>1.SR096221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</si>
  <si>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</si>
  <si>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</si>
  <si>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</si>
  <si>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</si>
  <si>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</si>
  <si>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</si>
  <si>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</si>
  <si>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</si>
  <si>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</si>
  <si>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</si>
  <si>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</si>
  <si>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</si>
  <si>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</si>
  <si>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</si>
  <si>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</si>
  <si>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</si>
  <si>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</si>
  <si>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</si>
  <si>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Greenbacker Capital</t>
  </si>
  <si>
    <t>Site DAS Name</t>
  </si>
  <si>
    <t>Update</t>
  </si>
  <si>
    <t>DAS</t>
  </si>
  <si>
    <t>10 Walpole Park South [0664]</t>
  </si>
  <si>
    <t>10 Walpole Park South</t>
  </si>
  <si>
    <t>MA</t>
  </si>
  <si>
    <t>AEF</t>
  </si>
  <si>
    <t>PowerTrack</t>
  </si>
  <si>
    <t>15 Walpole Park South [0668]</t>
  </si>
  <si>
    <t>15 Walpole Park South</t>
  </si>
  <si>
    <t>19 Walpole Park South [0670]</t>
  </si>
  <si>
    <t>19 Walpole Park South</t>
  </si>
  <si>
    <t>23 Walpole Park South [0676]</t>
  </si>
  <si>
    <t>23 Walpole Park South</t>
  </si>
  <si>
    <t>24 Walpole Park South [0667]</t>
  </si>
  <si>
    <t>24 Walpole Park South</t>
  </si>
  <si>
    <t>25 Walpole Park South [0665]</t>
  </si>
  <si>
    <t>25 Walpole Park South</t>
  </si>
  <si>
    <t>3 Walpole Park South [0666]</t>
  </si>
  <si>
    <t>3 Walpole Park South</t>
  </si>
  <si>
    <t>4 Walpole Park South [0669]</t>
  </si>
  <si>
    <t>4 Walpole Park South</t>
  </si>
  <si>
    <t>Brockton [0662]</t>
  </si>
  <si>
    <t>Brockton</t>
  </si>
  <si>
    <t>Canton [0672]</t>
  </si>
  <si>
    <t>Canton</t>
  </si>
  <si>
    <t>Chelsea [0663]</t>
  </si>
  <si>
    <t>Chelsea</t>
  </si>
  <si>
    <t>Hamilton MA Landfill</t>
  </si>
  <si>
    <t>Hamilton Landfill</t>
  </si>
  <si>
    <t>InAccess</t>
  </si>
  <si>
    <t>Holliston [0674]</t>
  </si>
  <si>
    <t>Holliston</t>
  </si>
  <si>
    <t>MA: Natick HS - Carports</t>
  </si>
  <si>
    <t>Natick HS - Carports</t>
  </si>
  <si>
    <t>Norton [0671]</t>
  </si>
  <si>
    <t>Norton</t>
  </si>
  <si>
    <t>Palmer - Boston Rd. [0637]</t>
  </si>
  <si>
    <t>Palmer - Boston Rd.</t>
  </si>
  <si>
    <t>Shirley Bartkus [0632]</t>
  </si>
  <si>
    <t>Shirley Bartkus</t>
  </si>
  <si>
    <t>AE</t>
  </si>
  <si>
    <t>Stoughton [0661]</t>
  </si>
  <si>
    <t>Stoughton</t>
  </si>
  <si>
    <t>MA: Wellfleet Landfill</t>
  </si>
  <si>
    <t>Wellfleet Landfill</t>
  </si>
  <si>
    <t>Wilmington Garage &amp; Building 7 [0675]</t>
  </si>
  <si>
    <t>Wilmington Garage &amp; Building 7</t>
  </si>
  <si>
    <t>Woburn [0673]</t>
  </si>
  <si>
    <t>Woburn</t>
  </si>
  <si>
    <t>Friendship Solar 1 [0569]</t>
  </si>
  <si>
    <t>Friendship Solar 1</t>
  </si>
  <si>
    <t>MD</t>
  </si>
  <si>
    <t>Friendship Solar 2 [0570]</t>
  </si>
  <si>
    <t>Friendship Solar 2</t>
  </si>
  <si>
    <t>101 Carnegie Center</t>
  </si>
  <si>
    <t>NJ</t>
  </si>
  <si>
    <t>302 Carnegie Center</t>
  </si>
  <si>
    <t>510 Carnegie Center</t>
  </si>
  <si>
    <t>701 Carnegie Center</t>
  </si>
  <si>
    <t>Hudson County Correction [0470]</t>
  </si>
  <si>
    <t>Hudson County Correction</t>
  </si>
  <si>
    <t>ER Bison Solar [0371]</t>
  </si>
  <si>
    <t>ER Bison Solar</t>
  </si>
  <si>
    <t>PA</t>
  </si>
  <si>
    <t>Danville</t>
  </si>
  <si>
    <t>IL</t>
  </si>
  <si>
    <t>Camden - Campbell Soup HQ</t>
  </si>
  <si>
    <t>PowerFactor</t>
  </si>
  <si>
    <t>Pine Hill [0702]</t>
  </si>
  <si>
    <t>Westport - Pine Hill</t>
  </si>
  <si>
    <t>AF</t>
  </si>
  <si>
    <t>Gaithersburg - Oaks C ANEM</t>
  </si>
  <si>
    <t>Oaks Landfill - ANEM</t>
  </si>
  <si>
    <t>Gaithersburg - Oaks A CS1</t>
  </si>
  <si>
    <t>Oaks Landfill - CS2</t>
  </si>
  <si>
    <t>Gaithersburg - Oaks B CS2</t>
  </si>
  <si>
    <t>Oaks Landfill - 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</si>
</sst>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2"/>
      <color rgb="FF000000"/>
      <name val="Calibri"/>
    </font>
    <font>
      <sz val="11"/>
      <name val="Calibri"/>
      <scheme val="minor"/>
    </font>
    <font>
      <u/>
      <sz val="10"/>
      <color theme="10"/>
      <name val="Arial"/>
    </font>
    <font>
      <sz val="11"/>
      <color rgb="FF000000"/>
      <name val="Calibri"/>
      <charset val="1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10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22" fillId="0" borderId="0" xfId="43" applyFont="1"/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27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35" fillId="0" borderId="0" xfId="0" applyNumberFormat="1" applyFont="1" applyAlignment="1">
      <alignment vertical="top" wrapText="1"/>
    </xf>
    <xf numFmtId="0" fontId="30" fillId="46" borderId="0" xfId="0" applyFont="1" applyFill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 wrapText="1"/>
    </xf>
    <xf numFmtId="3" fontId="30" fillId="0" borderId="0" xfId="1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0" fontId="37" fillId="0" borderId="0" xfId="0" applyFont="1"/>
    <xf numFmtId="49" fontId="23" fillId="0" borderId="0" xfId="0" applyNumberFormat="1" applyFont="1" applyAlignment="1">
      <alignment vertical="top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49" fontId="30" fillId="38" borderId="0" xfId="2" applyNumberFormat="1" applyFont="1" applyFill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49" fontId="23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/>
    </xf>
    <xf numFmtId="0" fontId="23" fillId="0" borderId="0" xfId="43" applyFont="1" applyAlignment="1">
      <alignment horizontal="left"/>
    </xf>
    <xf numFmtId="0" fontId="22" fillId="0" borderId="0" xfId="43" applyFont="1" applyAlignment="1">
      <alignment horizontal="left" vertical="top"/>
    </xf>
    <xf numFmtId="49" fontId="38" fillId="0" borderId="0" xfId="45" applyNumberFormat="1" applyAlignment="1">
      <alignment horizontal="left" vertical="top" wrapText="1"/>
    </xf>
    <xf numFmtId="49" fontId="38" fillId="38" borderId="0" xfId="45" applyNumberFormat="1" applyFill="1" applyBorder="1" applyAlignment="1">
      <alignment vertical="top" wrapText="1"/>
    </xf>
    <xf numFmtId="49" fontId="38" fillId="0" borderId="0" xfId="45" applyNumberFormat="1" applyAlignment="1">
      <alignment vertical="center" wrapText="1"/>
    </xf>
    <xf numFmtId="49" fontId="38" fillId="0" borderId="0" xfId="45" applyNumberFormat="1" applyAlignment="1">
      <alignment vertical="top" wrapText="1"/>
    </xf>
    <xf numFmtId="0" fontId="0" fillId="0" borderId="0" xfId="0" applyAlignment="1">
      <alignment horizontal="left" vertical="top"/>
    </xf>
    <xf numFmtId="0" fontId="38" fillId="0" borderId="0" xfId="45" applyAlignment="1">
      <alignment horizontal="left" vertical="top"/>
    </xf>
    <xf numFmtId="9" fontId="30" fillId="37" borderId="0" xfId="2" applyFont="1" applyFill="1" applyAlignment="1">
      <alignment horizontal="center" vertical="center"/>
    </xf>
    <xf numFmtId="0" fontId="39" fillId="0" borderId="0" xfId="0" applyFont="1"/>
    <xf numFmtId="49" fontId="38" fillId="38" borderId="0" xfId="45" applyNumberFormat="1" applyFill="1" applyAlignment="1">
      <alignment vertical="top" wrapText="1"/>
    </xf>
    <xf numFmtId="0" fontId="34" fillId="40" borderId="0" xfId="0" applyFont="1" applyFill="1" applyAlignment="1">
      <alignment horizontal="left" vertical="center"/>
    </xf>
    <xf numFmtId="0" fontId="38" fillId="0" borderId="0" xfId="45"/>
    <xf numFmtId="49" fontId="27" fillId="0" borderId="0" xfId="0" applyNumberFormat="1" applyFont="1" applyAlignment="1">
      <alignment horizontal="left" vertical="center" wrapText="1"/>
    </xf>
    <xf numFmtId="49" fontId="30" fillId="38" borderId="0" xfId="2" applyNumberFormat="1" applyFont="1" applyFill="1" applyAlignment="1">
      <alignment horizontal="left" vertical="top" wrapText="1"/>
    </xf>
    <xf numFmtId="49" fontId="38" fillId="0" borderId="0" xfId="45" applyNumberFormat="1" applyAlignment="1">
      <alignment horizontal="left" vertical="center" wrapText="1"/>
    </xf>
    <xf numFmtId="49" fontId="38" fillId="38" borderId="0" xfId="45" applyNumberForma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095517" TargetMode="External"/><Relationship Id="rId18" Type="http://schemas.openxmlformats.org/officeDocument/2006/relationships/hyperlink" Target="https://us3.assetplanner.com/service_request?ID=092249" TargetMode="External"/><Relationship Id="rId26" Type="http://schemas.openxmlformats.org/officeDocument/2006/relationships/hyperlink" Target="https://us3.assetplanner.com/service_request?ID=089983" TargetMode="External"/><Relationship Id="rId39" Type="http://schemas.openxmlformats.org/officeDocument/2006/relationships/hyperlink" Target="https://us3.assetplanner.com/service_request?ID=095494" TargetMode="External"/><Relationship Id="rId21" Type="http://schemas.openxmlformats.org/officeDocument/2006/relationships/hyperlink" Target="https://us3.assetplanner.com/service_request?ID=096132" TargetMode="External"/><Relationship Id="rId34" Type="http://schemas.openxmlformats.org/officeDocument/2006/relationships/hyperlink" Target="https://us3.assetplanner.com/service_request?ID=095616" TargetMode="External"/><Relationship Id="rId42" Type="http://schemas.openxmlformats.org/officeDocument/2006/relationships/hyperlink" Target="https://us3.assetplanner.com/service_request?ID=095903" TargetMode="External"/><Relationship Id="rId47" Type="http://schemas.openxmlformats.org/officeDocument/2006/relationships/hyperlink" Target="https://us3.assetplanner.com/service_request?ID=095199" TargetMode="External"/><Relationship Id="rId50" Type="http://schemas.openxmlformats.org/officeDocument/2006/relationships/printerSettings" Target="../printerSettings/printerSettings3.bin"/><Relationship Id="rId7" Type="http://schemas.openxmlformats.org/officeDocument/2006/relationships/hyperlink" Target="https://us3.assetplanner.com/service_request?ID=089564" TargetMode="External"/><Relationship Id="rId2" Type="http://schemas.openxmlformats.org/officeDocument/2006/relationships/hyperlink" Target="https://us3.assetplanner.com/service_request?ID=089997" TargetMode="External"/><Relationship Id="rId16" Type="http://schemas.openxmlformats.org/officeDocument/2006/relationships/hyperlink" Target="https://us3.assetplanner.com/service_request?ID=095300" TargetMode="External"/><Relationship Id="rId29" Type="http://schemas.openxmlformats.org/officeDocument/2006/relationships/hyperlink" Target="https://us3.assetplanner.com/service_request?ID=096154" TargetMode="External"/><Relationship Id="rId11" Type="http://schemas.openxmlformats.org/officeDocument/2006/relationships/hyperlink" Target="https://us3.assetplanner.com/service_request?ID=094025" TargetMode="External"/><Relationship Id="rId24" Type="http://schemas.openxmlformats.org/officeDocument/2006/relationships/hyperlink" Target="https://us3.assetplanner.com/service_request?ID=095058" TargetMode="External"/><Relationship Id="rId32" Type="http://schemas.openxmlformats.org/officeDocument/2006/relationships/hyperlink" Target="https://us3.assetplanner.com/service_request?ID=095538" TargetMode="External"/><Relationship Id="rId37" Type="http://schemas.openxmlformats.org/officeDocument/2006/relationships/hyperlink" Target="https://us3.assetplanner.com/service_request?ID=095495" TargetMode="External"/><Relationship Id="rId40" Type="http://schemas.openxmlformats.org/officeDocument/2006/relationships/hyperlink" Target="https://us3.assetplanner.com/service_request?ID=095360" TargetMode="External"/><Relationship Id="rId45" Type="http://schemas.openxmlformats.org/officeDocument/2006/relationships/hyperlink" Target="https://us3.assetplanner.com/service_request?ID=095761" TargetMode="External"/><Relationship Id="rId5" Type="http://schemas.openxmlformats.org/officeDocument/2006/relationships/hyperlink" Target="https://us3.assetplanner.com/service_request?ID=089170" TargetMode="External"/><Relationship Id="rId15" Type="http://schemas.openxmlformats.org/officeDocument/2006/relationships/hyperlink" Target="https://us3.assetplanner.com/service_request?ID=096199" TargetMode="External"/><Relationship Id="rId23" Type="http://schemas.openxmlformats.org/officeDocument/2006/relationships/hyperlink" Target="https://us3.assetplanner.com/service_request?ID=095309" TargetMode="External"/><Relationship Id="rId28" Type="http://schemas.openxmlformats.org/officeDocument/2006/relationships/hyperlink" Target="https://us3.assetplanner.com/service_request?ID=094678" TargetMode="External"/><Relationship Id="rId36" Type="http://schemas.openxmlformats.org/officeDocument/2006/relationships/hyperlink" Target="https://us3.assetplanner.com/service_request?ID=092108" TargetMode="External"/><Relationship Id="rId49" Type="http://schemas.openxmlformats.org/officeDocument/2006/relationships/hyperlink" Target="https://us3.assetplanner.com/service_request?ID=095620" TargetMode="External"/><Relationship Id="rId10" Type="http://schemas.openxmlformats.org/officeDocument/2006/relationships/hyperlink" Target="https://us3.assetplanner.com/service_request?ID=093500" TargetMode="External"/><Relationship Id="rId19" Type="http://schemas.openxmlformats.org/officeDocument/2006/relationships/hyperlink" Target="https://us3.assetplanner.com/service_request?ID=093403" TargetMode="External"/><Relationship Id="rId31" Type="http://schemas.openxmlformats.org/officeDocument/2006/relationships/hyperlink" Target="https://us3.assetplanner.com/service_request?ID=095518" TargetMode="External"/><Relationship Id="rId44" Type="http://schemas.openxmlformats.org/officeDocument/2006/relationships/hyperlink" Target="https://us3.assetplanner.com/service_request?ID=094283" TargetMode="External"/><Relationship Id="rId4" Type="http://schemas.openxmlformats.org/officeDocument/2006/relationships/hyperlink" Target="https://us3.assetplanner.com/service_request?ID=094233" TargetMode="External"/><Relationship Id="rId9" Type="http://schemas.openxmlformats.org/officeDocument/2006/relationships/hyperlink" Target="https://us3.assetplanner.com/service_request?ID=093406" TargetMode="External"/><Relationship Id="rId14" Type="http://schemas.openxmlformats.org/officeDocument/2006/relationships/hyperlink" Target="https://us3.assetplanner.com/service_request?ID=095697" TargetMode="External"/><Relationship Id="rId22" Type="http://schemas.openxmlformats.org/officeDocument/2006/relationships/hyperlink" Target="https://us3.assetplanner.com/service_request?ID=095279" TargetMode="External"/><Relationship Id="rId27" Type="http://schemas.openxmlformats.org/officeDocument/2006/relationships/hyperlink" Target="https://us3.assetplanner.com/service_request?ID=095497" TargetMode="External"/><Relationship Id="rId30" Type="http://schemas.openxmlformats.org/officeDocument/2006/relationships/hyperlink" Target="https://us3.assetplanner.com/service_request?ID=095079" TargetMode="External"/><Relationship Id="rId35" Type="http://schemas.openxmlformats.org/officeDocument/2006/relationships/hyperlink" Target="https://us3.assetplanner.com/service_request?ID=095972" TargetMode="External"/><Relationship Id="rId43" Type="http://schemas.openxmlformats.org/officeDocument/2006/relationships/hyperlink" Target="https://us3.assetplanner.com/service_request?ID=094890" TargetMode="External"/><Relationship Id="rId48" Type="http://schemas.openxmlformats.org/officeDocument/2006/relationships/hyperlink" Target="https://us3.assetplanner.com/service_request?ID=095429" TargetMode="External"/><Relationship Id="rId8" Type="http://schemas.openxmlformats.org/officeDocument/2006/relationships/hyperlink" Target="https://us3.assetplanner.com/service_request?ID=093404" TargetMode="External"/><Relationship Id="rId3" Type="http://schemas.openxmlformats.org/officeDocument/2006/relationships/hyperlink" Target="https://us3.assetplanner.com/service_request?ID=095693" TargetMode="External"/><Relationship Id="rId12" Type="http://schemas.openxmlformats.org/officeDocument/2006/relationships/hyperlink" Target="https://us3.assetplanner.com/service_request?ID=094028" TargetMode="External"/><Relationship Id="rId17" Type="http://schemas.openxmlformats.org/officeDocument/2006/relationships/hyperlink" Target="https://us3.assetplanner.com/service_request?ID=095690" TargetMode="External"/><Relationship Id="rId25" Type="http://schemas.openxmlformats.org/officeDocument/2006/relationships/hyperlink" Target="https://us3.assetplanner.com/service_request?ID=095843" TargetMode="External"/><Relationship Id="rId33" Type="http://schemas.openxmlformats.org/officeDocument/2006/relationships/hyperlink" Target="https://us3.assetplanner.com/service_request?ID=095579" TargetMode="External"/><Relationship Id="rId38" Type="http://schemas.openxmlformats.org/officeDocument/2006/relationships/hyperlink" Target="https://us3.assetplanner.com/service_request?ID=095674" TargetMode="External"/><Relationship Id="rId46" Type="http://schemas.openxmlformats.org/officeDocument/2006/relationships/hyperlink" Target="https://us3.assetplanner.com/service_request?ID=094889" TargetMode="External"/><Relationship Id="rId20" Type="http://schemas.openxmlformats.org/officeDocument/2006/relationships/hyperlink" Target="https://us3.assetplanner.com/service_request?ID=096031" TargetMode="External"/><Relationship Id="rId41" Type="http://schemas.openxmlformats.org/officeDocument/2006/relationships/hyperlink" Target="https://us3.assetplanner.com/service_request?ID=092627" TargetMode="External"/><Relationship Id="rId1" Type="http://schemas.openxmlformats.org/officeDocument/2006/relationships/hyperlink" Target="https://us3.assetplanner.com/service_request?ID=095312" TargetMode="External"/><Relationship Id="rId6" Type="http://schemas.openxmlformats.org/officeDocument/2006/relationships/hyperlink" Target="https://us3.assetplanner.com/service_request?ID=095220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089983" TargetMode="External"/><Relationship Id="rId18" Type="http://schemas.openxmlformats.org/officeDocument/2006/relationships/hyperlink" Target="https://us3.assetplanner.com/service_request?ID=095495" TargetMode="External"/><Relationship Id="rId26" Type="http://schemas.openxmlformats.org/officeDocument/2006/relationships/hyperlink" Target="https://us3.assetplanner.com/service_request?ID=095761" TargetMode="External"/><Relationship Id="rId3" Type="http://schemas.openxmlformats.org/officeDocument/2006/relationships/hyperlink" Target="https://us3.assetplanner.com/service_request?ID=089170" TargetMode="External"/><Relationship Id="rId21" Type="http://schemas.openxmlformats.org/officeDocument/2006/relationships/hyperlink" Target="https://us3.assetplanner.com/service_request?ID=095494" TargetMode="External"/><Relationship Id="rId7" Type="http://schemas.openxmlformats.org/officeDocument/2006/relationships/hyperlink" Target="https://us3.assetplanner.com/service_request?ID=096199" TargetMode="External"/><Relationship Id="rId12" Type="http://schemas.openxmlformats.org/officeDocument/2006/relationships/hyperlink" Target="https://us3.assetplanner.com/service_request?ID=093403" TargetMode="External"/><Relationship Id="rId17" Type="http://schemas.openxmlformats.org/officeDocument/2006/relationships/hyperlink" Target="https://us3.assetplanner.com/service_request?ID=097175" TargetMode="External"/><Relationship Id="rId25" Type="http://schemas.openxmlformats.org/officeDocument/2006/relationships/hyperlink" Target="https://us3.assetplanner.com/service_request?ID=095199" TargetMode="External"/><Relationship Id="rId33" Type="http://schemas.openxmlformats.org/officeDocument/2006/relationships/hyperlink" Target="https://us3.assetplanner.com/service_request?ID=096221" TargetMode="External"/><Relationship Id="rId2" Type="http://schemas.openxmlformats.org/officeDocument/2006/relationships/hyperlink" Target="https://us3.assetplanner.com/service_request?ID=089997" TargetMode="External"/><Relationship Id="rId16" Type="http://schemas.openxmlformats.org/officeDocument/2006/relationships/hyperlink" Target="https://us3.assetplanner.com/service_request?ID=097183" TargetMode="External"/><Relationship Id="rId20" Type="http://schemas.openxmlformats.org/officeDocument/2006/relationships/hyperlink" Target="https://us3.assetplanner.com/service_request?ID=095674" TargetMode="External"/><Relationship Id="rId29" Type="http://schemas.openxmlformats.org/officeDocument/2006/relationships/hyperlink" Target="https://us3.assetplanner.com/service_request?ID=096558" TargetMode="External"/><Relationship Id="rId1" Type="http://schemas.openxmlformats.org/officeDocument/2006/relationships/hyperlink" Target="https://us3.assetplanner.com/service_request?ID=095312" TargetMode="External"/><Relationship Id="rId6" Type="http://schemas.openxmlformats.org/officeDocument/2006/relationships/hyperlink" Target="https://us3.assetplanner.com/service_request?ID=093404" TargetMode="External"/><Relationship Id="rId11" Type="http://schemas.openxmlformats.org/officeDocument/2006/relationships/hyperlink" Target="https://us3.assetplanner.com/service_request?ID=096031" TargetMode="External"/><Relationship Id="rId24" Type="http://schemas.openxmlformats.org/officeDocument/2006/relationships/hyperlink" Target="https://us3.assetplanner.com/service_request?ID=094890" TargetMode="External"/><Relationship Id="rId32" Type="http://schemas.openxmlformats.org/officeDocument/2006/relationships/hyperlink" Target="https://us3.assetplanner.com/service_request?ID=097608" TargetMode="External"/><Relationship Id="rId5" Type="http://schemas.openxmlformats.org/officeDocument/2006/relationships/hyperlink" Target="https://us3.assetplanner.com/service_request?ID=089564" TargetMode="External"/><Relationship Id="rId15" Type="http://schemas.openxmlformats.org/officeDocument/2006/relationships/hyperlink" Target="https://us3.assetplanner.com/service_request?ID=095518" TargetMode="External"/><Relationship Id="rId23" Type="http://schemas.openxmlformats.org/officeDocument/2006/relationships/hyperlink" Target="https://us3.assetplanner.com/service_request?ID=093773" TargetMode="External"/><Relationship Id="rId28" Type="http://schemas.openxmlformats.org/officeDocument/2006/relationships/hyperlink" Target="https://us3.assetplanner.com/service_request?ID=096557" TargetMode="External"/><Relationship Id="rId10" Type="http://schemas.openxmlformats.org/officeDocument/2006/relationships/hyperlink" Target="https://us3.assetplanner.com/service_request?ID=096522" TargetMode="External"/><Relationship Id="rId19" Type="http://schemas.openxmlformats.org/officeDocument/2006/relationships/hyperlink" Target="https://us3.assetplanner.com/service_request?ID=095573" TargetMode="External"/><Relationship Id="rId31" Type="http://schemas.openxmlformats.org/officeDocument/2006/relationships/hyperlink" Target="https://us3.assetplanner.com/service_request?ID=097196" TargetMode="External"/><Relationship Id="rId4" Type="http://schemas.openxmlformats.org/officeDocument/2006/relationships/hyperlink" Target="https://us3.assetplanner.com/service_request?ID=095220" TargetMode="External"/><Relationship Id="rId9" Type="http://schemas.openxmlformats.org/officeDocument/2006/relationships/hyperlink" Target="https://us3.assetplanner.com/service_request?ID=096206" TargetMode="External"/><Relationship Id="rId14" Type="http://schemas.openxmlformats.org/officeDocument/2006/relationships/hyperlink" Target="https://us3.assetplanner.com/service_request?ID=094678" TargetMode="External"/><Relationship Id="rId22" Type="http://schemas.openxmlformats.org/officeDocument/2006/relationships/hyperlink" Target="https://us3.assetplanner.com/service_request?ID=097872" TargetMode="External"/><Relationship Id="rId27" Type="http://schemas.openxmlformats.org/officeDocument/2006/relationships/hyperlink" Target="https://us3.assetplanner.com/service_request?ID=096555" TargetMode="External"/><Relationship Id="rId30" Type="http://schemas.openxmlformats.org/officeDocument/2006/relationships/hyperlink" Target="https://us3.assetplanner.com/service_request?ID=097964" TargetMode="External"/><Relationship Id="rId8" Type="http://schemas.openxmlformats.org/officeDocument/2006/relationships/hyperlink" Target="https://us3.assetplanner.com/service_request?ID=093500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098367" TargetMode="External"/><Relationship Id="rId18" Type="http://schemas.openxmlformats.org/officeDocument/2006/relationships/hyperlink" Target="https://us3.assetplanner.com/service_request?ID=097902" TargetMode="External"/><Relationship Id="rId26" Type="http://schemas.openxmlformats.org/officeDocument/2006/relationships/hyperlink" Target="https://us3.assetplanner.com/service_request?ID=097601" TargetMode="External"/><Relationship Id="rId39" Type="http://schemas.openxmlformats.org/officeDocument/2006/relationships/hyperlink" Target="https://us3.assetplanner.com/service_request?ID=096221" TargetMode="External"/><Relationship Id="rId21" Type="http://schemas.openxmlformats.org/officeDocument/2006/relationships/hyperlink" Target="https://us3.assetplanner.com/service_request?ID=098246" TargetMode="External"/><Relationship Id="rId34" Type="http://schemas.openxmlformats.org/officeDocument/2006/relationships/hyperlink" Target="https://us3.assetplanner.com/service_request?ID=095761" TargetMode="External"/><Relationship Id="rId7" Type="http://schemas.openxmlformats.org/officeDocument/2006/relationships/hyperlink" Target="https://us3.assetplanner.com/service_request?ID=098239" TargetMode="External"/><Relationship Id="rId12" Type="http://schemas.openxmlformats.org/officeDocument/2006/relationships/hyperlink" Target="https://us3.assetplanner.com/service_request?ID=093500" TargetMode="External"/><Relationship Id="rId17" Type="http://schemas.openxmlformats.org/officeDocument/2006/relationships/hyperlink" Target="https://us3.assetplanner.com/service_request?ID=093403" TargetMode="External"/><Relationship Id="rId25" Type="http://schemas.openxmlformats.org/officeDocument/2006/relationships/hyperlink" Target="https://us3.assetplanner.com/service_request?ID=095573" TargetMode="External"/><Relationship Id="rId33" Type="http://schemas.openxmlformats.org/officeDocument/2006/relationships/hyperlink" Target="https://us3.assetplanner.com/service_request?ID=094890" TargetMode="External"/><Relationship Id="rId38" Type="http://schemas.openxmlformats.org/officeDocument/2006/relationships/hyperlink" Target="https://us3.assetplanner.com/service_request?ID=097964" TargetMode="External"/><Relationship Id="rId2" Type="http://schemas.openxmlformats.org/officeDocument/2006/relationships/hyperlink" Target="https://us3.assetplanner.com/service_request?ID=095312" TargetMode="External"/><Relationship Id="rId16" Type="http://schemas.openxmlformats.org/officeDocument/2006/relationships/hyperlink" Target="https://us3.assetplanner.com/service_request?ID=096031" TargetMode="External"/><Relationship Id="rId20" Type="http://schemas.openxmlformats.org/officeDocument/2006/relationships/hyperlink" Target="https://us3.assetplanner.com/service_request?ID=099015" TargetMode="External"/><Relationship Id="rId29" Type="http://schemas.openxmlformats.org/officeDocument/2006/relationships/hyperlink" Target="https://us3.assetplanner.com/service_request?ID=098348" TargetMode="External"/><Relationship Id="rId1" Type="http://schemas.openxmlformats.org/officeDocument/2006/relationships/hyperlink" Target="https://us3.assetplanner.com/service_request?ID=070225" TargetMode="External"/><Relationship Id="rId6" Type="http://schemas.openxmlformats.org/officeDocument/2006/relationships/hyperlink" Target="https://us3.assetplanner.com/service_request?ID=093404" TargetMode="External"/><Relationship Id="rId11" Type="http://schemas.openxmlformats.org/officeDocument/2006/relationships/hyperlink" Target="https://us3.assetplanner.com/service_request?ID=098378" TargetMode="External"/><Relationship Id="rId24" Type="http://schemas.openxmlformats.org/officeDocument/2006/relationships/hyperlink" Target="https://us3.assetplanner.com/service_request?ID=094678" TargetMode="External"/><Relationship Id="rId32" Type="http://schemas.openxmlformats.org/officeDocument/2006/relationships/hyperlink" Target="https://us3.assetplanner.com/service_request?ID=093773" TargetMode="External"/><Relationship Id="rId37" Type="http://schemas.openxmlformats.org/officeDocument/2006/relationships/hyperlink" Target="https://us3.assetplanner.com/service_request?ID=096558" TargetMode="External"/><Relationship Id="rId5" Type="http://schemas.openxmlformats.org/officeDocument/2006/relationships/hyperlink" Target="https://us3.assetplanner.com/service_request?ID=089564" TargetMode="External"/><Relationship Id="rId15" Type="http://schemas.openxmlformats.org/officeDocument/2006/relationships/hyperlink" Target="https://us3.assetplanner.com/service_request?ID=099134" TargetMode="External"/><Relationship Id="rId23" Type="http://schemas.openxmlformats.org/officeDocument/2006/relationships/hyperlink" Target="https://us3.assetplanner.com/service_request?ID=098865" TargetMode="External"/><Relationship Id="rId28" Type="http://schemas.openxmlformats.org/officeDocument/2006/relationships/hyperlink" Target="https://us3.assetplanner.com/service_request?ID=098681" TargetMode="External"/><Relationship Id="rId36" Type="http://schemas.openxmlformats.org/officeDocument/2006/relationships/hyperlink" Target="https://us3.assetplanner.com/service_request?ID=096557" TargetMode="External"/><Relationship Id="rId10" Type="http://schemas.openxmlformats.org/officeDocument/2006/relationships/hyperlink" Target="https://us3.assetplanner.com/service_request?ID=099133" TargetMode="External"/><Relationship Id="rId19" Type="http://schemas.openxmlformats.org/officeDocument/2006/relationships/hyperlink" Target="https://us3.assetplanner.com/service_request?ID=098208" TargetMode="External"/><Relationship Id="rId31" Type="http://schemas.openxmlformats.org/officeDocument/2006/relationships/hyperlink" Target="https://us3.assetplanner.com/service_request?ID=099112" TargetMode="External"/><Relationship Id="rId4" Type="http://schemas.openxmlformats.org/officeDocument/2006/relationships/hyperlink" Target="https://us3.assetplanner.com/service_request?ID=089170" TargetMode="External"/><Relationship Id="rId9" Type="http://schemas.openxmlformats.org/officeDocument/2006/relationships/hyperlink" Target="https://us3.assetplanner.com/service_request?ID=098404" TargetMode="External"/><Relationship Id="rId14" Type="http://schemas.openxmlformats.org/officeDocument/2006/relationships/hyperlink" Target="https://us3.assetplanner.com/service_request?ID=098369" TargetMode="External"/><Relationship Id="rId22" Type="http://schemas.openxmlformats.org/officeDocument/2006/relationships/hyperlink" Target="https://us3.assetplanner.com/service_request?ID=098268" TargetMode="External"/><Relationship Id="rId27" Type="http://schemas.openxmlformats.org/officeDocument/2006/relationships/hyperlink" Target="https://us3.assetplanner.com/service_request?ID=098621" TargetMode="External"/><Relationship Id="rId30" Type="http://schemas.openxmlformats.org/officeDocument/2006/relationships/hyperlink" Target="https://us3.assetplanner.com/service_request?ID=098978" TargetMode="External"/><Relationship Id="rId35" Type="http://schemas.openxmlformats.org/officeDocument/2006/relationships/hyperlink" Target="https://us3.assetplanner.com/service_request?ID=096555" TargetMode="External"/><Relationship Id="rId8" Type="http://schemas.openxmlformats.org/officeDocument/2006/relationships/hyperlink" Target="https://us3.assetplanner.com/service_request?ID=098314" TargetMode="External"/><Relationship Id="rId3" Type="http://schemas.openxmlformats.org/officeDocument/2006/relationships/hyperlink" Target="https://us3.assetplanner.com/service_request?ID=09522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14" activePane="bottomRight" state="frozen"/>
      <selection pane="bottomRight" activeCell="D43" sqref="D4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0</v>
      </c>
      <c r="E1" s="98"/>
      <c r="F1" s="98"/>
      <c r="G1" s="96" t="s">
        <v>1</v>
      </c>
      <c r="H1" s="96"/>
      <c r="I1" s="96"/>
    </row>
    <row r="2" spans="1:9" ht="19.5" customHeight="1">
      <c r="A2" s="99" t="s">
        <v>2</v>
      </c>
      <c r="B2" s="99"/>
      <c r="C2" s="5">
        <f>SUM(C4:C100)</f>
        <v>11287095.443184106</v>
      </c>
      <c r="D2" s="5">
        <f>SUM(D4:D100)</f>
        <v>12057670.9549</v>
      </c>
      <c r="E2" s="5">
        <f>C2-D2</f>
        <v>-770575.51171589456</v>
      </c>
      <c r="F2" s="6">
        <f>IFERROR(E2/D2, 0)</f>
        <v>-6.390749213493406E-2</v>
      </c>
      <c r="G2" s="5">
        <f>SUM(G4:G100)</f>
        <v>7707275.3299999991</v>
      </c>
      <c r="H2" s="7">
        <f>C2-G2</f>
        <v>3579820.1131841065</v>
      </c>
      <c r="I2" s="6">
        <f>IFERROR(H2/G2, 0)</f>
        <v>0.46447284674649181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>10 Walpole Park South</v>
      </c>
      <c r="B4" s="9" t="str" cm="1">
        <f t="array" ref="B4:B38">Sites[State]</f>
        <v>MA</v>
      </c>
      <c r="C4" s="24">
        <f>SUM('1st Qtr'!C4, '2nd Qtr'!C4, '3rd Qtr'!C4, '4th Qtr'!C4)</f>
        <v>28480.5</v>
      </c>
      <c r="D4" s="13">
        <f>SUM('1st Qtr'!D4, '2nd Qtr'!D4, '3rd Qtr'!D4, '4th Qtr'!D4)</f>
        <v>30150.152000000002</v>
      </c>
      <c r="E4" s="13">
        <f>IF(AND(ISNUMBER(C4),ISNUMBER(D4)), C4-D4, "")</f>
        <v>-1669.6520000000019</v>
      </c>
      <c r="F4" s="14">
        <f>IFERROR(E4/D4, "")</f>
        <v>-5.5377896602312376E-2</v>
      </c>
      <c r="G4" s="15">
        <f>SUM('1st Qtr'!G4, '2nd Qtr'!G4, '3rd Qtr'!G4, '4th Qtr'!G4)</f>
        <v>30894.78</v>
      </c>
      <c r="H4" s="15">
        <f>SUM('1st Qtr'!H4, '2nd Qtr'!H4, '3rd Qtr'!H4, '4th Qtr'!H4)</f>
        <v>-2414.2799999999997</v>
      </c>
      <c r="I4" s="16">
        <f>IFERROR(H4/G4, "")</f>
        <v>-7.8145240069681668E-2</v>
      </c>
    </row>
    <row r="5" spans="1:9" ht="15.6">
      <c r="A5" s="17" t="str">
        <v>15 Walpole Park South</v>
      </c>
      <c r="B5" s="10" t="str">
        <v>MA</v>
      </c>
      <c r="C5" s="18">
        <f>SUM('1st Qtr'!C5, '2nd Qtr'!C5, '3rd Qtr'!C5, '4th Qtr'!C5)</f>
        <v>99535.5</v>
      </c>
      <c r="D5" s="18">
        <f>SUM('1st Qtr'!D5, '2nd Qtr'!D5, '3rd Qtr'!D5, '4th Qtr'!D5)</f>
        <v>124192.25</v>
      </c>
      <c r="E5" s="18">
        <f t="shared" ref="E5:E15" si="0">IF(AND(ISNUMBER(C5),ISNUMBER(D5)), C5-D5, "")</f>
        <v>-24656.75</v>
      </c>
      <c r="F5" s="19">
        <f>IFERROR(E5/D5, "")</f>
        <v>-0.19853694574339381</v>
      </c>
      <c r="G5" s="20">
        <f>SUM('1st Qtr'!G5, '2nd Qtr'!G5, '3rd Qtr'!G5, '4th Qtr'!G5)</f>
        <v>105340.49</v>
      </c>
      <c r="H5" s="67">
        <f>SUM('1st Qtr'!H5, '2nd Qtr'!H5, '3rd Qtr'!H5, '4th Qtr'!H5)</f>
        <v>-5804.9900000000052</v>
      </c>
      <c r="I5" s="19">
        <f>IFERROR(H5/G5, "")</f>
        <v>-5.510692042537494E-2</v>
      </c>
    </row>
    <row r="6" spans="1:9" ht="15.6">
      <c r="A6" s="12" t="str">
        <v>19 Walpole Park South</v>
      </c>
      <c r="B6" s="9" t="str">
        <v>MA</v>
      </c>
      <c r="C6" s="24">
        <f>SUM('1st Qtr'!C6, '2nd Qtr'!C6, '3rd Qtr'!C6, '4th Qtr'!C6)</f>
        <v>59076.125</v>
      </c>
      <c r="D6" s="13">
        <f>SUM('1st Qtr'!D6, '2nd Qtr'!D6, '3rd Qtr'!D6, '4th Qtr'!D6)</f>
        <v>73197.7</v>
      </c>
      <c r="E6" s="13">
        <f t="shared" si="0"/>
        <v>-14121.574999999997</v>
      </c>
      <c r="F6" s="14">
        <f t="shared" ref="F6:F15" si="1">IFERROR(E6/D6, "")</f>
        <v>-0.19292375306874393</v>
      </c>
      <c r="G6" s="15">
        <f>SUM('1st Qtr'!G6, '2nd Qtr'!G6, '3rd Qtr'!G6, '4th Qtr'!G6)</f>
        <v>67768.36</v>
      </c>
      <c r="H6" s="15">
        <f>SUM('1st Qtr'!H6, '2nd Qtr'!H6, '3rd Qtr'!H6, '4th Qtr'!H6)</f>
        <v>-8692.2350000000024</v>
      </c>
      <c r="I6" s="16">
        <f t="shared" ref="I6:I15" si="2">IFERROR(H6/G6, "")</f>
        <v>-0.1282639125397162</v>
      </c>
    </row>
    <row r="7" spans="1:9" ht="15.6">
      <c r="A7" s="17" t="str">
        <v>23 Walpole Park South</v>
      </c>
      <c r="B7" s="10" t="str">
        <v>MA</v>
      </c>
      <c r="C7" s="18">
        <f>SUM('1st Qtr'!C7, '2nd Qtr'!C7, '3rd Qtr'!C7, '4th Qtr'!C7)</f>
        <v>76139</v>
      </c>
      <c r="D7" s="18">
        <f>SUM('1st Qtr'!D7, '2nd Qtr'!D7, '3rd Qtr'!D7, '4th Qtr'!D7)</f>
        <v>94797.78</v>
      </c>
      <c r="E7" s="18">
        <f t="shared" si="0"/>
        <v>-18658.78</v>
      </c>
      <c r="F7" s="19">
        <f t="shared" si="1"/>
        <v>-0.19682718308382327</v>
      </c>
      <c r="G7" s="20">
        <f>SUM('1st Qtr'!G7, '2nd Qtr'!G7, '3rd Qtr'!G7, '4th Qtr'!G7)</f>
        <v>88133.959999999992</v>
      </c>
      <c r="H7" s="20">
        <f>SUM('1st Qtr'!H7, '2nd Qtr'!H7, '3rd Qtr'!H7, '4th Qtr'!H7)</f>
        <v>-11994.96</v>
      </c>
      <c r="I7" s="19">
        <f t="shared" si="2"/>
        <v>-0.1360991835610246</v>
      </c>
    </row>
    <row r="8" spans="1:9" ht="15.6">
      <c r="A8" s="12" t="str">
        <v>24 Walpole Park South</v>
      </c>
      <c r="B8" s="9" t="str">
        <v>MA</v>
      </c>
      <c r="C8" s="24">
        <f>SUM('1st Qtr'!C8, '2nd Qtr'!C8, '3rd Qtr'!C8, '4th Qtr'!C8)</f>
        <v>120525.5</v>
      </c>
      <c r="D8" s="13">
        <f>SUM('1st Qtr'!D8, '2nd Qtr'!D8, '3rd Qtr'!D8, '4th Qtr'!D8)</f>
        <v>112494.57999999999</v>
      </c>
      <c r="E8" s="13">
        <f t="shared" si="0"/>
        <v>8030.9200000000128</v>
      </c>
      <c r="F8" s="14">
        <f t="shared" si="1"/>
        <v>7.138939493796069E-2</v>
      </c>
      <c r="G8" s="15">
        <f>SUM('1st Qtr'!G8, '2nd Qtr'!G8, '3rd Qtr'!G8, '4th Qtr'!G8)</f>
        <v>135652.04</v>
      </c>
      <c r="H8" s="15">
        <f>SUM('1st Qtr'!H8, '2nd Qtr'!H8, '3rd Qtr'!H8, '4th Qtr'!H8)</f>
        <v>-15126.540000000008</v>
      </c>
      <c r="I8" s="16">
        <f t="shared" si="2"/>
        <v>-0.11150986008024655</v>
      </c>
    </row>
    <row r="9" spans="1:9" ht="15.6">
      <c r="A9" s="17" t="str">
        <v>25 Walpole Park South</v>
      </c>
      <c r="B9" s="10" t="str">
        <v>MA</v>
      </c>
      <c r="C9" s="18">
        <f>SUM('1st Qtr'!C9, '2nd Qtr'!C9, '3rd Qtr'!C9, '4th Qtr'!C9)</f>
        <v>115304.0628019329</v>
      </c>
      <c r="D9" s="18">
        <f>SUM('1st Qtr'!D9, '2nd Qtr'!D9, '3rd Qtr'!D9, '4th Qtr'!D9)</f>
        <v>140624.52000000002</v>
      </c>
      <c r="E9" s="18">
        <f t="shared" si="0"/>
        <v>-25320.457198067117</v>
      </c>
      <c r="F9" s="19">
        <f t="shared" si="1"/>
        <v>-0.18005719911482801</v>
      </c>
      <c r="G9" s="20">
        <f>SUM('1st Qtr'!G9, '2nd Qtr'!G9, '3rd Qtr'!G9, '4th Qtr'!G9)</f>
        <v>138033.84000000003</v>
      </c>
      <c r="H9" s="20">
        <f>SUM('1st Qtr'!H9, '2nd Qtr'!H9, '3rd Qtr'!H9, '4th Qtr'!H9)</f>
        <v>-22729.777198067106</v>
      </c>
      <c r="I9" s="19">
        <f t="shared" si="2"/>
        <v>-0.16466815092637502</v>
      </c>
    </row>
    <row r="10" spans="1:9" ht="15.6">
      <c r="A10" s="12" t="str">
        <v>3 Walpole Park South</v>
      </c>
      <c r="B10" s="9" t="str">
        <v>MA</v>
      </c>
      <c r="C10" s="24">
        <f>SUM('1st Qtr'!C10, '2nd Qtr'!C10, '3rd Qtr'!C10, '4th Qtr'!C10)</f>
        <v>142878.6875</v>
      </c>
      <c r="D10" s="13">
        <f>SUM('1st Qtr'!D10, '2nd Qtr'!D10, '3rd Qtr'!D10, '4th Qtr'!D10)</f>
        <v>187677.3</v>
      </c>
      <c r="E10" s="13">
        <f t="shared" si="0"/>
        <v>-44798.612499999988</v>
      </c>
      <c r="F10" s="14">
        <f t="shared" si="1"/>
        <v>-0.2387002184068078</v>
      </c>
      <c r="G10" s="15">
        <f>SUM('1st Qtr'!G10, '2nd Qtr'!G10, '3rd Qtr'!G10, '4th Qtr'!G10)</f>
        <v>161958.47999999998</v>
      </c>
      <c r="H10" s="15">
        <f>SUM('1st Qtr'!H10, '2nd Qtr'!H10, '3rd Qtr'!H10, '4th Qtr'!H10)</f>
        <v>-19079.792500000003</v>
      </c>
      <c r="I10" s="16">
        <f t="shared" si="2"/>
        <v>-0.1178066903319913</v>
      </c>
    </row>
    <row r="11" spans="1:9" ht="15.6">
      <c r="A11" s="17" t="str">
        <v>4 Walpole Park South</v>
      </c>
      <c r="B11" s="10" t="str">
        <v>MA</v>
      </c>
      <c r="C11" s="18">
        <f>SUM('1st Qtr'!C11, '2nd Qtr'!C11, '3rd Qtr'!C11, '4th Qtr'!C11)</f>
        <v>86259.5</v>
      </c>
      <c r="D11" s="18">
        <f>SUM('1st Qtr'!D11, '2nd Qtr'!D11, '3rd Qtr'!D11, '4th Qtr'!D11)</f>
        <v>108634.01000000001</v>
      </c>
      <c r="E11" s="18">
        <f t="shared" si="0"/>
        <v>-22374.510000000009</v>
      </c>
      <c r="F11" s="19">
        <f t="shared" si="1"/>
        <v>-0.20596229486511644</v>
      </c>
      <c r="G11" s="20">
        <f>SUM('1st Qtr'!G11, '2nd Qtr'!G11, '3rd Qtr'!G11, '4th Qtr'!G11)</f>
        <v>92343.57</v>
      </c>
      <c r="H11" s="20">
        <f>SUM('1st Qtr'!H11, '2nd Qtr'!H11, '3rd Qtr'!H11, '4th Qtr'!H11)</f>
        <v>-6084.07</v>
      </c>
      <c r="I11" s="19">
        <f t="shared" si="2"/>
        <v>-6.5885150422492864E-2</v>
      </c>
    </row>
    <row r="12" spans="1:9" ht="15.6">
      <c r="A12" s="12" t="str">
        <v>Brockton</v>
      </c>
      <c r="B12" s="9" t="str">
        <v>MA</v>
      </c>
      <c r="C12" s="24">
        <f>SUM('1st Qtr'!C12, '2nd Qtr'!C12, '3rd Qtr'!C12, '4th Qtr'!C12)</f>
        <v>149376.5</v>
      </c>
      <c r="D12" s="13">
        <f>SUM('1st Qtr'!D12, '2nd Qtr'!D12, '3rd Qtr'!D12, '4th Qtr'!D12)</f>
        <v>153472.93</v>
      </c>
      <c r="E12" s="13">
        <f t="shared" si="0"/>
        <v>-4096.429999999993</v>
      </c>
      <c r="F12" s="14">
        <f t="shared" si="1"/>
        <v>-2.6691547493098575E-2</v>
      </c>
      <c r="G12" s="15">
        <f>SUM('1st Qtr'!G12, '2nd Qtr'!G12, '3rd Qtr'!G12, '4th Qtr'!G12)</f>
        <v>153606.26999999999</v>
      </c>
      <c r="H12" s="15">
        <f>SUM('1st Qtr'!H12, '2nd Qtr'!H12, '3rd Qtr'!H12, '4th Qtr'!H12)</f>
        <v>-4229.7699999999968</v>
      </c>
      <c r="I12" s="16">
        <f t="shared" si="2"/>
        <v>-2.7536441058037521E-2</v>
      </c>
    </row>
    <row r="13" spans="1:9" ht="15.6">
      <c r="A13" s="17" t="str">
        <v>Canton</v>
      </c>
      <c r="B13" s="10" t="str">
        <v>MA</v>
      </c>
      <c r="C13" s="18">
        <f>SUM('1st Qtr'!C13, '2nd Qtr'!C13, '3rd Qtr'!C13, '4th Qtr'!C13)</f>
        <v>135542</v>
      </c>
      <c r="D13" s="18">
        <f>SUM('1st Qtr'!D13, '2nd Qtr'!D13, '3rd Qtr'!D13, '4th Qtr'!D13)</f>
        <v>167175.70000000001</v>
      </c>
      <c r="E13" s="18">
        <f t="shared" si="0"/>
        <v>-31633.700000000012</v>
      </c>
      <c r="F13" s="19">
        <f t="shared" si="1"/>
        <v>-0.18922427123080693</v>
      </c>
      <c r="G13" s="20">
        <f>SUM('1st Qtr'!G13, '2nd Qtr'!G13, '3rd Qtr'!G13, '4th Qtr'!G13)</f>
        <v>147523.69</v>
      </c>
      <c r="H13" s="20">
        <f>SUM('1st Qtr'!H13, '2nd Qtr'!H13, '3rd Qtr'!H13, '4th Qtr'!H13)</f>
        <v>-11981.689999999995</v>
      </c>
      <c r="I13" s="19">
        <f t="shared" si="2"/>
        <v>-8.1218752052636387E-2</v>
      </c>
    </row>
    <row r="14" spans="1:9" ht="15.6">
      <c r="A14" s="12" t="str">
        <v>Chelsea</v>
      </c>
      <c r="B14" s="9" t="str">
        <v>MA</v>
      </c>
      <c r="C14" s="24">
        <f>SUM('1st Qtr'!C14, '2nd Qtr'!C14, '3rd Qtr'!C14, '4th Qtr'!C14)</f>
        <v>251627</v>
      </c>
      <c r="D14" s="13">
        <f>SUM('1st Qtr'!D14, '2nd Qtr'!D14, '3rd Qtr'!D14, '4th Qtr'!D14)</f>
        <v>284169.8</v>
      </c>
      <c r="E14" s="13">
        <f t="shared" si="0"/>
        <v>-32542.799999999988</v>
      </c>
      <c r="F14" s="14">
        <f t="shared" si="1"/>
        <v>-0.1145188545721607</v>
      </c>
      <c r="G14" s="15">
        <f>SUM('1st Qtr'!G14, '2nd Qtr'!G14, '3rd Qtr'!G14, '4th Qtr'!G14)</f>
        <v>247313.41999999998</v>
      </c>
      <c r="H14" s="15">
        <f>SUM('1st Qtr'!H14, '2nd Qtr'!H14, '3rd Qtr'!H14, '4th Qtr'!H14)</f>
        <v>4313.5799999999945</v>
      </c>
      <c r="I14" s="16">
        <f t="shared" si="2"/>
        <v>1.7441754677121828E-2</v>
      </c>
    </row>
    <row r="15" spans="1:9" ht="15.6">
      <c r="A15" s="17" t="str">
        <v>Hamilton Landfill</v>
      </c>
      <c r="B15" s="10" t="str">
        <v>MA</v>
      </c>
      <c r="C15" s="18">
        <f>SUM('1st Qtr'!C15, '2nd Qtr'!C15, '3rd Qtr'!C15, '4th Qtr'!C15)</f>
        <v>176669.6</v>
      </c>
      <c r="D15" s="18">
        <f>SUM('1st Qtr'!D15, '2nd Qtr'!D15, '3rd Qtr'!D15, '4th Qtr'!D15)</f>
        <v>278430</v>
      </c>
      <c r="E15" s="18">
        <f t="shared" si="0"/>
        <v>-101760.4</v>
      </c>
      <c r="F15" s="19">
        <f t="shared" si="1"/>
        <v>-0.36547929461624107</v>
      </c>
      <c r="G15" s="20">
        <f>SUM('1st Qtr'!G15, '2nd Qtr'!G15, '3rd Qtr'!G15, '4th Qtr'!G15)</f>
        <v>0</v>
      </c>
      <c r="H15" s="20">
        <f>SUM('1st Qtr'!H15, '2nd Qtr'!H15, '3rd Qtr'!H15, '4th Qtr'!H15)</f>
        <v>176669.6</v>
      </c>
      <c r="I15" s="19" t="str">
        <f t="shared" si="2"/>
        <v/>
      </c>
    </row>
    <row r="16" spans="1:9" ht="15.6">
      <c r="A16" s="12" t="str">
        <v>Holliston</v>
      </c>
      <c r="B16" s="9" t="str">
        <v>MA</v>
      </c>
      <c r="C16" s="24">
        <f>SUM('1st Qtr'!C16, '2nd Qtr'!C16, '3rd Qtr'!C16, '4th Qtr'!C16)</f>
        <v>329638</v>
      </c>
      <c r="D16" s="13">
        <f>SUM('1st Qtr'!D16, '2nd Qtr'!D16, '3rd Qtr'!D16, '4th Qtr'!D16)</f>
        <v>377648.67000000004</v>
      </c>
      <c r="E16" s="13">
        <f t="shared" ref="E16:E19" si="3">IF(AND(ISNUMBER(C16),ISNUMBER(D16)), C16-D16, "")</f>
        <v>-48010.670000000042</v>
      </c>
      <c r="F16" s="14">
        <f t="shared" ref="F16:F19" si="4">IFERROR(E16/D16, "")</f>
        <v>-0.12713051524847166</v>
      </c>
      <c r="G16" s="15">
        <f>SUM('1st Qtr'!G16, '2nd Qtr'!G16, '3rd Qtr'!G16, '4th Qtr'!G16)</f>
        <v>392025.68</v>
      </c>
      <c r="H16" s="15">
        <f>SUM('1st Qtr'!H16, '2nd Qtr'!H16, '3rd Qtr'!H16, '4th Qtr'!H16)</f>
        <v>-62387.679999999993</v>
      </c>
      <c r="I16" s="16">
        <f t="shared" ref="I16:I19" si="5">IFERROR(H16/G16, "")</f>
        <v>-0.15914181948488679</v>
      </c>
    </row>
    <row r="17" spans="1:9" ht="15.6">
      <c r="A17" s="17" t="str">
        <v>Natick HS - Carports</v>
      </c>
      <c r="B17" s="10" t="str">
        <v>MA</v>
      </c>
      <c r="C17" s="18">
        <f>SUM('1st Qtr'!C17, '2nd Qtr'!C17, '3rd Qtr'!C17, '4th Qtr'!C17)</f>
        <v>105302.9</v>
      </c>
      <c r="D17" s="18">
        <f>SUM('1st Qtr'!D17, '2nd Qtr'!D17, '3rd Qtr'!D17, '4th Qtr'!D17)</f>
        <v>164122.85</v>
      </c>
      <c r="E17" s="18">
        <f t="shared" si="3"/>
        <v>-58819.950000000012</v>
      </c>
      <c r="F17" s="19">
        <f t="shared" si="4"/>
        <v>-0.3583897671774528</v>
      </c>
      <c r="G17" s="20">
        <f>SUM('1st Qtr'!G17, '2nd Qtr'!G17, '3rd Qtr'!G17, '4th Qtr'!G17)</f>
        <v>0</v>
      </c>
      <c r="H17" s="20">
        <f>SUM('1st Qtr'!H17, '2nd Qtr'!H17, '3rd Qtr'!H17, '4th Qtr'!H17)</f>
        <v>105302.9</v>
      </c>
      <c r="I17" s="19" t="str">
        <f t="shared" si="5"/>
        <v/>
      </c>
    </row>
    <row r="18" spans="1:9" ht="12.75" customHeight="1">
      <c r="A18" s="12" t="str">
        <v>Norton</v>
      </c>
      <c r="B18" s="9" t="str">
        <v>MA</v>
      </c>
      <c r="C18" s="24">
        <f>SUM('1st Qtr'!C18, '2nd Qtr'!C18, '3rd Qtr'!C18, '4th Qtr'!C18)</f>
        <v>0</v>
      </c>
      <c r="D18" s="13">
        <f>SUM('1st Qtr'!D18, '2nd Qtr'!D18, '3rd Qtr'!D18, '4th Qtr'!D18)</f>
        <v>0</v>
      </c>
      <c r="E18" s="13">
        <f t="shared" si="3"/>
        <v>0</v>
      </c>
      <c r="F18" s="14" t="str">
        <f t="shared" si="4"/>
        <v/>
      </c>
      <c r="G18" s="15">
        <f>SUM('1st Qtr'!G18, '2nd Qtr'!G18, '3rd Qtr'!G18, '4th Qtr'!G18)</f>
        <v>0</v>
      </c>
      <c r="H18" s="15">
        <f>SUM('1st Qtr'!H18, '2nd Qtr'!H18, '3rd Qtr'!H18, '4th Qtr'!H18)</f>
        <v>0</v>
      </c>
      <c r="I18" s="16" t="str">
        <f t="shared" si="5"/>
        <v/>
      </c>
    </row>
    <row r="19" spans="1:9" ht="15.6">
      <c r="A19" s="17" t="str">
        <v>Palmer - Boston Rd.</v>
      </c>
      <c r="B19" s="10" t="str">
        <v>MA</v>
      </c>
      <c r="C19" s="18">
        <f>SUM('1st Qtr'!C19, '2nd Qtr'!C19, '3rd Qtr'!C19, '4th Qtr'!C19)</f>
        <v>143516</v>
      </c>
      <c r="D19" s="18">
        <f>SUM('1st Qtr'!D19, '2nd Qtr'!D19, '3rd Qtr'!D19, '4th Qtr'!D19)</f>
        <v>164176.06</v>
      </c>
      <c r="E19" s="18">
        <f t="shared" si="3"/>
        <v>-20660.059999999998</v>
      </c>
      <c r="F19" s="19">
        <f t="shared" si="4"/>
        <v>-0.12584088082026088</v>
      </c>
      <c r="G19" s="20">
        <f>SUM('1st Qtr'!G19, '2nd Qtr'!G19, '3rd Qtr'!G19, '4th Qtr'!G19)</f>
        <v>177011</v>
      </c>
      <c r="H19" s="20">
        <f>SUM('1st Qtr'!H19, '2nd Qtr'!H19, '3rd Qtr'!H19, '4th Qtr'!H19)</f>
        <v>-33495</v>
      </c>
      <c r="I19" s="19">
        <f t="shared" si="5"/>
        <v>-0.18922552835699477</v>
      </c>
    </row>
    <row r="20" spans="1:9" ht="15.6">
      <c r="A20" s="12" t="str">
        <v>Shirley Bartkus</v>
      </c>
      <c r="B20" s="9" t="str">
        <v>MA</v>
      </c>
      <c r="C20" s="24">
        <f>SUM('1st Qtr'!C20, '2nd Qtr'!C20, '3rd Qtr'!C20, '4th Qtr'!C20)</f>
        <v>217882.5577756381</v>
      </c>
      <c r="D20" s="13">
        <f>SUM('1st Qtr'!D20, '2nd Qtr'!D20, '3rd Qtr'!D20, '4th Qtr'!D20)</f>
        <v>308199.69999999995</v>
      </c>
      <c r="E20" s="13">
        <f t="shared" ref="E20:E38" si="6">IF(AND(ISNUMBER(C20),ISNUMBER(D20)), C20-D20, "")</f>
        <v>-90317.142224361858</v>
      </c>
      <c r="F20" s="14">
        <f t="shared" ref="F20:F38" si="7">IFERROR(E20/D20, "")</f>
        <v>-0.29304746962557676</v>
      </c>
      <c r="G20" s="15">
        <f>SUM('1st Qtr'!G20, '2nd Qtr'!G20, '3rd Qtr'!G20, '4th Qtr'!G20)</f>
        <v>240628</v>
      </c>
      <c r="H20" s="15">
        <f>SUM('1st Qtr'!H20, '2nd Qtr'!H20, '3rd Qtr'!H20, '4th Qtr'!H20)</f>
        <v>-22745.442224361897</v>
      </c>
      <c r="I20" s="16">
        <f t="shared" ref="I20:I38" si="8">IFERROR(H20/G20, "")</f>
        <v>-9.4525334642526632E-2</v>
      </c>
    </row>
    <row r="21" spans="1:9" ht="15.6">
      <c r="A21" s="17" t="str">
        <v>Stoughton</v>
      </c>
      <c r="B21" s="10" t="str">
        <v>MA</v>
      </c>
      <c r="C21" s="18">
        <f>SUM('1st Qtr'!C21, '2nd Qtr'!C21, '3rd Qtr'!C21, '4th Qtr'!C21)</f>
        <v>171818</v>
      </c>
      <c r="D21" s="18">
        <f>SUM('1st Qtr'!D21, '2nd Qtr'!D21, '3rd Qtr'!D21, '4th Qtr'!D21)</f>
        <v>141376.62</v>
      </c>
      <c r="E21" s="18">
        <f t="shared" si="6"/>
        <v>30441.380000000005</v>
      </c>
      <c r="F21" s="19">
        <f t="shared" si="7"/>
        <v>0.21532117545319732</v>
      </c>
      <c r="G21" s="20">
        <f>SUM('1st Qtr'!G21, '2nd Qtr'!G21, '3rd Qtr'!G21, '4th Qtr'!G21)</f>
        <v>162931.04999999999</v>
      </c>
      <c r="H21" s="20">
        <f>SUM('1st Qtr'!H21, '2nd Qtr'!H21, '3rd Qtr'!H21, '4th Qtr'!H21)</f>
        <v>8886.9499999999971</v>
      </c>
      <c r="I21" s="19">
        <f t="shared" si="8"/>
        <v>5.4544238191554018E-2</v>
      </c>
    </row>
    <row r="22" spans="1:9" ht="15.6">
      <c r="A22" s="12" t="str">
        <v>Wellfleet Landfill</v>
      </c>
      <c r="B22" s="9" t="str">
        <v>MA</v>
      </c>
      <c r="C22" s="24">
        <f>SUM('1st Qtr'!C22, '2nd Qtr'!C22, '3rd Qtr'!C22, '4th Qtr'!C22)</f>
        <v>210714</v>
      </c>
      <c r="D22" s="13">
        <f>SUM('1st Qtr'!D22, '2nd Qtr'!D22, '3rd Qtr'!D22, '4th Qtr'!D22)</f>
        <v>196967.8</v>
      </c>
      <c r="E22" s="13">
        <f t="shared" si="6"/>
        <v>13746.200000000012</v>
      </c>
      <c r="F22" s="14">
        <f t="shared" si="7"/>
        <v>6.9789072122448503E-2</v>
      </c>
      <c r="G22" s="15">
        <f>SUM('1st Qtr'!G22, '2nd Qtr'!G22, '3rd Qtr'!G22, '4th Qtr'!G22)</f>
        <v>0</v>
      </c>
      <c r="H22" s="15">
        <f>SUM('1st Qtr'!H22, '2nd Qtr'!H22, '3rd Qtr'!H22, '4th Qtr'!H22)</f>
        <v>210714</v>
      </c>
      <c r="I22" s="16" t="str">
        <f t="shared" si="8"/>
        <v/>
      </c>
    </row>
    <row r="23" spans="1:9" ht="15.6">
      <c r="A23" s="17" t="str">
        <v>Wilmington Garage &amp; Building 7</v>
      </c>
      <c r="B23" s="10" t="str">
        <v>MA</v>
      </c>
      <c r="C23" s="18">
        <f>SUM('1st Qtr'!C23, '2nd Qtr'!C23, '3rd Qtr'!C23, '4th Qtr'!C23)</f>
        <v>182135.125</v>
      </c>
      <c r="D23" s="18">
        <f>SUM('1st Qtr'!D23, '2nd Qtr'!D23, '3rd Qtr'!D23, '4th Qtr'!D23)</f>
        <v>283219.88</v>
      </c>
      <c r="E23" s="18">
        <f t="shared" si="6"/>
        <v>-101084.755</v>
      </c>
      <c r="F23" s="19">
        <f t="shared" si="7"/>
        <v>-0.35691263974831144</v>
      </c>
      <c r="G23" s="20">
        <f>SUM('1st Qtr'!G23, '2nd Qtr'!G23, '3rd Qtr'!G23, '4th Qtr'!G23)</f>
        <v>244076.21</v>
      </c>
      <c r="H23" s="20">
        <f>SUM('1st Qtr'!H23, '2nd Qtr'!H23, '3rd Qtr'!H23, '4th Qtr'!H23)</f>
        <v>-61941.084999999999</v>
      </c>
      <c r="I23" s="19">
        <f t="shared" si="8"/>
        <v>-0.25377764182752593</v>
      </c>
    </row>
    <row r="24" spans="1:9" ht="15.6">
      <c r="A24" s="12" t="str">
        <v>Woburn</v>
      </c>
      <c r="B24" s="9" t="str">
        <v>MA</v>
      </c>
      <c r="C24" s="24">
        <f>SUM('1st Qtr'!C24, '2nd Qtr'!C24, '3rd Qtr'!C24, '4th Qtr'!C24)</f>
        <v>296544.5</v>
      </c>
      <c r="D24" s="13">
        <f>SUM('1st Qtr'!D24, '2nd Qtr'!D24, '3rd Qtr'!D24, '4th Qtr'!D24)</f>
        <v>483276.2</v>
      </c>
      <c r="E24" s="13">
        <f t="shared" si="6"/>
        <v>-186731.7</v>
      </c>
      <c r="F24" s="14">
        <f t="shared" si="7"/>
        <v>-0.38638712189840924</v>
      </c>
      <c r="G24" s="15">
        <f>SUM('1st Qtr'!G24, '2nd Qtr'!G24, '3rd Qtr'!G24, '4th Qtr'!G24)</f>
        <v>345279.41000000003</v>
      </c>
      <c r="H24" s="15">
        <f>SUM('1st Qtr'!H24, '2nd Qtr'!H24, '3rd Qtr'!H24, '4th Qtr'!H24)</f>
        <v>-48734.91</v>
      </c>
      <c r="I24" s="16">
        <f t="shared" si="8"/>
        <v>-0.1411462965602264</v>
      </c>
    </row>
    <row r="25" spans="1:9" ht="15.6">
      <c r="A25" s="17" t="str">
        <v>Friendship Solar 1</v>
      </c>
      <c r="B25" s="10" t="str">
        <v>MD</v>
      </c>
      <c r="C25" s="18">
        <f>SUM('1st Qtr'!C25, '2nd Qtr'!C25, '3rd Qtr'!C25, '4th Qtr'!C25)</f>
        <v>905797</v>
      </c>
      <c r="D25" s="18">
        <f>SUM('1st Qtr'!D25, '2nd Qtr'!D25, '3rd Qtr'!D25, '4th Qtr'!D25)</f>
        <v>959345.1</v>
      </c>
      <c r="E25" s="18">
        <f t="shared" si="6"/>
        <v>-53548.099999999977</v>
      </c>
      <c r="F25" s="19">
        <f t="shared" si="7"/>
        <v>-5.5817348730920688E-2</v>
      </c>
      <c r="G25" s="20">
        <f>SUM('1st Qtr'!G25, '2nd Qtr'!G25, '3rd Qtr'!G25, '4th Qtr'!G25)</f>
        <v>997729.3</v>
      </c>
      <c r="H25" s="20">
        <f>SUM('1st Qtr'!H25, '2nd Qtr'!H25, '3rd Qtr'!H25, '4th Qtr'!H25)</f>
        <v>-91932.300000000047</v>
      </c>
      <c r="I25" s="19">
        <f t="shared" si="8"/>
        <v>-9.2141525762549067E-2</v>
      </c>
    </row>
    <row r="26" spans="1:9" ht="15.6">
      <c r="A26" s="12" t="str">
        <v>Friendship Solar 2</v>
      </c>
      <c r="B26" s="9" t="str">
        <v>MD</v>
      </c>
      <c r="C26" s="24">
        <f>SUM('1st Qtr'!C26, '2nd Qtr'!C26, '3rd Qtr'!C26, '4th Qtr'!C26)</f>
        <v>900552</v>
      </c>
      <c r="D26" s="13">
        <f>SUM('1st Qtr'!D26, '2nd Qtr'!D26, '3rd Qtr'!D26, '4th Qtr'!D26)</f>
        <v>985864.9</v>
      </c>
      <c r="E26" s="13">
        <f t="shared" si="6"/>
        <v>-85312.900000000023</v>
      </c>
      <c r="F26" s="14">
        <f t="shared" si="7"/>
        <v>-8.6536096375882762E-2</v>
      </c>
      <c r="G26" s="15">
        <f>SUM('1st Qtr'!G26, '2nd Qtr'!G26, '3rd Qtr'!G26, '4th Qtr'!G26)</f>
        <v>1000565.5</v>
      </c>
      <c r="H26" s="15">
        <f>SUM('1st Qtr'!H26, '2nd Qtr'!H26, '3rd Qtr'!H26, '4th Qtr'!H26)</f>
        <v>-100013.50000000003</v>
      </c>
      <c r="I26" s="16">
        <f t="shared" si="8"/>
        <v>-9.9956974331015844E-2</v>
      </c>
    </row>
    <row r="27" spans="1:9" ht="15.6">
      <c r="A27" s="17" t="str">
        <v>101 Carnegie Center</v>
      </c>
      <c r="B27" s="10" t="str">
        <v>NJ</v>
      </c>
      <c r="C27" s="18">
        <f>SUM('1st Qtr'!C27, '2nd Qtr'!C27, '3rd Qtr'!C27, '4th Qtr'!C27)</f>
        <v>342707.35399999999</v>
      </c>
      <c r="D27" s="18">
        <f>SUM('1st Qtr'!D27, '2nd Qtr'!D27, '3rd Qtr'!D27, '4th Qtr'!D27)</f>
        <v>416221.70799999998</v>
      </c>
      <c r="E27" s="18">
        <f t="shared" si="6"/>
        <v>-73514.353999999992</v>
      </c>
      <c r="F27" s="19">
        <f t="shared" si="7"/>
        <v>-0.17662306551295973</v>
      </c>
      <c r="G27" s="20">
        <f>SUM('1st Qtr'!G27, '2nd Qtr'!G27, '3rd Qtr'!G27, '4th Qtr'!G27)</f>
        <v>0</v>
      </c>
      <c r="H27" s="20">
        <f>SUM('1st Qtr'!H27, '2nd Qtr'!H27, '3rd Qtr'!H27, '4th Qtr'!H27)</f>
        <v>342707.35399999999</v>
      </c>
      <c r="I27" s="19" t="str">
        <f t="shared" si="8"/>
        <v/>
      </c>
    </row>
    <row r="28" spans="1:9" ht="15.6">
      <c r="A28" s="12" t="str">
        <v>302 Carnegie Center</v>
      </c>
      <c r="B28" s="9" t="str">
        <v>NJ</v>
      </c>
      <c r="C28" s="24">
        <f>SUM('1st Qtr'!C28, '2nd Qtr'!C28, '3rd Qtr'!C28, '4th Qtr'!C28)</f>
        <v>152769.52399999998</v>
      </c>
      <c r="D28" s="13">
        <f>SUM('1st Qtr'!D28, '2nd Qtr'!D28, '3rd Qtr'!D28, '4th Qtr'!D28)</f>
        <v>175506.75</v>
      </c>
      <c r="E28" s="13">
        <f t="shared" si="6"/>
        <v>-22737.226000000024</v>
      </c>
      <c r="F28" s="14">
        <f t="shared" si="7"/>
        <v>-0.12955186054097648</v>
      </c>
      <c r="G28" s="15">
        <f>SUM('1st Qtr'!G28, '2nd Qtr'!G28, '3rd Qtr'!G28, '4th Qtr'!G28)</f>
        <v>0</v>
      </c>
      <c r="H28" s="15">
        <f>SUM('1st Qtr'!H28, '2nd Qtr'!H28, '3rd Qtr'!H28, '4th Qtr'!H28)</f>
        <v>152769.52399999998</v>
      </c>
      <c r="I28" s="16" t="str">
        <f t="shared" si="8"/>
        <v/>
      </c>
    </row>
    <row r="29" spans="1:9" ht="15.6">
      <c r="A29" s="17" t="str">
        <v>510 Carnegie Center</v>
      </c>
      <c r="B29" s="10" t="str">
        <v>NJ</v>
      </c>
      <c r="C29" s="18">
        <f>SUM('1st Qtr'!C29, '2nd Qtr'!C29, '3rd Qtr'!C29, '4th Qtr'!C29)</f>
        <v>366376.853</v>
      </c>
      <c r="D29" s="18">
        <f>SUM('1st Qtr'!D29, '2nd Qtr'!D29, '3rd Qtr'!D29, '4th Qtr'!D29)</f>
        <v>450788.4</v>
      </c>
      <c r="E29" s="18">
        <f t="shared" si="6"/>
        <v>-84411.54700000002</v>
      </c>
      <c r="F29" s="19">
        <f t="shared" si="7"/>
        <v>-0.18725314804018919</v>
      </c>
      <c r="G29" s="20">
        <f>SUM('1st Qtr'!G29, '2nd Qtr'!G29, '3rd Qtr'!G29, '4th Qtr'!G29)</f>
        <v>0</v>
      </c>
      <c r="H29" s="20">
        <f>SUM('1st Qtr'!H29, '2nd Qtr'!H29, '3rd Qtr'!H29, '4th Qtr'!H29)</f>
        <v>366376.853</v>
      </c>
      <c r="I29" s="19" t="str">
        <f t="shared" si="8"/>
        <v/>
      </c>
    </row>
    <row r="30" spans="1:9" ht="15.6">
      <c r="A30" s="12" t="str">
        <v>701 Carnegie Center</v>
      </c>
      <c r="B30" s="9" t="str">
        <v>NJ</v>
      </c>
      <c r="C30" s="24">
        <f>SUM('1st Qtr'!C30, '2nd Qtr'!C30, '3rd Qtr'!C30, '4th Qtr'!C30)</f>
        <v>295715.54800000001</v>
      </c>
      <c r="D30" s="13">
        <f>SUM('1st Qtr'!D30, '2nd Qtr'!D30, '3rd Qtr'!D30, '4th Qtr'!D30)</f>
        <v>353851.2</v>
      </c>
      <c r="E30" s="13">
        <f t="shared" si="6"/>
        <v>-58135.652000000002</v>
      </c>
      <c r="F30" s="14">
        <f t="shared" si="7"/>
        <v>-0.16429406484985778</v>
      </c>
      <c r="G30" s="15">
        <f>SUM('1st Qtr'!G30, '2nd Qtr'!G30, '3rd Qtr'!G30, '4th Qtr'!G30)</f>
        <v>0</v>
      </c>
      <c r="H30" s="15">
        <f>SUM('1st Qtr'!H30, '2nd Qtr'!H30, '3rd Qtr'!H30, '4th Qtr'!H30)</f>
        <v>295715.54800000001</v>
      </c>
      <c r="I30" s="16" t="str">
        <f t="shared" si="8"/>
        <v/>
      </c>
    </row>
    <row r="31" spans="1:9" ht="15.6">
      <c r="A31" s="17" t="str">
        <v>Hudson County Correction</v>
      </c>
      <c r="B31" s="10" t="str">
        <v>NJ</v>
      </c>
      <c r="C31" s="18">
        <f>SUM('1st Qtr'!C31, '2nd Qtr'!C31, '3rd Qtr'!C31, '4th Qtr'!C31)</f>
        <v>382514.55500666716</v>
      </c>
      <c r="D31" s="18">
        <f>SUM('1st Qtr'!D31, '2nd Qtr'!D31, '3rd Qtr'!D31, '4th Qtr'!D31)</f>
        <v>336163.78</v>
      </c>
      <c r="E31" s="18">
        <f t="shared" si="6"/>
        <v>46350.775006667129</v>
      </c>
      <c r="F31" s="19">
        <f t="shared" si="7"/>
        <v>0.13788152610214915</v>
      </c>
      <c r="G31" s="20">
        <f>SUM('1st Qtr'!G31, '2nd Qtr'!G31, '3rd Qtr'!G31, '4th Qtr'!G31)</f>
        <v>364717.01</v>
      </c>
      <c r="H31" s="20">
        <f>SUM('1st Qtr'!H31, '2nd Qtr'!H31, '3rd Qtr'!H31, '4th Qtr'!H31)</f>
        <v>17797.545006667191</v>
      </c>
      <c r="I31" s="19">
        <f t="shared" si="8"/>
        <v>4.8798231282569438E-2</v>
      </c>
    </row>
    <row r="32" spans="1:9" ht="15.6">
      <c r="A32" s="12" t="str">
        <v>ER Bison Solar</v>
      </c>
      <c r="B32" s="9" t="str">
        <v>PA</v>
      </c>
      <c r="C32" s="24">
        <f>SUM('1st Qtr'!C32, '2nd Qtr'!C32, '3rd Qtr'!C32, '4th Qtr'!C32)</f>
        <v>426729</v>
      </c>
      <c r="D32" s="13">
        <f>SUM('1st Qtr'!D32, '2nd Qtr'!D32, '3rd Qtr'!D32, '4th Qtr'!D32)</f>
        <v>0</v>
      </c>
      <c r="E32" s="13">
        <f t="shared" si="6"/>
        <v>426729</v>
      </c>
      <c r="F32" s="14" t="str">
        <f t="shared" si="7"/>
        <v/>
      </c>
      <c r="G32" s="15">
        <f>SUM('1st Qtr'!G32, '2nd Qtr'!G32, '3rd Qtr'!G32, '4th Qtr'!G32)</f>
        <v>434940</v>
      </c>
      <c r="H32" s="15">
        <f>SUM('1st Qtr'!H32, '2nd Qtr'!H32, '3rd Qtr'!H32, '4th Qtr'!H32)</f>
        <v>-8211</v>
      </c>
      <c r="I32" s="16">
        <f t="shared" si="8"/>
        <v>-1.8878465995309696E-2</v>
      </c>
    </row>
    <row r="33" spans="1:9" ht="15.6">
      <c r="A33" s="17" t="str">
        <v>Danville</v>
      </c>
      <c r="B33" s="10" t="str">
        <v>IL</v>
      </c>
      <c r="C33" s="18">
        <f>SUM('1st Qtr'!C33, '2nd Qtr'!C33, '3rd Qtr'!C33, '4th Qtr'!C33)</f>
        <v>788803.73</v>
      </c>
      <c r="D33" s="18">
        <f>SUM('1st Qtr'!D33, '2nd Qtr'!D33, '3rd Qtr'!D33, '4th Qtr'!D33)</f>
        <v>0</v>
      </c>
      <c r="E33" s="18">
        <f t="shared" si="6"/>
        <v>788803.73</v>
      </c>
      <c r="F33" s="19" t="str">
        <f t="shared" si="7"/>
        <v/>
      </c>
      <c r="G33" s="20">
        <f>SUM('1st Qtr'!G33, '2nd Qtr'!G33, '3rd Qtr'!G33, '4th Qtr'!G33)</f>
        <v>0</v>
      </c>
      <c r="H33" s="20">
        <f>SUM('1st Qtr'!H33, '2nd Qtr'!H33, '3rd Qtr'!H33, '4th Qtr'!H33)</f>
        <v>788803.73</v>
      </c>
      <c r="I33" s="19" t="str">
        <f t="shared" si="8"/>
        <v/>
      </c>
    </row>
    <row r="34" spans="1:9" ht="15.6">
      <c r="A34" s="12" t="str">
        <v>Camden - Campbell Soup HQ</v>
      </c>
      <c r="B34" s="9" t="str">
        <v>NJ</v>
      </c>
      <c r="C34" s="24">
        <f>SUM('1st Qtr'!C34, '2nd Qtr'!C34, '3rd Qtr'!C34, '4th Qtr'!C34)</f>
        <v>616249</v>
      </c>
      <c r="D34" s="13">
        <f>SUM('1st Qtr'!D34, '2nd Qtr'!D34, '3rd Qtr'!D34, '4th Qtr'!D34)</f>
        <v>971787.41489999997</v>
      </c>
      <c r="E34" s="13">
        <f t="shared" si="6"/>
        <v>-355538.41489999997</v>
      </c>
      <c r="F34" s="14">
        <f t="shared" si="7"/>
        <v>-0.3658602791605261</v>
      </c>
      <c r="G34" s="15">
        <f>SUM('1st Qtr'!G34, '2nd Qtr'!G34, '3rd Qtr'!G34, '4th Qtr'!G34)</f>
        <v>1018009.01</v>
      </c>
      <c r="H34" s="15">
        <f>SUM('1st Qtr'!H34, '2nd Qtr'!H34, '3rd Qtr'!H34, '4th Qtr'!H34)</f>
        <v>-401760.01</v>
      </c>
      <c r="I34" s="16">
        <f t="shared" si="8"/>
        <v>-0.3946527054804751</v>
      </c>
    </row>
    <row r="35" spans="1:9" ht="15.6">
      <c r="A35" s="17" t="str">
        <v>Westport - Pine Hill</v>
      </c>
      <c r="B35" s="10" t="str">
        <v>MA</v>
      </c>
      <c r="C35" s="18">
        <f>SUM('1st Qtr'!C35, '2nd Qtr'!C35, '3rd Qtr'!C35, '4th Qtr'!C35)</f>
        <v>700840.321099867</v>
      </c>
      <c r="D35" s="18">
        <f>SUM('1st Qtr'!D35, '2nd Qtr'!D35, '3rd Qtr'!D35, '4th Qtr'!D35)</f>
        <v>711236.39999999991</v>
      </c>
      <c r="E35" s="18">
        <f t="shared" si="6"/>
        <v>-10396.07890013291</v>
      </c>
      <c r="F35" s="19">
        <f t="shared" si="7"/>
        <v>-1.4616910636369163E-2</v>
      </c>
      <c r="G35" s="20">
        <f>SUM('1st Qtr'!G35, '2nd Qtr'!G35, '3rd Qtr'!G35, '4th Qtr'!G35)</f>
        <v>960794.26</v>
      </c>
      <c r="H35" s="20">
        <f>SUM('1st Qtr'!H35, '2nd Qtr'!H35, '3rd Qtr'!H35, '4th Qtr'!H35)</f>
        <v>-259953.93890013301</v>
      </c>
      <c r="I35" s="19">
        <f t="shared" si="8"/>
        <v>-0.27056150283426239</v>
      </c>
    </row>
    <row r="36" spans="1:9" ht="15.6">
      <c r="A36" s="12" t="str">
        <v>Oaks Landfill - ANEM</v>
      </c>
      <c r="B36" s="9" t="str">
        <v>MD</v>
      </c>
      <c r="C36" s="24">
        <f>SUM('1st Qtr'!C36, '2nd Qtr'!C36, '3rd Qtr'!C36, '4th Qtr'!C36)</f>
        <v>764378.8</v>
      </c>
      <c r="D36" s="13">
        <f>SUM('1st Qtr'!D36, '2nd Qtr'!D36, '3rd Qtr'!D36, '4th Qtr'!D36)</f>
        <v>931117.20000000007</v>
      </c>
      <c r="E36" s="13">
        <f t="shared" si="6"/>
        <v>-166738.40000000002</v>
      </c>
      <c r="F36" s="14">
        <f t="shared" si="7"/>
        <v>-0.17907348290848887</v>
      </c>
      <c r="G36" s="15">
        <f>SUM('1st Qtr'!G36, '2nd Qtr'!G36, '3rd Qtr'!G36, '4th Qtr'!G36)</f>
        <v>0</v>
      </c>
      <c r="H36" s="15">
        <f>SUM('1st Qtr'!H36, '2nd Qtr'!H36, '3rd Qtr'!H36, '4th Qtr'!H36)</f>
        <v>573344.30000000005</v>
      </c>
      <c r="I36" s="16" t="str">
        <f t="shared" si="8"/>
        <v/>
      </c>
    </row>
    <row r="37" spans="1:9" ht="15.6">
      <c r="A37" s="17" t="str">
        <v>Oaks Landfill - CS2</v>
      </c>
      <c r="B37" s="10" t="str">
        <v>MD</v>
      </c>
      <c r="C37" s="18">
        <f>SUM('1st Qtr'!C37, '2nd Qtr'!C37, '3rd Qtr'!C37, '4th Qtr'!C37)</f>
        <v>765667.7</v>
      </c>
      <c r="D37" s="18">
        <f>SUM('1st Qtr'!D37, '2nd Qtr'!D37, '3rd Qtr'!D37, '4th Qtr'!D37)</f>
        <v>936388.9</v>
      </c>
      <c r="E37" s="18">
        <f t="shared" si="6"/>
        <v>-170721.20000000007</v>
      </c>
      <c r="F37" s="19">
        <f t="shared" si="7"/>
        <v>-0.18231869258595448</v>
      </c>
      <c r="G37" s="20">
        <f>SUM('1st Qtr'!G37, '2nd Qtr'!G37, '3rd Qtr'!G37, '4th Qtr'!G37)</f>
        <v>0</v>
      </c>
      <c r="H37" s="20">
        <f>SUM('1st Qtr'!H37, '2nd Qtr'!H37, '3rd Qtr'!H37, '4th Qtr'!H37)</f>
        <v>560672.30000000005</v>
      </c>
      <c r="I37" s="19" t="str">
        <f t="shared" si="8"/>
        <v/>
      </c>
    </row>
    <row r="38" spans="1:9" ht="15.6">
      <c r="A38" s="12" t="str">
        <v>Oaks Landfill - CS1</v>
      </c>
      <c r="B38" s="9" t="str">
        <v>MD</v>
      </c>
      <c r="C38" s="24">
        <f>SUM('1st Qtr'!C38, '2nd Qtr'!C38, '3rd Qtr'!C38, '4th Qtr'!C38)</f>
        <v>779029</v>
      </c>
      <c r="D38" s="13">
        <f>SUM('1st Qtr'!D38, '2nd Qtr'!D38, '3rd Qtr'!D38, '4th Qtr'!D38)</f>
        <v>955394.7</v>
      </c>
      <c r="E38" s="13">
        <f t="shared" si="6"/>
        <v>-176365.69999999995</v>
      </c>
      <c r="F38" s="14">
        <f t="shared" si="7"/>
        <v>-0.18459983083431378</v>
      </c>
      <c r="G38" s="15">
        <f>SUM('1st Qtr'!G38, '2nd Qtr'!G38, '3rd Qtr'!G38, '4th Qtr'!G38)</f>
        <v>0</v>
      </c>
      <c r="H38" s="15">
        <f>SUM('1st Qtr'!H38, '2nd Qtr'!H38, '3rd Qtr'!H38, '4th Qtr'!H38)</f>
        <v>584094.9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16" activePane="bottomRight" state="frozen"/>
      <selection pane="bottomRight" activeCell="L20" sqref="L20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10</v>
      </c>
      <c r="E1" s="98"/>
      <c r="F1" s="98"/>
      <c r="G1" s="96" t="s">
        <v>11</v>
      </c>
      <c r="H1" s="96"/>
      <c r="I1" s="96"/>
    </row>
    <row r="2" spans="1:9" ht="19.5" customHeight="1">
      <c r="A2" s="99" t="s">
        <v>2</v>
      </c>
      <c r="B2" s="99"/>
      <c r="C2" s="5">
        <f>SUM(C4:C100)</f>
        <v>11287095.443184106</v>
      </c>
      <c r="D2" s="5">
        <f>SUM(D4:D100)</f>
        <v>12057670.9549</v>
      </c>
      <c r="E2" s="5">
        <f>C2-D2</f>
        <v>-770575.51171589456</v>
      </c>
      <c r="F2" s="6">
        <f>IFERROR(E2/D2, 0)</f>
        <v>-6.390749213493406E-2</v>
      </c>
      <c r="G2" s="5">
        <f>SUM(G4:G100)</f>
        <v>7707275.3299999991</v>
      </c>
      <c r="H2" s="7">
        <f>C2-G2</f>
        <v>3579820.1131841065</v>
      </c>
      <c r="I2" s="6">
        <f>IFERROR(H2/G2, 0)</f>
        <v>0.46447284674649181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38">Sites[Site]</f>
        <v>10 Walpole Park South</v>
      </c>
      <c r="B4" s="9" t="str" cm="1">
        <f t="array" ref="B4:B38">Sites[State]</f>
        <v>MA</v>
      </c>
      <c r="C4" s="24">
        <f>SUM(Jan!C4, Feb!C4, Mar!C4)</f>
        <v>28480.5</v>
      </c>
      <c r="D4" s="13">
        <f>SUM(Jan!D4, Feb!D4, Mar!D4)</f>
        <v>30150.152000000002</v>
      </c>
      <c r="E4" s="13">
        <f>IF(AND(ISNUMBER(C4),ISNUMBER(D4)), C4-D4, "")</f>
        <v>-1669.6520000000019</v>
      </c>
      <c r="F4" s="14">
        <f>IFERROR(E4/D4, "")</f>
        <v>-5.5377896602312376E-2</v>
      </c>
      <c r="G4" s="15">
        <f>SUM(Jan!G4, Feb!G4, Mar!G4)</f>
        <v>30894.78</v>
      </c>
      <c r="H4" s="15">
        <f>SUM(Jan!H4, Feb!H4, Mar!H4)</f>
        <v>-2414.2799999999997</v>
      </c>
      <c r="I4" s="16">
        <f>IFERROR(H4/G4, "")</f>
        <v>-7.8145240069681668E-2</v>
      </c>
    </row>
    <row r="5" spans="1:9" ht="15.6">
      <c r="A5" s="46" t="str">
        <v>15 Walpole Park South</v>
      </c>
      <c r="B5" s="10" t="str">
        <v>MA</v>
      </c>
      <c r="C5" s="11">
        <f>SUM(Jan!C5, Feb!C5, Mar!C5)</f>
        <v>99535.5</v>
      </c>
      <c r="D5" s="18">
        <f>SUM(Jan!D5, Feb!D5, Mar!D5)</f>
        <v>124192.25</v>
      </c>
      <c r="E5" s="18">
        <f t="shared" ref="E5:E15" si="0">IF(AND(ISNUMBER(C5),ISNUMBER(D5)), C5-D5, "")</f>
        <v>-24656.75</v>
      </c>
      <c r="F5" s="19">
        <f>IFERROR(E5/D5, "")</f>
        <v>-0.19853694574339381</v>
      </c>
      <c r="G5" s="20">
        <f>SUM(Jan!G5, Feb!G5, Mar!G5)</f>
        <v>105340.49</v>
      </c>
      <c r="H5" s="20">
        <f>SUM(Jan!H5, Feb!H5, Mar!H5)</f>
        <v>-5804.9900000000052</v>
      </c>
      <c r="I5" s="19">
        <f>IFERROR(H5/G5, "")</f>
        <v>-5.510692042537494E-2</v>
      </c>
    </row>
    <row r="6" spans="1:9" ht="15.6">
      <c r="A6" s="45" t="str">
        <v>19 Walpole Park South</v>
      </c>
      <c r="B6" s="9" t="str">
        <v>MA</v>
      </c>
      <c r="C6" s="24">
        <f>SUM(Jan!C6, Feb!C6, Mar!C6)</f>
        <v>59076.125</v>
      </c>
      <c r="D6" s="13">
        <f>SUM(Jan!D6, Feb!D6, Mar!D6)</f>
        <v>73197.7</v>
      </c>
      <c r="E6" s="13">
        <f t="shared" si="0"/>
        <v>-14121.574999999997</v>
      </c>
      <c r="F6" s="14">
        <f t="shared" ref="F6:F15" si="1">IFERROR(E6/D6, "")</f>
        <v>-0.19292375306874393</v>
      </c>
      <c r="G6" s="15">
        <f>SUM(Jan!G6, Feb!G6, Mar!G6)</f>
        <v>67768.36</v>
      </c>
      <c r="H6" s="15">
        <f>SUM(Jan!H6, Feb!H6, Mar!H6)</f>
        <v>-8692.2350000000024</v>
      </c>
      <c r="I6" s="16">
        <f t="shared" ref="I6:I15" si="2">IFERROR(H6/G6, "")</f>
        <v>-0.1282639125397162</v>
      </c>
    </row>
    <row r="7" spans="1:9" ht="15.6">
      <c r="A7" s="46" t="str">
        <v>23 Walpole Park South</v>
      </c>
      <c r="B7" s="10" t="str">
        <v>MA</v>
      </c>
      <c r="C7" s="11">
        <f>SUM(Jan!C7, Feb!C7, Mar!C7)</f>
        <v>76139</v>
      </c>
      <c r="D7" s="18">
        <f>SUM(Jan!D7, Feb!D7, Mar!D7)</f>
        <v>94797.78</v>
      </c>
      <c r="E7" s="18">
        <f t="shared" si="0"/>
        <v>-18658.78</v>
      </c>
      <c r="F7" s="19">
        <f t="shared" si="1"/>
        <v>-0.19682718308382327</v>
      </c>
      <c r="G7" s="20">
        <f>SUM(Jan!G7, Feb!G7, Mar!G7)</f>
        <v>88133.959999999992</v>
      </c>
      <c r="H7" s="20">
        <f>SUM(Jan!H7, Feb!H7, Mar!H7)</f>
        <v>-11994.96</v>
      </c>
      <c r="I7" s="19">
        <f t="shared" si="2"/>
        <v>-0.1360991835610246</v>
      </c>
    </row>
    <row r="8" spans="1:9" ht="15.6">
      <c r="A8" s="45" t="str">
        <v>24 Walpole Park South</v>
      </c>
      <c r="B8" s="9" t="str">
        <v>MA</v>
      </c>
      <c r="C8" s="24">
        <f>SUM(Jan!C8, Feb!C8, Mar!C8)</f>
        <v>120525.5</v>
      </c>
      <c r="D8" s="13">
        <f>SUM(Jan!D8, Feb!D8, Mar!D8)</f>
        <v>112494.57999999999</v>
      </c>
      <c r="E8" s="13">
        <f t="shared" si="0"/>
        <v>8030.9200000000128</v>
      </c>
      <c r="F8" s="14">
        <f t="shared" si="1"/>
        <v>7.138939493796069E-2</v>
      </c>
      <c r="G8" s="15">
        <f>SUM(Jan!G8, Feb!G8, Mar!G8)</f>
        <v>135652.04</v>
      </c>
      <c r="H8" s="15">
        <f>SUM(Jan!H8, Feb!H8, Mar!H8)</f>
        <v>-15126.540000000008</v>
      </c>
      <c r="I8" s="16">
        <f t="shared" si="2"/>
        <v>-0.11150986008024655</v>
      </c>
    </row>
    <row r="9" spans="1:9" ht="15.6">
      <c r="A9" s="46" t="str">
        <v>25 Walpole Park South</v>
      </c>
      <c r="B9" s="10" t="str">
        <v>MA</v>
      </c>
      <c r="C9" s="11">
        <f>SUM(Jan!C9, Feb!C9, Mar!C9)</f>
        <v>115304.0628019329</v>
      </c>
      <c r="D9" s="18">
        <f>SUM(Jan!D9, Feb!D9, Mar!D9)</f>
        <v>140624.52000000002</v>
      </c>
      <c r="E9" s="18">
        <f t="shared" si="0"/>
        <v>-25320.457198067117</v>
      </c>
      <c r="F9" s="19">
        <f t="shared" si="1"/>
        <v>-0.18005719911482801</v>
      </c>
      <c r="G9" s="20">
        <f>SUM(Jan!G9, Feb!G9, Mar!G9)</f>
        <v>138033.84000000003</v>
      </c>
      <c r="H9" s="20">
        <f>SUM(Jan!H9, Feb!H9, Mar!H9)</f>
        <v>-22729.777198067106</v>
      </c>
      <c r="I9" s="19">
        <f t="shared" si="2"/>
        <v>-0.16466815092637502</v>
      </c>
    </row>
    <row r="10" spans="1:9" ht="15.6">
      <c r="A10" s="45" t="str">
        <v>3 Walpole Park South</v>
      </c>
      <c r="B10" s="9" t="str">
        <v>MA</v>
      </c>
      <c r="C10" s="24">
        <f>SUM(Jan!C10, Feb!C10, Mar!C10)</f>
        <v>142878.6875</v>
      </c>
      <c r="D10" s="13">
        <f>SUM(Jan!D10, Feb!D10, Mar!D10)</f>
        <v>187677.3</v>
      </c>
      <c r="E10" s="13">
        <f t="shared" si="0"/>
        <v>-44798.612499999988</v>
      </c>
      <c r="F10" s="14">
        <f t="shared" si="1"/>
        <v>-0.2387002184068078</v>
      </c>
      <c r="G10" s="15">
        <f>SUM(Jan!G10, Feb!G10, Mar!G10)</f>
        <v>161958.47999999998</v>
      </c>
      <c r="H10" s="15">
        <f>SUM(Jan!H10, Feb!H10, Mar!H10)</f>
        <v>-19079.792500000003</v>
      </c>
      <c r="I10" s="16">
        <f t="shared" si="2"/>
        <v>-0.1178066903319913</v>
      </c>
    </row>
    <row r="11" spans="1:9" ht="15.6">
      <c r="A11" s="46" t="str">
        <v>4 Walpole Park South</v>
      </c>
      <c r="B11" s="10" t="str">
        <v>MA</v>
      </c>
      <c r="C11" s="11">
        <f>SUM(Jan!C11, Feb!C11, Mar!C11)</f>
        <v>86259.5</v>
      </c>
      <c r="D11" s="18">
        <f>SUM(Jan!D11, Feb!D11, Mar!D11)</f>
        <v>108634.01000000001</v>
      </c>
      <c r="E11" s="18">
        <f t="shared" si="0"/>
        <v>-22374.510000000009</v>
      </c>
      <c r="F11" s="19">
        <f t="shared" si="1"/>
        <v>-0.20596229486511644</v>
      </c>
      <c r="G11" s="20">
        <f>SUM(Jan!G11, Feb!G11, Mar!G11)</f>
        <v>92343.57</v>
      </c>
      <c r="H11" s="20">
        <f>SUM(Jan!H11, Feb!H11, Mar!H11)</f>
        <v>-6084.07</v>
      </c>
      <c r="I11" s="19">
        <f t="shared" si="2"/>
        <v>-6.5885150422492864E-2</v>
      </c>
    </row>
    <row r="12" spans="1:9" ht="15.6">
      <c r="A12" s="45" t="str">
        <v>Brockton</v>
      </c>
      <c r="B12" s="9" t="str">
        <v>MA</v>
      </c>
      <c r="C12" s="24">
        <f>SUM(Jan!C12, Feb!C12, Mar!C12)</f>
        <v>149376.5</v>
      </c>
      <c r="D12" s="13">
        <f>SUM(Jan!D12, Feb!D12, Mar!D12)</f>
        <v>153472.93</v>
      </c>
      <c r="E12" s="13">
        <f t="shared" si="0"/>
        <v>-4096.429999999993</v>
      </c>
      <c r="F12" s="14">
        <f t="shared" si="1"/>
        <v>-2.6691547493098575E-2</v>
      </c>
      <c r="G12" s="15">
        <f>SUM(Jan!G12, Feb!G12, Mar!G12)</f>
        <v>153606.26999999999</v>
      </c>
      <c r="H12" s="15">
        <f>SUM(Jan!H12, Feb!H12, Mar!H12)</f>
        <v>-4229.7699999999968</v>
      </c>
      <c r="I12" s="16">
        <f t="shared" si="2"/>
        <v>-2.7536441058037521E-2</v>
      </c>
    </row>
    <row r="13" spans="1:9" ht="15.6">
      <c r="A13" s="46" t="str">
        <v>Canton</v>
      </c>
      <c r="B13" s="10" t="str">
        <v>MA</v>
      </c>
      <c r="C13" s="11">
        <f>SUM(Jan!C13, Feb!C13, Mar!C13)</f>
        <v>135542</v>
      </c>
      <c r="D13" s="18">
        <f>SUM(Jan!D13, Feb!D13, Mar!D13)</f>
        <v>167175.70000000001</v>
      </c>
      <c r="E13" s="18">
        <f t="shared" si="0"/>
        <v>-31633.700000000012</v>
      </c>
      <c r="F13" s="19">
        <f t="shared" si="1"/>
        <v>-0.18922427123080693</v>
      </c>
      <c r="G13" s="20">
        <f>SUM(Jan!G13, Feb!G13, Mar!G13)</f>
        <v>147523.69</v>
      </c>
      <c r="H13" s="20">
        <f>SUM(Jan!H13, Feb!H13, Mar!H13)</f>
        <v>-11981.689999999995</v>
      </c>
      <c r="I13" s="19">
        <f t="shared" si="2"/>
        <v>-8.1218752052636387E-2</v>
      </c>
    </row>
    <row r="14" spans="1:9" ht="15.6">
      <c r="A14" s="45" t="str">
        <v>Chelsea</v>
      </c>
      <c r="B14" s="9" t="str">
        <v>MA</v>
      </c>
      <c r="C14" s="24">
        <f>SUM(Jan!C14, Feb!C14, Mar!C14)</f>
        <v>251627</v>
      </c>
      <c r="D14" s="13">
        <f>SUM(Jan!D14, Feb!D14, Mar!D14)</f>
        <v>284169.8</v>
      </c>
      <c r="E14" s="13">
        <f t="shared" si="0"/>
        <v>-32542.799999999988</v>
      </c>
      <c r="F14" s="14">
        <f t="shared" si="1"/>
        <v>-0.1145188545721607</v>
      </c>
      <c r="G14" s="15">
        <f>SUM(Jan!G14, Feb!G14, Mar!G14)</f>
        <v>247313.41999999998</v>
      </c>
      <c r="H14" s="15">
        <f>SUM(Jan!H14, Feb!H14, Mar!H14)</f>
        <v>4313.5799999999945</v>
      </c>
      <c r="I14" s="16">
        <f t="shared" si="2"/>
        <v>1.7441754677121828E-2</v>
      </c>
    </row>
    <row r="15" spans="1:9" ht="15.6">
      <c r="A15" s="46" t="str">
        <v>Hamilton Landfill</v>
      </c>
      <c r="B15" s="10" t="str">
        <v>MA</v>
      </c>
      <c r="C15" s="11">
        <f>SUM(Jan!C15, Feb!C15, Mar!C15)</f>
        <v>176669.6</v>
      </c>
      <c r="D15" s="18">
        <f>SUM(Jan!D15, Feb!D15, Mar!D15)</f>
        <v>278430</v>
      </c>
      <c r="E15" s="18">
        <f t="shared" si="0"/>
        <v>-101760.4</v>
      </c>
      <c r="F15" s="19">
        <f t="shared" si="1"/>
        <v>-0.36547929461624107</v>
      </c>
      <c r="G15" s="20">
        <f>SUM(Jan!G15, Feb!G15, Mar!G15)</f>
        <v>0</v>
      </c>
      <c r="H15" s="20">
        <f>SUM(Jan!H15, Feb!H15, Mar!H15)</f>
        <v>176669.6</v>
      </c>
      <c r="I15" s="19" t="str">
        <f t="shared" si="2"/>
        <v/>
      </c>
    </row>
    <row r="16" spans="1:9" ht="15.6">
      <c r="A16" s="45" t="str">
        <v>Holliston</v>
      </c>
      <c r="B16" s="9" t="str">
        <v>MA</v>
      </c>
      <c r="C16" s="24">
        <f>SUM(Jan!C16, Feb!C16, Mar!C16)</f>
        <v>329638</v>
      </c>
      <c r="D16" s="13">
        <f>SUM(Jan!D16, Feb!D16, Mar!D16)</f>
        <v>377648.67000000004</v>
      </c>
      <c r="E16" s="13">
        <f t="shared" ref="E16:E18" si="3">IF(AND(ISNUMBER(C16),ISNUMBER(D16)), C16-D16, "")</f>
        <v>-48010.670000000042</v>
      </c>
      <c r="F16" s="14">
        <f t="shared" ref="F16:F18" si="4">IFERROR(E16/D16, "")</f>
        <v>-0.12713051524847166</v>
      </c>
      <c r="G16" s="15">
        <f>SUM(Jan!G16, Feb!G16, Mar!G16)</f>
        <v>392025.68</v>
      </c>
      <c r="H16" s="15">
        <f>SUM(Jan!H16, Feb!H16, Mar!H16)</f>
        <v>-62387.679999999993</v>
      </c>
      <c r="I16" s="16">
        <f t="shared" ref="I16:I18" si="5">IFERROR(H16/G16, "")</f>
        <v>-0.15914181948488679</v>
      </c>
    </row>
    <row r="17" spans="1:9" ht="15.6">
      <c r="A17" s="46" t="str">
        <v>Natick HS - Carports</v>
      </c>
      <c r="B17" s="10" t="str">
        <v>MA</v>
      </c>
      <c r="C17" s="11">
        <f>SUM(Jan!C17, Feb!C17, Mar!C17)</f>
        <v>105302.9</v>
      </c>
      <c r="D17" s="18">
        <f>SUM(Jan!D17, Feb!D17, Mar!D17)</f>
        <v>164122.85</v>
      </c>
      <c r="E17" s="18">
        <f t="shared" si="3"/>
        <v>-58819.950000000012</v>
      </c>
      <c r="F17" s="19">
        <f t="shared" si="4"/>
        <v>-0.3583897671774528</v>
      </c>
      <c r="G17" s="20">
        <f>SUM(Jan!G17, Feb!G17, Mar!G17)</f>
        <v>0</v>
      </c>
      <c r="H17" s="20">
        <f>SUM(Jan!H17, Feb!H17, Mar!H17)</f>
        <v>105302.9</v>
      </c>
      <c r="I17" s="19" t="str">
        <f t="shared" si="5"/>
        <v/>
      </c>
    </row>
    <row r="18" spans="1:9" ht="12.75" customHeight="1">
      <c r="A18" s="45" t="str">
        <v>Norton</v>
      </c>
      <c r="B18" s="9" t="str">
        <v>MA</v>
      </c>
      <c r="C18" s="24">
        <f>SUM(Jan!C18, Feb!C18, Mar!C18)</f>
        <v>0</v>
      </c>
      <c r="D18" s="13">
        <f>SUM(Jan!D18, Feb!D18, Mar!D18)</f>
        <v>0</v>
      </c>
      <c r="E18" s="13">
        <f t="shared" si="3"/>
        <v>0</v>
      </c>
      <c r="F18" s="14" t="str">
        <f t="shared" si="4"/>
        <v/>
      </c>
      <c r="G18" s="15">
        <f>SUM(Jan!G18, Feb!G18, Mar!G18)</f>
        <v>0</v>
      </c>
      <c r="H18" s="15">
        <f>SUM(Jan!H18, Feb!H18, Mar!H18)</f>
        <v>0</v>
      </c>
      <c r="I18" s="16" t="str">
        <f t="shared" si="5"/>
        <v/>
      </c>
    </row>
    <row r="19" spans="1:9" ht="15.6">
      <c r="A19" s="46" t="str">
        <v>Palmer - Boston Rd.</v>
      </c>
      <c r="B19" s="10" t="str">
        <v>MA</v>
      </c>
      <c r="C19" s="11">
        <f>SUM(Jan!C19, Feb!C19, Mar!C19)</f>
        <v>143516</v>
      </c>
      <c r="D19" s="18">
        <f>SUM(Jan!D19, Feb!D19, Mar!D19)</f>
        <v>164176.06</v>
      </c>
      <c r="E19" s="18">
        <f t="shared" ref="E19:E38" si="6">IF(AND(ISNUMBER(C19),ISNUMBER(D19)), C19-D19, "")</f>
        <v>-20660.059999999998</v>
      </c>
      <c r="F19" s="19">
        <f t="shared" ref="F19:F38" si="7">IFERROR(E19/D19, "")</f>
        <v>-0.12584088082026088</v>
      </c>
      <c r="G19" s="20">
        <f>SUM(Jan!G19, Feb!G19, Mar!G19)</f>
        <v>177011</v>
      </c>
      <c r="H19" s="20">
        <f>SUM(Jan!H19, Feb!H19, Mar!H19)</f>
        <v>-33495</v>
      </c>
      <c r="I19" s="19">
        <f t="shared" ref="I19:I38" si="8">IFERROR(H19/G19, "")</f>
        <v>-0.18922552835699477</v>
      </c>
    </row>
    <row r="20" spans="1:9" ht="15.6">
      <c r="A20" s="45" t="str">
        <v>Shirley Bartkus</v>
      </c>
      <c r="B20" s="9" t="str">
        <v>MA</v>
      </c>
      <c r="C20" s="24">
        <f>SUM(Jan!C20, Feb!C20, Mar!C20)</f>
        <v>217882.5577756381</v>
      </c>
      <c r="D20" s="13">
        <f>SUM(Jan!D20, Feb!D20, Mar!D20)</f>
        <v>308199.69999999995</v>
      </c>
      <c r="E20" s="13">
        <f t="shared" si="6"/>
        <v>-90317.142224361858</v>
      </c>
      <c r="F20" s="14">
        <f t="shared" si="7"/>
        <v>-0.29304746962557676</v>
      </c>
      <c r="G20" s="15">
        <f>SUM(Jan!G20, Feb!G20, Mar!G20)</f>
        <v>240628</v>
      </c>
      <c r="H20" s="15">
        <f>SUM(Jan!H20, Feb!H20, Mar!H20)</f>
        <v>-22745.442224361897</v>
      </c>
      <c r="I20" s="16">
        <f t="shared" si="8"/>
        <v>-9.4525334642526632E-2</v>
      </c>
    </row>
    <row r="21" spans="1:9" ht="15.6">
      <c r="A21" s="46" t="str">
        <v>Stoughton</v>
      </c>
      <c r="B21" s="10" t="str">
        <v>MA</v>
      </c>
      <c r="C21" s="11">
        <f>SUM(Jan!C21, Feb!C21, Mar!C21)</f>
        <v>171818</v>
      </c>
      <c r="D21" s="18">
        <f>SUM(Jan!D21, Feb!D21, Mar!D21)</f>
        <v>141376.62</v>
      </c>
      <c r="E21" s="18">
        <f t="shared" si="6"/>
        <v>30441.380000000005</v>
      </c>
      <c r="F21" s="19">
        <f t="shared" si="7"/>
        <v>0.21532117545319732</v>
      </c>
      <c r="G21" s="20">
        <f>SUM(Jan!G21, Feb!G21, Mar!G21)</f>
        <v>162931.04999999999</v>
      </c>
      <c r="H21" s="20">
        <f>SUM(Jan!H21, Feb!H21, Mar!H21)</f>
        <v>8886.9499999999971</v>
      </c>
      <c r="I21" s="19">
        <f t="shared" si="8"/>
        <v>5.4544238191554018E-2</v>
      </c>
    </row>
    <row r="22" spans="1:9" ht="15.6">
      <c r="A22" s="45" t="str">
        <v>Wellfleet Landfill</v>
      </c>
      <c r="B22" s="9" t="str">
        <v>MA</v>
      </c>
      <c r="C22" s="24">
        <f>SUM(Jan!C22, Feb!C22, Mar!C22)</f>
        <v>210714</v>
      </c>
      <c r="D22" s="13">
        <f>SUM(Jan!D22, Feb!D22, Mar!D22)</f>
        <v>196967.8</v>
      </c>
      <c r="E22" s="13">
        <f t="shared" si="6"/>
        <v>13746.200000000012</v>
      </c>
      <c r="F22" s="14">
        <f t="shared" si="7"/>
        <v>6.9789072122448503E-2</v>
      </c>
      <c r="G22" s="15">
        <f>SUM(Jan!G22, Feb!G22, Mar!G22)</f>
        <v>0</v>
      </c>
      <c r="H22" s="15">
        <f>SUM(Jan!H22, Feb!H22, Mar!H22)</f>
        <v>210714</v>
      </c>
      <c r="I22" s="16" t="str">
        <f t="shared" si="8"/>
        <v/>
      </c>
    </row>
    <row r="23" spans="1:9" ht="15.6">
      <c r="A23" s="46" t="str">
        <v>Wilmington Garage &amp; Building 7</v>
      </c>
      <c r="B23" s="10" t="str">
        <v>MA</v>
      </c>
      <c r="C23" s="11">
        <f>SUM(Jan!C23, Feb!C23, Mar!C23)</f>
        <v>182135.125</v>
      </c>
      <c r="D23" s="18">
        <f>SUM(Jan!D23, Feb!D23, Mar!D23)</f>
        <v>283219.88</v>
      </c>
      <c r="E23" s="18">
        <f t="shared" si="6"/>
        <v>-101084.755</v>
      </c>
      <c r="F23" s="19">
        <f t="shared" si="7"/>
        <v>-0.35691263974831144</v>
      </c>
      <c r="G23" s="20">
        <f>SUM(Jan!G23, Feb!G23, Mar!G23)</f>
        <v>244076.21</v>
      </c>
      <c r="H23" s="20">
        <f>SUM(Jan!H23, Feb!H23, Mar!H23)</f>
        <v>-61941.084999999999</v>
      </c>
      <c r="I23" s="19">
        <f t="shared" si="8"/>
        <v>-0.25377764182752593</v>
      </c>
    </row>
    <row r="24" spans="1:9" ht="15.6">
      <c r="A24" s="45" t="str">
        <v>Woburn</v>
      </c>
      <c r="B24" s="9" t="str">
        <v>MA</v>
      </c>
      <c r="C24" s="24">
        <f>SUM(Jan!C24, Feb!C24, Mar!C24)</f>
        <v>296544.5</v>
      </c>
      <c r="D24" s="13">
        <f>SUM(Jan!D24, Feb!D24, Mar!D24)</f>
        <v>483276.2</v>
      </c>
      <c r="E24" s="13">
        <f t="shared" si="6"/>
        <v>-186731.7</v>
      </c>
      <c r="F24" s="14">
        <f t="shared" si="7"/>
        <v>-0.38638712189840924</v>
      </c>
      <c r="G24" s="15">
        <f>SUM(Jan!G24, Feb!G24, Mar!G24)</f>
        <v>345279.41000000003</v>
      </c>
      <c r="H24" s="15">
        <f>SUM(Jan!H24, Feb!H24, Mar!H24)</f>
        <v>-48734.91</v>
      </c>
      <c r="I24" s="16">
        <f t="shared" si="8"/>
        <v>-0.1411462965602264</v>
      </c>
    </row>
    <row r="25" spans="1:9" ht="15.6">
      <c r="A25" s="46" t="str">
        <v>Friendship Solar 1</v>
      </c>
      <c r="B25" s="10" t="str">
        <v>MD</v>
      </c>
      <c r="C25" s="11">
        <f>SUM(Jan!C25, Feb!C25, Mar!C25)</f>
        <v>905797</v>
      </c>
      <c r="D25" s="18">
        <f>SUM(Jan!D25, Feb!D25, Mar!D25)</f>
        <v>959345.1</v>
      </c>
      <c r="E25" s="18">
        <f t="shared" si="6"/>
        <v>-53548.099999999977</v>
      </c>
      <c r="F25" s="19">
        <f t="shared" si="7"/>
        <v>-5.5817348730920688E-2</v>
      </c>
      <c r="G25" s="20">
        <f>SUM(Jan!G25, Feb!G25, Mar!G25)</f>
        <v>997729.3</v>
      </c>
      <c r="H25" s="20">
        <f>SUM(Jan!H25, Feb!H25, Mar!H25)</f>
        <v>-91932.300000000047</v>
      </c>
      <c r="I25" s="19">
        <f t="shared" si="8"/>
        <v>-9.2141525762549067E-2</v>
      </c>
    </row>
    <row r="26" spans="1:9" ht="15.6">
      <c r="A26" s="45" t="str">
        <v>Friendship Solar 2</v>
      </c>
      <c r="B26" s="9" t="str">
        <v>MD</v>
      </c>
      <c r="C26" s="24">
        <f>SUM(Jan!C26, Feb!C26, Mar!C26)</f>
        <v>900552</v>
      </c>
      <c r="D26" s="13">
        <f>SUM(Jan!D26, Feb!D26, Mar!D26)</f>
        <v>985864.9</v>
      </c>
      <c r="E26" s="13">
        <f t="shared" si="6"/>
        <v>-85312.900000000023</v>
      </c>
      <c r="F26" s="14">
        <f t="shared" si="7"/>
        <v>-8.6536096375882762E-2</v>
      </c>
      <c r="G26" s="15">
        <f>SUM(Jan!G26, Feb!G26, Mar!G26)</f>
        <v>1000565.5</v>
      </c>
      <c r="H26" s="15">
        <f>SUM(Jan!H26, Feb!H26, Mar!H26)</f>
        <v>-100013.50000000003</v>
      </c>
      <c r="I26" s="16">
        <f t="shared" si="8"/>
        <v>-9.9956974331015844E-2</v>
      </c>
    </row>
    <row r="27" spans="1:9" ht="15.6">
      <c r="A27" s="46" t="str">
        <v>101 Carnegie Center</v>
      </c>
      <c r="B27" s="10" t="str">
        <v>NJ</v>
      </c>
      <c r="C27" s="11">
        <f>SUM(Jan!C27, Feb!C27, Mar!C27)</f>
        <v>342707.35399999999</v>
      </c>
      <c r="D27" s="18">
        <f>SUM(Jan!D27, Feb!D27, Mar!D27)</f>
        <v>416221.70799999998</v>
      </c>
      <c r="E27" s="18">
        <f t="shared" si="6"/>
        <v>-73514.353999999992</v>
      </c>
      <c r="F27" s="19">
        <f t="shared" si="7"/>
        <v>-0.17662306551295973</v>
      </c>
      <c r="G27" s="20">
        <f>SUM(Jan!G27, Feb!G27, Mar!G27)</f>
        <v>0</v>
      </c>
      <c r="H27" s="20">
        <f>SUM(Jan!H27, Feb!H27, Mar!H27)</f>
        <v>342707.35399999999</v>
      </c>
      <c r="I27" s="19" t="str">
        <f t="shared" si="8"/>
        <v/>
      </c>
    </row>
    <row r="28" spans="1:9" ht="15.6">
      <c r="A28" s="45" t="str">
        <v>302 Carnegie Center</v>
      </c>
      <c r="B28" s="9" t="str">
        <v>NJ</v>
      </c>
      <c r="C28" s="24">
        <f>SUM(Jan!C28, Feb!C28, Mar!C28)</f>
        <v>152769.52399999998</v>
      </c>
      <c r="D28" s="13">
        <f>SUM(Jan!D28, Feb!D28, Mar!D28)</f>
        <v>175506.75</v>
      </c>
      <c r="E28" s="13">
        <f t="shared" si="6"/>
        <v>-22737.226000000024</v>
      </c>
      <c r="F28" s="14">
        <f t="shared" si="7"/>
        <v>-0.12955186054097648</v>
      </c>
      <c r="G28" s="15">
        <f>SUM(Jan!G28, Feb!G28, Mar!G28)</f>
        <v>0</v>
      </c>
      <c r="H28" s="15">
        <f>SUM(Jan!H28, Feb!H28, Mar!H28)</f>
        <v>152769.52399999998</v>
      </c>
      <c r="I28" s="16" t="str">
        <f t="shared" si="8"/>
        <v/>
      </c>
    </row>
    <row r="29" spans="1:9" ht="15.6">
      <c r="A29" s="46" t="str">
        <v>510 Carnegie Center</v>
      </c>
      <c r="B29" s="10" t="str">
        <v>NJ</v>
      </c>
      <c r="C29" s="11">
        <f>SUM(Jan!C29, Feb!C29, Mar!C29)</f>
        <v>366376.853</v>
      </c>
      <c r="D29" s="18">
        <f>SUM(Jan!D29, Feb!D29, Mar!D29)</f>
        <v>450788.4</v>
      </c>
      <c r="E29" s="18">
        <f t="shared" si="6"/>
        <v>-84411.54700000002</v>
      </c>
      <c r="F29" s="19">
        <f t="shared" si="7"/>
        <v>-0.18725314804018919</v>
      </c>
      <c r="G29" s="20">
        <f>SUM(Jan!G29, Feb!G29, Mar!G29)</f>
        <v>0</v>
      </c>
      <c r="H29" s="20">
        <f>SUM(Jan!H29, Feb!H29, Mar!H29)</f>
        <v>366376.853</v>
      </c>
      <c r="I29" s="19" t="str">
        <f t="shared" si="8"/>
        <v/>
      </c>
    </row>
    <row r="30" spans="1:9" ht="15.6">
      <c r="A30" s="45" t="str">
        <v>701 Carnegie Center</v>
      </c>
      <c r="B30" s="9" t="str">
        <v>NJ</v>
      </c>
      <c r="C30" s="24">
        <f>SUM(Jan!C30, Feb!C30, Mar!C30)</f>
        <v>295715.54800000001</v>
      </c>
      <c r="D30" s="13">
        <f>SUM(Jan!D30, Feb!D30, Mar!D30)</f>
        <v>353851.2</v>
      </c>
      <c r="E30" s="13">
        <f t="shared" si="6"/>
        <v>-58135.652000000002</v>
      </c>
      <c r="F30" s="14">
        <f t="shared" si="7"/>
        <v>-0.16429406484985778</v>
      </c>
      <c r="G30" s="15">
        <f>SUM(Jan!G30, Feb!G30, Mar!G30)</f>
        <v>0</v>
      </c>
      <c r="H30" s="15">
        <f>SUM(Jan!H30, Feb!H30, Mar!H30)</f>
        <v>295715.54800000001</v>
      </c>
      <c r="I30" s="16" t="str">
        <f t="shared" si="8"/>
        <v/>
      </c>
    </row>
    <row r="31" spans="1:9" ht="15.6">
      <c r="A31" s="46" t="str">
        <v>Hudson County Correction</v>
      </c>
      <c r="B31" s="10" t="str">
        <v>NJ</v>
      </c>
      <c r="C31" s="11">
        <f>SUM(Jan!C31, Feb!C31, Mar!C31)</f>
        <v>382514.55500666716</v>
      </c>
      <c r="D31" s="18">
        <f>SUM(Jan!D31, Feb!D31, Mar!D31)</f>
        <v>336163.78</v>
      </c>
      <c r="E31" s="18">
        <f t="shared" si="6"/>
        <v>46350.775006667129</v>
      </c>
      <c r="F31" s="19">
        <f t="shared" si="7"/>
        <v>0.13788152610214915</v>
      </c>
      <c r="G31" s="20">
        <f>SUM(Jan!G31, Feb!G31, Mar!G31)</f>
        <v>364717.01</v>
      </c>
      <c r="H31" s="20">
        <f>SUM(Jan!H31, Feb!H31, Mar!H31)</f>
        <v>17797.545006667191</v>
      </c>
      <c r="I31" s="19">
        <f t="shared" si="8"/>
        <v>4.8798231282569438E-2</v>
      </c>
    </row>
    <row r="32" spans="1:9" ht="15.6">
      <c r="A32" s="45" t="str">
        <v>ER Bison Solar</v>
      </c>
      <c r="B32" s="9" t="str">
        <v>PA</v>
      </c>
      <c r="C32" s="24">
        <f>SUM(Jan!C32, Feb!C32, Mar!C32)</f>
        <v>426729</v>
      </c>
      <c r="D32" s="13">
        <f>SUM(Jan!D32, Feb!D32, Mar!D32)</f>
        <v>0</v>
      </c>
      <c r="E32" s="13">
        <f t="shared" si="6"/>
        <v>426729</v>
      </c>
      <c r="F32" s="14" t="str">
        <f t="shared" si="7"/>
        <v/>
      </c>
      <c r="G32" s="15">
        <f>SUM(Jan!G32, Feb!G32, Mar!G32)</f>
        <v>434940</v>
      </c>
      <c r="H32" s="15">
        <f>SUM(Jan!H32, Feb!H32, Mar!H32)</f>
        <v>-8211</v>
      </c>
      <c r="I32" s="16">
        <f t="shared" si="8"/>
        <v>-1.8878465995309696E-2</v>
      </c>
    </row>
    <row r="33" spans="1:9" ht="15.6">
      <c r="A33" s="46" t="str">
        <v>Danville</v>
      </c>
      <c r="B33" s="10" t="str">
        <v>IL</v>
      </c>
      <c r="C33" s="11">
        <f>SUM(Jan!C33, Feb!C33, Mar!C33)</f>
        <v>788803.73</v>
      </c>
      <c r="D33" s="21">
        <f>SUM(Jan!D33, Feb!D33, Mar!D33)</f>
        <v>0</v>
      </c>
      <c r="E33" s="18">
        <f t="shared" si="6"/>
        <v>788803.73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788803.73</v>
      </c>
      <c r="I33" s="19" t="str">
        <f t="shared" si="8"/>
        <v/>
      </c>
    </row>
    <row r="34" spans="1:9" ht="15.6">
      <c r="A34" s="45" t="str">
        <v>Camden - Campbell Soup HQ</v>
      </c>
      <c r="B34" s="9" t="str">
        <v>NJ</v>
      </c>
      <c r="C34" s="24">
        <f>SUM(Jan!C34, Feb!C34, Mar!C34)</f>
        <v>616249</v>
      </c>
      <c r="D34" s="13">
        <f>SUM(Jan!D34, Feb!D34, Mar!D34)</f>
        <v>971787.41489999997</v>
      </c>
      <c r="E34" s="13">
        <f t="shared" si="6"/>
        <v>-355538.41489999997</v>
      </c>
      <c r="F34" s="14">
        <f t="shared" si="7"/>
        <v>-0.3658602791605261</v>
      </c>
      <c r="G34" s="15">
        <f>SUM(Jan!G34, Feb!G34, Mar!G34)</f>
        <v>1018009.01</v>
      </c>
      <c r="H34" s="15">
        <f>SUM(Jan!H34, Feb!H34, Mar!H34)</f>
        <v>-401760.01</v>
      </c>
      <c r="I34" s="16">
        <f t="shared" si="8"/>
        <v>-0.3946527054804751</v>
      </c>
    </row>
    <row r="35" spans="1:9" ht="15.6">
      <c r="A35" s="46" t="str">
        <v>Westport - Pine Hill</v>
      </c>
      <c r="B35" s="10" t="str">
        <v>MA</v>
      </c>
      <c r="C35" s="11">
        <f>SUM(Jan!C35, Feb!C35, Mar!C35)</f>
        <v>700840.321099867</v>
      </c>
      <c r="D35" s="21">
        <f>SUM(Jan!D35, Feb!D35, Mar!D35)</f>
        <v>711236.39999999991</v>
      </c>
      <c r="E35" s="18">
        <f t="shared" si="6"/>
        <v>-10396.07890013291</v>
      </c>
      <c r="F35" s="19">
        <f t="shared" si="7"/>
        <v>-1.4616910636369163E-2</v>
      </c>
      <c r="G35" s="20">
        <f>SUM(Jan!G35, Feb!G35, Mar!G35)</f>
        <v>960794.26</v>
      </c>
      <c r="H35" s="20">
        <f>SUM(Jan!H35, Feb!H35, Mar!H35)</f>
        <v>-259953.93890013301</v>
      </c>
      <c r="I35" s="19">
        <f t="shared" si="8"/>
        <v>-0.27056150283426239</v>
      </c>
    </row>
    <row r="36" spans="1:9" ht="15.6">
      <c r="A36" s="45" t="str">
        <v>Oaks Landfill - ANEM</v>
      </c>
      <c r="B36" s="9" t="str">
        <v>MD</v>
      </c>
      <c r="C36" s="24">
        <f>SUM(Jan!C36, Feb!C36, Mar!C36)</f>
        <v>764378.8</v>
      </c>
      <c r="D36" s="13">
        <f>SUM(Jan!D36, Feb!D36, Mar!D36)</f>
        <v>931117.20000000007</v>
      </c>
      <c r="E36" s="13">
        <f t="shared" si="6"/>
        <v>-166738.40000000002</v>
      </c>
      <c r="F36" s="14">
        <f t="shared" si="7"/>
        <v>-0.17907348290848887</v>
      </c>
      <c r="G36" s="15">
        <f>SUM(Jan!G36, Feb!G36, Mar!G36)</f>
        <v>0</v>
      </c>
      <c r="H36" s="15">
        <f>SUM(Jan!H36, Feb!H36, Mar!H36)</f>
        <v>573344.30000000005</v>
      </c>
      <c r="I36" s="16" t="str">
        <f t="shared" si="8"/>
        <v/>
      </c>
    </row>
    <row r="37" spans="1:9" ht="15.6">
      <c r="A37" s="46" t="str">
        <v>Oaks Landfill - CS2</v>
      </c>
      <c r="B37" s="10" t="str">
        <v>MD</v>
      </c>
      <c r="C37" s="11">
        <f>SUM(Jan!C37, Feb!C37, Mar!C37)</f>
        <v>765667.7</v>
      </c>
      <c r="D37" s="21">
        <f>SUM(Jan!D37, Feb!D37, Mar!D37)</f>
        <v>936388.9</v>
      </c>
      <c r="E37" s="18">
        <f t="shared" si="6"/>
        <v>-170721.20000000007</v>
      </c>
      <c r="F37" s="19">
        <f t="shared" si="7"/>
        <v>-0.18231869258595448</v>
      </c>
      <c r="G37" s="20">
        <f>SUM(Jan!G37, Feb!G37, Mar!G37)</f>
        <v>0</v>
      </c>
      <c r="H37" s="20">
        <f>SUM(Jan!H37, Feb!H37, Mar!H37)</f>
        <v>560672.30000000005</v>
      </c>
      <c r="I37" s="19" t="str">
        <f t="shared" si="8"/>
        <v/>
      </c>
    </row>
    <row r="38" spans="1:9" ht="15.6">
      <c r="A38" s="45" t="str">
        <v>Oaks Landfill - CS1</v>
      </c>
      <c r="B38" s="9" t="str">
        <v>MD</v>
      </c>
      <c r="C38" s="24">
        <f>SUM(Jan!C38, Feb!C38, Mar!C38)</f>
        <v>779029</v>
      </c>
      <c r="D38" s="13">
        <f>SUM(Jan!D38, Feb!D38, Mar!D38)</f>
        <v>955394.7</v>
      </c>
      <c r="E38" s="13">
        <f t="shared" si="6"/>
        <v>-176365.69999999995</v>
      </c>
      <c r="F38" s="14">
        <f t="shared" si="7"/>
        <v>-0.18459983083431378</v>
      </c>
      <c r="G38" s="15">
        <f>SUM(Jan!G38, Feb!G38, Mar!G38)</f>
        <v>0</v>
      </c>
      <c r="H38" s="15">
        <f>SUM(Jan!H38, Feb!H38, Mar!H38)</f>
        <v>584094.9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21" activePane="bottomRight" state="frozen"/>
      <selection pane="bottomRight" activeCell="E48" sqref="E48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12</v>
      </c>
      <c r="E1" s="98"/>
      <c r="F1" s="98"/>
      <c r="G1" s="96" t="s">
        <v>13</v>
      </c>
      <c r="H1" s="96"/>
      <c r="I1" s="96"/>
    </row>
    <row r="2" spans="1:9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38">Sites[Site]</f>
        <v>10 Walpole Park South</v>
      </c>
      <c r="B4" s="9" t="str" cm="1">
        <f t="array" ref="B4:B38">Sites[State]</f>
        <v>MA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6" t="str">
        <v>15 Walpole Park South</v>
      </c>
      <c r="B5" s="10" t="str">
        <v>MA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45" t="str">
        <v>19 Walpole Park South</v>
      </c>
      <c r="B6" s="9" t="str">
        <v>MA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SUM(Apr!G6,May!G6,Jun!G6)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46" t="str">
        <v>23 Walpole Park South</v>
      </c>
      <c r="B7" s="10" t="str">
        <v>MA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18">
        <f>SUM(Apr!G7,May!G7,Jun!G7)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45" t="str">
        <v>24 Walpole Park South</v>
      </c>
      <c r="B8" s="9" t="str">
        <v>MA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>
        <f>SUM(Apr!G8,May!G8,Jun!G8)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46" t="str">
        <v>25 Walpole Park South</v>
      </c>
      <c r="B9" s="10" t="str">
        <v>MA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18">
        <f>SUM(Apr!G9,May!G9,Jun!G9)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45" t="str">
        <v>3 Walpole Park South</v>
      </c>
      <c r="B10" s="9" t="str">
        <v>MA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>
        <f>SUM(Apr!G10,May!G10,Jun!G10)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46" t="str">
        <v>4 Walpole Park South</v>
      </c>
      <c r="B11" s="10" t="str">
        <v>MA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18">
        <f>SUM(Apr!G11,May!G11,Jun!G11)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45" t="str">
        <v>Brockton</v>
      </c>
      <c r="B12" s="9" t="str">
        <v>MA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>
        <f>SUM(Apr!G12,May!G12,Jun!G12)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46" t="str">
        <v>Canton</v>
      </c>
      <c r="B13" s="10" t="str">
        <v>MA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18">
        <f>SUM(Apr!G13,May!G13,Jun!G13)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45" t="str">
        <v>Chelsea</v>
      </c>
      <c r="B14" s="9" t="str">
        <v>MA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>
        <f>SUM(Apr!G14,May!G14,Jun!G14)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46" t="str">
        <v>Hamilton Landfill</v>
      </c>
      <c r="B15" s="10" t="str">
        <v>MA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18">
        <f>SUM(Apr!G15,May!G15,Jun!G15)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45" t="str">
        <v>Holliston</v>
      </c>
      <c r="B16" s="9" t="str">
        <v>MA</v>
      </c>
      <c r="C16" s="24">
        <f>SUM(Apr!C16, May!C16, Jun!C16)</f>
        <v>0</v>
      </c>
      <c r="D16" s="13">
        <f>SUM(Apr!D16, May!D16, Jun!D16)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>
        <f>SUM(Apr!G16,May!G16,Jun!G16)</f>
        <v>0</v>
      </c>
      <c r="H16" s="15">
        <f>SUM(Apr!H16, May!H16, Jun!H16)</f>
        <v>0</v>
      </c>
      <c r="I16" s="16" t="str">
        <f t="shared" ref="I16:I18" si="5">IFERROR(H16/G16, "")</f>
        <v/>
      </c>
    </row>
    <row r="17" spans="1:9" ht="15.6">
      <c r="A17" s="46" t="str">
        <v>Natick HS - Carports</v>
      </c>
      <c r="B17" s="10" t="str">
        <v>MA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18">
        <f>SUM(Apr!G17,May!G17,Jun!G17)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45" t="str">
        <v>Norton</v>
      </c>
      <c r="B18" s="9" t="str">
        <v>MA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>
        <f>SUM(Apr!G18,May!G18,Jun!G18)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46" t="str">
        <v>Palmer - Boston Rd.</v>
      </c>
      <c r="B19" s="10" t="str">
        <v>MA</v>
      </c>
      <c r="C19" s="11">
        <f>SUM(Apr!C19, May!C19, Jun!C19)</f>
        <v>0</v>
      </c>
      <c r="D19" s="18">
        <f>SUM(Apr!D19, May!D19, Jun!D19)</f>
        <v>0</v>
      </c>
      <c r="E19" s="18">
        <f t="shared" ref="E19:E38" si="6">IF(AND(ISNUMBER(C19),ISNUMBER(D19)), C19-D19, "")</f>
        <v>0</v>
      </c>
      <c r="F19" s="19" t="str">
        <f t="shared" ref="F19:F34" si="7">IFERROR(E19/D19, "")</f>
        <v/>
      </c>
      <c r="G19" s="18">
        <f>SUM(Apr!G19,May!G19,Jun!G19)</f>
        <v>0</v>
      </c>
      <c r="H19" s="20">
        <f>SUM(Apr!H19, May!H19, Jun!H19)</f>
        <v>0</v>
      </c>
      <c r="I19" s="19" t="str">
        <f t="shared" ref="I19:I34" si="8">IFERROR(H19/G19, "")</f>
        <v/>
      </c>
    </row>
    <row r="20" spans="1:9" ht="15.6">
      <c r="A20" s="45" t="str">
        <v>Shirley Bartkus</v>
      </c>
      <c r="B20" s="9" t="str">
        <v>MA</v>
      </c>
      <c r="C20" s="24">
        <f>SUM(Apr!C20, May!C20, Jun!C20)</f>
        <v>0</v>
      </c>
      <c r="D20" s="13">
        <f>SUM(Apr!D20, May!D20, Jun!D20)</f>
        <v>0</v>
      </c>
      <c r="E20" s="13">
        <f t="shared" si="6"/>
        <v>0</v>
      </c>
      <c r="F20" s="14" t="str">
        <f t="shared" si="7"/>
        <v/>
      </c>
      <c r="G20" s="15">
        <f>SUM(Apr!G20,May!G20,Jun!G20)</f>
        <v>0</v>
      </c>
      <c r="H20" s="15">
        <f>SUM(Apr!H20, May!H20, Jun!H20)</f>
        <v>0</v>
      </c>
      <c r="I20" s="16" t="str">
        <f t="shared" si="8"/>
        <v/>
      </c>
    </row>
    <row r="21" spans="1:9" ht="15.6">
      <c r="A21" s="46" t="str">
        <v>Stoughton</v>
      </c>
      <c r="B21" s="10" t="str">
        <v>MA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18">
        <f>SUM(Apr!G21,May!G21,Jun!G21)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45" t="str">
        <v>Wellfleet Landfill</v>
      </c>
      <c r="B22" s="9" t="str">
        <v>MA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>
        <f>SUM(Apr!G22,May!G22,Jun!G22)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46" t="str">
        <v>Wilmington Garage &amp; Building 7</v>
      </c>
      <c r="B23" s="10" t="str">
        <v>MA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18">
        <f>SUM(Apr!G23,May!G23,Jun!G23)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45" t="str">
        <v>Woburn</v>
      </c>
      <c r="B24" s="9" t="str">
        <v>MA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5">
        <f>SUM(Apr!G24,May!G24,Jun!G24)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46" t="str">
        <v>Friendship Solar 1</v>
      </c>
      <c r="B25" s="10" t="str">
        <v>MD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18">
        <f>SUM(Apr!G25,May!G25,Jun!G25)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45" t="str">
        <v>Friendship Solar 2</v>
      </c>
      <c r="B26" s="9" t="str">
        <v>MD</v>
      </c>
      <c r="C26" s="24">
        <f>SUM(Apr!C26, May!C26, Jun!C26)</f>
        <v>0</v>
      </c>
      <c r="D26" s="13">
        <f>SUM(Apr!D26, May!D26, Jun!D26)</f>
        <v>0</v>
      </c>
      <c r="E26" s="13">
        <f t="shared" si="6"/>
        <v>0</v>
      </c>
      <c r="F26" s="14" t="str">
        <f t="shared" si="7"/>
        <v/>
      </c>
      <c r="G26" s="15">
        <f>SUM(Apr!G26,May!G26,Jun!G26)</f>
        <v>0</v>
      </c>
      <c r="H26" s="15">
        <f>SUM(Apr!H26, May!H26, Jun!H26)</f>
        <v>0</v>
      </c>
      <c r="I26" s="16" t="str">
        <f t="shared" si="8"/>
        <v/>
      </c>
    </row>
    <row r="27" spans="1:9" ht="15.6">
      <c r="A27" s="46" t="str">
        <v>101 Carnegie Center</v>
      </c>
      <c r="B27" s="10" t="str">
        <v>NJ</v>
      </c>
      <c r="C27" s="11">
        <f>SUM(Apr!C27, May!C27, Jun!C27)</f>
        <v>0</v>
      </c>
      <c r="D27" s="18">
        <f>SUM(Apr!D27, May!D27, Jun!D27)</f>
        <v>0</v>
      </c>
      <c r="E27" s="18">
        <f t="shared" si="6"/>
        <v>0</v>
      </c>
      <c r="F27" s="19" t="str">
        <f t="shared" si="7"/>
        <v/>
      </c>
      <c r="G27" s="18">
        <f>SUM(Apr!G27,May!G27,Jun!G27)</f>
        <v>0</v>
      </c>
      <c r="H27" s="20">
        <f>SUM(Apr!H27, May!H27, Jun!H27)</f>
        <v>0</v>
      </c>
      <c r="I27" s="19" t="str">
        <f t="shared" si="8"/>
        <v/>
      </c>
    </row>
    <row r="28" spans="1:9" ht="15.6">
      <c r="A28" s="45" t="str">
        <v>302 Carnegie Center</v>
      </c>
      <c r="B28" s="9" t="str">
        <v>NJ</v>
      </c>
      <c r="C28" s="24">
        <f>SUM(Apr!C28, May!C28, Jun!C28)</f>
        <v>0</v>
      </c>
      <c r="D28" s="13">
        <f>SUM(Apr!D28, May!D28, Jun!D28)</f>
        <v>0</v>
      </c>
      <c r="E28" s="13">
        <f t="shared" si="6"/>
        <v>0</v>
      </c>
      <c r="F28" s="14" t="str">
        <f t="shared" si="7"/>
        <v/>
      </c>
      <c r="G28" s="15">
        <f>SUM(Apr!G28,May!G28,Jun!G28)</f>
        <v>0</v>
      </c>
      <c r="H28" s="15">
        <f>SUM(Apr!H28, May!H28, Jun!H28)</f>
        <v>0</v>
      </c>
      <c r="I28" s="16" t="str">
        <f t="shared" si="8"/>
        <v/>
      </c>
    </row>
    <row r="29" spans="1:9" ht="15.6">
      <c r="A29" s="46" t="str">
        <v>510 Carnegie Center</v>
      </c>
      <c r="B29" s="10" t="str">
        <v>NJ</v>
      </c>
      <c r="C29" s="11">
        <f>SUM(Apr!C29, May!C29, Jun!C29)</f>
        <v>0</v>
      </c>
      <c r="D29" s="18">
        <f>SUM(Apr!D29, May!D29, Jun!D29)</f>
        <v>0</v>
      </c>
      <c r="E29" s="18">
        <f t="shared" si="6"/>
        <v>0</v>
      </c>
      <c r="F29" s="19" t="str">
        <f t="shared" si="7"/>
        <v/>
      </c>
      <c r="G29" s="18">
        <f>SUM(Apr!G29,May!G29,Jun!G29)</f>
        <v>0</v>
      </c>
      <c r="H29" s="20">
        <f>SUM(Apr!H29, May!H29, Jun!H29)</f>
        <v>0</v>
      </c>
      <c r="I29" s="19" t="str">
        <f t="shared" si="8"/>
        <v/>
      </c>
    </row>
    <row r="30" spans="1:9" ht="15.6">
      <c r="A30" s="45" t="str">
        <v>701 Carnegie Center</v>
      </c>
      <c r="B30" s="9" t="str">
        <v>NJ</v>
      </c>
      <c r="C30" s="24">
        <f>SUM(Apr!C30, May!C30, Jun!C30)</f>
        <v>0</v>
      </c>
      <c r="D30" s="13">
        <f>SUM(Apr!D30, May!D30, Jun!D30)</f>
        <v>0</v>
      </c>
      <c r="E30" s="13">
        <f t="shared" si="6"/>
        <v>0</v>
      </c>
      <c r="F30" s="14" t="str">
        <f t="shared" si="7"/>
        <v/>
      </c>
      <c r="G30" s="15">
        <f>SUM(Apr!G30,May!G30,Jun!G30)</f>
        <v>0</v>
      </c>
      <c r="H30" s="15">
        <f>SUM(Apr!H30, May!H30, Jun!H30)</f>
        <v>0</v>
      </c>
      <c r="I30" s="16" t="str">
        <f t="shared" si="8"/>
        <v/>
      </c>
    </row>
    <row r="31" spans="1:9" ht="15.6">
      <c r="A31" s="46" t="str">
        <v>Hudson County Correction</v>
      </c>
      <c r="B31" s="10" t="str">
        <v>NJ</v>
      </c>
      <c r="C31" s="11">
        <f>SUM(Apr!C31, May!C31, Jun!C31)</f>
        <v>0</v>
      </c>
      <c r="D31" s="18">
        <f>SUM(Apr!D31, May!D31, Jun!D31)</f>
        <v>0</v>
      </c>
      <c r="E31" s="18">
        <f t="shared" si="6"/>
        <v>0</v>
      </c>
      <c r="F31" s="19" t="str">
        <f t="shared" si="7"/>
        <v/>
      </c>
      <c r="G31" s="18">
        <f>SUM(Apr!G31,May!G31,Jun!G31)</f>
        <v>0</v>
      </c>
      <c r="H31" s="20">
        <f>SUM(Apr!H31, May!H31, Jun!H31)</f>
        <v>0</v>
      </c>
      <c r="I31" s="19" t="str">
        <f t="shared" si="8"/>
        <v/>
      </c>
    </row>
    <row r="32" spans="1:9" ht="15.6">
      <c r="A32" s="45" t="str">
        <v>ER Bison Solar</v>
      </c>
      <c r="B32" s="9" t="str">
        <v>PA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>
        <f>SUM(Apr!G32,May!G32,Jun!G32)</f>
        <v>0</v>
      </c>
      <c r="H32" s="15">
        <f>SUM(Apr!H32, May!H32, Jun!H32)</f>
        <v>0</v>
      </c>
      <c r="I32" s="16" t="str">
        <f t="shared" si="8"/>
        <v/>
      </c>
    </row>
    <row r="33" spans="1:9" ht="15.6">
      <c r="A33" s="46" t="str">
        <v>Danville</v>
      </c>
      <c r="B33" s="10" t="str">
        <v>IL</v>
      </c>
      <c r="C33" s="11">
        <f>SUM(Apr!C33, May!C33, Jun!C33)</f>
        <v>0</v>
      </c>
      <c r="D33" s="18">
        <f>SUM(Apr!D33, May!D33, Jun!D33)</f>
        <v>0</v>
      </c>
      <c r="E33" s="18">
        <f t="shared" si="6"/>
        <v>0</v>
      </c>
      <c r="F33" s="19" t="str">
        <f t="shared" si="7"/>
        <v/>
      </c>
      <c r="G33" s="18">
        <f>SUM(Apr!G33,May!G33,Jun!G33)</f>
        <v>0</v>
      </c>
      <c r="H33" s="20">
        <f>SUM(Apr!H33, May!H33, Jun!H33)</f>
        <v>0</v>
      </c>
      <c r="I33" s="19" t="str">
        <f t="shared" si="8"/>
        <v/>
      </c>
    </row>
    <row r="34" spans="1:9" ht="15.6">
      <c r="A34" s="45" t="str">
        <v>Camden - Campbell Soup HQ</v>
      </c>
      <c r="B34" s="9" t="str">
        <v>NJ</v>
      </c>
      <c r="C34" s="24">
        <f>SUM(Apr!C34, May!C34, Jun!C34)</f>
        <v>0</v>
      </c>
      <c r="D34" s="13">
        <f>SUM(Apr!D34, May!D34, Jun!D34)</f>
        <v>0</v>
      </c>
      <c r="E34" s="13">
        <f t="shared" si="6"/>
        <v>0</v>
      </c>
      <c r="F34" s="14" t="str">
        <f t="shared" si="7"/>
        <v/>
      </c>
      <c r="G34" s="15">
        <f>SUM(Apr!G34,May!G34,Jun!G34)</f>
        <v>0</v>
      </c>
      <c r="H34" s="15">
        <f>SUM(Apr!H34, May!H34, Jun!H34)</f>
        <v>0</v>
      </c>
      <c r="I34" s="16" t="str">
        <f t="shared" si="8"/>
        <v/>
      </c>
    </row>
    <row r="35" spans="1:9" ht="15.6">
      <c r="A35" s="46" t="str">
        <v>Westport - Pine Hill</v>
      </c>
      <c r="B35" s="10" t="str">
        <v>MA</v>
      </c>
      <c r="C35" s="11">
        <f>SUM(Apr!C35, May!C35, Jun!C35)</f>
        <v>0</v>
      </c>
      <c r="D35" s="18">
        <f>SUM(Apr!D35, May!D35, Jun!D35)</f>
        <v>0</v>
      </c>
      <c r="E35" s="18">
        <f t="shared" si="6"/>
        <v>0</v>
      </c>
      <c r="F35" s="19"/>
      <c r="G35" s="18">
        <f>SUM(Apr!G35,May!G35,Jun!G35)</f>
        <v>0</v>
      </c>
      <c r="H35" s="20">
        <f>SUM(Apr!H35, May!H35, Jun!H35)</f>
        <v>0</v>
      </c>
      <c r="I35" s="19"/>
    </row>
    <row r="36" spans="1:9" ht="15.6">
      <c r="A36" s="45" t="str">
        <v>Oaks Landfill - ANEM</v>
      </c>
      <c r="B36" s="9" t="str">
        <v>MD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/>
      <c r="G36" s="15">
        <f>SUM(Apr!G36,May!G36,Jun!G36)</f>
        <v>0</v>
      </c>
      <c r="H36" s="15">
        <f>SUM(Apr!H36, May!H36, Jun!H36)</f>
        <v>0</v>
      </c>
      <c r="I36" s="16"/>
    </row>
    <row r="37" spans="1:9" ht="15.6">
      <c r="A37" s="46" t="str">
        <v>Oaks Landfill - CS2</v>
      </c>
      <c r="B37" s="10" t="str">
        <v>MD</v>
      </c>
      <c r="C37" s="11">
        <f>SUM(Apr!C37, May!C37, Jun!C37)</f>
        <v>0</v>
      </c>
      <c r="D37" s="18">
        <f>SUM(Apr!D37, May!D37, Jun!D37)</f>
        <v>0</v>
      </c>
      <c r="E37" s="18">
        <f t="shared" si="6"/>
        <v>0</v>
      </c>
      <c r="F37" s="19"/>
      <c r="G37" s="18">
        <f>SUM(Apr!G37,May!G37,Jun!G37)</f>
        <v>0</v>
      </c>
      <c r="H37" s="20">
        <f>SUM(Apr!H37, May!H37, Jun!H37)</f>
        <v>0</v>
      </c>
      <c r="I37" s="19"/>
    </row>
    <row r="38" spans="1:9" ht="15.6">
      <c r="A38" s="45" t="str">
        <v>Oaks Landfill - CS1</v>
      </c>
      <c r="B38" s="9" t="str">
        <v>MD</v>
      </c>
      <c r="C38" s="24">
        <f>SUM(Apr!C38, May!C38, Jun!C38)</f>
        <v>0</v>
      </c>
      <c r="D38" s="13">
        <f>SUM(Apr!D38, May!D38, Jun!D38)</f>
        <v>0</v>
      </c>
      <c r="E38" s="13">
        <f t="shared" si="6"/>
        <v>0</v>
      </c>
      <c r="F38" s="14"/>
      <c r="G38" s="15">
        <f>SUM(Apr!G38,May!G38,Jun!G38)</f>
        <v>0</v>
      </c>
      <c r="H38" s="15">
        <f>SUM(Apr!H38, May!H38, Jun!H38)</f>
        <v>0</v>
      </c>
      <c r="I38" s="16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9" activePane="bottomRight" state="frozen"/>
      <selection pane="bottomRight" activeCell="G42" sqref="G42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14</v>
      </c>
      <c r="E1" s="98"/>
      <c r="F1" s="98"/>
      <c r="G1" s="96" t="s">
        <v>15</v>
      </c>
      <c r="H1" s="96"/>
      <c r="I1" s="96"/>
    </row>
    <row r="2" spans="1:9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38">Sites[Site]</f>
        <v>10 Walpole Park South</v>
      </c>
      <c r="B4" s="9" t="str" cm="1">
        <f t="array" ref="B4:B38">Sites[State]</f>
        <v>MA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6" t="str">
        <v>15 Walpole Park South</v>
      </c>
      <c r="B5" s="10" t="str">
        <v>MA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5" t="str">
        <v>19 Walpole Park South</v>
      </c>
      <c r="B6" s="9" t="str">
        <v>MA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46" t="str">
        <v>23 Walpole Park South</v>
      </c>
      <c r="B7" s="10" t="str">
        <v>MA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18">
        <f>SUM(Jul!G7,Aug!G7,Sep!G7)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45" t="str">
        <v>24 Walpole Park South</v>
      </c>
      <c r="B8" s="9" t="str">
        <v>MA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SUM(Jul!G8,Aug!G8,Sep!G8)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46" t="str">
        <v>25 Walpole Park South</v>
      </c>
      <c r="B9" s="10" t="str">
        <v>MA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18">
        <f>SUM(Jul!G9,Aug!G9,Sep!G9)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45" t="str">
        <v>3 Walpole Park South</v>
      </c>
      <c r="B10" s="9" t="str">
        <v>MA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SUM(Jul!G10,Aug!G10,Sep!G10)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46" t="str">
        <v>4 Walpole Park South</v>
      </c>
      <c r="B11" s="10" t="str">
        <v>MA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18">
        <f>SUM(Jul!G11,Aug!G11,Sep!G11)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45" t="str">
        <v>Brockton</v>
      </c>
      <c r="B12" s="9" t="str">
        <v>MA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SUM(Jul!G12,Aug!G12,Sep!G12)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46" t="str">
        <v>Canton</v>
      </c>
      <c r="B13" s="10" t="str">
        <v>MA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18">
        <f>SUM(Jul!G13,Aug!G13,Sep!G13)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45" t="str">
        <v>Chelsea</v>
      </c>
      <c r="B14" s="9" t="str">
        <v>MA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SUM(Jul!G14,Aug!G14,Sep!G14)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46" t="str">
        <v>Hamilton Landfill</v>
      </c>
      <c r="B15" s="10" t="str">
        <v>MA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18">
        <f>SUM(Jul!G15,Aug!G15,Sep!G15)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45" t="str">
        <v>Holliston</v>
      </c>
      <c r="B16" s="9" t="str">
        <v>MA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SUM(Jul!G16,Aug!G16,Sep!G16)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46" t="str">
        <v>Natick HS - Carports</v>
      </c>
      <c r="B17" s="10" t="str">
        <v>MA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18">
        <f>SUM(Jul!G17,Aug!G17,Sep!G17)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45" t="str">
        <v>Norton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SUM(Jul!G18,Aug!G18,Sep!G18)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46" t="str">
        <v>Palmer - Boston Rd.</v>
      </c>
      <c r="B19" s="10" t="str">
        <v>MA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18">
        <f>SUM(Jul!G19,Aug!G19,Sep!G19)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45" t="str">
        <v>Shirley Bartkus</v>
      </c>
      <c r="B20" s="9" t="str">
        <v>MA</v>
      </c>
      <c r="C20" s="24">
        <f>SUM(Jul!C20, Aug!C20, Sep!C20)</f>
        <v>0</v>
      </c>
      <c r="D20" s="13">
        <f>SUM(Jul!D20, Aug!D20, Sep!D20)</f>
        <v>0</v>
      </c>
      <c r="E20" s="13">
        <f t="shared" ref="E20:E38" si="6">IF(AND(ISNUMBER(C20),ISNUMBER(D20)), C20-D20, "")</f>
        <v>0</v>
      </c>
      <c r="F20" s="14" t="str">
        <f t="shared" ref="F20:F34" si="7">IFERROR(E20/D20, "")</f>
        <v/>
      </c>
      <c r="G20" s="15">
        <f>SUM(Jul!G20,Aug!G20,Sep!G20)</f>
        <v>0</v>
      </c>
      <c r="H20" s="15">
        <f>SUM(Jul!H20, Aug!H20, Sep!H20)</f>
        <v>0</v>
      </c>
      <c r="I20" s="16" t="str">
        <f t="shared" ref="I20:I34" si="8">IFERROR(H20/G20, "")</f>
        <v/>
      </c>
    </row>
    <row r="21" spans="1:9" ht="15.6">
      <c r="A21" s="46" t="str">
        <v>Stoughton</v>
      </c>
      <c r="B21" s="10" t="str">
        <v>MA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18">
        <f>SUM(Jul!G21,Aug!G21,Sep!G21)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45" t="str">
        <v>Wellfleet Landfill</v>
      </c>
      <c r="B22" s="9" t="str">
        <v>MA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SUM(Jul!G22,Aug!G22,Sep!G22)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46" t="str">
        <v>Wilmington Garage &amp; Building 7</v>
      </c>
      <c r="B23" s="10" t="str">
        <v>MA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18">
        <f>SUM(Jul!G23,Aug!G23,Sep!G23)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45" t="str">
        <v>Woburn</v>
      </c>
      <c r="B24" s="9" t="str">
        <v>MA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>
        <f>SUM(Jul!G24,Aug!G24,Sep!G24)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46" t="str">
        <v>Friendship Solar 1</v>
      </c>
      <c r="B25" s="10" t="str">
        <v>MD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18">
        <f>SUM(Jul!G25,Aug!G25,Sep!G25)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45" t="str">
        <v>Friendship Solar 2</v>
      </c>
      <c r="B26" s="9" t="str">
        <v>MD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>
        <f>SUM(Jul!G26,Aug!G26,Sep!G26)</f>
        <v>0</v>
      </c>
      <c r="H26" s="15">
        <f>SUM(Jul!H26, Aug!H26, Sep!H26)</f>
        <v>0</v>
      </c>
      <c r="I26" s="16" t="str">
        <f t="shared" si="8"/>
        <v/>
      </c>
    </row>
    <row r="27" spans="1:9" ht="15.6">
      <c r="A27" s="46" t="str">
        <v>101 Carnegie Center</v>
      </c>
      <c r="B27" s="10" t="str">
        <v>NJ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18">
        <f>SUM(Jul!G27,Aug!G27,Sep!G27)</f>
        <v>0</v>
      </c>
      <c r="H27" s="20">
        <f>SUM(Jul!H27, Aug!H27, Sep!H27)</f>
        <v>0</v>
      </c>
      <c r="I27" s="19" t="str">
        <f t="shared" si="8"/>
        <v/>
      </c>
    </row>
    <row r="28" spans="1:9" ht="15.6">
      <c r="A28" s="45" t="str">
        <v>302 Carnegie Center</v>
      </c>
      <c r="B28" s="9" t="str">
        <v>NJ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>
        <f>SUM(Jul!G28,Aug!G28,Sep!G28)</f>
        <v>0</v>
      </c>
      <c r="H28" s="15">
        <f>SUM(Jul!H28, Aug!H28, Sep!H28)</f>
        <v>0</v>
      </c>
      <c r="I28" s="16" t="str">
        <f t="shared" si="8"/>
        <v/>
      </c>
    </row>
    <row r="29" spans="1:9" ht="15.6">
      <c r="A29" s="46" t="str">
        <v>510 Carnegie Center</v>
      </c>
      <c r="B29" s="10" t="str">
        <v>NJ</v>
      </c>
      <c r="C29" s="11">
        <f>SUM(Jul!C29, Aug!C29, Sep!C29)</f>
        <v>0</v>
      </c>
      <c r="D29" s="18">
        <f>SUM(Jul!D29, Aug!D29, Sep!D29)</f>
        <v>0</v>
      </c>
      <c r="E29" s="18">
        <f t="shared" si="6"/>
        <v>0</v>
      </c>
      <c r="F29" s="19" t="str">
        <f t="shared" si="7"/>
        <v/>
      </c>
      <c r="G29" s="18">
        <f>SUM(Jul!G29,Aug!G29,Sep!G29)</f>
        <v>0</v>
      </c>
      <c r="H29" s="20">
        <f>SUM(Jul!H29, Aug!H29, Sep!H29)</f>
        <v>0</v>
      </c>
      <c r="I29" s="19" t="str">
        <f t="shared" si="8"/>
        <v/>
      </c>
    </row>
    <row r="30" spans="1:9" ht="15.6">
      <c r="A30" s="45" t="str">
        <v>701 Carnegie Center</v>
      </c>
      <c r="B30" s="9" t="str">
        <v>NJ</v>
      </c>
      <c r="C30" s="24">
        <f>SUM(Jul!C30, Aug!C30, Sep!C30)</f>
        <v>0</v>
      </c>
      <c r="D30" s="13">
        <f>SUM(Jul!D30, Aug!D30, Sep!D30)</f>
        <v>0</v>
      </c>
      <c r="E30" s="13">
        <f t="shared" si="6"/>
        <v>0</v>
      </c>
      <c r="F30" s="14" t="str">
        <f t="shared" si="7"/>
        <v/>
      </c>
      <c r="G30" s="15">
        <f>SUM(Jul!G30,Aug!G30,Sep!G30)</f>
        <v>0</v>
      </c>
      <c r="H30" s="15">
        <f>SUM(Jul!H30, Aug!H30, Sep!H30)</f>
        <v>0</v>
      </c>
      <c r="I30" s="16" t="str">
        <f t="shared" si="8"/>
        <v/>
      </c>
    </row>
    <row r="31" spans="1:9" ht="15.6">
      <c r="A31" s="46" t="str">
        <v>Hudson County Correction</v>
      </c>
      <c r="B31" s="10" t="str">
        <v>NJ</v>
      </c>
      <c r="C31" s="11">
        <f>SUM(Jul!C31, Aug!C31, Sep!C31)</f>
        <v>0</v>
      </c>
      <c r="D31" s="18">
        <f>SUM(Jul!D31, Aug!D31, Sep!D31)</f>
        <v>0</v>
      </c>
      <c r="E31" s="18">
        <f t="shared" si="6"/>
        <v>0</v>
      </c>
      <c r="F31" s="19" t="str">
        <f t="shared" si="7"/>
        <v/>
      </c>
      <c r="G31" s="18">
        <f>SUM(Jul!G31,Aug!G31,Sep!G31)</f>
        <v>0</v>
      </c>
      <c r="H31" s="20">
        <f>SUM(Jul!H31, Aug!H31, Sep!H31)</f>
        <v>0</v>
      </c>
      <c r="I31" s="19" t="str">
        <f t="shared" si="8"/>
        <v/>
      </c>
    </row>
    <row r="32" spans="1:9" ht="15.6">
      <c r="A32" s="45" t="str">
        <v>ER Bison Solar</v>
      </c>
      <c r="B32" s="9" t="str">
        <v>PA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>
        <f>SUM(Jul!G32,Aug!G32,Sep!G32)</f>
        <v>0</v>
      </c>
      <c r="H32" s="15">
        <f>SUM(Jul!H32, Aug!H32, Sep!H32)</f>
        <v>0</v>
      </c>
      <c r="I32" s="16" t="str">
        <f t="shared" si="8"/>
        <v/>
      </c>
    </row>
    <row r="33" spans="1:9" ht="15.6">
      <c r="A33" s="46" t="str">
        <v>Danville</v>
      </c>
      <c r="B33" s="10" t="str">
        <v>IL</v>
      </c>
      <c r="C33" s="11">
        <f>SUM(Jul!C33, Aug!C33, Sep!C33)</f>
        <v>0</v>
      </c>
      <c r="D33" s="18">
        <f>SUM(Jul!D33, Aug!D33, Sep!D33)</f>
        <v>0</v>
      </c>
      <c r="E33" s="18">
        <f t="shared" si="6"/>
        <v>0</v>
      </c>
      <c r="F33" s="19" t="str">
        <f t="shared" si="7"/>
        <v/>
      </c>
      <c r="G33" s="18">
        <f>SUM(Jul!G33,Aug!G33,Sep!G33)</f>
        <v>0</v>
      </c>
      <c r="H33" s="20">
        <f>SUM(Jul!H33, Aug!H33, Sep!H33)</f>
        <v>0</v>
      </c>
      <c r="I33" s="19" t="str">
        <f t="shared" si="8"/>
        <v/>
      </c>
    </row>
    <row r="34" spans="1:9" ht="15.6">
      <c r="A34" s="45" t="str">
        <v>Camden - Campbell Soup HQ</v>
      </c>
      <c r="B34" s="9" t="str">
        <v>NJ</v>
      </c>
      <c r="C34" s="24">
        <f>SUM(Jul!C34, Aug!C34, Sep!C34)</f>
        <v>0</v>
      </c>
      <c r="D34" s="13">
        <f>SUM(Jul!D34, Aug!D34, Sep!D34)</f>
        <v>0</v>
      </c>
      <c r="E34" s="13">
        <f t="shared" si="6"/>
        <v>0</v>
      </c>
      <c r="F34" s="14" t="str">
        <f t="shared" si="7"/>
        <v/>
      </c>
      <c r="G34" s="15">
        <f>SUM(Jul!G34,Aug!G34,Sep!G34)</f>
        <v>0</v>
      </c>
      <c r="H34" s="15">
        <f>SUM(Jul!H34, Aug!H34, Sep!H34)</f>
        <v>0</v>
      </c>
      <c r="I34" s="16" t="str">
        <f t="shared" si="8"/>
        <v/>
      </c>
    </row>
    <row r="35" spans="1:9" ht="15.6">
      <c r="A35" s="46" t="str">
        <v>Westport - Pine Hill</v>
      </c>
      <c r="B35" s="10" t="str">
        <v>MA</v>
      </c>
      <c r="C35" s="11">
        <f>SUM(Jul!C35, Aug!C35, Sep!C35)</f>
        <v>0</v>
      </c>
      <c r="D35" s="18">
        <f>SUM(Jul!D35, Aug!D35, Sep!D35)</f>
        <v>0</v>
      </c>
      <c r="E35" s="18">
        <f t="shared" si="6"/>
        <v>0</v>
      </c>
      <c r="F35" s="19"/>
      <c r="G35" s="18">
        <f>SUM(Jul!G35,Aug!G35,Sep!G35)</f>
        <v>0</v>
      </c>
      <c r="H35" s="20">
        <f>SUM(Jul!H35, Aug!H35, Sep!H35)</f>
        <v>0</v>
      </c>
      <c r="I35" s="19"/>
    </row>
    <row r="36" spans="1:9" ht="15.6">
      <c r="A36" s="45" t="str">
        <v>Oaks Landfill - ANEM</v>
      </c>
      <c r="B36" s="9" t="str">
        <v>MD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/>
      <c r="G36" s="15">
        <f>SUM(Jul!G36,Aug!G36,Sep!G36)</f>
        <v>0</v>
      </c>
      <c r="H36" s="15">
        <f>SUM(Jul!H36, Aug!H36, Sep!H36)</f>
        <v>0</v>
      </c>
      <c r="I36" s="16"/>
    </row>
    <row r="37" spans="1:9" ht="15.6">
      <c r="A37" s="46" t="str">
        <v>Oaks Landfill - CS2</v>
      </c>
      <c r="B37" s="10" t="str">
        <v>MD</v>
      </c>
      <c r="C37" s="11">
        <f>SUM(Jul!C37, Aug!C37, Sep!C37)</f>
        <v>0</v>
      </c>
      <c r="D37" s="18">
        <f>SUM(Jul!D37, Aug!D37, Sep!D37)</f>
        <v>0</v>
      </c>
      <c r="E37" s="18">
        <f t="shared" si="6"/>
        <v>0</v>
      </c>
      <c r="F37" s="19"/>
      <c r="G37" s="18">
        <f>SUM(Jul!G37,Aug!G37,Sep!G37)</f>
        <v>0</v>
      </c>
      <c r="H37" s="20">
        <f>SUM(Jul!H37, Aug!H37, Sep!H37)</f>
        <v>0</v>
      </c>
      <c r="I37" s="19"/>
    </row>
    <row r="38" spans="1:9" ht="15.6">
      <c r="A38" s="45" t="str">
        <v>Oaks Landfill - CS1</v>
      </c>
      <c r="B38" s="9" t="str">
        <v>MD</v>
      </c>
      <c r="C38" s="24">
        <f>SUM(Jul!C38, Aug!C38, Sep!C38)</f>
        <v>0</v>
      </c>
      <c r="D38" s="13">
        <f>SUM(Jul!D38, Aug!D38, Sep!D38)</f>
        <v>0</v>
      </c>
      <c r="E38" s="13">
        <f t="shared" si="6"/>
        <v>0</v>
      </c>
      <c r="F38" s="14"/>
      <c r="G38" s="15">
        <f>SUM(Jul!G38,Aug!G38,Sep!G38)</f>
        <v>0</v>
      </c>
      <c r="H38" s="15">
        <f>SUM(Jul!H38, Aug!H38, Sep!H38)</f>
        <v>0</v>
      </c>
      <c r="I38" s="16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19" activePane="bottomRight" state="frozen"/>
      <selection pane="bottomRight" activeCell="K36" sqref="K36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16</v>
      </c>
      <c r="E1" s="98"/>
      <c r="F1" s="98"/>
      <c r="G1" s="96" t="s">
        <v>17</v>
      </c>
      <c r="H1" s="96"/>
      <c r="I1" s="96"/>
    </row>
    <row r="2" spans="1:9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38">Sites[Site]</f>
        <v>10 Walpole Park South</v>
      </c>
      <c r="B4" s="9" t="str" cm="1">
        <f t="array" ref="B4:B38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6" t="str">
        <v>15 Walpole Park South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45" t="str">
        <v>19 Walpole Park South</v>
      </c>
      <c r="B6" s="9" t="str">
        <v>MA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46" t="str">
        <v>23 Walpole Park South</v>
      </c>
      <c r="B7" s="10" t="str">
        <v>MA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18">
        <f>SUM(Oct!G7,Nov!G7,Dec!G7)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45" t="str">
        <v>24 Walpole Park South</v>
      </c>
      <c r="B8" s="9" t="str">
        <v>MA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SUM(Oct!G8,Nov!G8,Dec!G8)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46" t="str">
        <v>25 Walpole Park South</v>
      </c>
      <c r="B9" s="10" t="str">
        <v>MA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18">
        <f>SUM(Oct!G9,Nov!G9,Dec!G9)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45" t="str">
        <v>3 Walpole Park South</v>
      </c>
      <c r="B10" s="9" t="str">
        <v>MA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SUM(Oct!G10,Nov!G10,Dec!G10)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46" t="str">
        <v>4 Walpole Park South</v>
      </c>
      <c r="B11" s="10" t="str">
        <v>MA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18">
        <f>SUM(Oct!G11,Nov!G11,Dec!G11)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45" t="str">
        <v>Brockton</v>
      </c>
      <c r="B12" s="9" t="str">
        <v>MA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SUM(Oct!G12,Nov!G12,Dec!G12)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46" t="str">
        <v>Canton</v>
      </c>
      <c r="B13" s="10" t="str">
        <v>MA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18">
        <f>SUM(Oct!G13,Nov!G13,Dec!G13)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45" t="str">
        <v>Chelsea</v>
      </c>
      <c r="B14" s="9" t="str">
        <v>MA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SUM(Oct!G14,Nov!G14,Dec!G14)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46" t="str">
        <v>Hamilton Landfill</v>
      </c>
      <c r="B15" s="10" t="str">
        <v>MA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18">
        <f>SUM(Oct!G15,Nov!G15,Dec!G15)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45" t="str">
        <v>Holliston</v>
      </c>
      <c r="B16" s="9" t="str">
        <v>MA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>
        <f>SUM(Oct!G16,Nov!G16,Dec!G16)</f>
        <v>0</v>
      </c>
      <c r="H16" s="15">
        <f>SUM(Oct!H16, Nov!H16, Dec!H16)</f>
        <v>0</v>
      </c>
      <c r="I16" s="16" t="str">
        <f t="shared" ref="I16:I18" si="5">IFERROR(H16/G16, "")</f>
        <v/>
      </c>
    </row>
    <row r="17" spans="1:9" ht="15.6">
      <c r="A17" s="46" t="str">
        <v>Natick HS - Carports</v>
      </c>
      <c r="B17" s="10" t="str">
        <v>MA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18">
        <f>SUM(Oct!G17,Nov!G17,Dec!G17)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45" t="str">
        <v>Norton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>
        <f>SUM(Oct!G18,Nov!G18,Dec!G18)</f>
        <v>0</v>
      </c>
      <c r="H18" s="15">
        <f>SUM(Oct!H18, Nov!H18, Dec!H18)</f>
        <v>0</v>
      </c>
      <c r="I18" s="16" t="str">
        <f t="shared" si="5"/>
        <v/>
      </c>
    </row>
    <row r="19" spans="1:9" ht="15.6">
      <c r="A19" s="46" t="str">
        <v>Palmer - Boston Rd.</v>
      </c>
      <c r="B19" s="10" t="str">
        <v>MA</v>
      </c>
      <c r="C19" s="11">
        <f>SUM(Oct!C19, Nov!C19, Dec!C19)</f>
        <v>0</v>
      </c>
      <c r="D19" s="18">
        <f>SUM(Oct!D19, Nov!D19, Dec!D19)</f>
        <v>0</v>
      </c>
      <c r="E19" s="18">
        <f t="shared" ref="E19:E25" si="6">IF(AND(ISNUMBER(C19),ISNUMBER(D19)), C19-D19, "")</f>
        <v>0</v>
      </c>
      <c r="F19" s="19" t="str">
        <f t="shared" ref="F19:F25" si="7">IFERROR(E19/D19, "")</f>
        <v/>
      </c>
      <c r="G19" s="18">
        <f>SUM(Oct!G19,Nov!G19,Dec!G19)</f>
        <v>0</v>
      </c>
      <c r="H19" s="20">
        <f>SUM(Oct!H19, Nov!H19, Dec!H19)</f>
        <v>0</v>
      </c>
      <c r="I19" s="19" t="str">
        <f t="shared" ref="I19:I25" si="8">IFERROR(H19/G19, "")</f>
        <v/>
      </c>
    </row>
    <row r="20" spans="1:9" ht="15.6">
      <c r="A20" s="45" t="str">
        <v>Shirley Bartkus</v>
      </c>
      <c r="B20" s="9" t="str">
        <v>MA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SUM(Oct!G20,Nov!G20,Dec!G20)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46" t="str">
        <v>Stoughton</v>
      </c>
      <c r="B21" s="10" t="str">
        <v>MA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18">
        <f>SUM(Oct!G21,Nov!G21,Dec!G21)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45" t="str">
        <v>Wellfleet Landfill</v>
      </c>
      <c r="B22" s="9" t="str">
        <v>MA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SUM(Oct!G22,Nov!G22,Dec!G22)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46" t="str">
        <v>Wilmington Garage &amp; Building 7</v>
      </c>
      <c r="B23" s="10" t="str">
        <v>MA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18">
        <f>SUM(Oct!G23,Nov!G23,Dec!G23)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45" t="str">
        <v>Woburn</v>
      </c>
      <c r="B24" s="9" t="str">
        <v>MA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SUM(Oct!G24,Nov!G24,Dec!G24)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46" t="str">
        <v>Friendship Solar 1</v>
      </c>
      <c r="B25" s="10" t="str">
        <v>MD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18">
        <f>SUM(Oct!G25,Nov!G25,Dec!G25)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45" t="str">
        <v>Friendship Solar 2</v>
      </c>
      <c r="B26" s="9" t="str">
        <v>MD</v>
      </c>
      <c r="C26" s="24">
        <f>SUM(Oct!C26, Nov!C26, Dec!C26)</f>
        <v>0</v>
      </c>
      <c r="D26" s="13">
        <f>SUM(Oct!D26, Nov!D26, Dec!D26)</f>
        <v>0</v>
      </c>
      <c r="E26" s="13">
        <f t="shared" ref="E26:E38" si="9">IF(AND(ISNUMBER(C26),ISNUMBER(D26)), C26-D26, "")</f>
        <v>0</v>
      </c>
      <c r="F26" s="14" t="str">
        <f t="shared" ref="F26:F34" si="10">IFERROR(E26/D26, "")</f>
        <v/>
      </c>
      <c r="G26" s="15">
        <f>SUM(Oct!G26,Nov!G26,Dec!G26)</f>
        <v>0</v>
      </c>
      <c r="H26" s="15">
        <f>SUM(Oct!H26, Nov!H26, Dec!H26)</f>
        <v>0</v>
      </c>
      <c r="I26" s="16" t="str">
        <f t="shared" ref="I26:I34" si="11">IFERROR(H26/G26, "")</f>
        <v/>
      </c>
    </row>
    <row r="27" spans="1:9" ht="15.6">
      <c r="A27" s="46" t="str">
        <v>101 Carnegie Center</v>
      </c>
      <c r="B27" s="10" t="str">
        <v>NJ</v>
      </c>
      <c r="C27" s="11">
        <f>SUM(Oct!C27, Nov!C27, Dec!C27)</f>
        <v>0</v>
      </c>
      <c r="D27" s="18">
        <f>SUM(Oct!D27, Nov!D27, Dec!D27)</f>
        <v>0</v>
      </c>
      <c r="E27" s="18">
        <f t="shared" si="9"/>
        <v>0</v>
      </c>
      <c r="F27" s="19" t="str">
        <f t="shared" si="10"/>
        <v/>
      </c>
      <c r="G27" s="18">
        <f>SUM(Oct!G27,Nov!G27,Dec!G27)</f>
        <v>0</v>
      </c>
      <c r="H27" s="20">
        <f>SUM(Oct!H27, Nov!H27, Dec!H27)</f>
        <v>0</v>
      </c>
      <c r="I27" s="19" t="str">
        <f t="shared" si="11"/>
        <v/>
      </c>
    </row>
    <row r="28" spans="1:9" ht="15.6">
      <c r="A28" s="45" t="str">
        <v>302 Carnegie Center</v>
      </c>
      <c r="B28" s="9" t="str">
        <v>NJ</v>
      </c>
      <c r="C28" s="24">
        <f>SUM(Oct!C28, Nov!C28, Dec!C28)</f>
        <v>0</v>
      </c>
      <c r="D28" s="13">
        <f>SUM(Oct!D28, Nov!D28, Dec!D28)</f>
        <v>0</v>
      </c>
      <c r="E28" s="13">
        <f t="shared" si="9"/>
        <v>0</v>
      </c>
      <c r="F28" s="14" t="str">
        <f t="shared" si="10"/>
        <v/>
      </c>
      <c r="G28" s="15">
        <f>SUM(Oct!G28,Nov!G28,Dec!G28)</f>
        <v>0</v>
      </c>
      <c r="H28" s="15">
        <f>SUM(Oct!H28, Nov!H28, Dec!H28)</f>
        <v>0</v>
      </c>
      <c r="I28" s="16" t="str">
        <f t="shared" si="11"/>
        <v/>
      </c>
    </row>
    <row r="29" spans="1:9" ht="15.6">
      <c r="A29" s="46" t="str">
        <v>510 Carnegie Center</v>
      </c>
      <c r="B29" s="10" t="str">
        <v>NJ</v>
      </c>
      <c r="C29" s="11">
        <f>SUM(Oct!C29, Nov!C29, Dec!C29)</f>
        <v>0</v>
      </c>
      <c r="D29" s="18">
        <f>SUM(Oct!D29, Nov!D29, Dec!D29)</f>
        <v>0</v>
      </c>
      <c r="E29" s="18">
        <f t="shared" si="9"/>
        <v>0</v>
      </c>
      <c r="F29" s="19" t="str">
        <f t="shared" si="10"/>
        <v/>
      </c>
      <c r="G29" s="18">
        <f>SUM(Oct!G29,Nov!G29,Dec!G29)</f>
        <v>0</v>
      </c>
      <c r="H29" s="20">
        <f>SUM(Oct!H29, Nov!H29, Dec!H29)</f>
        <v>0</v>
      </c>
      <c r="I29" s="19" t="str">
        <f t="shared" si="11"/>
        <v/>
      </c>
    </row>
    <row r="30" spans="1:9" ht="15.6">
      <c r="A30" s="45" t="str">
        <v>701 Carnegie Center</v>
      </c>
      <c r="B30" s="9" t="str">
        <v>NJ</v>
      </c>
      <c r="C30" s="24">
        <f>SUM(Oct!C30, Nov!C30, Dec!C31)</f>
        <v>0</v>
      </c>
      <c r="D30" s="13">
        <f>SUM(Oct!D30, Nov!D30, Dec!D31)</f>
        <v>0</v>
      </c>
      <c r="E30" s="13">
        <f t="shared" si="9"/>
        <v>0</v>
      </c>
      <c r="F30" s="14" t="str">
        <f t="shared" si="10"/>
        <v/>
      </c>
      <c r="G30" s="15">
        <f>SUM(Oct!G30,Nov!G30,Dec!G31)</f>
        <v>0</v>
      </c>
      <c r="H30" s="15">
        <f>SUM(Oct!H30, Nov!H30, Dec!H31)</f>
        <v>0</v>
      </c>
      <c r="I30" s="16" t="str">
        <f t="shared" si="11"/>
        <v/>
      </c>
    </row>
    <row r="31" spans="1:9" ht="15.6">
      <c r="A31" s="46" t="str">
        <v>Hudson County Correction</v>
      </c>
      <c r="B31" s="10" t="str">
        <v>NJ</v>
      </c>
      <c r="C31" s="11">
        <f>SUM(Oct!C31, Nov!C31, Dec!C32)</f>
        <v>0</v>
      </c>
      <c r="D31" s="18">
        <f>SUM(Oct!D31, Nov!D31, Dec!D32)</f>
        <v>0</v>
      </c>
      <c r="E31" s="18">
        <f t="shared" si="9"/>
        <v>0</v>
      </c>
      <c r="F31" s="19" t="str">
        <f t="shared" si="10"/>
        <v/>
      </c>
      <c r="G31" s="18">
        <f>SUM(Oct!G31,Nov!G31,Dec!G32)</f>
        <v>0</v>
      </c>
      <c r="H31" s="20">
        <f>SUM(Oct!H31, Nov!H31, Dec!H32)</f>
        <v>0</v>
      </c>
      <c r="I31" s="19" t="str">
        <f t="shared" si="11"/>
        <v/>
      </c>
    </row>
    <row r="32" spans="1:9" ht="15.6">
      <c r="A32" s="45" t="str">
        <v>ER Bison Solar</v>
      </c>
      <c r="B32" s="9" t="str">
        <v>PA</v>
      </c>
      <c r="C32" s="24">
        <f>SUM(Oct!C32, Nov!C32, Dec!C33)</f>
        <v>0</v>
      </c>
      <c r="D32" s="13">
        <f>SUM(Oct!D32, Nov!D32, Dec!D33)</f>
        <v>0</v>
      </c>
      <c r="E32" s="13">
        <f t="shared" si="9"/>
        <v>0</v>
      </c>
      <c r="F32" s="14" t="str">
        <f t="shared" si="10"/>
        <v/>
      </c>
      <c r="G32" s="15">
        <f>SUM(Oct!G32,Nov!G32,Dec!G33)</f>
        <v>0</v>
      </c>
      <c r="H32" s="15">
        <f>SUM(Oct!H32, Nov!H32, Dec!H33)</f>
        <v>0</v>
      </c>
      <c r="I32" s="16" t="str">
        <f t="shared" si="11"/>
        <v/>
      </c>
    </row>
    <row r="33" spans="1:9" ht="15.6">
      <c r="A33" s="46" t="str">
        <v>Danville</v>
      </c>
      <c r="B33" s="10" t="str">
        <v>IL</v>
      </c>
      <c r="C33" s="11">
        <f>SUM(Oct!C33, Nov!C33, Dec!C34)</f>
        <v>0</v>
      </c>
      <c r="D33" s="18">
        <f>SUM(Oct!D33, Nov!D33, Dec!D34)</f>
        <v>0</v>
      </c>
      <c r="E33" s="18">
        <f t="shared" si="9"/>
        <v>0</v>
      </c>
      <c r="F33" s="19" t="str">
        <f t="shared" si="10"/>
        <v/>
      </c>
      <c r="G33" s="18">
        <f>SUM(Oct!G33,Nov!G33,Dec!G34)</f>
        <v>0</v>
      </c>
      <c r="H33" s="20">
        <f>SUM(Oct!H33, Nov!H33, Dec!H34)</f>
        <v>0</v>
      </c>
      <c r="I33" s="19" t="str">
        <f t="shared" si="11"/>
        <v/>
      </c>
    </row>
    <row r="34" spans="1:9" ht="15.6">
      <c r="A34" s="45" t="str">
        <v>Camden - Campbell Soup HQ</v>
      </c>
      <c r="B34" s="9" t="str">
        <v>NJ</v>
      </c>
      <c r="C34" s="24">
        <f>SUM(Oct!C34, Nov!C34, Dec!C35)</f>
        <v>0</v>
      </c>
      <c r="D34" s="13">
        <f>SUM(Oct!D34, Nov!D34, Dec!D35)</f>
        <v>0</v>
      </c>
      <c r="E34" s="13">
        <f t="shared" si="9"/>
        <v>0</v>
      </c>
      <c r="F34" s="14" t="str">
        <f t="shared" si="10"/>
        <v/>
      </c>
      <c r="G34" s="15">
        <f>SUM(Oct!G34,Nov!G34,Dec!G35)</f>
        <v>0</v>
      </c>
      <c r="H34" s="15">
        <f>SUM(Oct!H34, Nov!H34, Dec!H35)</f>
        <v>0</v>
      </c>
      <c r="I34" s="16" t="str">
        <f t="shared" si="11"/>
        <v/>
      </c>
    </row>
    <row r="35" spans="1:9" ht="15.6">
      <c r="A35" s="46" t="str">
        <v>Westport - Pine Hill</v>
      </c>
      <c r="B35" s="10" t="str">
        <v>MA</v>
      </c>
      <c r="C35" s="11">
        <f>SUM(Oct!C35, Nov!C35, Dec!C36)</f>
        <v>0</v>
      </c>
      <c r="D35" s="18">
        <f>SUM(Oct!D35, Nov!D35, Dec!D36)</f>
        <v>0</v>
      </c>
      <c r="E35" s="18">
        <f t="shared" si="9"/>
        <v>0</v>
      </c>
      <c r="F35" s="19"/>
      <c r="G35" s="18">
        <f>SUM(Oct!G35,Nov!G35,Dec!G36)</f>
        <v>0</v>
      </c>
      <c r="H35" s="20">
        <f>SUM(Oct!H35, Nov!H35, Dec!H36)</f>
        <v>0</v>
      </c>
      <c r="I35" s="19"/>
    </row>
    <row r="36" spans="1:9" ht="15.6">
      <c r="A36" s="45" t="str">
        <v>Oaks Landfill - ANEM</v>
      </c>
      <c r="B36" s="9" t="str">
        <v>MD</v>
      </c>
      <c r="C36" s="24">
        <f>SUM(Oct!C36, Nov!C36, Dec!C37)</f>
        <v>0</v>
      </c>
      <c r="D36" s="13">
        <f>SUM(Oct!D36, Nov!D36, Dec!D37)</f>
        <v>0</v>
      </c>
      <c r="E36" s="13">
        <f t="shared" si="9"/>
        <v>0</v>
      </c>
      <c r="F36" s="14"/>
      <c r="G36" s="15">
        <f>SUM(Oct!G36,Nov!G36,Dec!G37)</f>
        <v>0</v>
      </c>
      <c r="H36" s="15">
        <f>SUM(Oct!H36, Nov!H36, Dec!H37)</f>
        <v>0</v>
      </c>
      <c r="I36" s="16"/>
    </row>
    <row r="37" spans="1:9" ht="15.6">
      <c r="A37" s="46" t="str">
        <v>Oaks Landfill - CS2</v>
      </c>
      <c r="B37" s="10" t="str">
        <v>MD</v>
      </c>
      <c r="C37" s="11">
        <f>SUM(Oct!C37, Nov!C37, Dec!C38)</f>
        <v>0</v>
      </c>
      <c r="D37" s="18">
        <f>SUM(Oct!D37, Nov!D37, Dec!D38)</f>
        <v>0</v>
      </c>
      <c r="E37" s="18">
        <f t="shared" si="9"/>
        <v>0</v>
      </c>
      <c r="F37" s="19"/>
      <c r="G37" s="18">
        <f>SUM(Oct!G37,Nov!G37,Dec!G38)</f>
        <v>0</v>
      </c>
      <c r="H37" s="20">
        <f>SUM(Oct!H37, Nov!H37, Dec!H38)</f>
        <v>0</v>
      </c>
      <c r="I37" s="19"/>
    </row>
    <row r="38" spans="1:9" ht="15.6">
      <c r="A38" s="45" t="str">
        <v>Oaks Landfill - CS1</v>
      </c>
      <c r="B38" s="9" t="str">
        <v>MD</v>
      </c>
      <c r="C38" s="24">
        <f>SUM(Oct!C38, Nov!C38, Dec!C39)</f>
        <v>0</v>
      </c>
      <c r="D38" s="13">
        <f>SUM(Oct!D38, Nov!D38, Dec!D39)</f>
        <v>0</v>
      </c>
      <c r="E38" s="13">
        <f t="shared" si="9"/>
        <v>0</v>
      </c>
      <c r="F38" s="14"/>
      <c r="G38" s="15">
        <f>SUM(Oct!G38,Nov!G38,Dec!G39)</f>
        <v>0</v>
      </c>
      <c r="H38" s="15">
        <f>SUM(Oct!H38, Nov!H38, Dec!H39)</f>
        <v>0</v>
      </c>
      <c r="I38" s="16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P341"/>
  <sheetViews>
    <sheetView tabSelected="1" zoomScale="85" zoomScaleNormal="85" workbookViewId="0">
      <pane xSplit="2" ySplit="3" topLeftCell="C4" activePane="bottomRight" state="frozen"/>
      <selection pane="bottomRight" activeCell="N10" sqref="N10"/>
      <selection pane="bottomLeft" activeCell="C4" sqref="C4"/>
      <selection pane="topRight" activeCell="C4" sqref="C4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style="44" customWidth="1"/>
    <col min="4" max="4" width="13.28515625" style="44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97" t="str" cm="1">
        <f t="array" ref="A1">portfolio</f>
        <v>Greenbacker Capital</v>
      </c>
      <c r="B1" s="97"/>
      <c r="C1" s="97"/>
      <c r="D1" s="98" t="s">
        <v>18</v>
      </c>
      <c r="E1" s="98"/>
      <c r="F1" s="98"/>
      <c r="G1" s="96" t="s">
        <v>19</v>
      </c>
      <c r="H1" s="96"/>
      <c r="I1" s="96"/>
      <c r="J1" s="4"/>
      <c r="K1" s="4"/>
    </row>
    <row r="2" spans="1:16" ht="19.5" customHeight="1">
      <c r="A2" s="99" t="s">
        <v>2</v>
      </c>
      <c r="B2" s="99"/>
      <c r="C2" s="5">
        <f>SUM(C4:C99)</f>
        <v>2570856.9447689694</v>
      </c>
      <c r="D2" s="5">
        <f>SUM(D4:D99)</f>
        <v>3159610.8918999997</v>
      </c>
      <c r="E2" s="5">
        <f>C2-D2</f>
        <v>-588753.94713103026</v>
      </c>
      <c r="F2" s="6">
        <f>IFERROR(E2/D2, 0)</f>
        <v>-0.1863374849860038</v>
      </c>
      <c r="G2" s="5">
        <f>SUM(G4:G99)</f>
        <v>1580526.4470000002</v>
      </c>
      <c r="H2" s="7">
        <f>C2-G2</f>
        <v>990330.49776896928</v>
      </c>
      <c r="I2" s="6">
        <f>IFERROR(H2/G2, 0)</f>
        <v>0.62658268050415555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27" t="s">
        <v>3</v>
      </c>
      <c r="B3" s="8" t="s">
        <v>4</v>
      </c>
      <c r="C3" s="51" t="s">
        <v>5</v>
      </c>
      <c r="D3" s="52" t="s">
        <v>6</v>
      </c>
      <c r="E3" s="35" t="s">
        <v>7</v>
      </c>
      <c r="F3" s="36" t="s">
        <v>8</v>
      </c>
      <c r="G3" s="53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6" ht="15.6">
      <c r="A4" s="47" t="str" cm="1">
        <f t="array" ref="A4:A38">Sites[Site]</f>
        <v>10 Walpole Park South</v>
      </c>
      <c r="B4" s="29" t="str" cm="1">
        <f t="array" ref="B4:B38">Sites[State]</f>
        <v>MA</v>
      </c>
      <c r="C4" s="24">
        <v>6082.5625</v>
      </c>
      <c r="D4" s="13">
        <v>6594.4369999999999</v>
      </c>
      <c r="E4" s="13">
        <f>IF(AND(ISNUMBER(C4),ISNUMBER(D4)), C4-D4, "")</f>
        <v>-511.8744999999999</v>
      </c>
      <c r="F4" s="14">
        <f>IFERROR(E4/D4, "")</f>
        <v>-7.7622168503543199E-2</v>
      </c>
      <c r="G4" s="15">
        <v>6789.067</v>
      </c>
      <c r="H4" s="15">
        <f>IF(AND(ISNUMBER(C4),ISNUMBER(G4)), C4-G4, "")</f>
        <v>-706.50450000000001</v>
      </c>
      <c r="I4" s="16">
        <f>IFERROR(H4/G4, "")</f>
        <v>-0.10406503574055169</v>
      </c>
      <c r="J4" s="40" t="s">
        <v>22</v>
      </c>
      <c r="K4" s="40"/>
      <c r="L4" s="85"/>
      <c r="M4" s="85"/>
      <c r="N4" s="85"/>
      <c r="O4" s="85"/>
      <c r="P4" s="85"/>
    </row>
    <row r="5" spans="1:16" ht="15.6">
      <c r="A5" s="48" t="str">
        <v>15 Walpole Park South</v>
      </c>
      <c r="B5" s="31" t="str">
        <v>MA</v>
      </c>
      <c r="C5" s="11">
        <v>22096</v>
      </c>
      <c r="D5" s="18">
        <v>34986.43</v>
      </c>
      <c r="E5" s="18">
        <f t="shared" ref="E5:E15" si="0">IF(AND(ISNUMBER(C5),ISNUMBER(D5)), C5-D5, "")</f>
        <v>-12890.43</v>
      </c>
      <c r="F5" s="19">
        <f t="shared" ref="F5:F31" si="1">IFERROR(E5/D5, "")</f>
        <v>-0.36844084978090075</v>
      </c>
      <c r="G5" s="20">
        <v>21495.47</v>
      </c>
      <c r="H5" s="20">
        <f t="shared" ref="H5:H6" si="2">IF(AND(ISNUMBER(C5),ISNUMBER(G5)), C5-G5, "")</f>
        <v>600.52999999999884</v>
      </c>
      <c r="I5" s="19">
        <f t="shared" ref="I5:I6" si="3">IFERROR(H5/G5, "")</f>
        <v>2.7937514276263734E-2</v>
      </c>
      <c r="J5" s="41" t="s">
        <v>22</v>
      </c>
      <c r="K5" s="41"/>
      <c r="L5" s="85"/>
      <c r="M5" s="85"/>
      <c r="N5" s="85"/>
      <c r="O5" s="85"/>
      <c r="P5" s="85"/>
    </row>
    <row r="6" spans="1:16" ht="15.6">
      <c r="A6" s="47" t="str">
        <v>19 Walpole Park South</v>
      </c>
      <c r="B6" s="29" t="str">
        <v>MA</v>
      </c>
      <c r="C6" s="24">
        <v>12286.625</v>
      </c>
      <c r="D6" s="13">
        <v>18535.3</v>
      </c>
      <c r="E6" s="13">
        <f t="shared" si="0"/>
        <v>-6248.6749999999993</v>
      </c>
      <c r="F6" s="14">
        <f t="shared" si="1"/>
        <v>-0.33712294918344993</v>
      </c>
      <c r="G6" s="15">
        <v>14377.87</v>
      </c>
      <c r="H6" s="15">
        <f t="shared" si="2"/>
        <v>-2091.2450000000008</v>
      </c>
      <c r="I6" s="16">
        <f t="shared" si="3"/>
        <v>-0.14544887385961902</v>
      </c>
      <c r="J6" s="74" t="s">
        <v>22</v>
      </c>
      <c r="K6" s="40"/>
      <c r="L6" s="85"/>
      <c r="M6" s="85"/>
      <c r="N6" s="85"/>
      <c r="O6" s="85"/>
      <c r="P6" s="85"/>
    </row>
    <row r="7" spans="1:16" ht="72" customHeight="1">
      <c r="A7" s="48" t="str">
        <v>23 Walpole Park South</v>
      </c>
      <c r="B7" s="31" t="str">
        <v>MA</v>
      </c>
      <c r="C7" s="11">
        <v>17017.5</v>
      </c>
      <c r="D7" s="18">
        <v>24815.119999999999</v>
      </c>
      <c r="E7" s="18">
        <f t="shared" si="0"/>
        <v>-7797.619999999999</v>
      </c>
      <c r="F7" s="19">
        <f t="shared" si="1"/>
        <v>-0.3142285832186183</v>
      </c>
      <c r="G7" s="20">
        <v>18470.54</v>
      </c>
      <c r="H7" s="20">
        <f t="shared" ref="H7:H15" si="4">IF(AND(ISNUMBER(C7),ISNUMBER(G7)), C7-G7, "")</f>
        <v>-1453.0400000000009</v>
      </c>
      <c r="I7" s="19">
        <f t="shared" ref="I7:I15" si="5">IFERROR(H7/G7, "")</f>
        <v>-7.8667976139300794E-2</v>
      </c>
      <c r="J7" s="57" t="s">
        <v>23</v>
      </c>
      <c r="K7" s="81" t="s">
        <v>24</v>
      </c>
      <c r="L7" s="85"/>
      <c r="M7" s="85"/>
      <c r="N7" s="85"/>
      <c r="O7" s="85"/>
      <c r="P7" s="85"/>
    </row>
    <row r="8" spans="1:16" ht="72">
      <c r="A8" s="47" t="str">
        <v>24 Walpole Park South</v>
      </c>
      <c r="B8" s="29" t="str">
        <v>MA</v>
      </c>
      <c r="C8" s="24">
        <v>23711.25</v>
      </c>
      <c r="D8" s="13">
        <v>19088.14</v>
      </c>
      <c r="E8" s="13">
        <f t="shared" si="0"/>
        <v>4623.1100000000006</v>
      </c>
      <c r="F8" s="14">
        <f t="shared" si="1"/>
        <v>0.24219803501022105</v>
      </c>
      <c r="G8" s="15">
        <v>28498.52</v>
      </c>
      <c r="H8" s="15">
        <f t="shared" si="4"/>
        <v>-4787.2700000000004</v>
      </c>
      <c r="I8" s="16">
        <f t="shared" si="5"/>
        <v>-0.16798310929830743</v>
      </c>
      <c r="J8" s="40" t="s">
        <v>25</v>
      </c>
      <c r="K8" s="82" t="s">
        <v>26</v>
      </c>
      <c r="L8" s="86" t="s">
        <v>27</v>
      </c>
      <c r="M8" s="86" t="s">
        <v>28</v>
      </c>
      <c r="N8" s="85"/>
      <c r="O8" s="85"/>
      <c r="P8" s="85"/>
    </row>
    <row r="9" spans="1:16" ht="28.9">
      <c r="A9" s="48" t="str">
        <v>25 Walpole Park South</v>
      </c>
      <c r="B9" s="31" t="str">
        <v>MA</v>
      </c>
      <c r="C9" s="11">
        <v>24218</v>
      </c>
      <c r="D9" s="18">
        <v>32717.42</v>
      </c>
      <c r="E9" s="18">
        <f t="shared" si="0"/>
        <v>-8499.4199999999983</v>
      </c>
      <c r="F9" s="19">
        <f t="shared" si="1"/>
        <v>-0.25978270902779005</v>
      </c>
      <c r="G9" s="20">
        <v>28984.84</v>
      </c>
      <c r="H9" s="20">
        <f t="shared" si="4"/>
        <v>-4766.84</v>
      </c>
      <c r="I9" s="19">
        <f t="shared" si="5"/>
        <v>-0.1644597658638102</v>
      </c>
      <c r="J9" s="41" t="s">
        <v>29</v>
      </c>
      <c r="K9" s="83" t="s">
        <v>30</v>
      </c>
      <c r="L9" s="86" t="s">
        <v>31</v>
      </c>
      <c r="M9" s="85"/>
      <c r="N9" s="85"/>
      <c r="O9" s="85"/>
      <c r="P9" s="85"/>
    </row>
    <row r="10" spans="1:16" ht="72">
      <c r="A10" s="47" t="str">
        <v>3 Walpole Park South</v>
      </c>
      <c r="B10" s="29" t="str">
        <v>MA</v>
      </c>
      <c r="C10" s="24">
        <v>32137.687499999101</v>
      </c>
      <c r="D10" s="13">
        <v>51986.12</v>
      </c>
      <c r="E10" s="13">
        <f t="shared" si="0"/>
        <v>-19848.432500000901</v>
      </c>
      <c r="F10" s="14">
        <f t="shared" si="1"/>
        <v>-0.3818025369079458</v>
      </c>
      <c r="G10" s="15">
        <v>34626.19</v>
      </c>
      <c r="H10" s="15">
        <f t="shared" si="4"/>
        <v>-2488.5025000009009</v>
      </c>
      <c r="I10" s="16">
        <f t="shared" si="5"/>
        <v>-7.1867638339675854E-2</v>
      </c>
      <c r="J10" s="40" t="s">
        <v>32</v>
      </c>
      <c r="K10" s="82" t="s">
        <v>33</v>
      </c>
      <c r="L10" s="86" t="s">
        <v>34</v>
      </c>
      <c r="M10" s="86" t="s">
        <v>35</v>
      </c>
      <c r="N10" s="85"/>
      <c r="O10" s="85"/>
      <c r="P10" s="85"/>
    </row>
    <row r="11" spans="1:16" ht="15.6">
      <c r="A11" s="48" t="str">
        <v>4 Walpole Park South</v>
      </c>
      <c r="B11" s="31" t="str">
        <v>MA</v>
      </c>
      <c r="C11" s="11">
        <v>18926.5</v>
      </c>
      <c r="D11" s="18">
        <v>30719.42</v>
      </c>
      <c r="E11" s="18">
        <f t="shared" si="0"/>
        <v>-11792.919999999998</v>
      </c>
      <c r="F11" s="19">
        <f t="shared" si="1"/>
        <v>-0.38389136253223527</v>
      </c>
      <c r="G11" s="20">
        <v>19589.080000000002</v>
      </c>
      <c r="H11" s="20">
        <f t="shared" si="4"/>
        <v>-662.58000000000175</v>
      </c>
      <c r="I11" s="19">
        <f t="shared" si="5"/>
        <v>-3.3823946811182642E-2</v>
      </c>
      <c r="J11" s="41" t="s">
        <v>22</v>
      </c>
      <c r="K11" s="41"/>
      <c r="L11" s="85"/>
      <c r="M11" s="85"/>
      <c r="N11" s="85"/>
      <c r="O11" s="85"/>
      <c r="P11" s="85"/>
    </row>
    <row r="12" spans="1:16" ht="15.6">
      <c r="A12" s="47" t="str">
        <v>Brockton</v>
      </c>
      <c r="B12" s="29" t="str">
        <v>MA</v>
      </c>
      <c r="C12" s="24">
        <v>35242.5</v>
      </c>
      <c r="D12" s="13">
        <v>41958.95</v>
      </c>
      <c r="E12" s="13">
        <f t="shared" si="0"/>
        <v>-6716.4499999999971</v>
      </c>
      <c r="F12" s="14">
        <f t="shared" si="1"/>
        <v>-0.16007192744337018</v>
      </c>
      <c r="G12" s="15">
        <v>35711.300000000003</v>
      </c>
      <c r="H12" s="15">
        <f t="shared" si="4"/>
        <v>-468.80000000000291</v>
      </c>
      <c r="I12" s="16">
        <f t="shared" si="5"/>
        <v>-1.3127497458787635E-2</v>
      </c>
      <c r="J12" s="40" t="s">
        <v>22</v>
      </c>
      <c r="K12" s="40"/>
      <c r="L12" s="85"/>
      <c r="M12" s="85"/>
      <c r="N12" s="85"/>
      <c r="O12" s="85"/>
      <c r="P12" s="85"/>
    </row>
    <row r="13" spans="1:16" ht="15.6">
      <c r="A13" s="48" t="str">
        <v>Canton</v>
      </c>
      <c r="B13" s="31" t="str">
        <v>MA</v>
      </c>
      <c r="C13" s="11">
        <v>30237.25</v>
      </c>
      <c r="D13" s="18">
        <v>44905.17</v>
      </c>
      <c r="E13" s="18">
        <f t="shared" si="0"/>
        <v>-14667.919999999998</v>
      </c>
      <c r="F13" s="19">
        <f t="shared" si="1"/>
        <v>-0.32664212160871453</v>
      </c>
      <c r="G13" s="20">
        <v>30749.97</v>
      </c>
      <c r="H13" s="20">
        <f t="shared" si="4"/>
        <v>-512.72000000000116</v>
      </c>
      <c r="I13" s="19">
        <f t="shared" si="5"/>
        <v>-1.6673837405369863E-2</v>
      </c>
      <c r="J13" s="41" t="s">
        <v>22</v>
      </c>
      <c r="K13" s="41"/>
      <c r="L13" s="85"/>
      <c r="M13" s="85"/>
      <c r="N13" s="85"/>
      <c r="O13" s="85"/>
      <c r="P13" s="85"/>
    </row>
    <row r="14" spans="1:16" ht="171" customHeight="1">
      <c r="A14" s="47" t="str">
        <v>Chelsea</v>
      </c>
      <c r="B14" s="29" t="str">
        <v>MA</v>
      </c>
      <c r="C14" s="24">
        <v>66681</v>
      </c>
      <c r="D14" s="13">
        <v>78143.31</v>
      </c>
      <c r="E14" s="13">
        <f t="shared" si="0"/>
        <v>-11462.309999999998</v>
      </c>
      <c r="F14" s="14">
        <f t="shared" si="1"/>
        <v>-0.14668319015408995</v>
      </c>
      <c r="G14" s="15">
        <v>54727.88</v>
      </c>
      <c r="H14" s="15">
        <f t="shared" si="4"/>
        <v>11953.120000000003</v>
      </c>
      <c r="I14" s="16">
        <f t="shared" si="5"/>
        <v>0.21841006814077218</v>
      </c>
      <c r="J14" s="40" t="s">
        <v>36</v>
      </c>
      <c r="K14" s="82" t="s">
        <v>37</v>
      </c>
      <c r="L14" s="86" t="s">
        <v>38</v>
      </c>
      <c r="M14" s="86" t="s">
        <v>39</v>
      </c>
      <c r="N14" s="86" t="s">
        <v>40</v>
      </c>
      <c r="O14" s="86" t="s">
        <v>41</v>
      </c>
      <c r="P14" s="86" t="s">
        <v>42</v>
      </c>
    </row>
    <row r="15" spans="1:16" ht="15.6">
      <c r="A15" s="48" t="str">
        <v>Hamilton Landfill</v>
      </c>
      <c r="B15" s="31" t="str">
        <v>MA</v>
      </c>
      <c r="C15" s="11">
        <v>39385.699999999997</v>
      </c>
      <c r="D15" s="18">
        <v>87354.4</v>
      </c>
      <c r="E15" s="18">
        <f t="shared" si="0"/>
        <v>-47968.7</v>
      </c>
      <c r="F15" s="19">
        <f t="shared" si="1"/>
        <v>-0.54912746238311982</v>
      </c>
      <c r="G15" s="20">
        <v>0</v>
      </c>
      <c r="H15" s="20">
        <f t="shared" si="4"/>
        <v>39385.699999999997</v>
      </c>
      <c r="I15" s="19" t="str">
        <f t="shared" si="5"/>
        <v/>
      </c>
      <c r="J15" s="41" t="s">
        <v>22</v>
      </c>
      <c r="K15" s="41"/>
      <c r="L15" s="85"/>
      <c r="M15" s="85"/>
      <c r="N15" s="85"/>
      <c r="O15" s="85"/>
      <c r="P15" s="85"/>
    </row>
    <row r="16" spans="1:16" ht="28.9">
      <c r="A16" s="47" t="str">
        <v>Holliston</v>
      </c>
      <c r="B16" s="29" t="str">
        <v>MA</v>
      </c>
      <c r="C16" s="24">
        <v>79918</v>
      </c>
      <c r="D16" s="13">
        <v>88133.87</v>
      </c>
      <c r="E16" s="13">
        <f t="shared" ref="E16:E33" si="6">IF(AND(ISNUMBER(C16),ISNUMBER(D16)), C16-D16, "")</f>
        <v>-8215.8699999999953</v>
      </c>
      <c r="F16" s="14">
        <f t="shared" si="1"/>
        <v>-9.3220347637066159E-2</v>
      </c>
      <c r="G16" s="15">
        <v>84310.38</v>
      </c>
      <c r="H16" s="15">
        <f t="shared" ref="H16:H17" si="7">IF(AND(ISNUMBER(C16),ISNUMBER(G16)), C16-G16, "")</f>
        <v>-4392.3800000000047</v>
      </c>
      <c r="I16" s="16">
        <f t="shared" ref="I16:I31" si="8">IFERROR(H16/G16, "")</f>
        <v>-5.2097736957181361E-2</v>
      </c>
      <c r="J16" s="40" t="s">
        <v>43</v>
      </c>
      <c r="K16" s="82" t="s">
        <v>44</v>
      </c>
      <c r="L16" s="86" t="s">
        <v>45</v>
      </c>
      <c r="M16" s="85"/>
      <c r="N16" s="85"/>
      <c r="O16" s="85"/>
      <c r="P16" s="85"/>
    </row>
    <row r="17" spans="1:16" ht="15.6">
      <c r="A17" s="48" t="str">
        <v>Natick HS - Carports</v>
      </c>
      <c r="B17" s="31" t="str">
        <v>MA</v>
      </c>
      <c r="C17" s="11">
        <v>23101.5</v>
      </c>
      <c r="D17" s="18">
        <v>43562.15</v>
      </c>
      <c r="E17" s="18">
        <f t="shared" si="6"/>
        <v>-20460.650000000001</v>
      </c>
      <c r="F17" s="19">
        <f t="shared" si="1"/>
        <v>-0.46968870912018806</v>
      </c>
      <c r="G17" s="20">
        <v>0</v>
      </c>
      <c r="H17" s="20">
        <f t="shared" si="7"/>
        <v>23101.5</v>
      </c>
      <c r="I17" s="19" t="str">
        <f t="shared" si="8"/>
        <v/>
      </c>
      <c r="J17" s="88" t="s">
        <v>22</v>
      </c>
      <c r="K17" s="41"/>
      <c r="L17" s="85"/>
      <c r="M17" s="85"/>
      <c r="N17" s="85"/>
      <c r="O17" s="85"/>
      <c r="P17" s="85"/>
    </row>
    <row r="18" spans="1:16" ht="43.15">
      <c r="A18" s="47" t="str">
        <v>Norton</v>
      </c>
      <c r="B18" s="29" t="str">
        <v>MA</v>
      </c>
      <c r="C18" s="24">
        <v>0</v>
      </c>
      <c r="D18" s="13">
        <v>0</v>
      </c>
      <c r="E18" s="13">
        <f t="shared" si="6"/>
        <v>0</v>
      </c>
      <c r="F18" s="14" t="str">
        <f t="shared" si="1"/>
        <v/>
      </c>
      <c r="G18" s="15">
        <v>0</v>
      </c>
      <c r="H18" s="15">
        <f t="shared" ref="H18:H32" si="9">IF(AND(ISNUMBER(C18),ISNUMBER(G18)), C18-G18, "")</f>
        <v>0</v>
      </c>
      <c r="I18" s="16" t="str">
        <f t="shared" ref="I18:I32" si="10">IFERROR(H18/G18, "")</f>
        <v/>
      </c>
      <c r="J18" s="40" t="s">
        <v>46</v>
      </c>
      <c r="K18" s="82" t="s">
        <v>47</v>
      </c>
      <c r="L18" s="86" t="s">
        <v>48</v>
      </c>
      <c r="M18" s="86" t="s">
        <v>49</v>
      </c>
      <c r="N18" s="85"/>
      <c r="O18" s="85"/>
      <c r="P18" s="85"/>
    </row>
    <row r="19" spans="1:16" ht="43.15">
      <c r="A19" s="48" t="str">
        <v>Palmer - Boston Rd.</v>
      </c>
      <c r="B19" s="31" t="str">
        <v>MA</v>
      </c>
      <c r="C19" s="11">
        <v>34752</v>
      </c>
      <c r="D19" s="18">
        <v>49692.76</v>
      </c>
      <c r="E19" s="18">
        <f t="shared" si="6"/>
        <v>-14940.760000000002</v>
      </c>
      <c r="F19" s="19">
        <f t="shared" si="1"/>
        <v>-0.30066271223413638</v>
      </c>
      <c r="G19" s="20">
        <v>45090</v>
      </c>
      <c r="H19" s="20">
        <f t="shared" si="9"/>
        <v>-10338</v>
      </c>
      <c r="I19" s="19">
        <f t="shared" si="8"/>
        <v>-0.22927478376580174</v>
      </c>
      <c r="J19" s="41" t="s">
        <v>50</v>
      </c>
      <c r="K19" s="83" t="s">
        <v>51</v>
      </c>
      <c r="L19" s="85"/>
      <c r="M19" s="85"/>
      <c r="N19" s="85"/>
      <c r="O19" s="85"/>
      <c r="P19" s="85"/>
    </row>
    <row r="20" spans="1:16" ht="115.15">
      <c r="A20" s="90" t="str">
        <v>Shirley Bartkus</v>
      </c>
      <c r="B20" s="29" t="str">
        <v>MA</v>
      </c>
      <c r="C20" s="24">
        <v>52517.557775638103</v>
      </c>
      <c r="D20" s="13">
        <v>87390.5</v>
      </c>
      <c r="E20" s="13">
        <f t="shared" si="6"/>
        <v>-34872.942224361897</v>
      </c>
      <c r="F20" s="14">
        <f t="shared" si="1"/>
        <v>-0.39904729031601716</v>
      </c>
      <c r="G20" s="15">
        <v>65151</v>
      </c>
      <c r="H20" s="15">
        <f t="shared" si="9"/>
        <v>-12633.442224361897</v>
      </c>
      <c r="I20" s="16">
        <f t="shared" si="10"/>
        <v>-0.19391018133815133</v>
      </c>
      <c r="J20" s="40" t="s">
        <v>52</v>
      </c>
      <c r="K20" s="82" t="s">
        <v>53</v>
      </c>
      <c r="L20" s="86" t="s">
        <v>54</v>
      </c>
      <c r="M20" s="86" t="s">
        <v>55</v>
      </c>
      <c r="N20" s="86" t="s">
        <v>56</v>
      </c>
      <c r="O20" s="86" t="s">
        <v>57</v>
      </c>
      <c r="P20" s="85"/>
    </row>
    <row r="21" spans="1:16" ht="15.6">
      <c r="A21" s="48" t="str">
        <v>Stoughton</v>
      </c>
      <c r="B21" s="31" t="str">
        <v>MA</v>
      </c>
      <c r="C21" s="11">
        <v>42082</v>
      </c>
      <c r="D21" s="18">
        <v>42134.57</v>
      </c>
      <c r="E21" s="18">
        <f t="shared" si="6"/>
        <v>-52.569999999999709</v>
      </c>
      <c r="F21" s="19">
        <f t="shared" si="1"/>
        <v>-1.2476690755358298E-3</v>
      </c>
      <c r="G21" s="20">
        <v>35429.71</v>
      </c>
      <c r="H21" s="20">
        <f t="shared" si="9"/>
        <v>6652.2900000000009</v>
      </c>
      <c r="I21" s="19">
        <f t="shared" si="8"/>
        <v>0.18776021593177028</v>
      </c>
      <c r="J21" s="41"/>
      <c r="K21" s="41"/>
      <c r="L21" s="85"/>
      <c r="M21" s="85"/>
      <c r="N21" s="85"/>
      <c r="O21" s="85"/>
      <c r="P21" s="85"/>
    </row>
    <row r="22" spans="1:16" ht="28.9">
      <c r="A22" s="47" t="str">
        <v>Wellfleet Landfill</v>
      </c>
      <c r="B22" s="29" t="str">
        <v>MA</v>
      </c>
      <c r="C22" s="24">
        <v>37109.9</v>
      </c>
      <c r="D22" s="13">
        <v>40845.199999999997</v>
      </c>
      <c r="E22" s="13">
        <f t="shared" si="6"/>
        <v>-3735.2999999999956</v>
      </c>
      <c r="F22" s="14">
        <f t="shared" si="1"/>
        <v>-9.1450158158118841E-2</v>
      </c>
      <c r="G22" s="15">
        <v>0</v>
      </c>
      <c r="H22" s="15">
        <f t="shared" si="9"/>
        <v>37109.9</v>
      </c>
      <c r="I22" s="16" t="str">
        <f t="shared" si="10"/>
        <v/>
      </c>
      <c r="J22" s="40" t="s">
        <v>58</v>
      </c>
      <c r="K22" s="82" t="s">
        <v>59</v>
      </c>
      <c r="L22" s="85"/>
      <c r="M22" s="85"/>
      <c r="N22" s="85"/>
      <c r="O22" s="85"/>
      <c r="P22" s="85"/>
    </row>
    <row r="23" spans="1:16" ht="28.9">
      <c r="A23" s="48" t="str">
        <v>Wilmington Garage &amp; Building 7</v>
      </c>
      <c r="B23" s="31" t="str">
        <v>MA</v>
      </c>
      <c r="C23" s="11">
        <v>40128.75</v>
      </c>
      <c r="D23" s="18">
        <v>74682.38</v>
      </c>
      <c r="E23" s="18">
        <f t="shared" si="6"/>
        <v>-34553.630000000005</v>
      </c>
      <c r="F23" s="19">
        <f t="shared" si="1"/>
        <v>-0.46267446216898822</v>
      </c>
      <c r="G23" s="20">
        <v>51215.54</v>
      </c>
      <c r="H23" s="20">
        <f t="shared" si="9"/>
        <v>-11086.79</v>
      </c>
      <c r="I23" s="19">
        <f t="shared" si="8"/>
        <v>-0.21647316419977219</v>
      </c>
      <c r="J23" s="41" t="s">
        <v>60</v>
      </c>
      <c r="K23" s="83" t="s">
        <v>61</v>
      </c>
      <c r="L23" s="86" t="s">
        <v>62</v>
      </c>
      <c r="M23" s="85"/>
      <c r="N23" s="85"/>
      <c r="O23" s="85"/>
      <c r="P23" s="85"/>
    </row>
    <row r="24" spans="1:16" ht="213.75" customHeight="1">
      <c r="A24" s="47" t="str">
        <v>Woburn</v>
      </c>
      <c r="B24" s="29" t="str">
        <v>MA</v>
      </c>
      <c r="C24" s="24">
        <v>70710.5</v>
      </c>
      <c r="D24" s="13">
        <v>143603</v>
      </c>
      <c r="E24" s="13">
        <f t="shared" si="6"/>
        <v>-72892.5</v>
      </c>
      <c r="F24" s="14">
        <f t="shared" si="1"/>
        <v>-0.50759733431752818</v>
      </c>
      <c r="G24" s="15">
        <v>69288.009999999995</v>
      </c>
      <c r="H24" s="15">
        <f t="shared" si="9"/>
        <v>1422.4900000000052</v>
      </c>
      <c r="I24" s="16">
        <f t="shared" si="10"/>
        <v>2.0530103260289988E-2</v>
      </c>
      <c r="J24" s="40" t="s">
        <v>63</v>
      </c>
      <c r="K24" s="82" t="s">
        <v>64</v>
      </c>
      <c r="L24" s="86" t="s">
        <v>65</v>
      </c>
      <c r="M24" s="86" t="s">
        <v>66</v>
      </c>
      <c r="N24" s="86" t="s">
        <v>67</v>
      </c>
      <c r="O24" s="86" t="s">
        <v>68</v>
      </c>
      <c r="P24" s="86" t="s">
        <v>69</v>
      </c>
    </row>
    <row r="25" spans="1:16" ht="15.6">
      <c r="A25" s="48" t="str">
        <v>Friendship Solar 1</v>
      </c>
      <c r="B25" s="31" t="str">
        <v>MD</v>
      </c>
      <c r="C25" s="11">
        <v>249779</v>
      </c>
      <c r="D25" s="18">
        <v>269841.3</v>
      </c>
      <c r="E25" s="18">
        <f t="shared" si="6"/>
        <v>-20062.299999999988</v>
      </c>
      <c r="F25" s="19">
        <f t="shared" si="1"/>
        <v>-7.4348515219871791E-2</v>
      </c>
      <c r="G25" s="20">
        <v>251554.7</v>
      </c>
      <c r="H25" s="20">
        <f t="shared" si="9"/>
        <v>-1775.7000000000116</v>
      </c>
      <c r="I25" s="19">
        <f t="shared" si="8"/>
        <v>-7.0589020996229112E-3</v>
      </c>
      <c r="J25" s="41" t="s">
        <v>70</v>
      </c>
      <c r="K25" s="83" t="s">
        <v>71</v>
      </c>
      <c r="L25" s="85"/>
      <c r="M25" s="85"/>
      <c r="N25" s="85"/>
      <c r="O25" s="85"/>
      <c r="P25" s="85"/>
    </row>
    <row r="26" spans="1:16" ht="15.6">
      <c r="A26" s="47" t="str">
        <v>Friendship Solar 2</v>
      </c>
      <c r="B26" s="29" t="str">
        <v>MD</v>
      </c>
      <c r="C26" s="24">
        <v>244225</v>
      </c>
      <c r="D26" s="13">
        <v>284533.5</v>
      </c>
      <c r="E26" s="13">
        <f t="shared" si="6"/>
        <v>-40308.5</v>
      </c>
      <c r="F26" s="14">
        <f t="shared" si="1"/>
        <v>-0.14166521692524781</v>
      </c>
      <c r="G26" s="15">
        <v>248916.6</v>
      </c>
      <c r="H26" s="15">
        <f t="shared" si="9"/>
        <v>-4691.6000000000058</v>
      </c>
      <c r="I26" s="16">
        <f t="shared" si="10"/>
        <v>-1.8848080039659893E-2</v>
      </c>
      <c r="J26" s="74" t="s">
        <v>22</v>
      </c>
      <c r="K26" s="89"/>
      <c r="L26" s="86"/>
      <c r="M26" s="86"/>
      <c r="N26" s="86"/>
      <c r="O26" s="86"/>
      <c r="P26" s="86"/>
    </row>
    <row r="27" spans="1:16" ht="72">
      <c r="A27" s="48" t="str">
        <v>101 Carnegie Center</v>
      </c>
      <c r="B27" s="31" t="str">
        <v>NJ</v>
      </c>
      <c r="C27" s="75">
        <v>67113.5</v>
      </c>
      <c r="D27" s="18">
        <v>112416</v>
      </c>
      <c r="E27" s="18">
        <f t="shared" si="6"/>
        <v>-45302.5</v>
      </c>
      <c r="F27" s="76">
        <f t="shared" si="1"/>
        <v>-0.40298978793054369</v>
      </c>
      <c r="G27" s="67">
        <v>0</v>
      </c>
      <c r="H27" s="67">
        <f t="shared" si="9"/>
        <v>67113.5</v>
      </c>
      <c r="I27" s="76" t="str">
        <f t="shared" si="8"/>
        <v/>
      </c>
      <c r="J27" s="41" t="s">
        <v>72</v>
      </c>
      <c r="K27" s="84" t="s">
        <v>73</v>
      </c>
      <c r="L27" s="86" t="s">
        <v>74</v>
      </c>
      <c r="M27" s="85"/>
      <c r="N27" s="85"/>
      <c r="O27" s="85"/>
      <c r="P27" s="85"/>
    </row>
    <row r="28" spans="1:16" ht="15.6">
      <c r="A28" s="47" t="str">
        <v>302 Carnegie Center</v>
      </c>
      <c r="B28" s="29" t="str">
        <v>NJ</v>
      </c>
      <c r="C28" s="24">
        <v>32360.799999999999</v>
      </c>
      <c r="D28" s="13">
        <v>47003.55</v>
      </c>
      <c r="E28" s="13">
        <f t="shared" si="6"/>
        <v>-14642.750000000004</v>
      </c>
      <c r="F28" s="14">
        <f t="shared" si="1"/>
        <v>-0.31152434231031489</v>
      </c>
      <c r="G28" s="15">
        <v>0</v>
      </c>
      <c r="H28" s="15">
        <f t="shared" si="9"/>
        <v>32360.799999999999</v>
      </c>
      <c r="I28" s="16" t="str">
        <f t="shared" si="10"/>
        <v/>
      </c>
      <c r="J28" s="40" t="s">
        <v>22</v>
      </c>
      <c r="K28" s="40"/>
      <c r="L28" s="85"/>
      <c r="M28" s="85"/>
      <c r="N28" s="85"/>
      <c r="O28" s="85"/>
      <c r="P28" s="85"/>
    </row>
    <row r="29" spans="1:16" ht="94.5" customHeight="1">
      <c r="A29" s="48" t="str">
        <v>510 Carnegie Center</v>
      </c>
      <c r="B29" s="31" t="str">
        <v>NJ</v>
      </c>
      <c r="C29" s="11">
        <v>66360.399999999994</v>
      </c>
      <c r="D29" s="18">
        <v>119861.4</v>
      </c>
      <c r="E29" s="18">
        <f t="shared" si="6"/>
        <v>-53501</v>
      </c>
      <c r="F29" s="19">
        <f t="shared" si="1"/>
        <v>-0.44635720924334277</v>
      </c>
      <c r="G29" s="20">
        <v>0</v>
      </c>
      <c r="H29" s="20">
        <f t="shared" si="9"/>
        <v>66360.399999999994</v>
      </c>
      <c r="I29" s="19" t="str">
        <f t="shared" si="8"/>
        <v/>
      </c>
      <c r="J29" s="56" t="s">
        <v>75</v>
      </c>
      <c r="K29" s="84" t="s">
        <v>76</v>
      </c>
      <c r="L29" s="85"/>
      <c r="M29" s="85"/>
      <c r="N29" s="85"/>
      <c r="O29" s="85"/>
      <c r="P29" s="85"/>
    </row>
    <row r="30" spans="1:16" ht="15.6">
      <c r="A30" s="47" t="str">
        <v>701 Carnegie Center</v>
      </c>
      <c r="B30" s="29" t="str">
        <v>NJ</v>
      </c>
      <c r="C30" s="24">
        <v>61625.285000000003</v>
      </c>
      <c r="D30" s="13">
        <v>91246.2</v>
      </c>
      <c r="E30" s="13">
        <f t="shared" si="6"/>
        <v>-29620.914999999994</v>
      </c>
      <c r="F30" s="14">
        <f t="shared" si="1"/>
        <v>-0.3246262858069705</v>
      </c>
      <c r="G30" s="15">
        <v>0</v>
      </c>
      <c r="H30" s="15">
        <f t="shared" si="9"/>
        <v>61625.285000000003</v>
      </c>
      <c r="I30" s="16" t="str">
        <f t="shared" si="10"/>
        <v/>
      </c>
      <c r="J30" s="40" t="s">
        <v>22</v>
      </c>
      <c r="K30" s="40"/>
      <c r="L30" s="85"/>
      <c r="M30" s="85"/>
      <c r="N30" s="85"/>
      <c r="O30" s="85"/>
      <c r="P30" s="85"/>
    </row>
    <row r="31" spans="1:16" ht="15.6">
      <c r="A31" s="48" t="str">
        <v>Hudson County Correction</v>
      </c>
      <c r="B31" s="31" t="str">
        <v>NJ</v>
      </c>
      <c r="C31" s="11">
        <v>85632.076993332201</v>
      </c>
      <c r="D31" s="18">
        <v>85344.2</v>
      </c>
      <c r="E31" s="18">
        <f t="shared" si="6"/>
        <v>287.87699333220371</v>
      </c>
      <c r="F31" s="19">
        <f t="shared" si="1"/>
        <v>3.3731289687196518E-3</v>
      </c>
      <c r="G31" s="20">
        <v>86957.91</v>
      </c>
      <c r="H31" s="20">
        <f>IF(AND(ISNUMBER(C31),ISNUMBER(G31)), C31-G31, "")</f>
        <v>-1325.8330066678027</v>
      </c>
      <c r="I31" s="19">
        <f t="shared" si="8"/>
        <v>-1.524683616094042E-2</v>
      </c>
      <c r="J31" s="41"/>
      <c r="K31" s="41"/>
      <c r="L31" s="85"/>
      <c r="M31" s="85"/>
      <c r="N31" s="85"/>
      <c r="O31" s="85"/>
      <c r="P31" s="85"/>
    </row>
    <row r="32" spans="1:16" ht="57.6">
      <c r="A32" s="47" t="str">
        <v>ER Bison Solar</v>
      </c>
      <c r="B32" s="29" t="str">
        <v>PA</v>
      </c>
      <c r="C32" s="24">
        <v>93337</v>
      </c>
      <c r="D32" s="13">
        <v>0</v>
      </c>
      <c r="E32" s="13">
        <f t="shared" si="6"/>
        <v>93337</v>
      </c>
      <c r="F32" s="14" t="str">
        <f t="shared" ref="F32:F38" si="11">IFERROR(E32/D32, "")</f>
        <v/>
      </c>
      <c r="G32" s="15">
        <v>100651</v>
      </c>
      <c r="H32" s="15">
        <f t="shared" si="9"/>
        <v>-7314</v>
      </c>
      <c r="I32" s="16">
        <f t="shared" si="10"/>
        <v>-7.2666938232108971E-2</v>
      </c>
      <c r="J32" s="40" t="s">
        <v>77</v>
      </c>
      <c r="K32" s="82" t="s">
        <v>78</v>
      </c>
      <c r="L32" s="86" t="s">
        <v>79</v>
      </c>
      <c r="M32" s="86" t="s">
        <v>80</v>
      </c>
      <c r="N32" s="85"/>
      <c r="O32" s="85"/>
      <c r="P32" s="85"/>
    </row>
    <row r="33" spans="1:16" ht="15.6">
      <c r="A33" s="48" t="str">
        <v>Danville</v>
      </c>
      <c r="B33" s="31" t="str">
        <v>IL</v>
      </c>
      <c r="C33" s="11">
        <v>235052.1</v>
      </c>
      <c r="D33" s="18">
        <v>0</v>
      </c>
      <c r="E33" s="18">
        <f t="shared" si="6"/>
        <v>235052.1</v>
      </c>
      <c r="F33" s="19" t="str">
        <f t="shared" si="11"/>
        <v/>
      </c>
      <c r="G33" s="20">
        <v>0</v>
      </c>
      <c r="H33" s="20">
        <f>IF(AND(ISNUMBER(C33),ISNUMBER(G33)), C33-G33, "")</f>
        <v>235052.1</v>
      </c>
      <c r="I33" s="19" t="str">
        <f t="shared" ref="I33:I38" si="12">IFERROR(H33/G33, "")</f>
        <v/>
      </c>
      <c r="J33" s="41"/>
      <c r="K33" s="41"/>
      <c r="L33" s="85"/>
      <c r="M33" s="85"/>
      <c r="N33" s="85"/>
      <c r="O33" s="85"/>
      <c r="P33" s="85"/>
    </row>
    <row r="34" spans="1:16" ht="129.6">
      <c r="A34" s="47" t="str">
        <v>Camden - Campbell Soup HQ</v>
      </c>
      <c r="B34" s="29" t="str">
        <v>NJ</v>
      </c>
      <c r="C34" s="24">
        <v>136065</v>
      </c>
      <c r="D34" s="13">
        <v>211584.39490000001</v>
      </c>
      <c r="E34" s="13">
        <f>IF(AND(ISNUMBER(C34),ISNUMBER(D34)), C34-D34, "")</f>
        <v>-75519.394900000014</v>
      </c>
      <c r="F34" s="14">
        <f t="shared" si="11"/>
        <v>-0.35692327373997662</v>
      </c>
      <c r="G34" s="15">
        <v>247940.87</v>
      </c>
      <c r="H34" s="15">
        <f>IF(AND(ISNUMBER(C34),ISNUMBER(G34)), C34-G34, "")</f>
        <v>-111875.87</v>
      </c>
      <c r="I34" s="16">
        <f t="shared" si="12"/>
        <v>-0.45121996224341715</v>
      </c>
      <c r="J34" s="40" t="s">
        <v>81</v>
      </c>
      <c r="K34" s="82" t="s">
        <v>82</v>
      </c>
      <c r="L34" s="86" t="s">
        <v>83</v>
      </c>
      <c r="M34" s="86" t="s">
        <v>84</v>
      </c>
      <c r="N34" s="86" t="s">
        <v>85</v>
      </c>
      <c r="O34" s="86" t="s">
        <v>86</v>
      </c>
      <c r="P34" s="85"/>
    </row>
    <row r="35" spans="1:16" ht="15.6">
      <c r="A35" s="48" t="str">
        <v>Westport - Pine Hill</v>
      </c>
      <c r="B35" s="31" t="str">
        <v>MA</v>
      </c>
      <c r="C35" s="75"/>
      <c r="D35" s="18"/>
      <c r="E35" s="18" t="str">
        <f>IF(AND(ISNUMBER(C35),ISNUMBER(D35)), C35-D35, "")</f>
        <v/>
      </c>
      <c r="F35" s="76" t="str">
        <f t="shared" si="11"/>
        <v/>
      </c>
      <c r="G35" s="67"/>
      <c r="H35" s="67" t="str">
        <f>IF(AND(ISNUMBER(C35),ISNUMBER(G35)), C35-G35, "")</f>
        <v/>
      </c>
      <c r="I35" s="76" t="str">
        <f t="shared" si="12"/>
        <v/>
      </c>
      <c r="J35" s="41"/>
      <c r="K35" s="41"/>
      <c r="L35" s="85"/>
      <c r="M35" s="85"/>
      <c r="N35" s="85"/>
      <c r="O35" s="85"/>
      <c r="P35" s="85"/>
    </row>
    <row r="36" spans="1:16" ht="57.6">
      <c r="A36" s="47" t="str">
        <v>Oaks Landfill - ANEM</v>
      </c>
      <c r="B36" s="29" t="str">
        <v>MD</v>
      </c>
      <c r="C36" s="71">
        <v>191034.5</v>
      </c>
      <c r="D36" s="13">
        <v>295011.09999999998</v>
      </c>
      <c r="E36" s="13">
        <f>IF(AND(ISNUMBER(C36),ISNUMBER(D36)), C36-D36, "")</f>
        <v>-103976.59999999998</v>
      </c>
      <c r="F36" s="72">
        <f t="shared" si="11"/>
        <v>-0.35244978917742414</v>
      </c>
      <c r="G36" s="73">
        <v>0</v>
      </c>
      <c r="H36" s="73"/>
      <c r="I36" s="87" t="str">
        <f t="shared" si="12"/>
        <v/>
      </c>
      <c r="J36" s="74" t="s">
        <v>87</v>
      </c>
      <c r="K36" s="89" t="s">
        <v>88</v>
      </c>
      <c r="L36" s="85"/>
      <c r="M36" s="85"/>
      <c r="N36" s="85"/>
      <c r="O36" s="85"/>
      <c r="P36" s="85"/>
    </row>
    <row r="37" spans="1:16" ht="57.6">
      <c r="A37" s="48" t="str">
        <v>Oaks Landfill - CS2</v>
      </c>
      <c r="B37" s="31" t="str">
        <v>MD</v>
      </c>
      <c r="C37" s="75">
        <v>204995.4</v>
      </c>
      <c r="D37" s="18">
        <v>297441.8</v>
      </c>
      <c r="E37" s="18">
        <f>IF(AND(ISNUMBER(C37),ISNUMBER(D37)), C37-D37, "")</f>
        <v>-92446.399999999994</v>
      </c>
      <c r="F37" s="76">
        <f t="shared" si="11"/>
        <v>-0.31080500454206506</v>
      </c>
      <c r="G37" s="67">
        <v>0</v>
      </c>
      <c r="H37" s="67"/>
      <c r="I37" s="76" t="str">
        <f t="shared" si="12"/>
        <v/>
      </c>
      <c r="J37" s="41" t="s">
        <v>89</v>
      </c>
      <c r="K37" s="81" t="s">
        <v>90</v>
      </c>
      <c r="L37" s="85"/>
      <c r="M37" s="85"/>
      <c r="N37" s="85"/>
      <c r="O37" s="85"/>
      <c r="P37" s="85"/>
    </row>
    <row r="38" spans="1:16" ht="15.6">
      <c r="A38" s="47" t="str">
        <v>Oaks Landfill - CS1</v>
      </c>
      <c r="B38" s="29" t="str">
        <v>MD</v>
      </c>
      <c r="C38" s="71">
        <v>194934.1</v>
      </c>
      <c r="D38" s="13">
        <v>303478.8</v>
      </c>
      <c r="E38" s="13">
        <f>IF(AND(ISNUMBER(C38),ISNUMBER(D38)), C38-D38, "")</f>
        <v>-108544.69999999998</v>
      </c>
      <c r="F38" s="72">
        <f t="shared" si="11"/>
        <v>-0.35766814683595688</v>
      </c>
      <c r="G38" s="73">
        <v>0</v>
      </c>
      <c r="H38" s="73"/>
      <c r="I38" s="87" t="str">
        <f t="shared" si="12"/>
        <v/>
      </c>
      <c r="J38" s="74" t="s">
        <v>22</v>
      </c>
      <c r="K38" s="74"/>
      <c r="L38" s="85"/>
      <c r="M38" s="85"/>
      <c r="N38" s="85"/>
      <c r="O38" s="85"/>
      <c r="P38" s="85"/>
    </row>
    <row r="39" spans="1:16" ht="14.45">
      <c r="A39" s="21"/>
      <c r="B39" s="33"/>
      <c r="C39" s="54"/>
      <c r="D39" s="54"/>
      <c r="E39" s="21"/>
      <c r="F39" s="22"/>
      <c r="G39" s="21"/>
      <c r="H39" s="21"/>
      <c r="I39" s="22"/>
      <c r="J39" s="21"/>
      <c r="K39" s="21"/>
    </row>
    <row r="40" spans="1:16" ht="14.45">
      <c r="A40" s="21"/>
      <c r="B40" s="33"/>
      <c r="C40" s="54"/>
      <c r="D40" s="54"/>
      <c r="E40" s="21"/>
      <c r="F40" s="22"/>
      <c r="G40" s="21"/>
      <c r="H40" s="21"/>
      <c r="I40" s="22"/>
      <c r="J40" s="21"/>
      <c r="K40" s="21"/>
    </row>
    <row r="41" spans="1:16" ht="14.45">
      <c r="A41" s="21"/>
      <c r="B41" s="33"/>
      <c r="C41" s="54"/>
      <c r="D41" s="54"/>
      <c r="E41" s="21"/>
      <c r="F41" s="22"/>
      <c r="G41" s="21"/>
      <c r="H41" s="21"/>
      <c r="I41" s="22"/>
      <c r="J41" s="21"/>
      <c r="K41" s="21"/>
    </row>
    <row r="42" spans="1:16" ht="14.45">
      <c r="A42" s="21"/>
      <c r="B42" s="33"/>
      <c r="C42" s="54"/>
      <c r="D42" s="54"/>
      <c r="E42" s="21"/>
      <c r="F42" s="22"/>
      <c r="G42" s="21"/>
      <c r="H42" s="21"/>
      <c r="I42" s="22"/>
      <c r="J42" s="21"/>
      <c r="K42" s="21"/>
    </row>
    <row r="43" spans="1:16" ht="14.45">
      <c r="A43" s="21"/>
      <c r="B43" s="33"/>
      <c r="C43" s="54"/>
      <c r="D43" s="54"/>
      <c r="E43" s="21"/>
      <c r="F43" s="22"/>
      <c r="G43" s="21"/>
      <c r="H43" s="21"/>
      <c r="I43" s="22"/>
      <c r="J43" s="21"/>
      <c r="K43" s="21"/>
    </row>
    <row r="44" spans="1:16" ht="14.45">
      <c r="A44" s="21"/>
      <c r="B44" s="33"/>
      <c r="C44" s="54"/>
      <c r="D44" s="54"/>
      <c r="E44" s="21"/>
      <c r="F44" s="22"/>
      <c r="G44" s="21"/>
      <c r="H44" s="21"/>
      <c r="I44" s="22"/>
      <c r="J44" s="21"/>
      <c r="K44" s="21"/>
    </row>
    <row r="45" spans="1:16" ht="14.45">
      <c r="A45" s="21"/>
      <c r="B45" s="33"/>
      <c r="C45" s="54"/>
      <c r="D45" s="54"/>
      <c r="E45" s="21"/>
      <c r="F45" s="22"/>
      <c r="G45" s="21"/>
      <c r="H45" s="21"/>
      <c r="I45" s="22"/>
      <c r="J45" s="21"/>
      <c r="K45" s="21"/>
    </row>
    <row r="46" spans="1:16" ht="14.45">
      <c r="A46" s="21"/>
      <c r="B46" s="33"/>
      <c r="C46" s="54"/>
      <c r="D46" s="54"/>
      <c r="E46" s="21"/>
      <c r="F46" s="22"/>
      <c r="G46" s="21"/>
      <c r="H46" s="21"/>
      <c r="I46" s="22"/>
      <c r="J46" s="21"/>
      <c r="K46" s="21"/>
    </row>
    <row r="47" spans="1:16" ht="14.45">
      <c r="A47" s="21"/>
      <c r="B47" s="33"/>
      <c r="C47" s="54"/>
      <c r="D47" s="54"/>
      <c r="E47" s="21"/>
      <c r="F47" s="22"/>
      <c r="G47" s="21"/>
      <c r="H47" s="21"/>
      <c r="I47" s="22"/>
      <c r="J47" s="21"/>
      <c r="K47" s="21"/>
    </row>
    <row r="48" spans="1:16" ht="14.45">
      <c r="A48" s="21"/>
      <c r="B48" s="33"/>
      <c r="C48" s="54"/>
      <c r="D48" s="54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4"/>
      <c r="D49" s="54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4"/>
      <c r="D50" s="54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4"/>
      <c r="D51" s="54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4"/>
      <c r="D52" s="54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4"/>
      <c r="D53" s="54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4"/>
      <c r="D54" s="54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4"/>
      <c r="D55" s="54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4"/>
      <c r="D56" s="54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4"/>
      <c r="D57" s="54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4"/>
      <c r="D58" s="54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4"/>
      <c r="D59" s="54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4"/>
      <c r="D60" s="54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4"/>
      <c r="D61" s="54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4"/>
      <c r="D62" s="54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4"/>
      <c r="D63" s="54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4"/>
      <c r="D64" s="54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4"/>
      <c r="D65" s="54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4"/>
      <c r="D66" s="54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4"/>
      <c r="D67" s="54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4"/>
      <c r="D68" s="54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4"/>
      <c r="D69" s="54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4"/>
      <c r="D70" s="54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4"/>
      <c r="D71" s="54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4"/>
      <c r="D72" s="54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4"/>
      <c r="D73" s="54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4"/>
      <c r="D74" s="54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4"/>
      <c r="D75" s="54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4"/>
      <c r="D76" s="54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4"/>
      <c r="D77" s="54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4"/>
      <c r="D78" s="54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4"/>
      <c r="D79" s="54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4"/>
      <c r="D80" s="54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4"/>
      <c r="D81" s="54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4"/>
      <c r="D82" s="54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4"/>
      <c r="D83" s="54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4"/>
      <c r="D84" s="54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4"/>
      <c r="D85" s="54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4"/>
      <c r="D86" s="54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4"/>
      <c r="D87" s="54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4"/>
      <c r="D88" s="54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4"/>
      <c r="D89" s="54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4"/>
      <c r="D90" s="54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4"/>
      <c r="D91" s="54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4"/>
      <c r="D92" s="54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4"/>
      <c r="D93" s="54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4"/>
      <c r="D94" s="54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4"/>
      <c r="D95" s="54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4"/>
      <c r="D96" s="54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4"/>
      <c r="D97" s="54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4"/>
      <c r="D98" s="54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4"/>
      <c r="D99" s="54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54"/>
      <c r="D100" s="54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54"/>
      <c r="D101" s="54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54"/>
      <c r="D102" s="54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54"/>
      <c r="D103" s="54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54"/>
      <c r="D104" s="54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54"/>
      <c r="D105" s="54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54"/>
      <c r="D106" s="54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54"/>
      <c r="D107" s="54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54"/>
      <c r="D108" s="54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54"/>
      <c r="D109" s="54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54"/>
      <c r="D110" s="54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54"/>
      <c r="D111" s="54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54"/>
      <c r="D112" s="54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54"/>
      <c r="D113" s="54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54"/>
      <c r="D114" s="54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54"/>
      <c r="D115" s="54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54"/>
      <c r="D116" s="54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54"/>
      <c r="D117" s="54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54"/>
      <c r="D118" s="54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54"/>
      <c r="D119" s="54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54"/>
      <c r="D120" s="54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54"/>
      <c r="D121" s="54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54"/>
      <c r="D122" s="54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54"/>
      <c r="D123" s="54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54"/>
      <c r="D124" s="54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54"/>
      <c r="D125" s="54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54"/>
      <c r="D126" s="54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54"/>
      <c r="D127" s="54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54"/>
      <c r="D128" s="54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54"/>
      <c r="D129" s="54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54"/>
      <c r="D130" s="54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54"/>
      <c r="D131" s="54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54"/>
      <c r="D132" s="54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54"/>
      <c r="D133" s="54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54"/>
      <c r="D134" s="54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54"/>
      <c r="D135" s="54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54"/>
      <c r="D136" s="54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54"/>
      <c r="D137" s="54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54"/>
      <c r="D138" s="54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54"/>
      <c r="D139" s="54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54"/>
      <c r="D140" s="54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54"/>
      <c r="D141" s="54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54"/>
      <c r="D142" s="54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54"/>
      <c r="D143" s="54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54"/>
      <c r="D144" s="54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54"/>
      <c r="D145" s="54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54"/>
      <c r="D146" s="54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54"/>
      <c r="D147" s="54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54"/>
      <c r="D148" s="54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54"/>
      <c r="D149" s="54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54"/>
      <c r="D150" s="54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54"/>
      <c r="D151" s="54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54"/>
      <c r="D152" s="54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54"/>
      <c r="D153" s="54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54"/>
      <c r="D154" s="54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54"/>
      <c r="D155" s="54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54"/>
      <c r="D156" s="54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54"/>
      <c r="D157" s="54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54"/>
      <c r="D158" s="54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54"/>
      <c r="D159" s="54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54"/>
      <c r="D160" s="54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54"/>
      <c r="D161" s="54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54"/>
      <c r="D162" s="54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54"/>
      <c r="D163" s="54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54"/>
      <c r="D164" s="54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54"/>
      <c r="D165" s="54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54"/>
      <c r="D166" s="54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54"/>
      <c r="D167" s="54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54"/>
      <c r="D168" s="54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54"/>
      <c r="D169" s="54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54"/>
      <c r="D170" s="54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54"/>
      <c r="D171" s="54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54"/>
      <c r="D172" s="54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54"/>
      <c r="D173" s="54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54"/>
      <c r="D174" s="54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54"/>
      <c r="D175" s="54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54"/>
      <c r="D176" s="54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54"/>
      <c r="D177" s="54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54"/>
      <c r="D178" s="54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54"/>
      <c r="D179" s="54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54"/>
      <c r="D180" s="54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54"/>
      <c r="D181" s="54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54"/>
      <c r="D182" s="54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54"/>
      <c r="D183" s="54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54"/>
      <c r="D184" s="54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54"/>
      <c r="D185" s="54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54"/>
      <c r="D186" s="54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54"/>
      <c r="D187" s="54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54"/>
      <c r="D188" s="54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54"/>
      <c r="D189" s="54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54"/>
      <c r="D190" s="54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54"/>
      <c r="D191" s="54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54"/>
      <c r="D192" s="54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54"/>
      <c r="D193" s="54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54"/>
      <c r="D194" s="54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54"/>
      <c r="D195" s="54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54"/>
      <c r="D196" s="54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54"/>
      <c r="D197" s="54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54"/>
      <c r="D198" s="54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54"/>
      <c r="D199" s="54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54"/>
      <c r="D200" s="54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54"/>
      <c r="D201" s="54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54"/>
      <c r="D202" s="54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54"/>
      <c r="D203" s="54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54"/>
      <c r="D204" s="54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54"/>
      <c r="D205" s="54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54"/>
      <c r="D206" s="54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54"/>
      <c r="D207" s="54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54"/>
      <c r="D208" s="54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54"/>
      <c r="D209" s="54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54"/>
      <c r="D210" s="54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54"/>
      <c r="D211" s="54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54"/>
      <c r="D212" s="54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54"/>
      <c r="D213" s="54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54"/>
      <c r="D214" s="54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54"/>
      <c r="D215" s="54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54"/>
      <c r="D216" s="54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54"/>
      <c r="D217" s="54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54"/>
      <c r="D218" s="54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54"/>
      <c r="D219" s="54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54"/>
      <c r="D220" s="54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54"/>
      <c r="D221" s="54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54"/>
      <c r="D222" s="54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54"/>
      <c r="D223" s="54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54"/>
      <c r="D224" s="54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54"/>
      <c r="D225" s="54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54"/>
      <c r="D226" s="54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54"/>
      <c r="D227" s="54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54"/>
      <c r="D228" s="54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54"/>
      <c r="D229" s="54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54"/>
      <c r="D230" s="54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54"/>
      <c r="D231" s="54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54"/>
      <c r="D232" s="54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54"/>
      <c r="D233" s="54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54"/>
      <c r="D234" s="54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54"/>
      <c r="D235" s="54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54"/>
      <c r="D236" s="54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54"/>
      <c r="D237" s="54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54"/>
      <c r="D238" s="54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54"/>
      <c r="D239" s="54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54"/>
      <c r="D240" s="54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54"/>
      <c r="D241" s="54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54"/>
      <c r="D242" s="54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54"/>
      <c r="D243" s="54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54"/>
      <c r="D244" s="54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54"/>
      <c r="D245" s="54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54"/>
      <c r="D246" s="54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54"/>
      <c r="D247" s="54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54"/>
      <c r="D248" s="54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54"/>
      <c r="D249" s="54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54"/>
      <c r="D250" s="54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54"/>
      <c r="D251" s="54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54"/>
      <c r="D252" s="54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54"/>
      <c r="D253" s="54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54"/>
      <c r="D254" s="54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54"/>
      <c r="D255" s="54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54"/>
      <c r="D256" s="54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54"/>
      <c r="D257" s="54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54"/>
      <c r="D258" s="54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54"/>
      <c r="D259" s="54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54"/>
      <c r="D260" s="54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54"/>
      <c r="D261" s="54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54"/>
      <c r="D262" s="54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54"/>
      <c r="D263" s="54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54"/>
      <c r="D264" s="54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54"/>
      <c r="D265" s="54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54"/>
      <c r="D266" s="54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54"/>
      <c r="D267" s="54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54"/>
      <c r="D268" s="54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54"/>
      <c r="D269" s="54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54"/>
      <c r="D270" s="54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54"/>
      <c r="D271" s="54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54"/>
      <c r="D272" s="54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54"/>
      <c r="D273" s="54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54"/>
      <c r="D274" s="54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54"/>
      <c r="D275" s="54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54"/>
      <c r="D276" s="54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54"/>
      <c r="D277" s="54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54"/>
      <c r="D278" s="54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54"/>
      <c r="D279" s="54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54"/>
      <c r="D280" s="54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54"/>
      <c r="D281" s="54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54"/>
      <c r="D282" s="54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54"/>
      <c r="D283" s="54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54"/>
      <c r="D284" s="54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54"/>
      <c r="D285" s="54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54"/>
      <c r="D286" s="54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54"/>
      <c r="D287" s="54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54"/>
      <c r="D288" s="54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54"/>
      <c r="D289" s="54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54"/>
      <c r="D290" s="54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54"/>
      <c r="D291" s="54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54"/>
      <c r="D292" s="54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54"/>
      <c r="D293" s="54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54"/>
      <c r="D294" s="54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54"/>
      <c r="D295" s="54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54"/>
      <c r="D296" s="54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54"/>
      <c r="D297" s="54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54"/>
      <c r="D298" s="54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54"/>
      <c r="D299" s="54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54"/>
      <c r="D300" s="54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54"/>
      <c r="D301" s="54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54"/>
      <c r="D302" s="54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54"/>
      <c r="D303" s="54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54"/>
      <c r="D304" s="54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54"/>
      <c r="D305" s="54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54"/>
      <c r="D306" s="54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54"/>
      <c r="D307" s="54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54"/>
      <c r="D308" s="54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54"/>
      <c r="D309" s="54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54"/>
      <c r="D310" s="54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54"/>
      <c r="D311" s="54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54"/>
      <c r="D312" s="54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54"/>
      <c r="D313" s="54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54"/>
      <c r="D314" s="54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54"/>
      <c r="D315" s="54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54"/>
      <c r="D316" s="54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54"/>
      <c r="D317" s="54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54"/>
      <c r="D318" s="54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54"/>
      <c r="D319" s="54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54"/>
      <c r="D320" s="54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54"/>
      <c r="D321" s="54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54"/>
      <c r="D322" s="54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54"/>
      <c r="D323" s="54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54"/>
      <c r="D324" s="54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54"/>
      <c r="D325" s="54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54"/>
      <c r="D326" s="54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54"/>
      <c r="D327" s="54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54"/>
      <c r="D328" s="54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54"/>
      <c r="D329" s="54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54"/>
      <c r="D330" s="54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54"/>
      <c r="D331" s="54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54"/>
      <c r="D332" s="54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54"/>
      <c r="D333" s="54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54"/>
      <c r="D334" s="54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54"/>
      <c r="D335" s="54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54"/>
      <c r="D336" s="54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54"/>
      <c r="D337" s="54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54"/>
      <c r="D338" s="54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54"/>
      <c r="D339" s="54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54"/>
      <c r="D340" s="54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54"/>
      <c r="D341" s="54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">
    <cfRule type="cellIs" dxfId="47" priority="68" stopIfTrue="1" operator="lessThanOrEqual">
      <formula>-0.1</formula>
    </cfRule>
    <cfRule type="expression" dxfId="46" priority="69">
      <formula>AND(ISNUMBER(F2), F2&gt;=0.1)</formula>
    </cfRule>
  </conditionalFormatting>
  <conditionalFormatting sqref="F4:F99 I4:I99">
    <cfRule type="cellIs" dxfId="45" priority="1" stopIfTrue="1" operator="lessThanOrEqual">
      <formula>-0.1</formula>
    </cfRule>
    <cfRule type="expression" dxfId="44" priority="2">
      <formula>AND(ISNUMBER(F4), F4&gt;=0.1)</formula>
    </cfRule>
  </conditionalFormatting>
  <hyperlinks>
    <hyperlink ref="K7" r:id="rId1" display="https://us3.assetplanner.com/service_request?ID=095312" xr:uid="{6907B3AA-CFC8-4831-91F1-145E82A27823}"/>
    <hyperlink ref="K8" r:id="rId2" display="https://us3.assetplanner.com/service_request?ID=089997" xr:uid="{7EB456F8-C42D-45DC-994E-9AAE7FB93951}"/>
    <hyperlink ref="L8" r:id="rId3" display="https://us3.assetplanner.com/service_request?ID=095693" xr:uid="{2DD5270D-2385-4F11-A97D-50FA73198A6D}"/>
    <hyperlink ref="M8" r:id="rId4" display="https://us3.assetplanner.com/service_request?ID=094233" xr:uid="{EDBF15C9-245A-4B5F-9255-2EFC9D78D5C5}"/>
    <hyperlink ref="K9" r:id="rId5" display="https://us3.assetplanner.com/service_request?ID=089170" xr:uid="{6ED4DEC8-F813-461F-AA5C-CC88CDBCF9B0}"/>
    <hyperlink ref="L9" r:id="rId6" display="https://us3.assetplanner.com/service_request?ID=095220" xr:uid="{F0692556-E063-43D2-ACF3-BB44C9B2CE69}"/>
    <hyperlink ref="K10" r:id="rId7" display="https://us3.assetplanner.com/service_request?ID=089564" xr:uid="{756953FD-5336-4FC8-AE3E-4683EBFD52FD}"/>
    <hyperlink ref="L10" r:id="rId8" display="https://us3.assetplanner.com/service_request?ID=093404" xr:uid="{E1C99063-CB53-4BCD-BD63-39F6413B37F6}"/>
    <hyperlink ref="M10" r:id="rId9" display="https://us3.assetplanner.com/service_request?ID=093406" xr:uid="{A857FEB4-924D-486B-8394-9B8CCC301715}"/>
    <hyperlink ref="K14" r:id="rId10" display="https://us3.assetplanner.com/service_request?ID=093500" xr:uid="{4EA386F9-53BE-4A9B-AB1D-EF694AD79208}"/>
    <hyperlink ref="L14" r:id="rId11" display="https://us3.assetplanner.com/service_request?ID=094025" xr:uid="{C8F14314-D4AB-4C44-993D-59E1294CC152}"/>
    <hyperlink ref="M14" r:id="rId12" display="https://us3.assetplanner.com/service_request?ID=094028" xr:uid="{CBE5C8FE-AB63-461C-B5E6-FDCA244F58EF}"/>
    <hyperlink ref="N14" r:id="rId13" display="https://us3.assetplanner.com/service_request?ID=095517" xr:uid="{461EF8D7-46A6-4A5C-8550-56D9DBD3A2F5}"/>
    <hyperlink ref="O14" r:id="rId14" display="https://us3.assetplanner.com/service_request?ID=095697" xr:uid="{49BDF839-0FA1-438A-98D9-3B437B4E1EF7}"/>
    <hyperlink ref="P14" r:id="rId15" display="https://us3.assetplanner.com/service_request?ID=096199" xr:uid="{93B6412D-B79A-4CA2-B68E-FFCD2BE620B9}"/>
    <hyperlink ref="K16" r:id="rId16" display="https://us3.assetplanner.com/service_request?ID=095300" xr:uid="{9CC1CEFB-F3A6-40CC-B668-F34A6D893E14}"/>
    <hyperlink ref="L16" r:id="rId17" display="https://us3.assetplanner.com/service_request?ID=095690" xr:uid="{CF845071-F702-441F-B286-70D0A3F232B8}"/>
    <hyperlink ref="K18" r:id="rId18" display="https://us3.assetplanner.com/service_request?ID=092249" xr:uid="{CFD452B4-F7B4-490F-9321-AD161652848F}"/>
    <hyperlink ref="L18" r:id="rId19" display="https://us3.assetplanner.com/service_request?ID=093403" xr:uid="{4E0250EA-4D7C-47D8-90D4-815DB7F54FA4}"/>
    <hyperlink ref="M18" r:id="rId20" display="https://us3.assetplanner.com/service_request?ID=096031" xr:uid="{56FA491C-6300-46CD-BD79-48961BBF9347}"/>
    <hyperlink ref="K19" r:id="rId21" display="https://us3.assetplanner.com/service_request?ID=096132" xr:uid="{1D0D862D-4802-4325-96B6-599EDA6A1F21}"/>
    <hyperlink ref="K20" r:id="rId22" display="https://us3.assetplanner.com/service_request?ID=095279" xr:uid="{91EC6225-380F-4F72-97FE-4CDD9C63DFD5}"/>
    <hyperlink ref="L20" r:id="rId23" display="https://us3.assetplanner.com/service_request?ID=095309" xr:uid="{040F34E5-B7E0-4CB2-8FF0-7658A625ED22}"/>
    <hyperlink ref="M20" r:id="rId24" display="https://us3.assetplanner.com/service_request?ID=095058" xr:uid="{A997705C-00B1-4D04-A6C6-A50317138A2C}"/>
    <hyperlink ref="N20" r:id="rId25" display="https://us3.assetplanner.com/service_request?ID=095843" xr:uid="{15D36DB6-00B8-480E-A02B-A0EDCB35054C}"/>
    <hyperlink ref="O20" r:id="rId26" display="https://us3.assetplanner.com/service_request?ID=089983" xr:uid="{FFCB6D8A-EF99-46CB-8CCF-B13BA796F225}"/>
    <hyperlink ref="K22" r:id="rId27" display="https://us3.assetplanner.com/service_request?ID=095497" xr:uid="{3045037B-B630-4370-B72C-819B5E6E7DC9}"/>
    <hyperlink ref="K23" r:id="rId28" display="https://us3.assetplanner.com/service_request?ID=094678" xr:uid="{36847EF9-4EDA-4855-ACD6-556BB84FDC86}"/>
    <hyperlink ref="L23" r:id="rId29" display="https://us3.assetplanner.com/service_request?ID=096154" xr:uid="{72167950-D9FD-430D-AC95-7E5D888A56EF}"/>
    <hyperlink ref="K24" r:id="rId30" display="https://us3.assetplanner.com/service_request?ID=095079" xr:uid="{76D2F976-7DFA-45B2-AAD3-1BBD9B69D56D}"/>
    <hyperlink ref="L24" r:id="rId31" display="https://us3.assetplanner.com/service_request?ID=095518" xr:uid="{CB157764-494C-4BA6-A487-EDD493C8ECB0}"/>
    <hyperlink ref="M24" r:id="rId32" display="https://us3.assetplanner.com/service_request?ID=095538" xr:uid="{7476B7B3-7B22-4FD1-A84D-9471EFE4B6F7}"/>
    <hyperlink ref="N24" r:id="rId33" display="https://us3.assetplanner.com/service_request?ID=095579" xr:uid="{86BF380E-A57F-40AC-ABA5-7922EFA1BAE2}"/>
    <hyperlink ref="O24" r:id="rId34" display="https://us3.assetplanner.com/service_request?ID=095616" xr:uid="{CBD521D9-9F2F-40BD-8656-9515C24B6997}"/>
    <hyperlink ref="P24" r:id="rId35" display="https://us3.assetplanner.com/service_request?ID=095972" xr:uid="{B99078BB-A609-4F2F-B8A5-BCFA59078771}"/>
    <hyperlink ref="K25" r:id="rId36" display="https://us3.assetplanner.com/service_request?ID=092108" xr:uid="{F86D28E7-5DDD-47DC-9187-F6C403058250}"/>
    <hyperlink ref="K27" r:id="rId37" display="https://us3.assetplanner.com/service_request?ID=095495" xr:uid="{370908B6-08A3-46B6-B3DB-C54B55B3292C}"/>
    <hyperlink ref="L27" r:id="rId38" display="https://us3.assetplanner.com/service_request?ID=095674" xr:uid="{93C66986-790D-4851-AF2F-3F9DCB34F35F}"/>
    <hyperlink ref="K29" r:id="rId39" display="https://us3.assetplanner.com/service_request?ID=095494" xr:uid="{8E3F0A26-9B27-46F3-AB17-84336D0EE53D}"/>
    <hyperlink ref="K32" r:id="rId40" display="https://us3.assetplanner.com/service_request?ID=095360" xr:uid="{395319AD-FD75-456E-85AD-6EE5D8108BDD}"/>
    <hyperlink ref="L32" r:id="rId41" display="https://us3.assetplanner.com/service_request?ID=092627" xr:uid="{CA45240E-D889-44CD-BD72-D6F88898EBD9}"/>
    <hyperlink ref="M32" r:id="rId42" display="https://us3.assetplanner.com/service_request?ID=095903" xr:uid="{701CB526-6040-44D7-AF13-741857884BF7}"/>
    <hyperlink ref="K34" r:id="rId43" display="https://us3.assetplanner.com/service_request?ID=094890" xr:uid="{C38CEEDF-85E4-4BB0-A3C7-36FD9549F0D7}"/>
    <hyperlink ref="L34" r:id="rId44" display="https://us3.assetplanner.com/service_request?ID=094283" xr:uid="{6CB861B5-9116-4E80-80CD-A88DA5C83C50}"/>
    <hyperlink ref="M34" r:id="rId45" display="https://us3.assetplanner.com/service_request?ID=095761" xr:uid="{08A12539-88CD-4867-B0DD-95C7EE609D4D}"/>
    <hyperlink ref="N34" r:id="rId46" display="https://us3.assetplanner.com/service_request?ID=094889" xr:uid="{3F49DB2D-27AF-4191-96E9-6EE562D94428}"/>
    <hyperlink ref="O34" r:id="rId47" display="https://us3.assetplanner.com/service_request?ID=095199" xr:uid="{12304C6F-161D-4C47-9052-CDD14A1A4F01}"/>
    <hyperlink ref="K36" r:id="rId48" display="https://us3.assetplanner.com/service_request?ID=095429" xr:uid="{C8C2518D-DE69-4258-8B22-8BDB868CF881}"/>
    <hyperlink ref="K37" r:id="rId49" display="https://us3.assetplanner.com/service_request?ID=095620" xr:uid="{99777BD6-94EA-450F-8E83-0B4BD14C7264}"/>
  </hyperlinks>
  <pageMargins left="0.4" right="0.7" top="0.25" bottom="0.25" header="0.3" footer="0.3"/>
  <pageSetup fitToHeight="99" orientation="landscape" r:id="rId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R342"/>
  <sheetViews>
    <sheetView zoomScale="70" zoomScaleNormal="70" workbookViewId="0">
      <pane xSplit="2" ySplit="3" topLeftCell="C29" activePane="bottomRight" state="frozen"/>
      <selection pane="bottomRight" activeCell="L43" sqref="L43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8.140625" customWidth="1"/>
  </cols>
  <sheetData>
    <row r="1" spans="1:12" ht="19.5" customHeight="1">
      <c r="A1" s="97" t="str" cm="1">
        <f t="array" ref="A1">portfolio</f>
        <v>Greenbacker Capital</v>
      </c>
      <c r="B1" s="97"/>
      <c r="C1" s="97"/>
      <c r="D1" s="98" t="s">
        <v>91</v>
      </c>
      <c r="E1" s="98"/>
      <c r="F1" s="98"/>
      <c r="G1" s="96" t="s">
        <v>92</v>
      </c>
      <c r="H1" s="96"/>
      <c r="I1" s="96"/>
      <c r="J1" s="4"/>
      <c r="K1" s="4"/>
    </row>
    <row r="2" spans="1:12" ht="19.5" customHeight="1">
      <c r="A2" s="99" t="s">
        <v>2</v>
      </c>
      <c r="B2" s="99"/>
      <c r="C2" s="5">
        <f>SUM(C4:C100)</f>
        <v>3016821.2016065367</v>
      </c>
      <c r="D2" s="5">
        <f>SUM(D4:D100)</f>
        <v>3451366.0270000002</v>
      </c>
      <c r="E2" s="5">
        <f>C2-D2</f>
        <v>-434544.82539346348</v>
      </c>
      <c r="F2" s="6">
        <f>IFERROR(E2/D2, 0)</f>
        <v>-0.12590516971947452</v>
      </c>
      <c r="G2" s="5">
        <f>SUM(G4:G100)</f>
        <v>2547649.923</v>
      </c>
      <c r="H2" s="7">
        <f>C2-G2</f>
        <v>469171.2786065368</v>
      </c>
      <c r="I2" s="6">
        <f>IFERROR(H2/G2, 0)</f>
        <v>0.18415845692569152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47" t="str" cm="1">
        <f t="array" ref="A4:A38">Sites[Site]</f>
        <v>10 Walpole Park South</v>
      </c>
      <c r="B4" s="29" t="str" cm="1">
        <f t="array" ref="B4:B38">Sites[State]</f>
        <v>MA</v>
      </c>
      <c r="C4" s="24">
        <v>6516.625</v>
      </c>
      <c r="D4" s="13">
        <v>9844.4950000000008</v>
      </c>
      <c r="E4" s="13">
        <f t="shared" ref="E4:E33" si="0">IF(AND(ISNUMBER(C4),ISNUMBER(D4)), C4-D4, "")</f>
        <v>-3327.8700000000008</v>
      </c>
      <c r="F4" s="14">
        <f t="shared" ref="F4:F13" si="1">IFERROR(E4/D4, "")</f>
        <v>-0.33804374932386078</v>
      </c>
      <c r="G4" s="15">
        <v>9440.3729999999996</v>
      </c>
      <c r="H4" s="15">
        <f t="shared" ref="H4:H17" si="2">IF(AND(ISNUMBER(C4),ISNUMBER(G4)), C4-G4, "")</f>
        <v>-2923.7479999999996</v>
      </c>
      <c r="I4" s="16">
        <f t="shared" ref="I4:I15" si="3">IFERROR(H4/G4, "")</f>
        <v>-0.30970683043985653</v>
      </c>
      <c r="J4" s="40" t="s">
        <v>22</v>
      </c>
      <c r="K4" s="40"/>
    </row>
    <row r="5" spans="1:12" ht="15.6">
      <c r="A5" s="48" t="str">
        <v>15 Walpole Park South</v>
      </c>
      <c r="B5" s="31" t="str">
        <v>MA</v>
      </c>
      <c r="C5" s="11">
        <v>21837.250000000498</v>
      </c>
      <c r="D5" s="18">
        <v>36784.89</v>
      </c>
      <c r="E5" s="18">
        <f t="shared" si="0"/>
        <v>-14947.639999999501</v>
      </c>
      <c r="F5" s="19">
        <f t="shared" si="1"/>
        <v>-0.40635271710747267</v>
      </c>
      <c r="G5" s="20">
        <v>32560.05</v>
      </c>
      <c r="H5" s="20">
        <f t="shared" si="2"/>
        <v>-10722.799999999501</v>
      </c>
      <c r="I5" s="19">
        <f t="shared" si="3"/>
        <v>-0.32932381860591436</v>
      </c>
      <c r="J5" s="41" t="s">
        <v>22</v>
      </c>
      <c r="K5" s="41"/>
    </row>
    <row r="6" spans="1:12" ht="15.6">
      <c r="A6" s="47" t="str">
        <v>19 Walpole Park South</v>
      </c>
      <c r="B6" s="29" t="str">
        <v>MA</v>
      </c>
      <c r="C6" s="24">
        <v>12228.625</v>
      </c>
      <c r="D6" s="13">
        <v>22549.93</v>
      </c>
      <c r="E6" s="13">
        <f t="shared" si="0"/>
        <v>-10321.305</v>
      </c>
      <c r="F6" s="14">
        <f t="shared" si="1"/>
        <v>-0.45770895962869951</v>
      </c>
      <c r="G6" s="15">
        <v>20740.84</v>
      </c>
      <c r="H6" s="15">
        <f t="shared" si="2"/>
        <v>-8512.2150000000001</v>
      </c>
      <c r="I6" s="16">
        <f t="shared" si="3"/>
        <v>-0.4104084019740763</v>
      </c>
      <c r="J6" s="74" t="s">
        <v>22</v>
      </c>
      <c r="K6" s="40"/>
    </row>
    <row r="7" spans="1:12" ht="28.9">
      <c r="A7" s="48" t="str">
        <v>23 Walpole Park South</v>
      </c>
      <c r="B7" s="31" t="str">
        <v>MA</v>
      </c>
      <c r="C7" s="11">
        <v>16135.25</v>
      </c>
      <c r="D7" s="18">
        <v>28847.06</v>
      </c>
      <c r="E7" s="18">
        <f t="shared" si="0"/>
        <v>-12711.810000000001</v>
      </c>
      <c r="F7" s="19">
        <f t="shared" si="1"/>
        <v>-0.44066223733025134</v>
      </c>
      <c r="G7" s="20">
        <v>26843.33</v>
      </c>
      <c r="H7" s="20">
        <f t="shared" si="2"/>
        <v>-10708.080000000002</v>
      </c>
      <c r="I7" s="19">
        <f t="shared" si="3"/>
        <v>-0.39891026932947593</v>
      </c>
      <c r="J7" s="41" t="s">
        <v>93</v>
      </c>
      <c r="K7" s="83" t="s">
        <v>24</v>
      </c>
    </row>
    <row r="8" spans="1:12" ht="57.6">
      <c r="A8" s="49" t="str">
        <v>24 Walpole Park South</v>
      </c>
      <c r="B8" s="29" t="str">
        <v>MA</v>
      </c>
      <c r="C8" s="24">
        <v>26878.500000000899</v>
      </c>
      <c r="D8" s="13">
        <v>36446.019999999997</v>
      </c>
      <c r="E8" s="13">
        <f t="shared" si="0"/>
        <v>-9567.5199999990982</v>
      </c>
      <c r="F8" s="14">
        <f t="shared" si="1"/>
        <v>-0.26251206578932623</v>
      </c>
      <c r="G8" s="15">
        <v>41222.639999999999</v>
      </c>
      <c r="H8" s="15">
        <f t="shared" si="2"/>
        <v>-14344.139999999101</v>
      </c>
      <c r="I8" s="16">
        <f t="shared" si="3"/>
        <v>-0.34796752464177699</v>
      </c>
      <c r="J8" s="40" t="s">
        <v>94</v>
      </c>
      <c r="K8" s="82" t="s">
        <v>95</v>
      </c>
    </row>
    <row r="9" spans="1:12" ht="43.15">
      <c r="A9" s="48" t="str">
        <v>25 Walpole Park South</v>
      </c>
      <c r="B9" s="31" t="str">
        <v>MA</v>
      </c>
      <c r="C9" s="11">
        <v>26057.5</v>
      </c>
      <c r="D9" s="18">
        <v>44560.800000000003</v>
      </c>
      <c r="E9" s="18">
        <f t="shared" si="0"/>
        <v>-18503.300000000003</v>
      </c>
      <c r="F9" s="19">
        <f t="shared" si="1"/>
        <v>-0.41523715911743059</v>
      </c>
      <c r="G9" s="20">
        <v>42155.98</v>
      </c>
      <c r="H9" s="20">
        <f t="shared" si="2"/>
        <v>-16098.480000000003</v>
      </c>
      <c r="I9" s="19">
        <f t="shared" si="3"/>
        <v>-0.38187891729714268</v>
      </c>
      <c r="J9" s="41" t="s">
        <v>96</v>
      </c>
      <c r="K9" s="83" t="s">
        <v>30</v>
      </c>
      <c r="L9" s="86" t="s">
        <v>31</v>
      </c>
    </row>
    <row r="10" spans="1:12" ht="28.9">
      <c r="A10" s="49" t="str">
        <v>3 Walpole Park South</v>
      </c>
      <c r="B10" s="29" t="str">
        <v>MA</v>
      </c>
      <c r="C10" s="24">
        <v>29594.500000000899</v>
      </c>
      <c r="D10" s="13">
        <v>56389.79</v>
      </c>
      <c r="E10" s="13">
        <f t="shared" si="0"/>
        <v>-26795.289999999102</v>
      </c>
      <c r="F10" s="14">
        <f t="shared" si="1"/>
        <v>-0.47517981535308257</v>
      </c>
      <c r="G10" s="15">
        <v>49000.49</v>
      </c>
      <c r="H10" s="15">
        <f t="shared" si="2"/>
        <v>-19405.989999999099</v>
      </c>
      <c r="I10" s="16">
        <f t="shared" si="3"/>
        <v>-0.39603665187836079</v>
      </c>
      <c r="J10" s="40" t="s">
        <v>97</v>
      </c>
      <c r="K10" s="82" t="s">
        <v>98</v>
      </c>
      <c r="L10" s="86" t="s">
        <v>34</v>
      </c>
    </row>
    <row r="11" spans="1:12" ht="15.6">
      <c r="A11" s="48" t="str">
        <v>4 Walpole Park South</v>
      </c>
      <c r="B11" s="31" t="str">
        <v>MA</v>
      </c>
      <c r="C11" s="11">
        <v>18725</v>
      </c>
      <c r="D11" s="18">
        <v>32601.8</v>
      </c>
      <c r="E11" s="18">
        <f t="shared" si="0"/>
        <v>-13876.8</v>
      </c>
      <c r="F11" s="19">
        <f t="shared" si="1"/>
        <v>-0.42564520977369347</v>
      </c>
      <c r="G11" s="20">
        <v>28311.4</v>
      </c>
      <c r="H11" s="20">
        <f t="shared" si="2"/>
        <v>-9586.4000000000015</v>
      </c>
      <c r="I11" s="19">
        <f t="shared" si="3"/>
        <v>-0.3386056500208397</v>
      </c>
      <c r="J11" s="41" t="s">
        <v>22</v>
      </c>
      <c r="K11" s="42"/>
    </row>
    <row r="12" spans="1:12" ht="15.6">
      <c r="A12" s="49" t="str">
        <v>Brockton</v>
      </c>
      <c r="B12" s="29" t="str">
        <v>MA</v>
      </c>
      <c r="C12" s="24">
        <v>40084</v>
      </c>
      <c r="D12" s="13">
        <v>46732.03</v>
      </c>
      <c r="E12" s="13">
        <f t="shared" si="0"/>
        <v>-6648.0299999999988</v>
      </c>
      <c r="F12" s="14">
        <f t="shared" si="1"/>
        <v>-0.14225853231712809</v>
      </c>
      <c r="G12" s="15">
        <v>45176.38</v>
      </c>
      <c r="H12" s="15">
        <f t="shared" si="2"/>
        <v>-5092.3799999999974</v>
      </c>
      <c r="I12" s="16">
        <f t="shared" si="3"/>
        <v>-0.11272217915645294</v>
      </c>
      <c r="J12" s="40" t="s">
        <v>22</v>
      </c>
      <c r="K12" s="40"/>
    </row>
    <row r="13" spans="1:12" ht="15.6">
      <c r="A13" s="48" t="str">
        <v>Canton</v>
      </c>
      <c r="B13" s="31" t="str">
        <v>MA</v>
      </c>
      <c r="C13" s="11">
        <v>30642</v>
      </c>
      <c r="D13" s="18">
        <v>51143.48</v>
      </c>
      <c r="E13" s="18">
        <f t="shared" si="0"/>
        <v>-20501.480000000003</v>
      </c>
      <c r="F13" s="19">
        <f t="shared" si="1"/>
        <v>-0.40086204536726877</v>
      </c>
      <c r="G13" s="20">
        <v>47910.52</v>
      </c>
      <c r="H13" s="20">
        <f t="shared" si="2"/>
        <v>-17268.519999999997</v>
      </c>
      <c r="I13" s="19">
        <f t="shared" si="3"/>
        <v>-0.3604327400328779</v>
      </c>
      <c r="J13" s="88" t="s">
        <v>22</v>
      </c>
      <c r="K13" s="42"/>
    </row>
    <row r="14" spans="1:12" ht="43.15">
      <c r="A14" s="49" t="str">
        <v>Chelsea</v>
      </c>
      <c r="B14" s="29" t="str">
        <v>MA</v>
      </c>
      <c r="C14" s="24">
        <v>57572</v>
      </c>
      <c r="D14" s="13">
        <v>85329.99</v>
      </c>
      <c r="E14" s="13">
        <f t="shared" si="0"/>
        <v>-27757.990000000005</v>
      </c>
      <c r="F14" s="14">
        <f t="shared" ref="F14:F33" si="4">IFERROR(E14/D14, "")</f>
        <v>-0.32530169053107827</v>
      </c>
      <c r="G14" s="15">
        <v>76722.240000000005</v>
      </c>
      <c r="H14" s="15">
        <f t="shared" si="2"/>
        <v>-19150.240000000005</v>
      </c>
      <c r="I14" s="16">
        <f t="shared" si="3"/>
        <v>-0.24960480820163755</v>
      </c>
      <c r="J14" s="40" t="s">
        <v>99</v>
      </c>
      <c r="K14" s="82" t="s">
        <v>100</v>
      </c>
      <c r="L14" s="86" t="s">
        <v>101</v>
      </c>
    </row>
    <row r="15" spans="1:12" ht="57.6">
      <c r="A15" s="48" t="str">
        <v>Hamilton Landfill</v>
      </c>
      <c r="B15" s="31" t="str">
        <v>MA</v>
      </c>
      <c r="C15" s="11">
        <v>37244.9</v>
      </c>
      <c r="D15" s="18">
        <v>84502.5</v>
      </c>
      <c r="E15" s="18">
        <f t="shared" si="0"/>
        <v>-47257.599999999999</v>
      </c>
      <c r="F15" s="19">
        <f t="shared" si="4"/>
        <v>-0.5592449927516937</v>
      </c>
      <c r="G15" s="20">
        <v>0</v>
      </c>
      <c r="H15" s="20">
        <f t="shared" si="2"/>
        <v>37244.9</v>
      </c>
      <c r="I15" s="19" t="str">
        <f t="shared" si="3"/>
        <v/>
      </c>
      <c r="J15" s="41" t="s">
        <v>102</v>
      </c>
      <c r="K15" s="83" t="s">
        <v>103</v>
      </c>
    </row>
    <row r="16" spans="1:12" ht="28.9">
      <c r="A16" s="49" t="str">
        <v>Holliston</v>
      </c>
      <c r="B16" s="29" t="str">
        <v>MA</v>
      </c>
      <c r="C16" s="24">
        <v>58828</v>
      </c>
      <c r="D16" s="13">
        <v>110053.2</v>
      </c>
      <c r="E16" s="13">
        <f t="shared" si="0"/>
        <v>-51225.2</v>
      </c>
      <c r="F16" s="14">
        <f t="shared" si="4"/>
        <v>-0.46545852369581253</v>
      </c>
      <c r="G16" s="15">
        <v>122550.9</v>
      </c>
      <c r="H16" s="15">
        <f t="shared" si="2"/>
        <v>-63722.899999999994</v>
      </c>
      <c r="I16" s="16">
        <f t="shared" ref="I16:I31" si="5">IFERROR(H16/G16, "")</f>
        <v>-0.51997088556673188</v>
      </c>
      <c r="J16" s="40" t="s">
        <v>104</v>
      </c>
      <c r="K16" s="82" t="s">
        <v>105</v>
      </c>
    </row>
    <row r="17" spans="1:13" ht="15.6">
      <c r="A17" s="48" t="str">
        <v>Natick HS - Carports</v>
      </c>
      <c r="B17" s="31" t="str">
        <v>MA</v>
      </c>
      <c r="C17" s="11">
        <v>20164.900000000001</v>
      </c>
      <c r="D17" s="18">
        <v>49332.800000000003</v>
      </c>
      <c r="E17" s="18">
        <f t="shared" si="0"/>
        <v>-29167.9</v>
      </c>
      <c r="F17" s="19">
        <f t="shared" si="4"/>
        <v>-0.59124760808224952</v>
      </c>
      <c r="G17" s="20">
        <v>0</v>
      </c>
      <c r="H17" s="20">
        <f t="shared" si="2"/>
        <v>20164.900000000001</v>
      </c>
      <c r="I17" s="19" t="str">
        <f t="shared" si="5"/>
        <v/>
      </c>
      <c r="J17" s="41" t="s">
        <v>22</v>
      </c>
      <c r="K17" s="42"/>
    </row>
    <row r="18" spans="1:13" ht="27.75" customHeight="1">
      <c r="A18" s="47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4"/>
        <v/>
      </c>
      <c r="G18" s="15">
        <v>0</v>
      </c>
      <c r="H18" s="15">
        <f t="shared" ref="H18:H33" si="6">IF(AND(ISNUMBER(C18),ISNUMBER(G18)), C18-G18, "")</f>
        <v>0</v>
      </c>
      <c r="I18" s="16" t="str">
        <f t="shared" si="5"/>
        <v/>
      </c>
      <c r="J18" s="40" t="s">
        <v>46</v>
      </c>
      <c r="K18" s="82" t="s">
        <v>106</v>
      </c>
      <c r="L18" s="86" t="s">
        <v>48</v>
      </c>
    </row>
    <row r="19" spans="1:13" ht="15.6">
      <c r="A19" s="48" t="str">
        <v>Palmer - Boston Rd.</v>
      </c>
      <c r="B19" s="31" t="str">
        <v>MA</v>
      </c>
      <c r="C19" s="11">
        <v>44869.5</v>
      </c>
      <c r="D19" s="18">
        <v>50040.7</v>
      </c>
      <c r="E19" s="18">
        <f t="shared" si="0"/>
        <v>-5171.1999999999971</v>
      </c>
      <c r="F19" s="19">
        <f t="shared" si="4"/>
        <v>-0.10333988133659196</v>
      </c>
      <c r="G19" s="20">
        <v>62743</v>
      </c>
      <c r="H19" s="20">
        <f t="shared" si="6"/>
        <v>-17873.5</v>
      </c>
      <c r="I19" s="19">
        <f t="shared" si="5"/>
        <v>-0.28486843153817953</v>
      </c>
      <c r="J19" s="41" t="s">
        <v>22</v>
      </c>
      <c r="K19" s="42"/>
    </row>
    <row r="20" spans="1:13" ht="28.9">
      <c r="A20" s="49" t="str">
        <v>Shirley Bartkus</v>
      </c>
      <c r="B20" s="29" t="str">
        <v>MA</v>
      </c>
      <c r="C20" s="24">
        <v>47532.5</v>
      </c>
      <c r="D20" s="13">
        <v>102227.3</v>
      </c>
      <c r="E20" s="13">
        <f t="shared" si="0"/>
        <v>-54694.8</v>
      </c>
      <c r="F20" s="14">
        <f t="shared" si="4"/>
        <v>-0.53503124899121857</v>
      </c>
      <c r="G20" s="15">
        <v>77292</v>
      </c>
      <c r="H20" s="15">
        <f t="shared" si="6"/>
        <v>-29759.5</v>
      </c>
      <c r="I20" s="16">
        <f t="shared" si="5"/>
        <v>-0.38502691093515501</v>
      </c>
      <c r="J20" s="40" t="s">
        <v>107</v>
      </c>
      <c r="K20" s="82" t="s">
        <v>108</v>
      </c>
    </row>
    <row r="21" spans="1:13" ht="15.6">
      <c r="A21" s="48" t="str">
        <v>Stoughton</v>
      </c>
      <c r="B21" s="31" t="str">
        <v>MA</v>
      </c>
      <c r="C21" s="11">
        <v>40713.5</v>
      </c>
      <c r="D21" s="18">
        <v>44340.04</v>
      </c>
      <c r="E21" s="18">
        <f t="shared" si="0"/>
        <v>-3626.5400000000009</v>
      </c>
      <c r="F21" s="19">
        <f t="shared" si="4"/>
        <v>-8.1789281200468036E-2</v>
      </c>
      <c r="G21" s="20">
        <v>49251.51</v>
      </c>
      <c r="H21" s="20">
        <f t="shared" si="6"/>
        <v>-8538.010000000002</v>
      </c>
      <c r="I21" s="19">
        <f t="shared" si="5"/>
        <v>-0.17335529408133887</v>
      </c>
      <c r="J21" s="56" t="s">
        <v>22</v>
      </c>
      <c r="K21" s="55"/>
    </row>
    <row r="22" spans="1:13" ht="15.6">
      <c r="A22" s="49" t="str">
        <v>Wellfleet Landfill</v>
      </c>
      <c r="B22" s="29" t="str">
        <v>MA</v>
      </c>
      <c r="C22" s="24">
        <v>70649.399999999994</v>
      </c>
      <c r="D22" s="13">
        <v>63196.6</v>
      </c>
      <c r="E22" s="13">
        <f t="shared" si="0"/>
        <v>7452.7999999999956</v>
      </c>
      <c r="F22" s="14">
        <f t="shared" si="4"/>
        <v>0.11793039498960381</v>
      </c>
      <c r="G22" s="15">
        <v>0</v>
      </c>
      <c r="H22" s="15">
        <f t="shared" si="6"/>
        <v>70649.399999999994</v>
      </c>
      <c r="I22" s="16" t="str">
        <f t="shared" si="5"/>
        <v/>
      </c>
      <c r="J22" s="40"/>
      <c r="K22" s="40"/>
    </row>
    <row r="23" spans="1:13" ht="28.9">
      <c r="A23" s="48" t="str">
        <v>Wilmington Garage &amp; Building 7</v>
      </c>
      <c r="B23" s="31" t="str">
        <v>MA</v>
      </c>
      <c r="C23" s="11">
        <v>24053.5</v>
      </c>
      <c r="D23" s="18">
        <v>86845</v>
      </c>
      <c r="E23" s="18">
        <f t="shared" si="0"/>
        <v>-62791.5</v>
      </c>
      <c r="F23" s="19">
        <f t="shared" si="4"/>
        <v>-0.72302953537912373</v>
      </c>
      <c r="G23" s="20">
        <v>78334.27</v>
      </c>
      <c r="H23" s="20">
        <f t="shared" si="6"/>
        <v>-54280.770000000004</v>
      </c>
      <c r="I23" s="19">
        <f t="shared" si="5"/>
        <v>-0.69293771423414041</v>
      </c>
      <c r="J23" s="41" t="s">
        <v>109</v>
      </c>
      <c r="K23" s="81" t="s">
        <v>110</v>
      </c>
    </row>
    <row r="24" spans="1:13" ht="72">
      <c r="A24" s="49" t="str">
        <v>Woburn</v>
      </c>
      <c r="B24" s="29" t="str">
        <v>MA</v>
      </c>
      <c r="C24" s="24">
        <v>42553</v>
      </c>
      <c r="D24" s="13">
        <v>149835.20000000001</v>
      </c>
      <c r="E24" s="13">
        <f t="shared" si="0"/>
        <v>-107282.20000000001</v>
      </c>
      <c r="F24" s="14">
        <f t="shared" si="4"/>
        <v>-0.71600131344303608</v>
      </c>
      <c r="G24" s="15">
        <v>111577.8</v>
      </c>
      <c r="H24" s="15">
        <f t="shared" si="6"/>
        <v>-69024.800000000003</v>
      </c>
      <c r="I24" s="16">
        <f t="shared" si="5"/>
        <v>-0.61862485189706196</v>
      </c>
      <c r="J24" s="40" t="s">
        <v>111</v>
      </c>
      <c r="K24" s="82" t="s">
        <v>112</v>
      </c>
      <c r="L24" s="91" t="s">
        <v>113</v>
      </c>
    </row>
    <row r="25" spans="1:13" ht="28.9">
      <c r="A25" s="48" t="str">
        <v>Friendship Solar 1</v>
      </c>
      <c r="B25" s="31" t="str">
        <v>MD</v>
      </c>
      <c r="C25" s="11">
        <v>252166</v>
      </c>
      <c r="D25" s="18">
        <v>261838.7</v>
      </c>
      <c r="E25" s="18">
        <f t="shared" si="0"/>
        <v>-9672.7000000000116</v>
      </c>
      <c r="F25" s="19">
        <f t="shared" si="4"/>
        <v>-3.6941445248544279E-2</v>
      </c>
      <c r="G25" s="20">
        <v>309128.40000000002</v>
      </c>
      <c r="H25" s="20">
        <f t="shared" si="6"/>
        <v>-56962.400000000023</v>
      </c>
      <c r="I25" s="19">
        <f t="shared" si="5"/>
        <v>-0.18426776705084366</v>
      </c>
      <c r="J25" s="41" t="s">
        <v>114</v>
      </c>
      <c r="K25" s="81" t="s">
        <v>115</v>
      </c>
    </row>
    <row r="26" spans="1:13" ht="15.6">
      <c r="A26" s="49" t="str">
        <v>Friendship Solar 2</v>
      </c>
      <c r="B26" s="29" t="str">
        <v>MD</v>
      </c>
      <c r="C26" s="24">
        <v>251622</v>
      </c>
      <c r="D26" s="13">
        <v>269520.3</v>
      </c>
      <c r="E26" s="13">
        <f t="shared" si="0"/>
        <v>-17898.299999999988</v>
      </c>
      <c r="F26" s="14">
        <f t="shared" si="4"/>
        <v>-6.640798485308895E-2</v>
      </c>
      <c r="G26" s="15">
        <v>320858.40000000002</v>
      </c>
      <c r="H26" s="15">
        <f t="shared" si="6"/>
        <v>-69236.400000000023</v>
      </c>
      <c r="I26" s="16">
        <f t="shared" si="5"/>
        <v>-0.21578490698700742</v>
      </c>
      <c r="J26" s="40" t="s">
        <v>22</v>
      </c>
      <c r="K26" s="40"/>
    </row>
    <row r="27" spans="1:13" ht="100.9">
      <c r="A27" s="48" t="str">
        <v>101 Carnegie Center</v>
      </c>
      <c r="B27" s="31" t="str">
        <v>NJ</v>
      </c>
      <c r="C27" s="11">
        <v>100716.62</v>
      </c>
      <c r="D27" s="18">
        <v>116147.902</v>
      </c>
      <c r="E27" s="18">
        <f t="shared" si="0"/>
        <v>-15431.282000000007</v>
      </c>
      <c r="F27" s="19">
        <f t="shared" si="4"/>
        <v>-0.13285889572073378</v>
      </c>
      <c r="G27" s="20">
        <v>0</v>
      </c>
      <c r="H27" s="20">
        <f t="shared" si="6"/>
        <v>100716.62</v>
      </c>
      <c r="I27" s="19" t="str">
        <f t="shared" si="5"/>
        <v/>
      </c>
      <c r="J27" s="41" t="s">
        <v>116</v>
      </c>
      <c r="K27" s="81" t="s">
        <v>117</v>
      </c>
      <c r="L27" s="86" t="s">
        <v>118</v>
      </c>
      <c r="M27" s="86" t="s">
        <v>74</v>
      </c>
    </row>
    <row r="28" spans="1:13" ht="15.6">
      <c r="A28" s="49" t="str">
        <v>302 Carnegie Center</v>
      </c>
      <c r="B28" s="29" t="str">
        <v>NJ</v>
      </c>
      <c r="C28" s="24">
        <v>44694.589</v>
      </c>
      <c r="D28" s="13">
        <v>48280.5</v>
      </c>
      <c r="E28" s="13">
        <f t="shared" si="0"/>
        <v>-3585.9110000000001</v>
      </c>
      <c r="F28" s="14">
        <f t="shared" si="4"/>
        <v>-7.427244953966923E-2</v>
      </c>
      <c r="G28" s="15">
        <v>0</v>
      </c>
      <c r="H28" s="15">
        <f t="shared" si="6"/>
        <v>44694.589</v>
      </c>
      <c r="I28" s="16" t="str">
        <f t="shared" si="5"/>
        <v/>
      </c>
      <c r="J28" s="40"/>
      <c r="K28" s="40"/>
    </row>
    <row r="29" spans="1:13" ht="86.45">
      <c r="A29" s="48" t="str">
        <v>510 Carnegie Center</v>
      </c>
      <c r="B29" s="31" t="str">
        <v>NJ</v>
      </c>
      <c r="C29" s="11">
        <v>109429.522</v>
      </c>
      <c r="D29" s="18">
        <v>125043.8</v>
      </c>
      <c r="E29" s="18">
        <f t="shared" si="0"/>
        <v>-15614.278000000006</v>
      </c>
      <c r="F29" s="19">
        <f t="shared" si="4"/>
        <v>-0.12487046938752665</v>
      </c>
      <c r="G29" s="20">
        <v>0</v>
      </c>
      <c r="H29" s="20">
        <f t="shared" si="6"/>
        <v>109429.522</v>
      </c>
      <c r="I29" s="19" t="str">
        <f t="shared" si="5"/>
        <v/>
      </c>
      <c r="J29" s="56" t="s">
        <v>119</v>
      </c>
      <c r="K29" s="81" t="s">
        <v>76</v>
      </c>
    </row>
    <row r="30" spans="1:13" ht="43.15">
      <c r="A30" s="49" t="str">
        <v>701 Carnegie Center</v>
      </c>
      <c r="B30" s="29" t="str">
        <v>NJ</v>
      </c>
      <c r="C30" s="24">
        <v>85922.263000000006</v>
      </c>
      <c r="D30" s="13">
        <v>98223</v>
      </c>
      <c r="E30" s="13">
        <f t="shared" si="0"/>
        <v>-12300.736999999994</v>
      </c>
      <c r="F30" s="14">
        <f t="shared" si="4"/>
        <v>-0.12523275607546089</v>
      </c>
      <c r="G30" s="15">
        <v>0</v>
      </c>
      <c r="H30" s="15">
        <f t="shared" si="6"/>
        <v>85922.263000000006</v>
      </c>
      <c r="I30" s="16" t="str">
        <f t="shared" si="5"/>
        <v/>
      </c>
      <c r="J30" s="40" t="s">
        <v>120</v>
      </c>
      <c r="K30" s="82" t="s">
        <v>121</v>
      </c>
    </row>
    <row r="31" spans="1:13" ht="15.6">
      <c r="A31" s="48" t="str">
        <v>Hudson County Correction</v>
      </c>
      <c r="B31" s="31" t="str">
        <v>NJ</v>
      </c>
      <c r="C31" s="11">
        <v>112037.28900666699</v>
      </c>
      <c r="D31" s="18">
        <v>99361.98</v>
      </c>
      <c r="E31" s="18">
        <f t="shared" si="0"/>
        <v>12675.309006666997</v>
      </c>
      <c r="F31" s="19">
        <f t="shared" si="4"/>
        <v>0.1275669929953791</v>
      </c>
      <c r="G31" s="20">
        <v>104683.2</v>
      </c>
      <c r="H31" s="20">
        <f t="shared" si="6"/>
        <v>7354.0890066669963</v>
      </c>
      <c r="I31" s="19">
        <f t="shared" si="5"/>
        <v>7.0250899921544208E-2</v>
      </c>
      <c r="J31" s="41"/>
      <c r="K31" s="42"/>
    </row>
    <row r="32" spans="1:13" ht="15.6">
      <c r="A32" s="49" t="str">
        <v>ER Bison Solar</v>
      </c>
      <c r="B32" s="29" t="str">
        <v>PA</v>
      </c>
      <c r="C32" s="24">
        <v>123697</v>
      </c>
      <c r="D32" s="13">
        <v>0</v>
      </c>
      <c r="E32" s="13">
        <f t="shared" si="0"/>
        <v>123697</v>
      </c>
      <c r="F32" s="14" t="str">
        <f t="shared" si="4"/>
        <v/>
      </c>
      <c r="G32" s="15">
        <v>138798</v>
      </c>
      <c r="H32" s="15">
        <f t="shared" si="6"/>
        <v>-15101</v>
      </c>
      <c r="I32" s="16">
        <f t="shared" ref="I32:I38" si="7">IFERROR(H32/G32, "")</f>
        <v>-0.10879839767143619</v>
      </c>
      <c r="J32" s="40" t="s">
        <v>22</v>
      </c>
      <c r="K32" s="40"/>
    </row>
    <row r="33" spans="1:18" ht="15.6">
      <c r="A33" s="48" t="str">
        <v>Danville</v>
      </c>
      <c r="B33" s="31" t="str">
        <v>IL</v>
      </c>
      <c r="C33" s="11">
        <v>245073.86</v>
      </c>
      <c r="D33" s="18">
        <v>0</v>
      </c>
      <c r="E33" s="18">
        <f t="shared" si="0"/>
        <v>245073.86</v>
      </c>
      <c r="F33" s="19" t="str">
        <f t="shared" si="4"/>
        <v/>
      </c>
      <c r="G33" s="20">
        <v>0</v>
      </c>
      <c r="H33" s="20">
        <f t="shared" si="6"/>
        <v>245073.86</v>
      </c>
      <c r="I33" s="19" t="str">
        <f t="shared" si="7"/>
        <v/>
      </c>
      <c r="J33" s="41"/>
      <c r="K33" s="42"/>
    </row>
    <row r="34" spans="1:18" ht="172.9">
      <c r="A34" s="49" t="str">
        <v>Camden - Campbell Soup HQ</v>
      </c>
      <c r="B34" s="29" t="str">
        <v>NJ</v>
      </c>
      <c r="C34" s="24">
        <v>176271</v>
      </c>
      <c r="D34" s="13">
        <v>288404.21999999997</v>
      </c>
      <c r="E34" s="13">
        <f>IF(AND(ISNUMBER(C34),ISNUMBER(D34)), C34-D34, "")</f>
        <v>-112133.21999999997</v>
      </c>
      <c r="F34" s="14">
        <f>IFERROR(E34/D34, "")</f>
        <v>-0.38880575325839539</v>
      </c>
      <c r="G34" s="15">
        <v>330103.7</v>
      </c>
      <c r="H34" s="15">
        <f>IF(AND(ISNUMBER(C34),ISNUMBER(G34)), C34-G34, "")</f>
        <v>-153832.70000000001</v>
      </c>
      <c r="I34" s="16">
        <f t="shared" si="7"/>
        <v>-0.46601325583445447</v>
      </c>
      <c r="J34" s="40" t="s">
        <v>122</v>
      </c>
      <c r="K34" s="82" t="s">
        <v>123</v>
      </c>
      <c r="L34" s="86" t="s">
        <v>124</v>
      </c>
      <c r="M34" s="86" t="s">
        <v>86</v>
      </c>
      <c r="N34" s="86" t="s">
        <v>84</v>
      </c>
      <c r="O34" s="86" t="s">
        <v>125</v>
      </c>
      <c r="P34" s="86" t="s">
        <v>126</v>
      </c>
      <c r="Q34" s="86" t="s">
        <v>127</v>
      </c>
      <c r="R34" s="86" t="s">
        <v>128</v>
      </c>
    </row>
    <row r="35" spans="1:18" ht="43.15">
      <c r="A35" s="48" t="str">
        <v>Westport - Pine Hill</v>
      </c>
      <c r="B35" s="31" t="str">
        <v>MA</v>
      </c>
      <c r="C35" s="75">
        <v>149810.508599867</v>
      </c>
      <c r="D35" s="18">
        <v>177997.7</v>
      </c>
      <c r="E35" s="18">
        <f>IF(AND(ISNUMBER(C35),ISNUMBER(D35)), C35-D35, "")</f>
        <v>-28187.191400133015</v>
      </c>
      <c r="F35" s="76">
        <f>IFERROR(E35/D35, "")</f>
        <v>-0.15835705405256928</v>
      </c>
      <c r="G35" s="67">
        <v>422244.5</v>
      </c>
      <c r="H35" s="67">
        <f>IF(AND(ISNUMBER(C35),ISNUMBER(G35)), C35-G35, "")</f>
        <v>-272433.991400133</v>
      </c>
      <c r="I35" s="76">
        <f t="shared" si="7"/>
        <v>-0.64520435766512763</v>
      </c>
      <c r="J35" s="41" t="s">
        <v>129</v>
      </c>
      <c r="K35" s="81" t="s">
        <v>130</v>
      </c>
      <c r="L35" s="86" t="s">
        <v>131</v>
      </c>
    </row>
    <row r="36" spans="1:18" ht="15.6">
      <c r="A36" s="49" t="str">
        <v>Oaks Landfill - ANEM</v>
      </c>
      <c r="B36" s="29" t="str">
        <v>MD</v>
      </c>
      <c r="C36" s="71">
        <v>227626.1</v>
      </c>
      <c r="D36" s="13">
        <v>255454.2</v>
      </c>
      <c r="E36" s="13">
        <f>IF(AND(ISNUMBER(C36),ISNUMBER(D36)), C36-D36, "")</f>
        <v>-27828.100000000006</v>
      </c>
      <c r="F36" s="72">
        <f>IFERROR(E36/D36, "")</f>
        <v>-0.10893577009107701</v>
      </c>
      <c r="G36" s="73">
        <v>0</v>
      </c>
      <c r="H36" s="73">
        <f>IF(AND(ISNUMBER(C36),ISNUMBER(G36)), C36-G36, "")</f>
        <v>227626.1</v>
      </c>
      <c r="I36" s="87" t="str">
        <f t="shared" si="7"/>
        <v/>
      </c>
      <c r="J36" s="74" t="s">
        <v>22</v>
      </c>
      <c r="K36" s="74"/>
    </row>
    <row r="37" spans="1:18" ht="43.15">
      <c r="A37" s="48" t="str">
        <v>Oaks Landfill - CS2</v>
      </c>
      <c r="B37" s="31" t="str">
        <v>MD</v>
      </c>
      <c r="C37" s="75">
        <v>232986.3</v>
      </c>
      <c r="D37" s="18">
        <v>257135.7</v>
      </c>
      <c r="E37" s="18">
        <f>IF(AND(ISNUMBER(C37),ISNUMBER(D37)), C37-D37, "")</f>
        <v>-24149.400000000023</v>
      </c>
      <c r="F37" s="76">
        <f>IFERROR(E37/D37, "")</f>
        <v>-9.3916947355034808E-2</v>
      </c>
      <c r="G37" s="67">
        <v>0</v>
      </c>
      <c r="H37" s="67">
        <f>IF(AND(ISNUMBER(C37),ISNUMBER(G37)), C37-G37, "")</f>
        <v>232986.3</v>
      </c>
      <c r="I37" s="76" t="str">
        <f t="shared" si="7"/>
        <v/>
      </c>
      <c r="J37" s="41" t="s">
        <v>132</v>
      </c>
      <c r="K37" s="81" t="s">
        <v>133</v>
      </c>
    </row>
    <row r="38" spans="1:18" ht="15.6">
      <c r="A38" s="49" t="str">
        <v>Oaks Landfill - CS1</v>
      </c>
      <c r="B38" s="29" t="str">
        <v>MD</v>
      </c>
      <c r="C38" s="71">
        <v>231887.7</v>
      </c>
      <c r="D38" s="13">
        <v>262354.40000000002</v>
      </c>
      <c r="E38" s="13">
        <f>IF(AND(ISNUMBER(C38),ISNUMBER(D38)), C38-D38, "")</f>
        <v>-30466.700000000012</v>
      </c>
      <c r="F38" s="72">
        <f>IFERROR(E38/D38, "")</f>
        <v>-0.1161280313956999</v>
      </c>
      <c r="G38" s="73">
        <v>0</v>
      </c>
      <c r="H38" s="73">
        <f>IF(AND(ISNUMBER(C38),ISNUMBER(G38)), C38-G38, "")</f>
        <v>231887.7</v>
      </c>
      <c r="I38" s="87" t="str">
        <f t="shared" si="7"/>
        <v/>
      </c>
      <c r="J38" s="74" t="s">
        <v>22</v>
      </c>
      <c r="K38" s="74"/>
    </row>
    <row r="39" spans="1:18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8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8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8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8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8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8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8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8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8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3" priority="1" stopIfTrue="1" operator="lessThanOrEqual">
      <formula>-0.1</formula>
    </cfRule>
    <cfRule type="expression" dxfId="42" priority="2">
      <formula>AND(ISNUMBER(F2), F2&gt;=0.1)</formula>
    </cfRule>
  </conditionalFormatting>
  <hyperlinks>
    <hyperlink ref="K7" r:id="rId1" display="https://us3.assetplanner.com/service_request?ID=095312" xr:uid="{E0560ED5-4518-44A2-898E-A1C59702489B}"/>
    <hyperlink ref="K8" r:id="rId2" display="https://us3.assetplanner.com/service_request?ID=089997" xr:uid="{3A878D55-F7C7-4C2B-AEC5-67DB41A87B13}"/>
    <hyperlink ref="K9" r:id="rId3" display="https://us3.assetplanner.com/service_request?ID=089170" xr:uid="{70DED271-087B-4B71-9F45-BB954FE3EF2D}"/>
    <hyperlink ref="L9" r:id="rId4" display="https://us3.assetplanner.com/service_request?ID=095220" xr:uid="{B91A8E59-2869-436A-8A68-678284BACF3B}"/>
    <hyperlink ref="K10" r:id="rId5" display="https://us3.assetplanner.com/service_request?ID=089564" xr:uid="{8C5DB2FD-D01E-4418-8B9D-EAF9FC2D9F6A}"/>
    <hyperlink ref="L10" r:id="rId6" display="https://us3.assetplanner.com/service_request?ID=093404" xr:uid="{9EF059E9-A44A-4E38-9B55-E1DA0C3C3450}"/>
    <hyperlink ref="K14" r:id="rId7" display="https://us3.assetplanner.com/service_request?ID=096199" xr:uid="{3CFE5C8D-D983-479B-B784-2A6179E5AA21}"/>
    <hyperlink ref="L14" r:id="rId8" display="https://us3.assetplanner.com/service_request?ID=093500" xr:uid="{CF750A34-11F4-492B-89A1-83C987E44772}"/>
    <hyperlink ref="K15" r:id="rId9" display="https://us3.assetplanner.com/service_request?ID=096206" xr:uid="{57893A00-FC3F-41AA-B8D5-03A814BAEC45}"/>
    <hyperlink ref="K16" r:id="rId10" display="https://us3.assetplanner.com/service_request?ID=096522" xr:uid="{BD6E4EC0-861A-410C-8F19-00860A4AB48F}"/>
    <hyperlink ref="K18" r:id="rId11" display="https://us3.assetplanner.com/service_request?ID=096031" xr:uid="{9947C0FA-7E76-4B09-89C6-A80C446BA6A0}"/>
    <hyperlink ref="L18" r:id="rId12" display="https://us3.assetplanner.com/service_request?ID=093403" xr:uid="{D6B89374-8082-445E-8458-C53AFF37F4B6}"/>
    <hyperlink ref="K20" r:id="rId13" display="https://us3.assetplanner.com/service_request?ID=089983" xr:uid="{51ABCBA7-4C69-4CAA-AC08-39AC821270D0}"/>
    <hyperlink ref="K23" r:id="rId14" display="https://us3.assetplanner.com/service_request?ID=094678" xr:uid="{9A08AFFB-AC89-4C70-9C0C-AE75671C34BA}"/>
    <hyperlink ref="K24" r:id="rId15" display="https://us3.assetplanner.com/service_request?ID=095518" xr:uid="{B2E8231F-B7A8-4C91-B7E0-C46E3721B97A}"/>
    <hyperlink ref="L24" r:id="rId16" display="https://us3.assetplanner.com/service_request?ID=097183" xr:uid="{42FF7695-66DD-44C2-8FCC-67B7315F9391}"/>
    <hyperlink ref="K25" r:id="rId17" display="https://us3.assetplanner.com/service_request?ID=097175" xr:uid="{DA8A6B87-1F43-4C7F-81F8-5A934EEAD7CC}"/>
    <hyperlink ref="K27" r:id="rId18" display="https://us3.assetplanner.com/service_request?ID=095495" xr:uid="{699C54BC-48E6-4406-97FF-DBE79FD02AE8}"/>
    <hyperlink ref="L27" r:id="rId19" display="https://us3.assetplanner.com/service_request?ID=095573" xr:uid="{48CD44E5-DA77-4A87-8CC8-F9F692C6D3DC}"/>
    <hyperlink ref="M27" r:id="rId20" display="https://us3.assetplanner.com/service_request?ID=095674" xr:uid="{0580C4AF-0A74-48A3-B72E-C6C282B38427}"/>
    <hyperlink ref="K29" r:id="rId21" display="https://us3.assetplanner.com/service_request?ID=095494" xr:uid="{1B9A0CF3-B81E-433E-97A4-6AC19E97C823}"/>
    <hyperlink ref="K30" r:id="rId22" display="https://us3.assetplanner.com/service_request?ID=097872" xr:uid="{81E5D564-19E6-4CE5-B66D-2A856FFB5A45}"/>
    <hyperlink ref="K34" r:id="rId23" display="https://us3.assetplanner.com/service_request?ID=093773" xr:uid="{828626C7-A5C1-4F1A-AD9D-AFE89001CA72}"/>
    <hyperlink ref="L34" r:id="rId24" display="https://us3.assetplanner.com/service_request?ID=094890" xr:uid="{98F3E6BC-5154-4278-AFCF-9B3C14C5266F}"/>
    <hyperlink ref="M34" r:id="rId25" display="https://us3.assetplanner.com/service_request?ID=095199" xr:uid="{57469786-0BBE-4A51-B464-ED61F0D9D453}"/>
    <hyperlink ref="N34" r:id="rId26" display="https://us3.assetplanner.com/service_request?ID=095761" xr:uid="{0CEE18C1-EB81-4EEC-B4FC-4F764C993921}"/>
    <hyperlink ref="O34" r:id="rId27" display="https://us3.assetplanner.com/service_request?ID=096555" xr:uid="{26112CF1-7D47-49CB-983D-BC5DE80A6ADE}"/>
    <hyperlink ref="P34" r:id="rId28" display="https://us3.assetplanner.com/service_request?ID=096557" xr:uid="{9271E435-1C7B-4885-ABED-C44E6C7DA428}"/>
    <hyperlink ref="Q34" r:id="rId29" display="https://us3.assetplanner.com/service_request?ID=096558" xr:uid="{3BE9689E-9733-4C5A-B41E-1851F210BA40}"/>
    <hyperlink ref="R34" r:id="rId30" display="https://us3.assetplanner.com/service_request?ID=097964" xr:uid="{9BFEBA40-1601-4908-8153-B0C603462A4A}"/>
    <hyperlink ref="K35" r:id="rId31" display="https://us3.assetplanner.com/service_request?ID=097196" xr:uid="{C54580EF-7D2B-4818-B0E5-B00DB7C39B87}"/>
    <hyperlink ref="L35" r:id="rId32" display="https://us3.assetplanner.com/service_request?ID=097608" xr:uid="{912EB012-4586-415F-8851-5C9777D1DD66}"/>
    <hyperlink ref="K37" r:id="rId33" display="https://us3.assetplanner.com/service_request?ID=096221" xr:uid="{09F44825-4AFE-4859-B92C-6ED0FEA15574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42"/>
  <sheetViews>
    <sheetView zoomScale="90" zoomScaleNormal="90" workbookViewId="0">
      <pane xSplit="2" ySplit="3" topLeftCell="C4" activePane="bottomRight" state="frozen"/>
      <selection pane="bottomRight" activeCell="N37" sqref="N37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0.140625" bestFit="1" customWidth="1"/>
  </cols>
  <sheetData>
    <row r="1" spans="1:14" ht="19.5" customHeight="1">
      <c r="A1" s="97" t="str" cm="1">
        <f t="array" ref="A1">portfolio</f>
        <v>Greenbacker Capital</v>
      </c>
      <c r="B1" s="97"/>
      <c r="C1" s="97"/>
      <c r="D1" s="98" t="s">
        <v>134</v>
      </c>
      <c r="E1" s="98"/>
      <c r="F1" s="98"/>
      <c r="G1" s="96" t="s">
        <v>135</v>
      </c>
      <c r="H1" s="96"/>
      <c r="I1" s="96"/>
      <c r="J1" s="4"/>
      <c r="K1" s="4"/>
    </row>
    <row r="2" spans="1:14" ht="19.5" customHeight="1">
      <c r="A2" s="99" t="s">
        <v>2</v>
      </c>
      <c r="B2" s="99"/>
      <c r="C2" s="5">
        <f>SUM(C4:C100)</f>
        <v>5699417.2968085995</v>
      </c>
      <c r="D2" s="5">
        <f>SUM(D4:D100)</f>
        <v>5446694.0360000012</v>
      </c>
      <c r="E2" s="5">
        <f>C2-D2</f>
        <v>252723.26080859825</v>
      </c>
      <c r="F2" s="6">
        <f>IFERROR(E2/D2, 0)</f>
        <v>4.6399386332006222E-2</v>
      </c>
      <c r="G2" s="5">
        <f>SUM(G4:G100)</f>
        <v>3579098.96</v>
      </c>
      <c r="H2" s="7">
        <f>C2-G2</f>
        <v>2120318.3368085995</v>
      </c>
      <c r="I2" s="6">
        <f>IFERROR(H2/G2, 0)</f>
        <v>0.59241679554135596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>
        <v>15881.3125</v>
      </c>
      <c r="D4" s="13">
        <v>13711.22</v>
      </c>
      <c r="E4" s="13">
        <f>IF(AND(ISNUMBER(C4),ISNUMBER(D4)), C4-D4, "")</f>
        <v>2170.0925000000007</v>
      </c>
      <c r="F4" s="14">
        <f>IFERROR(E4/D4, "")</f>
        <v>0.15827129168666251</v>
      </c>
      <c r="G4" s="15">
        <v>14665.34</v>
      </c>
      <c r="H4" s="15">
        <f>IF(AND(ISNUMBER(C4),ISNUMBER(G4)), C4-G4, "")</f>
        <v>1215.9724999999999</v>
      </c>
      <c r="I4" s="16">
        <f>IFERROR(H4/G4, "")</f>
        <v>8.2914715922031118E-2</v>
      </c>
      <c r="J4" s="40"/>
      <c r="K4" s="60"/>
    </row>
    <row r="5" spans="1:14" ht="15.6">
      <c r="A5" s="30" t="str">
        <v>15 Walpole Park South</v>
      </c>
      <c r="B5" s="31" t="str">
        <v>MA</v>
      </c>
      <c r="C5" s="11">
        <v>55602.249999999498</v>
      </c>
      <c r="D5" s="18">
        <v>52420.93</v>
      </c>
      <c r="E5" s="18">
        <f t="shared" ref="E5:E33" si="0">IF(AND(ISNUMBER(C5),ISNUMBER(D5)), C5-D5, "")</f>
        <v>3181.3199999994977</v>
      </c>
      <c r="F5" s="19">
        <f>IFERROR(E5/D5, "")</f>
        <v>6.0687973296152845E-2</v>
      </c>
      <c r="G5" s="20">
        <v>51284.97</v>
      </c>
      <c r="H5" s="20">
        <f t="shared" ref="H5:H33" si="1">IF(AND(ISNUMBER(C5),ISNUMBER(G5)), C5-G5, "")</f>
        <v>4317.2799999994968</v>
      </c>
      <c r="I5" s="19">
        <f t="shared" ref="I5:I33" si="2">IFERROR(H5/G5, "")</f>
        <v>8.418216877185454E-2</v>
      </c>
      <c r="J5" s="41" t="s">
        <v>136</v>
      </c>
      <c r="K5" s="94" t="s">
        <v>137</v>
      </c>
    </row>
    <row r="6" spans="1:14" ht="15.6">
      <c r="A6" s="28" t="str">
        <v>19 Walpole Park South</v>
      </c>
      <c r="B6" s="29" t="str">
        <v>MA</v>
      </c>
      <c r="C6" s="24">
        <v>34560.875</v>
      </c>
      <c r="D6" s="13">
        <v>32112.47</v>
      </c>
      <c r="E6" s="13">
        <f t="shared" si="0"/>
        <v>2448.4049999999988</v>
      </c>
      <c r="F6" s="14">
        <f t="shared" ref="F6:F33" si="3">IFERROR(E6/D6, "")</f>
        <v>7.6244680026170478E-2</v>
      </c>
      <c r="G6" s="15">
        <v>32649.65</v>
      </c>
      <c r="H6" s="15">
        <f t="shared" si="1"/>
        <v>1911.2249999999985</v>
      </c>
      <c r="I6" s="16">
        <f t="shared" si="2"/>
        <v>5.8537380952016285E-2</v>
      </c>
      <c r="J6" s="40"/>
      <c r="K6" s="60"/>
    </row>
    <row r="7" spans="1:14" ht="15.6">
      <c r="A7" s="30" t="str">
        <v>23 Walpole Park South</v>
      </c>
      <c r="B7" s="31" t="str">
        <v>MA</v>
      </c>
      <c r="C7" s="11">
        <v>42986.25</v>
      </c>
      <c r="D7" s="18">
        <v>41135.599999999999</v>
      </c>
      <c r="E7" s="18">
        <f t="shared" si="0"/>
        <v>1850.6500000000015</v>
      </c>
      <c r="F7" s="19">
        <f t="shared" si="3"/>
        <v>4.4989011950719124E-2</v>
      </c>
      <c r="G7" s="20">
        <v>42820.09</v>
      </c>
      <c r="H7" s="20">
        <f t="shared" si="1"/>
        <v>166.16000000000349</v>
      </c>
      <c r="I7" s="19">
        <f t="shared" si="2"/>
        <v>3.880421549791313E-3</v>
      </c>
      <c r="J7" s="41" t="s">
        <v>138</v>
      </c>
      <c r="K7" s="94" t="s">
        <v>24</v>
      </c>
    </row>
    <row r="8" spans="1:14" ht="15.6">
      <c r="A8" s="28" t="str">
        <v>24 Walpole Park South</v>
      </c>
      <c r="B8" s="29" t="str">
        <v>MA</v>
      </c>
      <c r="C8" s="24">
        <v>69935.749999999098</v>
      </c>
      <c r="D8" s="13">
        <v>56960.42</v>
      </c>
      <c r="E8" s="13">
        <f t="shared" si="0"/>
        <v>12975.3299999991</v>
      </c>
      <c r="F8" s="14">
        <f t="shared" si="3"/>
        <v>0.22779554645136219</v>
      </c>
      <c r="G8" s="15">
        <v>65930.880000000005</v>
      </c>
      <c r="H8" s="15">
        <f t="shared" si="1"/>
        <v>4004.8699999990931</v>
      </c>
      <c r="I8" s="16">
        <f t="shared" si="2"/>
        <v>6.0743463457473841E-2</v>
      </c>
      <c r="J8" s="40"/>
      <c r="K8" s="60"/>
    </row>
    <row r="9" spans="1:14" ht="28.9">
      <c r="A9" s="30" t="str">
        <v>25 Walpole Park South</v>
      </c>
      <c r="B9" s="31" t="str">
        <v>MA</v>
      </c>
      <c r="C9" s="11">
        <v>65028.562801932901</v>
      </c>
      <c r="D9" s="18">
        <v>63346.3</v>
      </c>
      <c r="E9" s="18">
        <f t="shared" si="0"/>
        <v>1682.2628019328986</v>
      </c>
      <c r="F9" s="19">
        <f t="shared" si="3"/>
        <v>2.6556607125165929E-2</v>
      </c>
      <c r="G9" s="20">
        <v>66893.02</v>
      </c>
      <c r="H9" s="20">
        <f t="shared" si="1"/>
        <v>-1864.4571980671026</v>
      </c>
      <c r="I9" s="19">
        <f t="shared" si="2"/>
        <v>-2.7872223410859646E-2</v>
      </c>
      <c r="J9" s="41" t="s">
        <v>29</v>
      </c>
      <c r="K9" s="94" t="s">
        <v>139</v>
      </c>
      <c r="L9" s="86" t="s">
        <v>140</v>
      </c>
    </row>
    <row r="10" spans="1:14" ht="28.9">
      <c r="A10" s="28" t="str">
        <v>3 Walpole Park South</v>
      </c>
      <c r="B10" s="29" t="str">
        <v>MA</v>
      </c>
      <c r="C10" s="24">
        <v>81146.5</v>
      </c>
      <c r="D10" s="13">
        <v>79301.39</v>
      </c>
      <c r="E10" s="13">
        <f t="shared" si="0"/>
        <v>1845.1100000000006</v>
      </c>
      <c r="F10" s="14">
        <f t="shared" si="3"/>
        <v>2.3267057487895239E-2</v>
      </c>
      <c r="G10" s="15">
        <v>78331.8</v>
      </c>
      <c r="H10" s="15">
        <f t="shared" si="1"/>
        <v>2814.6999999999971</v>
      </c>
      <c r="I10" s="16">
        <f t="shared" si="2"/>
        <v>3.5933043795750859E-2</v>
      </c>
      <c r="J10" s="40" t="s">
        <v>141</v>
      </c>
      <c r="K10" s="95" t="s">
        <v>98</v>
      </c>
      <c r="L10" s="86" t="s">
        <v>34</v>
      </c>
    </row>
    <row r="11" spans="1:14" ht="15.6">
      <c r="A11" s="30" t="str">
        <v>4 Walpole Park South</v>
      </c>
      <c r="B11" s="31" t="str">
        <v>MA</v>
      </c>
      <c r="C11" s="11">
        <v>48608</v>
      </c>
      <c r="D11" s="18">
        <v>45312.79</v>
      </c>
      <c r="E11" s="18">
        <f t="shared" si="0"/>
        <v>3295.2099999999991</v>
      </c>
      <c r="F11" s="19">
        <f t="shared" si="3"/>
        <v>7.2721410445042101E-2</v>
      </c>
      <c r="G11" s="20">
        <v>44443.09</v>
      </c>
      <c r="H11" s="20">
        <f t="shared" si="1"/>
        <v>4164.9100000000035</v>
      </c>
      <c r="I11" s="19">
        <f t="shared" si="2"/>
        <v>9.3713330913759676E-2</v>
      </c>
      <c r="J11" s="41"/>
      <c r="K11" s="92"/>
    </row>
    <row r="12" spans="1:14" ht="144">
      <c r="A12" s="28" t="str">
        <v>Brockton</v>
      </c>
      <c r="B12" s="29" t="str">
        <v>MA</v>
      </c>
      <c r="C12" s="24">
        <v>74050</v>
      </c>
      <c r="D12" s="13">
        <v>64781.95</v>
      </c>
      <c r="E12" s="13">
        <f t="shared" si="0"/>
        <v>9268.0500000000029</v>
      </c>
      <c r="F12" s="14">
        <f t="shared" si="3"/>
        <v>0.14306531371778719</v>
      </c>
      <c r="G12" s="15">
        <v>72718.59</v>
      </c>
      <c r="H12" s="15">
        <f t="shared" si="1"/>
        <v>1331.4100000000035</v>
      </c>
      <c r="I12" s="16">
        <f t="shared" si="2"/>
        <v>1.8309073374497546E-2</v>
      </c>
      <c r="J12" s="40" t="s">
        <v>142</v>
      </c>
      <c r="K12" s="95" t="s">
        <v>143</v>
      </c>
      <c r="L12" s="86" t="s">
        <v>144</v>
      </c>
      <c r="M12" s="86" t="s">
        <v>145</v>
      </c>
      <c r="N12" s="86" t="s">
        <v>146</v>
      </c>
    </row>
    <row r="13" spans="1:14" ht="43.15">
      <c r="A13" s="30" t="str">
        <v>Canton</v>
      </c>
      <c r="B13" s="31" t="str">
        <v>MA</v>
      </c>
      <c r="C13" s="11">
        <v>74662.75</v>
      </c>
      <c r="D13" s="18">
        <v>71127.05</v>
      </c>
      <c r="E13" s="18">
        <f t="shared" si="0"/>
        <v>3535.6999999999971</v>
      </c>
      <c r="F13" s="19">
        <f t="shared" si="3"/>
        <v>4.9709639300378645E-2</v>
      </c>
      <c r="G13" s="20">
        <v>68863.199999999997</v>
      </c>
      <c r="H13" s="20">
        <f t="shared" si="1"/>
        <v>5799.5500000000029</v>
      </c>
      <c r="I13" s="19">
        <f t="shared" si="2"/>
        <v>8.4218421450063363E-2</v>
      </c>
      <c r="J13" s="41" t="s">
        <v>147</v>
      </c>
      <c r="K13" s="81" t="s">
        <v>148</v>
      </c>
    </row>
    <row r="14" spans="1:14" ht="28.9">
      <c r="A14" s="28" t="str">
        <v>Chelsea</v>
      </c>
      <c r="B14" s="29" t="str">
        <v>MA</v>
      </c>
      <c r="C14" s="24">
        <v>127374</v>
      </c>
      <c r="D14" s="13">
        <v>120696.5</v>
      </c>
      <c r="E14" s="13">
        <f>IF(AND(ISNUMBER(C14),ISNUMBER(D14)), C14-D14, "")</f>
        <v>6677.5</v>
      </c>
      <c r="F14" s="14">
        <f>IFERROR(E14/D14, "")</f>
        <v>5.5324719440911711E-2</v>
      </c>
      <c r="G14" s="15">
        <v>115863.3</v>
      </c>
      <c r="H14" s="15">
        <f>IF(AND(ISNUMBER(C14),ISNUMBER(G14)), C14-G14, "")</f>
        <v>11510.699999999997</v>
      </c>
      <c r="I14" s="16">
        <f>IFERROR(H14/G14, "")</f>
        <v>9.9347248006918465E-2</v>
      </c>
      <c r="J14" s="40" t="s">
        <v>149</v>
      </c>
      <c r="K14" s="95" t="s">
        <v>150</v>
      </c>
    </row>
    <row r="15" spans="1:14" ht="15.6">
      <c r="A15" s="30" t="str">
        <v>Hamilton Landfill</v>
      </c>
      <c r="B15" s="31" t="str">
        <v>MA</v>
      </c>
      <c r="C15" s="11">
        <v>100039</v>
      </c>
      <c r="D15" s="18">
        <v>106573.1</v>
      </c>
      <c r="E15" s="18">
        <f t="shared" si="0"/>
        <v>-6534.1000000000058</v>
      </c>
      <c r="F15" s="19">
        <f t="shared" si="3"/>
        <v>-6.1310968715370062E-2</v>
      </c>
      <c r="G15" s="20">
        <v>0</v>
      </c>
      <c r="H15" s="20">
        <f t="shared" si="1"/>
        <v>100039</v>
      </c>
      <c r="I15" s="19" t="str">
        <f t="shared" si="2"/>
        <v/>
      </c>
      <c r="J15" s="41"/>
      <c r="K15" s="92"/>
    </row>
    <row r="16" spans="1:14" ht="86.45">
      <c r="A16" s="28" t="str">
        <v>Holliston</v>
      </c>
      <c r="B16" s="29" t="str">
        <v>MA</v>
      </c>
      <c r="C16" s="24">
        <v>190892</v>
      </c>
      <c r="D16" s="13">
        <v>179461.6</v>
      </c>
      <c r="E16" s="13">
        <f t="shared" si="0"/>
        <v>11430.399999999994</v>
      </c>
      <c r="F16" s="14">
        <f t="shared" si="3"/>
        <v>6.3692734267386419E-2</v>
      </c>
      <c r="G16" s="15">
        <v>185164.4</v>
      </c>
      <c r="H16" s="15">
        <f t="shared" si="1"/>
        <v>5727.6000000000058</v>
      </c>
      <c r="I16" s="16">
        <f t="shared" si="2"/>
        <v>3.0932511865131775E-2</v>
      </c>
      <c r="J16" s="60" t="s">
        <v>151</v>
      </c>
      <c r="K16" s="95" t="s">
        <v>152</v>
      </c>
      <c r="L16" s="86" t="s">
        <v>153</v>
      </c>
      <c r="M16" s="86" t="s">
        <v>154</v>
      </c>
    </row>
    <row r="17" spans="1:15" ht="21.75" customHeight="1">
      <c r="A17" s="30" t="str">
        <v>Natick HS - Carports</v>
      </c>
      <c r="B17" s="31" t="str">
        <v>MA</v>
      </c>
      <c r="C17" s="11">
        <v>62036.5</v>
      </c>
      <c r="D17" s="18">
        <v>71227.899999999994</v>
      </c>
      <c r="E17" s="18">
        <f t="shared" si="0"/>
        <v>-9191.3999999999942</v>
      </c>
      <c r="F17" s="19">
        <f t="shared" si="3"/>
        <v>-0.12904213096272663</v>
      </c>
      <c r="G17" s="20">
        <v>0</v>
      </c>
      <c r="H17" s="20">
        <f t="shared" si="1"/>
        <v>62036.5</v>
      </c>
      <c r="I17" s="19" t="str">
        <f t="shared" si="2"/>
        <v/>
      </c>
      <c r="J17" s="41" t="s">
        <v>155</v>
      </c>
      <c r="K17" s="92"/>
    </row>
    <row r="18" spans="1:15" ht="52.9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46</v>
      </c>
      <c r="K18" s="95" t="s">
        <v>156</v>
      </c>
      <c r="L18" s="86" t="s">
        <v>48</v>
      </c>
      <c r="M18" s="86" t="s">
        <v>157</v>
      </c>
      <c r="N18" s="86" t="s">
        <v>158</v>
      </c>
      <c r="O18" s="86" t="s">
        <v>159</v>
      </c>
    </row>
    <row r="19" spans="1:15" ht="43.15">
      <c r="A19" s="30" t="str">
        <v>Palmer - Boston Rd.</v>
      </c>
      <c r="B19" s="31" t="str">
        <v>MA</v>
      </c>
      <c r="C19" s="11">
        <v>63894.5</v>
      </c>
      <c r="D19" s="18">
        <v>64442.6</v>
      </c>
      <c r="E19" s="18">
        <f t="shared" si="0"/>
        <v>-548.09999999999854</v>
      </c>
      <c r="F19" s="19">
        <f t="shared" si="3"/>
        <v>-8.5052434259325124E-3</v>
      </c>
      <c r="G19" s="20">
        <v>69178</v>
      </c>
      <c r="H19" s="20">
        <f t="shared" si="1"/>
        <v>-5283.5</v>
      </c>
      <c r="I19" s="19">
        <f t="shared" si="2"/>
        <v>-7.637543727774726E-2</v>
      </c>
      <c r="J19" s="41" t="s">
        <v>160</v>
      </c>
      <c r="K19" s="81" t="s">
        <v>161</v>
      </c>
    </row>
    <row r="20" spans="1:15" ht="23.25" customHeight="1">
      <c r="A20" s="28" t="str">
        <v>Shirley Bartkus</v>
      </c>
      <c r="B20" s="29" t="str">
        <v>MA</v>
      </c>
      <c r="C20" s="24">
        <v>117832.5</v>
      </c>
      <c r="D20" s="13">
        <v>118581.9</v>
      </c>
      <c r="E20" s="13">
        <f t="shared" si="0"/>
        <v>-749.39999999999418</v>
      </c>
      <c r="F20" s="14">
        <f t="shared" si="3"/>
        <v>-6.3196828521046994E-3</v>
      </c>
      <c r="G20" s="15">
        <v>98185</v>
      </c>
      <c r="H20" s="15">
        <f t="shared" si="1"/>
        <v>19647.5</v>
      </c>
      <c r="I20" s="16">
        <f t="shared" si="2"/>
        <v>0.20010694097876458</v>
      </c>
      <c r="J20" s="40" t="s">
        <v>162</v>
      </c>
      <c r="K20" s="95" t="s">
        <v>163</v>
      </c>
    </row>
    <row r="21" spans="1:15" ht="41.25" customHeight="1">
      <c r="A21" s="30" t="str">
        <v>Stoughton</v>
      </c>
      <c r="B21" s="31" t="str">
        <v>MA</v>
      </c>
      <c r="C21" s="11">
        <v>89022.5</v>
      </c>
      <c r="D21" s="18">
        <v>54902.01</v>
      </c>
      <c r="E21" s="18">
        <f t="shared" si="0"/>
        <v>34120.49</v>
      </c>
      <c r="F21" s="19">
        <f t="shared" si="3"/>
        <v>0.62147979645918239</v>
      </c>
      <c r="G21" s="20">
        <v>78249.83</v>
      </c>
      <c r="H21" s="20">
        <f t="shared" si="1"/>
        <v>10772.669999999998</v>
      </c>
      <c r="I21" s="19">
        <f t="shared" si="2"/>
        <v>0.13767020324516996</v>
      </c>
      <c r="J21" s="41" t="s">
        <v>164</v>
      </c>
      <c r="K21" s="81" t="s">
        <v>165</v>
      </c>
    </row>
    <row r="22" spans="1:15" ht="15.6">
      <c r="A22" s="28" t="str">
        <v>Wellfleet Landfill</v>
      </c>
      <c r="B22" s="29" t="str">
        <v>MA</v>
      </c>
      <c r="C22" s="24">
        <v>102954.7</v>
      </c>
      <c r="D22" s="13">
        <v>92926</v>
      </c>
      <c r="E22" s="13">
        <f t="shared" si="0"/>
        <v>10028.699999999997</v>
      </c>
      <c r="F22" s="14">
        <f t="shared" si="3"/>
        <v>0.1079213567785119</v>
      </c>
      <c r="G22" s="15">
        <v>0</v>
      </c>
      <c r="H22" s="15">
        <f t="shared" si="1"/>
        <v>102954.7</v>
      </c>
      <c r="I22" s="16" t="str">
        <f t="shared" si="2"/>
        <v/>
      </c>
      <c r="J22" s="40"/>
      <c r="K22" s="60"/>
    </row>
    <row r="23" spans="1:15" ht="43.15">
      <c r="A23" s="30" t="str">
        <v>Wilmington Garage &amp; Building 7</v>
      </c>
      <c r="B23" s="31" t="str">
        <v>MA</v>
      </c>
      <c r="C23" s="11">
        <v>117952.875</v>
      </c>
      <c r="D23" s="18">
        <v>121692.5</v>
      </c>
      <c r="E23" s="18">
        <f t="shared" si="0"/>
        <v>-3739.625</v>
      </c>
      <c r="F23" s="19">
        <f t="shared" si="3"/>
        <v>-3.0730118947346795E-2</v>
      </c>
      <c r="G23" s="20">
        <v>114526.39999999999</v>
      </c>
      <c r="H23" s="20">
        <f t="shared" si="1"/>
        <v>3426.4750000000058</v>
      </c>
      <c r="I23" s="19">
        <f t="shared" si="2"/>
        <v>2.9918647578200362E-2</v>
      </c>
      <c r="J23" s="41" t="s">
        <v>166</v>
      </c>
      <c r="K23" s="81" t="s">
        <v>110</v>
      </c>
    </row>
    <row r="24" spans="1:15" ht="15.6">
      <c r="A24" s="28" t="str">
        <v>Woburn</v>
      </c>
      <c r="B24" s="29" t="str">
        <v>MA</v>
      </c>
      <c r="C24" s="24">
        <v>183281</v>
      </c>
      <c r="D24" s="13">
        <v>189838</v>
      </c>
      <c r="E24" s="13">
        <f t="shared" si="0"/>
        <v>-6557</v>
      </c>
      <c r="F24" s="14">
        <f t="shared" si="3"/>
        <v>-3.4539976190225349E-2</v>
      </c>
      <c r="G24" s="15">
        <v>164413.6</v>
      </c>
      <c r="H24" s="15">
        <f t="shared" si="1"/>
        <v>18867.399999999994</v>
      </c>
      <c r="I24" s="16">
        <f t="shared" si="2"/>
        <v>0.11475571363926095</v>
      </c>
      <c r="J24" s="40"/>
      <c r="K24" s="60"/>
    </row>
    <row r="25" spans="1:15" ht="15.6">
      <c r="A25" s="30" t="str">
        <v>Friendship Solar 1</v>
      </c>
      <c r="B25" s="31" t="str">
        <v>MD</v>
      </c>
      <c r="C25" s="11">
        <v>403852</v>
      </c>
      <c r="D25" s="18">
        <v>427665.1</v>
      </c>
      <c r="E25" s="18">
        <f t="shared" si="0"/>
        <v>-23813.099999999977</v>
      </c>
      <c r="F25" s="19">
        <f t="shared" si="3"/>
        <v>-5.5681653705200583E-2</v>
      </c>
      <c r="G25" s="20">
        <v>437046.2</v>
      </c>
      <c r="H25" s="20">
        <f t="shared" si="1"/>
        <v>-33194.200000000012</v>
      </c>
      <c r="I25" s="19">
        <f t="shared" si="2"/>
        <v>-7.5951238107092589E-2</v>
      </c>
      <c r="J25" s="41"/>
      <c r="K25" s="57"/>
    </row>
    <row r="26" spans="1:15" ht="15.6">
      <c r="A26" s="28" t="str">
        <v>Friendship Solar 2</v>
      </c>
      <c r="B26" s="29" t="str">
        <v>MD</v>
      </c>
      <c r="C26" s="24">
        <v>404705</v>
      </c>
      <c r="D26" s="13">
        <v>431811.1</v>
      </c>
      <c r="E26" s="13">
        <f t="shared" si="0"/>
        <v>-27106.099999999977</v>
      </c>
      <c r="F26" s="14">
        <f t="shared" si="3"/>
        <v>-6.2773050530660235E-2</v>
      </c>
      <c r="G26" s="15">
        <v>430790.5</v>
      </c>
      <c r="H26" s="15">
        <f t="shared" si="1"/>
        <v>-26085.5</v>
      </c>
      <c r="I26" s="16">
        <f t="shared" si="2"/>
        <v>-6.0552635213636324E-2</v>
      </c>
      <c r="J26" s="40"/>
      <c r="K26" s="60"/>
    </row>
    <row r="27" spans="1:15" ht="28.9">
      <c r="A27" s="30" t="str">
        <v>101 Carnegie Center</v>
      </c>
      <c r="B27" s="31" t="str">
        <v>NJ</v>
      </c>
      <c r="C27" s="11">
        <v>174877.234</v>
      </c>
      <c r="D27" s="18">
        <v>187657.80600000001</v>
      </c>
      <c r="E27" s="18">
        <f t="shared" si="0"/>
        <v>-12780.572000000015</v>
      </c>
      <c r="F27" s="19">
        <f t="shared" si="3"/>
        <v>-6.8105730704322603E-2</v>
      </c>
      <c r="G27" s="20">
        <v>0</v>
      </c>
      <c r="H27" s="20">
        <f t="shared" si="1"/>
        <v>174877.234</v>
      </c>
      <c r="I27" s="19" t="str">
        <f t="shared" si="2"/>
        <v/>
      </c>
      <c r="J27" s="41" t="s">
        <v>167</v>
      </c>
      <c r="K27" s="81" t="s">
        <v>168</v>
      </c>
    </row>
    <row r="28" spans="1:15" ht="28.9">
      <c r="A28" s="28" t="str">
        <v>302 Carnegie Center</v>
      </c>
      <c r="B28" s="29" t="str">
        <v>NJ</v>
      </c>
      <c r="C28" s="24">
        <v>75714.134999999995</v>
      </c>
      <c r="D28" s="13">
        <v>80222.7</v>
      </c>
      <c r="E28" s="13">
        <f t="shared" si="0"/>
        <v>-4508.5650000000023</v>
      </c>
      <c r="F28" s="14">
        <f t="shared" si="3"/>
        <v>-5.6200614040664329E-2</v>
      </c>
      <c r="G28" s="15">
        <v>0</v>
      </c>
      <c r="H28" s="15">
        <f t="shared" si="1"/>
        <v>75714.134999999995</v>
      </c>
      <c r="I28" s="16" t="str">
        <f t="shared" si="2"/>
        <v/>
      </c>
      <c r="J28" s="40" t="s">
        <v>169</v>
      </c>
      <c r="K28" s="95" t="s">
        <v>170</v>
      </c>
    </row>
    <row r="29" spans="1:15" ht="15.6">
      <c r="A29" s="30" t="str">
        <v>510 Carnegie Center</v>
      </c>
      <c r="B29" s="31" t="str">
        <v>NJ</v>
      </c>
      <c r="C29" s="11">
        <v>190586.93100000001</v>
      </c>
      <c r="D29" s="18">
        <v>205883.2</v>
      </c>
      <c r="E29" s="18">
        <f t="shared" si="0"/>
        <v>-15296.269</v>
      </c>
      <c r="F29" s="19">
        <f t="shared" si="3"/>
        <v>-7.4295858039898341E-2</v>
      </c>
      <c r="G29" s="20">
        <v>0</v>
      </c>
      <c r="H29" s="20">
        <f t="shared" si="1"/>
        <v>190586.93100000001</v>
      </c>
      <c r="I29" s="19" t="str">
        <f t="shared" si="2"/>
        <v/>
      </c>
      <c r="J29" s="41" t="s">
        <v>171</v>
      </c>
      <c r="K29" s="94" t="s">
        <v>172</v>
      </c>
    </row>
    <row r="30" spans="1:15" ht="15.6">
      <c r="A30" s="28" t="str">
        <v>701 Carnegie Center</v>
      </c>
      <c r="B30" s="29" t="str">
        <v>NJ</v>
      </c>
      <c r="C30" s="24">
        <v>148168</v>
      </c>
      <c r="D30" s="13">
        <v>164382</v>
      </c>
      <c r="E30" s="13">
        <f t="shared" si="0"/>
        <v>-16214</v>
      </c>
      <c r="F30" s="14">
        <f t="shared" si="3"/>
        <v>-9.8636103709651909E-2</v>
      </c>
      <c r="G30" s="15">
        <v>0</v>
      </c>
      <c r="H30" s="15">
        <f t="shared" si="1"/>
        <v>148168</v>
      </c>
      <c r="I30" s="16" t="str">
        <f t="shared" si="2"/>
        <v/>
      </c>
      <c r="J30" s="40"/>
      <c r="K30" s="60"/>
    </row>
    <row r="31" spans="1:15" ht="57.6">
      <c r="A31" s="30" t="str">
        <v>Hudson County Correction</v>
      </c>
      <c r="B31" s="31" t="str">
        <v>NJ</v>
      </c>
      <c r="C31" s="11">
        <v>184845.18900666799</v>
      </c>
      <c r="D31" s="18">
        <v>151457.60000000001</v>
      </c>
      <c r="E31" s="18">
        <f t="shared" si="0"/>
        <v>33387.589006667986</v>
      </c>
      <c r="F31" s="19">
        <f t="shared" si="3"/>
        <v>0.22044182006494217</v>
      </c>
      <c r="G31" s="20">
        <v>173075.9</v>
      </c>
      <c r="H31" s="20">
        <f t="shared" si="1"/>
        <v>11769.289006667997</v>
      </c>
      <c r="I31" s="19">
        <f t="shared" si="2"/>
        <v>6.8000738442891229E-2</v>
      </c>
      <c r="J31" s="56" t="s">
        <v>173</v>
      </c>
      <c r="K31" s="81" t="s">
        <v>174</v>
      </c>
    </row>
    <row r="32" spans="1:15" ht="72">
      <c r="A32" s="28" t="str">
        <v>ER Bison Solar</v>
      </c>
      <c r="B32" s="29" t="str">
        <v>PA</v>
      </c>
      <c r="C32" s="24">
        <v>209695</v>
      </c>
      <c r="D32" s="13">
        <v>0</v>
      </c>
      <c r="E32" s="13">
        <f t="shared" si="0"/>
        <v>209695</v>
      </c>
      <c r="F32" s="14" t="str">
        <f t="shared" si="3"/>
        <v/>
      </c>
      <c r="G32" s="15">
        <v>195491</v>
      </c>
      <c r="H32" s="15">
        <f t="shared" si="1"/>
        <v>14204</v>
      </c>
      <c r="I32" s="16">
        <f t="shared" si="2"/>
        <v>7.2658076330879687E-2</v>
      </c>
      <c r="J32" s="40" t="s">
        <v>175</v>
      </c>
      <c r="K32" s="95" t="s">
        <v>176</v>
      </c>
      <c r="L32" s="86" t="s">
        <v>177</v>
      </c>
    </row>
    <row r="33" spans="1:17" ht="28.9">
      <c r="A33" s="30" t="str">
        <v>Danville</v>
      </c>
      <c r="B33" s="31" t="str">
        <v>IL</v>
      </c>
      <c r="C33" s="11">
        <v>308677.77</v>
      </c>
      <c r="D33" s="18">
        <v>0</v>
      </c>
      <c r="E33" s="18">
        <f t="shared" si="0"/>
        <v>308677.77</v>
      </c>
      <c r="F33" s="19" t="str">
        <f t="shared" si="3"/>
        <v/>
      </c>
      <c r="G33" s="20">
        <v>0</v>
      </c>
      <c r="H33" s="20">
        <f t="shared" si="1"/>
        <v>308677.77</v>
      </c>
      <c r="I33" s="19" t="str">
        <f t="shared" si="2"/>
        <v/>
      </c>
      <c r="J33" s="41" t="s">
        <v>178</v>
      </c>
      <c r="K33" s="81" t="s">
        <v>179</v>
      </c>
    </row>
    <row r="34" spans="1:17" ht="199.5" customHeight="1">
      <c r="A34" s="28" t="str">
        <v>Camden - Campbell Soup HQ</v>
      </c>
      <c r="B34" s="29" t="str">
        <v>NJ</v>
      </c>
      <c r="C34" s="24">
        <v>303913</v>
      </c>
      <c r="D34" s="13">
        <v>471798.8</v>
      </c>
      <c r="E34" s="13">
        <f>IF(AND(ISNUMBER(C34),ISNUMBER(D34)), C34-D34, "")</f>
        <v>-167885.8</v>
      </c>
      <c r="F34" s="14">
        <f>IFERROR(E34/D34, "")</f>
        <v>-0.35584193940298275</v>
      </c>
      <c r="G34" s="15">
        <v>439964.44</v>
      </c>
      <c r="H34" s="15">
        <f>IF(AND(ISNUMBER(C34),ISNUMBER(G34)), C34-G34, "")</f>
        <v>-136051.44</v>
      </c>
      <c r="I34" s="16">
        <f t="shared" ref="I34:I39" si="4">IFERROR(H34/G34, "")</f>
        <v>-0.30923280981526596</v>
      </c>
      <c r="J34" s="40" t="s">
        <v>180</v>
      </c>
      <c r="K34" s="95" t="s">
        <v>181</v>
      </c>
      <c r="L34" s="86" t="s">
        <v>124</v>
      </c>
      <c r="M34" s="86" t="s">
        <v>84</v>
      </c>
      <c r="N34" s="86" t="s">
        <v>125</v>
      </c>
      <c r="O34" s="86" t="s">
        <v>126</v>
      </c>
      <c r="P34" s="86" t="s">
        <v>127</v>
      </c>
      <c r="Q34" s="86" t="s">
        <v>128</v>
      </c>
    </row>
    <row r="35" spans="1:17" ht="15.6">
      <c r="A35" s="30" t="str">
        <v>Westport - Pine Hill</v>
      </c>
      <c r="B35" s="31" t="str">
        <v>MA</v>
      </c>
      <c r="C35" s="75">
        <v>551029.8125</v>
      </c>
      <c r="D35" s="18">
        <v>533238.69999999995</v>
      </c>
      <c r="E35" s="18">
        <f>IF(AND(ISNUMBER(C35),ISNUMBER(D35)), C35-D35, "")</f>
        <v>17791.112500000047</v>
      </c>
      <c r="F35" s="76">
        <f>IFERROR(E35/D35, "")</f>
        <v>3.3364256007675452E-2</v>
      </c>
      <c r="G35" s="67">
        <v>538549.76000000001</v>
      </c>
      <c r="H35" s="67">
        <f>IF(AND(ISNUMBER(C35),ISNUMBER(G35)), C35-G35, "")</f>
        <v>12480.052499999991</v>
      </c>
      <c r="I35" s="76">
        <f t="shared" si="4"/>
        <v>2.3173443620140115E-2</v>
      </c>
      <c r="J35" s="41"/>
      <c r="K35" s="92"/>
    </row>
    <row r="36" spans="1:17" ht="15.6">
      <c r="A36" s="28" t="str">
        <v>Oaks Landfill - ANEM</v>
      </c>
      <c r="B36" s="29" t="str">
        <v>MD</v>
      </c>
      <c r="C36" s="71">
        <v>345718.2</v>
      </c>
      <c r="D36" s="13">
        <v>380651.9</v>
      </c>
      <c r="E36" s="13">
        <f>IF(AND(ISNUMBER(C36),ISNUMBER(D36)), C36-D36, "")</f>
        <v>-34933.700000000012</v>
      </c>
      <c r="F36" s="72">
        <f>IFERROR(E36/D36, "")</f>
        <v>-9.1773349876882293E-2</v>
      </c>
      <c r="G36" s="73">
        <v>0</v>
      </c>
      <c r="H36" s="73">
        <f>IF(AND(ISNUMBER(C36),ISNUMBER(G36)), C36-G36, "")</f>
        <v>345718.2</v>
      </c>
      <c r="I36" s="87" t="str">
        <f t="shared" si="4"/>
        <v/>
      </c>
      <c r="J36" s="74"/>
      <c r="K36" s="93"/>
    </row>
    <row r="37" spans="1:17" ht="86.45">
      <c r="A37" s="30" t="str">
        <v>Oaks Landfill - CS2</v>
      </c>
      <c r="B37" s="31" t="str">
        <v>MD</v>
      </c>
      <c r="C37" s="75">
        <v>327686</v>
      </c>
      <c r="D37" s="18">
        <v>381811.4</v>
      </c>
      <c r="E37" s="18">
        <f>IF(AND(ISNUMBER(C37),ISNUMBER(D37)), C37-D37, "")</f>
        <v>-54125.400000000023</v>
      </c>
      <c r="F37" s="76">
        <f>IFERROR(E37/D37, "")</f>
        <v>-0.14175951791905642</v>
      </c>
      <c r="G37" s="67">
        <v>0</v>
      </c>
      <c r="H37" s="67">
        <f>IF(AND(ISNUMBER(C37),ISNUMBER(G37)), C37-G37, "")</f>
        <v>327686</v>
      </c>
      <c r="I37" s="76" t="str">
        <f t="shared" si="4"/>
        <v/>
      </c>
      <c r="J37" s="41" t="s">
        <v>182</v>
      </c>
      <c r="K37" s="81" t="s">
        <v>183</v>
      </c>
    </row>
    <row r="38" spans="1:17" ht="15.6">
      <c r="A38" s="28" t="str">
        <v>Oaks Landfill - CS1</v>
      </c>
      <c r="B38" s="29" t="str">
        <v>MD</v>
      </c>
      <c r="C38" s="71">
        <v>352207.2</v>
      </c>
      <c r="D38" s="13">
        <v>389561.5</v>
      </c>
      <c r="E38" s="13">
        <f>IF(AND(ISNUMBER(C38),ISNUMBER(D38)), C38-D38, "")</f>
        <v>-37354.299999999988</v>
      </c>
      <c r="F38" s="72">
        <f>IFERROR(E38/D38, "")</f>
        <v>-9.5888069021194317E-2</v>
      </c>
      <c r="G38" s="73">
        <v>0</v>
      </c>
      <c r="H38" s="73">
        <f>IF(AND(ISNUMBER(C38),ISNUMBER(G38)), C38-G38, "")</f>
        <v>352207.2</v>
      </c>
      <c r="I38" s="87" t="str">
        <f t="shared" si="4"/>
        <v/>
      </c>
      <c r="J38" s="74"/>
      <c r="K38" s="93"/>
    </row>
    <row r="39" spans="1:17" ht="14.45">
      <c r="A39" s="21"/>
      <c r="B39" s="33"/>
      <c r="C39" s="21"/>
      <c r="D39" s="21"/>
      <c r="E39" s="21"/>
      <c r="F39" s="22"/>
      <c r="G39" s="21"/>
      <c r="H39" s="21"/>
      <c r="I39" s="76" t="str">
        <f t="shared" si="4"/>
        <v/>
      </c>
      <c r="J39" s="21"/>
      <c r="K39" s="21"/>
    </row>
    <row r="40" spans="1:17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7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7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7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7" ht="14.45">
      <c r="A44" s="21"/>
      <c r="B44" s="33"/>
      <c r="C44" s="21"/>
      <c r="D44" s="21"/>
      <c r="E44" s="21"/>
      <c r="F44" s="22"/>
      <c r="G44" s="21"/>
      <c r="H44" s="21"/>
      <c r="I44" s="22"/>
      <c r="K44" s="21"/>
    </row>
    <row r="45" spans="1:17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7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7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7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1" priority="3" stopIfTrue="1" operator="lessThanOrEqual">
      <formula>-0.1</formula>
    </cfRule>
    <cfRule type="expression" dxfId="40" priority="4">
      <formula>AND(ISNUMBER(F2), F2&gt;=0.1)</formula>
    </cfRule>
  </conditionalFormatting>
  <hyperlinks>
    <hyperlink ref="K5" r:id="rId1" display="https://us3.assetplanner.com/service_request?ID=070225" xr:uid="{F76C7544-B553-4E62-BA41-42BA906C8014}"/>
    <hyperlink ref="K7" r:id="rId2" display="https://us3.assetplanner.com/service_request?ID=095312" xr:uid="{74EE5626-A13C-44E7-8EAB-0196E431E600}"/>
    <hyperlink ref="K9" r:id="rId3" display="https://us3.assetplanner.com/service_request?ID=095220" xr:uid="{A95795F8-2870-4CEE-84D1-81ADED8BB6BC}"/>
    <hyperlink ref="L9" r:id="rId4" display="https://us3.assetplanner.com/service_request?ID=089170" xr:uid="{26874078-DBB9-4B42-82D3-53EFF020C035}"/>
    <hyperlink ref="K10" r:id="rId5" display="https://us3.assetplanner.com/service_request?ID=089564" xr:uid="{790BE236-09FB-4487-B580-61A7724921D7}"/>
    <hyperlink ref="L10" r:id="rId6" display="https://us3.assetplanner.com/service_request?ID=093404" xr:uid="{E6DB9336-BC31-49C3-973C-611D2DE73EE4}"/>
    <hyperlink ref="K12" r:id="rId7" display="https://us3.assetplanner.com/service_request?ID=098239" xr:uid="{8EE1C8D2-4C96-4ADA-A82D-3821B10F8395}"/>
    <hyperlink ref="L12" r:id="rId8" display="https://us3.assetplanner.com/service_request?ID=098314" xr:uid="{B546B6B3-0CD8-47B6-BAC4-9F7BFD9FDFB8}"/>
    <hyperlink ref="M12" r:id="rId9" display="https://us3.assetplanner.com/service_request?ID=098404" xr:uid="{0244006F-E0CB-43AD-98F9-7C348DBAC0FC}"/>
    <hyperlink ref="N12" r:id="rId10" display="https://us3.assetplanner.com/service_request?ID=099133" xr:uid="{9EC5FE45-655B-49E3-99F1-2D3DC1D878C0}"/>
    <hyperlink ref="K13" r:id="rId11" display="https://us3.assetplanner.com/service_request?ID=098378" xr:uid="{25ADC872-9392-4C0D-906B-242B6096BF2B}"/>
    <hyperlink ref="K14" r:id="rId12" display="https://us3.assetplanner.com/service_request?ID=093500" xr:uid="{440E62FB-E077-429C-A18A-08F097F7DFE4}"/>
    <hyperlink ref="K16" r:id="rId13" display="https://us3.assetplanner.com/service_request?ID=098367" xr:uid="{5C3120A9-3BAD-4C1F-A6DC-98E7D52628B7}"/>
    <hyperlink ref="L16" r:id="rId14" display="https://us3.assetplanner.com/service_request?ID=098369" xr:uid="{14D730BB-3427-4F81-859F-2EF9B0B20C18}"/>
    <hyperlink ref="M16" r:id="rId15" display="https://us3.assetplanner.com/service_request?ID=099134" xr:uid="{790603F5-1147-4541-88B2-BC38706104E5}"/>
    <hyperlink ref="K18" r:id="rId16" display="https://us3.assetplanner.com/service_request?ID=096031" xr:uid="{DFB5AF8C-A7CD-4B78-BEAB-1389958A7D35}"/>
    <hyperlink ref="L18" r:id="rId17" display="https://us3.assetplanner.com/service_request?ID=093403" xr:uid="{96A788FE-F859-43F3-8BA5-AE712504CFF9}"/>
    <hyperlink ref="M18" r:id="rId18" display="https://us3.assetplanner.com/service_request?ID=097902" xr:uid="{3C14B2C7-5FFA-4FF1-9FFC-DF78383E1931}"/>
    <hyperlink ref="N18" r:id="rId19" display="https://us3.assetplanner.com/service_request?ID=098208" xr:uid="{A655F552-A7FA-4796-A639-5EBB388CC270}"/>
    <hyperlink ref="O18" r:id="rId20" display="https://us3.assetplanner.com/service_request?ID=099015" xr:uid="{EE6EE315-89C6-4AD4-A01C-B54E792B712F}"/>
    <hyperlink ref="K19" r:id="rId21" display="https://us3.assetplanner.com/service_request?ID=098246" xr:uid="{589EC932-30EC-4800-BA92-DDD64329AB7B}"/>
    <hyperlink ref="K20" r:id="rId22" display="https://us3.assetplanner.com/service_request?ID=098268" xr:uid="{BF4D25E7-C270-43A8-B6EF-69439F685B1B}"/>
    <hyperlink ref="K21" r:id="rId23" display="https://us3.assetplanner.com/service_request?ID=098865" xr:uid="{4221599E-0E30-4CDF-9A23-3FF00697BC49}"/>
    <hyperlink ref="K23" r:id="rId24" display="https://us3.assetplanner.com/service_request?ID=094678" xr:uid="{1F603F33-3F12-44F9-B8AD-E05C7ECB4858}"/>
    <hyperlink ref="K27" r:id="rId25" display="https://us3.assetplanner.com/service_request?ID=095573" xr:uid="{C3A055C8-FA93-4DF5-B70B-33F24ECED8EA}"/>
    <hyperlink ref="K28" r:id="rId26" display="https://us3.assetplanner.com/service_request?ID=097601" xr:uid="{1CFDFF72-3F16-4B5A-86AE-4EDA4AE6BC38}"/>
    <hyperlink ref="K29" r:id="rId27" display="https://us3.assetplanner.com/service_request?ID=098621" xr:uid="{5BD28B54-7244-44F7-A1DF-893657270B86}"/>
    <hyperlink ref="K31" r:id="rId28" display="https://us3.assetplanner.com/service_request?ID=098681" xr:uid="{ADA2B7A2-8BD3-48F0-B877-225B0BB1333C}"/>
    <hyperlink ref="K32" r:id="rId29" display="https://us3.assetplanner.com/service_request?ID=098348" xr:uid="{62A1E005-52E8-4FE3-B283-F0A1D3E8CC06}"/>
    <hyperlink ref="L32" r:id="rId30" display="https://us3.assetplanner.com/service_request?ID=098978" xr:uid="{2E8F0FEB-F153-49B4-A46E-8A9D18A504EA}"/>
    <hyperlink ref="K33" r:id="rId31" display="https://us3.assetplanner.com/service_request?ID=099112" xr:uid="{EBFC87FA-66A1-4AB9-B89A-2CDFE7FDBD43}"/>
    <hyperlink ref="K34" r:id="rId32" display="https://us3.assetplanner.com/service_request?ID=093773" xr:uid="{B843DAAB-E49D-4AAC-80D4-E1D1F6D0CA63}"/>
    <hyperlink ref="L34" r:id="rId33" display="https://us3.assetplanner.com/service_request?ID=094890" xr:uid="{788464AB-5621-4D49-953C-A3A7415951D5}"/>
    <hyperlink ref="M34" r:id="rId34" display="https://us3.assetplanner.com/service_request?ID=095761" xr:uid="{9D6E5548-D9D6-496A-8B80-5BE38399FB40}"/>
    <hyperlink ref="N34" r:id="rId35" display="https://us3.assetplanner.com/service_request?ID=096555" xr:uid="{FCFADFC6-3AFB-4767-A654-07BD38260D8D}"/>
    <hyperlink ref="O34" r:id="rId36" display="https://us3.assetplanner.com/service_request?ID=096557" xr:uid="{1C46D549-F12F-4AD3-87C7-8F65AAA1C433}"/>
    <hyperlink ref="P34" r:id="rId37" display="https://us3.assetplanner.com/service_request?ID=096558" xr:uid="{82C256E0-BB71-4774-ACBA-D13953E5ABF1}"/>
    <hyperlink ref="Q34" r:id="rId38" display="https://us3.assetplanner.com/service_request?ID=097964" xr:uid="{AA2EF6D6-0D19-46BE-B78F-4A9D589ACC61}"/>
    <hyperlink ref="K37" r:id="rId39" display="https://us3.assetplanner.com/service_request?ID=096221" xr:uid="{74510EEF-5BE7-42F4-A095-AB68549404F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33" activePane="bottomRight" state="frozen"/>
      <selection pane="bottomRight" activeCell="A34" sqref="A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184</v>
      </c>
      <c r="E1" s="98"/>
      <c r="F1" s="98"/>
      <c r="G1" s="96" t="s">
        <v>185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33.75" customHeight="1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6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56"/>
      <c r="K13" s="55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5.6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31.5" customHeight="1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1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0 I4:I10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zoomScale="70" zoomScaleNormal="70" workbookViewId="0">
      <pane xSplit="2" ySplit="3" topLeftCell="C17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186</v>
      </c>
      <c r="E1" s="98"/>
      <c r="F1" s="98"/>
      <c r="G1" s="96" t="s">
        <v>187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33.75" customHeight="1">
      <c r="A18" s="61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56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1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56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0 I4:I10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70" zoomScaleNormal="70" workbookViewId="0">
      <pane xSplit="2" ySplit="3" topLeftCell="C14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188</v>
      </c>
      <c r="E1" s="98"/>
      <c r="F1" s="98"/>
      <c r="G1" s="96" t="s">
        <v>189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1"/>
    </row>
    <row r="8" spans="1:11" ht="33" customHeight="1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54" customHeight="1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6"/>
      <c r="K9" s="56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1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1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56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1"/>
    </row>
    <row r="18" spans="1:11" ht="33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56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1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1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1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34.5" customHeight="1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56"/>
      <c r="K27" s="56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1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1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0 I4:I10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60" zoomScaleNormal="60" workbookViewId="0">
      <pane xSplit="2" ySplit="3" topLeftCell="C4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7" width="13.28515625" customWidth="1"/>
    <col min="8" max="8" width="20.710937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tr">
        <f>IF(AND(ISNUMBER(C27),ISNUMBER(G27)), C27-G27, "")</f>
        <v/>
      </c>
      <c r="E1" s="98"/>
      <c r="F1" s="98"/>
      <c r="G1" s="96" t="s">
        <v>190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>IF(AND(ISNUMBER(C26),ISNUMBER(G26)), C26-G26, "")</f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>IF(AND(ISNUMBER(C27),ISNUMBER(G27)), C27-G27, "")</f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ref="H28:H30" si="4">IF(AND(ISNUMBER(C28),ISNUMBER(G28)), C28-G28, "")</f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4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4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55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55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0 I4:I10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70" zoomScaleNormal="70" workbookViewId="0">
      <pane xSplit="2" ySplit="3" topLeftCell="C9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191</v>
      </c>
      <c r="E1" s="98"/>
      <c r="F1" s="98"/>
      <c r="G1" s="96" t="s">
        <v>192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>IF(AND(ISNUMBER(C10),ISNUMBER(D10)), C10-D10, "")</f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56"/>
      <c r="K11" s="55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/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56"/>
      <c r="K33" s="55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70" zoomScaleNormal="70" workbookViewId="0">
      <pane xSplit="2" ySplit="3" topLeftCell="C21" activePane="bottomRight" state="frozen"/>
      <selection pane="bottomRight" activeCell="D38" sqref="D38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193</v>
      </c>
      <c r="E1" s="98"/>
      <c r="F1" s="98"/>
      <c r="G1" s="96" t="s">
        <v>194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6"/>
      <c r="K7" s="58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9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78" customHeight="1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8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56"/>
      <c r="K25" s="55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/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57"/>
      <c r="K33" s="56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4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60" zoomScaleNormal="60" workbookViewId="0">
      <pane xSplit="2" ySplit="3" topLeftCell="C17" activePane="bottomRight" state="frozen"/>
      <selection pane="bottomRight" activeCell="H37" sqref="H37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9.5703125" customWidth="1"/>
    <col min="11" max="11" width="22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195</v>
      </c>
      <c r="E1" s="98"/>
      <c r="F1" s="98"/>
      <c r="G1" s="96" t="s">
        <v>196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60"/>
      <c r="K4" s="6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57"/>
      <c r="K5" s="57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60"/>
      <c r="K6" s="6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7"/>
      <c r="K7" s="58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64"/>
      <c r="K8" s="64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5"/>
      <c r="K9" s="65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4"/>
      <c r="K10" s="64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57"/>
      <c r="K11" s="58"/>
    </row>
    <row r="12" spans="1:11" ht="94.5" customHeight="1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60"/>
      <c r="K12" s="6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57"/>
      <c r="K13" s="58"/>
    </row>
    <row r="14" spans="1:11" ht="51.75" customHeight="1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60"/>
      <c r="K14" s="6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57"/>
      <c r="K15" s="58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60"/>
      <c r="K16" s="6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57"/>
      <c r="K17" s="58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60"/>
      <c r="K18" s="6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57"/>
      <c r="K19" s="58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60"/>
      <c r="K20" s="6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57"/>
      <c r="K21" s="58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60"/>
      <c r="K22" s="6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57"/>
      <c r="K23" s="58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60"/>
      <c r="K24" s="6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57"/>
      <c r="K25" s="58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60"/>
      <c r="K26" s="6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57"/>
      <c r="K27" s="66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60"/>
      <c r="K28" s="6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57"/>
      <c r="K29" s="66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60"/>
      <c r="K30" s="6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57"/>
      <c r="K31" s="58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60"/>
      <c r="K32" s="60"/>
    </row>
    <row r="33" spans="1:11" ht="159" customHeight="1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57"/>
      <c r="K33" s="59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60"/>
      <c r="K34" s="6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60" zoomScaleNormal="60" workbookViewId="0">
      <pane xSplit="2" ySplit="3" topLeftCell="C12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197</v>
      </c>
      <c r="E1" s="98"/>
      <c r="F1" s="98"/>
      <c r="G1" s="96" t="s">
        <v>198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39.75" customHeight="1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6"/>
      <c r="K9" s="68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63.75" customHeight="1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85.5" customHeight="1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9.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56"/>
      <c r="K25" s="70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66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6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6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63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3"/>
  <sheetViews>
    <sheetView workbookViewId="0">
      <pane xSplit="2" ySplit="3" topLeftCell="C4" activePane="bottomRight" state="frozen"/>
      <selection pane="bottomRight" activeCell="F40" sqref="F40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199</v>
      </c>
      <c r="E1" s="98"/>
      <c r="F1" s="98"/>
      <c r="G1" s="96" t="s">
        <v>200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SUM(C4:C101)</f>
        <v>0</v>
      </c>
      <c r="D2" s="5">
        <f>SUM(D4:D101)</f>
        <v>0</v>
      </c>
      <c r="E2" s="5">
        <f>C2-D2</f>
        <v>0</v>
      </c>
      <c r="F2" s="6">
        <f>IFERROR(E2/D2, 0)</f>
        <v>0</v>
      </c>
      <c r="G2" s="5">
        <f>SUM(G4:G101)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>10 Walpole Park South</v>
      </c>
      <c r="B4" s="29" t="str" cm="1">
        <f t="array" ref="B4:B38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4" si="0">IF(AND(ISNUMBER(C5),ISNUMBER(D5)), C5-D5, "")</f>
        <v/>
      </c>
      <c r="F5" s="19" t="str">
        <f>IFERROR(E5/D5, "")</f>
        <v/>
      </c>
      <c r="G5" s="20"/>
      <c r="H5" s="20" t="str">
        <f t="shared" ref="H5:H34" si="1">IF(AND(ISNUMBER(C5),ISNUMBER(G5)), C5-G5, "")</f>
        <v/>
      </c>
      <c r="I5" s="19" t="str">
        <f t="shared" ref="I5:I34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4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1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>IFERROR(H16/G16, "")</f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>IFERROR(H17/G17, "")</f>
        <v/>
      </c>
      <c r="J17" s="41"/>
      <c r="K17" s="42"/>
    </row>
    <row r="18" spans="1:11" ht="15.6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>IFERROR(H18/G18, "")</f>
        <v/>
      </c>
      <c r="J18" s="40"/>
      <c r="K18" s="78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ref="I19:I32" si="4">IFERROR(H19/G19, "")</f>
        <v/>
      </c>
      <c r="J19" s="41"/>
      <c r="K19" s="42"/>
    </row>
    <row r="20" spans="1:11" ht="96.75" customHeight="1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4"/>
        <v/>
      </c>
      <c r="J20" s="40"/>
      <c r="K20" s="6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4"/>
        <v/>
      </c>
      <c r="J21" s="41"/>
      <c r="K21" s="58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4"/>
        <v/>
      </c>
      <c r="J22" s="40"/>
      <c r="K22" s="6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4"/>
        <v/>
      </c>
      <c r="J23" s="41"/>
      <c r="K23" s="59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4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4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4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4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4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>IF(AND(ISNUMBER(C29),ISNUMBER(D29)), C29-D29, "")</f>
        <v/>
      </c>
      <c r="F29" s="19" t="str">
        <f>IFERROR(E29/D29, "")</f>
        <v/>
      </c>
      <c r="G29" s="20"/>
      <c r="H29" s="20" t="str">
        <f>IF(AND(ISNUMBER(C29),ISNUMBER(G29)), C29-G29, "")</f>
        <v/>
      </c>
      <c r="I29" s="19" t="str">
        <f t="shared" si="4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71"/>
      <c r="D30" s="13"/>
      <c r="E30" s="13" t="str">
        <f>IF(AND(ISNUMBER(C30),ISNUMBER(D30)), C30-D30, "")</f>
        <v/>
      </c>
      <c r="F30" s="72" t="str">
        <f>IFERROR(E30/D30, "")</f>
        <v/>
      </c>
      <c r="G30" s="73"/>
      <c r="H30" s="73" t="str">
        <f>IF(AND(ISNUMBER(C30),ISNUMBER(G30)), C30-G30, "")</f>
        <v/>
      </c>
      <c r="I30" s="16" t="str">
        <f t="shared" si="4"/>
        <v/>
      </c>
      <c r="J30" s="74"/>
      <c r="K30" s="74"/>
    </row>
    <row r="31" spans="1:11" ht="15.6">
      <c r="A31" s="30" t="str">
        <v>Hudson County Correction</v>
      </c>
      <c r="B31" s="31" t="str">
        <v>NJ</v>
      </c>
      <c r="C31" s="75"/>
      <c r="D31" s="18"/>
      <c r="E31" s="18" t="str">
        <f>IF(AND(ISNUMBER(C31),ISNUMBER(D31)), C31-D31, "")</f>
        <v/>
      </c>
      <c r="F31" s="76" t="str">
        <f>IFERROR(E31/D31, "")</f>
        <v/>
      </c>
      <c r="G31" s="67"/>
      <c r="H31" s="67" t="str">
        <f>IF(AND(ISNUMBER(C31),ISNUMBER(G31)), C31-G31, "")</f>
        <v/>
      </c>
      <c r="I31" s="19" t="str">
        <f t="shared" si="4"/>
        <v/>
      </c>
      <c r="J31" s="41"/>
      <c r="K31" s="77"/>
    </row>
    <row r="32" spans="1:11" ht="15.6">
      <c r="A32" s="28" t="str">
        <v>ER Bison Solar</v>
      </c>
      <c r="B32" s="29" t="str">
        <v>PA</v>
      </c>
      <c r="C32" s="71"/>
      <c r="D32" s="13"/>
      <c r="E32" s="13" t="str">
        <f>IF(AND(ISNUMBER(C32),ISNUMBER(D32)), C32-D32, "")</f>
        <v/>
      </c>
      <c r="F32" s="72" t="str">
        <f>IFERROR(E32/D32, "")</f>
        <v/>
      </c>
      <c r="G32" s="73"/>
      <c r="H32" s="73" t="str">
        <f>IF(AND(ISNUMBER(C32),ISNUMBER(G32)), C32-G32, "")</f>
        <v/>
      </c>
      <c r="I32" s="16" t="str">
        <f t="shared" si="4"/>
        <v/>
      </c>
      <c r="J32" s="74"/>
      <c r="K32" s="74"/>
    </row>
    <row r="33" spans="1:11" ht="15.6">
      <c r="A33" s="30" t="str">
        <v>Danville</v>
      </c>
      <c r="B33" s="31" t="str">
        <v>IL</v>
      </c>
      <c r="C33" s="75"/>
      <c r="D33" s="18"/>
      <c r="E33" s="18" t="str">
        <f>IF(AND(ISNUMBER(C33),ISNUMBER(D33)), C33-D33, "")</f>
        <v/>
      </c>
      <c r="F33" s="76" t="str">
        <f>IFERROR(E33/D33, "")</f>
        <v/>
      </c>
      <c r="G33" s="67"/>
      <c r="H33" s="67" t="str">
        <f>IF(AND(ISNUMBER(C33),ISNUMBER(G33)), C33-G33, "")</f>
        <v/>
      </c>
      <c r="I33" s="76" t="str">
        <f>IFERROR(H33/G33, "")</f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71"/>
      <c r="D34" s="13"/>
      <c r="E34" s="13" t="str">
        <f t="shared" si="0"/>
        <v/>
      </c>
      <c r="F34" s="72" t="str">
        <f t="shared" si="3"/>
        <v/>
      </c>
      <c r="G34" s="73"/>
      <c r="H34" s="73" t="str">
        <f t="shared" si="1"/>
        <v/>
      </c>
      <c r="I34" s="16" t="str">
        <f t="shared" si="2"/>
        <v/>
      </c>
      <c r="J34" s="74"/>
      <c r="K34" s="74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 t="str">
        <v>Oaks Landfill - ANEM</v>
      </c>
      <c r="B36" s="33" t="str">
        <v>MD</v>
      </c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 t="str">
        <v>Oaks Landfill - CS2</v>
      </c>
      <c r="B37" s="33" t="str">
        <v>MD</v>
      </c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 t="str">
        <v>Oaks Landfill - CS1</v>
      </c>
      <c r="B38" s="33" t="str">
        <v>MD</v>
      </c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3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C343" s="21"/>
      <c r="D343" s="21"/>
      <c r="E343" s="21"/>
      <c r="F343" s="22"/>
      <c r="G343" s="21"/>
      <c r="H343" s="21"/>
      <c r="I343" s="22"/>
      <c r="J343" s="21"/>
      <c r="K343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1 I4:I101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8"/>
  <sheetViews>
    <sheetView workbookViewId="0">
      <pane ySplit="3" topLeftCell="A15" activePane="bottomLeft" state="frozen"/>
      <selection pane="bottomLeft" activeCell="A34" sqref="A3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201</v>
      </c>
      <c r="B1" t="s">
        <v>202</v>
      </c>
    </row>
    <row r="3" spans="1:12" ht="13.15">
      <c r="A3" t="s">
        <v>203</v>
      </c>
      <c r="B3" t="s">
        <v>3</v>
      </c>
      <c r="C3" t="s">
        <v>4</v>
      </c>
      <c r="D3" t="s">
        <v>204</v>
      </c>
      <c r="E3" s="2" t="s">
        <v>205</v>
      </c>
    </row>
    <row r="4" spans="1:12" ht="14.45">
      <c r="A4" s="3" t="s">
        <v>206</v>
      </c>
      <c r="B4" t="s">
        <v>207</v>
      </c>
      <c r="C4" s="50" t="s">
        <v>208</v>
      </c>
      <c r="D4" t="s">
        <v>209</v>
      </c>
      <c r="E4" s="50" t="s">
        <v>210</v>
      </c>
      <c r="G4" s="3"/>
    </row>
    <row r="5" spans="1:12" ht="14.45">
      <c r="A5" s="3" t="s">
        <v>211</v>
      </c>
      <c r="B5" t="s">
        <v>212</v>
      </c>
      <c r="C5" s="50" t="s">
        <v>208</v>
      </c>
      <c r="D5" t="s">
        <v>209</v>
      </c>
      <c r="E5" s="50" t="s">
        <v>210</v>
      </c>
      <c r="G5" s="3"/>
    </row>
    <row r="6" spans="1:12" ht="14.45">
      <c r="A6" s="3" t="s">
        <v>213</v>
      </c>
      <c r="B6" t="s">
        <v>214</v>
      </c>
      <c r="C6" s="50" t="s">
        <v>208</v>
      </c>
      <c r="D6" t="s">
        <v>209</v>
      </c>
      <c r="E6" s="50" t="s">
        <v>210</v>
      </c>
      <c r="G6" s="3"/>
    </row>
    <row r="7" spans="1:12" ht="12.75" customHeight="1">
      <c r="A7" s="3" t="s">
        <v>215</v>
      </c>
      <c r="B7" t="s">
        <v>216</v>
      </c>
      <c r="C7" s="50" t="s">
        <v>208</v>
      </c>
      <c r="D7" t="s">
        <v>209</v>
      </c>
      <c r="E7" s="50" t="s">
        <v>210</v>
      </c>
    </row>
    <row r="8" spans="1:12" ht="12.75" customHeight="1">
      <c r="A8" s="3" t="s">
        <v>217</v>
      </c>
      <c r="B8" t="s">
        <v>218</v>
      </c>
      <c r="C8" s="50" t="s">
        <v>208</v>
      </c>
      <c r="D8" t="s">
        <v>209</v>
      </c>
      <c r="E8" s="50" t="s">
        <v>210</v>
      </c>
    </row>
    <row r="9" spans="1:12" ht="12.75" customHeight="1">
      <c r="A9" s="3" t="s">
        <v>219</v>
      </c>
      <c r="B9" t="s">
        <v>220</v>
      </c>
      <c r="C9" s="50" t="s">
        <v>208</v>
      </c>
      <c r="D9" t="s">
        <v>209</v>
      </c>
      <c r="E9" s="50" t="s">
        <v>210</v>
      </c>
    </row>
    <row r="10" spans="1:12" ht="12.75" customHeight="1">
      <c r="A10" s="3" t="s">
        <v>221</v>
      </c>
      <c r="B10" t="s">
        <v>222</v>
      </c>
      <c r="C10" s="50" t="s">
        <v>208</v>
      </c>
      <c r="D10" t="s">
        <v>209</v>
      </c>
      <c r="E10" s="50" t="s">
        <v>210</v>
      </c>
      <c r="K10" s="43"/>
      <c r="L10" s="43"/>
    </row>
    <row r="11" spans="1:12" ht="12.75" customHeight="1">
      <c r="A11" s="3" t="s">
        <v>223</v>
      </c>
      <c r="B11" t="s">
        <v>224</v>
      </c>
      <c r="C11" s="50" t="s">
        <v>208</v>
      </c>
      <c r="D11" t="s">
        <v>209</v>
      </c>
      <c r="E11" s="50" t="s">
        <v>210</v>
      </c>
      <c r="K11" s="43"/>
      <c r="L11" s="43"/>
    </row>
    <row r="12" spans="1:12" ht="12.75" customHeight="1">
      <c r="A12" s="3" t="s">
        <v>225</v>
      </c>
      <c r="B12" t="s">
        <v>226</v>
      </c>
      <c r="C12" s="50" t="s">
        <v>208</v>
      </c>
      <c r="D12" t="s">
        <v>209</v>
      </c>
      <c r="E12" s="50" t="s">
        <v>210</v>
      </c>
      <c r="K12" s="43"/>
      <c r="L12" s="43"/>
    </row>
    <row r="13" spans="1:12" ht="12.75" customHeight="1">
      <c r="A13" s="3" t="s">
        <v>227</v>
      </c>
      <c r="B13" t="s">
        <v>228</v>
      </c>
      <c r="C13" s="50" t="s">
        <v>208</v>
      </c>
      <c r="D13" t="s">
        <v>209</v>
      </c>
      <c r="E13" s="50" t="s">
        <v>210</v>
      </c>
      <c r="K13" s="43"/>
      <c r="L13" s="43"/>
    </row>
    <row r="14" spans="1:12" ht="12.75" customHeight="1">
      <c r="A14" s="3" t="s">
        <v>229</v>
      </c>
      <c r="B14" t="s">
        <v>230</v>
      </c>
      <c r="C14" s="50" t="s">
        <v>208</v>
      </c>
      <c r="D14" t="s">
        <v>209</v>
      </c>
      <c r="E14" s="50" t="s">
        <v>210</v>
      </c>
      <c r="K14" s="43"/>
      <c r="L14" s="43"/>
    </row>
    <row r="15" spans="1:12" ht="12.75" customHeight="1">
      <c r="A15" s="50" t="s">
        <v>231</v>
      </c>
      <c r="B15" t="s">
        <v>232</v>
      </c>
      <c r="C15" t="s">
        <v>208</v>
      </c>
      <c r="E15" t="s">
        <v>233</v>
      </c>
      <c r="K15" s="43"/>
      <c r="L15" s="43"/>
    </row>
    <row r="16" spans="1:12" ht="12.75" customHeight="1">
      <c r="A16" s="3" t="s">
        <v>234</v>
      </c>
      <c r="B16" t="s">
        <v>235</v>
      </c>
      <c r="C16" s="50" t="s">
        <v>208</v>
      </c>
      <c r="D16" t="s">
        <v>209</v>
      </c>
      <c r="E16" s="50" t="s">
        <v>210</v>
      </c>
      <c r="K16" s="43"/>
      <c r="L16" s="43"/>
    </row>
    <row r="17" spans="1:12" ht="12.75" customHeight="1">
      <c r="A17" s="50" t="s">
        <v>236</v>
      </c>
      <c r="B17" t="s">
        <v>237</v>
      </c>
      <c r="C17" t="s">
        <v>208</v>
      </c>
      <c r="E17" t="s">
        <v>233</v>
      </c>
      <c r="K17" s="43"/>
      <c r="L17" s="43"/>
    </row>
    <row r="18" spans="1:12" ht="12.75" customHeight="1">
      <c r="A18" s="3" t="s">
        <v>238</v>
      </c>
      <c r="B18" t="s">
        <v>239</v>
      </c>
      <c r="C18" s="50" t="s">
        <v>208</v>
      </c>
      <c r="D18" t="s">
        <v>209</v>
      </c>
      <c r="E18" s="50" t="s">
        <v>210</v>
      </c>
      <c r="K18" s="43"/>
      <c r="L18" s="43"/>
    </row>
    <row r="19" spans="1:12" ht="12.75" customHeight="1">
      <c r="A19" s="3" t="s">
        <v>240</v>
      </c>
      <c r="B19" t="s">
        <v>241</v>
      </c>
      <c r="C19" s="50" t="s">
        <v>208</v>
      </c>
      <c r="D19" t="s">
        <v>209</v>
      </c>
      <c r="E19" s="50" t="s">
        <v>210</v>
      </c>
      <c r="K19" s="43"/>
      <c r="L19" s="43"/>
    </row>
    <row r="20" spans="1:12" ht="12.75" customHeight="1">
      <c r="A20" s="3" t="s">
        <v>242</v>
      </c>
      <c r="B20" t="s">
        <v>243</v>
      </c>
      <c r="C20" s="50" t="s">
        <v>208</v>
      </c>
      <c r="D20" t="s">
        <v>244</v>
      </c>
      <c r="E20" s="50" t="s">
        <v>210</v>
      </c>
      <c r="K20" s="43"/>
      <c r="L20" s="43"/>
    </row>
    <row r="21" spans="1:12" ht="12.75" customHeight="1">
      <c r="A21" s="3" t="s">
        <v>245</v>
      </c>
      <c r="B21" t="s">
        <v>246</v>
      </c>
      <c r="C21" s="50" t="s">
        <v>208</v>
      </c>
      <c r="D21" t="s">
        <v>209</v>
      </c>
      <c r="E21" s="50" t="s">
        <v>210</v>
      </c>
      <c r="K21" s="43"/>
      <c r="L21" s="43"/>
    </row>
    <row r="22" spans="1:12" ht="12.75" customHeight="1">
      <c r="A22" s="50" t="s">
        <v>247</v>
      </c>
      <c r="B22" t="s">
        <v>248</v>
      </c>
      <c r="C22" t="s">
        <v>208</v>
      </c>
      <c r="E22" t="s">
        <v>233</v>
      </c>
      <c r="K22" s="43"/>
      <c r="L22" s="43"/>
    </row>
    <row r="23" spans="1:12" ht="12.75" customHeight="1">
      <c r="A23" s="3" t="s">
        <v>249</v>
      </c>
      <c r="B23" t="s">
        <v>250</v>
      </c>
      <c r="C23" s="50" t="s">
        <v>208</v>
      </c>
      <c r="D23" t="s">
        <v>209</v>
      </c>
      <c r="E23" s="50" t="s">
        <v>210</v>
      </c>
      <c r="K23" s="43"/>
      <c r="L23" s="43"/>
    </row>
    <row r="24" spans="1:12" ht="12.75" customHeight="1">
      <c r="A24" s="3" t="s">
        <v>251</v>
      </c>
      <c r="B24" t="s">
        <v>252</v>
      </c>
      <c r="C24" s="50" t="s">
        <v>208</v>
      </c>
      <c r="D24" t="s">
        <v>209</v>
      </c>
      <c r="E24" s="50" t="s">
        <v>210</v>
      </c>
      <c r="K24" s="43"/>
      <c r="L24" s="43"/>
    </row>
    <row r="25" spans="1:12" ht="12.75" customHeight="1">
      <c r="A25" s="3" t="s">
        <v>253</v>
      </c>
      <c r="B25" t="s">
        <v>254</v>
      </c>
      <c r="C25" s="50" t="s">
        <v>255</v>
      </c>
      <c r="D25" t="s">
        <v>209</v>
      </c>
      <c r="E25" s="50" t="s">
        <v>210</v>
      </c>
      <c r="K25" s="43"/>
      <c r="L25" s="43"/>
    </row>
    <row r="26" spans="1:12" ht="12.75" customHeight="1">
      <c r="A26" s="3" t="s">
        <v>256</v>
      </c>
      <c r="B26" t="s">
        <v>257</v>
      </c>
      <c r="C26" s="50" t="s">
        <v>255</v>
      </c>
      <c r="D26" t="s">
        <v>209</v>
      </c>
      <c r="E26" s="50" t="s">
        <v>210</v>
      </c>
      <c r="K26" s="43"/>
      <c r="L26" s="43"/>
    </row>
    <row r="27" spans="1:12" ht="12.75" customHeight="1">
      <c r="A27" s="50" t="s">
        <v>258</v>
      </c>
      <c r="B27" t="s">
        <v>258</v>
      </c>
      <c r="C27" t="s">
        <v>259</v>
      </c>
      <c r="E27" t="s">
        <v>233</v>
      </c>
      <c r="K27" s="43"/>
      <c r="L27" s="43"/>
    </row>
    <row r="28" spans="1:12" ht="12.75" customHeight="1">
      <c r="A28" s="50" t="s">
        <v>260</v>
      </c>
      <c r="B28" t="s">
        <v>260</v>
      </c>
      <c r="C28" t="s">
        <v>259</v>
      </c>
      <c r="E28" t="s">
        <v>233</v>
      </c>
      <c r="K28" s="43"/>
      <c r="L28" s="43"/>
    </row>
    <row r="29" spans="1:12" ht="12.75" customHeight="1">
      <c r="A29" s="50" t="s">
        <v>261</v>
      </c>
      <c r="B29" t="s">
        <v>261</v>
      </c>
      <c r="C29" t="s">
        <v>259</v>
      </c>
      <c r="E29" t="s">
        <v>233</v>
      </c>
      <c r="K29" s="43"/>
      <c r="L29" s="43"/>
    </row>
    <row r="30" spans="1:12" ht="12.75" customHeight="1">
      <c r="A30" s="50" t="s">
        <v>262</v>
      </c>
      <c r="B30" t="s">
        <v>262</v>
      </c>
      <c r="C30" t="s">
        <v>259</v>
      </c>
      <c r="E30" t="s">
        <v>233</v>
      </c>
      <c r="K30" s="43"/>
      <c r="L30" s="43"/>
    </row>
    <row r="31" spans="1:12" ht="12.75" customHeight="1">
      <c r="A31" s="3" t="s">
        <v>263</v>
      </c>
      <c r="B31" t="s">
        <v>264</v>
      </c>
      <c r="C31" s="50" t="s">
        <v>259</v>
      </c>
      <c r="D31" t="s">
        <v>209</v>
      </c>
      <c r="E31" s="50" t="s">
        <v>210</v>
      </c>
      <c r="K31" s="43"/>
      <c r="L31" s="43"/>
    </row>
    <row r="32" spans="1:12" ht="12.75" customHeight="1">
      <c r="A32" s="3" t="s">
        <v>265</v>
      </c>
      <c r="B32" t="s">
        <v>266</v>
      </c>
      <c r="C32" s="50" t="s">
        <v>267</v>
      </c>
      <c r="D32" t="s">
        <v>209</v>
      </c>
      <c r="E32" s="50" t="s">
        <v>210</v>
      </c>
    </row>
    <row r="33" spans="1:5" ht="12.75" customHeight="1">
      <c r="A33" s="50" t="s">
        <v>268</v>
      </c>
      <c r="B33" s="50" t="s">
        <v>268</v>
      </c>
      <c r="C33" s="50" t="s">
        <v>269</v>
      </c>
      <c r="E33" t="s">
        <v>233</v>
      </c>
    </row>
    <row r="34" spans="1:5" ht="12.75" customHeight="1">
      <c r="A34" s="79" t="s">
        <v>270</v>
      </c>
      <c r="B34" s="50" t="s">
        <v>270</v>
      </c>
      <c r="C34" s="80" t="s">
        <v>259</v>
      </c>
      <c r="E34" s="50" t="s">
        <v>271</v>
      </c>
    </row>
    <row r="35" spans="1:5" ht="12.75" customHeight="1">
      <c r="A35" s="79" t="s">
        <v>272</v>
      </c>
      <c r="B35" s="50" t="s">
        <v>273</v>
      </c>
      <c r="C35" s="50" t="s">
        <v>208</v>
      </c>
      <c r="D35" t="s">
        <v>274</v>
      </c>
      <c r="E35" s="50" t="s">
        <v>210</v>
      </c>
    </row>
    <row r="36" spans="1:5" ht="12.75" customHeight="1">
      <c r="A36" s="79" t="s">
        <v>275</v>
      </c>
      <c r="B36" s="50" t="s">
        <v>276</v>
      </c>
      <c r="C36" s="50" t="s">
        <v>255</v>
      </c>
      <c r="E36" t="s">
        <v>233</v>
      </c>
    </row>
    <row r="37" spans="1:5" ht="12.75" customHeight="1">
      <c r="A37" s="79" t="s">
        <v>277</v>
      </c>
      <c r="B37" s="50" t="s">
        <v>278</v>
      </c>
      <c r="C37" s="50" t="s">
        <v>255</v>
      </c>
      <c r="E37" t="s">
        <v>233</v>
      </c>
    </row>
    <row r="38" spans="1:5" ht="12.75" customHeight="1">
      <c r="A38" s="79" t="s">
        <v>279</v>
      </c>
      <c r="B38" s="50" t="s">
        <v>280</v>
      </c>
      <c r="C38" s="50" t="s">
        <v>255</v>
      </c>
      <c r="E38" t="s">
        <v>233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4FDEDF9D-0890-4C7C-AA5D-4093263C38ED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2025-06-25T19:48:38Z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2024-10-30T16:11:49Z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717099d2-9be0-48e7-ae9d-820f670e5df6</vt:lpwstr>
  </property>
  <property fmtid="{D5CDD505-2E9C-101B-9397-08002B2CF9AE}" pid="9" name="MSIP_Label_9d817c99-0b37-4a07-8277-96aa1f96b74b_ContentBits">
    <vt:lpwstr>0</vt:lpwstr>
  </property>
</Properties>
</file>