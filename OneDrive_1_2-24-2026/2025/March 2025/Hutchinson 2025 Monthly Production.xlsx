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jayasrigarapati_amgsol_com/Documents/Microsoft Teams Chat Files/"/>
    </mc:Choice>
  </mc:AlternateContent>
  <xr:revisionPtr revIDLastSave="27" documentId="13_ncr:1_{1464A188-D801-40F4-B523-569208EA8F71}" xr6:coauthVersionLast="47" xr6:coauthVersionMax="47" xr10:uidLastSave="{7A9EE9E8-D821-4DFE-86B3-81CDB0039E01}"/>
  <bookViews>
    <workbookView xWindow="43080" yWindow="-120" windowWidth="29040" windowHeight="1572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E4" i="21"/>
  <c r="F4" i="21" s="1"/>
  <c r="E4" i="4"/>
  <c r="F4" i="4" s="1"/>
  <c r="E4" i="20"/>
  <c r="F4" i="20" s="1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G2" i="20"/>
  <c r="D2" i="20"/>
  <c r="C2" i="20"/>
  <c r="A1" i="20" a="1"/>
  <c r="A1" i="20" s="1"/>
  <c r="H4" i="21"/>
  <c r="I4" i="21" s="1"/>
  <c r="G2" i="21"/>
  <c r="D2" i="21"/>
  <c r="C2" i="21"/>
  <c r="A1" i="21" a="1"/>
  <c r="A1" i="21" s="1"/>
  <c r="H4" i="4"/>
  <c r="I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<sst xmlns="http://schemas.openxmlformats.org/spreadsheetml/2006/main" count="245" uniqueCount="54">
  <si>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</si>
  <si>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</si>
  <si>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</si>
  <si>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</si>
  <si>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</si>
  <si>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</si>
  <si>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</si>
  <si>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</si>
  <si>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</si>
  <si>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</si>
  <si>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</si>
  <si>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</si>
  <si>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</si>
  <si>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</si>
  <si>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</si>
  <si>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</si>
  <si>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</si>
  <si>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</si>
  <si>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</si>
  <si>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</si>
  <si>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</si>
  <si>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</si>
  <si>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</si>
  <si>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</si>
  <si>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</si>
  <si>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</si>
  <si>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</si>
  <si>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</si>
  <si>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</si>
  <si>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</si>
  <si>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</si>
  <si>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</si>
  <si>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</si>
  <si>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</si>
  <si>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</si>
  <si>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</si>
  <si>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</si>
  <si>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</si>
  <si>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</si>
  <si>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</si>
  <si>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</si>
  <si>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</si>
  <si>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</si>
  <si>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</si>
  <si>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</si>
  <si>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</si>
  <si>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Hutchinson</t>
  </si>
  <si>
    <t>Site DAS Name</t>
  </si>
  <si>
    <t>Update</t>
  </si>
  <si>
    <t>DAS</t>
  </si>
  <si>
    <t>City of Hutchinson Landfill</t>
  </si>
  <si>
    <t>MN: Hutchinson Landfill</t>
  </si>
  <si>
    <t>MN</t>
  </si>
  <si>
    <t>eGauge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</si>
</sst>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2" fillId="0" borderId="0" xfId="0" applyFont="1"/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tabSelected="1" workbookViewId="0">
      <pane xSplit="2" ySplit="3" topLeftCell="C4" activePane="bottomRight" state="frozen"/>
      <selection pane="bottomRight" activeCell="E4" sqref="E4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0</v>
      </c>
      <c r="E1" s="38"/>
      <c r="F1" s="38"/>
      <c r="G1" s="36" t="s">
        <v>1</v>
      </c>
      <c r="H1" s="36"/>
      <c r="I1" s="36"/>
    </row>
    <row r="2" spans="1:9" ht="19.5" customHeight="1">
      <c r="A2" s="39" t="s">
        <v>2</v>
      </c>
      <c r="B2" s="39"/>
      <c r="C2" s="6">
        <f>SUM(C4:C87)</f>
        <v>65227</v>
      </c>
      <c r="D2" s="6">
        <f>SUM(D4:D87)</f>
        <v>0</v>
      </c>
      <c r="E2" s="6">
        <f>C2-D2</f>
        <v>65227</v>
      </c>
      <c r="F2" s="7">
        <f>IFERROR(E2/D2, 0)</f>
        <v>0</v>
      </c>
      <c r="G2" s="6">
        <f>SUM(G4:G87)</f>
        <v>0</v>
      </c>
      <c r="H2" s="8">
        <f>C2-G2</f>
        <v>65227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SUM('1st Qtr'!C4, '2nd Qtr'!C4, '3rd Qtr'!C4, '4th Qtr'!C4)</f>
        <v>65227</v>
      </c>
      <c r="D4" s="12">
        <f>SUM('1st Qtr'!D4, '2nd Qtr'!D4, '3rd Qtr'!D4, '4th Qtr'!D4)</f>
        <v>0</v>
      </c>
      <c r="E4" s="12">
        <f>IF(AND(ISNUMBER(C4),ISNUMBER(D4)), C4-D4, "")</f>
        <v>65227</v>
      </c>
      <c r="F4" s="13" t="str">
        <f>IFERROR(E4/D4, "")</f>
        <v/>
      </c>
      <c r="G4" s="14">
        <f>SUM('1st Qtr'!G4,'2nd Qtr'!G4,'3rd Qtr'!G4,'4th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10</v>
      </c>
      <c r="E1" s="38"/>
      <c r="F1" s="38"/>
      <c r="G1" s="36" t="s">
        <v>11</v>
      </c>
      <c r="H1" s="36"/>
      <c r="I1" s="36"/>
    </row>
    <row r="2" spans="1:9" ht="19.5" customHeight="1">
      <c r="A2" s="39" t="s">
        <v>2</v>
      </c>
      <c r="B2" s="39"/>
      <c r="C2" s="6">
        <f>SUM(C4:C87)</f>
        <v>65227</v>
      </c>
      <c r="D2" s="6">
        <f>SUM(D4:D87)</f>
        <v>0</v>
      </c>
      <c r="E2" s="6">
        <f>C2-D2</f>
        <v>65227</v>
      </c>
      <c r="F2" s="7">
        <f>IFERROR(E2/D2, 0)</f>
        <v>0</v>
      </c>
      <c r="G2" s="6">
        <f>SUM(G4:G87)</f>
        <v>0</v>
      </c>
      <c r="H2" s="8">
        <f>C2-G2</f>
        <v>65227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SUM(Jan!C4, Feb!C4, Mar!C4)</f>
        <v>65227</v>
      </c>
      <c r="D4" s="12">
        <f>SUM(Jan!D4, Feb!D4, Mar!D4)</f>
        <v>0</v>
      </c>
      <c r="E4" s="12">
        <f>IF(AND(ISNUMBER(C4),ISNUMBER(D4)), C4-D4, "")</f>
        <v>65227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12</v>
      </c>
      <c r="E1" s="38"/>
      <c r="F1" s="38"/>
      <c r="G1" s="36" t="s">
        <v>13</v>
      </c>
      <c r="H1" s="36"/>
      <c r="I1" s="36"/>
    </row>
    <row r="2" spans="1:9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G4" activePane="bottomRight" state="frozen"/>
      <selection pane="bottomRight" activeCell="G14" sqref="G14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14</v>
      </c>
      <c r="E1" s="38"/>
      <c r="F1" s="38"/>
      <c r="G1" s="36" t="s">
        <v>15</v>
      </c>
      <c r="H1" s="36"/>
      <c r="I1" s="36"/>
    </row>
    <row r="2" spans="1:9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C4" activePane="bottomRight" state="frozen"/>
      <selection pane="bottomRight" activeCell="E9" sqref="E9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16</v>
      </c>
      <c r="E1" s="38"/>
      <c r="F1" s="38"/>
      <c r="G1" s="36" t="s">
        <v>17</v>
      </c>
      <c r="H1" s="36"/>
      <c r="I1" s="36"/>
    </row>
    <row r="2" spans="1:9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H16" sqref="H16"/>
      <selection pane="bottomLeft" activeCell="A12" sqref="A12"/>
      <selection pane="topRight" activeCell="A12" sqref="A12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18</v>
      </c>
      <c r="E1" s="38"/>
      <c r="F1" s="38"/>
      <c r="G1" s="36" t="s">
        <v>19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SUM(C4:C78)</f>
        <v>17762</v>
      </c>
      <c r="D2" s="6">
        <f>SUM(D4:D78)</f>
        <v>0</v>
      </c>
      <c r="E2" s="6">
        <f>C2-D2</f>
        <v>17762</v>
      </c>
      <c r="F2" s="7">
        <f>IFERROR(E2/D2, 0)</f>
        <v>0</v>
      </c>
      <c r="G2" s="6">
        <f>SUM(G4:G78)</f>
        <v>0</v>
      </c>
      <c r="H2" s="8">
        <f>C2-G2</f>
        <v>17762</v>
      </c>
      <c r="I2" s="7">
        <f>IFERROR(H2/G2, 0)</f>
        <v>0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2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17762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</sheetData>
  <mergeCells count="4">
    <mergeCell ref="D1:F1"/>
    <mergeCell ref="A1:C1"/>
    <mergeCell ref="G1:I1"/>
    <mergeCell ref="A2:B2"/>
  </mergeCells>
  <conditionalFormatting sqref="F2 I2 F4:F78 I4:I7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23</v>
      </c>
      <c r="E1" s="38"/>
      <c r="F1" s="38"/>
      <c r="G1" s="36" t="s">
        <v>24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19494</v>
      </c>
      <c r="D2" s="6">
        <f>SUM(D4:D87)</f>
        <v>0</v>
      </c>
      <c r="E2" s="6">
        <f>C2-D2</f>
        <v>19494</v>
      </c>
      <c r="F2" s="7">
        <f>IFERROR(E2/D2, 0)</f>
        <v>0</v>
      </c>
      <c r="G2" s="6">
        <f>SUM(G4:G87)</f>
        <v>0</v>
      </c>
      <c r="H2" s="8">
        <f>C2-G2</f>
        <v>19494</v>
      </c>
      <c r="I2" s="7">
        <f>IFERROR(H2/G2, 0)</f>
        <v>0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19494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workbookViewId="0">
      <pane xSplit="2" ySplit="3" topLeftCell="C4" activePane="bottomRight" state="frozen"/>
      <selection pane="bottomRight" activeCell="F10" sqref="F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25</v>
      </c>
      <c r="E1" s="38"/>
      <c r="F1" s="38"/>
      <c r="G1" s="36" t="s">
        <v>26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27971</v>
      </c>
      <c r="D2" s="6">
        <f>SUM(D4:D87)</f>
        <v>0</v>
      </c>
      <c r="E2" s="6">
        <f>C2-D2</f>
        <v>27971</v>
      </c>
      <c r="F2" s="7">
        <f>IFERROR(E2/D2, 0)</f>
        <v>0</v>
      </c>
      <c r="G2" s="6">
        <f>SUM(G4:G87)</f>
        <v>0</v>
      </c>
      <c r="H2" s="8">
        <f>C2-G2</f>
        <v>27971</v>
      </c>
      <c r="I2" s="7">
        <f>IFERROR(H2/G2, 0)</f>
        <v>0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27971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9"/>
  <sheetViews>
    <sheetView workbookViewId="0">
      <pane xSplit="2" ySplit="3" topLeftCell="D8" activePane="bottomRight" state="frozen"/>
      <selection pane="bottomRight" activeCell="D8" sqref="D8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27</v>
      </c>
      <c r="E1" s="38"/>
      <c r="F1" s="38"/>
      <c r="G1" s="36" t="s">
        <v>28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C4" activePane="bottomRight" state="frozen"/>
      <selection pane="bottomRight" activeCell="D9" sqref="D9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29</v>
      </c>
      <c r="E1" s="38"/>
      <c r="F1" s="38"/>
      <c r="G1" s="36" t="s">
        <v>30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4" activePane="bottomRight" state="frozen"/>
      <selection pane="bottomRight" activeCell="E9" sqref="E9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31</v>
      </c>
      <c r="E1" s="38"/>
      <c r="F1" s="38"/>
      <c r="G1" s="36" t="s">
        <v>32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workbookViewId="0">
      <pane xSplit="2" ySplit="3" topLeftCell="C4" activePane="bottomRight" state="frozen"/>
      <selection pane="bottomRight" activeCell="C9" sqref="C9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33</v>
      </c>
      <c r="E1" s="38"/>
      <c r="F1" s="38"/>
      <c r="G1" s="36" t="s">
        <v>34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9"/>
  <sheetViews>
    <sheetView workbookViewId="0">
      <pane xSplit="2" ySplit="3" topLeftCell="C4" activePane="bottomRight" state="frozen"/>
      <selection pane="bottomRight" activeCell="C9" sqref="C9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35</v>
      </c>
      <c r="E1" s="38"/>
      <c r="F1" s="38"/>
      <c r="G1" s="36" t="s">
        <v>36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D9" sqref="D9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37</v>
      </c>
      <c r="E1" s="38"/>
      <c r="F1" s="38"/>
      <c r="G1" s="36" t="s">
        <v>38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9"/>
  <sheetViews>
    <sheetView workbookViewId="0">
      <pane xSplit="2" ySplit="3" topLeftCell="C4" activePane="bottomRight" state="frozen"/>
      <selection pane="bottomRight" activeCell="C8" sqref="C8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39</v>
      </c>
      <c r="E1" s="38"/>
      <c r="F1" s="38"/>
      <c r="G1" s="36" t="s">
        <v>40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9"/>
  <sheetViews>
    <sheetView workbookViewId="0">
      <pane xSplit="2" ySplit="3" topLeftCell="C4" activePane="bottomRight" state="frozen"/>
      <selection pane="bottomRight" activeCell="D10" sqref="D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41</v>
      </c>
      <c r="E1" s="38"/>
      <c r="F1" s="38"/>
      <c r="G1" s="36" t="s">
        <v>42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9"/>
  <sheetViews>
    <sheetView workbookViewId="0">
      <pane xSplit="2" ySplit="3" topLeftCell="C4" activePane="bottomRight" state="frozen"/>
      <selection pane="bottomRight" activeCell="F13" sqref="F13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43</v>
      </c>
      <c r="E1" s="38"/>
      <c r="F1" s="38"/>
      <c r="G1" s="36" t="s">
        <v>44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</v>
      </c>
      <c r="B1" s="34" t="s">
        <v>46</v>
      </c>
    </row>
    <row r="3" spans="1:7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7" ht="14.25">
      <c r="A4" s="3" t="s">
        <v>50</v>
      </c>
      <c r="B4" t="s">
        <v>51</v>
      </c>
      <c r="C4" s="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B903E73F-4EDB-4429-95FE-DC1830EAD404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2025-01-13T20:37:56Z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974c0add-e563-4c82-a7d0-99ccb6d11960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