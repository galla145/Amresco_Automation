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7C72984F-59E0-45F0-9FD5-29CDBEC4DE31}" xr6:coauthVersionLast="47" xr6:coauthVersionMax="47" xr10:uidLastSave="{00000000-0000-0000-0000-000000000000}"/>
  <bookViews>
    <workbookView xWindow="-108" yWindow="-108" windowWidth="23256" windowHeight="1245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1" l="1"/>
  <c r="I5" i="20"/>
  <c r="I5" i="19"/>
  <c r="I5" i="26"/>
  <c r="I5" i="27"/>
  <c r="I5" i="28"/>
  <c r="I5" i="31"/>
  <c r="I5" i="32"/>
  <c r="I5" i="33"/>
  <c r="I6" i="21"/>
  <c r="I6" i="20"/>
  <c r="I6" i="19"/>
  <c r="I6" i="26"/>
  <c r="I6" i="27"/>
  <c r="I6" i="28"/>
  <c r="I6" i="31"/>
  <c r="I6" i="32"/>
  <c r="I6" i="33"/>
  <c r="I4" i="21"/>
  <c r="I4" i="20"/>
  <c r="I4" i="19"/>
  <c r="I4" i="26"/>
  <c r="I4" i="27"/>
  <c r="I4" i="28"/>
  <c r="I4" i="31"/>
  <c r="I4" i="32"/>
  <c r="I4" i="33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D5" i="30"/>
  <c r="C5" i="30"/>
  <c r="E5" i="30" s="1"/>
  <c r="F5" i="30" s="1"/>
  <c r="D4" i="30"/>
  <c r="C4" i="30"/>
  <c r="D6" i="29"/>
  <c r="C6" i="29"/>
  <c r="E6" i="29" s="1"/>
  <c r="F6" i="29" s="1"/>
  <c r="D5" i="29"/>
  <c r="C5" i="29"/>
  <c r="D4" i="29"/>
  <c r="C4" i="29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E6" i="33"/>
  <c r="F6" i="33" s="1"/>
  <c r="H5" i="33"/>
  <c r="E5" i="33"/>
  <c r="F5" i="33" s="1"/>
  <c r="H4" i="33"/>
  <c r="E4" i="33"/>
  <c r="F4" i="33" s="1"/>
  <c r="G2" i="33"/>
  <c r="D2" i="33"/>
  <c r="C2" i="33"/>
  <c r="J2" i="33" s="1"/>
  <c r="A1" i="33" a="1"/>
  <c r="A1" i="33" s="1"/>
  <c r="H6" i="32"/>
  <c r="E6" i="32"/>
  <c r="F6" i="32" s="1"/>
  <c r="H5" i="32"/>
  <c r="E5" i="32"/>
  <c r="F5" i="32" s="1"/>
  <c r="H4" i="32"/>
  <c r="E4" i="32"/>
  <c r="F4" i="32" s="1"/>
  <c r="G2" i="32"/>
  <c r="D2" i="32"/>
  <c r="C2" i="32"/>
  <c r="A1" i="32" a="1"/>
  <c r="A1" i="32" s="1"/>
  <c r="H6" i="31"/>
  <c r="E6" i="31"/>
  <c r="F6" i="31" s="1"/>
  <c r="H5" i="31"/>
  <c r="E5" i="31"/>
  <c r="F5" i="31" s="1"/>
  <c r="H4" i="31"/>
  <c r="E4" i="31"/>
  <c r="F4" i="31" s="1"/>
  <c r="G2" i="31"/>
  <c r="D2" i="31"/>
  <c r="C2" i="31"/>
  <c r="A1" i="31" a="1"/>
  <c r="A1" i="31" s="1"/>
  <c r="H6" i="28"/>
  <c r="E6" i="28"/>
  <c r="F6" i="28" s="1"/>
  <c r="H5" i="28"/>
  <c r="E5" i="28"/>
  <c r="F5" i="28" s="1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E6" i="27"/>
  <c r="F6" i="27" s="1"/>
  <c r="H5" i="27"/>
  <c r="E5" i="27"/>
  <c r="F5" i="27" s="1"/>
  <c r="H4" i="27"/>
  <c r="E4" i="27"/>
  <c r="F4" i="27" s="1"/>
  <c r="G2" i="27"/>
  <c r="D2" i="27"/>
  <c r="C2" i="27"/>
  <c r="J2" i="27" s="1"/>
  <c r="A1" i="27" a="1"/>
  <c r="A1" i="27" s="1"/>
  <c r="H6" i="26"/>
  <c r="E6" i="26"/>
  <c r="F6" i="26" s="1"/>
  <c r="H5" i="26"/>
  <c r="E5" i="26"/>
  <c r="F5" i="26" s="1"/>
  <c r="H4" i="26"/>
  <c r="E4" i="26"/>
  <c r="F4" i="26" s="1"/>
  <c r="G2" i="26"/>
  <c r="D2" i="26"/>
  <c r="C2" i="26"/>
  <c r="J2" i="26" s="1"/>
  <c r="A1" i="26" a="1"/>
  <c r="A1" i="26" s="1"/>
  <c r="H6" i="19"/>
  <c r="E6" i="19"/>
  <c r="F6" i="19" s="1"/>
  <c r="H5" i="19"/>
  <c r="E5" i="19"/>
  <c r="F5" i="19" s="1"/>
  <c r="H4" i="19"/>
  <c r="E4" i="19"/>
  <c r="F4" i="19" s="1"/>
  <c r="G2" i="19"/>
  <c r="D2" i="19"/>
  <c r="C2" i="19"/>
  <c r="A1" i="19" a="1"/>
  <c r="A1" i="19" s="1"/>
  <c r="H6" i="20"/>
  <c r="E6" i="20"/>
  <c r="F6" i="20" s="1"/>
  <c r="H5" i="20"/>
  <c r="E5" i="20"/>
  <c r="F5" i="20" s="1"/>
  <c r="H4" i="20"/>
  <c r="E4" i="20"/>
  <c r="F4" i="20" s="1"/>
  <c r="G2" i="20"/>
  <c r="D2" i="20"/>
  <c r="C2" i="20"/>
  <c r="A1" i="20" a="1"/>
  <c r="A1" i="20" s="1"/>
  <c r="H6" i="21"/>
  <c r="E6" i="21"/>
  <c r="F6" i="21" s="1"/>
  <c r="H5" i="21"/>
  <c r="E5" i="21"/>
  <c r="F5" i="21" s="1"/>
  <c r="H4" i="21"/>
  <c r="E4" i="21"/>
  <c r="F4" i="21" s="1"/>
  <c r="G2" i="21"/>
  <c r="D2" i="21"/>
  <c r="C2" i="21"/>
  <c r="H2" i="21" s="1"/>
  <c r="I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H6" i="72"/>
  <c r="I6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6" i="30" l="1"/>
  <c r="F6" i="30" s="1"/>
  <c r="D2" i="30"/>
  <c r="H2" i="31"/>
  <c r="I2" i="31" s="1"/>
  <c r="E4" i="30"/>
  <c r="F4" i="30" s="1"/>
  <c r="E5" i="29"/>
  <c r="F5" i="29" s="1"/>
  <c r="E2" i="28"/>
  <c r="F2" i="28" s="1"/>
  <c r="H2" i="20"/>
  <c r="I2" i="20" s="1"/>
  <c r="E5" i="18"/>
  <c r="F5" i="18" s="1"/>
  <c r="E6" i="18"/>
  <c r="F6" i="18" s="1"/>
  <c r="D2" i="18"/>
  <c r="E4" i="18"/>
  <c r="F4" i="18" s="1"/>
  <c r="J2" i="20"/>
  <c r="J2" i="21"/>
  <c r="H2" i="4"/>
  <c r="I2" i="4" s="1"/>
  <c r="G2" i="34"/>
  <c r="H2" i="19"/>
  <c r="I2" i="19" s="1"/>
  <c r="H6" i="30"/>
  <c r="I6" i="30" s="1"/>
  <c r="J2" i="19"/>
  <c r="H2" i="28"/>
  <c r="I2" i="28" s="1"/>
  <c r="H2" i="32"/>
  <c r="I2" i="32" s="1"/>
  <c r="H2" i="26"/>
  <c r="I2" i="26" s="1"/>
  <c r="H6" i="29"/>
  <c r="I6" i="29" s="1"/>
  <c r="D4" i="34"/>
  <c r="D2" i="34" s="1"/>
  <c r="J2" i="28"/>
  <c r="H2" i="33"/>
  <c r="I2" i="33" s="1"/>
  <c r="J2" i="31"/>
  <c r="E2" i="20"/>
  <c r="F2" i="20" s="1"/>
  <c r="H2" i="27"/>
  <c r="I2" i="27" s="1"/>
  <c r="D2" i="29"/>
  <c r="J2" i="4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H4" i="29"/>
  <c r="I4" i="29" s="1"/>
  <c r="H5" i="29"/>
  <c r="I5" i="29" s="1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C2" i="30"/>
  <c r="E4" i="29"/>
  <c r="F4" i="29" s="1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" i="72" s="1"/>
  <c r="E2" i="29" l="1"/>
  <c r="F2" i="29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<sst xmlns="http://schemas.openxmlformats.org/spreadsheetml/2006/main" count="266" uniqueCount="64">
  <si>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</si>
  <si>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</si>
  <si>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</si>
  <si>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</si>
  <si>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</si>
  <si>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</si>
  <si>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</si>
  <si>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</si>
  <si>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</si>
  <si>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</si>
  <si>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</si>
  <si>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</si>
  <si>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</si>
  <si>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</si>
  <si>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</si>
  <si>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</si>
  <si>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</si>
  <si>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</si>
  <si>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</si>
  <si>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</si>
  <si>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</si>
  <si>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</si>
  <si>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</si>
  <si>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Inverter 2 has been underproducing approximately 30 kW since 11/20 compared to Inverter 1. The fuse in Inverter 2 need to be replaced</t>
  </si>
  <si>
    <t>1. SR093473, SR093907 &amp; SR094608</t>
  </si>
  <si>
    <t>February Actual v. Expected</t>
  </si>
  <si>
    <t>February Actual v. Forecasted</t>
  </si>
  <si>
    <t>1. Inverter 2 has been underproducing approximately 30 kW since 11/20 compared to Inverter 1. The fuse in Inverter 2 needs to be replaced.</t>
  </si>
  <si>
    <t>1. SR093473, SR093907</t>
  </si>
  <si>
    <t>SR093907</t>
  </si>
  <si>
    <t>March Actual v. Expected</t>
  </si>
  <si>
    <t>March Actual v. Forecasted</t>
  </si>
  <si>
    <t>1. Inverter 2 underperforming approximately 30kW since 11/20 compared to its Peer inverter 1 due to a faulty fuse.On 03/31 technician Replaced defective fuse and re-energized system and inverter 2 back to normal and producing with its peer.</t>
  </si>
  <si>
    <t>1.SR094608,SR094373</t>
  </si>
  <si>
    <t>SR094373</t>
  </si>
  <si>
    <t>1.On 03/06, Inverter 3 was operating at approximately one-third of its normal output, possibly due to snow coverage. The issue self-resolved on 03/07. Other inverters remained unaffected. Inverter 3 offline from 03/17/25 and remained offline for the rest of  month. Need to investigate.</t>
  </si>
  <si>
    <t>1.SR098227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</si>
  <si>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</si>
  <si>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</si>
  <si>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</si>
  <si>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</si>
  <si>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</si>
  <si>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</si>
  <si>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</si>
  <si>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</si>
  <si>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</si>
  <si>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</si>
  <si>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</si>
  <si>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</si>
  <si>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</si>
  <si>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</si>
  <si>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</si>
  <si>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</si>
  <si>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</si>
  <si>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</si>
  <si>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</si>
  <si>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Flagstaff</t>
  </si>
  <si>
    <t>Site DAS Name</t>
  </si>
  <si>
    <t>Update</t>
  </si>
  <si>
    <t>DAS</t>
  </si>
  <si>
    <t>AZ: COF Aquaplex</t>
  </si>
  <si>
    <t>AZ</t>
  </si>
  <si>
    <t>AZ: COF Sun Bear</t>
  </si>
  <si>
    <t>AZ: COF Rio de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</si>
</sst>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49" fontId="28" fillId="0" borderId="0" xfId="0" applyNumberFormat="1" applyFont="1" applyAlignment="1">
      <alignment horizontal="left" vertical="top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35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35" fillId="0" borderId="0" xfId="0" applyNumberFormat="1" applyFont="1" applyAlignment="1">
      <alignment horizontal="left" vertical="top"/>
    </xf>
    <xf numFmtId="49" fontId="35" fillId="0" borderId="0" xfId="0" applyNumberFormat="1" applyFont="1" applyAlignment="1">
      <alignment horizontal="left" vertical="top" wrapText="1"/>
    </xf>
    <xf numFmtId="0" fontId="32" fillId="0" borderId="0" xfId="0" applyFont="1" applyAlignment="1">
      <alignment horizontal="right"/>
    </xf>
    <xf numFmtId="0" fontId="32" fillId="0" borderId="0" xfId="0" applyFont="1" applyAlignment="1">
      <alignment horizontal="center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6" fillId="0" borderId="0" xfId="45" applyNumberFormat="1" applyAlignment="1">
      <alignment horizontal="left" vertical="top"/>
    </xf>
    <xf numFmtId="0" fontId="36" fillId="0" borderId="0" xfId="45" applyAlignment="1">
      <alignment horizontal="left" vertical="top"/>
    </xf>
    <xf numFmtId="49" fontId="36" fillId="38" borderId="0" xfId="45" applyNumberForma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3907" TargetMode="External"/><Relationship Id="rId1" Type="http://schemas.openxmlformats.org/officeDocument/2006/relationships/hyperlink" Target="https://us3.assetplanner.com/service_request?ID=09347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227" TargetMode="External"/><Relationship Id="rId2" Type="http://schemas.openxmlformats.org/officeDocument/2006/relationships/hyperlink" Target="https://us3.assetplanner.com/service_request?ID=094373" TargetMode="External"/><Relationship Id="rId1" Type="http://schemas.openxmlformats.org/officeDocument/2006/relationships/hyperlink" Target="https://us3.assetplanner.com/service_request?ID=094608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7"/>
  <sheetViews>
    <sheetView tabSelected="1" workbookViewId="0">
      <pane ySplit="2" topLeftCell="A3" activePane="bottomLeft" state="frozen"/>
      <selection pane="bottomLeft" activeCell="I11" sqref="I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City of Flagstaff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6">
        <f>SUM(C4:C85)</f>
        <v>303553</v>
      </c>
      <c r="D2" s="6">
        <f>SUM(D4:D85)</f>
        <v>201520.79</v>
      </c>
      <c r="E2" s="6">
        <f>C2-D2</f>
        <v>102032.20999999999</v>
      </c>
      <c r="F2" s="7">
        <f>IFERROR(E2/D2, 0)</f>
        <v>0.50631108581898665</v>
      </c>
      <c r="G2" s="6">
        <f>SUM(G4:G85)</f>
        <v>0</v>
      </c>
      <c r="H2" s="8">
        <f>C2-G2</f>
        <v>303553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SUM('1st Qtr'!C4, '2nd Qtr'!C4, '3rd Qtr'!C4, '4th Qtr'!C4)</f>
        <v>98142</v>
      </c>
      <c r="D4" s="14">
        <f>SUM('1st Qtr'!D4, '2nd Qtr'!D4, '3rd Qtr'!D4, '4th Qtr'!D4)</f>
        <v>0</v>
      </c>
      <c r="E4" s="14">
        <f>IF(AND(ISNUMBER(C4),ISNUMBER(D4)), C4-D4, "")</f>
        <v>98142</v>
      </c>
      <c r="F4" s="15">
        <f>IFERROR(E4/D4, 0)</f>
        <v>0</v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5.6">
      <c r="A5" s="19" t="str">
        <v>AZ: COF Sun Bear</v>
      </c>
      <c r="B5" s="11" t="str">
        <v>AZ</v>
      </c>
      <c r="C5" s="12">
        <f>SUM(Jan!C5, Feb!C5, Mar!C5)</f>
        <v>89479</v>
      </c>
      <c r="D5" s="20">
        <f>SUM(Jan!D5, Feb!D5, Mar!D5)</f>
        <v>85578.540000000008</v>
      </c>
      <c r="E5" s="20">
        <f t="shared" ref="E5:E6" si="0">IF(AND(ISNUMBER(C5),ISNUMBER(D5)), C5-D5, "")</f>
        <v>3900.4599999999919</v>
      </c>
      <c r="F5" s="21">
        <f>IFERROR(E5/D5, 0)</f>
        <v>4.5577547829163616E-2</v>
      </c>
      <c r="G5" s="22">
        <f>SUM('1st Qtr'!G5,'2nd Qtr'!G5,'3rd Qtr'!G5,'4th Qtr'!G5)</f>
        <v>0</v>
      </c>
      <c r="H5" s="22">
        <f>SUM(Jan!H5, Feb!H5, Mar!H5)</f>
        <v>0</v>
      </c>
      <c r="I5" s="21">
        <f>IFERROR(H5/G5, 0)</f>
        <v>0</v>
      </c>
    </row>
    <row r="6" spans="1:9" ht="15.6">
      <c r="A6" s="13" t="str">
        <v>AZ: COF Rio de Flag</v>
      </c>
      <c r="B6" s="10" t="str">
        <v>AZ</v>
      </c>
      <c r="C6" s="26">
        <f>SUM(Jan!C6, Feb!C6, Mar!C6)</f>
        <v>115932</v>
      </c>
      <c r="D6" s="14">
        <f>SUM(Jan!D6, Feb!D6, Mar!D6)</f>
        <v>115942.25</v>
      </c>
      <c r="E6" s="14">
        <f t="shared" si="0"/>
        <v>-10.25</v>
      </c>
      <c r="F6" s="15">
        <f>IFERROR(E6/D6, 0)</f>
        <v>-8.8406081475907191E-5</v>
      </c>
      <c r="G6" s="16">
        <f>SUM('1st Qtr'!G6,'2nd Qtr'!G6,'3rd Qtr'!G6,'4th Qtr'!G6)</f>
        <v>0</v>
      </c>
      <c r="H6" s="16">
        <f>SUM(Jan!H6, Feb!H6, Mar!H6)</f>
        <v>0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5 I4:I8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7"/>
  <sheetViews>
    <sheetView workbookViewId="0">
      <pane ySplit="2" topLeftCell="A3" activePane="bottomLeft" state="frozen"/>
      <selection pane="bottomLeft" activeCell="I6" sqref="I6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City of Flagstaff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6">
        <f>SUM(C4:C85)</f>
        <v>303553</v>
      </c>
      <c r="D2" s="6">
        <f>SUM(D4:D85)</f>
        <v>201520.79</v>
      </c>
      <c r="E2" s="6">
        <f>C2-D2</f>
        <v>102032.20999999999</v>
      </c>
      <c r="F2" s="7">
        <f>IFERROR(E2/D2, 0)</f>
        <v>0.50631108581898665</v>
      </c>
      <c r="G2" s="6">
        <f>SUM(G4:G85)</f>
        <v>0</v>
      </c>
      <c r="H2" s="8">
        <f>C2-G2</f>
        <v>303553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SUM(Jan!C4, Feb!C4, Mar!C4)</f>
        <v>98142</v>
      </c>
      <c r="D4" s="14">
        <f>SUM(Jan!D4, Feb!D4, Mar!D4)</f>
        <v>0</v>
      </c>
      <c r="E4" s="14">
        <f>IF(AND(ISNUMBER(C4),ISNUMBER(D4)), C4-D4, "")</f>
        <v>98142</v>
      </c>
      <c r="F4" s="15" t="str">
        <f>IFERROR(E4/D4,"")</f>
        <v/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5.6">
      <c r="A5" s="19" t="str">
        <v>AZ: COF Sun Bear</v>
      </c>
      <c r="B5" s="11" t="str">
        <v>AZ</v>
      </c>
      <c r="C5" s="12">
        <f>SUM(Jan!C5, Feb!C5, Mar!C5)</f>
        <v>89479</v>
      </c>
      <c r="D5" s="20">
        <f>SUM(Jan!D5, Feb!D5, Mar!D5)</f>
        <v>85578.540000000008</v>
      </c>
      <c r="E5" s="20">
        <f t="shared" ref="E5:E6" si="0">IF(AND(ISNUMBER(C5),ISNUMBER(D5)), C5-D5, "")</f>
        <v>3900.4599999999919</v>
      </c>
      <c r="F5" s="21">
        <f>IFERROR(E5/D5, "")</f>
        <v>4.5577547829163616E-2</v>
      </c>
      <c r="G5" s="22">
        <f>SUM(Jan!G5, Feb!G5, Mar!G5)</f>
        <v>0</v>
      </c>
      <c r="H5" s="22">
        <f>SUM(Jan!H5, Feb!H5, Mar!H5)</f>
        <v>0</v>
      </c>
      <c r="I5" s="21">
        <f>IFERROR(H5/G5, 0)</f>
        <v>0</v>
      </c>
    </row>
    <row r="6" spans="1:9" ht="15.6">
      <c r="A6" s="13" t="str">
        <v>AZ: COF Rio de Flag</v>
      </c>
      <c r="B6" s="10" t="str">
        <v>AZ</v>
      </c>
      <c r="C6" s="26">
        <f>SUM(Jan!C6, Feb!C6, Mar!C6)</f>
        <v>115932</v>
      </c>
      <c r="D6" s="14">
        <f>SUM(Jan!D6, Feb!D6, Mar!D6)</f>
        <v>115942.25</v>
      </c>
      <c r="E6" s="14">
        <f t="shared" si="0"/>
        <v>-10.25</v>
      </c>
      <c r="F6" s="15">
        <f t="shared" ref="F6" si="1">IFERROR(E6/D6, "")</f>
        <v>-8.8406081475907191E-5</v>
      </c>
      <c r="G6" s="16">
        <f>SUM(Jan!G6, Feb!G6, Mar!G6)</f>
        <v>0</v>
      </c>
      <c r="H6" s="16">
        <f>SUM(Jan!H6, Feb!H6, Mar!H6)</f>
        <v>0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5 I4:I8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City of Flagstaff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COF Sun Bear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COF Rio de Flag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SUM(Apr!H6, May!H6, Jun!H6)</f>
        <v>0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5 I4:I8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City of Flagstaff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COF Sun Bear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COF Rio de Flag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SUM(Jul!H6, Aug!H6, Sep!H6)</f>
        <v>0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City of Flagstaff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COF Sun Bear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COF Rio de Flag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6"/>
  <sheetViews>
    <sheetView workbookViewId="0">
      <pane ySplit="3" topLeftCell="A4" activePane="bottomLeft" state="frozen"/>
      <selection pane="bottomLeft" activeCell="E5" sqref="E5"/>
      <selection activeCell="I6" sqref="I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City of Flagstaff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SUM(C4:C84)</f>
        <v>98127</v>
      </c>
      <c r="D2" s="6">
        <f>SUM(D4:D84)</f>
        <v>63044</v>
      </c>
      <c r="E2" s="6">
        <f>C2-D2</f>
        <v>35083</v>
      </c>
      <c r="F2" s="7">
        <f>IFERROR(E2/D2, 0)</f>
        <v>0.55648436012943336</v>
      </c>
      <c r="G2" s="6">
        <f>SUM(G4:G84)</f>
        <v>0</v>
      </c>
      <c r="H2" s="8">
        <f>C2-G2</f>
        <v>98127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3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30434</v>
      </c>
      <c r="D4" s="14" t="s">
        <v>22</v>
      </c>
      <c r="E4" s="14" t="str">
        <f>IF(AND(ISNUMBER(C4),ISNUMBER(D4)), C4-D4, "")</f>
        <v/>
      </c>
      <c r="F4" s="15">
        <f>IFERROR(E4/D4, 0)</f>
        <v>0</v>
      </c>
      <c r="G4" s="54" t="s">
        <v>22</v>
      </c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28.9">
      <c r="A5" s="32" t="str">
        <v>AZ: COF Sun Bear</v>
      </c>
      <c r="B5" s="33" t="str">
        <v>AZ</v>
      </c>
      <c r="C5" s="12">
        <v>28362</v>
      </c>
      <c r="D5" s="20">
        <v>27169</v>
      </c>
      <c r="E5" s="20">
        <f t="shared" ref="E5:E6" si="0">IF(AND(ISNUMBER(C5),ISNUMBER(D5)), C5-D5, "")</f>
        <v>1193</v>
      </c>
      <c r="F5" s="21">
        <f>IFERROR(E5/D5, "")</f>
        <v>4.3910338989289262E-2</v>
      </c>
      <c r="G5" s="55" t="s">
        <v>22</v>
      </c>
      <c r="H5" s="22" t="str">
        <f t="shared" ref="H5:H6" si="1">IF(AND(ISNUMBER(C5),ISNUMBER(G5)), C5-G5, "")</f>
        <v/>
      </c>
      <c r="I5" s="21" t="str">
        <f>IFERROR(H5/G5,"")</f>
        <v/>
      </c>
      <c r="J5" s="49" t="s">
        <v>23</v>
      </c>
      <c r="K5" s="51" t="s">
        <v>24</v>
      </c>
    </row>
    <row r="6" spans="1:11" ht="15.6">
      <c r="A6" s="30" t="str">
        <v>AZ: COF Rio de Flag</v>
      </c>
      <c r="B6" s="31" t="str">
        <v>AZ</v>
      </c>
      <c r="C6" s="26">
        <v>39331</v>
      </c>
      <c r="D6" s="14">
        <v>35875</v>
      </c>
      <c r="E6" s="14">
        <f t="shared" si="0"/>
        <v>3456</v>
      </c>
      <c r="F6" s="15">
        <f t="shared" ref="F6" si="2">IFERROR(E6/D6, "")</f>
        <v>9.6334494773519158E-2</v>
      </c>
      <c r="G6" s="56" t="s">
        <v>22</v>
      </c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52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5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D1:F1"/>
    <mergeCell ref="A1:C1"/>
    <mergeCell ref="G1:I1"/>
    <mergeCell ref="A2:B2"/>
  </mergeCells>
  <conditionalFormatting sqref="F2 I2 F4:F84 I4:I84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7"/>
  <sheetViews>
    <sheetView topLeftCell="B1" workbookViewId="0">
      <pane ySplit="2" topLeftCell="A3" activePane="bottomLeft" state="frozen"/>
      <selection pane="bottomLeft" activeCell="J13" sqref="J13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City of Flagstaff</v>
      </c>
      <c r="B1" s="61"/>
      <c r="C1" s="61"/>
      <c r="D1" s="62" t="s">
        <v>25</v>
      </c>
      <c r="E1" s="62"/>
      <c r="F1" s="62"/>
      <c r="G1" s="60" t="s">
        <v>26</v>
      </c>
      <c r="H1" s="60"/>
      <c r="I1" s="60"/>
      <c r="J1" s="5"/>
      <c r="K1" s="5"/>
    </row>
    <row r="2" spans="1:12" ht="19.5" customHeight="1">
      <c r="A2" s="63" t="s">
        <v>2</v>
      </c>
      <c r="B2" s="63"/>
      <c r="C2" s="6">
        <f>SUM(C4:C85)</f>
        <v>105979</v>
      </c>
      <c r="D2" s="6">
        <f>SUM(D4:D85)</f>
        <v>70189.06</v>
      </c>
      <c r="E2" s="6">
        <f>C2-D2</f>
        <v>35789.94</v>
      </c>
      <c r="F2" s="7">
        <f>IFERROR(E2/D2, 0)</f>
        <v>0.50990766937183662</v>
      </c>
      <c r="G2" s="6">
        <f>SUM(G4:G85)</f>
        <v>0</v>
      </c>
      <c r="H2" s="8">
        <f>C2-G2</f>
        <v>105979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2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33130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6" t="s">
        <v>22</v>
      </c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2" ht="28.9">
      <c r="A5" s="32" t="str">
        <v>AZ: COF Sun Bear</v>
      </c>
      <c r="B5" s="33" t="str">
        <v>AZ</v>
      </c>
      <c r="C5" s="12">
        <v>29874</v>
      </c>
      <c r="D5" s="20">
        <v>28804.46</v>
      </c>
      <c r="E5" s="20">
        <f t="shared" ref="E5:E6" si="0">IF(AND(ISNUMBER(C5),ISNUMBER(D5)), C5-D5, "")</f>
        <v>1069.5400000000009</v>
      </c>
      <c r="F5" s="21">
        <f>IFERROR(E5/D5, "")</f>
        <v>3.7131055399059761E-2</v>
      </c>
      <c r="G5" s="55" t="s">
        <v>22</v>
      </c>
      <c r="H5" s="22" t="str">
        <f t="shared" ref="H5:H6" si="1">IF(AND(ISNUMBER(C5),ISNUMBER(G5)), C5-G5, "")</f>
        <v/>
      </c>
      <c r="I5" s="21" t="str">
        <f>IFERROR(H5/G5,"")</f>
        <v/>
      </c>
      <c r="J5" s="49" t="s">
        <v>27</v>
      </c>
      <c r="K5" s="57" t="s">
        <v>28</v>
      </c>
      <c r="L5" s="58" t="s">
        <v>29</v>
      </c>
    </row>
    <row r="6" spans="1:12" ht="15.6">
      <c r="A6" s="30" t="str">
        <v>AZ: COF Rio de Flag</v>
      </c>
      <c r="B6" s="31" t="str">
        <v>AZ</v>
      </c>
      <c r="C6" s="26">
        <v>42975</v>
      </c>
      <c r="D6" s="14">
        <v>41384.6</v>
      </c>
      <c r="E6" s="14">
        <f t="shared" si="0"/>
        <v>1590.4000000000015</v>
      </c>
      <c r="F6" s="15">
        <f t="shared" ref="F6" si="2">IFERROR(E6/D6, "")</f>
        <v>3.8429754063105635E-2</v>
      </c>
      <c r="G6" s="56" t="s">
        <v>22</v>
      </c>
      <c r="H6" s="16" t="str">
        <f t="shared" si="1"/>
        <v/>
      </c>
      <c r="I6" s="17" t="str">
        <f>IFERROR(H6/G6,"")</f>
        <v/>
      </c>
      <c r="J6" s="18"/>
      <c r="K6" s="18"/>
    </row>
    <row r="7" spans="1:12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5" r:id="rId1" display="https://us3.assetplanner.com/service_request?ID=093473" xr:uid="{561BB941-8769-4180-AA42-98BBC1188CBC}"/>
    <hyperlink ref="L5" r:id="rId2" display="https://us3.assetplanner.com/service_request?ID=093907" xr:uid="{8E20B4C2-ECD1-4466-91D1-EEE3316FA4F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27"/>
  <sheetViews>
    <sheetView topLeftCell="B1" workbookViewId="0">
      <pane ySplit="2" topLeftCell="A3" activePane="bottomLeft" state="frozen"/>
      <selection pane="bottomLeft" activeCell="J13" sqref="J13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City of Flagstaff</v>
      </c>
      <c r="B1" s="61"/>
      <c r="C1" s="61"/>
      <c r="D1" s="62" t="s">
        <v>30</v>
      </c>
      <c r="E1" s="62"/>
      <c r="F1" s="62"/>
      <c r="G1" s="60" t="s">
        <v>31</v>
      </c>
      <c r="H1" s="60"/>
      <c r="I1" s="60"/>
      <c r="J1" s="5"/>
      <c r="K1" s="5"/>
    </row>
    <row r="2" spans="1:12" ht="19.5" customHeight="1">
      <c r="A2" s="63" t="s">
        <v>2</v>
      </c>
      <c r="B2" s="63"/>
      <c r="C2" s="6">
        <f>SUM(C4:C85)</f>
        <v>99447</v>
      </c>
      <c r="D2" s="6">
        <f>SUM(D4:D85)</f>
        <v>68287.73000000001</v>
      </c>
      <c r="E2" s="6">
        <f>C2-D2</f>
        <v>31159.26999999999</v>
      </c>
      <c r="F2" s="7">
        <f>IFERROR(E2/D2, 0)</f>
        <v>0.45629383199587958</v>
      </c>
      <c r="G2" s="6">
        <f>SUM(G4:G85)</f>
        <v>0</v>
      </c>
      <c r="H2" s="8">
        <f>C2-G2</f>
        <v>99447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2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34578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6" t="s">
        <v>22</v>
      </c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2" ht="43.15">
      <c r="A5" s="32" t="str">
        <v>AZ: COF Sun Bear</v>
      </c>
      <c r="B5" s="33" t="str">
        <v>AZ</v>
      </c>
      <c r="C5" s="12">
        <v>31243</v>
      </c>
      <c r="D5" s="20">
        <v>29605.08</v>
      </c>
      <c r="E5" s="20">
        <f t="shared" ref="E5:E6" si="0">IF(AND(ISNUMBER(C5),ISNUMBER(D5)), C5-D5, "")</f>
        <v>1637.9199999999983</v>
      </c>
      <c r="F5" s="21">
        <f>IFERROR(E5/D5, "")</f>
        <v>5.5325640059070882E-2</v>
      </c>
      <c r="G5" s="55" t="s">
        <v>22</v>
      </c>
      <c r="H5" s="22" t="str">
        <f t="shared" ref="H5:H6" si="1">IF(AND(ISNUMBER(C5),ISNUMBER(G5)), C5-G5, "")</f>
        <v/>
      </c>
      <c r="I5" s="21" t="str">
        <f>IFERROR(H5/G5,"")</f>
        <v/>
      </c>
      <c r="J5" s="49" t="s">
        <v>32</v>
      </c>
      <c r="K5" s="57" t="s">
        <v>33</v>
      </c>
      <c r="L5" s="58" t="s">
        <v>34</v>
      </c>
    </row>
    <row r="6" spans="1:12" ht="57.6">
      <c r="A6" s="30" t="str">
        <v>AZ: COF Rio de Flag</v>
      </c>
      <c r="B6" s="31" t="str">
        <v>AZ</v>
      </c>
      <c r="C6" s="26">
        <v>33626</v>
      </c>
      <c r="D6" s="14">
        <v>38682.65</v>
      </c>
      <c r="E6" s="14">
        <f t="shared" si="0"/>
        <v>-5056.6500000000015</v>
      </c>
      <c r="F6" s="15">
        <f t="shared" ref="F6" si="2">IFERROR(E6/D6, "")</f>
        <v>-0.13072139576787012</v>
      </c>
      <c r="G6" s="56" t="s">
        <v>22</v>
      </c>
      <c r="H6" s="16" t="str">
        <f t="shared" si="1"/>
        <v/>
      </c>
      <c r="I6" s="17" t="str">
        <f>IFERROR(H6/G6,"")</f>
        <v/>
      </c>
      <c r="J6" s="18" t="s">
        <v>35</v>
      </c>
      <c r="K6" s="59" t="s">
        <v>36</v>
      </c>
    </row>
    <row r="7" spans="1:12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5" r:id="rId1" display="https://us3.assetplanner.com/service_request?ID=094608" xr:uid="{D134595F-C66E-489D-A06A-B2B818A77356}"/>
    <hyperlink ref="L5" r:id="rId2" display="https://us3.assetplanner.com/service_request?ID=094373" xr:uid="{9C45902A-3586-42A8-81CA-0F03E1AE9926}"/>
    <hyperlink ref="K6" r:id="rId3" display="https://us3.assetplanner.com/service_request?ID=098227" xr:uid="{5013598A-4057-451E-9092-354497B597BC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7"/>
  <sheetViews>
    <sheetView workbookViewId="0">
      <pane ySplit="2" topLeftCell="A3" activePane="bottomLeft" state="frozen"/>
      <selection pane="bottomLeft" activeCell="J16" sqref="J16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City of Flagstaff</v>
      </c>
      <c r="B1" s="61"/>
      <c r="C1" s="61"/>
      <c r="D1" s="62" t="s">
        <v>37</v>
      </c>
      <c r="E1" s="62"/>
      <c r="F1" s="62"/>
      <c r="G1" s="60" t="s">
        <v>38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7"/>
  <sheetViews>
    <sheetView workbookViewId="0">
      <pane ySplit="2" topLeftCell="A3" activePane="bottomLeft" state="frozen"/>
      <selection pane="bottomLeft" activeCell="J16" sqref="J16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City of Flagstaff</v>
      </c>
      <c r="B1" s="61"/>
      <c r="C1" s="61"/>
      <c r="D1" s="62" t="s">
        <v>39</v>
      </c>
      <c r="E1" s="62"/>
      <c r="F1" s="62"/>
      <c r="G1" s="60" t="s">
        <v>40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7"/>
  <sheetViews>
    <sheetView workbookViewId="0">
      <pane ySplit="2" topLeftCell="A3" activePane="bottomLeft" state="frozen"/>
      <selection pane="bottomLeft" activeCell="J16" sqref="J16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City of Flagstaff</v>
      </c>
      <c r="B1" s="61"/>
      <c r="C1" s="61"/>
      <c r="D1" s="62" t="s">
        <v>41</v>
      </c>
      <c r="E1" s="62"/>
      <c r="F1" s="62"/>
      <c r="G1" s="60" t="s">
        <v>42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7"/>
  <sheetViews>
    <sheetView workbookViewId="0">
      <pane ySplit="2" topLeftCell="A3" activePane="bottomLeft" state="frozen"/>
      <selection pane="bottomLeft" activeCell="J16" sqref="J16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9.7109375" customWidth="1"/>
    <col min="11" max="11" width="20.5703125" bestFit="1" customWidth="1"/>
  </cols>
  <sheetData>
    <row r="1" spans="1:11" ht="19.5" customHeight="1">
      <c r="A1" s="61" t="str" cm="1">
        <f t="array" ref="A1">portfolio</f>
        <v>City of Flagstaff</v>
      </c>
      <c r="B1" s="61"/>
      <c r="C1" s="61"/>
      <c r="D1" s="62" t="s">
        <v>43</v>
      </c>
      <c r="E1" s="62"/>
      <c r="F1" s="62"/>
      <c r="G1" s="60" t="s">
        <v>44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45"/>
      <c r="K5" s="46"/>
    </row>
    <row r="6" spans="1:11" ht="15.6">
      <c r="A6" s="34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5 I4:I85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7"/>
  <sheetViews>
    <sheetView workbookViewId="0">
      <pane ySplit="2" topLeftCell="A3" activePane="bottomLeft" state="frozen"/>
      <selection pane="bottomLeft" activeCell="J16" sqref="J16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City of Flagstaff</v>
      </c>
      <c r="B1" s="61"/>
      <c r="C1" s="61"/>
      <c r="D1" s="62" t="s">
        <v>45</v>
      </c>
      <c r="E1" s="62"/>
      <c r="F1" s="62"/>
      <c r="G1" s="60" t="s">
        <v>46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>
      <c r="A6" s="34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7"/>
  <sheetViews>
    <sheetView workbookViewId="0">
      <pane ySplit="2" topLeftCell="A3" activePane="bottomLeft" state="frozen"/>
      <selection pane="bottomLeft" activeCell="J16" sqref="J16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City of Flagstaff</v>
      </c>
      <c r="B1" s="61"/>
      <c r="C1" s="61"/>
      <c r="D1" s="62" t="s">
        <v>47</v>
      </c>
      <c r="E1" s="62"/>
      <c r="F1" s="62"/>
      <c r="G1" s="60" t="s">
        <v>48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>
      <c r="A6" s="34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7"/>
  <sheetViews>
    <sheetView workbookViewId="0">
      <pane ySplit="2" topLeftCell="A3" activePane="bottomLeft" state="frozen"/>
      <selection pane="bottomLeft" activeCell="J16" sqref="J16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City of Flagstaff</v>
      </c>
      <c r="B1" s="61"/>
      <c r="C1" s="61"/>
      <c r="D1" s="62" t="s">
        <v>49</v>
      </c>
      <c r="E1" s="62"/>
      <c r="F1" s="62"/>
      <c r="G1" s="60" t="s">
        <v>50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7"/>
  <sheetViews>
    <sheetView workbookViewId="0">
      <pane ySplit="2" topLeftCell="A3" activePane="bottomLeft" state="frozen"/>
      <selection pane="bottomLeft" activeCell="J16" sqref="J16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City of Flagstaff</v>
      </c>
      <c r="B1" s="61"/>
      <c r="C1" s="61"/>
      <c r="D1" s="62" t="s">
        <v>51</v>
      </c>
      <c r="E1" s="62"/>
      <c r="F1" s="62"/>
      <c r="G1" s="60" t="s">
        <v>52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47"/>
      <c r="K5" s="50"/>
    </row>
    <row r="6" spans="1:11" ht="15.6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7"/>
  <sheetViews>
    <sheetView workbookViewId="0">
      <pane ySplit="2" topLeftCell="A3" activePane="bottomLeft" state="frozen"/>
      <selection pane="bottomLeft" activeCell="J16" sqref="J16"/>
      <selection activeCell="J16" sqref="J1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City of Flagstaff</v>
      </c>
      <c r="B1" s="61"/>
      <c r="C1" s="61"/>
      <c r="D1" s="62" t="s">
        <v>53</v>
      </c>
      <c r="E1" s="62"/>
      <c r="F1" s="62"/>
      <c r="G1" s="60" t="s">
        <v>54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49"/>
      <c r="K5" s="48"/>
    </row>
    <row r="6" spans="1:11" ht="15.6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J23" sqref="J23"/>
      <selection activeCell="A33" sqref="A3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55</v>
      </c>
      <c r="B1" s="37" t="s">
        <v>56</v>
      </c>
    </row>
    <row r="3" spans="1:7" ht="13.15">
      <c r="A3" t="s">
        <v>57</v>
      </c>
      <c r="B3" t="s">
        <v>3</v>
      </c>
      <c r="C3" t="s">
        <v>4</v>
      </c>
      <c r="D3" t="s">
        <v>58</v>
      </c>
      <c r="E3" s="2" t="s">
        <v>59</v>
      </c>
    </row>
    <row r="4" spans="1:7" ht="14.45">
      <c r="A4" s="37" t="s">
        <v>60</v>
      </c>
      <c r="B4" s="37" t="s">
        <v>60</v>
      </c>
      <c r="C4" s="4" t="s">
        <v>61</v>
      </c>
      <c r="G4" s="3"/>
    </row>
    <row r="5" spans="1:7" ht="14.45">
      <c r="A5" s="37" t="s">
        <v>62</v>
      </c>
      <c r="B5" s="37" t="s">
        <v>62</v>
      </c>
      <c r="C5" s="4" t="s">
        <v>61</v>
      </c>
      <c r="G5" s="3"/>
    </row>
    <row r="6" spans="1:7" ht="14.45">
      <c r="A6" s="37" t="s">
        <v>63</v>
      </c>
      <c r="B6" s="37" t="s">
        <v>63</v>
      </c>
      <c r="C6" s="4" t="s">
        <v>61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4402F0CB-0A7A-4413-AE77-3CAA13364ACE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