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" documentId="13_ncr:1_{EEB8681B-CB07-4713-BE5A-49DAE6BE5047}" xr6:coauthVersionLast="47" xr6:coauthVersionMax="47" xr10:uidLastSave="{E08BE765-E396-4909-996C-5AD6AF61F532}"/>
  <bookViews>
    <workbookView xWindow="-108" yWindow="-108" windowWidth="23256" windowHeight="13896" tabRatio="866" firstSheet="4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E4" i="4"/>
  <c r="G4" i="30"/>
  <c r="G4" i="29"/>
  <c r="G4" i="18"/>
  <c r="G4" i="1"/>
  <c r="E4" i="28"/>
  <c r="E4" i="26"/>
  <c r="H4" i="4"/>
  <c r="H4" i="3"/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F4" i="3"/>
  <c r="I4" i="3"/>
  <c r="E5" i="3"/>
  <c r="F5" i="3" s="1"/>
  <c r="H5" i="3"/>
  <c r="I5" i="3" s="1"/>
  <c r="E6" i="72"/>
  <c r="F6" i="72" s="1"/>
  <c r="H6" i="72"/>
  <c r="I6" i="72" s="1"/>
  <c r="G4" i="34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F4" i="28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F4" i="26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I4" i="4"/>
  <c r="F4" i="4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A1" i="72" a="1"/>
  <c r="A1" i="72" s="1"/>
  <c r="H2" i="33" l="1"/>
  <c r="I2" i="33" s="1"/>
  <c r="E4" i="30"/>
  <c r="F4" i="30" s="1"/>
  <c r="H2" i="27"/>
  <c r="I2" i="27" s="1"/>
  <c r="H2" i="26"/>
  <c r="I2" i="26" s="1"/>
  <c r="E2" i="20"/>
  <c r="F2" i="20" s="1"/>
  <c r="J2" i="4"/>
  <c r="H2" i="21"/>
  <c r="I2" i="21" s="1"/>
  <c r="J2" i="21"/>
  <c r="H2" i="20"/>
  <c r="I2" i="20" s="1"/>
  <c r="D2" i="18"/>
  <c r="E4" i="18"/>
  <c r="F4" i="18" s="1"/>
  <c r="J2" i="20"/>
  <c r="H2" i="19"/>
  <c r="I2" i="19" s="1"/>
  <c r="J2" i="19"/>
  <c r="D2" i="29"/>
  <c r="J2" i="26"/>
  <c r="J2" i="27"/>
  <c r="E2" i="28"/>
  <c r="F2" i="28" s="1"/>
  <c r="J2" i="28"/>
  <c r="J2" i="31"/>
  <c r="J2" i="33"/>
  <c r="D4" i="34"/>
  <c r="D2" i="34" s="1"/>
  <c r="J2" i="32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I4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<sst xmlns="http://schemas.openxmlformats.org/spreadsheetml/2006/main" count="241" uniqueCount="54">
  <si>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</si>
  <si>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</si>
  <si>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</si>
  <si>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</si>
  <si>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</si>
  <si>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</si>
  <si>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</si>
  <si>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</si>
  <si>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</si>
  <si>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</si>
  <si>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</si>
  <si>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</si>
  <si>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</si>
  <si>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</si>
  <si>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</si>
  <si>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</si>
  <si>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</si>
  <si>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</si>
  <si>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</si>
  <si>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</si>
  <si>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</si>
  <si>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</si>
  <si>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1.Low generation due to weather/snow  on 01/10 to 01/12
</t>
  </si>
  <si>
    <t>February Actual v. Expected</t>
  </si>
  <si>
    <t>February Actual v. Forecasted</t>
  </si>
  <si>
    <t xml:space="preserve">1.Low generation due to weather/snow on 02/08, 02/14 and 02/15
</t>
  </si>
  <si>
    <t>March Actual v. Expected</t>
  </si>
  <si>
    <t>March Actual v. Forecasted</t>
  </si>
  <si>
    <t xml:space="preserve">1.Low generation due to weather/snow on 03/04, 03/15 and 03/30
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</si>
  <si>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</si>
  <si>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</si>
  <si>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</si>
  <si>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</si>
  <si>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</si>
  <si>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</si>
  <si>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</si>
  <si>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</si>
  <si>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</si>
  <si>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</si>
  <si>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</si>
  <si>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</si>
  <si>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</si>
  <si>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</si>
  <si>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</si>
  <si>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</si>
  <si>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</si>
  <si>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</si>
  <si>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</si>
  <si>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MAC Phase II</t>
  </si>
  <si>
    <t>Site DAS Name</t>
  </si>
  <si>
    <t>Update</t>
  </si>
  <si>
    <t>DAS</t>
  </si>
  <si>
    <t>MAC - Phase 2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</si>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</sst>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23" fillId="0" borderId="12" xfId="0" applyFont="1" applyBorder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outline="0">
        <left style="thin">
          <color rgb="FF000000"/>
        </left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outline="0">
        <right style="thin">
          <color rgb="FF000000"/>
        </right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1"/>
  <sheetViews>
    <sheetView workbookViewId="0">
      <pane ySplit="2" topLeftCell="A3" activePane="bottomLeft" state="frozen"/>
      <selection pane="bottomLeft" activeCell="G4" sqref="G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>
      <c r="A2" s="47" t="s">
        <v>2</v>
      </c>
      <c r="B2" s="47"/>
      <c r="C2" s="6">
        <f>SUM(C4:C89)</f>
        <v>199984</v>
      </c>
      <c r="D2" s="6">
        <f>SUM(D4:D89)</f>
        <v>244996.12400000001</v>
      </c>
      <c r="E2" s="6">
        <f>C2-D2</f>
        <v>-45012.124000000011</v>
      </c>
      <c r="F2" s="7">
        <f>IFERROR(E2/D2, 0)</f>
        <v>-0.18372586172016342</v>
      </c>
      <c r="G2" s="6">
        <f>SUM(G4:G89)</f>
        <v>264580.01199999999</v>
      </c>
      <c r="H2" s="8">
        <f>C2-G2</f>
        <v>-64596.011999999988</v>
      </c>
      <c r="I2" s="7">
        <f>IFERROR(H2/G2, 0)</f>
        <v>-0.24414547233447095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SUM('1st Qtr'!C4, '2nd Qtr'!C4, '3rd Qtr'!C4, '4th Qtr'!C4)</f>
        <v>199984</v>
      </c>
      <c r="D4" s="14">
        <f>SUM('1st Qtr'!D4, '2nd Qtr'!D4, '3rd Qtr'!D4, '4th Qtr'!D4)</f>
        <v>244996.12400000001</v>
      </c>
      <c r="E4" s="14">
        <f>IF(AND(ISNUMBER(C4),ISNUMBER(D4)), C4-D4, "")</f>
        <v>-45012.124000000011</v>
      </c>
      <c r="F4" s="15">
        <f>IFERROR(E4/D4, 0)</f>
        <v>-0.18372586172016342</v>
      </c>
      <c r="G4" s="16">
        <f>SUM('1st Qtr'!G4,'2nd Qtr'!G4,'3rd Qtr'!G4,'4th Qtr'!G4)</f>
        <v>264580.01199999999</v>
      </c>
      <c r="H4" s="16">
        <f>SUM('1st Qtr'!H4, '2nd Qtr'!H4, '3rd Qtr'!H4, '4th Qtr'!H4)</f>
        <v>-64596.012000000002</v>
      </c>
      <c r="I4" s="17">
        <f>IFERROR(H4/G4, 0)</f>
        <v>-0.24414547233447101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9 I4:I8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1"/>
  <sheetViews>
    <sheetView workbookViewId="0">
      <pane ySplit="2" topLeftCell="A3" activePane="bottomLeft" state="frozen"/>
      <selection pane="bottomLeft" activeCell="L35" sqref="L35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>
      <c r="A2" s="47" t="s">
        <v>2</v>
      </c>
      <c r="B2" s="47"/>
      <c r="C2" s="6">
        <f>SUM(C4:C89)</f>
        <v>199984</v>
      </c>
      <c r="D2" s="6">
        <f>SUM(D4:D89)</f>
        <v>244996.12400000001</v>
      </c>
      <c r="E2" s="6">
        <f>C2-D2</f>
        <v>-45012.124000000011</v>
      </c>
      <c r="F2" s="7">
        <f>IFERROR(E2/D2, 0)</f>
        <v>-0.18372586172016342</v>
      </c>
      <c r="G2" s="6">
        <f>SUM(G4:G89)</f>
        <v>264580.01199999999</v>
      </c>
      <c r="H2" s="8">
        <f>C2-G2</f>
        <v>-64596.011999999988</v>
      </c>
      <c r="I2" s="7">
        <f>IFERROR(H2/G2, 0)</f>
        <v>-0.24414547233447095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SUM(Jan!C4, Feb!C4, Mar!C4)</f>
        <v>199984</v>
      </c>
      <c r="D4" s="14">
        <f>SUM(Jan!D4, Feb!D4, Mar!D4)</f>
        <v>244996.12400000001</v>
      </c>
      <c r="E4" s="14">
        <f>IF(AND(ISNUMBER(C4),ISNUMBER(D4)), C4-D4, "")</f>
        <v>-45012.124000000011</v>
      </c>
      <c r="F4" s="15">
        <f>IFERROR(E4/D4, 0)</f>
        <v>-0.18372586172016342</v>
      </c>
      <c r="G4" s="16">
        <f>SUM(Jan!G4, Feb!G4, Mar!G4)</f>
        <v>264580.01199999999</v>
      </c>
      <c r="H4" s="16">
        <f>SUM(Jan!H4, Feb!H4, Mar!H4)</f>
        <v>-64596.012000000002</v>
      </c>
      <c r="I4" s="17">
        <f>IFERROR(H4/G4, 0)</f>
        <v>-0.24414547233447101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9 I4:I8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4" activePane="bottomLeft" state="frozen"/>
      <selection pane="bottomLeft" activeCell="G4" sqref="G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>
      <c r="A2" s="47" t="s">
        <v>2</v>
      </c>
      <c r="B2" s="47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4" sqref="G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>
      <c r="A2" s="47" t="s">
        <v>2</v>
      </c>
      <c r="B2" s="47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H13" sqref="H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>
      <c r="A2" s="47" t="s">
        <v>2</v>
      </c>
      <c r="B2" s="47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J9" sqref="J9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SUM(C4:C89)</f>
        <v>46101</v>
      </c>
      <c r="D2" s="6">
        <f>SUM(D4:D89)</f>
        <v>64941.199000000001</v>
      </c>
      <c r="E2" s="6">
        <f>C2-D2</f>
        <v>-18840.199000000001</v>
      </c>
      <c r="F2" s="7">
        <f>IFERROR(E2/D2, 0)</f>
        <v>-0.2901116593181472</v>
      </c>
      <c r="G2" s="6">
        <f>SUM(G4:G89)</f>
        <v>73747</v>
      </c>
      <c r="H2" s="8">
        <f>C2-G2</f>
        <v>-27646</v>
      </c>
      <c r="I2" s="7">
        <f>IFERROR(H2/G2, 0)</f>
        <v>-0.37487626615319947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MAC - Phase 2</v>
      </c>
      <c r="B4" s="30" t="str" cm="1">
        <f t="array" ref="B4">Sites[State]</f>
        <v>MN</v>
      </c>
      <c r="C4" s="26">
        <v>46101</v>
      </c>
      <c r="D4" s="14">
        <v>64941.199000000001</v>
      </c>
      <c r="E4" s="14">
        <f>IF(AND(ISNUMBER(C4),ISNUMBER(D4)), C4-D4, "")</f>
        <v>-18840.199000000001</v>
      </c>
      <c r="F4" s="15">
        <f>IFERROR(E4/D4, 0)</f>
        <v>-0.2901116593181472</v>
      </c>
      <c r="G4" s="16">
        <v>73747</v>
      </c>
      <c r="H4" s="16">
        <f>IF(AND(ISNUMBER(C4),ISNUMBER(G4)), C4-G4, "")</f>
        <v>-27646</v>
      </c>
      <c r="I4" s="17">
        <f>IFERROR(H4/G4, 0)</f>
        <v>-0.37487626615319947</v>
      </c>
      <c r="J4" s="18" t="s">
        <v>22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8" priority="2" stopIfTrue="1" operator="lessThanOrEqual">
      <formula>-0.1</formula>
    </cfRule>
    <cfRule type="expression" dxfId="27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J4" sqref="J4"/>
      <selection activeCell="J19" sqref="J1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23</v>
      </c>
      <c r="E1" s="46"/>
      <c r="F1" s="46"/>
      <c r="G1" s="44" t="s">
        <v>24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61931</v>
      </c>
      <c r="D2" s="6">
        <f>SUM(D4:D90)</f>
        <v>78901.979000000007</v>
      </c>
      <c r="E2" s="6">
        <f>C2-D2</f>
        <v>-16970.979000000007</v>
      </c>
      <c r="F2" s="7">
        <f>IFERROR(E2/D2, 0)</f>
        <v>-0.21508939591996806</v>
      </c>
      <c r="G2" s="6">
        <f>SUM(G4:G90)</f>
        <v>86820</v>
      </c>
      <c r="H2" s="8">
        <f>C2-G2</f>
        <v>-24889</v>
      </c>
      <c r="I2" s="7">
        <f>IFERROR(H2/G2, 0)</f>
        <v>-0.28667357751670119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MAC - Phase 2</v>
      </c>
      <c r="B4" s="30" t="str" cm="1">
        <f t="array" ref="B4">Sites[State]</f>
        <v>MN</v>
      </c>
      <c r="C4" s="26">
        <v>61931</v>
      </c>
      <c r="D4" s="14">
        <v>78901.979000000007</v>
      </c>
      <c r="E4" s="14">
        <f>IF(AND(ISNUMBER(C4),ISNUMBER(D4)), C4-D4, "")</f>
        <v>-16970.979000000007</v>
      </c>
      <c r="F4" s="15">
        <f>IFERROR(E4/D4, "")</f>
        <v>-0.21508939591996806</v>
      </c>
      <c r="G4" s="16">
        <v>86820</v>
      </c>
      <c r="H4" s="16">
        <f>IF(AND(ISNUMBER(C4),ISNUMBER(G4)), C4-G4, "")</f>
        <v>-24889</v>
      </c>
      <c r="I4" s="17">
        <f>IFERROR(H4/G4, "")</f>
        <v>-0.28667357751670119</v>
      </c>
      <c r="J4" s="18" t="s">
        <v>25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5:F90 I5:I90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 I4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16" activePane="bottomLeft" state="frozen"/>
      <selection pane="bottomLeft" activeCell="A16" sqref="A16"/>
      <selection activeCell="J19" sqref="J1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26</v>
      </c>
      <c r="E1" s="46"/>
      <c r="F1" s="46"/>
      <c r="G1" s="44" t="s">
        <v>27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91952</v>
      </c>
      <c r="D2" s="6">
        <f>SUM(D4:D90)</f>
        <v>101152.946</v>
      </c>
      <c r="E2" s="6">
        <f>C2-D2</f>
        <v>-9200.9459999999963</v>
      </c>
      <c r="F2" s="7">
        <f>IFERROR(E2/D2, 0)</f>
        <v>-9.0960731880216292E-2</v>
      </c>
      <c r="G2" s="6">
        <f>SUM(G4:G90)</f>
        <v>104013.012</v>
      </c>
      <c r="H2" s="8">
        <f>C2-G2</f>
        <v>-12061.012000000002</v>
      </c>
      <c r="I2" s="7">
        <f>IFERROR(H2/G2, 0)</f>
        <v>-0.11595676125598596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MAC - Phase 2</v>
      </c>
      <c r="B4" s="30" t="str" cm="1">
        <f t="array" ref="B4">Sites[State]</f>
        <v>MN</v>
      </c>
      <c r="C4" s="26">
        <v>91952</v>
      </c>
      <c r="D4" s="14">
        <v>101152.946</v>
      </c>
      <c r="E4" s="14">
        <f>IF(AND(ISNUMBER(C4),ISNUMBER(D4)), C4-D4, "")</f>
        <v>-9200.9459999999963</v>
      </c>
      <c r="F4" s="15">
        <f>IFERROR(E4/D4, "")</f>
        <v>-9.0960731880216292E-2</v>
      </c>
      <c r="G4" s="16">
        <v>104013.012</v>
      </c>
      <c r="H4" s="16">
        <f>IF(AND(ISNUMBER(C4),ISNUMBER(G4)), C4-G4, "")</f>
        <v>-12061.012000000002</v>
      </c>
      <c r="I4" s="17">
        <f>IFERROR(H4/G4, "")</f>
        <v>-0.11595676125598596</v>
      </c>
      <c r="J4" s="18" t="s">
        <v>28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abSelected="1" workbookViewId="0">
      <pane ySplit="2" topLeftCell="A3" activePane="bottomLeft" state="frozen"/>
      <selection pane="bottomLeft" activeCell="A3" sqref="A3"/>
      <selection activeCell="J19" sqref="J1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29</v>
      </c>
      <c r="E1" s="46"/>
      <c r="F1" s="46"/>
      <c r="G1" s="44" t="s">
        <v>30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31</v>
      </c>
      <c r="E1" s="46"/>
      <c r="F1" s="46"/>
      <c r="G1" s="44" t="s">
        <v>32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33</v>
      </c>
      <c r="E1" s="46"/>
      <c r="F1" s="46"/>
      <c r="G1" s="44" t="s">
        <v>34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7"/>
  <sheetViews>
    <sheetView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35</v>
      </c>
      <c r="E1" s="46"/>
      <c r="F1" s="46"/>
      <c r="G1" s="44" t="s">
        <v>36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85 I4:I85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topLeftCell="B1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37</v>
      </c>
      <c r="E1" s="46"/>
      <c r="F1" s="46"/>
      <c r="G1" s="44" t="s">
        <v>38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1"/>
  <sheetViews>
    <sheetView topLeftCell="B1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39</v>
      </c>
      <c r="E1" s="46"/>
      <c r="F1" s="46"/>
      <c r="G1" s="44" t="s">
        <v>40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41</v>
      </c>
      <c r="E1" s="46"/>
      <c r="F1" s="46"/>
      <c r="G1" s="44" t="s">
        <v>42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43</v>
      </c>
      <c r="E1" s="46"/>
      <c r="F1" s="46"/>
      <c r="G1" s="44" t="s">
        <v>44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topLeftCell="B1" zoomScale="90" zoomScaleNormal="9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45</v>
      </c>
      <c r="E1" s="46"/>
      <c r="F1" s="46"/>
      <c r="G1" s="44" t="s">
        <v>46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18" sqref="B1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47</v>
      </c>
      <c r="B1" s="36" t="s">
        <v>48</v>
      </c>
    </row>
    <row r="3" spans="1:7" ht="13.15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7" ht="14.45">
      <c r="A4" s="36" t="s">
        <v>48</v>
      </c>
      <c r="B4" s="43" t="s">
        <v>52</v>
      </c>
      <c r="C4" s="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AAD458AE-E9CA-4F2C-9EDF-3E82D04EED1C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Chase, Henry</cp:lastModifiedBy>
  <cp:revision/>
  <dcterms:created xsi:type="dcterms:W3CDTF">2021-01-01T16:39:53Z</dcterms:created>
  <dcterms:modified xsi:type="dcterms:W3CDTF">2025-10-23T14:34:01Z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2025-10-23T14:33:56Z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b3a78e8c-a914-4ad9-be1b-d1970bc0dc72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