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7D90B308-62F8-4784-83BB-42C83A762F91}" xr6:coauthVersionLast="47" xr6:coauthVersionMax="47" xr10:uidLastSave="{00000000-0000-0000-0000-000000000000}"/>
  <bookViews>
    <workbookView xWindow="28680" yWindow="-120" windowWidth="29040" windowHeight="15720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8" l="1"/>
  <c r="H6" i="18"/>
  <c r="H7" i="18"/>
  <c r="H8" i="18"/>
  <c r="H4" i="18"/>
  <c r="G5" i="18"/>
  <c r="G6" i="18"/>
  <c r="G7" i="18"/>
  <c r="G8" i="18"/>
  <c r="G4" i="18"/>
  <c r="D5" i="18"/>
  <c r="D6" i="18"/>
  <c r="D7" i="18"/>
  <c r="D8" i="18"/>
  <c r="D4" i="18"/>
  <c r="C5" i="18"/>
  <c r="C6" i="18"/>
  <c r="C7" i="18"/>
  <c r="C8" i="18"/>
  <c r="C4" i="18"/>
  <c r="H5" i="30"/>
  <c r="H6" i="30"/>
  <c r="H7" i="30"/>
  <c r="H8" i="30"/>
  <c r="H4" i="30"/>
  <c r="G5" i="30"/>
  <c r="G6" i="30"/>
  <c r="G7" i="30"/>
  <c r="G8" i="30"/>
  <c r="G4" i="30"/>
  <c r="D5" i="30"/>
  <c r="D6" i="30"/>
  <c r="D7" i="30"/>
  <c r="D8" i="30"/>
  <c r="D4" i="30"/>
  <c r="C5" i="30"/>
  <c r="C6" i="30"/>
  <c r="C7" i="30"/>
  <c r="C8" i="30"/>
  <c r="C4" i="30"/>
  <c r="H5" i="29"/>
  <c r="H6" i="29"/>
  <c r="H7" i="29"/>
  <c r="H8" i="29"/>
  <c r="H4" i="29"/>
  <c r="G5" i="29"/>
  <c r="G6" i="29"/>
  <c r="G7" i="29"/>
  <c r="G8" i="29"/>
  <c r="G4" i="29"/>
  <c r="D5" i="29"/>
  <c r="E5" i="29" s="1"/>
  <c r="F5" i="29" s="1"/>
  <c r="D6" i="29"/>
  <c r="D7" i="29"/>
  <c r="D8" i="29"/>
  <c r="D4" i="29"/>
  <c r="C5" i="29"/>
  <c r="C6" i="29"/>
  <c r="C7" i="29"/>
  <c r="C8" i="29"/>
  <c r="C4" i="29"/>
  <c r="G5" i="1"/>
  <c r="G6" i="1"/>
  <c r="G7" i="1"/>
  <c r="G8" i="1"/>
  <c r="G4" i="1"/>
  <c r="D5" i="1"/>
  <c r="D6" i="1"/>
  <c r="D7" i="1"/>
  <c r="D8" i="1"/>
  <c r="D4" i="1"/>
  <c r="C5" i="1"/>
  <c r="C6" i="1"/>
  <c r="C7" i="1"/>
  <c r="C8" i="1"/>
  <c r="C4" i="1"/>
  <c r="H5" i="4"/>
  <c r="I5" i="4" s="1"/>
  <c r="H6" i="4"/>
  <c r="I6" i="4" s="1"/>
  <c r="H7" i="4"/>
  <c r="I7" i="4" s="1"/>
  <c r="H8" i="4"/>
  <c r="I8" i="4" s="1"/>
  <c r="E5" i="4"/>
  <c r="F5" i="4" s="1"/>
  <c r="E6" i="4"/>
  <c r="F6" i="4" s="1"/>
  <c r="E7" i="4"/>
  <c r="F7" i="4" s="1"/>
  <c r="E8" i="4"/>
  <c r="F8" i="4" s="1"/>
  <c r="A4" i="20" a="1"/>
  <c r="A4" i="20" s="1"/>
  <c r="A4" i="19" a="1"/>
  <c r="A4" i="19" s="1"/>
  <c r="A4" i="26" a="1"/>
  <c r="A4" i="26"/>
  <c r="A4" i="27" a="1"/>
  <c r="A4" i="27"/>
  <c r="A4" i="28" a="1"/>
  <c r="A4" i="28"/>
  <c r="A4" i="31" a="1"/>
  <c r="A4" i="31"/>
  <c r="A4" i="32" a="1"/>
  <c r="A4" i="32" s="1"/>
  <c r="A4" i="33" a="1"/>
  <c r="A4" i="33" s="1"/>
  <c r="A4" i="21" a="1"/>
  <c r="A4" i="21"/>
  <c r="A4" i="4" a="1"/>
  <c r="A4" i="4" s="1"/>
  <c r="A4" i="72" a="1"/>
  <c r="A4" i="72" s="1"/>
  <c r="A4" i="3" a="1"/>
  <c r="A4" i="3" s="1"/>
  <c r="H4" i="3"/>
  <c r="I4" i="3" s="1"/>
  <c r="H5" i="3"/>
  <c r="I5" i="3" s="1"/>
  <c r="H6" i="3"/>
  <c r="I6" i="3" s="1"/>
  <c r="H7" i="3"/>
  <c r="I7" i="3" s="1"/>
  <c r="H8" i="3"/>
  <c r="I8" i="3" s="1"/>
  <c r="E4" i="3"/>
  <c r="F4" i="3" s="1"/>
  <c r="E5" i="3"/>
  <c r="F5" i="3" s="1"/>
  <c r="E6" i="3"/>
  <c r="F6" i="3" s="1"/>
  <c r="E7" i="3"/>
  <c r="F7" i="3" s="1"/>
  <c r="E8" i="3"/>
  <c r="F8" i="3" s="1"/>
  <c r="H4" i="72"/>
  <c r="H5" i="72"/>
  <c r="H6" i="72"/>
  <c r="H7" i="72"/>
  <c r="H8" i="72"/>
  <c r="E4" i="72"/>
  <c r="F4" i="72" s="1"/>
  <c r="E5" i="72"/>
  <c r="F5" i="72" s="1"/>
  <c r="E6" i="72"/>
  <c r="F6" i="72" s="1"/>
  <c r="E7" i="72"/>
  <c r="F7" i="72" s="1"/>
  <c r="E8" i="72"/>
  <c r="F8" i="72" s="1"/>
  <c r="H12" i="31"/>
  <c r="I12" i="31" s="1"/>
  <c r="G2" i="31"/>
  <c r="E7" i="27"/>
  <c r="F7" i="27" s="1"/>
  <c r="H6" i="19"/>
  <c r="E6" i="19"/>
  <c r="F6" i="19" s="1"/>
  <c r="H5" i="19"/>
  <c r="I5" i="19" s="1"/>
  <c r="E5" i="19"/>
  <c r="F5" i="19" s="1"/>
  <c r="H4" i="19"/>
  <c r="I4" i="19" s="1"/>
  <c r="E4" i="19"/>
  <c r="F4" i="19" s="1"/>
  <c r="H12" i="19"/>
  <c r="I12" i="19" s="1"/>
  <c r="E12" i="19"/>
  <c r="F12" i="19" s="1"/>
  <c r="H11" i="19"/>
  <c r="E11" i="19"/>
  <c r="H10" i="19"/>
  <c r="E10" i="19"/>
  <c r="H9" i="19"/>
  <c r="E9" i="19"/>
  <c r="H8" i="19"/>
  <c r="I8" i="19" s="1"/>
  <c r="E8" i="19"/>
  <c r="F8" i="19" s="1"/>
  <c r="H7" i="19"/>
  <c r="I7" i="19" s="1"/>
  <c r="E7" i="19"/>
  <c r="F7" i="19" s="1"/>
  <c r="H4" i="21"/>
  <c r="I4" i="21" s="1"/>
  <c r="H5" i="21"/>
  <c r="I5" i="21" s="1"/>
  <c r="H6" i="21"/>
  <c r="I6" i="21" s="1"/>
  <c r="H7" i="21"/>
  <c r="I7" i="21" s="1"/>
  <c r="F4" i="21"/>
  <c r="E4" i="21"/>
  <c r="E5" i="21"/>
  <c r="F5" i="21" s="1"/>
  <c r="E6" i="21"/>
  <c r="F6" i="21" s="1"/>
  <c r="E7" i="21"/>
  <c r="F7" i="21" s="1"/>
  <c r="E4" i="32"/>
  <c r="F4" i="32" s="1"/>
  <c r="H4" i="32"/>
  <c r="I4" i="32"/>
  <c r="E5" i="32"/>
  <c r="F5" i="32" s="1"/>
  <c r="H5" i="32"/>
  <c r="I5" i="32" s="1"/>
  <c r="E6" i="32"/>
  <c r="F6" i="32" s="1"/>
  <c r="H6" i="32"/>
  <c r="I6" i="32" s="1"/>
  <c r="E7" i="32"/>
  <c r="F7" i="32" s="1"/>
  <c r="H7" i="32"/>
  <c r="I7" i="32" s="1"/>
  <c r="E8" i="32"/>
  <c r="F8" i="32" s="1"/>
  <c r="H8" i="32"/>
  <c r="I8" i="32" s="1"/>
  <c r="E4" i="33"/>
  <c r="F4" i="33" s="1"/>
  <c r="H4" i="33"/>
  <c r="I4" i="33" s="1"/>
  <c r="E5" i="33"/>
  <c r="F5" i="33" s="1"/>
  <c r="H5" i="33"/>
  <c r="I5" i="33" s="1"/>
  <c r="E6" i="33"/>
  <c r="F6" i="33" s="1"/>
  <c r="H6" i="33"/>
  <c r="I6" i="33" s="1"/>
  <c r="E7" i="33"/>
  <c r="F7" i="33" s="1"/>
  <c r="H7" i="33"/>
  <c r="I7" i="33" s="1"/>
  <c r="E8" i="33"/>
  <c r="F8" i="33" s="1"/>
  <c r="H8" i="33"/>
  <c r="I8" i="33"/>
  <c r="H4" i="20"/>
  <c r="I4" i="20" s="1"/>
  <c r="H5" i="20"/>
  <c r="I5" i="20" s="1"/>
  <c r="E4" i="20"/>
  <c r="F4" i="20" s="1"/>
  <c r="E5" i="20"/>
  <c r="F5" i="20" s="1"/>
  <c r="H12" i="33"/>
  <c r="I12" i="33" s="1"/>
  <c r="E12" i="33"/>
  <c r="F12" i="33" s="1"/>
  <c r="H11" i="33"/>
  <c r="I11" i="33" s="1"/>
  <c r="E11" i="33"/>
  <c r="F11" i="33" s="1"/>
  <c r="H12" i="32"/>
  <c r="I12" i="32" s="1"/>
  <c r="E12" i="32"/>
  <c r="F12" i="32" s="1"/>
  <c r="H11" i="32"/>
  <c r="I11" i="32" s="1"/>
  <c r="E11" i="32"/>
  <c r="F11" i="32" s="1"/>
  <c r="E12" i="31"/>
  <c r="F12" i="31" s="1"/>
  <c r="H11" i="31"/>
  <c r="I11" i="31" s="1"/>
  <c r="E11" i="31"/>
  <c r="F11" i="31" s="1"/>
  <c r="H12" i="28"/>
  <c r="I12" i="28" s="1"/>
  <c r="E12" i="28"/>
  <c r="F12" i="28" s="1"/>
  <c r="H11" i="28"/>
  <c r="I11" i="28" s="1"/>
  <c r="E11" i="28"/>
  <c r="F11" i="28" s="1"/>
  <c r="H12" i="27"/>
  <c r="I12" i="27" s="1"/>
  <c r="E12" i="27"/>
  <c r="F12" i="27" s="1"/>
  <c r="H11" i="27"/>
  <c r="I11" i="27" s="1"/>
  <c r="E11" i="27"/>
  <c r="F11" i="27" s="1"/>
  <c r="H12" i="26"/>
  <c r="I12" i="26" s="1"/>
  <c r="E12" i="26"/>
  <c r="F12" i="26" s="1"/>
  <c r="H11" i="26"/>
  <c r="I11" i="26" s="1"/>
  <c r="E11" i="26"/>
  <c r="F11" i="26" s="1"/>
  <c r="I11" i="19"/>
  <c r="F11" i="19"/>
  <c r="H4" i="4"/>
  <c r="I4" i="4" s="1"/>
  <c r="E4" i="4"/>
  <c r="F4" i="4" s="1"/>
  <c r="A4" i="30" a="1"/>
  <c r="A4" i="30" s="1"/>
  <c r="B4" i="34" a="1"/>
  <c r="B4" i="34" s="1"/>
  <c r="A4" i="34" a="1"/>
  <c r="A4" i="34" s="1"/>
  <c r="A1" i="34" a="1"/>
  <c r="A1" i="34" s="1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B4" i="1" a="1"/>
  <c r="B4" i="1" s="1"/>
  <c r="A4" i="1" a="1"/>
  <c r="A4" i="1" s="1"/>
  <c r="A1" i="1" a="1"/>
  <c r="A1" i="1" s="1"/>
  <c r="H10" i="33"/>
  <c r="I10" i="33" s="1"/>
  <c r="E10" i="33"/>
  <c r="F10" i="33" s="1"/>
  <c r="H9" i="33"/>
  <c r="I9" i="33" s="1"/>
  <c r="E9" i="33"/>
  <c r="F9" i="33" s="1"/>
  <c r="G2" i="33"/>
  <c r="D2" i="33"/>
  <c r="C2" i="33"/>
  <c r="A1" i="33" a="1"/>
  <c r="A1" i="33" s="1"/>
  <c r="H10" i="32"/>
  <c r="I10" i="32" s="1"/>
  <c r="E10" i="32"/>
  <c r="F10" i="32" s="1"/>
  <c r="H9" i="32"/>
  <c r="I9" i="32" s="1"/>
  <c r="E9" i="32"/>
  <c r="F9" i="32" s="1"/>
  <c r="G2" i="32"/>
  <c r="D2" i="32"/>
  <c r="C2" i="32"/>
  <c r="A1" i="32" a="1"/>
  <c r="A1" i="32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D2" i="31"/>
  <c r="C2" i="31"/>
  <c r="A1" i="31" a="1"/>
  <c r="A1" i="31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G2" i="28"/>
  <c r="D2" i="28"/>
  <c r="C2" i="28"/>
  <c r="A1" i="28" a="1"/>
  <c r="A1" i="28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0" i="26"/>
  <c r="E10" i="26"/>
  <c r="F10" i="26" s="1"/>
  <c r="H9" i="26"/>
  <c r="I9" i="26" s="1"/>
  <c r="E9" i="26"/>
  <c r="F9" i="26" s="1"/>
  <c r="H8" i="26"/>
  <c r="I8" i="26" s="1"/>
  <c r="E8" i="26"/>
  <c r="F8" i="26" s="1"/>
  <c r="H7" i="26"/>
  <c r="E7" i="26"/>
  <c r="F7" i="26" s="1"/>
  <c r="H6" i="26"/>
  <c r="I6" i="26" s="1"/>
  <c r="E6" i="26"/>
  <c r="F6" i="26" s="1"/>
  <c r="H5" i="26"/>
  <c r="I5" i="26" s="1"/>
  <c r="E5" i="26"/>
  <c r="F5" i="26" s="1"/>
  <c r="H4" i="26"/>
  <c r="E4" i="26"/>
  <c r="F4" i="26" s="1"/>
  <c r="G2" i="26"/>
  <c r="D2" i="26"/>
  <c r="C2" i="26"/>
  <c r="A1" i="26" a="1"/>
  <c r="A1" i="26" s="1"/>
  <c r="I10" i="19"/>
  <c r="F10" i="19"/>
  <c r="I9" i="19"/>
  <c r="F9" i="19"/>
  <c r="I6" i="19"/>
  <c r="G2" i="19"/>
  <c r="D2" i="19"/>
  <c r="C2" i="19"/>
  <c r="J2" i="19" s="1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I8" i="72" l="1"/>
  <c r="H8" i="1"/>
  <c r="I7" i="72"/>
  <c r="H7" i="1"/>
  <c r="I6" i="72"/>
  <c r="H6" i="1"/>
  <c r="I5" i="72"/>
  <c r="H5" i="1"/>
  <c r="I4" i="72"/>
  <c r="H4" i="1"/>
  <c r="E8" i="1"/>
  <c r="F8" i="1" s="1"/>
  <c r="I7" i="29"/>
  <c r="C5" i="34"/>
  <c r="C7" i="34"/>
  <c r="G7" i="34"/>
  <c r="G2" i="29"/>
  <c r="G6" i="34"/>
  <c r="D8" i="34"/>
  <c r="G5" i="34"/>
  <c r="C8" i="34"/>
  <c r="D5" i="34"/>
  <c r="G8" i="34"/>
  <c r="G2" i="30"/>
  <c r="D6" i="34"/>
  <c r="C6" i="34"/>
  <c r="G4" i="34"/>
  <c r="E7" i="30"/>
  <c r="F7" i="30" s="1"/>
  <c r="D7" i="34"/>
  <c r="E6" i="30"/>
  <c r="F6" i="30" s="1"/>
  <c r="E7" i="29"/>
  <c r="F7" i="29" s="1"/>
  <c r="E8" i="29"/>
  <c r="F8" i="29" s="1"/>
  <c r="E8" i="30"/>
  <c r="F8" i="30" s="1"/>
  <c r="I6" i="30"/>
  <c r="E6" i="29"/>
  <c r="F6" i="29" s="1"/>
  <c r="I8" i="29"/>
  <c r="I7" i="18"/>
  <c r="E6" i="18"/>
  <c r="F6" i="18" s="1"/>
  <c r="E7" i="18"/>
  <c r="F7" i="18" s="1"/>
  <c r="I8" i="18"/>
  <c r="I6" i="18"/>
  <c r="E8" i="18"/>
  <c r="F8" i="18" s="1"/>
  <c r="I6" i="1"/>
  <c r="I7" i="1"/>
  <c r="E6" i="1"/>
  <c r="F6" i="1" s="1"/>
  <c r="E7" i="1"/>
  <c r="F7" i="1" s="1"/>
  <c r="G2" i="18"/>
  <c r="D2" i="30"/>
  <c r="D2" i="18"/>
  <c r="E5" i="18"/>
  <c r="F5" i="18" s="1"/>
  <c r="E4" i="18"/>
  <c r="F4" i="18" s="1"/>
  <c r="D4" i="34"/>
  <c r="E4" i="30"/>
  <c r="F4" i="30" s="1"/>
  <c r="E5" i="30"/>
  <c r="F5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I4" i="30"/>
  <c r="I4" i="26"/>
  <c r="I7" i="26"/>
  <c r="I10" i="26"/>
  <c r="I4" i="29"/>
  <c r="I5" i="29"/>
  <c r="I4" i="18"/>
  <c r="C4" i="34"/>
  <c r="I5" i="18"/>
  <c r="C2" i="29"/>
  <c r="C2" i="30"/>
  <c r="E4" i="29"/>
  <c r="F4" i="29" s="1"/>
  <c r="C2" i="18"/>
  <c r="I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E7" i="34"/>
  <c r="F7" i="34" s="1"/>
  <c r="G2" i="34"/>
  <c r="I5" i="30"/>
  <c r="H5" i="34"/>
  <c r="I5" i="34" s="1"/>
  <c r="I8" i="30"/>
  <c r="H8" i="34"/>
  <c r="I8" i="34" s="1"/>
  <c r="I7" i="30"/>
  <c r="H7" i="34"/>
  <c r="I7" i="34" s="1"/>
  <c r="I6" i="29"/>
  <c r="H6" i="34"/>
  <c r="I6" i="34" s="1"/>
  <c r="E6" i="34"/>
  <c r="F6" i="34" s="1"/>
  <c r="E2" i="29"/>
  <c r="F2" i="29" s="1"/>
  <c r="I8" i="1"/>
  <c r="E8" i="34"/>
  <c r="F8" i="34" s="1"/>
  <c r="D2" i="34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<sst xmlns="http://schemas.openxmlformats.org/spreadsheetml/2006/main" count="281" uniqueCount="87">
  <si>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</si>
  <si>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</si>
  <si>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</si>
  <si>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</si>
  <si>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</si>
  <si>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</si>
  <si>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</si>
  <si>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</si>
  <si>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</si>
  <si>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</si>
  <si>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</si>
  <si>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</si>
  <si>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</si>
  <si>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</si>
  <si>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</si>
  <si>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</si>
  <si>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</si>
  <si>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</si>
  <si>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</si>
  <si>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</si>
  <si>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</si>
  <si>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</si>
  <si>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</si>
  <si>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</si>
  <si>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</si>
  <si>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</si>
  <si>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 xml:space="preserve">1.Inverter 13 has been underproducing by approximately 30 kW compared to its peers since the MC4 connectors were replaced in early December 2024 to resolve ongoing tripping issues. On 03/11, technician replaced 3 fuses with no continuity and inverter started producing inline with peers.
2.Inverter 28 tripped offline at 12:15PM on 03/31 due to  permanent fault of power module - Fault0010 and Power Module Protection - Protect0120.
3.Strings down on inverters 29 and 30 from 03/17.
4.Inverter 66 tripped offline at 16:15 on 03/31 due to AC SPD Fault.
5.Inverter 64 was offline from 12/18/24 which was LOTO'd.
6.Inverters 29, 30, 64, 68, 69, 78,79 and 80 are offline from 12/26/24 and confirmed with Hunt these inverters are LOTOd and back online at 12:15PM on 03/17.
7.Soltec Tracker Full T01: Motors 22, 77, 138 were stuck.
Soltec Tracker Full T02: Motors 4, 21, 23, 32, 37, 58, 61, 83 were stuck.
Soltec Tracker Full T03: Motors 13, 52 were stuck.
Soltec Tracker Full T04: Motors 1, 11, 27, 28, 29, 32, 39, 51, 57, 65, 75, 88, 94, 112, 113 were stuck. 
8. Energy values are updated from 03/11 , and till 03/10 the data is in Ecofin client templete. </t>
  </si>
  <si>
    <t>1.SR098364
2.SR099220
3.SR099222
4.SR099295
5.SR099221
6.SR095849
7.SR099224</t>
  </si>
  <si>
    <t>SR099220</t>
  </si>
  <si>
    <t>SR099222</t>
  </si>
  <si>
    <t>SR099295</t>
  </si>
  <si>
    <t>SR099221</t>
  </si>
  <si>
    <t>SR095849</t>
  </si>
  <si>
    <t>SR099224</t>
  </si>
  <si>
    <t>1.Inverter 21 was derating approximately by 50KW due to external fan fault on high irradiance days. Additionally 5 trackers were stuck.
2.Energy values are updated from 03/11 , and till 03/10 the data is in Ecofin client templete.</t>
  </si>
  <si>
    <t>1.SR097728,SR098569, SR096181 &amp; SR098568.</t>
  </si>
  <si>
    <t>SR098569</t>
  </si>
  <si>
    <t>SR096181</t>
  </si>
  <si>
    <t>SR098568</t>
  </si>
  <si>
    <t>1.Inverter 15 tripped offline at 14:30 on 03/11 due to Inverter Over Current and self-resolved and back online on 03/12.
2.Inverter 18 tripped offline at 12:15PM on 03/22 due to Inverter Over Current - ProtectOO30 and self resolved and back online on 03/23. On 03/26, technician performed firmware upgrade for inverter.
3.All inverters tripped offline from 13:15 on 03/29 due to Grid Phase Voltage Out of Range - GridV.OutLim fault additionally meter stopped communicating.
4.NCU 1 motors 10 and 46 were stuck. On 03/17, the technician ran several reset commands via the Mission Control dashboard—motor 10 resumed tracking, while motor 46 remained stuck and requires motor replacement.
5.NCU 2 motor 7 was stuck and motor was being RMA'd
6.Site tripped tripped offline on 03/16 at 14:15, and later back online on 03/17 (We started monitoring these sites again from 03/21 as per the information provided. Due to this we dont have any SR's for this issue.).
7.Inverter 7 tripped offline at 15:15 on 03/17 and back online on 03/18. (We started monitoring these sites again from 03/21 as per the information provided.Due to this we dont have any SR's for this issue.).
8.Energy values are updated from 03/11 , and till 03/10 the data is in Ecofin client templete.</t>
  </si>
  <si>
    <t>1.SR098302
2.SR098925
3.SR099141
4.SR097757
5.SR098566</t>
  </si>
  <si>
    <t>SR098925</t>
  </si>
  <si>
    <t>SR099141</t>
  </si>
  <si>
    <t>SR097757</t>
  </si>
  <si>
    <t>SR098566</t>
  </si>
  <si>
    <t>1.Hukseflux SR15-D1-POA &amp; Huskseflux SR15-D1-BPOA  stopped communicating from 03/16/25. Huskseflux SR15-D1-BPOA has resumed communication on 03/29.
2.Energy values are updated from 03/11 , and till 03/10 the data is in Ecofin client templete.</t>
  </si>
  <si>
    <t>1.SR099420</t>
  </si>
  <si>
    <t xml:space="preserve">1. Site was not communicated for whole month due to bad modem.
</t>
  </si>
  <si>
    <t>1.SR097305 &amp; SR098700</t>
  </si>
  <si>
    <t>SR098700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</si>
  <si>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</si>
  <si>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</si>
  <si>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</si>
  <si>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</si>
  <si>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</si>
  <si>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</si>
  <si>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</si>
  <si>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</si>
  <si>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</si>
  <si>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</si>
  <si>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</si>
  <si>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</si>
  <si>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</si>
  <si>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</si>
  <si>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</si>
  <si>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</si>
  <si>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</si>
  <si>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</si>
  <si>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</si>
  <si>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True Green Capital Management LLC</t>
  </si>
  <si>
    <t>Site DAS Name</t>
  </si>
  <si>
    <t>Update</t>
  </si>
  <si>
    <t>DAS</t>
  </si>
  <si>
    <t>Fund IV - WestSide Solar MN</t>
  </si>
  <si>
    <t>Rochester - 5516 Valleyhigh NW</t>
  </si>
  <si>
    <t>MN</t>
  </si>
  <si>
    <t>Powertrack</t>
  </si>
  <si>
    <t>Fund IV - Hemings</t>
  </si>
  <si>
    <t>Warsaw - Hemings</t>
  </si>
  <si>
    <t>VA</t>
  </si>
  <si>
    <t>AEF</t>
  </si>
  <si>
    <t>Fund IV - Randolf</t>
  </si>
  <si>
    <t>Mount Jackson - Randolf</t>
  </si>
  <si>
    <t>Fund IV -  Monroe Solar</t>
  </si>
  <si>
    <t>Callands Gretna - Monroe</t>
  </si>
  <si>
    <t>Fund IV - Smallmouth Bass</t>
  </si>
  <si>
    <t>Rockbridge Baths - Small Mouth Bass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</si>
</sst>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6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43" applyFont="1"/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3" fillId="0" borderId="0" xfId="0" applyFont="1"/>
    <xf numFmtId="49" fontId="36" fillId="38" borderId="0" xfId="2" applyNumberFormat="1" applyFont="1" applyFill="1" applyBorder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vertical="center" wrapText="1"/>
    </xf>
    <xf numFmtId="49" fontId="28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Fill="1" applyBorder="1" applyAlignment="1">
      <alignment vertical="center" wrapText="1"/>
    </xf>
    <xf numFmtId="49" fontId="28" fillId="0" borderId="0" xfId="0" applyNumberFormat="1" applyFont="1" applyAlignment="1">
      <alignment vertical="top" wrapText="1"/>
    </xf>
    <xf numFmtId="9" fontId="30" fillId="37" borderId="0" xfId="2" applyFont="1" applyFill="1" applyAlignment="1">
      <alignment horizontal="center" vertical="center"/>
    </xf>
    <xf numFmtId="3" fontId="30" fillId="0" borderId="0" xfId="1" applyNumberFormat="1" applyFont="1" applyAlignment="1">
      <alignment vertical="center"/>
    </xf>
    <xf numFmtId="0" fontId="6" fillId="45" borderId="1" xfId="0" applyFont="1" applyFill="1" applyBorder="1" applyAlignment="1">
      <alignment horizontal="left" vertical="top"/>
    </xf>
    <xf numFmtId="49" fontId="38" fillId="38" borderId="0" xfId="45" applyNumberFormat="1" applyFill="1" applyBorder="1" applyAlignment="1">
      <alignment horizontal="left" vertical="top" wrapText="1"/>
    </xf>
    <xf numFmtId="49" fontId="38" fillId="0" borderId="0" xfId="45" applyNumberFormat="1" applyAlignment="1">
      <alignment horizontal="left" vertical="top" wrapText="1"/>
    </xf>
    <xf numFmtId="0" fontId="38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  <xf numFmtId="0" fontId="35" fillId="0" borderId="0" xfId="0" applyFont="1" applyAlignment="1">
      <alignment horizontal="center" vertical="center"/>
    </xf>
    <xf numFmtId="0" fontId="38" fillId="0" borderId="0" xfId="45"/>
    <xf numFmtId="49" fontId="38" fillId="38" borderId="0" xfId="45" applyNumberForma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8" totalsRowShown="0">
  <autoFilter ref="A3:E8" xr:uid="{C9C95D9E-67ED-41E0-9F41-9C3DA4ACF4CD}"/>
  <sortState xmlns:xlrd2="http://schemas.microsoft.com/office/spreadsheetml/2017/richdata2" ref="A3:D4">
    <sortCondition ref="C3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7728" TargetMode="External"/><Relationship Id="rId13" Type="http://schemas.openxmlformats.org/officeDocument/2006/relationships/hyperlink" Target="https://us3.assetplanner.com/service_request?ID=098925" TargetMode="External"/><Relationship Id="rId18" Type="http://schemas.openxmlformats.org/officeDocument/2006/relationships/hyperlink" Target="https://us3.assetplanner.com/service_request?ID=097305" TargetMode="External"/><Relationship Id="rId3" Type="http://schemas.openxmlformats.org/officeDocument/2006/relationships/hyperlink" Target="https://us3.assetplanner.com/service_request?ID=099222" TargetMode="External"/><Relationship Id="rId7" Type="http://schemas.openxmlformats.org/officeDocument/2006/relationships/hyperlink" Target="https://us3.assetplanner.com/service_request?ID=099224" TargetMode="External"/><Relationship Id="rId12" Type="http://schemas.openxmlformats.org/officeDocument/2006/relationships/hyperlink" Target="https://us3.assetplanner.com/service_request?ID=098302" TargetMode="External"/><Relationship Id="rId17" Type="http://schemas.openxmlformats.org/officeDocument/2006/relationships/hyperlink" Target="https://us3.assetplanner.com/service_request?ID=099420" TargetMode="External"/><Relationship Id="rId2" Type="http://schemas.openxmlformats.org/officeDocument/2006/relationships/hyperlink" Target="https://us3.assetplanner.com/service_request?ID=099220" TargetMode="External"/><Relationship Id="rId16" Type="http://schemas.openxmlformats.org/officeDocument/2006/relationships/hyperlink" Target="https://us3.assetplanner.com/service_request?ID=098566" TargetMode="External"/><Relationship Id="rId1" Type="http://schemas.openxmlformats.org/officeDocument/2006/relationships/hyperlink" Target="https://us3.assetplanner.com/service_request?ID=098364" TargetMode="External"/><Relationship Id="rId6" Type="http://schemas.openxmlformats.org/officeDocument/2006/relationships/hyperlink" Target="https://us3.assetplanner.com/service_request?ID=095849" TargetMode="External"/><Relationship Id="rId11" Type="http://schemas.openxmlformats.org/officeDocument/2006/relationships/hyperlink" Target="https://us3.assetplanner.com/service_request?ID=098568" TargetMode="External"/><Relationship Id="rId5" Type="http://schemas.openxmlformats.org/officeDocument/2006/relationships/hyperlink" Target="https://us3.assetplanner.com/service_request?ID=099221" TargetMode="External"/><Relationship Id="rId15" Type="http://schemas.openxmlformats.org/officeDocument/2006/relationships/hyperlink" Target="https://us3.assetplanner.com/service_request?ID=097757" TargetMode="External"/><Relationship Id="rId10" Type="http://schemas.openxmlformats.org/officeDocument/2006/relationships/hyperlink" Target="https://us3.assetplanner.com/service_request?ID=096181" TargetMode="External"/><Relationship Id="rId19" Type="http://schemas.openxmlformats.org/officeDocument/2006/relationships/hyperlink" Target="https://us3.assetplanner.com/service_request?ID=098700" TargetMode="External"/><Relationship Id="rId4" Type="http://schemas.openxmlformats.org/officeDocument/2006/relationships/hyperlink" Target="https://us3.assetplanner.com/service_request?ID=099295" TargetMode="External"/><Relationship Id="rId9" Type="http://schemas.openxmlformats.org/officeDocument/2006/relationships/hyperlink" Target="https://us3.assetplanner.com/service_request?ID=098569" TargetMode="External"/><Relationship Id="rId14" Type="http://schemas.openxmlformats.org/officeDocument/2006/relationships/hyperlink" Target="https://us3.assetplanner.com/service_request?ID=09914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8"/>
  <sheetViews>
    <sheetView tabSelected="1" workbookViewId="0">
      <pane xSplit="2" ySplit="3" topLeftCell="C4" activePane="bottomRight" state="frozen"/>
      <selection pane="bottomRight" activeCell="F14" sqref="F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True Green Capital Management LLC</v>
      </c>
      <c r="B1" s="65"/>
      <c r="C1" s="65"/>
      <c r="D1" s="66" t="s">
        <v>0</v>
      </c>
      <c r="E1" s="66"/>
      <c r="F1" s="66"/>
      <c r="G1" s="64" t="s">
        <v>1</v>
      </c>
      <c r="H1" s="64"/>
      <c r="I1" s="64"/>
    </row>
    <row r="2" spans="1:9" ht="19.5" customHeight="1">
      <c r="A2" s="67" t="s">
        <v>2</v>
      </c>
      <c r="B2" s="67"/>
      <c r="C2" s="5">
        <f>SUM(C4:C86)</f>
        <v>2648764.2000000002</v>
      </c>
      <c r="D2" s="5">
        <f>SUM(D4:D86)</f>
        <v>2517326.9</v>
      </c>
      <c r="E2" s="5">
        <f>C2-D2</f>
        <v>131437.30000000028</v>
      </c>
      <c r="F2" s="6">
        <f>IFERROR(E2/D2, 0)</f>
        <v>5.2213043923695523E-2</v>
      </c>
      <c r="G2" s="5">
        <f>SUM(G4:G86)</f>
        <v>2572633.7000000002</v>
      </c>
      <c r="H2" s="7">
        <f>C2-G2</f>
        <v>76130.5</v>
      </c>
      <c r="I2" s="6">
        <f>IFERROR(H2/G2, 0)</f>
        <v>2.9592436731276588E-2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8">Sites[Site]</f>
        <v>Rochester - 5516 Valleyhigh NW</v>
      </c>
      <c r="B4" s="9" t="str" cm="1">
        <f t="array" ref="B4:B8">Sites[State]</f>
        <v>MN</v>
      </c>
      <c r="C4" s="24">
        <f>SUM('1st Qtr'!C4, '2nd Qtr'!C4, '3rd Qtr'!C4, '4th Qtr'!C4)</f>
        <v>1225301</v>
      </c>
      <c r="D4" s="13">
        <f>SUM('1st Qtr'!D4, '2nd Qtr'!D4, '3rd Qtr'!D4, '4th Qtr'!D4)</f>
        <v>1270191.7</v>
      </c>
      <c r="E4" s="13">
        <f>IF(AND(ISNUMBER(C4),ISNUMBER(D4)), C4-D4, "")</f>
        <v>-44890.699999999953</v>
      </c>
      <c r="F4" s="14">
        <f>IFERROR(E4/D4, "")</f>
        <v>-3.5341673229324327E-2</v>
      </c>
      <c r="G4" s="15">
        <f>SUM('1st Qtr'!G4, '2nd Qtr'!G4, '3rd Qtr'!G4, '4th Qtr'!G4)</f>
        <v>1235871.8</v>
      </c>
      <c r="H4" s="15">
        <f>SUM('1st Qtr'!H4, '2nd Qtr'!H4, '3rd Qtr'!H4, '4th Qtr'!H4)</f>
        <v>-10570.800000000047</v>
      </c>
      <c r="I4" s="53">
        <f>IFERROR(H4/G4, "")</f>
        <v>-8.5533143486242226E-3</v>
      </c>
    </row>
    <row r="5" spans="1:9" ht="15.6">
      <c r="A5" s="17" t="str">
        <v>Warsaw - Hemings</v>
      </c>
      <c r="B5" s="10" t="str">
        <v>VA</v>
      </c>
      <c r="C5" s="18">
        <f>SUM('1st Qtr'!C5, '2nd Qtr'!C5, '3rd Qtr'!C5, '4th Qtr'!C5)</f>
        <v>682045.5</v>
      </c>
      <c r="D5" s="18">
        <f>SUM('1st Qtr'!D5, '2nd Qtr'!D5, '3rd Qtr'!D5, '4th Qtr'!D5)</f>
        <v>732528.3</v>
      </c>
      <c r="E5" s="18">
        <f t="shared" ref="E5:E6" si="0">IF(AND(ISNUMBER(C5),ISNUMBER(D5)), C5-D5, "")</f>
        <v>-50482.800000000047</v>
      </c>
      <c r="F5" s="19">
        <f>IFERROR(E5/D5, "")</f>
        <v>-6.8915835743137907E-2</v>
      </c>
      <c r="G5" s="20">
        <f>SUM('1st Qtr'!G5, '2nd Qtr'!G5, '3rd Qtr'!G5, '4th Qtr'!G5)</f>
        <v>626767.19999999995</v>
      </c>
      <c r="H5" s="54">
        <f>SUM('1st Qtr'!H5, '2nd Qtr'!H5, '3rd Qtr'!H5, '4th Qtr'!H5)</f>
        <v>55278.300000000047</v>
      </c>
      <c r="I5" s="19">
        <f>IFERROR(H5/G5, "")</f>
        <v>8.819590431662673E-2</v>
      </c>
    </row>
    <row r="6" spans="1:9" ht="15.6">
      <c r="A6" s="12" t="str">
        <v>Mount Jackson - Randolf</v>
      </c>
      <c r="B6" s="9" t="str">
        <v>VA</v>
      </c>
      <c r="C6" s="24">
        <f>SUM('1st Qtr'!C6, '2nd Qtr'!C6, '3rd Qtr'!C6, '4th Qtr'!C6)</f>
        <v>415293.7</v>
      </c>
      <c r="D6" s="13">
        <f>SUM('1st Qtr'!D6, '2nd Qtr'!D6, '3rd Qtr'!D6, '4th Qtr'!D6)</f>
        <v>440760.6</v>
      </c>
      <c r="E6" s="13">
        <f t="shared" si="0"/>
        <v>-25466.899999999965</v>
      </c>
      <c r="F6" s="14">
        <f t="shared" ref="F6:F8" si="1">IFERROR(E6/D6, "")</f>
        <v>-5.7779438543281693E-2</v>
      </c>
      <c r="G6" s="15">
        <f>SUM('1st Qtr'!G6, '2nd Qtr'!G6, '3rd Qtr'!G6, '4th Qtr'!G6)</f>
        <v>428529</v>
      </c>
      <c r="H6" s="15">
        <f>SUM('1st Qtr'!H6, '2nd Qtr'!H6, '3rd Qtr'!H6, '4th Qtr'!H6)</f>
        <v>-13235.299999999988</v>
      </c>
      <c r="I6" s="16">
        <f t="shared" ref="I6:I8" si="2">IFERROR(H6/G6, "")</f>
        <v>-3.0885424323674682E-2</v>
      </c>
    </row>
    <row r="7" spans="1:9" ht="15.6">
      <c r="A7" s="17" t="str">
        <v>Callands Gretna - Monroe</v>
      </c>
      <c r="B7" s="10" t="str">
        <v>VA</v>
      </c>
      <c r="C7" s="18">
        <f>SUM('1st Qtr'!C7, '2nd Qtr'!C7, '3rd Qtr'!C7, '4th Qtr'!C7)</f>
        <v>326124</v>
      </c>
      <c r="D7" s="18">
        <f>SUM('1st Qtr'!D7, '2nd Qtr'!D7, '3rd Qtr'!D7, '4th Qtr'!D7)</f>
        <v>73846.3</v>
      </c>
      <c r="E7" s="18">
        <f t="shared" ref="E7:E8" si="3">IF(AND(ISNUMBER(C7),ISNUMBER(D7)), C7-D7, "")</f>
        <v>252277.7</v>
      </c>
      <c r="F7" s="19">
        <f t="shared" si="1"/>
        <v>3.4162537594977676</v>
      </c>
      <c r="G7" s="20">
        <f>SUM('1st Qtr'!G7, '2nd Qtr'!G7, '3rd Qtr'!G7, '4th Qtr'!G7)</f>
        <v>281465.7</v>
      </c>
      <c r="H7" s="20">
        <f>SUM('1st Qtr'!H7, '2nd Qtr'!H7, '3rd Qtr'!H7, '4th Qtr'!H7)</f>
        <v>44658.299999999988</v>
      </c>
      <c r="I7" s="19">
        <f t="shared" si="2"/>
        <v>0.15866338242990172</v>
      </c>
    </row>
    <row r="8" spans="1:9" ht="15.6">
      <c r="A8" s="12" t="str">
        <v>Rockbridge Baths - Small Mouth Bass</v>
      </c>
      <c r="B8" s="9" t="str">
        <v>VA</v>
      </c>
      <c r="C8" s="24">
        <f>SUM('1st Qtr'!C8, '2nd Qtr'!C8, '3rd Qtr'!C8, '4th Qtr'!C8)</f>
        <v>0</v>
      </c>
      <c r="D8" s="13">
        <f>SUM('1st Qtr'!D8, '2nd Qtr'!D8, '3rd Qtr'!D8, '4th Qtr'!D8)</f>
        <v>0</v>
      </c>
      <c r="E8" s="13">
        <f t="shared" si="3"/>
        <v>0</v>
      </c>
      <c r="F8" s="14" t="str">
        <f t="shared" si="1"/>
        <v/>
      </c>
      <c r="G8" s="15">
        <f>SUM('1st Qtr'!G8, '2nd Qtr'!G8, '3rd Qtr'!G8, '4th Qtr'!G8)</f>
        <v>0</v>
      </c>
      <c r="H8" s="15">
        <f>SUM('1st Qtr'!H8, '2nd Qtr'!H8, '3rd Qtr'!H8, '4th Qtr'!H8)</f>
        <v>0</v>
      </c>
      <c r="I8" s="16" t="str">
        <f t="shared" si="2"/>
        <v/>
      </c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6 I4:I86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8"/>
  <sheetViews>
    <sheetView workbookViewId="0">
      <pane xSplit="2" ySplit="3" topLeftCell="C4" activePane="bottomRight" state="frozen"/>
      <selection pane="bottomRight" activeCell="G8" sqref="G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True Green Capital Management LLC</v>
      </c>
      <c r="B1" s="65"/>
      <c r="C1" s="65"/>
      <c r="D1" s="66" t="s">
        <v>10</v>
      </c>
      <c r="E1" s="66"/>
      <c r="F1" s="66"/>
      <c r="G1" s="64" t="s">
        <v>11</v>
      </c>
      <c r="H1" s="64"/>
      <c r="I1" s="64"/>
    </row>
    <row r="2" spans="1:9" ht="19.5" customHeight="1">
      <c r="A2" s="67" t="s">
        <v>2</v>
      </c>
      <c r="B2" s="67"/>
      <c r="C2" s="5">
        <f>SUM(C4:C86)</f>
        <v>2648764.2000000002</v>
      </c>
      <c r="D2" s="5">
        <f>SUM(D4:D86)</f>
        <v>2517326.9</v>
      </c>
      <c r="E2" s="5">
        <f>C2-D2</f>
        <v>131437.30000000028</v>
      </c>
      <c r="F2" s="6">
        <f>IFERROR(E2/D2, 0)</f>
        <v>5.2213043923695523E-2</v>
      </c>
      <c r="G2" s="5">
        <f>SUM(G4:G86)</f>
        <v>2572633.7000000002</v>
      </c>
      <c r="H2" s="7">
        <f>C2-G2</f>
        <v>76130.5</v>
      </c>
      <c r="I2" s="6">
        <f>IFERROR(H2/G2, 0)</f>
        <v>2.9592436731276588E-2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8">Sites[Site]</f>
        <v>Rochester - 5516 Valleyhigh NW</v>
      </c>
      <c r="B4" s="9" t="str" cm="1">
        <f t="array" ref="B4:B8">Sites[State]</f>
        <v>MN</v>
      </c>
      <c r="C4" s="24">
        <f>SUM(Jan!C4, Feb!C4, Mar!C4)</f>
        <v>1225301</v>
      </c>
      <c r="D4" s="13">
        <f>SUM(Jan!D4, Feb!D4, Mar!D4)</f>
        <v>1270191.7</v>
      </c>
      <c r="E4" s="13">
        <f>IF(AND(ISNUMBER(C4),ISNUMBER(D4)), C4-D4, "")</f>
        <v>-44890.699999999953</v>
      </c>
      <c r="F4" s="14">
        <f>IFERROR(E4/D4, "")</f>
        <v>-3.5341673229324327E-2</v>
      </c>
      <c r="G4" s="15">
        <f>SUM(Jan!G4, Feb!G4, Mar!G4)</f>
        <v>1235871.8</v>
      </c>
      <c r="H4" s="15">
        <f>SUM(Jan!H4, Feb!H4, Mar!H4)</f>
        <v>-10570.800000000047</v>
      </c>
      <c r="I4" s="16">
        <f>IFERROR(H4/G4, "")</f>
        <v>-8.5533143486242226E-3</v>
      </c>
    </row>
    <row r="5" spans="1:9" ht="15.6">
      <c r="A5" s="17" t="str">
        <v>Warsaw - Hemings</v>
      </c>
      <c r="B5" s="10" t="str">
        <v>VA</v>
      </c>
      <c r="C5" s="11">
        <f>SUM(Jan!C5, Feb!C5, Mar!C5)</f>
        <v>682045.5</v>
      </c>
      <c r="D5" s="18">
        <f>SUM(Jan!D5, Feb!D5, Mar!D5)</f>
        <v>732528.3</v>
      </c>
      <c r="E5" s="18">
        <f t="shared" ref="E5:E6" si="0">IF(AND(ISNUMBER(C5),ISNUMBER(D5)), C5-D5, "")</f>
        <v>-50482.800000000047</v>
      </c>
      <c r="F5" s="19">
        <f>IFERROR(E5/D5, "")</f>
        <v>-6.8915835743137907E-2</v>
      </c>
      <c r="G5" s="20">
        <f>SUM(Jan!G5, Feb!G5, Mar!G5)</f>
        <v>626767.19999999995</v>
      </c>
      <c r="H5" s="15">
        <f>SUM(Jan!H5, Feb!H5, Mar!H5)</f>
        <v>55278.300000000047</v>
      </c>
      <c r="I5" s="19">
        <f>IFERROR(H5/G5, "")</f>
        <v>8.819590431662673E-2</v>
      </c>
    </row>
    <row r="6" spans="1:9" ht="15.6">
      <c r="A6" s="12" t="str">
        <v>Mount Jackson - Randolf</v>
      </c>
      <c r="B6" s="9" t="str">
        <v>VA</v>
      </c>
      <c r="C6" s="24">
        <f>SUM(Jan!C6, Feb!C6, Mar!C6)</f>
        <v>415293.7</v>
      </c>
      <c r="D6" s="13">
        <f>SUM(Jan!D6, Feb!D6, Mar!D6)</f>
        <v>440760.6</v>
      </c>
      <c r="E6" s="13">
        <f t="shared" si="0"/>
        <v>-25466.899999999965</v>
      </c>
      <c r="F6" s="14">
        <f t="shared" ref="F6:F8" si="1">IFERROR(E6/D6, "")</f>
        <v>-5.7779438543281693E-2</v>
      </c>
      <c r="G6" s="15">
        <f>SUM(Jan!G6, Feb!G6, Mar!G6)</f>
        <v>428529</v>
      </c>
      <c r="H6" s="15">
        <f>SUM(Jan!H6, Feb!H6, Mar!H6)</f>
        <v>-13235.299999999988</v>
      </c>
      <c r="I6" s="16">
        <f t="shared" ref="I6:I8" si="2">IFERROR(H6/G6, "")</f>
        <v>-3.0885424323674682E-2</v>
      </c>
    </row>
    <row r="7" spans="1:9" ht="15.6">
      <c r="A7" s="17" t="str">
        <v>Callands Gretna - Monroe</v>
      </c>
      <c r="B7" s="10" t="str">
        <v>VA</v>
      </c>
      <c r="C7" s="11">
        <f>SUM(Jan!C7, Feb!C7, Mar!C7)</f>
        <v>326124</v>
      </c>
      <c r="D7" s="18">
        <f>SUM(Jan!D7, Feb!D7, Mar!D7)</f>
        <v>73846.3</v>
      </c>
      <c r="E7" s="18">
        <f t="shared" ref="E7:E8" si="3">IF(AND(ISNUMBER(C7),ISNUMBER(D7)), C7-D7, "")</f>
        <v>252277.7</v>
      </c>
      <c r="F7" s="19">
        <f t="shared" si="1"/>
        <v>3.4162537594977676</v>
      </c>
      <c r="G7" s="20">
        <f>SUM(Jan!G7, Feb!G7, Mar!G7)</f>
        <v>281465.7</v>
      </c>
      <c r="H7" s="15">
        <f>SUM(Jan!H7, Feb!H7, Mar!H7)</f>
        <v>44658.299999999988</v>
      </c>
      <c r="I7" s="19">
        <f t="shared" si="2"/>
        <v>0.15866338242990172</v>
      </c>
    </row>
    <row r="8" spans="1:9" ht="15.6">
      <c r="A8" s="12" t="str">
        <v>Rockbridge Baths - Small Mouth Bass</v>
      </c>
      <c r="B8" s="9" t="str">
        <v>VA</v>
      </c>
      <c r="C8" s="24">
        <f>SUM(Jan!C8, Feb!C8, Mar!C8)</f>
        <v>0</v>
      </c>
      <c r="D8" s="13">
        <f>SUM(Jan!D8, Feb!D8, Mar!D8)</f>
        <v>0</v>
      </c>
      <c r="E8" s="13">
        <f t="shared" si="3"/>
        <v>0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6 I4:I86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4" activePane="bottomRight" state="frozen"/>
      <selection pane="bottomRight" activeCell="G12" sqref="G12"/>
      <selection pane="bottomLeft" activeCell="D12" sqref="D12"/>
      <selection pane="topRight" activeCell="D12" sqref="D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True Green Capital Management LLC</v>
      </c>
      <c r="B1" s="65"/>
      <c r="C1" s="65"/>
      <c r="D1" s="66" t="s">
        <v>12</v>
      </c>
      <c r="E1" s="66"/>
      <c r="F1" s="66"/>
      <c r="G1" s="64" t="s">
        <v>13</v>
      </c>
      <c r="H1" s="64"/>
      <c r="I1" s="64"/>
    </row>
    <row r="2" spans="1:9" ht="19.5" customHeight="1">
      <c r="A2" s="67" t="s">
        <v>2</v>
      </c>
      <c r="B2" s="6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8">Sites[Site]</f>
        <v>Rochester - 5516 Valleyhigh NW</v>
      </c>
      <c r="B4" s="9" t="str" cm="1">
        <f t="array" ref="B4:B8">Sites[State]</f>
        <v>MN</v>
      </c>
      <c r="C4" s="24">
        <f>SUM(Apr!C4, May!C4, Jun!C4)</f>
        <v>0</v>
      </c>
      <c r="D4" s="13">
        <f>SUM(Apr!D4,May!D4,Jun!D4)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SUM(Apr!H4,May!H4,Jun!G4)</f>
        <v>0</v>
      </c>
      <c r="I4" s="16" t="str">
        <f>IFERROR(H4/G4, "")</f>
        <v/>
      </c>
    </row>
    <row r="5" spans="1:9" ht="15.6">
      <c r="A5" s="17" t="str">
        <v>Warsaw - Hemings</v>
      </c>
      <c r="B5" s="10" t="str">
        <v>VA</v>
      </c>
      <c r="C5" s="11">
        <f>SUM(Apr!C5, May!C5, Jun!C5)</f>
        <v>0</v>
      </c>
      <c r="D5" s="18">
        <f>SUM(Apr!D5,May!D5,Jun!D5)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20">
        <f>SUM(Apr!G5,May!G5,Jun!G5)</f>
        <v>0</v>
      </c>
      <c r="H5" s="20">
        <f>SUM(Apr!H5,May!H5,Jun!G5)</f>
        <v>0</v>
      </c>
      <c r="I5" s="19" t="str">
        <f>IFERROR(H5/G5, "")</f>
        <v/>
      </c>
    </row>
    <row r="6" spans="1:9" ht="15.6">
      <c r="A6" s="12" t="str">
        <v>Mount Jackson - Randolf</v>
      </c>
      <c r="B6" s="9" t="str">
        <v>VA</v>
      </c>
      <c r="C6" s="24">
        <f>SUM(Apr!C6, May!C6, Jun!C6)</f>
        <v>0</v>
      </c>
      <c r="D6" s="13">
        <f>SUM(Apr!D6,May!D6,Jun!D6)</f>
        <v>0</v>
      </c>
      <c r="E6" s="13">
        <f t="shared" si="0"/>
        <v>0</v>
      </c>
      <c r="F6" s="14" t="str">
        <f t="shared" ref="F6:F8" si="1">IFERROR(E6/D6, "")</f>
        <v/>
      </c>
      <c r="G6" s="15">
        <f>SUM(Apr!G6,May!G6,Jun!G6)</f>
        <v>0</v>
      </c>
      <c r="H6" s="15">
        <f>SUM(Apr!H6,May!H6,Jun!G6)</f>
        <v>0</v>
      </c>
      <c r="I6" s="16" t="str">
        <f t="shared" ref="I6:I8" si="2">IFERROR(H6/G6, "")</f>
        <v/>
      </c>
    </row>
    <row r="7" spans="1:9" ht="15.6">
      <c r="A7" s="17" t="str">
        <v>Callands Gretna - Monroe</v>
      </c>
      <c r="B7" s="10" t="str">
        <v>VA</v>
      </c>
      <c r="C7" s="11">
        <f>SUM(Apr!C7, May!C7, Jun!C7)</f>
        <v>0</v>
      </c>
      <c r="D7" s="18">
        <f>SUM(Apr!D7,May!D7,Jun!D7)</f>
        <v>0</v>
      </c>
      <c r="E7" s="18">
        <f t="shared" ref="E7:E8" si="3">IF(AND(ISNUMBER(C7),ISNUMBER(D7)), C7-D7, "")</f>
        <v>0</v>
      </c>
      <c r="F7" s="19" t="str">
        <f t="shared" si="1"/>
        <v/>
      </c>
      <c r="G7" s="20">
        <f>SUM(Apr!G7,May!G7,Jun!G7)</f>
        <v>0</v>
      </c>
      <c r="H7" s="20">
        <f>SUM(Apr!H7,May!H7,Jun!G7)</f>
        <v>0</v>
      </c>
      <c r="I7" s="19" t="str">
        <f t="shared" si="2"/>
        <v/>
      </c>
    </row>
    <row r="8" spans="1:9" ht="15.6">
      <c r="A8" s="12" t="str">
        <v>Rockbridge Baths - Small Mouth Bass</v>
      </c>
      <c r="B8" s="9" t="str">
        <v>VA</v>
      </c>
      <c r="C8" s="24">
        <f>SUM(Apr!C8, May!C8, Jun!C8)</f>
        <v>0</v>
      </c>
      <c r="D8" s="13">
        <f>SUM(Apr!D8,May!D8,Jun!D8)</f>
        <v>0</v>
      </c>
      <c r="E8" s="13">
        <f t="shared" si="3"/>
        <v>0</v>
      </c>
      <c r="F8" s="14" t="str">
        <f t="shared" si="1"/>
        <v/>
      </c>
      <c r="G8" s="15">
        <f>SUM(Apr!G8,May!G8,Jun!G8)</f>
        <v>0</v>
      </c>
      <c r="H8" s="15">
        <f>SUM(Apr!H8,May!H8,Jun!G8)</f>
        <v>0</v>
      </c>
      <c r="I8" s="16" t="str">
        <f t="shared" si="2"/>
        <v/>
      </c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6 I4:I86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8"/>
  <sheetViews>
    <sheetView workbookViewId="0">
      <pane xSplit="2" ySplit="3" topLeftCell="C4" activePane="bottomRight" state="frozen"/>
      <selection pane="bottomRight" activeCell="G24" sqref="G24"/>
      <selection pane="bottomLeft" activeCell="A16" sqref="A16"/>
      <selection pane="topRight" activeCell="A16" sqref="A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True Green Capital Management LLC</v>
      </c>
      <c r="B1" s="65"/>
      <c r="C1" s="65"/>
      <c r="D1" s="66" t="s">
        <v>14</v>
      </c>
      <c r="E1" s="66"/>
      <c r="F1" s="66"/>
      <c r="G1" s="64" t="s">
        <v>15</v>
      </c>
      <c r="H1" s="64"/>
      <c r="I1" s="64"/>
    </row>
    <row r="2" spans="1:9" ht="19.5" customHeight="1">
      <c r="A2" s="67" t="s">
        <v>2</v>
      </c>
      <c r="B2" s="6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8">Sites[Site]</f>
        <v>Rochester - 5516 Valleyhigh NW</v>
      </c>
      <c r="B4" s="9" t="str" cm="1">
        <f t="array" ref="B4:B8">Sites[State]</f>
        <v>MN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Warsaw - Hemings</v>
      </c>
      <c r="B5" s="10" t="str">
        <v>VA</v>
      </c>
      <c r="C5" s="11">
        <f>SUM(Jul!C5, Aug!C5, Sep!C5)</f>
        <v>0</v>
      </c>
      <c r="D5" s="18">
        <f>SUM(Jul!D5, Aug!D5, Sep!D5)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54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12" t="str">
        <v>Mount Jackson - Randolf</v>
      </c>
      <c r="B6" s="9" t="str">
        <v>VA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8" si="1">IFERROR(E6/D6, "")</f>
        <v/>
      </c>
      <c r="G6" s="15">
        <f>SUM(Jul!G6,Aug!G6,Sep!G6)</f>
        <v>0</v>
      </c>
      <c r="H6" s="15">
        <f>SUM(Jul!H6, Aug!H6, Sep!H6)</f>
        <v>0</v>
      </c>
      <c r="I6" s="16" t="str">
        <f t="shared" ref="I6:I8" si="2">IFERROR(H6/G6, "")</f>
        <v/>
      </c>
    </row>
    <row r="7" spans="1:9" ht="15.6">
      <c r="A7" s="17" t="str">
        <v>Callands Gretna - Monroe</v>
      </c>
      <c r="B7" s="10" t="str">
        <v>VA</v>
      </c>
      <c r="C7" s="11">
        <f>SUM(Jul!C7, Aug!C7, Sep!C7)</f>
        <v>0</v>
      </c>
      <c r="D7" s="18">
        <f>SUM(Jul!D7, Aug!D7, Sep!D7)</f>
        <v>0</v>
      </c>
      <c r="E7" s="18">
        <f t="shared" ref="E7:E8" si="3">IF(AND(ISNUMBER(C7),ISNUMBER(D7)), C7-D7, "")</f>
        <v>0</v>
      </c>
      <c r="F7" s="19" t="str">
        <f t="shared" si="1"/>
        <v/>
      </c>
      <c r="G7" s="54">
        <f>SUM(Jul!G7,Aug!G7,Sep!G7)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12" t="str">
        <v>Rockbridge Baths - Small Mouth Bass</v>
      </c>
      <c r="B8" s="9" t="str">
        <v>VA</v>
      </c>
      <c r="C8" s="24">
        <f>SUM(Jul!C8, Aug!C8, Sep!C8)</f>
        <v>0</v>
      </c>
      <c r="D8" s="13">
        <f>SUM(Jul!D8, Aug!D8, Sep!D8)</f>
        <v>0</v>
      </c>
      <c r="E8" s="13">
        <f t="shared" si="3"/>
        <v>0</v>
      </c>
      <c r="F8" s="14" t="str">
        <f t="shared" si="1"/>
        <v/>
      </c>
      <c r="G8" s="15">
        <f>SUM(Jul!G8,Aug!G8,Sep!G8)</f>
        <v>0</v>
      </c>
      <c r="H8" s="15">
        <f>SUM(Jul!H8, Aug!H8, Sep!H8)</f>
        <v>0</v>
      </c>
      <c r="I8" s="16" t="str">
        <f t="shared" si="2"/>
        <v/>
      </c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40" priority="5" stopIfTrue="1" operator="lessThanOrEqual">
      <formula>-0.1</formula>
    </cfRule>
    <cfRule type="expression" dxfId="39" priority="6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D16" sqref="D16"/>
      <selection pane="bottomLeft" activeCell="A16" sqref="A16"/>
      <selection pane="topRight" activeCell="A16" sqref="A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True Green Capital Management LLC</v>
      </c>
      <c r="B1" s="65"/>
      <c r="C1" s="65"/>
      <c r="D1" s="66" t="s">
        <v>16</v>
      </c>
      <c r="E1" s="66"/>
      <c r="F1" s="66"/>
      <c r="G1" s="64" t="s">
        <v>17</v>
      </c>
      <c r="H1" s="64"/>
      <c r="I1" s="64"/>
    </row>
    <row r="2" spans="1:9" ht="19.5" customHeight="1">
      <c r="A2" s="67" t="s">
        <v>2</v>
      </c>
      <c r="B2" s="6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8">Sites[Site]</f>
        <v>Rochester - 5516 Valleyhigh NW</v>
      </c>
      <c r="B4" s="9" t="str" cm="1">
        <f t="array" ref="B4:B8">Sites[State]</f>
        <v>MN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Warsaw - Hemings</v>
      </c>
      <c r="B5" s="10" t="str">
        <v>VA</v>
      </c>
      <c r="C5" s="11">
        <f>SUM(Oct!C5, Nov!C5, Dec!C5)</f>
        <v>0</v>
      </c>
      <c r="D5" s="18">
        <f>SUM(Oct!D5, Nov!D5, Dec!D5)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20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Mount Jackson - Randolf</v>
      </c>
      <c r="B6" s="9" t="str">
        <v>VA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8" si="1">IFERROR(E6/D6, "")</f>
        <v/>
      </c>
      <c r="G6" s="15">
        <f>SUM(Oct!G6,Nov!G6,Dec!G6)</f>
        <v>0</v>
      </c>
      <c r="H6" s="15">
        <f>SUM(Oct!H6, Nov!H6, Dec!H6)</f>
        <v>0</v>
      </c>
      <c r="I6" s="16" t="str">
        <f t="shared" ref="I6:I8" si="2">IFERROR(H6/G6, "")</f>
        <v/>
      </c>
    </row>
    <row r="7" spans="1:9" ht="15.6">
      <c r="A7" s="17" t="str">
        <v>Callands Gretna - Monroe</v>
      </c>
      <c r="B7" s="10" t="str">
        <v>VA</v>
      </c>
      <c r="C7" s="11">
        <f>SUM(Oct!C7, Nov!C7, Dec!C7)</f>
        <v>0</v>
      </c>
      <c r="D7" s="18">
        <f>SUM(Oct!D7, Nov!D7, Dec!D7)</f>
        <v>0</v>
      </c>
      <c r="E7" s="18">
        <f t="shared" ref="E7:E8" si="3">IF(AND(ISNUMBER(C7),ISNUMBER(D7)), C7-D7, "")</f>
        <v>0</v>
      </c>
      <c r="F7" s="19" t="str">
        <f t="shared" si="1"/>
        <v/>
      </c>
      <c r="G7" s="20">
        <f>SUM(Oct!G7,Nov!G7,Dec!G7)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 t="str">
        <v>Rockbridge Baths - Small Mouth Bass</v>
      </c>
      <c r="B8" s="9" t="str">
        <v>VA</v>
      </c>
      <c r="C8" s="24">
        <f>SUM(Oct!C8, Nov!C8, Dec!C8)</f>
        <v>0</v>
      </c>
      <c r="D8" s="13">
        <f>SUM(Oct!D8, Nov!D8, Dec!D8)</f>
        <v>0</v>
      </c>
      <c r="E8" s="13">
        <f t="shared" si="3"/>
        <v>0</v>
      </c>
      <c r="F8" s="14" t="str">
        <f t="shared" si="1"/>
        <v/>
      </c>
      <c r="G8" s="15">
        <f>SUM(Oct!G8,Nov!G8,Dec!G8)</f>
        <v>0</v>
      </c>
      <c r="H8" s="15">
        <f>SUM(Oct!H8, Nov!H8, Dec!H8)</f>
        <v>0</v>
      </c>
      <c r="I8" s="16" t="str">
        <f t="shared" si="2"/>
        <v/>
      </c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19"/>
  <sheetViews>
    <sheetView workbookViewId="0">
      <pane xSplit="2" ySplit="3" topLeftCell="E4" activePane="bottomRight" state="frozen"/>
      <selection pane="bottomRight" activeCell="E19" sqref="E19"/>
      <selection pane="bottomLeft" activeCell="A4" sqref="A4"/>
      <selection pane="topRight" activeCell="A4" sqref="A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36.5703125" customWidth="1"/>
  </cols>
  <sheetData>
    <row r="1" spans="1:13" ht="19.5" customHeight="1">
      <c r="A1" s="65" t="str" cm="1">
        <f t="array" ref="A1">portfolio</f>
        <v>True Green Capital Management LLC</v>
      </c>
      <c r="B1" s="65"/>
      <c r="C1" s="65"/>
      <c r="D1" s="66" t="s">
        <v>18</v>
      </c>
      <c r="E1" s="66"/>
      <c r="F1" s="66"/>
      <c r="G1" s="64" t="s">
        <v>19</v>
      </c>
      <c r="H1" s="64"/>
      <c r="I1" s="64"/>
      <c r="J1" s="4"/>
      <c r="K1" s="4"/>
    </row>
    <row r="2" spans="1:13" ht="19.5" customHeight="1">
      <c r="A2" s="67" t="s">
        <v>2</v>
      </c>
      <c r="B2" s="6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55" t="s">
        <v>20</v>
      </c>
      <c r="K3" s="55" t="s">
        <v>21</v>
      </c>
    </row>
    <row r="4" spans="1:13" ht="15.6">
      <c r="A4" s="31" t="str" cm="1">
        <f t="array" ref="A4:A8">Sites[Site]</f>
        <v>Rochester - 5516 Valleyhigh NW</v>
      </c>
      <c r="B4" s="28"/>
      <c r="C4" s="24"/>
      <c r="D4" s="13"/>
      <c r="E4" s="13" t="str">
        <f t="shared" ref="E4:E8" si="0">IF(AND(ISNUMBER(C4),ISNUMBER(D4)), C4-D4, "")</f>
        <v/>
      </c>
      <c r="F4" s="14" t="str">
        <f t="shared" ref="F4:F8" si="1">IFERROR(E4/D4, "")</f>
        <v/>
      </c>
      <c r="G4" s="15"/>
      <c r="H4" s="15" t="str">
        <f t="shared" ref="H4:H8" si="2">IF(AND(ISNUMBER(C4),ISNUMBER(G4)), C4-G4, "")</f>
        <v/>
      </c>
      <c r="I4" s="16" t="str">
        <f t="shared" ref="I4:I8" si="3">IFERROR(H4/G4, "")</f>
        <v/>
      </c>
      <c r="J4" s="47"/>
      <c r="K4" s="56"/>
      <c r="L4" s="59"/>
      <c r="M4" s="59"/>
    </row>
    <row r="5" spans="1:13" ht="15.6">
      <c r="A5" s="29" t="str">
        <v>Warsaw - Hemings</v>
      </c>
      <c r="B5" s="30"/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6"/>
      <c r="K5" s="57"/>
      <c r="L5" s="58"/>
      <c r="M5" s="58"/>
    </row>
    <row r="6" spans="1:13" ht="15.6">
      <c r="A6" s="31" t="str">
        <v>Mount Jackson - Randolf</v>
      </c>
      <c r="B6" s="28"/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2"/>
        <v/>
      </c>
      <c r="I6" s="16" t="str">
        <f t="shared" si="3"/>
        <v/>
      </c>
      <c r="J6" s="47"/>
      <c r="K6" s="56"/>
      <c r="L6" s="59"/>
      <c r="M6" s="59"/>
    </row>
    <row r="7" spans="1:13" ht="15.6">
      <c r="A7" s="29" t="str">
        <v>Callands Gretna - Monroe</v>
      </c>
      <c r="B7" s="30"/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6"/>
      <c r="K7" s="57"/>
      <c r="L7" s="58"/>
      <c r="M7" s="58"/>
    </row>
    <row r="8" spans="1:13" ht="15.6">
      <c r="A8" s="31" t="str">
        <v>Rockbridge Baths - Small Mouth Bass</v>
      </c>
      <c r="B8" s="28"/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7"/>
      <c r="K8" s="56"/>
      <c r="L8" s="59"/>
      <c r="M8" s="59"/>
    </row>
    <row r="9" spans="1:13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  <c r="L9" s="59"/>
      <c r="M9" s="59"/>
    </row>
    <row r="10" spans="1:13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3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3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3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3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3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3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</sheetData>
  <mergeCells count="4">
    <mergeCell ref="D1:F1"/>
    <mergeCell ref="A1:C1"/>
    <mergeCell ref="G1:I1"/>
    <mergeCell ref="A2:B2"/>
  </mergeCells>
  <phoneticPr fontId="5" type="noConversion"/>
  <conditionalFormatting sqref="F2 I2 F4:F77 I4:I77">
    <cfRule type="cellIs" dxfId="36" priority="4" stopIfTrue="1" operator="lessThanOrEqual">
      <formula>-0.1</formula>
    </cfRule>
    <cfRule type="expression" dxfId="3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zoomScale="84" zoomScaleNormal="60" workbookViewId="0">
      <pane xSplit="2" ySplit="3" topLeftCell="C4" activePane="bottomRight" state="frozen"/>
      <selection pane="bottomRight" activeCell="K13" sqref="K13"/>
      <selection pane="bottomLeft" activeCell="D18" sqref="D18"/>
      <selection pane="topRight" activeCell="D18" sqref="D1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5" t="str" cm="1">
        <f t="array" ref="A1">portfolio</f>
        <v>True Green Capital Management LLC</v>
      </c>
      <c r="B1" s="65"/>
      <c r="C1" s="65"/>
      <c r="D1" s="66" t="s">
        <v>22</v>
      </c>
      <c r="E1" s="66"/>
      <c r="F1" s="66"/>
      <c r="G1" s="64" t="s">
        <v>23</v>
      </c>
      <c r="H1" s="64"/>
      <c r="I1" s="64"/>
      <c r="J1" s="4"/>
      <c r="K1" s="4"/>
    </row>
    <row r="2" spans="1:14" ht="19.5" customHeight="1">
      <c r="A2" s="67" t="s">
        <v>2</v>
      </c>
      <c r="B2" s="6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15.6">
      <c r="A4" s="31" t="str" cm="1">
        <f t="array" ref="A4:A8">Sites[Site]</f>
        <v>Rochester - 5516 Valleyhigh NW</v>
      </c>
      <c r="B4" s="28"/>
      <c r="C4" s="24"/>
      <c r="D4" s="13"/>
      <c r="E4" s="13" t="str">
        <f t="shared" ref="E4:E8" si="0">IF(AND(ISNUMBER(C4),ISNUMBER(D4)), C4-D4, "")</f>
        <v/>
      </c>
      <c r="F4" s="14" t="str">
        <f t="shared" ref="F4:F8" si="1">IFERROR(E4/D4, "")</f>
        <v/>
      </c>
      <c r="G4" s="15"/>
      <c r="H4" s="15" t="str">
        <f t="shared" ref="H4:H8" si="2">IF(AND(ISNUMBER(C4),ISNUMBER(G4)), C4-G4, "")</f>
        <v/>
      </c>
      <c r="I4" s="16" t="str">
        <f t="shared" ref="I4:I8" si="3">IFERROR(H4/G4, "")</f>
        <v/>
      </c>
      <c r="J4" s="43"/>
      <c r="K4" s="56"/>
      <c r="L4" s="62"/>
    </row>
    <row r="5" spans="1:14" ht="30" customHeight="1">
      <c r="A5" s="29" t="str">
        <v>Warsaw - Hemings</v>
      </c>
      <c r="B5" s="30"/>
      <c r="C5" s="11"/>
      <c r="D5" s="61"/>
      <c r="E5" s="18" t="str">
        <f t="shared" si="0"/>
        <v/>
      </c>
      <c r="F5" s="19" t="str">
        <f t="shared" si="1"/>
        <v/>
      </c>
      <c r="G5" s="61"/>
      <c r="H5" s="20" t="str">
        <f t="shared" si="2"/>
        <v/>
      </c>
      <c r="I5" s="19" t="str">
        <f t="shared" si="3"/>
        <v/>
      </c>
      <c r="J5" s="60"/>
      <c r="K5" s="57"/>
      <c r="L5" s="62"/>
      <c r="M5" s="62"/>
      <c r="N5" s="62"/>
    </row>
    <row r="6" spans="1:14" ht="15.6">
      <c r="A6" s="31" t="str">
        <v>Mount Jackson - Randolf</v>
      </c>
      <c r="B6" s="28"/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2"/>
        <v/>
      </c>
      <c r="I6" s="16" t="str">
        <f t="shared" si="3"/>
        <v/>
      </c>
      <c r="J6" s="43"/>
      <c r="K6" s="56"/>
      <c r="L6" s="62"/>
    </row>
    <row r="7" spans="1:14" ht="143.25" customHeight="1">
      <c r="A7" s="29" t="str">
        <v>Callands Gretna - Monroe</v>
      </c>
      <c r="B7" s="30"/>
      <c r="C7" s="11"/>
      <c r="D7" s="61"/>
      <c r="E7" s="18" t="str">
        <f t="shared" si="0"/>
        <v/>
      </c>
      <c r="F7" s="19" t="str">
        <f t="shared" si="1"/>
        <v/>
      </c>
      <c r="G7" s="61"/>
      <c r="H7" s="20" t="str">
        <f t="shared" si="2"/>
        <v/>
      </c>
      <c r="I7" s="19" t="str">
        <f t="shared" si="3"/>
        <v/>
      </c>
      <c r="J7" s="60"/>
      <c r="K7" s="57"/>
      <c r="L7" s="62"/>
      <c r="M7" s="62"/>
      <c r="N7" s="62"/>
    </row>
    <row r="8" spans="1:14" ht="15.6">
      <c r="A8" s="31" t="str">
        <v>Rockbridge Baths - Small Mouth Bass</v>
      </c>
      <c r="B8" s="28"/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3"/>
      <c r="K8" s="56"/>
      <c r="L8" s="62"/>
    </row>
    <row r="9" spans="1:14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4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4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4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4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4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4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4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Q329"/>
  <sheetViews>
    <sheetView workbookViewId="0">
      <pane xSplit="2" ySplit="3" topLeftCell="E6" activePane="bottomRight" state="frozen"/>
      <selection pane="bottomRight" activeCell="Q6" sqref="Q6"/>
      <selection pane="bottomLeft" activeCell="A4" sqref="A4"/>
      <selection pane="topRight" activeCell="A4" sqref="A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6.28515625" customWidth="1"/>
    <col min="11" max="11" width="20.5703125" bestFit="1" customWidth="1"/>
  </cols>
  <sheetData>
    <row r="1" spans="1:17" ht="19.5" customHeight="1">
      <c r="A1" s="65" t="str" cm="1">
        <f t="array" ref="A1">portfolio</f>
        <v>True Green Capital Management LLC</v>
      </c>
      <c r="B1" s="65"/>
      <c r="C1" s="65"/>
      <c r="D1" s="66" t="s">
        <v>24</v>
      </c>
      <c r="E1" s="66"/>
      <c r="F1" s="66"/>
      <c r="G1" s="64" t="s">
        <v>25</v>
      </c>
      <c r="H1" s="64"/>
      <c r="I1" s="64"/>
      <c r="J1" s="4"/>
      <c r="K1" s="4"/>
    </row>
    <row r="2" spans="1:17" ht="19.5" customHeight="1">
      <c r="A2" s="67" t="s">
        <v>2</v>
      </c>
      <c r="B2" s="67"/>
      <c r="C2" s="5">
        <f>SUM(C4:C87)</f>
        <v>2648764.2000000002</v>
      </c>
      <c r="D2" s="5">
        <f>SUM(D4:D87)</f>
        <v>2517326.9</v>
      </c>
      <c r="E2" s="5">
        <f>C2-D2</f>
        <v>131437.30000000028</v>
      </c>
      <c r="F2" s="6">
        <f>IFERROR(E2/D2, 0)</f>
        <v>5.2213043923695523E-2</v>
      </c>
      <c r="G2" s="5">
        <f>SUM(G4:G87)</f>
        <v>2572633.7000000002</v>
      </c>
      <c r="H2" s="7">
        <f>C2-G2</f>
        <v>76130.5</v>
      </c>
      <c r="I2" s="6">
        <f>IFERROR(H2/G2, 0)</f>
        <v>2.9592436731276588E-2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7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7" ht="253.5" customHeight="1">
      <c r="A4" s="48" t="str" cm="1">
        <f t="array" ref="A4:A8">Sites[Site]</f>
        <v>Rochester - 5516 Valleyhigh NW</v>
      </c>
      <c r="B4" s="28"/>
      <c r="C4" s="44">
        <v>1225301</v>
      </c>
      <c r="D4" s="13">
        <v>1270191.7</v>
      </c>
      <c r="E4" s="13">
        <f t="shared" ref="E4:E8" si="0">IF(AND(ISNUMBER(C4),ISNUMBER(D4)), C4-D4, "")</f>
        <v>-44890.699999999953</v>
      </c>
      <c r="F4" s="14">
        <f t="shared" ref="F4:F8" si="1">IFERROR(E4/D4, "")</f>
        <v>-3.5341673229324327E-2</v>
      </c>
      <c r="G4" s="45">
        <v>1235871.8</v>
      </c>
      <c r="H4" s="15">
        <f t="shared" ref="H4:H8" si="2">IF(AND(ISNUMBER(C4),ISNUMBER(G4)), C4-G4, "")</f>
        <v>-10570.800000000047</v>
      </c>
      <c r="I4" s="16">
        <f t="shared" ref="I4:I8" si="3">IFERROR(H4/G4, "")</f>
        <v>-8.5533143486242226E-3</v>
      </c>
      <c r="J4" s="40" t="s">
        <v>26</v>
      </c>
      <c r="K4" s="63" t="s">
        <v>27</v>
      </c>
      <c r="L4" s="62" t="s">
        <v>28</v>
      </c>
      <c r="M4" s="62" t="s">
        <v>29</v>
      </c>
      <c r="N4" s="62" t="s">
        <v>30</v>
      </c>
      <c r="O4" s="62" t="s">
        <v>31</v>
      </c>
      <c r="P4" s="62" t="s">
        <v>32</v>
      </c>
      <c r="Q4" s="62" t="s">
        <v>33</v>
      </c>
    </row>
    <row r="5" spans="1:17" ht="76.5" customHeight="1">
      <c r="A5" s="29" t="str">
        <v>Warsaw - Hemings</v>
      </c>
      <c r="B5" s="30"/>
      <c r="C5" s="11">
        <v>682045.5</v>
      </c>
      <c r="D5" s="18">
        <v>732528.3</v>
      </c>
      <c r="E5" s="18">
        <f t="shared" si="0"/>
        <v>-50482.800000000047</v>
      </c>
      <c r="F5" s="19">
        <f t="shared" si="1"/>
        <v>-6.8915835743137907E-2</v>
      </c>
      <c r="G5" s="20">
        <v>626767.19999999995</v>
      </c>
      <c r="H5" s="20">
        <f t="shared" si="2"/>
        <v>55278.300000000047</v>
      </c>
      <c r="I5" s="19">
        <f t="shared" si="3"/>
        <v>8.819590431662673E-2</v>
      </c>
      <c r="J5" s="46" t="s">
        <v>34</v>
      </c>
      <c r="K5" s="57" t="s">
        <v>35</v>
      </c>
      <c r="L5" s="58" t="s">
        <v>36</v>
      </c>
      <c r="M5" s="58" t="s">
        <v>37</v>
      </c>
      <c r="N5" s="58" t="s">
        <v>38</v>
      </c>
      <c r="O5" s="59"/>
    </row>
    <row r="6" spans="1:17" ht="286.5" customHeight="1">
      <c r="A6" s="48" t="str">
        <v>Mount Jackson - Randolf</v>
      </c>
      <c r="B6" s="28"/>
      <c r="C6" s="44">
        <v>415293.7</v>
      </c>
      <c r="D6" s="13">
        <v>440760.6</v>
      </c>
      <c r="E6" s="13">
        <f t="shared" si="0"/>
        <v>-25466.899999999965</v>
      </c>
      <c r="F6" s="14">
        <f t="shared" si="1"/>
        <v>-5.7779438543281693E-2</v>
      </c>
      <c r="G6" s="45">
        <v>428529</v>
      </c>
      <c r="H6" s="15">
        <f t="shared" si="2"/>
        <v>-13235.299999999988</v>
      </c>
      <c r="I6" s="16">
        <f t="shared" si="3"/>
        <v>-3.0885424323674682E-2</v>
      </c>
      <c r="J6" s="40" t="s">
        <v>39</v>
      </c>
      <c r="K6" s="63" t="s">
        <v>40</v>
      </c>
      <c r="L6" s="58" t="s">
        <v>41</v>
      </c>
      <c r="M6" s="58" t="s">
        <v>42</v>
      </c>
      <c r="N6" s="58" t="s">
        <v>43</v>
      </c>
      <c r="O6" s="58" t="s">
        <v>44</v>
      </c>
    </row>
    <row r="7" spans="1:17" ht="57.6">
      <c r="A7" s="29" t="str">
        <v>Callands Gretna - Monroe</v>
      </c>
      <c r="B7" s="30"/>
      <c r="C7" s="11">
        <v>326124</v>
      </c>
      <c r="D7" s="18">
        <v>73846.3</v>
      </c>
      <c r="E7" s="18">
        <f t="shared" si="0"/>
        <v>252277.7</v>
      </c>
      <c r="F7" s="19">
        <f t="shared" si="1"/>
        <v>3.4162537594977676</v>
      </c>
      <c r="G7" s="20">
        <v>281465.7</v>
      </c>
      <c r="H7" s="20">
        <f t="shared" si="2"/>
        <v>44658.299999999988</v>
      </c>
      <c r="I7" s="19">
        <f t="shared" si="3"/>
        <v>0.15866338242990172</v>
      </c>
      <c r="J7" s="46" t="s">
        <v>45</v>
      </c>
      <c r="K7" s="57" t="s">
        <v>46</v>
      </c>
      <c r="L7" s="59"/>
      <c r="M7" s="59"/>
      <c r="N7" s="59"/>
      <c r="O7" s="59"/>
    </row>
    <row r="8" spans="1:17" ht="38.25" customHeight="1">
      <c r="A8" s="31" t="str">
        <v>Rockbridge Baths - Small Mouth Bass</v>
      </c>
      <c r="B8" s="28"/>
      <c r="C8" s="44">
        <v>0</v>
      </c>
      <c r="D8" s="13">
        <v>0</v>
      </c>
      <c r="E8" s="13">
        <f t="shared" si="0"/>
        <v>0</v>
      </c>
      <c r="F8" s="14" t="str">
        <f t="shared" si="1"/>
        <v/>
      </c>
      <c r="G8" s="45">
        <v>0</v>
      </c>
      <c r="H8" s="15">
        <f t="shared" si="2"/>
        <v>0</v>
      </c>
      <c r="I8" s="16" t="str">
        <f t="shared" si="3"/>
        <v/>
      </c>
      <c r="J8" s="40" t="s">
        <v>47</v>
      </c>
      <c r="K8" s="63" t="s">
        <v>48</v>
      </c>
      <c r="L8" s="58" t="s">
        <v>49</v>
      </c>
      <c r="M8" s="59"/>
      <c r="N8" s="59"/>
      <c r="O8" s="59"/>
    </row>
    <row r="9" spans="1:17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7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7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7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7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7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7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7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hyperlinks>
    <hyperlink ref="K4" r:id="rId1" display="https://us3.assetplanner.com/service_request?ID=098364" xr:uid="{BAB12039-9BD3-4BD0-886A-4ECAEF7AB914}"/>
    <hyperlink ref="L4" r:id="rId2" display="https://us3.assetplanner.com/service_request?ID=099220" xr:uid="{FC693153-DC4C-4072-8408-52DFC7AF7B63}"/>
    <hyperlink ref="M4" r:id="rId3" display="https://us3.assetplanner.com/service_request?ID=099222" xr:uid="{439BDE70-BB25-4E4F-A71F-09795D42F7CA}"/>
    <hyperlink ref="N4" r:id="rId4" display="https://us3.assetplanner.com/service_request?ID=099295" xr:uid="{83217E1F-3D35-41E7-B551-D7AFC6A9C1AA}"/>
    <hyperlink ref="O4" r:id="rId5" display="https://us3.assetplanner.com/service_request?ID=099221" xr:uid="{613E78AE-10EE-4926-81CD-6FDB007A25F3}"/>
    <hyperlink ref="P4" r:id="rId6" display="https://us3.assetplanner.com/service_request?ID=095849" xr:uid="{901D640C-B70A-4D09-B303-CD748E6A6301}"/>
    <hyperlink ref="Q4" r:id="rId7" display="https://us3.assetplanner.com/service_request?ID=099224" xr:uid="{2AA371F8-1835-4961-9424-C68F8DFF4842}"/>
    <hyperlink ref="K5" r:id="rId8" display="https://us3.assetplanner.com/service_request?ID=097728" xr:uid="{290E5873-5915-4E55-8D8F-173BC98DA3E4}"/>
    <hyperlink ref="L5" r:id="rId9" display="https://us3.assetplanner.com/service_request?ID=098569" xr:uid="{B8C7C021-BAE2-4A6F-B767-87924F900F75}"/>
    <hyperlink ref="M5" r:id="rId10" display="https://us3.assetplanner.com/service_request?ID=096181" xr:uid="{DF1AF786-3DC1-46D9-BE2F-77BC401FD397}"/>
    <hyperlink ref="N5" r:id="rId11" display="https://us3.assetplanner.com/service_request?ID=098568" xr:uid="{A8F60548-5483-4E68-AB00-FF89D52F08C4}"/>
    <hyperlink ref="K6" r:id="rId12" display="https://us3.assetplanner.com/service_request?ID=098302" xr:uid="{3306C2D3-381C-41F8-80AE-F298A552F90B}"/>
    <hyperlink ref="L6" r:id="rId13" display="https://us3.assetplanner.com/service_request?ID=098925" xr:uid="{BAF36F4E-B293-4EAF-A241-318894037937}"/>
    <hyperlink ref="M6" r:id="rId14" display="https://us3.assetplanner.com/service_request?ID=099141" xr:uid="{B8EAC716-369F-46DD-8047-D43675B887D5}"/>
    <hyperlink ref="N6" r:id="rId15" display="https://us3.assetplanner.com/service_request?ID=097757" xr:uid="{9366CC2E-6DFE-440A-8B4A-0C5349C11BCD}"/>
    <hyperlink ref="O6" r:id="rId16" display="https://us3.assetplanner.com/service_request?ID=098566" xr:uid="{163C79E7-6CB4-43C9-8A93-1FE0F19754C5}"/>
    <hyperlink ref="K7" r:id="rId17" display="https://us3.assetplanner.com/service_request?ID=099420" xr:uid="{6D2FB8B7-A908-47C9-8CB9-C93BBC4251AD}"/>
    <hyperlink ref="K8" r:id="rId18" display="https://us3.assetplanner.com/service_request?ID=097305" xr:uid="{5E01914B-C5E3-4826-8717-664D4C0D2405}"/>
    <hyperlink ref="L8" r:id="rId19" display="https://us3.assetplanner.com/service_request?ID=098700" xr:uid="{C0ADFAEF-189B-4618-B472-754E02C28259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8"/>
  <sheetViews>
    <sheetView zoomScale="80" zoomScaleNormal="80" workbookViewId="0">
      <pane xSplit="2" ySplit="3" topLeftCell="C4" activePane="bottomRight" state="frozen"/>
      <selection pane="bottomRight" activeCell="F16" sqref="F16"/>
      <selection pane="bottomLeft" activeCell="F23" sqref="F23"/>
      <selection pane="topRight" activeCell="F23" sqref="F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True Green Capital Management LLC</v>
      </c>
      <c r="B1" s="65"/>
      <c r="C1" s="65"/>
      <c r="D1" s="66" t="s">
        <v>50</v>
      </c>
      <c r="E1" s="66"/>
      <c r="F1" s="66"/>
      <c r="G1" s="64" t="s">
        <v>51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8">Sites[Site]</f>
        <v>Rochester - 5516 Valleyhigh NW</v>
      </c>
      <c r="B4" s="28"/>
      <c r="C4" s="24"/>
      <c r="D4" s="13"/>
      <c r="E4" s="13" t="str">
        <f t="shared" ref="E4:E7" si="0">IF(AND(ISNUMBER(C4),ISNUMBER(D4)), C4-D4, "")</f>
        <v/>
      </c>
      <c r="F4" s="14" t="str">
        <f t="shared" ref="F4:F7" si="1">IFERROR(E4/D4, "")</f>
        <v/>
      </c>
      <c r="G4" s="15"/>
      <c r="H4" s="15" t="str">
        <f t="shared" ref="H4:H7" si="2">IF(AND(ISNUMBER(C4),ISNUMBER(G4)), C4-G4, "")</f>
        <v/>
      </c>
      <c r="I4" s="16" t="str">
        <f t="shared" ref="I4:I7" si="3">IFERROR(H4/G4, "")</f>
        <v/>
      </c>
      <c r="J4" s="47"/>
      <c r="K4" s="47"/>
    </row>
    <row r="5" spans="1:11" ht="15.6">
      <c r="A5" s="29" t="str">
        <v>Warsaw - Hemings</v>
      </c>
      <c r="B5" s="30"/>
      <c r="C5" s="11"/>
      <c r="D5" s="18"/>
      <c r="E5" s="18" t="str">
        <f t="shared" si="0"/>
        <v/>
      </c>
      <c r="F5" s="19" t="str">
        <f t="shared" si="1"/>
        <v/>
      </c>
      <c r="G5" s="20"/>
      <c r="H5" s="20" t="str">
        <f t="shared" si="2"/>
        <v/>
      </c>
      <c r="I5" s="19" t="str">
        <f t="shared" si="3"/>
        <v/>
      </c>
      <c r="J5" s="46"/>
      <c r="K5" s="46"/>
    </row>
    <row r="6" spans="1:11" ht="15.6">
      <c r="A6" s="31" t="str">
        <v>Mount Jackson - Randolf</v>
      </c>
      <c r="B6" s="28"/>
      <c r="C6" s="24"/>
      <c r="D6" s="13"/>
      <c r="E6" s="13" t="str">
        <f t="shared" si="0"/>
        <v/>
      </c>
      <c r="F6" s="14" t="str">
        <f t="shared" si="1"/>
        <v/>
      </c>
      <c r="G6" s="15"/>
      <c r="H6" s="15" t="str">
        <f t="shared" si="2"/>
        <v/>
      </c>
      <c r="I6" s="16" t="str">
        <f t="shared" si="3"/>
        <v/>
      </c>
      <c r="J6" s="47"/>
      <c r="K6" s="47"/>
    </row>
    <row r="7" spans="1:11" ht="15.6">
      <c r="A7" s="29" t="str">
        <v>Callands Gretna - Monroe</v>
      </c>
      <c r="B7" s="30"/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6"/>
      <c r="K7" s="46"/>
    </row>
    <row r="8" spans="1:11" ht="15.6">
      <c r="A8" s="31" t="str">
        <v>Rockbridge Baths - Small Mouth Bass</v>
      </c>
      <c r="B8" s="28"/>
      <c r="C8" s="24"/>
      <c r="D8" s="13"/>
      <c r="E8" s="13"/>
      <c r="F8" s="14"/>
      <c r="G8" s="15"/>
      <c r="H8" s="15"/>
      <c r="I8" s="16"/>
      <c r="J8" s="47"/>
      <c r="K8" s="47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zoomScale="80" zoomScaleNormal="80" workbookViewId="0">
      <pane xSplit="2" ySplit="3" topLeftCell="C4" activePane="bottomRight" state="frozen"/>
      <selection pane="bottomRight" activeCell="F23" sqref="F23"/>
      <selection pane="bottomLeft" activeCell="F23" sqref="F23"/>
      <selection pane="topRight" activeCell="F23" sqref="F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True Green Capital Management LLC</v>
      </c>
      <c r="B1" s="65"/>
      <c r="C1" s="65"/>
      <c r="D1" s="66" t="s">
        <v>52</v>
      </c>
      <c r="E1" s="66"/>
      <c r="F1" s="66"/>
      <c r="G1" s="64" t="s">
        <v>53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78.5" customHeight="1">
      <c r="A4" s="29" t="str" cm="1">
        <f t="array" ref="A4:A8">Sites[Site]</f>
        <v>Rochester - 5516 Valleyhigh NW</v>
      </c>
      <c r="B4" s="30"/>
      <c r="C4" s="11"/>
      <c r="D4" s="18"/>
      <c r="E4" s="18" t="str">
        <f t="shared" ref="E4:E5" si="0">IF(AND(ISNUMBER(C4),ISNUMBER(D4)), C4-D4, "")</f>
        <v/>
      </c>
      <c r="F4" s="19" t="str">
        <f t="shared" ref="F4:F5" si="1">IFERROR(E4/D4, "")</f>
        <v/>
      </c>
      <c r="G4" s="20"/>
      <c r="H4" s="20" t="str">
        <f t="shared" ref="H4:H5" si="2">IF(AND(ISNUMBER(C4),ISNUMBER(G4)), C4-G4, "")</f>
        <v/>
      </c>
      <c r="I4" s="19" t="str">
        <f t="shared" ref="I4:I5" si="3">IFERROR(H4/G4, "")</f>
        <v/>
      </c>
      <c r="J4" s="46"/>
      <c r="K4" s="46"/>
    </row>
    <row r="5" spans="1:11" ht="15.6">
      <c r="A5" s="31" t="str">
        <v>Warsaw - Hemings</v>
      </c>
      <c r="B5" s="28"/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7"/>
      <c r="K5" s="47"/>
    </row>
    <row r="6" spans="1:11" ht="15.6">
      <c r="A6" s="29" t="str">
        <v>Mount Jackson - Randolf</v>
      </c>
      <c r="B6" s="30"/>
      <c r="C6" s="11"/>
      <c r="D6" s="18"/>
      <c r="E6" s="18"/>
      <c r="F6" s="19"/>
      <c r="G6" s="20"/>
      <c r="H6" s="20"/>
      <c r="I6" s="19"/>
      <c r="J6" s="46"/>
      <c r="K6" s="46"/>
    </row>
    <row r="7" spans="1:11" ht="15.6">
      <c r="A7" s="31" t="str">
        <v>Callands Gretna - Monroe</v>
      </c>
      <c r="B7" s="28"/>
      <c r="C7" s="24"/>
      <c r="D7" s="13"/>
      <c r="E7" s="13"/>
      <c r="F7" s="14"/>
      <c r="G7" s="15"/>
      <c r="H7" s="15"/>
      <c r="I7" s="16"/>
      <c r="J7" s="47"/>
      <c r="K7" s="47"/>
    </row>
    <row r="8" spans="1:11" ht="15.6">
      <c r="A8" s="29" t="str">
        <v>Rockbridge Baths - Small Mouth Bass</v>
      </c>
      <c r="B8" s="30"/>
      <c r="C8" s="11"/>
      <c r="D8" s="18"/>
      <c r="E8" s="18"/>
      <c r="F8" s="19"/>
      <c r="G8" s="20"/>
      <c r="H8" s="20"/>
      <c r="I8" s="19"/>
      <c r="J8" s="41"/>
      <c r="K8" s="4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37"/>
  <sheetViews>
    <sheetView zoomScale="70" zoomScaleNormal="70" workbookViewId="0">
      <pane xSplit="2" ySplit="3" topLeftCell="C4" activePane="bottomRight" state="frozen"/>
      <selection pane="bottomRight" activeCell="F23" sqref="F23"/>
      <selection pane="bottomLeft" activeCell="F23" sqref="F23"/>
      <selection pane="topRight" activeCell="F23" sqref="F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2.7109375" customWidth="1"/>
  </cols>
  <sheetData>
    <row r="1" spans="1:14" ht="19.5" customHeight="1">
      <c r="A1" s="65" t="str" cm="1">
        <f t="array" ref="A1">portfolio</f>
        <v>True Green Capital Management LLC</v>
      </c>
      <c r="B1" s="65"/>
      <c r="C1" s="65"/>
      <c r="D1" s="66" t="s">
        <v>54</v>
      </c>
      <c r="E1" s="66"/>
      <c r="F1" s="66"/>
      <c r="G1" s="64" t="s">
        <v>55</v>
      </c>
      <c r="H1" s="64"/>
      <c r="I1" s="64"/>
      <c r="J1" s="4"/>
      <c r="K1" s="4"/>
    </row>
    <row r="2" spans="1:14" ht="19.5" customHeight="1">
      <c r="A2" s="67" t="s">
        <v>2</v>
      </c>
      <c r="B2" s="67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191.25" customHeight="1">
      <c r="A4" s="29" t="str" cm="1">
        <f t="array" ref="A4:A8">Sites[Site]</f>
        <v>Rochester - 5516 Valleyhigh NW</v>
      </c>
      <c r="B4" s="30"/>
      <c r="C4" s="11"/>
      <c r="D4" s="18"/>
      <c r="E4" s="18" t="str">
        <f t="shared" ref="E4:E12" si="0">IF(AND(ISNUMBER(C4),ISNUMBER(D4)), C4-D4, "")</f>
        <v/>
      </c>
      <c r="F4" s="19" t="str">
        <f t="shared" ref="F4:F12" si="1">IFERROR(E4/D4, "")</f>
        <v/>
      </c>
      <c r="G4" s="20"/>
      <c r="H4" s="20" t="str">
        <f t="shared" ref="H4:H12" si="2">IF(AND(ISNUMBER(C4),ISNUMBER(G4)), C4-G4, "")</f>
        <v/>
      </c>
      <c r="I4" s="19" t="str">
        <f t="shared" ref="I4:I12" si="3">IFERROR(H4/G4, "")</f>
        <v/>
      </c>
      <c r="J4" s="46"/>
      <c r="K4" s="46"/>
      <c r="L4" s="21"/>
      <c r="M4" s="21"/>
      <c r="N4" s="21"/>
    </row>
    <row r="5" spans="1:14" ht="67.5" customHeight="1">
      <c r="A5" s="48" t="str">
        <v>Warsaw - Hemings</v>
      </c>
      <c r="B5" s="28"/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7"/>
      <c r="K5" s="47"/>
      <c r="L5" s="21"/>
      <c r="M5" s="21"/>
      <c r="N5" s="21"/>
    </row>
    <row r="6" spans="1:14" ht="165.75" customHeight="1">
      <c r="A6" s="29" t="str">
        <v>Mount Jackson - Randolf</v>
      </c>
      <c r="B6" s="30"/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46"/>
      <c r="K6" s="46"/>
      <c r="L6" s="21"/>
      <c r="M6" s="21"/>
      <c r="N6" s="21"/>
    </row>
    <row r="7" spans="1:14" ht="81" customHeight="1">
      <c r="A7" s="48" t="str">
        <v>Callands Gretna - Monroe</v>
      </c>
      <c r="B7" s="28"/>
      <c r="C7" s="24"/>
      <c r="D7" s="13"/>
      <c r="E7" s="13" t="str">
        <f t="shared" si="0"/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7"/>
      <c r="K7" s="47"/>
      <c r="L7" s="21"/>
      <c r="M7" s="21"/>
      <c r="N7" s="21"/>
    </row>
    <row r="8" spans="1:14" ht="51" customHeight="1">
      <c r="A8" s="29" t="str">
        <v>Rockbridge Baths - Small Mouth Bass</v>
      </c>
      <c r="B8" s="30"/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19" t="str">
        <f t="shared" si="3"/>
        <v/>
      </c>
      <c r="J8" s="46"/>
      <c r="K8" s="46"/>
      <c r="L8" s="21"/>
      <c r="M8" s="21"/>
      <c r="N8" s="21"/>
    </row>
    <row r="9" spans="1:14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2"/>
        <v/>
      </c>
      <c r="I9" s="21" t="str">
        <f t="shared" si="3"/>
        <v/>
      </c>
      <c r="J9" s="21"/>
      <c r="K9" s="21"/>
      <c r="L9" s="21"/>
      <c r="M9" s="21"/>
      <c r="N9" s="21"/>
    </row>
    <row r="10" spans="1:14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2"/>
        <v/>
      </c>
      <c r="I10" s="21" t="str">
        <f t="shared" si="3"/>
        <v/>
      </c>
      <c r="J10" s="21"/>
      <c r="K10" s="21"/>
      <c r="L10" s="21"/>
      <c r="M10" s="21"/>
      <c r="N10" s="21"/>
    </row>
    <row r="11" spans="1:14">
      <c r="A11" s="21"/>
      <c r="B11" s="21"/>
      <c r="C11" s="21"/>
      <c r="D11" s="21"/>
      <c r="E11" s="21" t="str">
        <f t="shared" si="0"/>
        <v/>
      </c>
      <c r="F11" s="21" t="str">
        <f t="shared" si="1"/>
        <v/>
      </c>
      <c r="G11" s="21"/>
      <c r="H11" s="21" t="str">
        <f t="shared" si="2"/>
        <v/>
      </c>
      <c r="I11" s="21" t="str">
        <f t="shared" si="3"/>
        <v/>
      </c>
      <c r="J11" s="21"/>
      <c r="K11" s="21"/>
      <c r="L11" s="21"/>
      <c r="M11" s="21"/>
      <c r="N11" s="21"/>
    </row>
    <row r="12" spans="1:14">
      <c r="A12" s="21"/>
      <c r="B12" s="21"/>
      <c r="C12" s="21"/>
      <c r="D12" s="21"/>
      <c r="E12" s="21" t="str">
        <f t="shared" si="0"/>
        <v/>
      </c>
      <c r="F12" s="21" t="str">
        <f t="shared" si="1"/>
        <v/>
      </c>
      <c r="G12" s="21"/>
      <c r="H12" s="21" t="str">
        <f t="shared" si="2"/>
        <v/>
      </c>
      <c r="I12" s="21" t="str">
        <f t="shared" si="3"/>
        <v/>
      </c>
      <c r="J12" s="21"/>
      <c r="K12" s="21"/>
      <c r="L12" s="21"/>
      <c r="M12" s="21"/>
      <c r="N12" s="21"/>
    </row>
    <row r="13" spans="1:14" ht="12.75" customHeight="1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4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4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4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 F4:F8 I4:I8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13:F95 I13:I95">
    <cfRule type="cellIs" dxfId="24" priority="1" stopIfTrue="1" operator="lessThanOrEqual">
      <formula>-0.1</formula>
    </cfRule>
    <cfRule type="expression" dxfId="23" priority="2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37"/>
  <sheetViews>
    <sheetView zoomScale="80" zoomScaleNormal="80" workbookViewId="0">
      <pane xSplit="2" ySplit="3" topLeftCell="C4" activePane="bottomRight" state="frozen"/>
      <selection pane="bottomRight" activeCell="F23" sqref="F23"/>
      <selection pane="bottomLeft" activeCell="F23" sqref="F23"/>
      <selection pane="topRight" activeCell="F23" sqref="F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5" t="str" cm="1">
        <f t="array" ref="A1">portfolio</f>
        <v>True Green Capital Management LLC</v>
      </c>
      <c r="B1" s="65"/>
      <c r="C1" s="65"/>
      <c r="D1" s="66" t="s">
        <v>56</v>
      </c>
      <c r="E1" s="66"/>
      <c r="F1" s="66"/>
      <c r="G1" s="64" t="s">
        <v>57</v>
      </c>
      <c r="H1" s="64"/>
      <c r="I1" s="64"/>
      <c r="J1" s="4"/>
      <c r="K1" s="4"/>
    </row>
    <row r="2" spans="1:15" ht="19.5" customHeight="1">
      <c r="A2" s="67" t="s">
        <v>2</v>
      </c>
      <c r="B2" s="67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5" ht="111.75" customHeight="1">
      <c r="A4" s="29" t="str" cm="1">
        <f t="array" ref="A4:A8">Sites[Site]</f>
        <v>Rochester - 5516 Valleyhigh NW</v>
      </c>
      <c r="B4" s="30"/>
      <c r="C4" s="11"/>
      <c r="D4" s="18"/>
      <c r="E4" s="18" t="str">
        <f t="shared" ref="E4:E12" si="0">IF(AND(ISNUMBER(C4),ISNUMBER(D4)), C4-D4, "")</f>
        <v/>
      </c>
      <c r="F4" s="19" t="str">
        <f t="shared" ref="F4:F12" si="1">IFERROR(E4/D4, "")</f>
        <v/>
      </c>
      <c r="G4" s="20"/>
      <c r="H4" s="20" t="str">
        <f t="shared" ref="H4:H12" si="2">IF(AND(ISNUMBER(C4),ISNUMBER(G4)), C4-G4, "")</f>
        <v/>
      </c>
      <c r="I4" s="19" t="str">
        <f t="shared" ref="I4:I12" si="3">IFERROR(H4/G4, "")</f>
        <v/>
      </c>
      <c r="J4" s="46"/>
      <c r="K4" s="46"/>
      <c r="L4" s="21"/>
      <c r="M4" s="21"/>
      <c r="N4" s="21"/>
      <c r="O4" s="21"/>
    </row>
    <row r="5" spans="1:15" ht="15.6">
      <c r="A5" s="31" t="str">
        <v>Warsaw - Hemings</v>
      </c>
      <c r="B5" s="28"/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0"/>
      <c r="K5" s="40"/>
      <c r="L5" s="21"/>
      <c r="M5" s="21"/>
      <c r="N5" s="21"/>
      <c r="O5" s="21"/>
    </row>
    <row r="6" spans="1:15" ht="15.6">
      <c r="A6" s="29" t="str">
        <v>Mount Jackson - Randolf</v>
      </c>
      <c r="B6" s="30"/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41"/>
      <c r="K6" s="46"/>
      <c r="L6" s="21"/>
      <c r="M6" s="21"/>
      <c r="N6" s="21"/>
      <c r="O6" s="21"/>
    </row>
    <row r="7" spans="1:15" ht="15.6">
      <c r="A7" s="31" t="str">
        <v>Callands Gretna - Monroe</v>
      </c>
      <c r="B7" s="28"/>
      <c r="C7" s="24"/>
      <c r="D7" s="13"/>
      <c r="E7" s="13" t="str">
        <f t="shared" si="0"/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0"/>
      <c r="K7" s="40"/>
      <c r="L7" s="21"/>
      <c r="M7" s="21"/>
      <c r="N7" s="21"/>
      <c r="O7" s="21"/>
    </row>
    <row r="8" spans="1:15" ht="15.6">
      <c r="A8" s="29" t="str">
        <v>Rockbridge Baths - Small Mouth Bass</v>
      </c>
      <c r="B8" s="30"/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19" t="str">
        <f t="shared" si="3"/>
        <v/>
      </c>
      <c r="J8" s="41"/>
      <c r="K8" s="41"/>
      <c r="L8" s="21"/>
      <c r="M8" s="21"/>
      <c r="N8" s="21"/>
      <c r="O8" s="21"/>
    </row>
    <row r="9" spans="1:15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2"/>
        <v/>
      </c>
      <c r="I9" s="21" t="str">
        <f t="shared" si="3"/>
        <v/>
      </c>
      <c r="J9" s="21"/>
      <c r="K9" s="21"/>
      <c r="L9" s="21"/>
      <c r="M9" s="21"/>
      <c r="N9" s="21"/>
      <c r="O9" s="21"/>
    </row>
    <row r="10" spans="1:15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2"/>
        <v/>
      </c>
      <c r="I10" s="21" t="str">
        <f t="shared" si="3"/>
        <v/>
      </c>
      <c r="J10" s="21"/>
      <c r="K10" s="21"/>
      <c r="L10" s="21"/>
      <c r="M10" s="21"/>
      <c r="N10" s="21"/>
      <c r="O10" s="21"/>
    </row>
    <row r="11" spans="1:15">
      <c r="A11" s="21"/>
      <c r="B11" s="21"/>
      <c r="C11" s="21"/>
      <c r="D11" s="21"/>
      <c r="E11" s="21" t="str">
        <f t="shared" si="0"/>
        <v/>
      </c>
      <c r="F11" s="21" t="str">
        <f t="shared" si="1"/>
        <v/>
      </c>
      <c r="G11" s="21"/>
      <c r="H11" s="21" t="str">
        <f t="shared" si="2"/>
        <v/>
      </c>
      <c r="I11" s="21" t="str">
        <f t="shared" si="3"/>
        <v/>
      </c>
      <c r="J11" s="21"/>
      <c r="K11" s="21"/>
      <c r="L11" s="21"/>
      <c r="M11" s="21"/>
      <c r="N11" s="21"/>
      <c r="O11" s="21"/>
    </row>
    <row r="12" spans="1:15">
      <c r="A12" s="21"/>
      <c r="B12" s="21"/>
      <c r="C12" s="21"/>
      <c r="D12" s="21"/>
      <c r="E12" s="21" t="str">
        <f t="shared" si="0"/>
        <v/>
      </c>
      <c r="F12" s="21" t="str">
        <f t="shared" si="1"/>
        <v/>
      </c>
      <c r="G12" s="21"/>
      <c r="H12" s="21" t="str">
        <f t="shared" si="2"/>
        <v/>
      </c>
      <c r="I12" s="21" t="str">
        <f t="shared" si="3"/>
        <v/>
      </c>
      <c r="J12" s="21"/>
      <c r="K12" s="21"/>
      <c r="L12" s="21"/>
      <c r="M12" s="21"/>
      <c r="N12" s="21"/>
      <c r="O12" s="21"/>
    </row>
    <row r="13" spans="1:15" ht="12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</row>
    <row r="14" spans="1:1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5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sortState xmlns:xlrd2="http://schemas.microsoft.com/office/spreadsheetml/2017/richdata2" ref="A3:K10">
    <sortCondition ref="A3:A10"/>
  </sortState>
  <mergeCells count="4">
    <mergeCell ref="G1:I1"/>
    <mergeCell ref="A1:C1"/>
    <mergeCell ref="D1:F1"/>
    <mergeCell ref="A2:B2"/>
  </mergeCells>
  <conditionalFormatting sqref="A9:K14 F15:F95 I15:I95">
    <cfRule type="cellIs" dxfId="22" priority="1" stopIfTrue="1" operator="lessThanOrEqual">
      <formula>-0.1</formula>
    </cfRule>
    <cfRule type="expression" dxfId="21" priority="2">
      <formula>AND(ISNUMBER(A9), A9&gt;=0.1)</formula>
    </cfRule>
  </conditionalFormatting>
  <conditionalFormatting sqref="F2 I2 F4:F8 I4:I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7"/>
  <sheetViews>
    <sheetView zoomScale="80" zoomScaleNormal="80" workbookViewId="0">
      <pane xSplit="2" ySplit="3" topLeftCell="F4" activePane="bottomRight" state="frozen"/>
      <selection pane="bottomRight" activeCell="F23" sqref="F23"/>
      <selection pane="bottomLeft" activeCell="F23" sqref="F23"/>
      <selection pane="topRight" activeCell="F23" sqref="F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True Green Capital Management LLC</v>
      </c>
      <c r="B1" s="65"/>
      <c r="C1" s="65"/>
      <c r="D1" s="66" t="s">
        <v>58</v>
      </c>
      <c r="E1" s="66"/>
      <c r="F1" s="66"/>
      <c r="G1" s="64" t="s">
        <v>59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29" t="str" cm="1">
        <f t="array" ref="A4:A8">Sites[Site]</f>
        <v>Rochester - 5516 Valleyhigh NW</v>
      </c>
      <c r="B4" s="30"/>
      <c r="C4" s="49"/>
      <c r="D4" s="18"/>
      <c r="E4" s="18" t="str">
        <f t="shared" ref="E4:E12" si="0">IF(AND(ISNUMBER(C4),ISNUMBER(D4)), C4-D4, "")</f>
        <v/>
      </c>
      <c r="F4" s="19" t="str">
        <f t="shared" ref="F4:F12" si="1">IFERROR(E4/D4, "")</f>
        <v/>
      </c>
      <c r="G4" s="20"/>
      <c r="H4" s="20" t="str">
        <f t="shared" ref="H4:H12" si="2">IF(AND(ISNUMBER(C4),ISNUMBER(G4)), C4-G4, "")</f>
        <v/>
      </c>
      <c r="I4" s="50" t="str">
        <f t="shared" ref="I4:I8" si="3">IFERROR(H4/G4, "")</f>
        <v/>
      </c>
      <c r="J4" s="46"/>
      <c r="K4" s="46"/>
      <c r="L4" s="21"/>
    </row>
    <row r="5" spans="1:12" ht="15.6">
      <c r="A5" s="31" t="str">
        <v>Warsaw - Hemings</v>
      </c>
      <c r="B5" s="28"/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0"/>
      <c r="K5" s="40"/>
      <c r="L5" s="21"/>
    </row>
    <row r="6" spans="1:12" ht="15.6">
      <c r="A6" s="29" t="str">
        <v>Mount Jackson - Randolf</v>
      </c>
      <c r="B6" s="30"/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50" t="str">
        <f t="shared" si="3"/>
        <v/>
      </c>
      <c r="J6" s="41"/>
      <c r="K6" s="41"/>
      <c r="L6" s="21"/>
    </row>
    <row r="7" spans="1:12" ht="15.6">
      <c r="A7" s="31" t="str">
        <v>Callands Gretna - Monroe</v>
      </c>
      <c r="B7" s="28"/>
      <c r="C7" s="24"/>
      <c r="D7" s="13"/>
      <c r="E7" s="13" t="str">
        <f>IF(AND(ISNUMBER(C7),ISNUMBER(D7)), C7-D7, "")</f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0"/>
      <c r="K7" s="40"/>
      <c r="L7" s="21"/>
    </row>
    <row r="8" spans="1:12" ht="15.6">
      <c r="A8" s="29" t="str">
        <v>Rockbridge Baths - Small Mouth Bass</v>
      </c>
      <c r="B8" s="30"/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50" t="str">
        <f t="shared" si="3"/>
        <v/>
      </c>
      <c r="J8" s="41"/>
      <c r="K8" s="41"/>
      <c r="L8" s="21"/>
    </row>
    <row r="9" spans="1:12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2"/>
        <v/>
      </c>
      <c r="I9" s="21" t="str">
        <f t="shared" ref="I9:I12" si="4">IFERROR(H9/G9, "")</f>
        <v/>
      </c>
      <c r="J9" s="21"/>
      <c r="K9" s="21"/>
      <c r="L9" s="21"/>
    </row>
    <row r="10" spans="1:12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2"/>
        <v/>
      </c>
      <c r="I10" s="21" t="str">
        <f t="shared" si="4"/>
        <v/>
      </c>
      <c r="J10" s="21"/>
      <c r="K10" s="21"/>
      <c r="L10" s="21"/>
    </row>
    <row r="11" spans="1:12">
      <c r="A11" s="21"/>
      <c r="B11" s="21"/>
      <c r="C11" s="21"/>
      <c r="D11" s="21"/>
      <c r="E11" s="21" t="str">
        <f t="shared" si="0"/>
        <v/>
      </c>
      <c r="F11" s="21" t="str">
        <f t="shared" si="1"/>
        <v/>
      </c>
      <c r="G11" s="21"/>
      <c r="H11" s="21" t="str">
        <f t="shared" si="2"/>
        <v/>
      </c>
      <c r="I11" s="21" t="str">
        <f t="shared" si="4"/>
        <v/>
      </c>
      <c r="J11" s="21"/>
      <c r="K11" s="21"/>
      <c r="L11" s="21"/>
    </row>
    <row r="12" spans="1:12">
      <c r="A12" s="21"/>
      <c r="B12" s="21"/>
      <c r="C12" s="21"/>
      <c r="D12" s="21"/>
      <c r="E12" s="21" t="str">
        <f t="shared" si="0"/>
        <v/>
      </c>
      <c r="F12" s="21" t="str">
        <f t="shared" si="1"/>
        <v/>
      </c>
      <c r="G12" s="21"/>
      <c r="H12" s="21" t="str">
        <f t="shared" si="2"/>
        <v/>
      </c>
      <c r="I12" s="21" t="str">
        <f t="shared" si="4"/>
        <v/>
      </c>
      <c r="J12" s="21"/>
      <c r="K12" s="21"/>
      <c r="L12" s="21"/>
    </row>
    <row r="13" spans="1:12" ht="12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 F4:F95 I4:I9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37"/>
  <sheetViews>
    <sheetView zoomScale="80" zoomScaleNormal="80" workbookViewId="0">
      <pane xSplit="2" ySplit="3" topLeftCell="C4" activePane="bottomRight" state="frozen"/>
      <selection pane="bottomRight" activeCell="F23" sqref="F23"/>
      <selection pane="bottomLeft" activeCell="F23" sqref="F23"/>
      <selection pane="topRight" activeCell="F23" sqref="F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5" t="str" cm="1">
        <f t="array" ref="A1">portfolio</f>
        <v>True Green Capital Management LLC</v>
      </c>
      <c r="B1" s="65"/>
      <c r="C1" s="65"/>
      <c r="D1" s="66" t="s">
        <v>60</v>
      </c>
      <c r="E1" s="66"/>
      <c r="F1" s="66"/>
      <c r="G1" s="64" t="s">
        <v>61</v>
      </c>
      <c r="H1" s="64"/>
      <c r="I1" s="64"/>
      <c r="J1" s="4"/>
      <c r="K1" s="4"/>
    </row>
    <row r="2" spans="1:13" ht="19.5" customHeight="1">
      <c r="A2" s="67" t="s">
        <v>2</v>
      </c>
      <c r="B2" s="67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3" ht="96.75" customHeight="1">
      <c r="A4" s="29" t="str" cm="1">
        <f t="array" ref="A4:A8">Sites[Site]</f>
        <v>Rochester - 5516 Valleyhigh NW</v>
      </c>
      <c r="B4" s="30"/>
      <c r="C4" s="11"/>
      <c r="D4" s="18"/>
      <c r="E4" s="18" t="str">
        <f t="shared" ref="E4:E12" si="0">IF(AND(ISNUMBER(C4),ISNUMBER(D4)), C4-D4, "")</f>
        <v/>
      </c>
      <c r="F4" s="19" t="str">
        <f t="shared" ref="F4:F12" si="1">IFERROR(E4/D4, "")</f>
        <v/>
      </c>
      <c r="G4" s="51"/>
      <c r="H4" s="20" t="str">
        <f t="shared" ref="H4:H12" si="2">IF(AND(ISNUMBER(C4),ISNUMBER(G4)), C4-G4, "")</f>
        <v/>
      </c>
      <c r="I4" s="19" t="str">
        <f t="shared" ref="I4:I12" si="3">IFERROR(H4/G4, "")</f>
        <v/>
      </c>
      <c r="J4" s="52"/>
      <c r="K4" s="52"/>
      <c r="L4" s="21"/>
      <c r="M4" s="21"/>
    </row>
    <row r="5" spans="1:13" ht="15.6">
      <c r="A5" s="31" t="str">
        <v>Warsaw - Hemings</v>
      </c>
      <c r="B5" s="28"/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0"/>
      <c r="K5" s="40"/>
      <c r="L5" s="21"/>
      <c r="M5" s="21"/>
    </row>
    <row r="6" spans="1:13" ht="15.6">
      <c r="A6" s="29" t="str">
        <v>Mount Jackson - Randolf</v>
      </c>
      <c r="B6" s="30"/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41"/>
      <c r="K6" s="41"/>
      <c r="L6" s="21"/>
      <c r="M6" s="21"/>
    </row>
    <row r="7" spans="1:13" ht="15.6">
      <c r="A7" s="31" t="str">
        <v>Callands Gretna - Monroe</v>
      </c>
      <c r="B7" s="28"/>
      <c r="C7" s="24"/>
      <c r="D7" s="13"/>
      <c r="E7" s="13" t="str">
        <f t="shared" si="0"/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0"/>
      <c r="K7" s="40"/>
      <c r="L7" s="21"/>
      <c r="M7" s="21"/>
    </row>
    <row r="8" spans="1:13" ht="15.6">
      <c r="A8" s="29" t="str">
        <v>Rockbridge Baths - Small Mouth Bass</v>
      </c>
      <c r="B8" s="30"/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19" t="str">
        <f t="shared" si="3"/>
        <v/>
      </c>
      <c r="J8" s="41"/>
      <c r="K8" s="52"/>
      <c r="L8" s="21"/>
      <c r="M8" s="21"/>
    </row>
    <row r="9" spans="1:13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2"/>
        <v/>
      </c>
      <c r="I9" s="21" t="str">
        <f t="shared" si="3"/>
        <v/>
      </c>
      <c r="J9" s="21"/>
      <c r="K9" s="21"/>
      <c r="L9" s="21"/>
      <c r="M9" s="21"/>
    </row>
    <row r="10" spans="1:13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2"/>
        <v/>
      </c>
      <c r="I10" s="21" t="str">
        <f t="shared" si="3"/>
        <v/>
      </c>
      <c r="J10" s="21"/>
      <c r="K10" s="21"/>
      <c r="L10" s="21"/>
      <c r="M10" s="21"/>
    </row>
    <row r="11" spans="1:13">
      <c r="A11" s="21"/>
      <c r="B11" s="21"/>
      <c r="C11" s="21"/>
      <c r="D11" s="21"/>
      <c r="E11" s="21" t="str">
        <f t="shared" si="0"/>
        <v/>
      </c>
      <c r="F11" s="21" t="str">
        <f t="shared" si="1"/>
        <v/>
      </c>
      <c r="G11" s="21"/>
      <c r="H11" s="21" t="str">
        <f t="shared" si="2"/>
        <v/>
      </c>
      <c r="I11" s="21" t="str">
        <f t="shared" si="3"/>
        <v/>
      </c>
      <c r="J11" s="21"/>
      <c r="K11" s="21"/>
      <c r="L11" s="21"/>
      <c r="M11" s="21"/>
    </row>
    <row r="12" spans="1:13">
      <c r="A12" s="21"/>
      <c r="B12" s="21"/>
      <c r="C12" s="21"/>
      <c r="D12" s="21"/>
      <c r="E12" s="21" t="str">
        <f t="shared" si="0"/>
        <v/>
      </c>
      <c r="F12" s="21" t="str">
        <f t="shared" si="1"/>
        <v/>
      </c>
      <c r="G12" s="21"/>
      <c r="H12" s="21" t="str">
        <f t="shared" si="2"/>
        <v/>
      </c>
      <c r="I12" s="21" t="str">
        <f t="shared" si="3"/>
        <v/>
      </c>
      <c r="J12" s="21"/>
      <c r="K12" s="21"/>
      <c r="L12" s="21"/>
      <c r="M12" s="21"/>
    </row>
    <row r="13" spans="1:13" ht="12.75" customHeight="1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3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3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3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 F4:F8 I4:I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13:F95 I13:I95">
    <cfRule type="cellIs" dxfId="14" priority="1" stopIfTrue="1" operator="lessThanOrEqual">
      <formula>-0.1</formula>
    </cfRule>
    <cfRule type="expression" dxfId="13" priority="2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37"/>
  <sheetViews>
    <sheetView zoomScale="70" zoomScaleNormal="70" workbookViewId="0">
      <pane xSplit="2" ySplit="3" topLeftCell="C4" activePane="bottomRight" state="frozen"/>
      <selection pane="bottomRight" activeCell="F23" sqref="F23"/>
      <selection pane="bottomLeft" activeCell="F23" sqref="F23"/>
      <selection pane="topRight" activeCell="F23" sqref="F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5703125" customWidth="1"/>
  </cols>
  <sheetData>
    <row r="1" spans="1:12" ht="19.5" customHeight="1">
      <c r="A1" s="65" t="str" cm="1">
        <f t="array" ref="A1">portfolio</f>
        <v>True Green Capital Management LLC</v>
      </c>
      <c r="B1" s="65"/>
      <c r="C1" s="65"/>
      <c r="D1" s="66" t="s">
        <v>62</v>
      </c>
      <c r="E1" s="66"/>
      <c r="F1" s="66"/>
      <c r="G1" s="64" t="s">
        <v>63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00.5" customHeight="1">
      <c r="A4" s="29" t="str" cm="1">
        <f t="array" ref="A4:A8">Sites[Site]</f>
        <v>Rochester - 5516 Valleyhigh NW</v>
      </c>
      <c r="B4" s="30"/>
      <c r="C4" s="11"/>
      <c r="D4" s="18"/>
      <c r="E4" s="18" t="str">
        <f t="shared" ref="E4:E12" si="0">IF(AND(ISNUMBER(C4),ISNUMBER(D4)), C4-D4, "")</f>
        <v/>
      </c>
      <c r="F4" s="19" t="str">
        <f t="shared" ref="F4:F12" si="1">IFERROR(E4/D4, "")</f>
        <v/>
      </c>
      <c r="G4" s="20"/>
      <c r="H4" s="20" t="str">
        <f t="shared" ref="H4:H11" si="2">IF(AND(ISNUMBER(C4),ISNUMBER(G4)), C4-G4, "")</f>
        <v/>
      </c>
      <c r="I4" s="19" t="str">
        <f t="shared" ref="I4:I11" si="3">IFERROR(H4/G4, "")</f>
        <v/>
      </c>
      <c r="J4" s="46"/>
      <c r="K4" s="46"/>
      <c r="L4" s="21"/>
    </row>
    <row r="5" spans="1:12" ht="15.6">
      <c r="A5" s="31" t="str">
        <v>Warsaw - Hemings</v>
      </c>
      <c r="B5" s="28"/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7"/>
      <c r="K5" s="47"/>
      <c r="L5" s="21"/>
    </row>
    <row r="6" spans="1:12" ht="15.6">
      <c r="A6" s="29" t="str">
        <v>Mount Jackson - Randolf</v>
      </c>
      <c r="B6" s="30"/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46"/>
      <c r="K6" s="46"/>
      <c r="L6" s="21"/>
    </row>
    <row r="7" spans="1:12" ht="15.6">
      <c r="A7" s="31" t="str">
        <v>Callands Gretna - Monroe</v>
      </c>
      <c r="B7" s="28"/>
      <c r="C7" s="24"/>
      <c r="D7" s="13"/>
      <c r="E7" s="13" t="str">
        <f t="shared" si="0"/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7"/>
      <c r="K7" s="47"/>
      <c r="L7" s="21"/>
    </row>
    <row r="8" spans="1:12" ht="15.6">
      <c r="A8" s="29" t="str">
        <v>Rockbridge Baths - Small Mouth Bass</v>
      </c>
      <c r="B8" s="30"/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19" t="str">
        <f t="shared" si="3"/>
        <v/>
      </c>
      <c r="J8" s="46"/>
      <c r="K8" s="46"/>
      <c r="L8" s="21"/>
    </row>
    <row r="9" spans="1:12">
      <c r="A9" s="21"/>
      <c r="B9" s="21"/>
      <c r="C9" s="21"/>
      <c r="D9" s="21"/>
      <c r="E9" s="21" t="str">
        <f t="shared" si="0"/>
        <v/>
      </c>
      <c r="F9" s="21" t="str">
        <f t="shared" si="1"/>
        <v/>
      </c>
      <c r="G9" s="21"/>
      <c r="H9" s="21" t="str">
        <f t="shared" si="2"/>
        <v/>
      </c>
      <c r="I9" s="21" t="str">
        <f t="shared" si="3"/>
        <v/>
      </c>
      <c r="J9" s="21"/>
      <c r="K9" s="21"/>
      <c r="L9" s="21"/>
    </row>
    <row r="10" spans="1:12">
      <c r="A10" s="21"/>
      <c r="B10" s="21"/>
      <c r="C10" s="21"/>
      <c r="D10" s="21"/>
      <c r="E10" s="21" t="str">
        <f t="shared" si="0"/>
        <v/>
      </c>
      <c r="F10" s="21" t="str">
        <f t="shared" si="1"/>
        <v/>
      </c>
      <c r="G10" s="21"/>
      <c r="H10" s="21" t="str">
        <f t="shared" si="2"/>
        <v/>
      </c>
      <c r="I10" s="21" t="str">
        <f t="shared" si="3"/>
        <v/>
      </c>
      <c r="J10" s="21"/>
      <c r="K10" s="21"/>
      <c r="L10" s="21"/>
    </row>
    <row r="11" spans="1:12">
      <c r="A11" s="21"/>
      <c r="B11" s="21"/>
      <c r="C11" s="21"/>
      <c r="D11" s="21"/>
      <c r="E11" s="21" t="str">
        <f t="shared" si="0"/>
        <v/>
      </c>
      <c r="F11" s="21" t="str">
        <f t="shared" si="1"/>
        <v/>
      </c>
      <c r="G11" s="21"/>
      <c r="H11" s="21" t="str">
        <f t="shared" si="2"/>
        <v/>
      </c>
      <c r="I11" s="21" t="str">
        <f t="shared" si="3"/>
        <v/>
      </c>
      <c r="J11" s="21"/>
      <c r="K11" s="21"/>
      <c r="L11" s="21"/>
    </row>
    <row r="12" spans="1:12">
      <c r="A12" s="21"/>
      <c r="B12" s="21"/>
      <c r="C12" s="21"/>
      <c r="D12" s="21"/>
      <c r="E12" s="21" t="str">
        <f t="shared" si="0"/>
        <v/>
      </c>
      <c r="F12" s="21" t="str">
        <f t="shared" si="1"/>
        <v/>
      </c>
      <c r="G12" s="21"/>
      <c r="H12" s="21" t="str">
        <f>IF(AND(ISNUMBER(C12),ISNUMBER(G12)), C12-G12, "")</f>
        <v/>
      </c>
      <c r="I12" s="21" t="str">
        <f>IFERROR(H12/G12, "")</f>
        <v/>
      </c>
      <c r="J12" s="21"/>
      <c r="K12" s="21"/>
      <c r="L12" s="21"/>
    </row>
    <row r="13" spans="1:12" ht="12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 F4:F8 I4:I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15:F95 I15:I95">
    <cfRule type="cellIs" dxfId="10" priority="1" stopIfTrue="1" operator="lessThanOrEqual">
      <formula>-0.1</formula>
    </cfRule>
    <cfRule type="expression" dxfId="9" priority="2">
      <formula>AND(ISNUMBER(F15), F15&gt;=0.1)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37"/>
  <sheetViews>
    <sheetView zoomScale="80" zoomScaleNormal="80" workbookViewId="0">
      <pane xSplit="2" ySplit="3" topLeftCell="J8" activePane="bottomRight" state="frozen"/>
      <selection pane="bottomRight" activeCell="F23" sqref="F23"/>
      <selection pane="bottomLeft" activeCell="F23" sqref="F23"/>
      <selection pane="topRight" activeCell="F23" sqref="F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True Green Capital Management LLC</v>
      </c>
      <c r="B1" s="65"/>
      <c r="C1" s="65"/>
      <c r="D1" s="66" t="s">
        <v>64</v>
      </c>
      <c r="E1" s="66"/>
      <c r="F1" s="66"/>
      <c r="G1" s="64" t="s">
        <v>65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22.5" customHeight="1">
      <c r="A4" s="29" t="str" cm="1">
        <f t="array" ref="A4:A8">Sites[Site]</f>
        <v>Rochester - 5516 Valleyhigh NW</v>
      </c>
      <c r="B4" s="30"/>
      <c r="C4" s="11"/>
      <c r="D4" s="18"/>
      <c r="E4" s="18" t="str">
        <f t="shared" ref="E4:E8" si="0">IF(AND(ISNUMBER(C4),ISNUMBER(D4)), C4-D4, "")</f>
        <v/>
      </c>
      <c r="F4" s="19" t="str">
        <f t="shared" ref="F4:F8" si="1">IFERROR(E4/D4, "")</f>
        <v/>
      </c>
      <c r="G4" s="20"/>
      <c r="H4" s="20" t="str">
        <f t="shared" ref="H4:H8" si="2">IF(AND(ISNUMBER(C4),ISNUMBER(G4)), C4-G4, "")</f>
        <v/>
      </c>
      <c r="I4" s="19" t="str">
        <f t="shared" ref="I4:I8" si="3">IFERROR(H4/G4, "")</f>
        <v/>
      </c>
      <c r="J4" s="46"/>
      <c r="K4" s="46"/>
      <c r="L4" s="29"/>
    </row>
    <row r="5" spans="1:12" ht="15.6">
      <c r="A5" s="31" t="str">
        <v>Warsaw - Hemings</v>
      </c>
      <c r="B5" s="28"/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7"/>
      <c r="K5" s="47"/>
      <c r="L5" s="29"/>
    </row>
    <row r="6" spans="1:12" ht="15.6">
      <c r="A6" s="29" t="str">
        <v>Mount Jackson - Randolf</v>
      </c>
      <c r="B6" s="30"/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46"/>
      <c r="K6" s="46"/>
      <c r="L6" s="29"/>
    </row>
    <row r="7" spans="1:12" ht="15.6">
      <c r="A7" s="31" t="str">
        <v>Callands Gretna - Monroe</v>
      </c>
      <c r="B7" s="28"/>
      <c r="C7" s="24"/>
      <c r="D7" s="13"/>
      <c r="E7" s="13" t="str">
        <f t="shared" si="0"/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7"/>
      <c r="K7" s="47"/>
      <c r="L7" s="29"/>
    </row>
    <row r="8" spans="1:12" ht="15.6">
      <c r="A8" s="29" t="str">
        <v>Rockbridge Baths - Small Mouth Bass</v>
      </c>
      <c r="B8" s="30"/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19" t="str">
        <f t="shared" si="3"/>
        <v/>
      </c>
      <c r="J8" s="41"/>
      <c r="K8" s="41"/>
      <c r="L8" s="29"/>
    </row>
    <row r="9" spans="1:12" ht="15.6">
      <c r="A9" s="29"/>
      <c r="B9" s="29"/>
      <c r="C9" s="29"/>
      <c r="D9" s="29"/>
      <c r="E9" s="29" t="str">
        <f t="shared" ref="E9:E12" si="4">IF(AND(ISNUMBER(C9),ISNUMBER(D9)), C9-D9, "")</f>
        <v/>
      </c>
      <c r="F9" s="29" t="str">
        <f t="shared" ref="F9:F12" si="5">IFERROR(E9/D9, "")</f>
        <v/>
      </c>
      <c r="G9" s="29"/>
      <c r="H9" s="29" t="str">
        <f t="shared" ref="H9:H12" si="6">IF(AND(ISNUMBER(C9),ISNUMBER(G9)), C9-G9, "")</f>
        <v/>
      </c>
      <c r="I9" s="29" t="str">
        <f t="shared" ref="I9:I12" si="7">IFERROR(H9/G9, "")</f>
        <v/>
      </c>
      <c r="J9" s="29"/>
      <c r="K9" s="29"/>
      <c r="L9" s="29"/>
    </row>
    <row r="10" spans="1:12" ht="15.6">
      <c r="A10" s="29"/>
      <c r="B10" s="29"/>
      <c r="C10" s="29"/>
      <c r="D10" s="29"/>
      <c r="E10" s="29" t="str">
        <f t="shared" si="4"/>
        <v/>
      </c>
      <c r="F10" s="29" t="str">
        <f t="shared" si="5"/>
        <v/>
      </c>
      <c r="G10" s="29"/>
      <c r="H10" s="29" t="str">
        <f t="shared" si="6"/>
        <v/>
      </c>
      <c r="I10" s="29" t="str">
        <f t="shared" si="7"/>
        <v/>
      </c>
      <c r="J10" s="29"/>
      <c r="K10" s="29"/>
      <c r="L10" s="29"/>
    </row>
    <row r="11" spans="1:12" ht="15.6">
      <c r="A11" s="29"/>
      <c r="B11" s="29"/>
      <c r="C11" s="29"/>
      <c r="D11" s="29"/>
      <c r="E11" s="29" t="str">
        <f t="shared" si="4"/>
        <v/>
      </c>
      <c r="F11" s="29" t="str">
        <f t="shared" si="5"/>
        <v/>
      </c>
      <c r="G11" s="29"/>
      <c r="H11" s="29" t="str">
        <f t="shared" si="6"/>
        <v/>
      </c>
      <c r="I11" s="29" t="str">
        <f t="shared" si="7"/>
        <v/>
      </c>
      <c r="J11" s="29"/>
      <c r="K11" s="29"/>
      <c r="L11" s="29"/>
    </row>
    <row r="12" spans="1:12" ht="15.6">
      <c r="A12" s="29"/>
      <c r="B12" s="29"/>
      <c r="C12" s="29"/>
      <c r="D12" s="29"/>
      <c r="E12" s="29" t="str">
        <f t="shared" si="4"/>
        <v/>
      </c>
      <c r="F12" s="29" t="str">
        <f t="shared" si="5"/>
        <v/>
      </c>
      <c r="G12" s="29"/>
      <c r="H12" s="29" t="str">
        <f t="shared" si="6"/>
        <v/>
      </c>
      <c r="I12" s="29" t="str">
        <f t="shared" si="7"/>
        <v/>
      </c>
      <c r="J12" s="29"/>
      <c r="K12" s="29"/>
      <c r="L12" s="29"/>
    </row>
    <row r="13" spans="1:12" ht="12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12" ht="15.6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</row>
    <row r="15" spans="1:12" ht="15.6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2" ht="15.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</row>
    <row r="17" spans="1:12" ht="15.6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spans="1:12" ht="15.6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</row>
    <row r="19" spans="1:12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2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2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2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2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2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2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2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2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 F4:F95 I4:I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37"/>
  <sheetViews>
    <sheetView zoomScale="80" zoomScaleNormal="80" workbookViewId="0">
      <pane xSplit="2" ySplit="3" topLeftCell="D4" activePane="bottomRight" state="frozen"/>
      <selection pane="bottomRight" activeCell="F23" sqref="F23"/>
      <selection pane="bottomLeft" activeCell="G27" sqref="G27"/>
      <selection pane="topRight" activeCell="G27" sqref="G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5" t="str" cm="1">
        <f t="array" ref="A1">portfolio</f>
        <v>True Green Capital Management LLC</v>
      </c>
      <c r="B1" s="65"/>
      <c r="C1" s="65"/>
      <c r="D1" s="66" t="s">
        <v>66</v>
      </c>
      <c r="E1" s="66"/>
      <c r="F1" s="66"/>
      <c r="G1" s="64" t="s">
        <v>67</v>
      </c>
      <c r="H1" s="64"/>
      <c r="I1" s="64"/>
      <c r="J1" s="4"/>
      <c r="K1" s="4"/>
    </row>
    <row r="2" spans="1:14" ht="19.5" customHeight="1">
      <c r="A2" s="67" t="s">
        <v>2</v>
      </c>
      <c r="B2" s="67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15.6">
      <c r="A4" s="29" t="str" cm="1">
        <f t="array" ref="A4:A8">Sites[Site]</f>
        <v>Rochester - 5516 Valleyhigh NW</v>
      </c>
      <c r="B4" s="30"/>
      <c r="C4" s="11"/>
      <c r="D4" s="18"/>
      <c r="E4" s="18" t="str">
        <f t="shared" ref="E4:E8" si="0">IF(AND(ISNUMBER(C4),ISNUMBER(D4)), C4-D4, "")</f>
        <v/>
      </c>
      <c r="F4" s="19" t="str">
        <f t="shared" ref="F4:F8" si="1">IFERROR(E4/D4, "")</f>
        <v/>
      </c>
      <c r="G4" s="20"/>
      <c r="H4" s="20" t="str">
        <f t="shared" ref="H4:H8" si="2">IF(AND(ISNUMBER(C4),ISNUMBER(G4)), C4-G4, "")</f>
        <v/>
      </c>
      <c r="I4" s="19" t="str">
        <f t="shared" ref="I4:I8" si="3">IFERROR(H4/G4, "")</f>
        <v/>
      </c>
      <c r="J4" s="46"/>
      <c r="K4" s="46"/>
      <c r="L4" s="21"/>
      <c r="M4" s="21"/>
      <c r="N4" s="21"/>
    </row>
    <row r="5" spans="1:14" ht="15.6">
      <c r="A5" s="31" t="str">
        <v>Warsaw - Hemings</v>
      </c>
      <c r="B5" s="28"/>
      <c r="C5" s="24"/>
      <c r="D5" s="13"/>
      <c r="E5" s="13" t="str">
        <f t="shared" si="0"/>
        <v/>
      </c>
      <c r="F5" s="14" t="str">
        <f t="shared" si="1"/>
        <v/>
      </c>
      <c r="G5" s="15"/>
      <c r="H5" s="15" t="str">
        <f t="shared" si="2"/>
        <v/>
      </c>
      <c r="I5" s="16" t="str">
        <f t="shared" si="3"/>
        <v/>
      </c>
      <c r="J5" s="47"/>
      <c r="K5" s="47"/>
      <c r="L5" s="21"/>
      <c r="M5" s="21"/>
      <c r="N5" s="21"/>
    </row>
    <row r="6" spans="1:14" ht="15.6">
      <c r="A6" s="29" t="str">
        <v>Mount Jackson - Randolf</v>
      </c>
      <c r="B6" s="30"/>
      <c r="C6" s="11"/>
      <c r="D6" s="18"/>
      <c r="E6" s="18" t="str">
        <f t="shared" si="0"/>
        <v/>
      </c>
      <c r="F6" s="19" t="str">
        <f t="shared" si="1"/>
        <v/>
      </c>
      <c r="G6" s="20"/>
      <c r="H6" s="20" t="str">
        <f t="shared" si="2"/>
        <v/>
      </c>
      <c r="I6" s="19" t="str">
        <f t="shared" si="3"/>
        <v/>
      </c>
      <c r="J6" s="46"/>
      <c r="K6" s="46"/>
      <c r="L6" s="21"/>
      <c r="M6" s="21"/>
      <c r="N6" s="21"/>
    </row>
    <row r="7" spans="1:14" ht="15.6">
      <c r="A7" s="31" t="str">
        <v>Callands Gretna - Monroe</v>
      </c>
      <c r="B7" s="28"/>
      <c r="C7" s="24"/>
      <c r="D7" s="13"/>
      <c r="E7" s="13" t="str">
        <f t="shared" si="0"/>
        <v/>
      </c>
      <c r="F7" s="14" t="str">
        <f t="shared" si="1"/>
        <v/>
      </c>
      <c r="G7" s="15"/>
      <c r="H7" s="15" t="str">
        <f t="shared" si="2"/>
        <v/>
      </c>
      <c r="I7" s="16" t="str">
        <f t="shared" si="3"/>
        <v/>
      </c>
      <c r="J7" s="47"/>
      <c r="K7" s="47"/>
      <c r="L7" s="21"/>
      <c r="M7" s="21"/>
      <c r="N7" s="21"/>
    </row>
    <row r="8" spans="1:14" ht="15.6">
      <c r="A8" s="29" t="str">
        <v>Rockbridge Baths - Small Mouth Bass</v>
      </c>
      <c r="B8" s="30"/>
      <c r="C8" s="11"/>
      <c r="D8" s="18"/>
      <c r="E8" s="18" t="str">
        <f t="shared" si="0"/>
        <v/>
      </c>
      <c r="F8" s="19" t="str">
        <f t="shared" si="1"/>
        <v/>
      </c>
      <c r="G8" s="20"/>
      <c r="H8" s="20" t="str">
        <f t="shared" si="2"/>
        <v/>
      </c>
      <c r="I8" s="19" t="str">
        <f t="shared" si="3"/>
        <v/>
      </c>
      <c r="J8" s="46"/>
      <c r="K8" s="46"/>
      <c r="L8" s="21"/>
      <c r="M8" s="21"/>
      <c r="N8" s="21"/>
    </row>
    <row r="9" spans="1:14">
      <c r="A9" s="21"/>
      <c r="B9" s="21"/>
      <c r="C9" s="21"/>
      <c r="D9" s="21"/>
      <c r="E9" s="21" t="str">
        <f t="shared" ref="E9:E12" si="4">IF(AND(ISNUMBER(C9),ISNUMBER(D9)), C9-D9, "")</f>
        <v/>
      </c>
      <c r="F9" s="21" t="str">
        <f t="shared" ref="F9:F12" si="5">IFERROR(E9/D9, "")</f>
        <v/>
      </c>
      <c r="G9" s="21"/>
      <c r="H9" s="21" t="str">
        <f t="shared" ref="H9:H12" si="6">IF(AND(ISNUMBER(C9),ISNUMBER(G9)), C9-G9, "")</f>
        <v/>
      </c>
      <c r="I9" s="21" t="str">
        <f t="shared" ref="I9:I12" si="7">IFERROR(H9/G9, "")</f>
        <v/>
      </c>
      <c r="J9" s="21"/>
      <c r="K9" s="21"/>
      <c r="L9" s="21"/>
      <c r="M9" s="21"/>
      <c r="N9" s="21"/>
    </row>
    <row r="10" spans="1:14">
      <c r="A10" s="21"/>
      <c r="B10" s="21"/>
      <c r="C10" s="21"/>
      <c r="D10" s="21"/>
      <c r="E10" s="21" t="str">
        <f t="shared" si="4"/>
        <v/>
      </c>
      <c r="F10" s="21" t="str">
        <f t="shared" si="5"/>
        <v/>
      </c>
      <c r="G10" s="21"/>
      <c r="H10" s="21" t="str">
        <f t="shared" si="6"/>
        <v/>
      </c>
      <c r="I10" s="21" t="str">
        <f t="shared" si="7"/>
        <v/>
      </c>
      <c r="J10" s="21"/>
      <c r="K10" s="21"/>
      <c r="L10" s="21"/>
      <c r="M10" s="21"/>
      <c r="N10" s="21"/>
    </row>
    <row r="11" spans="1:14">
      <c r="A11" s="21"/>
      <c r="B11" s="21"/>
      <c r="C11" s="21"/>
      <c r="D11" s="21"/>
      <c r="E11" s="21" t="str">
        <f t="shared" si="4"/>
        <v/>
      </c>
      <c r="F11" s="21" t="str">
        <f t="shared" si="5"/>
        <v/>
      </c>
      <c r="G11" s="21"/>
      <c r="H11" s="21" t="str">
        <f t="shared" si="6"/>
        <v/>
      </c>
      <c r="I11" s="21" t="str">
        <f t="shared" si="7"/>
        <v/>
      </c>
      <c r="J11" s="21"/>
      <c r="K11" s="21"/>
      <c r="L11" s="21"/>
      <c r="M11" s="21"/>
      <c r="N11" s="21"/>
    </row>
    <row r="12" spans="1:14">
      <c r="A12" s="21"/>
      <c r="B12" s="21"/>
      <c r="C12" s="21"/>
      <c r="D12" s="21"/>
      <c r="E12" s="21" t="str">
        <f t="shared" si="4"/>
        <v/>
      </c>
      <c r="F12" s="21" t="str">
        <f t="shared" si="5"/>
        <v/>
      </c>
      <c r="G12" s="21"/>
      <c r="H12" s="21" t="str">
        <f t="shared" si="6"/>
        <v/>
      </c>
      <c r="I12" s="21" t="str">
        <f t="shared" si="7"/>
        <v/>
      </c>
      <c r="J12" s="21"/>
      <c r="K12" s="21"/>
      <c r="L12" s="21"/>
      <c r="M12" s="21"/>
      <c r="N12" s="21"/>
    </row>
    <row r="13" spans="1:14" ht="12.7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4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4.45">
      <c r="A23" s="21"/>
      <c r="B23" s="32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4.45">
      <c r="A24" s="21"/>
      <c r="B24" s="32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4.45">
      <c r="A25" s="21"/>
      <c r="B25" s="32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4.45">
      <c r="A26" s="21"/>
      <c r="B26" s="32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4.45">
      <c r="A27" s="21"/>
      <c r="B27" s="32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2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2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2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2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2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2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3:11" ht="14.45">
      <c r="C337" s="21"/>
      <c r="D337" s="21"/>
      <c r="E337" s="21"/>
      <c r="F337" s="22"/>
      <c r="G337" s="21"/>
      <c r="H337" s="21"/>
      <c r="I337" s="22"/>
      <c r="J337" s="21"/>
      <c r="K337" s="21"/>
    </row>
  </sheetData>
  <mergeCells count="4">
    <mergeCell ref="G1:I1"/>
    <mergeCell ref="A1:C1"/>
    <mergeCell ref="D1:F1"/>
    <mergeCell ref="A2:B2"/>
  </mergeCells>
  <conditionalFormatting sqref="F2 I2 F4:F8 I4:I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15:F95 I15:I95">
    <cfRule type="cellIs" dxfId="4" priority="1" stopIfTrue="1" operator="lessThanOrEqual">
      <formula>-0.1</formula>
    </cfRule>
    <cfRule type="expression" dxfId="3" priority="2">
      <formula>AND(ISNUMBER(F15), F15&gt;=0.1)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8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5" ht="12.75" customHeight="1">
      <c r="A1" t="s">
        <v>68</v>
      </c>
      <c r="B1" s="42" t="s">
        <v>69</v>
      </c>
    </row>
    <row r="3" spans="1:5" ht="13.15">
      <c r="A3" t="s">
        <v>70</v>
      </c>
      <c r="B3" t="s">
        <v>3</v>
      </c>
      <c r="C3" t="s">
        <v>4</v>
      </c>
      <c r="D3" t="s">
        <v>71</v>
      </c>
      <c r="E3" s="2" t="s">
        <v>72</v>
      </c>
    </row>
    <row r="4" spans="1:5" ht="12.75" customHeight="1">
      <c r="A4" s="42" t="s">
        <v>73</v>
      </c>
      <c r="B4" s="42" t="s">
        <v>74</v>
      </c>
      <c r="C4" t="s">
        <v>75</v>
      </c>
      <c r="E4" s="42" t="s">
        <v>76</v>
      </c>
    </row>
    <row r="5" spans="1:5" ht="12.75" customHeight="1">
      <c r="A5" s="3" t="s">
        <v>77</v>
      </c>
      <c r="B5" s="3" t="s">
        <v>78</v>
      </c>
      <c r="C5" s="3" t="s">
        <v>79</v>
      </c>
      <c r="D5" t="s">
        <v>80</v>
      </c>
      <c r="E5" s="42" t="s">
        <v>76</v>
      </c>
    </row>
    <row r="6" spans="1:5" ht="12.75" customHeight="1">
      <c r="A6" s="3" t="s">
        <v>81</v>
      </c>
      <c r="B6" s="3" t="s">
        <v>82</v>
      </c>
      <c r="C6" s="3" t="s">
        <v>79</v>
      </c>
      <c r="D6" t="s">
        <v>80</v>
      </c>
      <c r="E6" s="42" t="s">
        <v>76</v>
      </c>
    </row>
    <row r="7" spans="1:5" ht="12.75" customHeight="1">
      <c r="A7" s="3" t="s">
        <v>83</v>
      </c>
      <c r="B7" s="3" t="s">
        <v>84</v>
      </c>
      <c r="C7" s="3" t="s">
        <v>79</v>
      </c>
      <c r="E7" s="42" t="s">
        <v>76</v>
      </c>
    </row>
    <row r="8" spans="1:5" ht="12.75" customHeight="1">
      <c r="A8" s="3" t="s">
        <v>85</v>
      </c>
      <c r="B8" s="3" t="s">
        <v>86</v>
      </c>
      <c r="C8" s="3" t="s">
        <v>79</v>
      </c>
      <c r="E8" s="42" t="s">
        <v>76</v>
      </c>
    </row>
  </sheetData>
  <phoneticPr fontId="37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8E735CFC-D76E-4031-978D-0840E9B976B9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2025-06-25T20:14:33Z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2024-09-18T22:54:06Z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de459e2a-2bc6-4866-836f-a6da970436d5</vt:lpwstr>
  </property>
  <property fmtid="{D5CDD505-2E9C-101B-9397-08002B2CF9AE}" pid="9" name="MSIP_Label_9d817c99-0b37-4a07-8277-96aa1f96b74b_ContentBits">
    <vt:lpwstr>0</vt:lpwstr>
  </property>
</Properties>
</file>