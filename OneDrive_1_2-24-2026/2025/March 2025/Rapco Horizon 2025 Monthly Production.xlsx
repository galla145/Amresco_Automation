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14CCD0B3-3D8F-4859-848A-C7B6257888CC}" xr6:coauthVersionLast="47" xr6:coauthVersionMax="47" xr10:uidLastSave="{43708E54-95AE-4D39-BB06-9C2D47D08B71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4" l="1"/>
  <c r="A4" i="72" a="1"/>
  <c r="A4" i="72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2" i="34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<sst xmlns="http://schemas.openxmlformats.org/spreadsheetml/2006/main" count="253" uniqueCount="62">
  <si>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</si>
  <si>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</si>
  <si>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</si>
  <si>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</si>
  <si>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</si>
  <si>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</si>
  <si>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</si>
  <si>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</si>
  <si>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</si>
  <si>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</si>
  <si>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</si>
  <si>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</si>
  <si>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</si>
  <si>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</si>
  <si>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</si>
  <si>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</si>
  <si>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</si>
  <si>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</si>
  <si>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</si>
  <si>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</si>
  <si>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</si>
  <si>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</si>
  <si>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</si>
  <si>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6 has been tripping on and off throughout the month due to a "DC injection fault" in SolarEdge portal.
2. Inverter 1 requires a new relay board and fan
3. Low generation due to weather/snow.</t>
  </si>
  <si>
    <t>1. SR098945
2. SR094603</t>
  </si>
  <si>
    <t>SR094603</t>
  </si>
  <si>
    <t>February Actual v. Expected</t>
  </si>
  <si>
    <t>February Actual v. Forecasted</t>
  </si>
  <si>
    <t>1. Inverter 1 requires a new relay board and fan.
2. Inverter 6 has been tripping on and off throughout the month due to a "DC injection fault" in SolarEdge portal.
3. Low generation due to weather/snow.</t>
  </si>
  <si>
    <t>1. SR094603
2. SR098945</t>
  </si>
  <si>
    <t>SR098945</t>
  </si>
  <si>
    <t>March Actual v. Expected</t>
  </si>
  <si>
    <t>March Actual v. Forecasted</t>
  </si>
  <si>
    <t>1. The inverter 3 tripped offline at 06:45 AM on 03/06, reporting a "VinP Max" error. After inspection, the technician observed that a large amount of rain and snowmelt was causing insulation faults in the inverter. After troubleshooting, the inverter was  back online at 12:00 PM on 03/06.
2. Inverter 6 has been tripping on and off throughout the month due to a "DC injection fault" in SolarEdge portal and Also Energy portal.
3.  Inverter 1 requires a new relay board and fan.</t>
  </si>
  <si>
    <t>1. SR098206
2. SR098945
3. SR094603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</si>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</sst>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9" fontId="30" fillId="38" borderId="12" xfId="2" applyFont="1" applyFill="1" applyBorder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4" fillId="40" borderId="0" xfId="0" applyFont="1" applyFill="1" applyAlignment="1">
      <alignment horizontal="left" vertical="center"/>
    </xf>
    <xf numFmtId="0" fontId="35" fillId="46" borderId="0" xfId="0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 wrapText="1"/>
    </xf>
    <xf numFmtId="0" fontId="36" fillId="0" borderId="0" xfId="45"/>
    <xf numFmtId="49" fontId="36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4603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460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603" TargetMode="External"/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820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25" sqref="D2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Leominster - 1776 Lock Dr - Rapco Horizon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62685.559961852996</v>
      </c>
      <c r="D2" s="5">
        <f>SUM(D4:D79)</f>
        <v>0</v>
      </c>
      <c r="E2" s="5">
        <f>C2-D2</f>
        <v>62685.559961852996</v>
      </c>
      <c r="F2" s="6">
        <f>IFERROR(E2/D2, 0)</f>
        <v>0</v>
      </c>
      <c r="G2" s="5">
        <f>SUM(G4:G79)</f>
        <v>95137.670000000013</v>
      </c>
      <c r="H2" s="7">
        <f>C2-G2</f>
        <v>-32452.110038147017</v>
      </c>
      <c r="I2" s="6">
        <f>IFERROR(H2/G2, 0)</f>
        <v>-0.34110684062524355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62685.559961852996</v>
      </c>
      <c r="D4" s="12">
        <f>SUM('1st Qtr'!D4, '2nd Qtr'!D4, '3rd Qtr'!D4, '4th Qtr'!D4)</f>
        <v>0</v>
      </c>
      <c r="E4" s="12">
        <f>IF(AND(ISNUMBER(C4),ISNUMBER(D4)), C4-D4, "")</f>
        <v>62685.559961852996</v>
      </c>
      <c r="F4" s="13" t="str">
        <f>IFERROR(E4/D4, "")</f>
        <v/>
      </c>
      <c r="G4" s="14">
        <f>SUM('1st Qtr'!G4, '2nd Qtr'!G4, '3rd Qtr'!G4, '4th Qtr'!G4)</f>
        <v>95137.670000000013</v>
      </c>
      <c r="H4" s="14">
        <f>SUM('1st Qtr'!H4, '2nd Qtr'!H4, '3rd Qtr'!H4, '4th Qtr'!H4)</f>
        <v>-32452.110038147006</v>
      </c>
      <c r="I4" s="15">
        <f>IFERROR(H4/G4, "")</f>
        <v>-0.34110684062524343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4" sqref="H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Leominster - 1776 Lock Dr - Rapco Horizon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62685.559961852996</v>
      </c>
      <c r="D2" s="5">
        <f>SUM(D4:D79)</f>
        <v>0</v>
      </c>
      <c r="E2" s="5">
        <f>C2-D2</f>
        <v>62685.559961852996</v>
      </c>
      <c r="F2" s="6">
        <f>IFERROR(E2/D2, 0)</f>
        <v>0</v>
      </c>
      <c r="G2" s="5">
        <f>SUM(G4:G79)</f>
        <v>95137.670000000013</v>
      </c>
      <c r="H2" s="7">
        <f>C2-G2</f>
        <v>-32452.110038147017</v>
      </c>
      <c r="I2" s="6">
        <f>IFERROR(H2/G2, 0)</f>
        <v>-0.34110684062524355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62685.559961852996</v>
      </c>
      <c r="D4" s="12">
        <f>SUM(Jan!D4, Feb!D4, Mar!D4)</f>
        <v>0</v>
      </c>
      <c r="E4" s="12">
        <f>IF(AND(ISNUMBER(C4),ISNUMBER(D4)), C4-D4, "")</f>
        <v>62685.559961852996</v>
      </c>
      <c r="F4" s="13" t="str">
        <f>IFERROR(E4/D4, "")</f>
        <v/>
      </c>
      <c r="G4" s="14">
        <f>SUM(Jan!G4, Feb!G4, Mar!G4)</f>
        <v>95137.670000000013</v>
      </c>
      <c r="H4" s="14">
        <f>SUM(Jan!H4, Feb!H4, Mar!H4)</f>
        <v>-32452.110038147006</v>
      </c>
      <c r="I4" s="15">
        <f>IFERROR(H4/G4, "")</f>
        <v>-0.34110684062524343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Leominster - 1776 Lock Dr - Rapco Horizon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15" sqref="D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Leominster - 1776 Lock Dr - Rapco Horizon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48.5703125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MA: Leominster - 1776 Lock Dr - Rapco Horizon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workbookViewId="0">
      <pane xSplit="2" ySplit="3" topLeftCell="D4" activePane="bottomRight" state="frozen"/>
      <selection pane="bottomRight" activeCell="K1" sqref="K1:K1048576"/>
      <selection pane="bottomLeft" activeCell="J4" sqref="J4:K4"/>
      <selection pane="topRight" activeCell="J4" sqref="J4: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MA: Leominster - 1776 Lock Dr - Rapco Horizon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SUM(C4:C78)</f>
        <v>14501.81999</v>
      </c>
      <c r="D2" s="5">
        <f>SUM(D4:D78)</f>
        <v>0</v>
      </c>
      <c r="E2" s="5">
        <f>C2-D2</f>
        <v>14501.81999</v>
      </c>
      <c r="F2" s="6">
        <f>IFERROR(E2/D2, 0)</f>
        <v>0</v>
      </c>
      <c r="G2" s="5">
        <f>SUM(G4:G78)</f>
        <v>21275.77</v>
      </c>
      <c r="H2" s="7">
        <f>C2-G2</f>
        <v>-6773.9500100000005</v>
      </c>
      <c r="I2" s="6">
        <f>IFERROR(H2/G2, 0)</f>
        <v>-0.31838800710855591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49">
        <v>14501.81999</v>
      </c>
      <c r="D4" s="56" t="s">
        <v>22</v>
      </c>
      <c r="E4" s="12" t="str">
        <f>IF(AND(ISNUMBER(C4),ISNUMBER(D4)), C4-D4, "")</f>
        <v/>
      </c>
      <c r="F4" s="40" t="str">
        <f>IFERROR(E4/D4, "")</f>
        <v/>
      </c>
      <c r="G4" s="51">
        <v>21275.77</v>
      </c>
      <c r="H4" s="14">
        <f>IF(AND(ISNUMBER(C4),ISNUMBER(G4)), C4-G4, "")</f>
        <v>-6773.9500100000005</v>
      </c>
      <c r="I4" s="15">
        <f>IFERROR(H4/G4, "")</f>
        <v>-0.31838800710855591</v>
      </c>
      <c r="J4" s="53" t="s">
        <v>23</v>
      </c>
      <c r="K4" s="57" t="s">
        <v>24</v>
      </c>
      <c r="L4" s="58" t="s">
        <v>25</v>
      </c>
    </row>
    <row r="5" spans="1:12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54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98945" xr:uid="{F3CFE38E-6739-4AD4-86B5-3B5442742B91}"/>
    <hyperlink ref="L4" r:id="rId2" display="https://us3.assetplanner.com/service_request?ID=094603" xr:uid="{41F04F61-9A5E-437E-8F53-C8313A27C5D6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1"/>
  <sheetViews>
    <sheetView zoomScale="90" zoomScaleNormal="90" workbookViewId="0">
      <pane xSplit="2" ySplit="3" topLeftCell="C4" activePane="bottomRight" state="frozen"/>
      <selection pane="bottomRight" activeCell="K1" sqref="K1:K1048576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MA: Leominster - 1776 Lock Dr - Rapco Horizon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SUM(C4:C79)</f>
        <v>5822.469983</v>
      </c>
      <c r="D2" s="5">
        <f>SUM(D4:D79)</f>
        <v>0</v>
      </c>
      <c r="E2" s="5">
        <f>C2-D2</f>
        <v>5822.469983</v>
      </c>
      <c r="F2" s="6">
        <f>IFERROR(E2/D2, 0)</f>
        <v>0</v>
      </c>
      <c r="G2" s="5">
        <f>SUM(G4:G79)</f>
        <v>30103.22</v>
      </c>
      <c r="H2" s="7">
        <f>C2-G2</f>
        <v>-24280.750017000002</v>
      </c>
      <c r="I2" s="6">
        <f>IFERROR(H2/G2, 0)</f>
        <v>-0.80658315014141346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5822.469983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30103.22</v>
      </c>
      <c r="H4" s="14">
        <f>IF(AND(ISNUMBER(C4),ISNUMBER(G4)), C4-G4, "")</f>
        <v>-24280.750017000002</v>
      </c>
      <c r="I4" s="15">
        <f>IFERROR(H4/G4, "")</f>
        <v>-0.80658315014141346</v>
      </c>
      <c r="J4" s="36" t="s">
        <v>28</v>
      </c>
      <c r="K4" s="59" t="s">
        <v>29</v>
      </c>
      <c r="L4" s="58" t="s">
        <v>30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4603" xr:uid="{3288FD7B-AD19-4AE4-BD05-046290414B08}"/>
    <hyperlink ref="L4" r:id="rId2" display="https://us3.assetplanner.com/service_request?ID=098945" xr:uid="{BCD21A9A-90AA-43CD-A72B-CAC69977790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tabSelected="1" workbookViewId="0">
      <pane xSplit="2" ySplit="3" topLeftCell="C4" activePane="bottomRight" state="frozen"/>
      <selection pane="bottomRight" activeCell="A4" sqref="A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1" t="str" cm="1">
        <f t="array" ref="A1">portfolio</f>
        <v>MA: Leominster - 1776 Lock Dr - Rapco Horizon</v>
      </c>
      <c r="B1" s="61"/>
      <c r="C1" s="61"/>
      <c r="D1" s="62" t="s">
        <v>31</v>
      </c>
      <c r="E1" s="62"/>
      <c r="F1" s="62"/>
      <c r="G1" s="60" t="s">
        <v>32</v>
      </c>
      <c r="H1" s="60"/>
      <c r="I1" s="60"/>
      <c r="J1" s="4"/>
      <c r="K1" s="4"/>
    </row>
    <row r="2" spans="1:13" ht="19.5" customHeight="1">
      <c r="A2" s="63" t="s">
        <v>2</v>
      </c>
      <c r="B2" s="63"/>
      <c r="C2" s="5">
        <f>SUM(C4:C79)</f>
        <v>42361.269988852997</v>
      </c>
      <c r="D2" s="5">
        <f>SUM(D4:D79)</f>
        <v>0</v>
      </c>
      <c r="E2" s="5">
        <f>C2-D2</f>
        <v>42361.269988852997</v>
      </c>
      <c r="F2" s="6">
        <f>IFERROR(E2/D2, 0)</f>
        <v>0</v>
      </c>
      <c r="G2" s="5">
        <f>SUM(G4:G79)</f>
        <v>43758.68</v>
      </c>
      <c r="H2" s="7">
        <f>C2-G2</f>
        <v>-1397.4100111470034</v>
      </c>
      <c r="I2" s="6">
        <f>IFERROR(H2/G2, 0)</f>
        <v>-3.1934464457040374E-2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26.75" customHeight="1">
      <c r="A4" s="55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42361.269988852997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43758.68</v>
      </c>
      <c r="H4" s="14">
        <f>IF(AND(ISNUMBER(C4),ISNUMBER(G4)), C4-G4, "")</f>
        <v>-1397.4100111470034</v>
      </c>
      <c r="I4" s="15">
        <f>IFERROR(H4/G4, "")</f>
        <v>-3.1934464457040374E-2</v>
      </c>
      <c r="J4" s="36" t="s">
        <v>33</v>
      </c>
      <c r="K4" s="59" t="s">
        <v>34</v>
      </c>
      <c r="L4" s="58" t="s">
        <v>30</v>
      </c>
      <c r="M4" s="58" t="s">
        <v>25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06" xr:uid="{EBD78EA1-30DF-45C8-BD1F-5F36095D139D}"/>
    <hyperlink ref="L4" r:id="rId2" display="https://us3.assetplanner.com/service_request?ID=098945" xr:uid="{81D8C996-0D53-4A82-81C8-3E2201B8208F}"/>
    <hyperlink ref="M4" r:id="rId3" display="https://us3.assetplanner.com/service_request?ID=094603" xr:uid="{AAC54588-20D2-41D1-A553-A40BC36562F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F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45</v>
      </c>
      <c r="E1" s="62"/>
      <c r="F1" s="62"/>
      <c r="G1" s="60" t="s">
        <v>46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47</v>
      </c>
      <c r="E1" s="62"/>
      <c r="F1" s="62"/>
      <c r="G1" s="60" t="s">
        <v>48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49</v>
      </c>
      <c r="E1" s="62"/>
      <c r="F1" s="62"/>
      <c r="G1" s="60" t="s">
        <v>50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1" sqref="G11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MA: Leominster - 1776 Lock Dr - Rapco Horizon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2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53</v>
      </c>
      <c r="B1" t="s">
        <v>54</v>
      </c>
    </row>
    <row r="3" spans="1:12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5">
      <c r="A4" s="45" t="s">
        <v>58</v>
      </c>
      <c r="B4" t="s">
        <v>54</v>
      </c>
      <c r="C4" s="43" t="s">
        <v>59</v>
      </c>
      <c r="D4" s="42" t="s">
        <v>60</v>
      </c>
      <c r="E4" t="s">
        <v>61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C9470E24-1F2F-4255-9A82-3E3E4D15133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