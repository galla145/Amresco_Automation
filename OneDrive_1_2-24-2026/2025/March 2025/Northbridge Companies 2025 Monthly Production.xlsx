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5" documentId="13_ncr:1_{2872231B-5A0A-40CE-BC6F-AAA1332E9DA9}" xr6:coauthVersionLast="47" xr6:coauthVersionMax="47" xr10:uidLastSave="{E75B1046-49DD-484C-B7A1-6A635E77CF8E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<sst xmlns="http://schemas.openxmlformats.org/spreadsheetml/2006/main" count="256" uniqueCount="64">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</sst>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Northbridge Companies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62466.959999999992</v>
      </c>
      <c r="D4" s="14">
        <f>SUM('1st Qtr'!D4, '2nd Qtr'!D4, '3rd Qtr'!D4, '4th Qtr'!D4)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55752.125</v>
      </c>
      <c r="D5" s="20">
        <f>SUM('1st Qtr'!D5, '2nd Qtr'!D5, '3rd Qtr'!D5, '4th Qtr'!D5)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SUM('1st Qtr'!G5,'2nd Qtr'!G5,'3rd Qtr'!G5,'4th Qtr'!G5)</f>
        <v>51994.464999999997</v>
      </c>
      <c r="H5" s="22">
        <f>SUM('1st Qtr'!H5, '2nd Qtr'!H5, '3rd Qtr'!H5, '4th Qtr'!H5)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Northbridge Companies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Northbridge Companies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12">
        <f>SUM(Apr!G5, May!G5, Jun!G5)</f>
        <v>0</v>
      </c>
      <c r="H5" s="22">
        <f>SUM(Apr!H5, May!H5, Jun!H5)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Northbridge Companies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Northbridge Companies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9" t="s">
        <v>24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7" t="str" cm="1">
        <f t="array" ref="A1">portfolio</f>
        <v>Northbridge Companies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5"/>
      <c r="K1" s="5"/>
    </row>
    <row r="2" spans="1:12" ht="19.5" customHeight="1">
      <c r="A2" s="59" t="s">
        <v>2</v>
      </c>
      <c r="B2" s="59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91.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9" t="s">
        <v>28</v>
      </c>
      <c r="L5" s="55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zoomScale="70" zoomScaleNormal="70" workbookViewId="0">
      <pane ySplit="2" topLeftCell="A3" activePane="bottomLeft" state="frozen"/>
      <selection pane="bottomLeft" activeCell="D14" sqref="D14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50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4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7"/>
      <c r="K5" s="51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48</v>
      </c>
      <c r="E1" s="58"/>
      <c r="F1" s="58"/>
      <c r="G1" s="56" t="s">
        <v>49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7"/>
      <c r="K5" s="5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7" t="str" cm="1">
        <f t="array" ref="A1">portfolio</f>
        <v>Northbridge Companies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5"/>
      <c r="K1" s="5"/>
    </row>
    <row r="2" spans="1:11" ht="19.5" customHeight="1">
      <c r="A2" s="59" t="s">
        <v>2</v>
      </c>
      <c r="B2" s="59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8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58</v>
      </c>
      <c r="C4" s="4" t="s">
        <v>59</v>
      </c>
      <c r="E4" t="s">
        <v>60</v>
      </c>
      <c r="G4" s="3"/>
    </row>
    <row r="5" spans="1:7" ht="14.45">
      <c r="A5" t="s">
        <v>61</v>
      </c>
      <c r="B5" t="s">
        <v>62</v>
      </c>
      <c r="C5" s="4" t="s">
        <v>59</v>
      </c>
      <c r="E5" t="s">
        <v>63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07658339-E796-4DCB-B533-3B96ABFFD23B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