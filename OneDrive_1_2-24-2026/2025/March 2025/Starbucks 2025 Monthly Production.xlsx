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0B5792C-5BA9-4541-8CD0-99B2DCA11A1E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4" i="72"/>
  <c r="G4" i="18"/>
  <c r="G4" i="30"/>
  <c r="G4" i="29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I4" i="72"/>
  <c r="G2" i="72"/>
  <c r="D2" i="72"/>
  <c r="C2" i="72"/>
  <c r="J2" i="72" s="1"/>
  <c r="E4" i="72"/>
  <c r="F4" i="72" s="1"/>
  <c r="A1" i="72" a="1"/>
  <c r="A1" i="72" s="1"/>
  <c r="E2" i="28" l="1"/>
  <c r="F2" i="28" s="1"/>
  <c r="H2" i="20"/>
  <c r="I2" i="20" s="1"/>
  <c r="E4" i="30"/>
  <c r="F4" i="30" s="1"/>
  <c r="H2" i="33"/>
  <c r="I2" i="33" s="1"/>
  <c r="J2" i="33"/>
  <c r="H2" i="27"/>
  <c r="I2" i="27" s="1"/>
  <c r="H2" i="19"/>
  <c r="I2" i="19" s="1"/>
  <c r="E2" i="20"/>
  <c r="F2" i="20" s="1"/>
  <c r="H2" i="21"/>
  <c r="I2" i="21" s="1"/>
  <c r="H2" i="4"/>
  <c r="I2" i="4" s="1"/>
  <c r="J2" i="4"/>
  <c r="J2" i="21"/>
  <c r="E4" i="18"/>
  <c r="F4" i="18" s="1"/>
  <c r="J2" i="20"/>
  <c r="J2" i="19"/>
  <c r="H2" i="26"/>
  <c r="I2" i="26" s="1"/>
  <c r="J2" i="26"/>
  <c r="J2" i="27"/>
  <c r="H2" i="28"/>
  <c r="I2" i="28" s="1"/>
  <c r="J2" i="28"/>
  <c r="J2" i="31"/>
  <c r="J2" i="32"/>
  <c r="D4" i="34"/>
  <c r="D2" i="34" s="1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<sst xmlns="http://schemas.openxmlformats.org/spreadsheetml/2006/main" count="245" uniqueCount="58">
  <si>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</si>
  <si>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</si>
  <si>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</si>
  <si>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</si>
  <si>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</si>
  <si>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</si>
  <si>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</si>
  <si>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</si>
  <si>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</si>
  <si>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</si>
  <si>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</si>
  <si>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</si>
  <si>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</si>
  <si>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</si>
  <si>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</si>
  <si>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</si>
  <si>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</si>
  <si>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</si>
  <si>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</si>
  <si>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</si>
  <si>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</si>
  <si>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</si>
  <si>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1.Irradiance sensor was reporting zero since 05/28/24. On 01/13/25, Tehnician replaced POA sensor and it was reporting normal.
2.Inverter 5 was tripped offline from 08/11/24 at 13:30 due to Power module fault and was being RMA'D from 01/13/25.
3.Inverter 7 was derating approxmately by 40kw from 07/21/24 due to powerhead failure. On 01/13, technician replaced powerhead on Inverter 7 and inverter is producing in line with peers.
4.The meter isn't fully capturing inverter production, dropping by 1/3rd in the afternoon—possible CT issue, with Phase A showing no current since 07/08/24. On 01/13, technician cleaned significant debris and rodent infestation the CTs resumed normal operation.
5. On 01/17, one of the meter CTs is reading negative values, causing it to report only 2/3 of the site's production; AP is addressing the configuration issue and resolved the issue on same day.</t>
  </si>
  <si>
    <t>1.SR086768
2.SR088914
3.SR089045
4.SR087462 &amp; SR090982
5.SR095656</t>
  </si>
  <si>
    <t>February Actual v. Expected</t>
  </si>
  <si>
    <t>February Actual v. Forecasted</t>
  </si>
  <si>
    <t>1.Inverter 5 was tripped offline from 08/11/24 at 13:30 due to Power module fault and was being RMA'D from 01/13/25.</t>
  </si>
  <si>
    <t>1.SR088914</t>
  </si>
  <si>
    <t>March Actual v. Expected</t>
  </si>
  <si>
    <t>March Actual v. Forecasted</t>
  </si>
  <si>
    <t>1.Inverter 5 was tripped offline from 08/11/24 at 13:30 due to Power module fault and was being RMA'D from 01/13/25. On 03/19, the technician replaced the RMA'd inverter with a new unit, restoring it online and producing normally.
2.Meter is intermittently underperforming in morning hours by about 53 kW or a third of the site's capacity from 3/8.</t>
  </si>
  <si>
    <t>1.SR088914
2.SR098334</t>
  </si>
  <si>
    <t>SR098334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</si>
  <si>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</si>
  <si>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</si>
  <si>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</si>
  <si>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</si>
  <si>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</si>
  <si>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</si>
  <si>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</si>
  <si>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</si>
  <si>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</si>
  <si>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</si>
  <si>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</si>
  <si>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</si>
  <si>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</si>
  <si>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</si>
  <si>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</si>
  <si>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</si>
  <si>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</si>
  <si>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</si>
  <si>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</si>
  <si>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Starbucks</t>
  </si>
  <si>
    <t>Site DAS Name</t>
  </si>
  <si>
    <t>Update</t>
  </si>
  <si>
    <t>DAS</t>
  </si>
  <si>
    <t>NV: Starbucks - Minden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</si>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</sst>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891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334" TargetMode="External"/><Relationship Id="rId1" Type="http://schemas.openxmlformats.org/officeDocument/2006/relationships/hyperlink" Target="https://us3.assetplanner.com/service_request?ID=08891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ySplit="2" topLeftCell="A3" activePane="bottomLeft" state="frozen"/>
      <selection pane="bottomLeft" activeCell="F13" sqref="F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Starbucks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SUM(C4:C88)</f>
        <v>318156.25</v>
      </c>
      <c r="D2" s="6">
        <f>SUM(D4:D88)</f>
        <v>334868.81</v>
      </c>
      <c r="E2" s="6">
        <f>C2-D2</f>
        <v>-16712.559999999998</v>
      </c>
      <c r="F2" s="7">
        <f>IFERROR(E2/D2, 0)</f>
        <v>-4.9907783289820269E-2</v>
      </c>
      <c r="G2" s="6">
        <f>SUM(G4:G88)</f>
        <v>442270.8</v>
      </c>
      <c r="H2" s="8">
        <f>C2-G2</f>
        <v>-124114.54999999999</v>
      </c>
      <c r="I2" s="7">
        <f>IFERROR(H2/G2, 0)</f>
        <v>-0.28063021569590396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SUM('1st Qtr'!C4, '2nd Qtr'!C4, '3rd Qtr'!C4, '4th Qtr'!C4)</f>
        <v>318156.25</v>
      </c>
      <c r="D4" s="14">
        <f>SUM('1st Qtr'!D4, '2nd Qtr'!D4, '3rd Qtr'!D4, '4th Qtr'!D4)</f>
        <v>334868.81</v>
      </c>
      <c r="E4" s="14">
        <f>IF(AND(ISNUMBER(C4),ISNUMBER(D4)), C4-D4, "")</f>
        <v>-16712.559999999998</v>
      </c>
      <c r="F4" s="15">
        <f>IFERROR(E4/D4, 0)</f>
        <v>-4.9907783289820269E-2</v>
      </c>
      <c r="G4" s="16">
        <f>SUM('1st Qtr'!G4,'2nd Qtr'!G4,'3rd Qtr'!G4,'4th Qtr'!G4)</f>
        <v>442270.8</v>
      </c>
      <c r="H4" s="16">
        <f>SUM('1st Qtr'!H4, '2nd Qtr'!H4, '3rd Qtr'!H4, '4th Qtr'!H4)</f>
        <v>-124114.55</v>
      </c>
      <c r="I4" s="17">
        <f>IFERROR(H4/G4, 0)</f>
        <v>-0.28063021569590396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Starbucks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SUM(C4:C88)</f>
        <v>318156.25</v>
      </c>
      <c r="D2" s="6">
        <f>SUM(D4:D88)</f>
        <v>334868.81</v>
      </c>
      <c r="E2" s="6">
        <f>C2-D2</f>
        <v>-16712.559999999998</v>
      </c>
      <c r="F2" s="7">
        <f>IFERROR(E2/D2, 0)</f>
        <v>-4.9907783289820269E-2</v>
      </c>
      <c r="G2" s="6">
        <f>SUM(G4:G88)</f>
        <v>442270.8</v>
      </c>
      <c r="H2" s="8">
        <f>C2-G2</f>
        <v>-124114.54999999999</v>
      </c>
      <c r="I2" s="7">
        <f>IFERROR(H2/G2, 0)</f>
        <v>-0.28063021569590396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SUM(Jan!C4, Feb!C4, Mar!C4)</f>
        <v>318156.25</v>
      </c>
      <c r="D4" s="14">
        <f>SUM(Jan!D4, Feb!D4, Mar!D4)</f>
        <v>334868.81</v>
      </c>
      <c r="E4" s="14">
        <f>IF(AND(ISNUMBER(C4),ISNUMBER(D4)), C4-D4, "")</f>
        <v>-16712.559999999998</v>
      </c>
      <c r="F4" s="15">
        <f>IFERROR(E4/D4, "")</f>
        <v>-4.9907783289820269E-2</v>
      </c>
      <c r="G4" s="16">
        <f>SUM(Jan!G4, Feb!G4, Mar!G4)</f>
        <v>442270.8</v>
      </c>
      <c r="H4" s="16">
        <f>SUM(Jan!H4, Feb!H4, Mar!H4)</f>
        <v>-124114.55</v>
      </c>
      <c r="I4" s="17">
        <f>IFERROR(H4/G4, 0)</f>
        <v>-0.28063021569590396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Starbucks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ySplit="2" topLeftCell="A3" activePane="bottomLeft" state="frozen"/>
      <selection pane="bottomLeft" activeCell="D4" sqref="D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Starbucks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SUM(C4:C80)</f>
        <v>0</v>
      </c>
      <c r="D2" s="6">
        <f>SUM(D4:D80)</f>
        <v>0</v>
      </c>
      <c r="E2" s="6">
        <f>C2-D2</f>
        <v>0</v>
      </c>
      <c r="F2" s="7">
        <f>IFERROR(E2/D2, 0)</f>
        <v>0</v>
      </c>
      <c r="G2" s="6">
        <f>SUM(G4:G80)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Starbucks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83161.5</v>
      </c>
      <c r="D2" s="6">
        <f>SUM(D4:D89)</f>
        <v>63583.33</v>
      </c>
      <c r="E2" s="6">
        <f>C2-D2</f>
        <v>19578.169999999998</v>
      </c>
      <c r="F2" s="7">
        <f>IFERROR(E2/D2, 0)</f>
        <v>0.30791356791158936</v>
      </c>
      <c r="G2" s="6">
        <f>SUM(G4:G89)</f>
        <v>104430.52</v>
      </c>
      <c r="H2" s="8">
        <f>C2-G2</f>
        <v>-21269.020000000004</v>
      </c>
      <c r="I2" s="7">
        <f>IFERROR(H2/G2, 0)</f>
        <v>-0.20366670586338173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01.6">
      <c r="A4" s="43" t="str" cm="1">
        <f t="array" ref="A4">Sites[Site]</f>
        <v>NV: Starbucks - Minden</v>
      </c>
      <c r="B4" s="30" t="str" cm="1">
        <f t="array" ref="B4">Sites[State]</f>
        <v>NV</v>
      </c>
      <c r="C4" s="26">
        <v>83161.5</v>
      </c>
      <c r="D4" s="14">
        <v>63583.33</v>
      </c>
      <c r="E4" s="14">
        <f>IF(AND(ISNUMBER(C4),ISNUMBER(D4)), C4-D4, "")</f>
        <v>19578.169999999998</v>
      </c>
      <c r="F4" s="15">
        <f>IFERROR(E4/D4, "")</f>
        <v>0.30791356791158936</v>
      </c>
      <c r="G4" s="16">
        <v>104430.52</v>
      </c>
      <c r="H4" s="16">
        <f>IF(AND(ISNUMBER(C4),ISNUMBER(G4)), C4-G4, "")</f>
        <v>-21269.020000000004</v>
      </c>
      <c r="I4" s="17">
        <f>IFERROR(H4/G4, "")</f>
        <v>-0.20366670586338173</v>
      </c>
      <c r="J4" s="18" t="s">
        <v>22</v>
      </c>
      <c r="K4" s="18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tabSelected="1" workbookViewId="0">
      <pane ySplit="2" topLeftCell="A3" activePane="bottomLeft" state="frozen"/>
      <selection pane="bottomLeft" activeCell="J11" sqref="J11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24</v>
      </c>
      <c r="E1" s="48"/>
      <c r="F1" s="48"/>
      <c r="G1" s="46" t="s">
        <v>25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107471.25</v>
      </c>
      <c r="D2" s="6">
        <f>SUM(D4:D89)</f>
        <v>113240.01</v>
      </c>
      <c r="E2" s="6">
        <f>C2-D2</f>
        <v>-5768.7599999999948</v>
      </c>
      <c r="F2" s="7">
        <f>IFERROR(E2/D2, 0)</f>
        <v>-5.0942771905442212E-2</v>
      </c>
      <c r="G2" s="6">
        <f>SUM(G4:G89)</f>
        <v>138959.28</v>
      </c>
      <c r="H2" s="8">
        <f>C2-G2</f>
        <v>-31488.03</v>
      </c>
      <c r="I2" s="7">
        <f>IFERROR(H2/G2, 0)</f>
        <v>-0.22659897201539903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107471.25</v>
      </c>
      <c r="D4" s="14">
        <v>113240.01</v>
      </c>
      <c r="E4" s="14">
        <f>IF(AND(ISNUMBER(C4),ISNUMBER(D4)), C4-D4, "")</f>
        <v>-5768.7599999999948</v>
      </c>
      <c r="F4" s="15">
        <f>IFERROR(E4/D4, "")</f>
        <v>-5.0942771905442212E-2</v>
      </c>
      <c r="G4" s="16">
        <v>138959.28</v>
      </c>
      <c r="H4" s="16">
        <f>IF(AND(ISNUMBER(C4),ISNUMBER(G4)), C4-G4, "")</f>
        <v>-31488.03</v>
      </c>
      <c r="I4" s="17">
        <f>IFERROR(H4/G4, "")</f>
        <v>-0.22659897201539903</v>
      </c>
      <c r="J4" s="18" t="s">
        <v>26</v>
      </c>
      <c r="K4" s="44" t="s">
        <v>27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88914" xr:uid="{1CAA6504-163F-4E6E-B80C-29AAF0F0029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topLeftCell="B1" workbookViewId="0">
      <pane ySplit="2" topLeftCell="A3" activePane="bottomLeft" state="frozen"/>
      <selection pane="bottomLeft" activeCell="J10" sqref="J10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Starbucks</v>
      </c>
      <c r="B1" s="47"/>
      <c r="C1" s="47"/>
      <c r="D1" s="48" t="s">
        <v>28</v>
      </c>
      <c r="E1" s="48"/>
      <c r="F1" s="48"/>
      <c r="G1" s="46" t="s">
        <v>29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127523.5</v>
      </c>
      <c r="D2" s="6">
        <f>SUM(D4:D90)</f>
        <v>158045.47</v>
      </c>
      <c r="E2" s="6">
        <f>C2-D2</f>
        <v>-30521.97</v>
      </c>
      <c r="F2" s="7">
        <f>IFERROR(E2/D2, 0)</f>
        <v>-0.19312144789724123</v>
      </c>
      <c r="G2" s="6">
        <f>SUM(G4:G90)</f>
        <v>198881</v>
      </c>
      <c r="H2" s="8">
        <f>C2-G2</f>
        <v>-71357.5</v>
      </c>
      <c r="I2" s="7">
        <f>IFERROR(H2/G2, 0)</f>
        <v>-0.35879495778882847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72">
      <c r="A4" s="43" t="str" cm="1">
        <f t="array" ref="A4">Sites[Site]</f>
        <v>NV: Starbucks - Minden</v>
      </c>
      <c r="B4" s="30" t="str" cm="1">
        <f t="array" ref="B4">Sites[State]</f>
        <v>NV</v>
      </c>
      <c r="C4" s="26">
        <v>127523.5</v>
      </c>
      <c r="D4" s="14">
        <v>158045.47</v>
      </c>
      <c r="E4" s="14">
        <f>IF(AND(ISNUMBER(C4),ISNUMBER(D4)), C4-D4, "")</f>
        <v>-30521.97</v>
      </c>
      <c r="F4" s="15">
        <f>IFERROR(E4/D4, "")</f>
        <v>-0.19312144789724123</v>
      </c>
      <c r="G4" s="16">
        <v>198881</v>
      </c>
      <c r="H4" s="16">
        <f>IF(AND(ISNUMBER(C4),ISNUMBER(G4)), C4-G4, "")</f>
        <v>-71357.5</v>
      </c>
      <c r="I4" s="17">
        <f>IFERROR(H4/G4, "")</f>
        <v>-0.35879495778882847</v>
      </c>
      <c r="J4" s="18" t="s">
        <v>30</v>
      </c>
      <c r="K4" s="44" t="s">
        <v>31</v>
      </c>
      <c r="L4" s="45" t="s">
        <v>32</v>
      </c>
    </row>
    <row r="5" spans="1:12" ht="15.6">
      <c r="A5" s="31"/>
      <c r="B5" s="32"/>
      <c r="C5" s="12"/>
      <c r="D5" s="20"/>
      <c r="E5" s="20" t="str">
        <f>IF(AND(ISNUMBER(C5),ISNUMBER(D5)), C5-D5, "")</f>
        <v/>
      </c>
      <c r="F5" s="21" t="str">
        <f t="shared" ref="F5" si="0">IFERROR(E5/D5, "")</f>
        <v/>
      </c>
      <c r="G5" s="22"/>
      <c r="H5" s="22" t="str">
        <f>IF(AND(ISNUMBER(C5),ISNUMBER(G5)), C5-G5, "")</f>
        <v/>
      </c>
      <c r="I5" s="21" t="str">
        <f t="shared" ref="I5" si="1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88914" xr:uid="{22B7C891-FF4D-4BE6-8EB6-E380E8C3BEC3}"/>
    <hyperlink ref="L4" r:id="rId2" display="https://us3.assetplanner.com/service_request?ID=098334" xr:uid="{D7A07C31-486F-43E2-A4EA-589FDE019AF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9" sqref="J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33</v>
      </c>
      <c r="E1" s="48"/>
      <c r="F1" s="48"/>
      <c r="G1" s="46" t="s">
        <v>34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10" sqref="G10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9" sqref="H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39</v>
      </c>
      <c r="E1" s="48"/>
      <c r="F1" s="48"/>
      <c r="G1" s="46" t="s">
        <v>40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10" sqref="G10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" customHeight="1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G12" sqref="G12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G8" sqref="G8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E9" sqref="E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D9" sqref="D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Starbucks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 customHeight="1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s="36" t="s">
        <v>52</v>
      </c>
    </row>
    <row r="3" spans="1:7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45">
      <c r="A4" t="s">
        <v>56</v>
      </c>
      <c r="B4" t="s">
        <v>56</v>
      </c>
      <c r="C4" s="4" t="s">
        <v>57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9BF56FCE-B0DF-4CEC-8F61-861A10FE56B5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