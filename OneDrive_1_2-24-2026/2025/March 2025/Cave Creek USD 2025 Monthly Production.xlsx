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9" documentId="13_ncr:1_{1B41D3E4-533C-466E-A292-D11D7C5CAF70}" xr6:coauthVersionLast="47" xr6:coauthVersionMax="47" xr10:uidLastSave="{B0709ACA-F451-480A-B516-CB765513BFB6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2" l="1"/>
  <c r="I6" i="72"/>
  <c r="I5" i="72"/>
  <c r="I4" i="72"/>
  <c r="H6" i="72"/>
  <c r="H5" i="72"/>
  <c r="H4" i="72"/>
  <c r="E4" i="3"/>
  <c r="F4" i="3"/>
  <c r="E4" i="72"/>
  <c r="E5" i="33"/>
  <c r="E5" i="32"/>
  <c r="E4" i="33"/>
  <c r="F4" i="33" s="1"/>
  <c r="E4" i="32"/>
  <c r="G5" i="29"/>
  <c r="G6" i="29"/>
  <c r="G4" i="29"/>
  <c r="F6" i="72"/>
  <c r="E5" i="72"/>
  <c r="F5" i="72" s="1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H4" i="3"/>
  <c r="I4" i="3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D5" i="30"/>
  <c r="C5" i="30"/>
  <c r="E5" i="30" s="1"/>
  <c r="F5" i="30" s="1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F5" i="33"/>
  <c r="H4" i="33"/>
  <c r="I4" i="33" s="1"/>
  <c r="G2" i="33"/>
  <c r="D2" i="33"/>
  <c r="C2" i="33"/>
  <c r="H2" i="33" s="1"/>
  <c r="I2" i="33" s="1"/>
  <c r="A1" i="33" a="1"/>
  <c r="A1" i="33" s="1"/>
  <c r="H6" i="32"/>
  <c r="I6" i="32" s="1"/>
  <c r="E6" i="32"/>
  <c r="F6" i="32" s="1"/>
  <c r="H5" i="32"/>
  <c r="I5" i="32" s="1"/>
  <c r="F5" i="32"/>
  <c r="H4" i="32"/>
  <c r="I4" i="32" s="1"/>
  <c r="F4" i="32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D2" i="30" l="1"/>
  <c r="H2" i="32"/>
  <c r="I2" i="32" s="1"/>
  <c r="E4" i="30"/>
  <c r="F4" i="30" s="1"/>
  <c r="E6" i="30"/>
  <c r="F6" i="30" s="1"/>
  <c r="G4" i="34"/>
  <c r="G2" i="34" s="1"/>
  <c r="E6" i="29"/>
  <c r="F6" i="29" s="1"/>
  <c r="H6" i="29"/>
  <c r="I6" i="29" s="1"/>
  <c r="H2" i="19"/>
  <c r="I2" i="19" s="1"/>
  <c r="E2" i="20"/>
  <c r="F2" i="20" s="1"/>
  <c r="D2" i="18"/>
  <c r="E5" i="18"/>
  <c r="F5" i="18" s="1"/>
  <c r="D4" i="34"/>
  <c r="D2" i="34" s="1"/>
  <c r="E6" i="18"/>
  <c r="F6" i="18" s="1"/>
  <c r="E4" i="18"/>
  <c r="F4" i="18" s="1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F5" i="29" s="1"/>
  <c r="J2" i="27"/>
  <c r="H2" i="4"/>
  <c r="I2" i="4" s="1"/>
  <c r="H2" i="21"/>
  <c r="I2" i="21" s="1"/>
  <c r="J2" i="19"/>
  <c r="H2" i="20"/>
  <c r="I2" i="20" s="1"/>
  <c r="J2" i="31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<sst xmlns="http://schemas.openxmlformats.org/spreadsheetml/2006/main" count="280" uniqueCount="77">
  <si>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</si>
  <si>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</si>
  <si>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</si>
  <si>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</si>
  <si>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</si>
  <si>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</si>
  <si>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</si>
  <si>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</si>
  <si>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</si>
  <si>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</si>
  <si>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</si>
  <si>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</si>
  <si>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</si>
  <si>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</si>
  <si>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</si>
  <si>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</si>
  <si>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</si>
  <si>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</si>
  <si>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</si>
  <si>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</si>
  <si>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</si>
  <si>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</si>
  <si>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</si>
  <si>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from 12:15 to 13:30 on 01/21 for the installation of new CTs and a meter. The system's readings returned to the correct range after troubleshooting on site.
2. Inverter 1-4 experienced multiple trip events throughout the month.
3. Inverter 1-6 was offline on 01/15/25, self-resolved, and came back online at 07:30 AM on 01/20/25. Inverter again went offline on 01/27/25 andbackonline on 01/28/25
4. Inverter 3-2 tripped offline at 08:30 on 01/20/25 and later self resolved, back online on 01/21.</t>
  </si>
  <si>
    <t>1. SR094032
2.  SR094314, SR094074 &amp;  SR092118
3. SR095603, SR097617
4. SR095749</t>
  </si>
  <si>
    <t>1.Inverter 1-7 is offline through the month. due to faulting on start up from Grid Frequency failures.
2. Site was offline from 10:15 to 11:00 on 01/22 for the installation of new CTs and a meter. The system's readings returned to the correct range from 01/23
3. Inverter 1-3 was offline throughout the month due to a frozen screen issue.</t>
  </si>
  <si>
    <t>1. SR075156, SR094079
2. SR087559, SR095887
3. SR091482</t>
  </si>
  <si>
    <t>February Actual v. Expected</t>
  </si>
  <si>
    <t>February Actual v. Forecasted</t>
  </si>
  <si>
    <t>1.Inverter 1-4 experienced multiple trip events throughout the month.
2. Inverters 1-6 was offline multiple times throughout the month, including on 02/01, 02/09, 02/14, 02/21, and 02/26, with self-resolving on 02/02, 02/11, 02/15, and 02/27. On 02/18, a technician identified a Display error 121 (Grid Overvolt), reenergized the inverter, and brought it back online at 11:00 AM the same day. Additional troubleshooting was required.
3. Inverter 3-2 tripped offline at 13:30 on 02/03 and self resolved, back online at 07:45 on 02/04</t>
  </si>
  <si>
    <t>1. SR094314, SR094074 ,SR092118 &amp; SR096716
2. SR095603, SR097617
3. SR095749</t>
  </si>
  <si>
    <t>SR094074</t>
  </si>
  <si>
    <t>SR092118</t>
  </si>
  <si>
    <t>SR096716</t>
  </si>
  <si>
    <t>SR095603</t>
  </si>
  <si>
    <t>SR097617</t>
  </si>
  <si>
    <t>SR095749</t>
  </si>
  <si>
    <t>1. Inverter 1.6 is underperforming by 5kW and is undergoing further troubleshooting during the PM event.
2.  Inverter 1-7 is offline through the month. due to faulting on start up from Grid Frequency failures.
3. Inverter 1-3 was offline throughout the month due to a frozen screen issue.</t>
  </si>
  <si>
    <t>1. SR097459
2. SR075156, SR094079
3. SR091482</t>
  </si>
  <si>
    <t>SR075156</t>
  </si>
  <si>
    <t>SR094079</t>
  </si>
  <si>
    <t>SR091482</t>
  </si>
  <si>
    <t>March Actual v. Expected</t>
  </si>
  <si>
    <t>March Actual v. Forecasted</t>
  </si>
  <si>
    <t>1. Inverter 1.6 was frequently offline throughout the month.
2. Inverter 1.4 was offline on multiple days the entire month including 03/12 - 03/14 and 03/26 - 03/28</t>
  </si>
  <si>
    <t xml:space="preserve">1. SR097617
2. SR094314	</t>
  </si>
  <si>
    <t>SR094314</t>
  </si>
  <si>
    <t>1. Inverter 1.4 was offline on 03/26 and back online on 03/27
2. Inverter 1-3 was offline throughout the month due to a frozen screen issue.
3. Inverter 1.6 is underperforming by 5kW and is undergoing further troubleshooting during the PM event.</t>
  </si>
  <si>
    <t>1. SR099023	
2. SR091482
3. SR097459</t>
  </si>
  <si>
    <t>SR097459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</si>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</sst>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horizontal="right"/>
    </xf>
    <xf numFmtId="49" fontId="30" fillId="38" borderId="0" xfId="2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0" fontId="35" fillId="38" borderId="0" xfId="0" applyFont="1" applyFill="1" applyAlignment="1">
      <alignment wrapText="1"/>
    </xf>
    <xf numFmtId="49" fontId="28" fillId="0" borderId="0" xfId="0" applyNumberFormat="1" applyFont="1" applyAlignment="1">
      <alignment horizontal="left" vertical="center" wrapText="1"/>
    </xf>
    <xf numFmtId="0" fontId="34" fillId="40" borderId="0" xfId="0" applyFont="1" applyFill="1" applyAlignment="1">
      <alignment horizontal="center" vertical="center"/>
    </xf>
    <xf numFmtId="49" fontId="36" fillId="0" borderId="0" xfId="0" applyNumberFormat="1" applyFont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horizontal="left" vertical="top" wrapText="1"/>
    </xf>
    <xf numFmtId="49" fontId="37" fillId="0" borderId="0" xfId="45" applyNumberFormat="1" applyAlignment="1">
      <alignment horizontal="left" vertical="top" wrapText="1"/>
    </xf>
    <xf numFmtId="0" fontId="37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459" TargetMode="External"/><Relationship Id="rId3" Type="http://schemas.openxmlformats.org/officeDocument/2006/relationships/hyperlink" Target="https://us3.assetplanner.com/service_request?ID=092118" TargetMode="External"/><Relationship Id="rId7" Type="http://schemas.openxmlformats.org/officeDocument/2006/relationships/hyperlink" Target="https://us3.assetplanner.com/service_request?ID=095749" TargetMode="External"/><Relationship Id="rId2" Type="http://schemas.openxmlformats.org/officeDocument/2006/relationships/hyperlink" Target="https://us3.assetplanner.com/service_request?ID=094074" TargetMode="External"/><Relationship Id="rId1" Type="http://schemas.openxmlformats.org/officeDocument/2006/relationships/hyperlink" Target="https://us3.assetplanner.com/service_request?ID=094314" TargetMode="External"/><Relationship Id="rId6" Type="http://schemas.openxmlformats.org/officeDocument/2006/relationships/hyperlink" Target="https://us3.assetplanner.com/service_request?ID=097617" TargetMode="External"/><Relationship Id="rId11" Type="http://schemas.openxmlformats.org/officeDocument/2006/relationships/hyperlink" Target="https://us3.assetplanner.com/service_request?ID=091482" TargetMode="External"/><Relationship Id="rId5" Type="http://schemas.openxmlformats.org/officeDocument/2006/relationships/hyperlink" Target="https://us3.assetplanner.com/service_request?ID=095603" TargetMode="External"/><Relationship Id="rId10" Type="http://schemas.openxmlformats.org/officeDocument/2006/relationships/hyperlink" Target="https://us3.assetplanner.com/service_request?ID=094079" TargetMode="External"/><Relationship Id="rId4" Type="http://schemas.openxmlformats.org/officeDocument/2006/relationships/hyperlink" Target="https://us3.assetplanner.com/service_request?ID=096716" TargetMode="External"/><Relationship Id="rId9" Type="http://schemas.openxmlformats.org/officeDocument/2006/relationships/hyperlink" Target="https://us3.assetplanner.com/service_request?ID=07515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023" TargetMode="External"/><Relationship Id="rId2" Type="http://schemas.openxmlformats.org/officeDocument/2006/relationships/hyperlink" Target="https://us3.assetplanner.com/service_request?ID=094314" TargetMode="External"/><Relationship Id="rId1" Type="http://schemas.openxmlformats.org/officeDocument/2006/relationships/hyperlink" Target="https://us3.assetplanner.com/service_request?ID=097617" TargetMode="External"/><Relationship Id="rId5" Type="http://schemas.openxmlformats.org/officeDocument/2006/relationships/hyperlink" Target="https://us3.assetplanner.com/service_request?ID=097459" TargetMode="External"/><Relationship Id="rId4" Type="http://schemas.openxmlformats.org/officeDocument/2006/relationships/hyperlink" Target="https://us3.assetplanner.com/service_request?ID=09148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C6" sqref="C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Cave Creek USD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6">
        <f>SUM(C4:C91)</f>
        <v>343815</v>
      </c>
      <c r="D2" s="6">
        <f>SUM(D4:D91)</f>
        <v>192646</v>
      </c>
      <c r="E2" s="6">
        <f>C2-D2</f>
        <v>151169</v>
      </c>
      <c r="F2" s="7">
        <f>IFERROR(E2/D2, 0)</f>
        <v>0.7846983586474674</v>
      </c>
      <c r="G2" s="6">
        <f>SUM(G4:G91)</f>
        <v>0</v>
      </c>
      <c r="H2" s="8">
        <f>C2-G2</f>
        <v>343815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125662</v>
      </c>
      <c r="D4" s="14">
        <f>SUM('1st Qtr'!D4, '2nd Qtr'!D4, '3rd Qtr'!D4, '4th Qtr'!D4)</f>
        <v>97376</v>
      </c>
      <c r="E4" s="14">
        <f>IF(AND(ISNUMBER(C4),ISNUMBER(D4)), C4-D4, "")</f>
        <v>28286</v>
      </c>
      <c r="F4" s="15">
        <f>IFERROR(E4/D4, 0)</f>
        <v>0.29048225435425568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126367</v>
      </c>
      <c r="D5" s="20">
        <f>SUM(Jan!D5, Feb!D5, Mar!D5)</f>
        <v>95270</v>
      </c>
      <c r="E5" s="20">
        <f t="shared" ref="E5:E6" si="0">IF(AND(ISNUMBER(C5),ISNUMBER(D5)), C5-D5, "")</f>
        <v>31097</v>
      </c>
      <c r="F5" s="21">
        <f>IFERROR(E5/D5, 0)</f>
        <v>0.32640915293376721</v>
      </c>
      <c r="G5" s="44">
        <f>SUM('1st Qtr'!G5,'2nd Qtr'!G5,'3rd Qtr'!G5,'4th Qtr'!G5)</f>
        <v>0</v>
      </c>
      <c r="H5" s="22">
        <f>SUM(Jan!H5, Feb!H5, Mar!H5)</f>
        <v>0</v>
      </c>
      <c r="I5" s="21">
        <f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91786</v>
      </c>
      <c r="D6" s="14">
        <f>SUM(Jan!D6, Feb!D6, Mar!D6)</f>
        <v>0</v>
      </c>
      <c r="E6" s="14">
        <f t="shared" si="0"/>
        <v>91786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0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C15" sqref="C15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Cave Creek USD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6">
        <f>SUM(C4:C88)</f>
        <v>343815</v>
      </c>
      <c r="D2" s="6">
        <f>SUM(D4:D88)</f>
        <v>192646</v>
      </c>
      <c r="E2" s="6">
        <f>C2-D2</f>
        <v>151169</v>
      </c>
      <c r="F2" s="7">
        <f>IFERROR(E2/D2, 0)</f>
        <v>0.7846983586474674</v>
      </c>
      <c r="G2" s="6">
        <f>SUM(G4:G88)</f>
        <v>0</v>
      </c>
      <c r="H2" s="8">
        <f>C2-G2</f>
        <v>343815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125662</v>
      </c>
      <c r="D4" s="14">
        <f>SUM(Jan!D4, Feb!D4, Mar!D4)</f>
        <v>97376</v>
      </c>
      <c r="E4" s="14">
        <f>IF(AND(ISNUMBER(C4),ISNUMBER(D4)), C4-D4, "")</f>
        <v>28286</v>
      </c>
      <c r="F4" s="15">
        <f>IFERROR(E4/D4, 0)</f>
        <v>0.29048225435425568</v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126367</v>
      </c>
      <c r="D5" s="20">
        <f>SUM(Jan!D5, Feb!D5, Mar!D5)</f>
        <v>95270</v>
      </c>
      <c r="E5" s="20">
        <f t="shared" ref="E5:E6" si="0">IF(AND(ISNUMBER(C5),ISNUMBER(D5)), C5-D5, "")</f>
        <v>31097</v>
      </c>
      <c r="F5" s="43">
        <f t="shared" ref="F5:F6" si="1">IFERROR(E5/D5, 0)</f>
        <v>0.32640915293376721</v>
      </c>
      <c r="G5" s="22">
        <f>SUM(Jan!G5, Feb!G5, Mar!G5)</f>
        <v>0</v>
      </c>
      <c r="H5" s="22">
        <f>SUM(Jan!H5, Feb!H5, Mar!H5)</f>
        <v>0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91786</v>
      </c>
      <c r="D6" s="14">
        <f>SUM(Jan!D6, Feb!D6, Mar!D6)</f>
        <v>0</v>
      </c>
      <c r="E6" s="14">
        <f t="shared" si="0"/>
        <v>91786</v>
      </c>
      <c r="F6" s="15">
        <f t="shared" si="1"/>
        <v>0</v>
      </c>
      <c r="G6" s="16">
        <f>SUM(Jan!G6, Feb!G6, Mar!G6)</f>
        <v>0</v>
      </c>
      <c r="H6" s="16">
        <f>SUM(Jan!H6, Feb!H6, Mar!H6)</f>
        <v>0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Cave Creek USD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>
        <f>IFERROR(E4/D4, 0)</f>
        <v>0</v>
      </c>
      <c r="G4" s="16"/>
      <c r="H4" s="16">
        <f>SUM(Apr!H4, May!H4, Jun!H4)</f>
        <v>0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15">
        <f t="shared" ref="F5:F6" si="1">IFERROR(E5/D5, 0)</f>
        <v>0</v>
      </c>
      <c r="G5" s="22"/>
      <c r="H5" s="22">
        <f>SUM(Apr!H5, May!H5, Jun!H5)</f>
        <v>0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>
        <f t="shared" si="1"/>
        <v>0</v>
      </c>
      <c r="G6" s="16"/>
      <c r="H6" s="16">
        <f>SUM(Apr!H6, May!H6, Jun!H6)</f>
        <v>0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I4:I88">
    <cfRule type="cellIs" dxfId="38" priority="1" stopIfTrue="1" operator="lessThanOrEqual">
      <formula>-0.1</formula>
    </cfRule>
    <cfRule type="expression" dxfId="37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K19" sqref="K19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Cave Creek USD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>
        <f>IFERROR(E4/D4, 0)</f>
        <v>0</v>
      </c>
      <c r="G4" s="16">
        <f>SUM(Jul!G4,Aug!G4,Sep!G4)</f>
        <v>0</v>
      </c>
      <c r="H4" s="16">
        <f>SUM(Jul!H4, Aug!H4, Sep!H4)</f>
        <v>0</v>
      </c>
      <c r="I4" s="17">
        <f>IFERROR(H4/G4, 0)</f>
        <v>0</v>
      </c>
    </row>
    <row r="5" spans="1:9" ht="15.6">
      <c r="A5" s="19" t="str">
        <v>AZ: Cave Creek - HTES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15">
        <f t="shared" ref="F5:F6" si="1">IFERROR(E5/D5, 0)</f>
        <v>0</v>
      </c>
      <c r="G5" s="22">
        <f>SUM(Jul!G5,Aug!G5,Sep!G5)</f>
        <v>0</v>
      </c>
      <c r="H5" s="22">
        <f>SUM(Jul!H5, Aug!H5, Sep!H5)</f>
        <v>0</v>
      </c>
      <c r="I5" s="43">
        <f t="shared" ref="I5:I6" si="2">IFERROR(H5/G5, 0)</f>
        <v>0</v>
      </c>
    </row>
    <row r="6" spans="1:9" ht="15.6">
      <c r="A6" s="13" t="str">
        <v>AZ: Cave Creek - LMES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>
        <f t="shared" si="1"/>
        <v>0</v>
      </c>
      <c r="G6" s="16">
        <f>SUM(Jul!G6,Aug!G6,Sep!G6)</f>
        <v>0</v>
      </c>
      <c r="H6" s="16">
        <f>SUM(Jul!H6, Aug!H6, Sep!H6)</f>
        <v>0</v>
      </c>
      <c r="I6" s="17">
        <f t="shared" si="2"/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I4:I88">
    <cfRule type="cellIs" dxfId="34" priority="1" stopIfTrue="1" operator="lessThanOrEqual">
      <formula>-0.1</formula>
    </cfRule>
    <cfRule type="expression" dxfId="33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Cave Creek USD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tabSelected="1" workbookViewId="0">
      <pane ySplit="3" topLeftCell="A4" activePane="bottomLeft" state="frozen"/>
      <selection pane="bottomLeft" activeCell="G10" sqref="G10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SUM(C4:C86)</f>
        <v>87444</v>
      </c>
      <c r="D2" s="6">
        <f>SUM(D4:D86)</f>
        <v>58113</v>
      </c>
      <c r="E2" s="6">
        <f>C2-D2</f>
        <v>29331</v>
      </c>
      <c r="F2" s="7">
        <f>IFERROR(E2/D2, 0)</f>
        <v>0.50472355583088124</v>
      </c>
      <c r="G2" s="6">
        <f>SUM(G4:G86)</f>
        <v>0</v>
      </c>
      <c r="H2" s="8">
        <f>C2-G2</f>
        <v>87444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29.6">
      <c r="A4" s="53" t="str" cm="1">
        <f t="array" ref="A4:A6">Sites[Site]</f>
        <v>AZ: Cave Creek - DWES</v>
      </c>
      <c r="B4" s="31" t="str" cm="1">
        <f t="array" ref="B4:B6">Sites[State]</f>
        <v>AZ</v>
      </c>
      <c r="C4" s="26">
        <v>32931</v>
      </c>
      <c r="D4" s="14">
        <v>30249</v>
      </c>
      <c r="E4" s="14">
        <f>IF(AND(ISNUMBER(C4),ISNUMBER(D4)), C4-D4, 0)</f>
        <v>2682</v>
      </c>
      <c r="F4" s="15">
        <f>IFERROR(E4/D4, 0)</f>
        <v>8.8664088069027078E-2</v>
      </c>
      <c r="G4" s="55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23</v>
      </c>
      <c r="K4" s="18" t="s">
        <v>24</v>
      </c>
    </row>
    <row r="5" spans="1:11" ht="72">
      <c r="A5" s="32" t="str">
        <v>AZ: Cave Creek - HTES</v>
      </c>
      <c r="B5" s="33" t="str">
        <v>AZ</v>
      </c>
      <c r="C5" s="12">
        <v>26765</v>
      </c>
      <c r="D5" s="20">
        <v>27864</v>
      </c>
      <c r="E5" s="20">
        <f>IF(AND(ISNUMBER(C5),ISNUMBER(D5)), C5-D5, 0)</f>
        <v>-1099</v>
      </c>
      <c r="F5" s="21">
        <f t="shared" ref="F5:F6" si="0">IFERROR(E5/D5, 0)</f>
        <v>-3.9441573356302037E-2</v>
      </c>
      <c r="G5" s="56" t="s">
        <v>22</v>
      </c>
      <c r="H5" s="22" t="str">
        <f>IF(AND(ISNUMBER(C5),ISNUMBER(G5)), C5-G5, "")</f>
        <v/>
      </c>
      <c r="I5" s="21" t="str">
        <f>IFERROR(H5/G5, "")</f>
        <v/>
      </c>
      <c r="J5" s="45" t="s">
        <v>25</v>
      </c>
      <c r="K5" s="54" t="s">
        <v>26</v>
      </c>
    </row>
    <row r="6" spans="1:11" ht="15.6">
      <c r="A6" s="30" t="str">
        <v>AZ: Cave Creek - LMES</v>
      </c>
      <c r="B6" s="31" t="str">
        <v>AZ</v>
      </c>
      <c r="C6" s="26">
        <v>27748</v>
      </c>
      <c r="D6" s="14" t="s">
        <v>22</v>
      </c>
      <c r="E6" s="14" t="str">
        <f>IF(AND(ISNUMBER(C6),ISNUMBER(D6)), C6-D6, "")</f>
        <v/>
      </c>
      <c r="F6" s="15">
        <f t="shared" si="0"/>
        <v>0</v>
      </c>
      <c r="G6" s="55" t="s">
        <v>22</v>
      </c>
      <c r="H6" s="16" t="str">
        <f>IF(AND(ISNUMBER(C6),ISNUMBER(G6)), C6-G6, "")</f>
        <v/>
      </c>
      <c r="I6" s="17" t="str">
        <f>IFERROR(H6/G6, "")</f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conditionalFormatting sqref="F4:F86 I4:I86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Q330"/>
  <sheetViews>
    <sheetView topLeftCell="E1" workbookViewId="0">
      <pane ySplit="2" topLeftCell="A3" activePane="bottomLeft" state="frozen"/>
      <selection pane="bottomLeft" activeCell="E6" sqref="E6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62" t="str" cm="1">
        <f t="array" ref="A1">portfolio</f>
        <v>Cave Creek USD</v>
      </c>
      <c r="B1" s="62"/>
      <c r="C1" s="62"/>
      <c r="D1" s="63" t="s">
        <v>27</v>
      </c>
      <c r="E1" s="63"/>
      <c r="F1" s="63"/>
      <c r="G1" s="61" t="s">
        <v>28</v>
      </c>
      <c r="H1" s="61"/>
      <c r="I1" s="61"/>
      <c r="J1" s="5"/>
      <c r="K1" s="5"/>
    </row>
    <row r="2" spans="1:17" ht="19.5" customHeight="1">
      <c r="A2" s="64" t="s">
        <v>2</v>
      </c>
      <c r="B2" s="64"/>
      <c r="C2" s="6">
        <f>SUM(C4:C88)</f>
        <v>115381</v>
      </c>
      <c r="D2" s="6">
        <f>SUM(D4:D88)</f>
        <v>59593</v>
      </c>
      <c r="E2" s="6">
        <f>C2-D2</f>
        <v>55788</v>
      </c>
      <c r="F2" s="7">
        <f>IFERROR(E2/D2, 0)</f>
        <v>0.93615021898545137</v>
      </c>
      <c r="G2" s="6">
        <f>SUM(G4:G88)</f>
        <v>0</v>
      </c>
      <c r="H2" s="8">
        <f>C2-G2</f>
        <v>115381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7" ht="115.1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41596</v>
      </c>
      <c r="D4" s="14">
        <v>30973</v>
      </c>
      <c r="E4" s="14">
        <f>IF(AND(ISNUMBER(C4),ISNUMBER(D4)), C4-D4, 0)</f>
        <v>10623</v>
      </c>
      <c r="F4" s="15">
        <f>IFERROR(E4/D4, "")</f>
        <v>0.342976140509476</v>
      </c>
      <c r="G4" s="55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29</v>
      </c>
      <c r="K4" s="57" t="s">
        <v>30</v>
      </c>
      <c r="L4" s="59" t="s">
        <v>31</v>
      </c>
      <c r="M4" s="59" t="s">
        <v>32</v>
      </c>
      <c r="N4" s="59" t="s">
        <v>33</v>
      </c>
      <c r="O4" s="59" t="s">
        <v>34</v>
      </c>
      <c r="P4" s="59" t="s">
        <v>35</v>
      </c>
      <c r="Q4" s="59" t="s">
        <v>36</v>
      </c>
    </row>
    <row r="5" spans="1:17" ht="72">
      <c r="A5" s="32" t="str">
        <v>AZ: Cave Creek - HTES</v>
      </c>
      <c r="B5" s="33" t="str">
        <v>AZ</v>
      </c>
      <c r="C5" s="12">
        <v>45127</v>
      </c>
      <c r="D5" s="20">
        <v>28620</v>
      </c>
      <c r="E5" s="20">
        <f t="shared" ref="E5:E6" si="0">IF(AND(ISNUMBER(C5),ISNUMBER(D5)), C5-D5, "")</f>
        <v>16507</v>
      </c>
      <c r="F5" s="21">
        <f>IFERROR(E5/D5, "")</f>
        <v>0.57676450034940596</v>
      </c>
      <c r="G5" s="56" t="s">
        <v>22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 t="s">
        <v>37</v>
      </c>
      <c r="K5" s="58" t="s">
        <v>38</v>
      </c>
      <c r="L5" s="59" t="s">
        <v>39</v>
      </c>
      <c r="M5" s="59" t="s">
        <v>40</v>
      </c>
      <c r="N5" s="59" t="s">
        <v>41</v>
      </c>
      <c r="O5" s="60"/>
      <c r="P5" s="60"/>
      <c r="Q5" s="60"/>
    </row>
    <row r="6" spans="1:17" ht="15.6">
      <c r="A6" s="30" t="str">
        <v>AZ: Cave Creek - LMES</v>
      </c>
      <c r="B6" s="31" t="str">
        <v>AZ</v>
      </c>
      <c r="C6" s="26">
        <v>28658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5" t="s">
        <v>22</v>
      </c>
      <c r="H6" s="16" t="str">
        <f t="shared" si="1"/>
        <v/>
      </c>
      <c r="I6" s="17" t="str">
        <f t="shared" si="2"/>
        <v/>
      </c>
      <c r="J6" s="18"/>
      <c r="K6" s="18"/>
      <c r="L6" s="60"/>
      <c r="M6" s="60"/>
      <c r="N6" s="60"/>
      <c r="O6" s="60"/>
      <c r="P6" s="60"/>
      <c r="Q6" s="60"/>
    </row>
    <row r="7" spans="1:17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7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7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94314" xr:uid="{A9913F8A-C5CD-4B24-BECC-C8345385C9A1}"/>
    <hyperlink ref="L4" r:id="rId2" display="https://us3.assetplanner.com/service_request?ID=094074" xr:uid="{44C87AC2-D1C2-40E3-94A9-54699EC2D1C3}"/>
    <hyperlink ref="M4" r:id="rId3" display="https://us3.assetplanner.com/service_request?ID=092118" xr:uid="{AD255B55-2EC2-4957-BF45-780B71EE842A}"/>
    <hyperlink ref="N4" r:id="rId4" display="https://us3.assetplanner.com/service_request?ID=096716" xr:uid="{B8A58721-ACF9-4F51-A0EB-FF7EC4B989B0}"/>
    <hyperlink ref="O4" r:id="rId5" display="https://us3.assetplanner.com/service_request?ID=095603" xr:uid="{81569298-8DAC-4A8A-82A9-06EC49F7367E}"/>
    <hyperlink ref="P4" r:id="rId6" display="https://us3.assetplanner.com/service_request?ID=097617" xr:uid="{556421E0-1BEE-4D3F-9BE0-9E5780D53622}"/>
    <hyperlink ref="Q4" r:id="rId7" display="https://us3.assetplanner.com/service_request?ID=095749" xr:uid="{4CC47E6C-7136-465E-889C-D311BB9BC38C}"/>
    <hyperlink ref="K5" r:id="rId8" display="https://us3.assetplanner.com/service_request?ID=097459" xr:uid="{74AED1B6-1445-43AA-9F99-F31ECC1E1D65}"/>
    <hyperlink ref="L5" r:id="rId9" display="https://us3.assetplanner.com/service_request?ID=075156" xr:uid="{6A0A18E1-0DD7-4176-8C0E-D582538D5965}"/>
    <hyperlink ref="M5" r:id="rId10" display="https://us3.assetplanner.com/service_request?ID=094079" xr:uid="{06C45DBA-7015-49EB-9D8A-7C3E47748BA7}"/>
    <hyperlink ref="N5" r:id="rId11" display="https://us3.assetplanner.com/service_request?ID=091482" xr:uid="{7E4E339C-C5A5-473A-BABA-8141212A6E7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30"/>
  <sheetViews>
    <sheetView workbookViewId="0">
      <pane ySplit="2" topLeftCell="A3" activePane="bottomLeft" state="frozen"/>
      <selection pane="bottomLeft" activeCell="G20" sqref="G20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2" t="str" cm="1">
        <f t="array" ref="A1">portfolio</f>
        <v>Cave Creek USD</v>
      </c>
      <c r="B1" s="62"/>
      <c r="C1" s="62"/>
      <c r="D1" s="63" t="s">
        <v>42</v>
      </c>
      <c r="E1" s="63"/>
      <c r="F1" s="63"/>
      <c r="G1" s="61" t="s">
        <v>43</v>
      </c>
      <c r="H1" s="61"/>
      <c r="I1" s="61"/>
      <c r="J1" s="5"/>
      <c r="K1" s="5"/>
    </row>
    <row r="2" spans="1:14" ht="19.5" customHeight="1">
      <c r="A2" s="64" t="s">
        <v>2</v>
      </c>
      <c r="B2" s="64"/>
      <c r="C2" s="6">
        <f>SUM(C4:C88)</f>
        <v>140990</v>
      </c>
      <c r="D2" s="6">
        <f>SUM(D4:D88)</f>
        <v>74940</v>
      </c>
      <c r="E2" s="6">
        <f>C2-D2</f>
        <v>66050</v>
      </c>
      <c r="F2" s="7">
        <f>IFERROR(E2/D2, 0)</f>
        <v>0.88137176407792905</v>
      </c>
      <c r="G2" s="6">
        <f>SUM(G4:G88)</f>
        <v>0</v>
      </c>
      <c r="H2" s="8">
        <f>C2-G2</f>
        <v>140990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4" ht="43.15">
      <c r="A4" s="53" t="str" cm="1">
        <f t="array" ref="A4:A6">Sites[Site]</f>
        <v>AZ: Cave Creek - DWES</v>
      </c>
      <c r="B4" s="31" t="str" cm="1">
        <f t="array" ref="B4:B6">Sites[State]</f>
        <v>AZ</v>
      </c>
      <c r="C4" s="26">
        <v>51135</v>
      </c>
      <c r="D4" s="14">
        <v>36154</v>
      </c>
      <c r="E4" s="14">
        <f>IF(AND(ISNUMBER(C4),ISNUMBER(D4)), C4-D4, "")</f>
        <v>14981</v>
      </c>
      <c r="F4" s="15">
        <f>IFERROR(E4/D4, "")</f>
        <v>0.41436632184543898</v>
      </c>
      <c r="G4" s="55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44</v>
      </c>
      <c r="K4" s="57" t="s">
        <v>45</v>
      </c>
      <c r="L4" s="59" t="s">
        <v>46</v>
      </c>
      <c r="M4" s="60"/>
      <c r="N4" s="60"/>
    </row>
    <row r="5" spans="1:14" ht="57.6">
      <c r="A5" s="32" t="str">
        <v>AZ: Cave Creek - HTES</v>
      </c>
      <c r="B5" s="33" t="str">
        <v>AZ</v>
      </c>
      <c r="C5" s="12">
        <v>54475</v>
      </c>
      <c r="D5" s="20">
        <v>38786</v>
      </c>
      <c r="E5" s="20">
        <f t="shared" ref="E5:E6" si="0">IF(AND(ISNUMBER(C5),ISNUMBER(D5)), C5-D5, "")</f>
        <v>15689</v>
      </c>
      <c r="F5" s="21">
        <f>IFERROR(E5/D5, "")</f>
        <v>0.40450162429742692</v>
      </c>
      <c r="G5" s="56" t="s">
        <v>22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 t="s">
        <v>47</v>
      </c>
      <c r="K5" s="58" t="s">
        <v>48</v>
      </c>
      <c r="L5" s="59" t="s">
        <v>41</v>
      </c>
      <c r="M5" s="59" t="s">
        <v>49</v>
      </c>
      <c r="N5" s="60"/>
    </row>
    <row r="6" spans="1:14" ht="15.6">
      <c r="A6" s="30" t="str">
        <v>AZ: Cave Creek - LMES</v>
      </c>
      <c r="B6" s="31" t="str">
        <v>AZ</v>
      </c>
      <c r="C6" s="26">
        <v>35380</v>
      </c>
      <c r="D6" s="14" t="s">
        <v>22</v>
      </c>
      <c r="E6" s="14" t="str">
        <f t="shared" si="0"/>
        <v/>
      </c>
      <c r="F6" s="15" t="str">
        <f t="shared" ref="F6" si="3">IFERROR(E6/D6, "")</f>
        <v/>
      </c>
      <c r="G6" s="55" t="s">
        <v>22</v>
      </c>
      <c r="H6" s="16" t="str">
        <f t="shared" si="1"/>
        <v/>
      </c>
      <c r="I6" s="17" t="str">
        <f t="shared" si="2"/>
        <v/>
      </c>
      <c r="J6" s="18"/>
      <c r="K6" s="18"/>
      <c r="L6" s="60"/>
      <c r="M6" s="60"/>
      <c r="N6" s="60"/>
    </row>
    <row r="7" spans="1:14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4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4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4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4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4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4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4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4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4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617" xr:uid="{9F76F105-2C98-441A-808D-67C517B9BEAC}"/>
    <hyperlink ref="L4" r:id="rId2" display="https://us3.assetplanner.com/service_request?ID=094314" xr:uid="{4794F2F9-DEF6-4688-A0A8-FB8AE7AA72DB}"/>
    <hyperlink ref="K5" r:id="rId3" display="https://us3.assetplanner.com/service_request?ID=099023" xr:uid="{7352B864-2CBD-4F97-A97A-9FCC902E2CB6}"/>
    <hyperlink ref="L5" r:id="rId4" display="https://us3.assetplanner.com/service_request?ID=091482" xr:uid="{0B7BE242-B690-4C0D-8185-BABEC90C34E9}"/>
    <hyperlink ref="M5" r:id="rId5" display="https://us3.assetplanner.com/service_request?ID=097459" xr:uid="{5B4AA2BC-0D13-4758-ACB3-733209104E9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zoomScale="80" zoomScaleNormal="80"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50</v>
      </c>
      <c r="E1" s="63"/>
      <c r="F1" s="63"/>
      <c r="G1" s="61" t="s">
        <v>51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zoomScale="80" zoomScaleNormal="80"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52</v>
      </c>
      <c r="E1" s="63"/>
      <c r="F1" s="63"/>
      <c r="G1" s="61" t="s">
        <v>53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zoomScale="70" zoomScaleNormal="70"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54</v>
      </c>
      <c r="E1" s="63"/>
      <c r="F1" s="63"/>
      <c r="G1" s="61" t="s">
        <v>55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78" customHeight="1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56</v>
      </c>
      <c r="E1" s="63"/>
      <c r="F1" s="63"/>
      <c r="G1" s="61" t="s">
        <v>57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7.5" customHeight="1">
      <c r="A4" s="30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47"/>
      <c r="D5" s="47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/>
      <c r="K5" s="46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58</v>
      </c>
      <c r="E1" s="63"/>
      <c r="F1" s="63"/>
      <c r="G1" s="61" t="s">
        <v>59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51"/>
      <c r="K4" s="51"/>
    </row>
    <row r="5" spans="1:11" ht="15.6">
      <c r="A5" s="32" t="str">
        <v>AZ: Cave Creek - HTES</v>
      </c>
      <c r="B5" s="33" t="str">
        <v>AZ</v>
      </c>
      <c r="C5" s="47"/>
      <c r="D5" s="47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50"/>
      <c r="K5" s="50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60</v>
      </c>
      <c r="E1" s="63"/>
      <c r="F1" s="63"/>
      <c r="G1" s="61" t="s">
        <v>61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49"/>
      <c r="K2" s="49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51"/>
      <c r="K4" s="18"/>
    </row>
    <row r="5" spans="1:11" ht="15.6">
      <c r="A5" s="32" t="str">
        <v>AZ: Cave Creek - HTES</v>
      </c>
      <c r="B5" s="33" t="str">
        <v>AZ</v>
      </c>
      <c r="C5" s="22"/>
      <c r="D5" s="22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52"/>
      <c r="K5" s="52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4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62</v>
      </c>
      <c r="E1" s="63"/>
      <c r="F1" s="63"/>
      <c r="G1" s="61" t="s">
        <v>63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F7" sqref="F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64</v>
      </c>
      <c r="E1" s="63"/>
      <c r="F1" s="63"/>
      <c r="G1" s="61" t="s">
        <v>65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ref="E6" si="2">IF(AND(ISNUMBER(C6),ISNUMBER(D6)), C6-D6, "")</f>
        <v/>
      </c>
      <c r="F6" s="15" t="str">
        <f t="shared" ref="F6" si="3">IFERROR(E6/D6, "")</f>
        <v/>
      </c>
      <c r="G6" s="16">
        <v>0</v>
      </c>
      <c r="H6" s="16" t="str">
        <f t="shared" si="0"/>
        <v/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ySplit="2" topLeftCell="A3" activePane="bottomLeft" state="frozen"/>
      <selection pane="bottomLeft" activeCell="F7" sqref="F7"/>
      <selection activeCell="H11" sqref="H11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Cave Creek USD</v>
      </c>
      <c r="B1" s="62"/>
      <c r="C1" s="62"/>
      <c r="D1" s="63" t="s">
        <v>66</v>
      </c>
      <c r="E1" s="63"/>
      <c r="F1" s="63"/>
      <c r="G1" s="61" t="s">
        <v>67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80.25" customHeight="1">
      <c r="A4" s="53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45"/>
      <c r="K5" s="45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ref="E6" si="2">IF(AND(ISNUMBER(C6),ISNUMBER(D6)), C6-D6, "")</f>
        <v/>
      </c>
      <c r="F6" s="15" t="str">
        <f>IFERROR(E6/D6, "")</f>
        <v/>
      </c>
      <c r="G6" s="16">
        <v>0</v>
      </c>
      <c r="H6" s="16" t="str">
        <f t="shared" si="0"/>
        <v/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88 I4:I88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68</v>
      </c>
      <c r="B1" t="s">
        <v>69</v>
      </c>
    </row>
    <row r="3" spans="1:7" ht="13.1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7" ht="14.45">
      <c r="A4" t="s">
        <v>73</v>
      </c>
      <c r="B4" t="s">
        <v>73</v>
      </c>
      <c r="C4" s="4" t="s">
        <v>74</v>
      </c>
      <c r="G4" s="3"/>
    </row>
    <row r="5" spans="1:7" ht="14.45">
      <c r="A5" t="s">
        <v>75</v>
      </c>
      <c r="B5" t="s">
        <v>75</v>
      </c>
      <c r="C5" s="4" t="s">
        <v>74</v>
      </c>
      <c r="G5" s="3"/>
    </row>
    <row r="6" spans="1:7" ht="14.45">
      <c r="A6" s="4" t="s">
        <v>76</v>
      </c>
      <c r="B6" s="4" t="s">
        <v>76</v>
      </c>
      <c r="C6" s="4" t="s">
        <v>74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3DCFBD7D-AB6D-49B6-97FB-296A540F5F21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2024-10-18T20:23:00Z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83e129e0-390b-452c-95b4-b482b4cb2a2d</vt:lpwstr>
  </property>
  <property fmtid="{D5CDD505-2E9C-101B-9397-08002B2CF9AE}" pid="9" name="MSIP_Label_9d817c99-0b37-4a07-8277-96aa1f96b74b_ContentBits">
    <vt:lpwstr>0</vt:lpwstr>
  </property>
</Properties>
</file>