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6E592B96-D139-4055-9D08-8478E0F50391}" xr6:coauthVersionLast="47" xr6:coauthVersionMax="47" xr10:uidLastSave="{00000000-0000-0000-0000-000000000000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3" l="1"/>
  <c r="G4" i="30"/>
  <c r="G2" i="30" s="1"/>
  <c r="G4" i="29"/>
  <c r="G4" i="18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F4" i="33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<sst xmlns="http://schemas.openxmlformats.org/spreadsheetml/2006/main" count="248" uniqueCount="59">
  <si>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</si>
  <si>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</si>
  <si>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</si>
  <si>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</si>
  <si>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</si>
  <si>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</si>
  <si>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</si>
  <si>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</si>
  <si>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</si>
  <si>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</si>
  <si>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</si>
  <si>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</si>
  <si>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</si>
  <si>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</si>
  <si>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</si>
  <si>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</si>
  <si>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</si>
  <si>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</si>
  <si>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</si>
  <si>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</si>
  <si>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</si>
  <si>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</si>
  <si>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</si>
  <si>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tripped offline at 8:45AM on 12/15/24 due to AC contactor (ABB 145-30) is fault and back online at 10:45 on 01/24/25 after technician replaced AC contactor.</t>
  </si>
  <si>
    <t>1.SR094687</t>
  </si>
  <si>
    <t>February Actual v. Expected</t>
  </si>
  <si>
    <t>February Actual v. Forecasted</t>
  </si>
  <si>
    <t xml:space="preserve">1.Low generation due to weather/snow on 02/09 to 02/25
</t>
  </si>
  <si>
    <t>March Actual v. Expected</t>
  </si>
  <si>
    <t>March Actual v. Forecasted</t>
  </si>
  <si>
    <t>1.Inverters offline from 08:15 to 16:15 due to technician on site on 03/04.</t>
  </si>
  <si>
    <t>1.	SR097756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</si>
  <si>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</si>
  <si>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</si>
  <si>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</si>
  <si>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</si>
  <si>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</si>
  <si>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</si>
  <si>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</si>
  <si>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</si>
  <si>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</si>
  <si>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</si>
  <si>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</si>
  <si>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</si>
  <si>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</si>
  <si>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</si>
  <si>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</si>
  <si>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</si>
  <si>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</si>
  <si>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</si>
  <si>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</si>
  <si>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Pearson Venture Investments LLC</t>
  </si>
  <si>
    <t>Site DAS Name</t>
  </si>
  <si>
    <t>Update</t>
  </si>
  <si>
    <t>DAS</t>
  </si>
  <si>
    <t>MA - Billerica - 2 Sterling Way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</si>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</sst>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4687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775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Pearson Venture Investments LLC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5">
        <f>SUM(C4:C79)</f>
        <v>17215</v>
      </c>
      <c r="D2" s="5">
        <f>SUM(D4:D79)</f>
        <v>30448.625</v>
      </c>
      <c r="E2" s="5">
        <f>C2-D2</f>
        <v>-13233.625</v>
      </c>
      <c r="F2" s="6">
        <f>IFERROR(E2/D2, 0)</f>
        <v>-0.43462143200226611</v>
      </c>
      <c r="G2" s="5">
        <f>SUM(G4:G79)</f>
        <v>0</v>
      </c>
      <c r="H2" s="7">
        <f>C2-G2</f>
        <v>17215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Pearson Venture Investments LLC</v>
      </c>
      <c r="B4" s="9" t="str" cm="1">
        <f t="array" ref="B4">Sites[State]</f>
        <v>MA</v>
      </c>
      <c r="C4" s="23">
        <f>SUM('1st Qtr'!C4, '2nd Qtr'!C4, '3rd Qtr'!C4, '4th Qtr'!C4)</f>
        <v>17215</v>
      </c>
      <c r="D4" s="12">
        <f>SUM('1st Qtr'!D4, '2nd Qtr'!D4, '3rd Qtr'!D4, '4th Qtr'!D4)</f>
        <v>30448.625</v>
      </c>
      <c r="E4" s="12">
        <f>IF(AND(ISNUMBER(C4),ISNUMBER(D4)), C4-D4, "")</f>
        <v>-13233.625</v>
      </c>
      <c r="F4" s="13">
        <f>IFERROR(E4/D4, "")</f>
        <v>-0.43462143200226611</v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E14" sqref="E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Pearson Venture Investments LLC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5">
        <f>SUM(C4:C79)</f>
        <v>17215</v>
      </c>
      <c r="D2" s="5">
        <f>SUM(D4:D79)</f>
        <v>30448.625</v>
      </c>
      <c r="E2" s="5">
        <f>C2-D2</f>
        <v>-13233.625</v>
      </c>
      <c r="F2" s="6">
        <f>IFERROR(E2/D2, 0)</f>
        <v>-0.43462143200226611</v>
      </c>
      <c r="G2" s="5">
        <f>SUM(G4:G79)</f>
        <v>0</v>
      </c>
      <c r="H2" s="7">
        <f>C2-G2</f>
        <v>17215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SUM(Jan!C4, Feb!C4, Mar!C4)</f>
        <v>17215</v>
      </c>
      <c r="D4" s="12">
        <f>SUM(Jan!D4, Feb!D4, Mar!D4)</f>
        <v>30448.625</v>
      </c>
      <c r="E4" s="12">
        <f>IF(AND(ISNUMBER(C4),ISNUMBER(D4)), C4-D4, "")</f>
        <v>-13233.625</v>
      </c>
      <c r="F4" s="13">
        <f>IFERROR(E4/D4, "")</f>
        <v>-0.43462143200226611</v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Pearson Venture Investments LLC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Pearson Venture Investments LLC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H12" sqref="H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Pearson Venture Investments LLC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70" zoomScaleNormal="70" workbookViewId="0">
      <pane xSplit="2" ySplit="3" topLeftCell="C4" activePane="bottomRight" state="frozen"/>
      <selection pane="bottomRight" activeCell="J19" sqref="J19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SUM(C4:C78)</f>
        <v>992</v>
      </c>
      <c r="D2" s="5">
        <f>SUM(D4:D78)</f>
        <v>8157</v>
      </c>
      <c r="E2" s="5">
        <f>C2-D2</f>
        <v>-7165</v>
      </c>
      <c r="F2" s="6">
        <f>IFERROR(E2/D2, 0)</f>
        <v>-0.87838666176290303</v>
      </c>
      <c r="G2" s="5">
        <f>SUM(G4:G78)</f>
        <v>0</v>
      </c>
      <c r="H2" s="7">
        <f>C2-G2</f>
        <v>992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0.25" customHeight="1">
      <c r="A4" s="45" t="str" cm="1">
        <f t="array" ref="A4">Sites[Site]</f>
        <v>Pearson Venture Investments LLC</v>
      </c>
      <c r="B4" s="27" t="str" cm="1">
        <f t="array" ref="B4">Sites[State]</f>
        <v>MA</v>
      </c>
      <c r="C4" s="23">
        <v>992</v>
      </c>
      <c r="D4" s="12">
        <v>8157</v>
      </c>
      <c r="E4" s="12">
        <f>IF(AND(ISNUMBER(C4),ISNUMBER(D4)), C4-D4, "")</f>
        <v>-7165</v>
      </c>
      <c r="F4" s="13">
        <f>IFERROR(E4/D4, "")</f>
        <v>-0.87838666176290303</v>
      </c>
      <c r="G4" s="49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23</v>
      </c>
      <c r="K4" s="50" t="s">
        <v>24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8 I4:I7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4" r:id="rId1" display="https://us3.assetplanner.com/service_request?ID=094687" xr:uid="{14833F77-DAFE-4AB3-8D7B-7D82179B99CF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G4" sqref="G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25</v>
      </c>
      <c r="E1" s="53"/>
      <c r="F1" s="53"/>
      <c r="G1" s="51" t="s">
        <v>26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2209</v>
      </c>
      <c r="D2" s="5">
        <f>SUM(D4:D79)</f>
        <v>8625.9</v>
      </c>
      <c r="E2" s="5">
        <f>C2-D2</f>
        <v>-6416.9</v>
      </c>
      <c r="F2" s="6">
        <f>IFERROR(E2/D2, 0)</f>
        <v>-0.74391078032437197</v>
      </c>
      <c r="G2" s="5">
        <f>SUM(G4:G79)</f>
        <v>0</v>
      </c>
      <c r="H2" s="7">
        <f>C2-G2</f>
        <v>2209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45" t="str" cm="1">
        <f t="array" ref="A4">Sites[Site]</f>
        <v>Pearson Venture Investments LLC</v>
      </c>
      <c r="B4" s="27" t="str" cm="1">
        <f t="array" ref="B4">Sites[State]</f>
        <v>MA</v>
      </c>
      <c r="C4" s="23">
        <v>2209</v>
      </c>
      <c r="D4" s="12">
        <v>8625.9</v>
      </c>
      <c r="E4" s="12">
        <f>IF(AND(ISNUMBER(C4),ISNUMBER(D4)), C4-D4, "")</f>
        <v>-6416.9</v>
      </c>
      <c r="F4" s="13">
        <f>IFERROR(E4/D4, "")</f>
        <v>-0.74391078032437197</v>
      </c>
      <c r="G4" s="49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27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tabSelected="1" zoomScale="70" zoomScaleNormal="70" workbookViewId="0">
      <pane xSplit="2" ySplit="3" topLeftCell="C4" activePane="bottomRight" state="frozen"/>
      <selection pane="bottomRight" activeCell="J22" sqref="J22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28</v>
      </c>
      <c r="E1" s="53"/>
      <c r="F1" s="53"/>
      <c r="G1" s="51" t="s">
        <v>29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14014</v>
      </c>
      <c r="D2" s="5">
        <f>SUM(D4:D79)</f>
        <v>13665.725</v>
      </c>
      <c r="E2" s="5">
        <f>C2-D2</f>
        <v>348.27499999999964</v>
      </c>
      <c r="F2" s="6">
        <f>IFERROR(E2/D2, 0)</f>
        <v>2.5485292584184128E-2</v>
      </c>
      <c r="G2" s="5">
        <f>SUM(G4:G79)</f>
        <v>0</v>
      </c>
      <c r="H2" s="7">
        <f>C2-G2</f>
        <v>14014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14014</v>
      </c>
      <c r="D4" s="12">
        <v>13665.725</v>
      </c>
      <c r="E4" s="12">
        <f>IF(AND(ISNUMBER(C4),ISNUMBER(D4)), C4-D4, "")</f>
        <v>348.27499999999964</v>
      </c>
      <c r="F4" s="13">
        <f>IFERROR(E4/D4, "")</f>
        <v>2.5485292584184128E-2</v>
      </c>
      <c r="G4" s="49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30</v>
      </c>
      <c r="K4" s="50" t="s">
        <v>31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7756" xr:uid="{587BDBFD-D3F3-4B5B-9C2A-E133FB0A787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32</v>
      </c>
      <c r="E1" s="53"/>
      <c r="F1" s="53"/>
      <c r="G1" s="51" t="s">
        <v>33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34</v>
      </c>
      <c r="E1" s="53"/>
      <c r="F1" s="53"/>
      <c r="G1" s="51" t="s">
        <v>35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36</v>
      </c>
      <c r="E1" s="53"/>
      <c r="F1" s="53"/>
      <c r="G1" s="51" t="s">
        <v>37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38</v>
      </c>
      <c r="E1" s="53"/>
      <c r="F1" s="53"/>
      <c r="G1" s="51" t="s">
        <v>39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40</v>
      </c>
      <c r="E1" s="53"/>
      <c r="F1" s="53"/>
      <c r="G1" s="51" t="s">
        <v>41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42</v>
      </c>
      <c r="E1" s="53"/>
      <c r="F1" s="53"/>
      <c r="G1" s="51" t="s">
        <v>43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44</v>
      </c>
      <c r="E1" s="53"/>
      <c r="F1" s="53"/>
      <c r="G1" s="51" t="s">
        <v>45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46</v>
      </c>
      <c r="E1" s="53"/>
      <c r="F1" s="53"/>
      <c r="G1" s="51" t="s">
        <v>47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F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Pearson Venture Investments LLC</v>
      </c>
      <c r="B1" s="52"/>
      <c r="C1" s="52"/>
      <c r="D1" s="53" t="s">
        <v>48</v>
      </c>
      <c r="E1" s="53"/>
      <c r="F1" s="53"/>
      <c r="G1" s="51" t="s">
        <v>49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45">
      <c r="A4" s="44" t="s">
        <v>55</v>
      </c>
      <c r="B4" t="s">
        <v>51</v>
      </c>
      <c r="C4" s="42" t="s">
        <v>56</v>
      </c>
      <c r="D4" s="41" t="s">
        <v>57</v>
      </c>
      <c r="E4" t="s">
        <v>58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FA1A4D37-34D9-45C0-84B7-1AB609D7B4E7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