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946E22D7-2BFF-4E00-B2E4-1C365ADCCC42}" xr6:coauthVersionLast="47" xr6:coauthVersionMax="47" xr10:uidLastSave="{46E6F47D-FCD1-448F-8779-EBEFC471695B}"/>
  <bookViews>
    <workbookView xWindow="2868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" l="1"/>
  <c r="F7" i="4"/>
  <c r="H5" i="34"/>
  <c r="H6" i="34"/>
  <c r="H9" i="34"/>
  <c r="G5" i="34"/>
  <c r="G6" i="34"/>
  <c r="G9" i="34"/>
  <c r="D5" i="34"/>
  <c r="E5" i="34" s="1"/>
  <c r="F5" i="34" s="1"/>
  <c r="D6" i="34"/>
  <c r="D7" i="34"/>
  <c r="D8" i="34"/>
  <c r="D9" i="34"/>
  <c r="C5" i="34"/>
  <c r="C6" i="34"/>
  <c r="C7" i="34"/>
  <c r="C8" i="34"/>
  <c r="C9" i="34"/>
  <c r="I5" i="1"/>
  <c r="I6" i="1"/>
  <c r="I9" i="1"/>
  <c r="H5" i="1"/>
  <c r="H6" i="1"/>
  <c r="H9" i="1"/>
  <c r="G5" i="1"/>
  <c r="G6" i="1"/>
  <c r="G7" i="1"/>
  <c r="G7" i="34" s="1"/>
  <c r="G8" i="1"/>
  <c r="G8" i="34" s="1"/>
  <c r="G9" i="1"/>
  <c r="E5" i="1"/>
  <c r="F5" i="1" s="1"/>
  <c r="E6" i="1"/>
  <c r="F6" i="1" s="1"/>
  <c r="E7" i="1"/>
  <c r="F7" i="1" s="1"/>
  <c r="E8" i="1"/>
  <c r="F8" i="1" s="1"/>
  <c r="E9" i="1"/>
  <c r="F9" i="1" s="1"/>
  <c r="D5" i="1"/>
  <c r="D6" i="1"/>
  <c r="D7" i="1"/>
  <c r="D8" i="1"/>
  <c r="D9" i="1"/>
  <c r="C5" i="1"/>
  <c r="C6" i="1"/>
  <c r="C7" i="1"/>
  <c r="C8" i="1"/>
  <c r="C9" i="1"/>
  <c r="H9" i="4"/>
  <c r="I9" i="4" s="1"/>
  <c r="I10" i="4"/>
  <c r="H5" i="4"/>
  <c r="I5" i="4" s="1"/>
  <c r="H6" i="4"/>
  <c r="I6" i="4" s="1"/>
  <c r="H7" i="4"/>
  <c r="H8" i="4"/>
  <c r="E5" i="4"/>
  <c r="F5" i="4" s="1"/>
  <c r="E6" i="4"/>
  <c r="F6" i="4" s="1"/>
  <c r="E7" i="4"/>
  <c r="E8" i="4"/>
  <c r="F8" i="4" s="1"/>
  <c r="E9" i="4"/>
  <c r="I5" i="3"/>
  <c r="I6" i="3"/>
  <c r="I7" i="3"/>
  <c r="I8" i="3"/>
  <c r="H5" i="3"/>
  <c r="H6" i="3"/>
  <c r="H7" i="3"/>
  <c r="H8" i="3"/>
  <c r="H9" i="3"/>
  <c r="I9" i="3" s="1"/>
  <c r="E5" i="3"/>
  <c r="F5" i="3" s="1"/>
  <c r="E6" i="3"/>
  <c r="F6" i="3" s="1"/>
  <c r="E7" i="3"/>
  <c r="F7" i="3" s="1"/>
  <c r="E8" i="3"/>
  <c r="F8" i="3" s="1"/>
  <c r="E9" i="3"/>
  <c r="F9" i="3" s="1"/>
  <c r="I5" i="72"/>
  <c r="I6" i="72"/>
  <c r="I8" i="72"/>
  <c r="H5" i="72"/>
  <c r="H6" i="72"/>
  <c r="H7" i="72"/>
  <c r="I7" i="72" s="1"/>
  <c r="H8" i="72"/>
  <c r="H9" i="72"/>
  <c r="I9" i="72" s="1"/>
  <c r="F8" i="72"/>
  <c r="F9" i="72"/>
  <c r="F5" i="72"/>
  <c r="F6" i="72"/>
  <c r="E6" i="72"/>
  <c r="E7" i="72"/>
  <c r="F7" i="72" s="1"/>
  <c r="E8" i="72"/>
  <c r="E9" i="72"/>
  <c r="E5" i="72"/>
  <c r="G4" i="30"/>
  <c r="G4" i="29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9" i="34" l="1"/>
  <c r="F9" i="34" s="1"/>
  <c r="E8" i="34"/>
  <c r="F8" i="34" s="1"/>
  <c r="E7" i="34"/>
  <c r="F7" i="34" s="1"/>
  <c r="I9" i="34"/>
  <c r="E6" i="34"/>
  <c r="F6" i="34" s="1"/>
  <c r="I6" i="34"/>
  <c r="I5" i="34"/>
  <c r="I8" i="4"/>
  <c r="H8" i="1"/>
  <c r="I7" i="4"/>
  <c r="H7" i="1"/>
  <c r="G4" i="34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7" i="34" l="1"/>
  <c r="I7" i="34" s="1"/>
  <c r="I7" i="1"/>
  <c r="H8" i="34"/>
  <c r="I8" i="34" s="1"/>
  <c r="I8" i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<sst xmlns="http://schemas.openxmlformats.org/spreadsheetml/2006/main" count="319" uniqueCount="117">
  <si>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</si>
  <si>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</si>
  <si>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</si>
  <si>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</si>
  <si>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</si>
  <si>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</si>
  <si>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</si>
  <si>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</si>
  <si>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</si>
  <si>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</si>
  <si>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</si>
  <si>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</si>
  <si>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</si>
  <si>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</si>
  <si>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</si>
  <si>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</si>
  <si>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</si>
  <si>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</si>
  <si>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</si>
  <si>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</si>
  <si>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</si>
  <si>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</si>
  <si>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1.Inverter 128 was not communicating since 12/07/24. Communications card has been RMA'd and will be replaced during a combined dispatch.
2. Low generation due to rain/snow.</t>
  </si>
  <si>
    <t>1.SR096051</t>
  </si>
  <si>
    <t>1. Site stopped communicating at 1:25AM on 01/29 and on 03/31 technician powercycled the DAS comms were restored.
2. Low generation due to rain/snow.</t>
  </si>
  <si>
    <t xml:space="preserve">1. SR096103
</t>
  </si>
  <si>
    <t>1. Low generation due to weather/snow.</t>
  </si>
  <si>
    <t>1. Site lost communication on 01/10 and comms were back on  01/16 after technician powercycled DAS.
2. Low generation due to rain/snow.</t>
  </si>
  <si>
    <t>1. SR095421</t>
  </si>
  <si>
    <t>February Actual v. Expected</t>
  </si>
  <si>
    <t>February Actual v. Forecasted</t>
  </si>
  <si>
    <t>1.Inverter 128 was not communicating since 12/07/24. Communications card has been RMA'd and will be replaced during a combined dispatch.
2.Inverter 84 was not communicating from 02/02, after tehnician powercycled inverter regained communication on 02/24 at 11:00AM.</t>
  </si>
  <si>
    <t>1.SR096051,SR097794
2.SR097657</t>
  </si>
  <si>
    <t>SR097794</t>
  </si>
  <si>
    <t>SR097657</t>
  </si>
  <si>
    <t>1. Site stopped communicating on 02/10 and power factors able to troubleshoot the issue and comms were restored on 02/.12.
2. Site tripped offline at 11:20AM on 02/17 and technician re-energized the site and it is back online on 02/18.</t>
  </si>
  <si>
    <t>1. SR096287
2. SR097195</t>
  </si>
  <si>
    <t>SR097195</t>
  </si>
  <si>
    <t>1. Inverter 13 was not communicating from 07/30/24, based on meter inverter was offline. The inverter was RMA'd by QE solar on 02/26.
2. Site tripped offline at 11:00AM ON 02/17. On 02/18 technician closed the recloser and site was back online at 8:50AM.
3. Site stopped communicating at 9:30PM on 02/25 and comms were restored on 02/26 after DAS powercycled.
4. Low generation due to weather/snow.</t>
  </si>
  <si>
    <t>1. SR096880
2. SR097194
3. SR097744</t>
  </si>
  <si>
    <t>SR097194</t>
  </si>
  <si>
    <t>SR097744</t>
  </si>
  <si>
    <t>1. Site stopped communicating on 02/01 and comms were restored on 02/04 after DAS powercycled.
2.  Site stopped communicating at 6:30PM on 02/25 and comms were restored on 02/26 after DAS powercycled.</t>
  </si>
  <si>
    <t>1. SR096242
2. SR097809</t>
  </si>
  <si>
    <t>SR097809</t>
  </si>
  <si>
    <t>1. Site stopped commnicating at 11:25AM on 02/14. On 02/18 technician found recloser open position and closed back. The site back online on the same day.
2. Site stopped communicating at 1:20PM on 02/23. Valuses are struck for inverters 1 to 7. Site comms restored on 02/25 but inverter 5 remains offline. On 02/26 technician investigated the issue and inverter was being RMA'd. 
3. Low generation due to weather/snow.</t>
  </si>
  <si>
    <t>1. SR097148
2. SR097662</t>
  </si>
  <si>
    <t>SR097662</t>
  </si>
  <si>
    <t xml:space="preserve"> 1. Inverters 1 to 28 stopped communication at 07:00AM on 02/03, production can be verified at meter level. Communications were self resolved on 02/07
2. On 02/16, Phase A voltage dropped to 0V while current held steady at ~40A, indicating the meter wasn't capturing full inverter output. On 02/18, the technician found the recloser tripped and restored it, bringing Phase A voltage and current back to normal by 8:10 AM.
3. Inverter 7 tripped offline at 3:35PM on 02/14 and inverter 5 tripped offline at 1:55PM on 02/15.  On 02/18 technician cleared faults for both inverters, inverter 7 back online at 9:45AM but inverter 5 remains offline. On 02/21 techncian reset the inverter 5 and it is back online at 2:10PM on the sameday.
4. Inverter 5 tripped offline at 4:40PM on 02/21. On 02/24 technician found inverter reporting arc fault and he isolated the string 4 and inverter back online at 8:50AM on the same day.
5. Inverter 7 tripped offline at 9:40AM on 02/25. On 02/26 technician troubleshooted and cleared the fault, inverter back online at 3:40PM on the sameday.
6. Inverter 44 tripped offline at 14:40 due to "PF 100 production down" on 02/26. On 02/28 technician reset the inverter and it is back online at 2:00PM.
7. Low generation due to weather/snow.</t>
  </si>
  <si>
    <t>1. SR096270
2. SR097154
3. SR097154, SR097155, SR097338
4. SR097338, SR097654
5. SR097807
6. SR097851</t>
  </si>
  <si>
    <t>SR097154</t>
  </si>
  <si>
    <t>SR097155</t>
  </si>
  <si>
    <t>SR097338</t>
  </si>
  <si>
    <t>SR097654</t>
  </si>
  <si>
    <t>SR097807</t>
  </si>
  <si>
    <t>SR097851</t>
  </si>
  <si>
    <t>March Actual v. Expected</t>
  </si>
  <si>
    <t>March Actual v. Forecasted</t>
  </si>
  <si>
    <t>1. Inverter 128 was not communicating since 12/07/24. Communications card has been RMA'd and will be replaced during a combined dispatch.
2. Site had brief outage in between 12:20PM to 12:25PM. But inverters 1 to 4, 42 and 104 was not came back online. Inverters self resolved and started for production on 03/08.
3. Inverters 1 to 55 stopped communicating at 12:45 on 03/14, production not confirmed. On 03/18 technician powercyled DAS and comms were restored.</t>
  </si>
  <si>
    <t>1. SR096051,SR097794, SR099300
2. SR098265
3. SR098601</t>
  </si>
  <si>
    <t>SR099300</t>
  </si>
  <si>
    <t>SR098265</t>
  </si>
  <si>
    <t>SR098601</t>
  </si>
  <si>
    <t>1. Site was offline on 03/06 and later technician found SEL in open position and closed it. The site was back online at 1:35PM on the sameday.</t>
  </si>
  <si>
    <t>1. SR098211</t>
  </si>
  <si>
    <t>1. Inverter 13 was not communicating from 07/30/24, based on meter inverter was offline. The inverter was RMA'd by QE solar on 02/26.
2.  Site was offline on 03/06 and later technician found SEL in open position and closed it. The site was back online at 12:25PM on the sameday.
3. Site lost communication on 03/18 and technician teoubleshooted the issue but comms issue persit. On 03/19 the site comms were back at 9:15AM.</t>
  </si>
  <si>
    <t>1. SR096880 
2. SR098203
3. SR098685</t>
  </si>
  <si>
    <t>SR098203</t>
  </si>
  <si>
    <t>SR098685</t>
  </si>
  <si>
    <t>1. Inverter 1 is not communicating since 03/01. On 03/06 technician investigated but issue persist. Solectria has recommended replacing the powerhead to regain communication.</t>
  </si>
  <si>
    <t>1. SR098182</t>
  </si>
  <si>
    <t>1. Inverter 5 was being RMA'd since 02/26. On 03/26 technician replaced inverter 5 and it is back online and producing.
2. Inverter 14 was underproducing by 5kW compared to its peers. Will investigate next time onsite.
3. Inverter 24 tripped offline at 7:30AM on 03/13. On 03/14 technician investigated and found inverter was faulted with protect 90 and it was being RMA'd by solectria.
4. Inverters and meter stopped communicating from 5:00PM on 03/14. On 03/16 technician found site was online but no communication. On 03/26 technician worked with powerfactors and communications were regained.</t>
  </si>
  <si>
    <t>1. SR097843
2. SR098468
3. SR098503
4. SR098604</t>
  </si>
  <si>
    <t>SR098468</t>
  </si>
  <si>
    <t>SR098503</t>
  </si>
  <si>
    <t>SR098604</t>
  </si>
  <si>
    <t>1. Inverters 25 and 38 tripped offline at 8:05 reporting "PF100-production down" on 03/06 and self resolved and started for production on 03/07.
2. Inverter 44 didn't started for production on 03/12. On 03/14 technician re-energized and inverter was back online on the sameday.
3. Site stopped communicating at 6:30PM on 03/16. On 03/18 tech powercycled DAS and communications were restored.</t>
  </si>
  <si>
    <t>1. SR098230
2. SR098492
3. SR099148</t>
  </si>
  <si>
    <t>SR098492</t>
  </si>
  <si>
    <t>SR099148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</si>
  <si>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</si>
  <si>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</si>
  <si>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</si>
  <si>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</si>
  <si>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</si>
  <si>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</si>
  <si>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</si>
  <si>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</si>
  <si>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</si>
  <si>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</si>
  <si>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</si>
  <si>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</si>
  <si>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</si>
  <si>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</si>
  <si>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</si>
  <si>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</si>
  <si>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</si>
  <si>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</si>
  <si>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</si>
  <si>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Bradford - 256 Presidential Dr</t>
  </si>
  <si>
    <t>Site DAS Name</t>
  </si>
  <si>
    <t>Update</t>
  </si>
  <si>
    <t>DAS</t>
  </si>
  <si>
    <t>006 - Bradford O&amp;M</t>
  </si>
  <si>
    <t>MA</t>
  </si>
  <si>
    <t>AF</t>
  </si>
  <si>
    <t>PF Drive</t>
  </si>
  <si>
    <t>007 - Bus Lot O&amp;M</t>
  </si>
  <si>
    <t>Charlton – 111 Brookfield Road - Bus Lot</t>
  </si>
  <si>
    <t>010 - Kmard O&amp;M</t>
  </si>
  <si>
    <t>Charlton – 154 Center Depot Road KMARD</t>
  </si>
  <si>
    <t>011 - Mitchell O&amp;M</t>
  </si>
  <si>
    <t>Charlton – 142A Brookfield Rd (Mitchell)</t>
  </si>
  <si>
    <t>012 - Nolan O&amp;M</t>
  </si>
  <si>
    <t>Great Barrington – 3 Nolan  Drive</t>
  </si>
  <si>
    <t>014 - Truck Stop O&amp;M</t>
  </si>
  <si>
    <t>Stockbridge – 92 State Line Road Truck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</si>
</sst>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scheme val="minor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7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35" fillId="40" borderId="0" xfId="0" applyFont="1" applyFill="1" applyAlignment="1">
      <alignment horizontal="center" vertical="center"/>
    </xf>
    <xf numFmtId="0" fontId="23" fillId="0" borderId="0" xfId="43" applyFont="1"/>
    <xf numFmtId="0" fontId="23" fillId="0" borderId="0" xfId="43" applyFont="1" applyAlignment="1">
      <alignment horizontal="left" wrapText="1"/>
    </xf>
    <xf numFmtId="0" fontId="31" fillId="0" borderId="0" xfId="0" applyFont="1" applyAlignment="1">
      <alignment horizontal="center" vertical="center"/>
    </xf>
    <xf numFmtId="3" fontId="31" fillId="0" borderId="0" xfId="0" applyNumberFormat="1" applyFont="1" applyAlignment="1">
      <alignment vertical="center"/>
    </xf>
    <xf numFmtId="3" fontId="36" fillId="0" borderId="0" xfId="0" applyNumberFormat="1" applyFont="1" applyAlignment="1">
      <alignment vertical="center"/>
    </xf>
    <xf numFmtId="49" fontId="37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37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49" fontId="31" fillId="38" borderId="0" xfId="2" applyNumberFormat="1" applyFont="1" applyFill="1" applyAlignment="1">
      <alignment vertical="top" wrapText="1"/>
    </xf>
    <xf numFmtId="9" fontId="31" fillId="46" borderId="0" xfId="2" applyFont="1" applyFill="1" applyAlignment="1">
      <alignment horizontal="center" vertical="center"/>
    </xf>
    <xf numFmtId="9" fontId="31" fillId="46" borderId="0" xfId="2" applyFont="1" applyFill="1" applyBorder="1" applyAlignment="1">
      <alignment horizontal="center" vertical="center"/>
    </xf>
    <xf numFmtId="0" fontId="35" fillId="40" borderId="0" xfId="0" applyFont="1" applyFill="1" applyAlignment="1">
      <alignment horizontal="left" vertical="center"/>
    </xf>
    <xf numFmtId="49" fontId="38" fillId="0" borderId="0" xfId="45" applyNumberFormat="1" applyAlignment="1">
      <alignment horizontal="left" vertical="top" wrapText="1"/>
    </xf>
    <xf numFmtId="49" fontId="38" fillId="38" borderId="0" xfId="45" applyNumberFormat="1" applyFill="1" applyBorder="1" applyAlignment="1">
      <alignment vertical="top" wrapText="1"/>
    </xf>
    <xf numFmtId="0" fontId="38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49" fontId="38" fillId="38" borderId="0" xfId="45" applyNumberFormat="1" applyFill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left" vertical="top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" totalsRowShown="0">
  <autoFilter ref="A3:E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744" TargetMode="External"/><Relationship Id="rId13" Type="http://schemas.openxmlformats.org/officeDocument/2006/relationships/hyperlink" Target="https://us3.assetplanner.com/service_request?ID=096270" TargetMode="External"/><Relationship Id="rId18" Type="http://schemas.openxmlformats.org/officeDocument/2006/relationships/hyperlink" Target="https://us3.assetplanner.com/service_request?ID=097338" TargetMode="External"/><Relationship Id="rId3" Type="http://schemas.openxmlformats.org/officeDocument/2006/relationships/hyperlink" Target="https://us3.assetplanner.com/service_request?ID=097657" TargetMode="External"/><Relationship Id="rId21" Type="http://schemas.openxmlformats.org/officeDocument/2006/relationships/hyperlink" Target="https://us3.assetplanner.com/service_request?ID=097851" TargetMode="External"/><Relationship Id="rId7" Type="http://schemas.openxmlformats.org/officeDocument/2006/relationships/hyperlink" Target="https://us3.assetplanner.com/service_request?ID=097194" TargetMode="External"/><Relationship Id="rId12" Type="http://schemas.openxmlformats.org/officeDocument/2006/relationships/hyperlink" Target="https://us3.assetplanner.com/service_request?ID=097662" TargetMode="External"/><Relationship Id="rId17" Type="http://schemas.openxmlformats.org/officeDocument/2006/relationships/hyperlink" Target="https://us3.assetplanner.com/service_request?ID=097338" TargetMode="External"/><Relationship Id="rId2" Type="http://schemas.openxmlformats.org/officeDocument/2006/relationships/hyperlink" Target="https://us3.assetplanner.com/service_request?ID=097794" TargetMode="External"/><Relationship Id="rId16" Type="http://schemas.openxmlformats.org/officeDocument/2006/relationships/hyperlink" Target="https://us3.assetplanner.com/service_request?ID=097155" TargetMode="External"/><Relationship Id="rId20" Type="http://schemas.openxmlformats.org/officeDocument/2006/relationships/hyperlink" Target="https://us3.assetplanner.com/service_request?ID=097807" TargetMode="External"/><Relationship Id="rId1" Type="http://schemas.openxmlformats.org/officeDocument/2006/relationships/hyperlink" Target="https://us3.assetplanner.com/service_request?ID=096051" TargetMode="External"/><Relationship Id="rId6" Type="http://schemas.openxmlformats.org/officeDocument/2006/relationships/hyperlink" Target="https://us3.assetplanner.com/service_request?ID=096880" TargetMode="External"/><Relationship Id="rId11" Type="http://schemas.openxmlformats.org/officeDocument/2006/relationships/hyperlink" Target="https://us3.assetplanner.com/service_request?ID=097148" TargetMode="External"/><Relationship Id="rId5" Type="http://schemas.openxmlformats.org/officeDocument/2006/relationships/hyperlink" Target="https://us3.assetplanner.com/service_request?ID=097195" TargetMode="External"/><Relationship Id="rId15" Type="http://schemas.openxmlformats.org/officeDocument/2006/relationships/hyperlink" Target="https://us3.assetplanner.com/service_request?ID=097154" TargetMode="External"/><Relationship Id="rId10" Type="http://schemas.openxmlformats.org/officeDocument/2006/relationships/hyperlink" Target="https://us3.assetplanner.com/service_request?ID=097809" TargetMode="External"/><Relationship Id="rId19" Type="http://schemas.openxmlformats.org/officeDocument/2006/relationships/hyperlink" Target="https://us3.assetplanner.com/service_request?ID=097654" TargetMode="External"/><Relationship Id="rId4" Type="http://schemas.openxmlformats.org/officeDocument/2006/relationships/hyperlink" Target="https://us3.assetplanner.com/service_request?ID=096287" TargetMode="External"/><Relationship Id="rId9" Type="http://schemas.openxmlformats.org/officeDocument/2006/relationships/hyperlink" Target="https://us3.assetplanner.com/service_request?ID=096242" TargetMode="External"/><Relationship Id="rId14" Type="http://schemas.openxmlformats.org/officeDocument/2006/relationships/hyperlink" Target="https://us3.assetplanner.com/service_request?ID=097154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203" TargetMode="External"/><Relationship Id="rId13" Type="http://schemas.openxmlformats.org/officeDocument/2006/relationships/hyperlink" Target="https://us3.assetplanner.com/service_request?ID=098503" TargetMode="External"/><Relationship Id="rId3" Type="http://schemas.openxmlformats.org/officeDocument/2006/relationships/hyperlink" Target="https://us3.assetplanner.com/service_request?ID=099300" TargetMode="External"/><Relationship Id="rId7" Type="http://schemas.openxmlformats.org/officeDocument/2006/relationships/hyperlink" Target="https://us3.assetplanner.com/service_request?ID=096880" TargetMode="External"/><Relationship Id="rId12" Type="http://schemas.openxmlformats.org/officeDocument/2006/relationships/hyperlink" Target="https://us3.assetplanner.com/service_request?ID=098468" TargetMode="External"/><Relationship Id="rId17" Type="http://schemas.openxmlformats.org/officeDocument/2006/relationships/hyperlink" Target="https://us3.assetplanner.com/service_request?ID=099148" TargetMode="External"/><Relationship Id="rId2" Type="http://schemas.openxmlformats.org/officeDocument/2006/relationships/hyperlink" Target="https://us3.assetplanner.com/service_request?ID=097794" TargetMode="External"/><Relationship Id="rId16" Type="http://schemas.openxmlformats.org/officeDocument/2006/relationships/hyperlink" Target="https://us3.assetplanner.com/service_request?ID=098492" TargetMode="External"/><Relationship Id="rId1" Type="http://schemas.openxmlformats.org/officeDocument/2006/relationships/hyperlink" Target="https://us3.assetplanner.com/service_request?ID=096051" TargetMode="External"/><Relationship Id="rId6" Type="http://schemas.openxmlformats.org/officeDocument/2006/relationships/hyperlink" Target="https://us3.assetplanner.com/service_request?ID=098211" TargetMode="External"/><Relationship Id="rId11" Type="http://schemas.openxmlformats.org/officeDocument/2006/relationships/hyperlink" Target="https://us3.assetplanner.com/service_request?ID=097843" TargetMode="External"/><Relationship Id="rId5" Type="http://schemas.openxmlformats.org/officeDocument/2006/relationships/hyperlink" Target="https://us3.assetplanner.com/service_request?ID=098601" TargetMode="External"/><Relationship Id="rId15" Type="http://schemas.openxmlformats.org/officeDocument/2006/relationships/hyperlink" Target="https://us3.assetplanner.com/service_request?ID=098230" TargetMode="External"/><Relationship Id="rId10" Type="http://schemas.openxmlformats.org/officeDocument/2006/relationships/hyperlink" Target="https://us3.assetplanner.com/service_request?ID=098182" TargetMode="External"/><Relationship Id="rId4" Type="http://schemas.openxmlformats.org/officeDocument/2006/relationships/hyperlink" Target="https://us3.assetplanner.com/service_request?ID=098265" TargetMode="External"/><Relationship Id="rId9" Type="http://schemas.openxmlformats.org/officeDocument/2006/relationships/hyperlink" Target="https://us3.assetplanner.com/service_request?ID=098685" TargetMode="External"/><Relationship Id="rId14" Type="http://schemas.openxmlformats.org/officeDocument/2006/relationships/hyperlink" Target="https://us3.assetplanner.com/service_request?ID=09860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E14" sqref="E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Bradford - 256 Presidential Dr</v>
      </c>
      <c r="B1" s="67"/>
      <c r="C1" s="67"/>
      <c r="D1" s="68" t="s">
        <v>0</v>
      </c>
      <c r="E1" s="68"/>
      <c r="F1" s="68"/>
      <c r="G1" s="66" t="s">
        <v>1</v>
      </c>
      <c r="H1" s="66"/>
      <c r="I1" s="66"/>
    </row>
    <row r="2" spans="1:9" ht="19.5" customHeight="1">
      <c r="A2" s="69" t="s">
        <v>2</v>
      </c>
      <c r="B2" s="69"/>
      <c r="C2" s="5">
        <f>SUM(C4:C79)</f>
        <v>2396974.0852999999</v>
      </c>
      <c r="D2" s="5">
        <f>SUM(D4:D79)</f>
        <v>2914715.6817099997</v>
      </c>
      <c r="E2" s="5">
        <f>C2-D2</f>
        <v>-517741.59640999977</v>
      </c>
      <c r="F2" s="6">
        <f>IFERROR(E2/D2, 0)</f>
        <v>-0.17763022296097578</v>
      </c>
      <c r="G2" s="5">
        <f>SUM(G4:G79)</f>
        <v>3365033.63</v>
      </c>
      <c r="H2" s="7">
        <f>C2-G2</f>
        <v>-968059.54469999997</v>
      </c>
      <c r="I2" s="6">
        <f>IFERROR(H2/G2, 0)</f>
        <v>-0.28768198215600005</v>
      </c>
    </row>
    <row r="3" spans="1:9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</row>
    <row r="4" spans="1:9" ht="15.6">
      <c r="A4" s="45" t="str" cm="1">
        <f t="array" ref="A4:A9">Sites[Site]</f>
        <v>Bradford - 256 Presidential Dr</v>
      </c>
      <c r="B4" s="26" t="str" cm="1">
        <f t="array" ref="B4:B9">Sites[State]</f>
        <v>MA</v>
      </c>
      <c r="C4" s="22">
        <f>SUM('1st Qtr'!C4, '2nd Qtr'!C4, '3rd Qtr'!C4, '4th Qtr'!C4)</f>
        <v>1294062.5885999999</v>
      </c>
      <c r="D4" s="11">
        <f>SUM('1st Qtr'!D4, '2nd Qtr'!D4, '3rd Qtr'!D4, '4th Qtr'!D4)</f>
        <v>1382229.2394999999</v>
      </c>
      <c r="E4" s="11">
        <f>IF(AND(ISNUMBER(C4),ISNUMBER(D4)), C4-D4, "")</f>
        <v>-88166.650900000008</v>
      </c>
      <c r="F4" s="12">
        <f>IFERROR(E4/D4, "")</f>
        <v>-6.3785838398189965E-2</v>
      </c>
      <c r="G4" s="13">
        <f>SUM('1st Qtr'!G4, '2nd Qtr'!G4, '3rd Qtr'!G4, '4th Qtr'!G4)</f>
        <v>1600941.7000000002</v>
      </c>
      <c r="H4" s="13">
        <f>SUM('1st Qtr'!H4, '2nd Qtr'!H4, '3rd Qtr'!H4, '4th Qtr'!H4)</f>
        <v>-306879.11140000005</v>
      </c>
      <c r="I4" s="14">
        <f>IFERROR(H4/G4, "")</f>
        <v>-0.19168662506573475</v>
      </c>
    </row>
    <row r="5" spans="1:9" ht="14.45">
      <c r="A5" s="49" t="str">
        <v>Charlton – 111 Brookfield Road - Bus Lot</v>
      </c>
      <c r="B5" s="48" t="str">
        <v>MA</v>
      </c>
      <c r="C5" s="49">
        <f>SUM('1st Qtr'!C5, '2nd Qtr'!C5, '3rd Qtr'!C5, '4th Qtr'!C5)</f>
        <v>145538</v>
      </c>
      <c r="D5" s="49">
        <f>SUM('1st Qtr'!D5, '2nd Qtr'!D5, '3rd Qtr'!D5, '4th Qtr'!D5)</f>
        <v>128503.00059000001</v>
      </c>
      <c r="E5" s="49">
        <f t="shared" ref="E5:E9" si="0">IF(AND(ISNUMBER(C5),ISNUMBER(D5)), C5-D5, "")</f>
        <v>17034.999409999989</v>
      </c>
      <c r="F5" s="12">
        <f t="shared" ref="F5:F9" si="1">IFERROR(E5/D5, "")</f>
        <v>0.13256499328254315</v>
      </c>
      <c r="G5" s="49">
        <f>SUM('1st Qtr'!G5, '2nd Qtr'!G5, '3rd Qtr'!G5, '4th Qtr'!G5)</f>
        <v>198897.66</v>
      </c>
      <c r="H5" s="49">
        <f>SUM('1st Qtr'!H5, '2nd Qtr'!H5, '3rd Qtr'!H5, '4th Qtr'!H5)</f>
        <v>-53359.66</v>
      </c>
      <c r="I5" s="14">
        <f t="shared" ref="I5:I9" si="2">IFERROR(H5/G5, "")</f>
        <v>-0.26827696213218399</v>
      </c>
    </row>
    <row r="6" spans="1:9" ht="15.6">
      <c r="A6" s="45" t="str">
        <v>Charlton – 154 Center Depot Road KMARD</v>
      </c>
      <c r="B6" s="26" t="str">
        <v>MA</v>
      </c>
      <c r="C6" s="22">
        <f>SUM('1st Qtr'!C6, '2nd Qtr'!C6, '3rd Qtr'!C6, '4th Qtr'!C6)</f>
        <v>106050</v>
      </c>
      <c r="D6" s="11">
        <f>SUM('1st Qtr'!D6, '2nd Qtr'!D6, '3rd Qtr'!D6, '4th Qtr'!D6)</f>
        <v>176881.39519000001</v>
      </c>
      <c r="E6" s="11">
        <f t="shared" si="0"/>
        <v>-70831.39519000001</v>
      </c>
      <c r="F6" s="12">
        <f t="shared" si="1"/>
        <v>-0.40044570608409846</v>
      </c>
      <c r="G6" s="13">
        <f>SUM('1st Qtr'!G6, '2nd Qtr'!G6, '3rd Qtr'!G6, '4th Qtr'!G6)</f>
        <v>192235.62</v>
      </c>
      <c r="H6" s="13">
        <f>SUM('1st Qtr'!H6, '2nd Qtr'!H6, '3rd Qtr'!H6, '4th Qtr'!H6)</f>
        <v>-86185.62</v>
      </c>
      <c r="I6" s="14">
        <f t="shared" si="2"/>
        <v>-0.44833324854155537</v>
      </c>
    </row>
    <row r="7" spans="1:9" ht="14.45">
      <c r="A7" s="49" t="str">
        <v>Charlton – 142A Brookfield Rd (Mitchell)</v>
      </c>
      <c r="B7" s="48" t="str">
        <v>MA</v>
      </c>
      <c r="C7" s="49">
        <f>SUM('1st Qtr'!C7, '2nd Qtr'!C7, '3rd Qtr'!C7, '4th Qtr'!C7)</f>
        <v>139150</v>
      </c>
      <c r="D7" s="49">
        <f>SUM('1st Qtr'!D7, '2nd Qtr'!D7, '3rd Qtr'!D7, '4th Qtr'!D7)</f>
        <v>187579.45853</v>
      </c>
      <c r="E7" s="49">
        <f t="shared" si="0"/>
        <v>-48429.458530000004</v>
      </c>
      <c r="F7" s="12">
        <f t="shared" si="1"/>
        <v>-0.25818103383774599</v>
      </c>
      <c r="G7" s="49">
        <f>SUM('1st Qtr'!G7, '2nd Qtr'!G7, '3rd Qtr'!G7, '4th Qtr'!G7)</f>
        <v>200399.94</v>
      </c>
      <c r="H7" s="49">
        <f>SUM('1st Qtr'!H7, '2nd Qtr'!H7, '3rd Qtr'!H7, '4th Qtr'!H7)</f>
        <v>-61249.94</v>
      </c>
      <c r="I7" s="14">
        <f t="shared" si="2"/>
        <v>-0.30563851466222997</v>
      </c>
    </row>
    <row r="8" spans="1:9" ht="15.6">
      <c r="A8" s="45" t="str">
        <v>Great Barrington – 3 Nolan  Drive</v>
      </c>
      <c r="B8" s="26" t="str">
        <v>MA</v>
      </c>
      <c r="C8" s="22">
        <f>SUM('1st Qtr'!C8, '2nd Qtr'!C8, '3rd Qtr'!C8, '4th Qtr'!C8)</f>
        <v>250735.49669999999</v>
      </c>
      <c r="D8" s="11">
        <f>SUM('1st Qtr'!D8, '2nd Qtr'!D8, '3rd Qtr'!D8, '4th Qtr'!D8)</f>
        <v>358533.53879999998</v>
      </c>
      <c r="E8" s="11">
        <f t="shared" si="0"/>
        <v>-107798.04209999999</v>
      </c>
      <c r="F8" s="12">
        <f t="shared" si="1"/>
        <v>-0.30066376066461314</v>
      </c>
      <c r="G8" s="13">
        <f>SUM('1st Qtr'!G8, '2nd Qtr'!G8, '3rd Qtr'!G8, '4th Qtr'!G8)</f>
        <v>397534.64</v>
      </c>
      <c r="H8" s="13">
        <f>SUM('1st Qtr'!H8, '2nd Qtr'!H8, '3rd Qtr'!H8, '4th Qtr'!H8)</f>
        <v>-146799.14330000003</v>
      </c>
      <c r="I8" s="14">
        <f t="shared" si="2"/>
        <v>-0.36927384063939689</v>
      </c>
    </row>
    <row r="9" spans="1:9" ht="14.45">
      <c r="A9" s="49" t="str">
        <v>Stockbridge – 92 State Line Road Truck Stop</v>
      </c>
      <c r="B9" s="48" t="str">
        <v>MA</v>
      </c>
      <c r="C9" s="49">
        <f>SUM('1st Qtr'!C9, '2nd Qtr'!C9, '3rd Qtr'!C9, '4th Qtr'!C9)</f>
        <v>461438</v>
      </c>
      <c r="D9" s="49">
        <f>SUM('1st Qtr'!D9, '2nd Qtr'!D9, '3rd Qtr'!D9, '4th Qtr'!D9)</f>
        <v>680989.04909999995</v>
      </c>
      <c r="E9" s="49">
        <f t="shared" si="0"/>
        <v>-219551.04909999995</v>
      </c>
      <c r="F9" s="12">
        <f t="shared" si="1"/>
        <v>-0.32240026383707665</v>
      </c>
      <c r="G9" s="49">
        <f>SUM('1st Qtr'!G9, '2nd Qtr'!G9, '3rd Qtr'!G9, '4th Qtr'!G9)</f>
        <v>775024.07000000007</v>
      </c>
      <c r="H9" s="49">
        <f>SUM('1st Qtr'!H9, '2nd Qtr'!H9, '3rd Qtr'!H9, '4th Qtr'!H9)</f>
        <v>-313586.07</v>
      </c>
      <c r="I9" s="14">
        <f t="shared" si="2"/>
        <v>-0.40461462054978498</v>
      </c>
    </row>
    <row r="10" spans="1:9" ht="13.9">
      <c r="A10" s="19"/>
      <c r="B10" s="19"/>
      <c r="C10" s="19"/>
      <c r="D10" s="19"/>
      <c r="E10" s="19"/>
      <c r="F10" s="19"/>
      <c r="G10" s="19"/>
      <c r="H10" s="19"/>
      <c r="I10" s="19"/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56" priority="3" stopIfTrue="1" operator="lessThanOrEqual">
      <formula>-0.1</formula>
    </cfRule>
    <cfRule type="expression" dxfId="55" priority="4">
      <formula>AND(ISNUMBER(F2), F2&gt;=0.1)</formula>
    </cfRule>
  </conditionalFormatting>
  <conditionalFormatting sqref="F4:F79 I4:I79">
    <cfRule type="cellIs" dxfId="54" priority="1" stopIfTrue="1" operator="lessThanOrEqual">
      <formula>-0.1</formula>
    </cfRule>
    <cfRule type="expression" dxfId="53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H9" sqref="H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Bradford - 256 Presidential Dr</v>
      </c>
      <c r="B1" s="67"/>
      <c r="C1" s="67"/>
      <c r="D1" s="68" t="s">
        <v>10</v>
      </c>
      <c r="E1" s="68"/>
      <c r="F1" s="68"/>
      <c r="G1" s="66" t="s">
        <v>11</v>
      </c>
      <c r="H1" s="66"/>
      <c r="I1" s="66"/>
    </row>
    <row r="2" spans="1:9" ht="19.5" customHeight="1">
      <c r="A2" s="69" t="s">
        <v>2</v>
      </c>
      <c r="B2" s="69"/>
      <c r="C2" s="5">
        <f>SUM(C4:C79)</f>
        <v>2396974.0852999999</v>
      </c>
      <c r="D2" s="5">
        <f>SUM(D4:D79)</f>
        <v>2914715.6817099997</v>
      </c>
      <c r="E2" s="5">
        <f>C2-D2</f>
        <v>-517741.59640999977</v>
      </c>
      <c r="F2" s="6">
        <f>IFERROR(E2/D2, 0)</f>
        <v>-0.17763022296097578</v>
      </c>
      <c r="G2" s="5">
        <f>SUM(G4:G79)</f>
        <v>3365033.63</v>
      </c>
      <c r="H2" s="7">
        <f>C2-G2</f>
        <v>-968059.54469999997</v>
      </c>
      <c r="I2" s="6">
        <f>IFERROR(H2/G2, 0)</f>
        <v>-0.28768198215600005</v>
      </c>
    </row>
    <row r="3" spans="1:9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</row>
    <row r="4" spans="1:9" ht="15.6">
      <c r="A4" s="45" t="str" cm="1">
        <f t="array" ref="A4:A9">Sites[Site]</f>
        <v>Bradford - 256 Presidential Dr</v>
      </c>
      <c r="B4" s="26" t="str" cm="1">
        <f t="array" ref="B4:B9">Sites[State]</f>
        <v>MA</v>
      </c>
      <c r="C4" s="22">
        <f>SUM(Jan!C4, Feb!C4, Mar!C4)</f>
        <v>1294062.5885999999</v>
      </c>
      <c r="D4" s="11">
        <f>SUM(Jan!D4, Feb!D4, Mar!D4)</f>
        <v>1382229.2394999999</v>
      </c>
      <c r="E4" s="11">
        <f>IF(AND(ISNUMBER(C4),ISNUMBER(D4)), C4-D4, "")</f>
        <v>-88166.650900000008</v>
      </c>
      <c r="F4" s="12">
        <f>IFERROR(E4/D4, "")</f>
        <v>-6.3785838398189965E-2</v>
      </c>
      <c r="G4" s="13">
        <f>SUM(Jan!G4, Feb!G4, Mar!G4)</f>
        <v>1600941.7000000002</v>
      </c>
      <c r="H4" s="13">
        <f>SUM(Jan!H4, Feb!H4, Mar!H4)</f>
        <v>-306879.11140000005</v>
      </c>
      <c r="I4" s="14">
        <f>IFERROR(H4/G4, "")</f>
        <v>-0.19168662506573475</v>
      </c>
    </row>
    <row r="5" spans="1:9" ht="14.45">
      <c r="A5" s="49" t="str">
        <v>Charlton – 111 Brookfield Road - Bus Lot</v>
      </c>
      <c r="B5" s="48" t="str">
        <v>MA</v>
      </c>
      <c r="C5" s="49">
        <f>SUM(Jan!C5, Feb!C5, Mar!C5)</f>
        <v>145538</v>
      </c>
      <c r="D5" s="49">
        <f>SUM(Jan!D5, Feb!D5, Mar!D5)</f>
        <v>128503.00059000001</v>
      </c>
      <c r="E5" s="49">
        <f t="shared" ref="E5:E9" si="0">IF(AND(ISNUMBER(C5),ISNUMBER(D5)), C5-D5, "")</f>
        <v>17034.999409999989</v>
      </c>
      <c r="F5" s="12">
        <f t="shared" ref="F5:F9" si="1">IFERROR(E5/D5, "")</f>
        <v>0.13256499328254315</v>
      </c>
      <c r="G5" s="49">
        <f>SUM(Jan!G5, Feb!G5, Mar!G5)</f>
        <v>198897.66</v>
      </c>
      <c r="H5" s="49">
        <f>SUM(Jan!H5, Feb!H5, Mar!H5)</f>
        <v>-53359.66</v>
      </c>
      <c r="I5" s="14">
        <f t="shared" ref="I5:I9" si="2">IFERROR(H5/G5, "")</f>
        <v>-0.26827696213218399</v>
      </c>
    </row>
    <row r="6" spans="1:9" ht="15.6">
      <c r="A6" s="45" t="str">
        <v>Charlton – 154 Center Depot Road KMARD</v>
      </c>
      <c r="B6" s="26" t="str">
        <v>MA</v>
      </c>
      <c r="C6" s="22">
        <f>SUM(Jan!C6, Feb!C6, Mar!C6)</f>
        <v>106050</v>
      </c>
      <c r="D6" s="11">
        <f>SUM(Jan!D6, Feb!D6, Mar!D6)</f>
        <v>176881.39519000001</v>
      </c>
      <c r="E6" s="11">
        <f t="shared" si="0"/>
        <v>-70831.39519000001</v>
      </c>
      <c r="F6" s="12">
        <f t="shared" si="1"/>
        <v>-0.40044570608409846</v>
      </c>
      <c r="G6" s="13">
        <f>SUM(Jan!G6, Feb!G6, Mar!G6)</f>
        <v>192235.62</v>
      </c>
      <c r="H6" s="13">
        <f>SUM(Jan!H6, Feb!H6, Mar!H6)</f>
        <v>-86185.62</v>
      </c>
      <c r="I6" s="14">
        <f t="shared" si="2"/>
        <v>-0.44833324854155537</v>
      </c>
    </row>
    <row r="7" spans="1:9" ht="14.45">
      <c r="A7" s="49" t="str">
        <v>Charlton – 142A Brookfield Rd (Mitchell)</v>
      </c>
      <c r="B7" s="48" t="str">
        <v>MA</v>
      </c>
      <c r="C7" s="49">
        <f>SUM(Jan!C7, Feb!C7, Mar!C7)</f>
        <v>139150</v>
      </c>
      <c r="D7" s="49">
        <f>SUM(Jan!D7, Feb!D7, Mar!D7)</f>
        <v>187579.45853</v>
      </c>
      <c r="E7" s="49">
        <f t="shared" si="0"/>
        <v>-48429.458530000004</v>
      </c>
      <c r="F7" s="12">
        <f t="shared" si="1"/>
        <v>-0.25818103383774599</v>
      </c>
      <c r="G7" s="49">
        <f>SUM(Jan!G7, Feb!G7, Mar!G7)</f>
        <v>200399.94</v>
      </c>
      <c r="H7" s="49">
        <f>SUM(Jan!H7, Feb!H7, Mar!H7)</f>
        <v>-61249.94</v>
      </c>
      <c r="I7" s="14">
        <f t="shared" si="2"/>
        <v>-0.30563851466222997</v>
      </c>
    </row>
    <row r="8" spans="1:9" ht="15.6">
      <c r="A8" s="45" t="str">
        <v>Great Barrington – 3 Nolan  Drive</v>
      </c>
      <c r="B8" s="26" t="str">
        <v>MA</v>
      </c>
      <c r="C8" s="22">
        <f>SUM(Jan!C8, Feb!C8, Mar!C8)</f>
        <v>250735.49669999999</v>
      </c>
      <c r="D8" s="11">
        <f>SUM(Jan!D8, Feb!D8, Mar!D8)</f>
        <v>358533.53879999998</v>
      </c>
      <c r="E8" s="11">
        <f t="shared" si="0"/>
        <v>-107798.04209999999</v>
      </c>
      <c r="F8" s="12">
        <f t="shared" si="1"/>
        <v>-0.30066376066461314</v>
      </c>
      <c r="G8" s="13">
        <f>SUM(Jan!G8, Feb!G8, Mar!G8)</f>
        <v>397534.64</v>
      </c>
      <c r="H8" s="13">
        <f>SUM(Jan!H8, Feb!H8, Mar!H8)</f>
        <v>-146799.14330000003</v>
      </c>
      <c r="I8" s="14">
        <f t="shared" si="2"/>
        <v>-0.36927384063939689</v>
      </c>
    </row>
    <row r="9" spans="1:9" ht="14.45">
      <c r="A9" s="49" t="str">
        <v>Stockbridge – 92 State Line Road Truck Stop</v>
      </c>
      <c r="B9" s="48" t="str">
        <v>MA</v>
      </c>
      <c r="C9" s="49">
        <f>SUM(Jan!C9, Feb!C9, Mar!C9)</f>
        <v>461438</v>
      </c>
      <c r="D9" s="49">
        <f>SUM(Jan!D9, Feb!D9, Mar!D9)</f>
        <v>680989.04909999995</v>
      </c>
      <c r="E9" s="49">
        <f t="shared" si="0"/>
        <v>-219551.04909999995</v>
      </c>
      <c r="F9" s="12">
        <f t="shared" si="1"/>
        <v>-0.32240026383707665</v>
      </c>
      <c r="G9" s="49">
        <f>SUM(Jan!G9, Feb!G9, Mar!G9)</f>
        <v>775024.07000000007</v>
      </c>
      <c r="H9" s="49">
        <f>SUM(Jan!H9, Feb!H9, Mar!H9)</f>
        <v>-313586.07</v>
      </c>
      <c r="I9" s="14">
        <f t="shared" si="2"/>
        <v>-0.40461462054978498</v>
      </c>
    </row>
    <row r="10" spans="1:9" ht="13.9">
      <c r="A10" s="19"/>
      <c r="B10" s="19"/>
      <c r="C10" s="19"/>
      <c r="D10" s="19"/>
      <c r="E10" s="19"/>
      <c r="F10" s="19"/>
      <c r="G10" s="19"/>
      <c r="H10" s="19"/>
      <c r="I10" s="19"/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52" priority="5" stopIfTrue="1" operator="lessThanOrEqual">
      <formula>-0.1</formula>
    </cfRule>
    <cfRule type="expression" dxfId="51" priority="6">
      <formula>AND(ISNUMBER(F2), F2&gt;=0.1)</formula>
    </cfRule>
  </conditionalFormatting>
  <conditionalFormatting sqref="F4:F79 I4:I79">
    <cfRule type="cellIs" dxfId="50" priority="1" stopIfTrue="1" operator="lessThanOrEqual">
      <formula>-0.1</formula>
    </cfRule>
    <cfRule type="expression" dxfId="49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A5" sqref="A5:I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Bradford - 256 Presidential Dr</v>
      </c>
      <c r="B1" s="67"/>
      <c r="C1" s="67"/>
      <c r="D1" s="68" t="s">
        <v>12</v>
      </c>
      <c r="E1" s="68"/>
      <c r="F1" s="68"/>
      <c r="G1" s="66" t="s">
        <v>13</v>
      </c>
      <c r="H1" s="66"/>
      <c r="I1" s="66"/>
    </row>
    <row r="2" spans="1:9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</row>
    <row r="4" spans="1:9" ht="15.6">
      <c r="A4" s="40" t="str" cm="1">
        <f t="array" ref="A4:A9">Sites[Site]</f>
        <v>Bradford - 256 Presidential Dr</v>
      </c>
      <c r="B4" s="9" t="str" cm="1">
        <f t="array" ref="B4:B9">Sites[State]</f>
        <v>MA</v>
      </c>
      <c r="C4" s="22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4.45">
      <c r="A5" s="49" t="str">
        <v>Charlton – 111 Brookfield Road - Bus Lot</v>
      </c>
      <c r="B5" s="48" t="str">
        <v>MA</v>
      </c>
      <c r="C5" s="49"/>
      <c r="D5" s="49"/>
      <c r="E5" s="49"/>
      <c r="F5" s="12"/>
      <c r="G5" s="49"/>
      <c r="H5" s="49"/>
      <c r="I5" s="14"/>
    </row>
    <row r="6" spans="1:9" ht="15.6">
      <c r="A6" s="45" t="str">
        <v>Charlton – 154 Center Depot Road KMARD</v>
      </c>
      <c r="B6" s="26" t="str">
        <v>MA</v>
      </c>
      <c r="C6" s="22"/>
      <c r="D6" s="11"/>
      <c r="E6" s="11"/>
      <c r="F6" s="12"/>
      <c r="G6" s="13"/>
      <c r="H6" s="13"/>
      <c r="I6" s="14"/>
    </row>
    <row r="7" spans="1:9" ht="14.45">
      <c r="A7" s="49" t="str">
        <v>Charlton – 142A Brookfield Rd (Mitchell)</v>
      </c>
      <c r="B7" s="48" t="str">
        <v>MA</v>
      </c>
      <c r="C7" s="49"/>
      <c r="D7" s="49"/>
      <c r="E7" s="49"/>
      <c r="F7" s="12"/>
      <c r="G7" s="49"/>
      <c r="H7" s="49"/>
      <c r="I7" s="14"/>
    </row>
    <row r="8" spans="1:9" ht="15.6">
      <c r="A8" s="45" t="str">
        <v>Great Barrington – 3 Nolan  Drive</v>
      </c>
      <c r="B8" s="26" t="str">
        <v>MA</v>
      </c>
      <c r="C8" s="22"/>
      <c r="D8" s="11"/>
      <c r="E8" s="11"/>
      <c r="F8" s="12"/>
      <c r="G8" s="13"/>
      <c r="H8" s="13"/>
      <c r="I8" s="14"/>
    </row>
    <row r="9" spans="1:9" ht="14.45">
      <c r="A9" s="49" t="str">
        <v>Stockbridge – 92 State Line Road Truck Stop</v>
      </c>
      <c r="B9" s="48" t="str">
        <v>MA</v>
      </c>
      <c r="C9" s="49"/>
      <c r="D9" s="49"/>
      <c r="E9" s="49"/>
      <c r="F9" s="12"/>
      <c r="G9" s="49"/>
      <c r="H9" s="49"/>
      <c r="I9" s="14"/>
    </row>
    <row r="10" spans="1:9" ht="13.9">
      <c r="A10" s="19"/>
      <c r="B10" s="19"/>
      <c r="C10" s="19"/>
      <c r="D10" s="19"/>
      <c r="E10" s="19"/>
      <c r="F10" s="19"/>
      <c r="G10" s="19"/>
      <c r="H10" s="19"/>
      <c r="I10" s="19"/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 I4 I10:I79 F10:F79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5:F9 I5:I9">
    <cfRule type="cellIs" dxfId="46" priority="1" stopIfTrue="1" operator="lessThanOrEqual">
      <formula>-0.1</formula>
    </cfRule>
    <cfRule type="expression" dxfId="45" priority="2">
      <formula>AND(ISNUMBER(F5), F5&gt;=0.1)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2" sqref="C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Bradford - 256 Presidential Dr</v>
      </c>
      <c r="B1" s="67"/>
      <c r="C1" s="67"/>
      <c r="D1" s="68" t="s">
        <v>14</v>
      </c>
      <c r="E1" s="68"/>
      <c r="F1" s="68"/>
      <c r="G1" s="66" t="s">
        <v>15</v>
      </c>
      <c r="H1" s="66"/>
      <c r="I1" s="66"/>
    </row>
    <row r="2" spans="1:9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</row>
    <row r="4" spans="1:9" ht="15.6">
      <c r="A4" s="40" t="str" cm="1">
        <f t="array" ref="A4:A9">Sites[Site]</f>
        <v>Bradford - 256 Presidential Dr</v>
      </c>
      <c r="B4" s="9" t="str" cm="1">
        <f t="array" ref="B4:B9">Sites[State]</f>
        <v>MA</v>
      </c>
      <c r="C4" s="22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SUM(Jun!G4,Jul!G4,Aug!G4)</f>
        <v>0</v>
      </c>
      <c r="H4" s="13">
        <f>SUM(Jul!H4, Aug!H4, Sep!H4)</f>
        <v>0</v>
      </c>
      <c r="I4" s="14" t="str">
        <f>IFERROR(H4/G4, "")</f>
        <v/>
      </c>
    </row>
    <row r="5" spans="1:9" ht="14.45">
      <c r="A5" s="49" t="str">
        <v>Charlton – 111 Brookfield Road - Bus Lot</v>
      </c>
      <c r="B5" s="48" t="str">
        <v>MA</v>
      </c>
      <c r="C5" s="49"/>
      <c r="D5" s="49"/>
      <c r="E5" s="49"/>
      <c r="F5" s="12"/>
      <c r="G5" s="49"/>
      <c r="H5" s="49"/>
      <c r="I5" s="14"/>
    </row>
    <row r="6" spans="1:9" ht="15.6">
      <c r="A6" s="45" t="str">
        <v>Charlton – 154 Center Depot Road KMARD</v>
      </c>
      <c r="B6" s="26" t="str">
        <v>MA</v>
      </c>
      <c r="C6" s="22"/>
      <c r="D6" s="11"/>
      <c r="E6" s="11"/>
      <c r="F6" s="12"/>
      <c r="G6" s="13"/>
      <c r="H6" s="13"/>
      <c r="I6" s="14"/>
    </row>
    <row r="7" spans="1:9" ht="14.45">
      <c r="A7" s="49" t="str">
        <v>Charlton – 142A Brookfield Rd (Mitchell)</v>
      </c>
      <c r="B7" s="48" t="str">
        <v>MA</v>
      </c>
      <c r="C7" s="49"/>
      <c r="D7" s="49"/>
      <c r="E7" s="49"/>
      <c r="F7" s="12"/>
      <c r="G7" s="49"/>
      <c r="H7" s="49"/>
      <c r="I7" s="14"/>
    </row>
    <row r="8" spans="1:9" ht="15.6">
      <c r="A8" s="60" t="str">
        <v>Great Barrington – 3 Nolan  Drive</v>
      </c>
      <c r="B8" s="26" t="str">
        <v>MA</v>
      </c>
      <c r="C8" s="22"/>
      <c r="D8" s="11"/>
      <c r="E8" s="11"/>
      <c r="F8" s="12"/>
      <c r="G8" s="13"/>
      <c r="H8" s="13"/>
      <c r="I8" s="14"/>
    </row>
    <row r="9" spans="1:9" ht="14.45">
      <c r="A9" s="49" t="str">
        <v>Stockbridge – 92 State Line Road Truck Stop</v>
      </c>
      <c r="B9" s="48" t="str">
        <v>MA</v>
      </c>
      <c r="C9" s="49"/>
      <c r="D9" s="49"/>
      <c r="E9" s="49"/>
      <c r="F9" s="12"/>
      <c r="G9" s="49"/>
      <c r="H9" s="49"/>
      <c r="I9" s="14"/>
    </row>
    <row r="10" spans="1:9" ht="15.6">
      <c r="A10" s="15"/>
      <c r="B10" s="19"/>
      <c r="C10" s="19"/>
      <c r="D10" s="19"/>
      <c r="E10" s="19"/>
      <c r="F10" s="19"/>
      <c r="G10" s="19"/>
      <c r="H10" s="19"/>
      <c r="I10" s="19"/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 I4 I10:I79 F10:F79">
    <cfRule type="cellIs" dxfId="44" priority="3" stopIfTrue="1" operator="lessThanOrEqual">
      <formula>-0.1</formula>
    </cfRule>
    <cfRule type="expression" dxfId="43" priority="4">
      <formula>AND(ISNUMBER(F2), F2&gt;=0.1)</formula>
    </cfRule>
  </conditionalFormatting>
  <conditionalFormatting sqref="F5:F9 I5:I9">
    <cfRule type="cellIs" dxfId="42" priority="1" stopIfTrue="1" operator="lessThanOrEqual">
      <formula>-0.1</formula>
    </cfRule>
    <cfRule type="expression" dxfId="41" priority="2">
      <formula>AND(ISNUMBER(F5), F5&gt;=0.1)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Bradford - 256 Presidential Dr</v>
      </c>
      <c r="B1" s="67"/>
      <c r="C1" s="67"/>
      <c r="D1" s="68" t="s">
        <v>16</v>
      </c>
      <c r="E1" s="68"/>
      <c r="F1" s="68"/>
      <c r="G1" s="66" t="s">
        <v>17</v>
      </c>
      <c r="H1" s="66"/>
      <c r="I1" s="66"/>
    </row>
    <row r="2" spans="1:9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</row>
    <row r="4" spans="1:9" ht="15.6">
      <c r="A4" s="40" t="str" cm="1">
        <f t="array" ref="A4:A9">Sites[Site]</f>
        <v>Bradford - 256 Presidential Dr</v>
      </c>
      <c r="B4" s="9" t="str" cm="1">
        <f t="array" ref="B4:B9">Sites[State]</f>
        <v>MA</v>
      </c>
      <c r="C4" s="22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5.6">
      <c r="A5" s="15" t="str">
        <v>Charlton – 111 Brookfield Road - Bus Lot</v>
      </c>
      <c r="B5" s="10" t="str">
        <v>MA</v>
      </c>
      <c r="C5" s="37"/>
      <c r="D5" s="16"/>
      <c r="E5" s="16"/>
      <c r="F5" s="17"/>
      <c r="G5" s="18"/>
      <c r="H5" s="18"/>
      <c r="I5" s="17"/>
    </row>
    <row r="6" spans="1:9" ht="14.45">
      <c r="A6" s="19" t="str">
        <v>Charlton – 154 Center Depot Road KMARD</v>
      </c>
      <c r="B6" s="10" t="str">
        <v>MA</v>
      </c>
      <c r="C6" s="37"/>
      <c r="D6" s="16"/>
      <c r="E6" s="16"/>
      <c r="F6" s="17"/>
      <c r="G6" s="18"/>
      <c r="H6" s="18"/>
      <c r="I6" s="17"/>
    </row>
    <row r="7" spans="1:9" ht="14.45">
      <c r="A7" s="19" t="str">
        <v>Charlton – 142A Brookfield Rd (Mitchell)</v>
      </c>
      <c r="B7" s="10" t="str">
        <v>MA</v>
      </c>
      <c r="C7" s="37"/>
      <c r="D7" s="16"/>
      <c r="E7" s="16"/>
      <c r="F7" s="17"/>
      <c r="G7" s="18"/>
      <c r="H7" s="18"/>
      <c r="I7" s="17"/>
    </row>
    <row r="8" spans="1:9" ht="14.45">
      <c r="A8" s="19" t="str">
        <v>Great Barrington – 3 Nolan  Drive</v>
      </c>
      <c r="B8" s="10" t="str">
        <v>MA</v>
      </c>
      <c r="C8" s="37"/>
      <c r="D8" s="16"/>
      <c r="E8" s="16"/>
      <c r="F8" s="17"/>
      <c r="G8" s="18"/>
      <c r="H8" s="18"/>
      <c r="I8" s="17"/>
    </row>
    <row r="9" spans="1:9" ht="14.45">
      <c r="A9" s="19" t="str">
        <v>Stockbridge – 92 State Line Road Truck Stop</v>
      </c>
      <c r="B9" s="10" t="str">
        <v>MA</v>
      </c>
      <c r="C9" s="37"/>
      <c r="D9" s="16"/>
      <c r="E9" s="16"/>
      <c r="F9" s="17"/>
      <c r="G9" s="18"/>
      <c r="H9" s="18"/>
      <c r="I9" s="17"/>
    </row>
    <row r="10" spans="1:9" ht="13.9">
      <c r="A10" s="19"/>
      <c r="B10" s="19"/>
      <c r="C10" s="19"/>
      <c r="D10" s="19"/>
      <c r="E10" s="19"/>
      <c r="F10" s="19"/>
      <c r="G10" s="19"/>
      <c r="H10" s="19"/>
      <c r="I10" s="19"/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Normal="100" workbookViewId="0">
      <pane xSplit="2" ySplit="3" topLeftCell="C4" activePane="bottomRight" state="frozen"/>
      <selection pane="bottomRight" activeCell="H11" sqref="H1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Bradford - 256 Presidential Dr</v>
      </c>
      <c r="B1" s="67"/>
      <c r="C1" s="67"/>
      <c r="D1" s="68" t="s">
        <v>18</v>
      </c>
      <c r="E1" s="68"/>
      <c r="F1" s="68"/>
      <c r="G1" s="66" t="s">
        <v>19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SUM(C4:C78)</f>
        <v>551658.58860000002</v>
      </c>
      <c r="D2" s="5">
        <f>SUM(D4:D78)</f>
        <v>760563.33239999996</v>
      </c>
      <c r="E2" s="5">
        <f>C2-D2</f>
        <v>-208904.74379999994</v>
      </c>
      <c r="F2" s="6">
        <f>IFERROR(E2/D2, 0)</f>
        <v>-0.27467106932540303</v>
      </c>
      <c r="G2" s="5">
        <f>SUM(G4:G78)</f>
        <v>898628.5</v>
      </c>
      <c r="H2" s="7">
        <f>C2-G2</f>
        <v>-346969.91139999998</v>
      </c>
      <c r="I2" s="6">
        <f>IFERROR(H2/G2, 0)</f>
        <v>-0.38611051329887708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5" t="s">
        <v>3</v>
      </c>
      <c r="B3" s="8" t="s">
        <v>4</v>
      </c>
      <c r="C3" s="42" t="s">
        <v>5</v>
      </c>
      <c r="D3" s="43" t="s">
        <v>6</v>
      </c>
      <c r="E3" s="30" t="s">
        <v>7</v>
      </c>
      <c r="F3" s="31" t="s">
        <v>8</v>
      </c>
      <c r="G3" s="44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1" ht="43.15">
      <c r="A4" s="45" t="str" cm="1">
        <f t="array" ref="A4:A9">Sites[Site]</f>
        <v>Bradford - 256 Presidential Dr</v>
      </c>
      <c r="B4" s="26" t="str" cm="1">
        <f t="array" ref="B4:B9">Sites[State]</f>
        <v>MA</v>
      </c>
      <c r="C4" s="22">
        <v>306816.58860000002</v>
      </c>
      <c r="D4" s="11">
        <v>339000.33240000001</v>
      </c>
      <c r="E4" s="11">
        <f>IF(AND(ISNUMBER(C4),ISNUMBER(D4)), C4-D4, "")</f>
        <v>-32183.743799999997</v>
      </c>
      <c r="F4" s="12">
        <f t="shared" ref="F4:F9" si="0">IFERROR(E4/D4, "")</f>
        <v>-9.4937204256263424E-2</v>
      </c>
      <c r="G4" s="13">
        <v>401656.5</v>
      </c>
      <c r="H4" s="13">
        <f>IF(AND(ISNUMBER(C4),ISNUMBER(G4)), C4-G4, "")</f>
        <v>-94839.911399999983</v>
      </c>
      <c r="I4" s="14">
        <f>IFERROR(H4/G4, "")</f>
        <v>-0.23612193852209534</v>
      </c>
      <c r="J4" s="71" t="s">
        <v>22</v>
      </c>
      <c r="K4" s="72" t="s">
        <v>23</v>
      </c>
    </row>
    <row r="5" spans="1:11" ht="43.15">
      <c r="A5" s="49" t="str">
        <v>Charlton – 111 Brookfield Road - Bus Lot</v>
      </c>
      <c r="B5" s="48" t="str">
        <v>MA</v>
      </c>
      <c r="C5" s="49">
        <v>36616</v>
      </c>
      <c r="D5" s="49">
        <v>27710</v>
      </c>
      <c r="E5" s="49">
        <f>IF(AND(ISNUMBER(C5),ISNUMBER(D5)), C5-D5, "")</f>
        <v>8906</v>
      </c>
      <c r="F5" s="12">
        <f t="shared" si="0"/>
        <v>0.32140021652832912</v>
      </c>
      <c r="G5" s="49">
        <v>56966</v>
      </c>
      <c r="H5" s="49">
        <f t="shared" ref="H5:H9" si="1">IF(AND(ISNUMBER(C5),ISNUMBER(G5)), C5-G5, "")</f>
        <v>-20350</v>
      </c>
      <c r="I5" s="14">
        <f t="shared" ref="I5:I9" si="2">IFERROR(H5/G5, "")</f>
        <v>-0.35723062879612399</v>
      </c>
      <c r="J5" s="54" t="s">
        <v>24</v>
      </c>
      <c r="K5" s="51" t="s">
        <v>25</v>
      </c>
    </row>
    <row r="6" spans="1:11" ht="15.6">
      <c r="A6" s="45" t="str">
        <v>Charlton – 154 Center Depot Road KMARD</v>
      </c>
      <c r="B6" s="26" t="str">
        <v>MA</v>
      </c>
      <c r="C6" s="22">
        <v>31310</v>
      </c>
      <c r="D6" s="11">
        <v>53271</v>
      </c>
      <c r="E6" s="11">
        <f t="shared" ref="E6:E9" si="3">IF(AND(ISNUMBER(C6),ISNUMBER(D6)), C6-D6, "")</f>
        <v>-21961</v>
      </c>
      <c r="F6" s="12">
        <f t="shared" si="0"/>
        <v>-0.41225056785117609</v>
      </c>
      <c r="G6" s="13">
        <v>54359</v>
      </c>
      <c r="H6" s="13">
        <f t="shared" si="1"/>
        <v>-23049</v>
      </c>
      <c r="I6" s="14">
        <f t="shared" si="2"/>
        <v>-0.42401442263470629</v>
      </c>
      <c r="J6" s="71" t="s">
        <v>26</v>
      </c>
      <c r="K6" s="72"/>
    </row>
    <row r="7" spans="1:11" ht="43.15">
      <c r="A7" s="49" t="str">
        <v>Charlton – 142A Brookfield Rd (Mitchell)</v>
      </c>
      <c r="B7" s="48" t="str">
        <v>MA</v>
      </c>
      <c r="C7" s="49">
        <v>35707</v>
      </c>
      <c r="D7" s="49">
        <v>52376</v>
      </c>
      <c r="E7" s="49">
        <f t="shared" si="3"/>
        <v>-16669</v>
      </c>
      <c r="F7" s="12">
        <f t="shared" si="0"/>
        <v>-0.31825645333740643</v>
      </c>
      <c r="G7" s="49">
        <v>57257</v>
      </c>
      <c r="H7" s="49">
        <f t="shared" si="1"/>
        <v>-21550</v>
      </c>
      <c r="I7" s="14">
        <f t="shared" si="2"/>
        <v>-0.37637319454389856</v>
      </c>
      <c r="J7" s="51" t="s">
        <v>27</v>
      </c>
      <c r="K7" s="51" t="s">
        <v>28</v>
      </c>
    </row>
    <row r="8" spans="1:11" ht="15.6">
      <c r="A8" s="45" t="str">
        <v>Great Barrington – 3 Nolan  Drive</v>
      </c>
      <c r="B8" s="26" t="str">
        <v>MA</v>
      </c>
      <c r="C8" s="22">
        <v>55040</v>
      </c>
      <c r="D8" s="11">
        <v>97231</v>
      </c>
      <c r="E8" s="11">
        <f t="shared" si="3"/>
        <v>-42191</v>
      </c>
      <c r="F8" s="12">
        <f t="shared" si="0"/>
        <v>-0.43392539416441256</v>
      </c>
      <c r="G8" s="13">
        <v>112113</v>
      </c>
      <c r="H8" s="13">
        <f t="shared" si="1"/>
        <v>-57073</v>
      </c>
      <c r="I8" s="14">
        <f t="shared" si="2"/>
        <v>-0.50906674515890216</v>
      </c>
      <c r="J8" s="71" t="s">
        <v>26</v>
      </c>
      <c r="K8" s="72"/>
    </row>
    <row r="9" spans="1:11" ht="14.45">
      <c r="A9" s="49" t="str">
        <v>Stockbridge – 92 State Line Road Truck Stop</v>
      </c>
      <c r="B9" s="48" t="str">
        <v>MA</v>
      </c>
      <c r="C9" s="49">
        <v>86169</v>
      </c>
      <c r="D9" s="49">
        <v>190975</v>
      </c>
      <c r="E9" s="49">
        <f t="shared" si="3"/>
        <v>-104806</v>
      </c>
      <c r="F9" s="12">
        <f t="shared" si="0"/>
        <v>-0.54879434480953004</v>
      </c>
      <c r="G9" s="49">
        <v>216277</v>
      </c>
      <c r="H9" s="49">
        <f t="shared" si="1"/>
        <v>-130108</v>
      </c>
      <c r="I9" s="14">
        <f t="shared" si="2"/>
        <v>-0.60158038071547137</v>
      </c>
      <c r="J9" s="51" t="s">
        <v>26</v>
      </c>
      <c r="K9" s="51"/>
    </row>
    <row r="10" spans="1:11" ht="14.45">
      <c r="A10" s="19"/>
      <c r="B10" s="28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/>
      <c r="B11" s="28"/>
      <c r="C11" s="19"/>
      <c r="D11" s="19"/>
      <c r="E11" s="19"/>
      <c r="F11" s="20"/>
      <c r="G11" s="19"/>
      <c r="H11" s="19"/>
      <c r="I11" s="20"/>
      <c r="J11" s="19"/>
      <c r="K11" s="19"/>
    </row>
    <row r="12" spans="1:11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</sheetData>
  <mergeCells count="4">
    <mergeCell ref="D1:F1"/>
    <mergeCell ref="A1:C1"/>
    <mergeCell ref="G1:I1"/>
    <mergeCell ref="A2:B2"/>
  </mergeCells>
  <conditionalFormatting sqref="F2 I2">
    <cfRule type="cellIs" dxfId="38" priority="8" stopIfTrue="1" operator="lessThanOrEqual">
      <formula>-0.1</formula>
    </cfRule>
    <cfRule type="expression" dxfId="37" priority="9">
      <formula>AND(ISNUMBER(F2), F2&gt;=0.1)</formula>
    </cfRule>
  </conditionalFormatting>
  <conditionalFormatting sqref="F4:F78 I4:I78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S321"/>
  <sheetViews>
    <sheetView zoomScale="70" zoomScaleNormal="70" workbookViewId="0">
      <pane xSplit="2" ySplit="3" topLeftCell="C4" activePane="bottomRight" state="frozen"/>
      <selection pane="bottomRight" activeCell="U6" sqref="U6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9" ht="19.5" customHeight="1">
      <c r="A1" s="67" t="str" cm="1">
        <f t="array" ref="A1">portfolio</f>
        <v>Bradford - 256 Presidential Dr</v>
      </c>
      <c r="B1" s="67"/>
      <c r="C1" s="67"/>
      <c r="D1" s="68" t="s">
        <v>29</v>
      </c>
      <c r="E1" s="68"/>
      <c r="F1" s="68"/>
      <c r="G1" s="66" t="s">
        <v>30</v>
      </c>
      <c r="H1" s="66"/>
      <c r="I1" s="66"/>
      <c r="J1" s="4"/>
      <c r="K1" s="4"/>
    </row>
    <row r="2" spans="1:19" ht="19.5" customHeight="1">
      <c r="A2" s="69" t="s">
        <v>2</v>
      </c>
      <c r="B2" s="69"/>
      <c r="C2" s="5">
        <f>SUM(C4:C79)</f>
        <v>568007</v>
      </c>
      <c r="D2" s="5">
        <f>SUM(D4:D79)</f>
        <v>886728</v>
      </c>
      <c r="E2" s="5">
        <f>C2-D2</f>
        <v>-318721</v>
      </c>
      <c r="F2" s="6">
        <f>IFERROR(E2/D2, 0)</f>
        <v>-0.35943491126929566</v>
      </c>
      <c r="G2" s="5">
        <f>SUM(G4:G79)</f>
        <v>1063162.8</v>
      </c>
      <c r="H2" s="7">
        <f>C2-G2</f>
        <v>-495155.80000000005</v>
      </c>
      <c r="I2" s="6">
        <f>IFERROR(H2/G2, 0)</f>
        <v>-0.46573845510772199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9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9" ht="57.6">
      <c r="A4" s="45" t="str" cm="1">
        <f t="array" ref="A4:A9">Sites[Site]</f>
        <v>Bradford - 256 Presidential Dr</v>
      </c>
      <c r="B4" s="26" t="str" cm="1">
        <f t="array" ref="B4:B9">Sites[State]</f>
        <v>MA</v>
      </c>
      <c r="C4" s="22">
        <v>341831</v>
      </c>
      <c r="D4" s="11">
        <v>434992</v>
      </c>
      <c r="E4" s="11">
        <f>IF(AND(ISNUMBER(C4),ISNUMBER(D4)), C4-D4, "")</f>
        <v>-93161</v>
      </c>
      <c r="F4" s="12">
        <f>IFERROR(E4/D4, "")</f>
        <v>-0.21416715709714201</v>
      </c>
      <c r="G4" s="13">
        <v>529201.80000000005</v>
      </c>
      <c r="H4" s="13">
        <f>IF(AND(ISNUMBER(C4),ISNUMBER(G4)), C4-G4, "")</f>
        <v>-187370.80000000005</v>
      </c>
      <c r="I4" s="14">
        <f>IFERROR(H4/G4, "")</f>
        <v>-0.35406304362532409</v>
      </c>
      <c r="J4" s="52" t="s">
        <v>31</v>
      </c>
      <c r="K4" s="61" t="s">
        <v>32</v>
      </c>
      <c r="L4" s="63" t="s">
        <v>33</v>
      </c>
      <c r="M4" s="63" t="s">
        <v>34</v>
      </c>
      <c r="N4" s="64"/>
      <c r="O4" s="64"/>
      <c r="P4" s="64"/>
      <c r="Q4" s="64"/>
      <c r="R4" s="64"/>
      <c r="S4" s="64"/>
    </row>
    <row r="5" spans="1:19" ht="57.6">
      <c r="A5" s="50" t="str">
        <v>Charlton – 111 Brookfield Road - Bus Lot</v>
      </c>
      <c r="B5" s="48" t="str">
        <v>MA</v>
      </c>
      <c r="C5" s="49">
        <v>33288</v>
      </c>
      <c r="D5" s="49">
        <v>40369</v>
      </c>
      <c r="E5" s="49">
        <f t="shared" ref="E5:E9" si="0">IF(AND(ISNUMBER(C5),ISNUMBER(D5)), C5-D5, "")</f>
        <v>-7081</v>
      </c>
      <c r="F5" s="12">
        <f t="shared" ref="F5:F9" si="1">IFERROR(E5/D5, "")</f>
        <v>-0.17540687160940324</v>
      </c>
      <c r="G5" s="49">
        <v>61890</v>
      </c>
      <c r="H5" s="49">
        <f t="shared" ref="H5:H9" si="2">IF(AND(ISNUMBER(C5),ISNUMBER(G5)), C5-G5, "")</f>
        <v>-28602</v>
      </c>
      <c r="I5" s="14">
        <f t="shared" ref="I5:I9" si="3">IFERROR(H5/G5, "")</f>
        <v>-0.46214251090644692</v>
      </c>
      <c r="J5" s="35" t="s">
        <v>35</v>
      </c>
      <c r="K5" s="62" t="s">
        <v>36</v>
      </c>
      <c r="L5" s="63" t="s">
        <v>37</v>
      </c>
      <c r="M5" s="64"/>
      <c r="N5" s="64"/>
      <c r="O5" s="64"/>
      <c r="P5" s="64"/>
      <c r="Q5" s="64"/>
      <c r="R5" s="64"/>
      <c r="S5" s="64"/>
    </row>
    <row r="6" spans="1:19" ht="108.75" customHeight="1">
      <c r="A6" s="45" t="str">
        <v>Charlton – 154 Center Depot Road KMARD</v>
      </c>
      <c r="B6" s="26" t="str">
        <v>MA</v>
      </c>
      <c r="C6" s="22">
        <v>20320</v>
      </c>
      <c r="D6" s="11">
        <v>53693</v>
      </c>
      <c r="E6" s="11">
        <f t="shared" si="0"/>
        <v>-33373</v>
      </c>
      <c r="F6" s="12">
        <f t="shared" si="1"/>
        <v>-0.62155215763693594</v>
      </c>
      <c r="G6" s="13">
        <v>59766</v>
      </c>
      <c r="H6" s="13">
        <f t="shared" si="2"/>
        <v>-39446</v>
      </c>
      <c r="I6" s="14">
        <f t="shared" si="3"/>
        <v>-0.66000736204531008</v>
      </c>
      <c r="J6" s="52" t="s">
        <v>38</v>
      </c>
      <c r="K6" s="61" t="s">
        <v>39</v>
      </c>
      <c r="L6" s="63" t="s">
        <v>40</v>
      </c>
      <c r="M6" s="63" t="s">
        <v>41</v>
      </c>
      <c r="N6" s="64"/>
      <c r="O6" s="64"/>
      <c r="P6" s="64"/>
      <c r="Q6" s="64"/>
      <c r="R6" s="64"/>
      <c r="S6" s="64"/>
    </row>
    <row r="7" spans="1:19" ht="57.6">
      <c r="A7" s="50" t="str">
        <v>Charlton – 142A Brookfield Rd (Mitchell)</v>
      </c>
      <c r="B7" s="48" t="str">
        <v>MA</v>
      </c>
      <c r="C7" s="49">
        <v>33023</v>
      </c>
      <c r="D7" s="49">
        <v>58823</v>
      </c>
      <c r="E7" s="49">
        <f t="shared" si="0"/>
        <v>-25800</v>
      </c>
      <c r="F7" s="12">
        <f t="shared" si="1"/>
        <v>-0.43860394743552694</v>
      </c>
      <c r="G7" s="49">
        <v>62829</v>
      </c>
      <c r="H7" s="49">
        <f t="shared" si="2"/>
        <v>-29806</v>
      </c>
      <c r="I7" s="14">
        <f t="shared" si="3"/>
        <v>-0.47439876490155819</v>
      </c>
      <c r="J7" s="35" t="s">
        <v>42</v>
      </c>
      <c r="K7" s="62" t="s">
        <v>43</v>
      </c>
      <c r="L7" s="63" t="s">
        <v>44</v>
      </c>
      <c r="M7" s="64"/>
      <c r="N7" s="64"/>
      <c r="O7" s="64"/>
      <c r="P7" s="64"/>
      <c r="Q7" s="64"/>
      <c r="R7" s="64"/>
      <c r="S7" s="64"/>
    </row>
    <row r="8" spans="1:19" ht="90" customHeight="1">
      <c r="A8" s="45" t="str">
        <v>Great Barrington – 3 Nolan  Drive</v>
      </c>
      <c r="B8" s="26" t="str">
        <v>MA</v>
      </c>
      <c r="C8" s="22">
        <v>50410</v>
      </c>
      <c r="D8" s="11">
        <v>106086</v>
      </c>
      <c r="E8" s="11">
        <f t="shared" si="0"/>
        <v>-55676</v>
      </c>
      <c r="F8" s="12">
        <f t="shared" si="1"/>
        <v>-0.52481948607733353</v>
      </c>
      <c r="G8" s="13">
        <v>123737</v>
      </c>
      <c r="H8" s="13">
        <f t="shared" si="2"/>
        <v>-73327</v>
      </c>
      <c r="I8" s="14">
        <f t="shared" si="3"/>
        <v>-0.59260366745597515</v>
      </c>
      <c r="J8" s="52" t="s">
        <v>45</v>
      </c>
      <c r="K8" s="61" t="s">
        <v>46</v>
      </c>
      <c r="L8" s="63" t="s">
        <v>47</v>
      </c>
      <c r="M8" s="64"/>
      <c r="N8" s="64"/>
      <c r="O8" s="64"/>
      <c r="P8" s="64"/>
      <c r="Q8" s="64"/>
      <c r="R8" s="64"/>
      <c r="S8" s="64"/>
    </row>
    <row r="9" spans="1:19" ht="273.60000000000002">
      <c r="A9" s="50" t="str">
        <v>Stockbridge – 92 State Line Road Truck Stop</v>
      </c>
      <c r="B9" s="48" t="str">
        <v>MA</v>
      </c>
      <c r="C9" s="49">
        <v>89135</v>
      </c>
      <c r="D9" s="49">
        <v>192765</v>
      </c>
      <c r="E9" s="49">
        <f t="shared" si="0"/>
        <v>-103630</v>
      </c>
      <c r="F9" s="12">
        <f t="shared" si="1"/>
        <v>-0.53759759292402665</v>
      </c>
      <c r="G9" s="49">
        <v>225739</v>
      </c>
      <c r="H9" s="49">
        <f t="shared" si="2"/>
        <v>-136604</v>
      </c>
      <c r="I9" s="14">
        <f t="shared" si="3"/>
        <v>-0.60514133579044826</v>
      </c>
      <c r="J9" s="35" t="s">
        <v>48</v>
      </c>
      <c r="K9" s="62" t="s">
        <v>49</v>
      </c>
      <c r="L9" s="63" t="s">
        <v>50</v>
      </c>
      <c r="M9" s="63" t="s">
        <v>50</v>
      </c>
      <c r="N9" s="63" t="s">
        <v>51</v>
      </c>
      <c r="O9" s="63" t="s">
        <v>52</v>
      </c>
      <c r="P9" s="63" t="s">
        <v>52</v>
      </c>
      <c r="Q9" s="63" t="s">
        <v>53</v>
      </c>
      <c r="R9" s="63" t="s">
        <v>54</v>
      </c>
      <c r="S9" s="63" t="s">
        <v>55</v>
      </c>
    </row>
    <row r="10" spans="1:19" ht="14.45">
      <c r="A10" s="19"/>
      <c r="B10" s="28"/>
      <c r="C10" s="19"/>
      <c r="D10" s="19"/>
      <c r="E10" s="19"/>
      <c r="F10" s="19"/>
      <c r="G10" s="19"/>
      <c r="H10" s="19"/>
      <c r="I10" s="19"/>
      <c r="J10" s="19"/>
      <c r="K10" s="19"/>
    </row>
    <row r="11" spans="1:19" ht="14.45">
      <c r="A11" s="19"/>
      <c r="B11" s="28"/>
      <c r="C11" s="19"/>
      <c r="D11" s="19"/>
      <c r="E11" s="19"/>
      <c r="F11" s="19"/>
      <c r="G11" s="19"/>
      <c r="H11" s="19"/>
      <c r="I11" s="19"/>
      <c r="J11" s="19"/>
      <c r="K11" s="19"/>
    </row>
    <row r="12" spans="1:19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9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9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9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9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I4:I79">
    <cfRule type="cellIs" dxfId="34" priority="15" stopIfTrue="1" operator="lessThanOrEqual">
      <formula>-0.1</formula>
    </cfRule>
    <cfRule type="expression" dxfId="33" priority="16">
      <formula>AND(ISNUMBER(F2), F2&gt;=0.1)</formula>
    </cfRule>
  </conditionalFormatting>
  <conditionalFormatting sqref="F4:F79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4" r:id="rId1" display="https://us3.assetplanner.com/service_request?ID=096051" xr:uid="{0736C1CF-C2A9-42C1-A4BF-F3D65C7F59DE}"/>
    <hyperlink ref="L4" r:id="rId2" display="https://us3.assetplanner.com/service_request?ID=097794" xr:uid="{20200DF1-3BE0-434C-8C01-5354D8A4F495}"/>
    <hyperlink ref="M4" r:id="rId3" display="https://us3.assetplanner.com/service_request?ID=097657" xr:uid="{3475CDCD-113B-4948-AE0A-012B29AE3B4B}"/>
    <hyperlink ref="K5" r:id="rId4" display="https://us3.assetplanner.com/service_request?ID=096287" xr:uid="{F918C406-9344-4273-8EA5-99C10D290F57}"/>
    <hyperlink ref="L5" r:id="rId5" display="https://us3.assetplanner.com/service_request?ID=097195" xr:uid="{8A8F1EAF-54F8-48C1-8EE9-E574185BC5F1}"/>
    <hyperlink ref="K6" r:id="rId6" display="https://us3.assetplanner.com/service_request?ID=096880" xr:uid="{32B82E3B-F577-4478-BCA6-572B31B2A06F}"/>
    <hyperlink ref="L6" r:id="rId7" display="https://us3.assetplanner.com/service_request?ID=097194" xr:uid="{07BFD500-7244-4795-A7AE-E7A2006FC58A}"/>
    <hyperlink ref="M6" r:id="rId8" display="https://us3.assetplanner.com/service_request?ID=097744" xr:uid="{52517EC6-9CD6-46E3-B6BB-15B28B095DCA}"/>
    <hyperlink ref="K7" r:id="rId9" display="https://us3.assetplanner.com/service_request?ID=096242" xr:uid="{A62BD616-1EE9-48D2-96C2-2E82C9B8FF58}"/>
    <hyperlink ref="L7" r:id="rId10" display="https://us3.assetplanner.com/service_request?ID=097809" xr:uid="{4C5E82C7-937B-4D00-AE9C-01E0B58BB934}"/>
    <hyperlink ref="K8" r:id="rId11" display="https://us3.assetplanner.com/service_request?ID=097148" xr:uid="{6917859C-5352-4372-922D-CB0EEBBCB80E}"/>
    <hyperlink ref="L8" r:id="rId12" display="https://us3.assetplanner.com/service_request?ID=097662" xr:uid="{780A1556-4BC0-49A7-BE79-A301160F97D5}"/>
    <hyperlink ref="K9" r:id="rId13" display="https://us3.assetplanner.com/service_request?ID=096270" xr:uid="{7AC2548D-9458-4FE8-993F-B00018A85C7D}"/>
    <hyperlink ref="L9" r:id="rId14" display="https://us3.assetplanner.com/service_request?ID=097154" xr:uid="{666247AF-2733-4664-87B3-1ECAC4B4B778}"/>
    <hyperlink ref="M9" r:id="rId15" display="https://us3.assetplanner.com/service_request?ID=097154" xr:uid="{3FF87B7E-936C-4BED-8277-84260B9ED8E0}"/>
    <hyperlink ref="N9" r:id="rId16" display="https://us3.assetplanner.com/service_request?ID=097155" xr:uid="{9E136FD8-1902-421A-B758-4EC8383C8CDA}"/>
    <hyperlink ref="O9" r:id="rId17" display="https://us3.assetplanner.com/service_request?ID=097338" xr:uid="{8485611E-C67C-4571-8E25-E8F38F18AD49}"/>
    <hyperlink ref="P9" r:id="rId18" display="https://us3.assetplanner.com/service_request?ID=097338" xr:uid="{61D46B4D-6C2C-4824-BB4C-A834406C20C5}"/>
    <hyperlink ref="Q9" r:id="rId19" display="https://us3.assetplanner.com/service_request?ID=097654" xr:uid="{30E84689-80A2-450B-BC56-FC691F2555F6}"/>
    <hyperlink ref="R9" r:id="rId20" display="https://us3.assetplanner.com/service_request?ID=097807" xr:uid="{17A59C55-5F74-409B-AB04-7C0094C621B2}"/>
    <hyperlink ref="S9" r:id="rId21" display="https://us3.assetplanner.com/service_request?ID=097851" xr:uid="{B5E2E91A-3AB3-44DE-8CB9-80D751EA933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P321"/>
  <sheetViews>
    <sheetView tabSelected="1" zoomScale="70" zoomScaleNormal="70" workbookViewId="0">
      <pane xSplit="2" ySplit="3" topLeftCell="C8" activePane="bottomRight" state="frozen"/>
      <selection pane="bottomRight" activeCell="A14" sqref="A14"/>
      <selection pane="bottomLeft" activeCell="H19" sqref="H19"/>
      <selection pane="topRight" activeCell="H19" sqref="H19"/>
    </sheetView>
  </sheetViews>
  <sheetFormatPr defaultRowHeight="13.9"/>
  <cols>
    <col min="1" max="1" width="45.140625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67" t="str" cm="1">
        <f t="array" ref="A1">portfolio</f>
        <v>Bradford - 256 Presidential Dr</v>
      </c>
      <c r="B1" s="67"/>
      <c r="C1" s="67"/>
      <c r="D1" s="68" t="s">
        <v>56</v>
      </c>
      <c r="E1" s="68"/>
      <c r="F1" s="68"/>
      <c r="G1" s="66" t="s">
        <v>57</v>
      </c>
      <c r="H1" s="66"/>
      <c r="I1" s="66"/>
      <c r="J1" s="4"/>
      <c r="K1" s="4"/>
    </row>
    <row r="2" spans="1:16" ht="19.5" customHeight="1">
      <c r="A2" s="69" t="s">
        <v>2</v>
      </c>
      <c r="B2" s="69"/>
      <c r="C2" s="5">
        <f>SUM(C4:C79)</f>
        <v>1277308.4967</v>
      </c>
      <c r="D2" s="5">
        <f>SUM(D4:D79)</f>
        <v>1267424.3493099997</v>
      </c>
      <c r="E2" s="5">
        <f>C2-D2</f>
        <v>9884.1473900002893</v>
      </c>
      <c r="F2" s="6">
        <f>IFERROR(E2/D2, 0)</f>
        <v>7.7986093571433528E-3</v>
      </c>
      <c r="G2" s="5">
        <f>SUM(G4:G79)</f>
        <v>1403242.3300000003</v>
      </c>
      <c r="H2" s="7">
        <f>C2-G2</f>
        <v>-125933.83330000029</v>
      </c>
      <c r="I2" s="6">
        <f>IFERROR(H2/G2, 0)</f>
        <v>-8.9744893385592397E-2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6" ht="100.9">
      <c r="A4" s="45" t="str" cm="1">
        <f t="array" ref="A4:A9">Sites[Site]</f>
        <v>Bradford - 256 Presidential Dr</v>
      </c>
      <c r="B4" s="26" t="str" cm="1">
        <f t="array" ref="B4:B9">Sites[State]</f>
        <v>MA</v>
      </c>
      <c r="C4" s="55">
        <v>645415</v>
      </c>
      <c r="D4" s="11">
        <v>608236.90709999995</v>
      </c>
      <c r="E4" s="11">
        <f>IF(AND(ISNUMBER(C4),ISNUMBER(D4)), C4-D4, "")</f>
        <v>37178.092900000047</v>
      </c>
      <c r="F4" s="12">
        <f>IFERROR(E4/D4, "")</f>
        <v>6.112436201423669E-2</v>
      </c>
      <c r="G4" s="56">
        <v>670083.4</v>
      </c>
      <c r="H4" s="13">
        <f>IF(AND(ISNUMBER(C4),ISNUMBER(G4)), C4-G4, "")</f>
        <v>-24668.400000000023</v>
      </c>
      <c r="I4" s="14">
        <f>IFERROR(H4/G4, "")</f>
        <v>-3.6813924953222277E-2</v>
      </c>
      <c r="J4" s="53" t="s">
        <v>58</v>
      </c>
      <c r="K4" s="61" t="s">
        <v>59</v>
      </c>
      <c r="L4" s="63" t="s">
        <v>33</v>
      </c>
      <c r="M4" s="63" t="s">
        <v>60</v>
      </c>
      <c r="N4" s="63" t="s">
        <v>61</v>
      </c>
      <c r="O4" s="63" t="s">
        <v>62</v>
      </c>
      <c r="P4" s="64"/>
    </row>
    <row r="5" spans="1:16" ht="28.9">
      <c r="A5" s="70" t="str">
        <v>Charlton – 111 Brookfield Road - Bus Lot</v>
      </c>
      <c r="B5" s="48" t="str">
        <v>MA</v>
      </c>
      <c r="C5" s="49">
        <v>75634</v>
      </c>
      <c r="D5" s="49">
        <v>60424.000590000003</v>
      </c>
      <c r="E5" s="49">
        <f t="shared" ref="E5:E9" si="0">IF(AND(ISNUMBER(C5),ISNUMBER(D5)), C5-D5, "")</f>
        <v>15209.999409999997</v>
      </c>
      <c r="F5" s="58">
        <f t="shared" ref="F5:F8" si="1">IFERROR(E5/D5, "")</f>
        <v>0.2517211581736481</v>
      </c>
      <c r="G5" s="49">
        <v>80041.66</v>
      </c>
      <c r="H5" s="49">
        <f t="shared" ref="H5:H9" si="2">IF(AND(ISNUMBER(C5),ISNUMBER(G5)), C5-G5, "")</f>
        <v>-4407.6600000000035</v>
      </c>
      <c r="I5" s="59">
        <f t="shared" ref="I5:I10" si="3">IFERROR(H5/G5, "")</f>
        <v>-5.5067073821307592E-2</v>
      </c>
      <c r="J5" s="57" t="s">
        <v>63</v>
      </c>
      <c r="K5" s="65" t="s">
        <v>64</v>
      </c>
      <c r="L5" s="64"/>
      <c r="M5" s="64"/>
      <c r="N5" s="64"/>
      <c r="O5" s="64"/>
      <c r="P5" s="64"/>
    </row>
    <row r="6" spans="1:16" ht="86.45">
      <c r="A6" s="45" t="str">
        <v>Charlton – 154 Center Depot Road KMARD</v>
      </c>
      <c r="B6" s="26" t="str">
        <v>MA</v>
      </c>
      <c r="C6" s="55">
        <v>54420</v>
      </c>
      <c r="D6" s="11">
        <v>69917.395189999996</v>
      </c>
      <c r="E6" s="11">
        <f t="shared" si="0"/>
        <v>-15497.395189999996</v>
      </c>
      <c r="F6" s="12">
        <f t="shared" si="1"/>
        <v>-0.22165292554000246</v>
      </c>
      <c r="G6" s="56">
        <v>78110.62</v>
      </c>
      <c r="H6" s="13">
        <f t="shared" si="2"/>
        <v>-23690.619999999995</v>
      </c>
      <c r="I6" s="14">
        <f t="shared" si="3"/>
        <v>-0.30329576183110563</v>
      </c>
      <c r="J6" s="53" t="s">
        <v>65</v>
      </c>
      <c r="K6" s="61" t="s">
        <v>66</v>
      </c>
      <c r="L6" s="63" t="s">
        <v>67</v>
      </c>
      <c r="M6" s="63" t="s">
        <v>68</v>
      </c>
      <c r="N6" s="64"/>
      <c r="O6" s="64"/>
      <c r="P6" s="64"/>
    </row>
    <row r="7" spans="1:16" ht="43.15">
      <c r="A7" s="49" t="str">
        <v>Charlton – 142A Brookfield Rd (Mitchell)</v>
      </c>
      <c r="B7" s="48" t="str">
        <v>MA</v>
      </c>
      <c r="C7" s="49">
        <v>70420</v>
      </c>
      <c r="D7" s="49">
        <v>76380.458530000004</v>
      </c>
      <c r="E7" s="49">
        <f t="shared" si="0"/>
        <v>-5960.4585300000035</v>
      </c>
      <c r="F7" s="58">
        <f>IFERROR(E7/D7, "")</f>
        <v>-7.8036432939963443E-2</v>
      </c>
      <c r="G7" s="49">
        <v>80313.94</v>
      </c>
      <c r="H7" s="49">
        <f t="shared" si="2"/>
        <v>-9893.9400000000023</v>
      </c>
      <c r="I7" s="14">
        <f t="shared" si="3"/>
        <v>-0.12319081843077306</v>
      </c>
      <c r="J7" s="57" t="s">
        <v>69</v>
      </c>
      <c r="K7" s="65" t="s">
        <v>70</v>
      </c>
      <c r="L7" s="64"/>
      <c r="M7" s="64"/>
      <c r="N7" s="64"/>
      <c r="O7" s="64"/>
      <c r="P7" s="64"/>
    </row>
    <row r="8" spans="1:16" ht="129.6">
      <c r="A8" s="45" t="str">
        <v>Great Barrington – 3 Nolan  Drive</v>
      </c>
      <c r="B8" s="26" t="str">
        <v>MA</v>
      </c>
      <c r="C8" s="55">
        <v>145285.49669999999</v>
      </c>
      <c r="D8" s="11">
        <v>155216.53880000001</v>
      </c>
      <c r="E8" s="11">
        <f t="shared" si="0"/>
        <v>-9931.0421000000206</v>
      </c>
      <c r="F8" s="12">
        <f t="shared" si="1"/>
        <v>-6.398185513462834E-2</v>
      </c>
      <c r="G8" s="56">
        <v>161684.64000000001</v>
      </c>
      <c r="H8" s="13">
        <f t="shared" si="2"/>
        <v>-16399.143300000025</v>
      </c>
      <c r="I8" s="14">
        <f t="shared" si="3"/>
        <v>-0.1014267236516717</v>
      </c>
      <c r="J8" s="53" t="s">
        <v>71</v>
      </c>
      <c r="K8" s="61" t="s">
        <v>72</v>
      </c>
      <c r="L8" s="63" t="s">
        <v>73</v>
      </c>
      <c r="M8" s="63" t="s">
        <v>74</v>
      </c>
      <c r="N8" s="63" t="s">
        <v>75</v>
      </c>
      <c r="O8" s="64"/>
      <c r="P8" s="64"/>
    </row>
    <row r="9" spans="1:16" ht="86.45">
      <c r="A9" s="49" t="str">
        <v>Stockbridge – 92 State Line Road Truck Stop</v>
      </c>
      <c r="B9" s="48" t="str">
        <v>MA</v>
      </c>
      <c r="C9" s="49">
        <v>286134</v>
      </c>
      <c r="D9" s="49">
        <v>297249.0491</v>
      </c>
      <c r="E9" s="49">
        <f t="shared" si="0"/>
        <v>-11115.049100000004</v>
      </c>
      <c r="F9" s="58">
        <f>IFERROR(E9/D9, "")</f>
        <v>-3.7393051831969691E-2</v>
      </c>
      <c r="G9" s="49">
        <v>333008.07</v>
      </c>
      <c r="H9" s="49">
        <f t="shared" si="2"/>
        <v>-46874.070000000007</v>
      </c>
      <c r="I9" s="14">
        <f t="shared" si="3"/>
        <v>-0.14075956177278229</v>
      </c>
      <c r="J9" s="57" t="s">
        <v>76</v>
      </c>
      <c r="K9" s="65" t="s">
        <v>77</v>
      </c>
      <c r="L9" s="63" t="s">
        <v>78</v>
      </c>
      <c r="M9" s="63" t="s">
        <v>79</v>
      </c>
      <c r="N9" s="64"/>
      <c r="O9" s="64"/>
      <c r="P9" s="64"/>
    </row>
    <row r="10" spans="1:16" ht="14.45">
      <c r="A10" s="19"/>
      <c r="B10" s="28"/>
      <c r="C10" s="19"/>
      <c r="D10" s="19"/>
      <c r="E10" s="19"/>
      <c r="F10" s="19"/>
      <c r="G10" s="19"/>
      <c r="H10" s="19"/>
      <c r="I10" s="19" t="str">
        <f t="shared" si="3"/>
        <v/>
      </c>
      <c r="J10" s="19"/>
      <c r="K10" s="19"/>
    </row>
    <row r="11" spans="1:16" ht="14.45">
      <c r="A11" s="19"/>
      <c r="B11" s="28"/>
      <c r="C11" s="19"/>
      <c r="D11" s="19"/>
      <c r="E11" s="19"/>
      <c r="F11" s="19"/>
      <c r="G11" s="19"/>
      <c r="H11" s="19"/>
      <c r="I11" s="19"/>
      <c r="J11" s="19"/>
      <c r="K11" s="19"/>
    </row>
    <row r="12" spans="1:16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6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6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6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6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I11:I79">
    <cfRule type="cellIs" dxfId="30" priority="59" stopIfTrue="1" operator="lessThanOrEqual">
      <formula>-0.1</formula>
    </cfRule>
    <cfRule type="expression" dxfId="29" priority="60">
      <formula>AND(ISNUMBER(F2), F2&gt;=0.1)</formula>
    </cfRule>
  </conditionalFormatting>
  <conditionalFormatting sqref="F4:F79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I4:I9">
    <cfRule type="cellIs" dxfId="26" priority="3" stopIfTrue="1" operator="lessThanOrEqual">
      <formula>-0.1</formula>
    </cfRule>
    <cfRule type="expression" dxfId="25" priority="4">
      <formula>AND(ISNUMBER(I4), I4&gt;=0.1)</formula>
    </cfRule>
  </conditionalFormatting>
  <hyperlinks>
    <hyperlink ref="K4" r:id="rId1" display="https://us3.assetplanner.com/service_request?ID=096051" xr:uid="{189053F4-FE8E-4387-8C53-E1667279B6FE}"/>
    <hyperlink ref="L4" r:id="rId2" display="https://us3.assetplanner.com/service_request?ID=097794" xr:uid="{CFB042A4-30F3-499C-A222-34746F3E0DE4}"/>
    <hyperlink ref="M4" r:id="rId3" display="https://us3.assetplanner.com/service_request?ID=099300" xr:uid="{6F100A17-24F5-497C-B0D7-3A56272BCB37}"/>
    <hyperlink ref="N4" r:id="rId4" display="https://us3.assetplanner.com/service_request?ID=098265" xr:uid="{BA14DF28-B69A-4AB8-86A9-7836E17ECC39}"/>
    <hyperlink ref="O4" r:id="rId5" display="https://us3.assetplanner.com/service_request?ID=098601" xr:uid="{E3C564A5-F0DF-4B75-927D-CD6B3612F69D}"/>
    <hyperlink ref="K5" r:id="rId6" display="https://us3.assetplanner.com/service_request?ID=098211" xr:uid="{97158175-1940-49F5-8895-58927687D3FB}"/>
    <hyperlink ref="K6" r:id="rId7" display="https://us3.assetplanner.com/service_request?ID=096880" xr:uid="{BD518729-D28E-4485-B98E-92D99FE211A7}"/>
    <hyperlink ref="L6" r:id="rId8" display="https://us3.assetplanner.com/service_request?ID=098203" xr:uid="{D8763F6C-5C06-4A0C-AA39-1E7F152F0FB1}"/>
    <hyperlink ref="M6" r:id="rId9" display="https://us3.assetplanner.com/service_request?ID=098685" xr:uid="{C4F05CF5-55DF-444A-87F0-3B46203F8424}"/>
    <hyperlink ref="K7" r:id="rId10" display="https://us3.assetplanner.com/service_request?ID=098182" xr:uid="{F345EEF6-5EB9-4E6A-8A84-9F6E30D215B4}"/>
    <hyperlink ref="K8" r:id="rId11" display="https://us3.assetplanner.com/service_request?ID=097843" xr:uid="{3909B419-73CD-4A95-ABE9-B71C06F2DED0}"/>
    <hyperlink ref="L8" r:id="rId12" display="https://us3.assetplanner.com/service_request?ID=098468" xr:uid="{873789FE-5503-4105-BEEB-0ABC30959DE5}"/>
    <hyperlink ref="M8" r:id="rId13" display="https://us3.assetplanner.com/service_request?ID=098503" xr:uid="{FF52F80A-7695-4989-A7E3-BE88E27EF6E6}"/>
    <hyperlink ref="N8" r:id="rId14" display="https://us3.assetplanner.com/service_request?ID=098604" xr:uid="{EEDFB324-27CB-40AD-90EF-4CBFBFE6223A}"/>
    <hyperlink ref="K9" r:id="rId15" display="https://us3.assetplanner.com/service_request?ID=098230" xr:uid="{E683ED0F-4988-4C1F-856D-E70C5267B322}"/>
    <hyperlink ref="L9" r:id="rId16" display="https://us3.assetplanner.com/service_request?ID=098492" xr:uid="{21C6E328-1E6C-4F97-8EAA-13C7674EA97A}"/>
    <hyperlink ref="M9" r:id="rId17" display="https://us3.assetplanner.com/service_request?ID=099148" xr:uid="{D2F33B52-6EF8-4D6D-9160-235FED3C59CD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E12" sqref="E12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Bradford - 256 Presidential Dr</v>
      </c>
      <c r="B1" s="67"/>
      <c r="C1" s="67"/>
      <c r="D1" s="68" t="s">
        <v>80</v>
      </c>
      <c r="E1" s="68"/>
      <c r="F1" s="68"/>
      <c r="G1" s="66" t="s">
        <v>81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1" ht="69.75" customHeight="1">
      <c r="A4" s="27" t="str" cm="1">
        <f t="array" ref="A4:A9">Sites[Site]</f>
        <v>Bradford - 256 Presidential Dr</v>
      </c>
      <c r="B4" s="26" t="str" cm="1">
        <f t="array" ref="B4:B9">Sites[State]</f>
        <v>MA</v>
      </c>
      <c r="C4" s="22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5"/>
      <c r="K4" s="35"/>
    </row>
    <row r="5" spans="1:11" ht="14.45">
      <c r="A5" s="49" t="str">
        <v>Charlton – 111 Brookfield Road - Bus Lot</v>
      </c>
      <c r="B5" s="48" t="str">
        <v>MA</v>
      </c>
      <c r="C5" s="49"/>
      <c r="D5" s="49"/>
      <c r="E5" s="49"/>
      <c r="F5" s="58"/>
      <c r="G5" s="49"/>
      <c r="H5" s="49"/>
      <c r="I5" s="59"/>
      <c r="J5" s="57"/>
      <c r="K5" s="65"/>
    </row>
    <row r="6" spans="1:11" ht="15.6">
      <c r="A6" s="45" t="str">
        <v>Charlton – 154 Center Depot Road KMARD</v>
      </c>
      <c r="B6" s="26" t="str">
        <v>MA</v>
      </c>
      <c r="C6" s="55"/>
      <c r="D6" s="11"/>
      <c r="E6" s="11"/>
      <c r="F6" s="12"/>
      <c r="G6" s="56"/>
      <c r="H6" s="13"/>
      <c r="I6" s="14"/>
      <c r="J6" s="53"/>
      <c r="K6" s="61"/>
    </row>
    <row r="7" spans="1:11" ht="14.45">
      <c r="A7" s="49" t="str">
        <v>Charlton – 142A Brookfield Rd (Mitchell)</v>
      </c>
      <c r="B7" s="48" t="str">
        <v>MA</v>
      </c>
      <c r="C7" s="49"/>
      <c r="D7" s="49"/>
      <c r="E7" s="49"/>
      <c r="F7" s="58"/>
      <c r="G7" s="49"/>
      <c r="H7" s="49"/>
      <c r="I7" s="14"/>
      <c r="J7" s="57"/>
      <c r="K7" s="65"/>
    </row>
    <row r="8" spans="1:11" ht="15.6">
      <c r="A8" s="45" t="str">
        <v>Great Barrington – 3 Nolan  Drive</v>
      </c>
      <c r="B8" s="26" t="str">
        <v>MA</v>
      </c>
      <c r="C8" s="55"/>
      <c r="D8" s="11"/>
      <c r="E8" s="11"/>
      <c r="F8" s="12"/>
      <c r="G8" s="56"/>
      <c r="H8" s="13"/>
      <c r="I8" s="14"/>
      <c r="J8" s="53"/>
      <c r="K8" s="61"/>
    </row>
    <row r="9" spans="1:11" ht="14.45">
      <c r="A9" s="49" t="str">
        <v>Stockbridge – 92 State Line Road Truck Stop</v>
      </c>
      <c r="B9" s="48" t="str">
        <v>MA</v>
      </c>
      <c r="C9" s="49"/>
      <c r="D9" s="49"/>
      <c r="E9" s="49"/>
      <c r="F9" s="58"/>
      <c r="G9" s="49"/>
      <c r="H9" s="49"/>
      <c r="I9" s="14"/>
      <c r="J9" s="57"/>
      <c r="K9" s="65"/>
    </row>
    <row r="10" spans="1:11" ht="14.45">
      <c r="A10" s="19"/>
      <c r="B10" s="28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/>
      <c r="B11" s="28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 I4 I10:I79 F10:F79">
    <cfRule type="cellIs" dxfId="24" priority="7" stopIfTrue="1" operator="lessThanOrEqual">
      <formula>-0.1</formula>
    </cfRule>
    <cfRule type="expression" dxfId="23" priority="8">
      <formula>AND(ISNUMBER(F2), F2&gt;=0.1)</formula>
    </cfRule>
  </conditionalFormatting>
  <conditionalFormatting sqref="F5:F9">
    <cfRule type="cellIs" dxfId="22" priority="1" stopIfTrue="1" operator="lessThanOrEqual">
      <formula>-0.1</formula>
    </cfRule>
    <cfRule type="expression" dxfId="21" priority="2">
      <formula>AND(ISNUMBER(F5), F5&gt;=0.1)</formula>
    </cfRule>
  </conditionalFormatting>
  <conditionalFormatting sqref="I5:I9">
    <cfRule type="cellIs" dxfId="20" priority="3" stopIfTrue="1" operator="lessThanOrEqual">
      <formula>-0.1</formula>
    </cfRule>
    <cfRule type="expression" dxfId="19" priority="4">
      <formula>AND(ISNUMBER(I5), I5&gt;=0.1)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D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Bradford - 256 Presidential Dr</v>
      </c>
      <c r="B1" s="67"/>
      <c r="C1" s="67"/>
      <c r="D1" s="68" t="s">
        <v>82</v>
      </c>
      <c r="E1" s="68"/>
      <c r="F1" s="68"/>
      <c r="G1" s="66" t="s">
        <v>83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1" ht="15.6">
      <c r="A4" s="27" t="str" cm="1">
        <f t="array" ref="A4:A9">Sites[Site]</f>
        <v>Bradford - 256 Presidential Dr</v>
      </c>
      <c r="B4" s="26" t="str" cm="1">
        <f t="array" ref="B4:B9">Sites[State]</f>
        <v>MA</v>
      </c>
      <c r="C4" s="22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5"/>
      <c r="K4" s="35"/>
    </row>
    <row r="5" spans="1:11" ht="14.45">
      <c r="A5" s="19" t="str">
        <v>Charlton – 111 Brookfield Road - Bus Lot</v>
      </c>
      <c r="B5" s="28" t="str">
        <v>MA</v>
      </c>
      <c r="C5" s="19"/>
      <c r="D5" s="19"/>
      <c r="E5" s="19"/>
      <c r="F5" s="19"/>
      <c r="G5" s="19"/>
      <c r="H5" s="19"/>
      <c r="I5" s="19"/>
      <c r="J5" s="19"/>
      <c r="K5" s="19"/>
    </row>
    <row r="6" spans="1:11" ht="14.45">
      <c r="A6" s="19" t="str">
        <v>Charlton – 154 Center Depot Road KMARD</v>
      </c>
      <c r="B6" s="28" t="str">
        <v>MA</v>
      </c>
      <c r="C6" s="19"/>
      <c r="D6" s="19"/>
      <c r="E6" s="19"/>
      <c r="F6" s="19"/>
      <c r="G6" s="19"/>
      <c r="H6" s="19"/>
      <c r="I6" s="19"/>
      <c r="J6" s="19"/>
      <c r="K6" s="19"/>
    </row>
    <row r="7" spans="1:11" ht="14.45">
      <c r="A7" s="19" t="str">
        <v>Charlton – 142A Brookfield Rd (Mitchell)</v>
      </c>
      <c r="B7" s="28" t="str">
        <v>MA</v>
      </c>
      <c r="C7" s="19"/>
      <c r="D7" s="19"/>
      <c r="E7" s="19"/>
      <c r="F7" s="19"/>
      <c r="G7" s="19"/>
      <c r="H7" s="19"/>
      <c r="I7" s="19"/>
      <c r="J7" s="19"/>
      <c r="K7" s="19"/>
    </row>
    <row r="8" spans="1:11" ht="14.45">
      <c r="A8" s="19" t="str">
        <v>Great Barrington – 3 Nolan  Drive</v>
      </c>
      <c r="B8" s="28" t="str">
        <v>MA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Stockbridge – 92 State Line Road Truck Stop</v>
      </c>
      <c r="B9" s="28" t="str">
        <v>MA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/>
      <c r="B10" s="28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/>
      <c r="B11" s="28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Bradford - 256 Presidential Dr</v>
      </c>
      <c r="B1" s="67"/>
      <c r="C1" s="67"/>
      <c r="D1" s="68" t="s">
        <v>84</v>
      </c>
      <c r="E1" s="68"/>
      <c r="F1" s="68"/>
      <c r="G1" s="66" t="s">
        <v>85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1" ht="15.6">
      <c r="A4" s="27" t="str" cm="1">
        <f t="array" ref="A4:A9">Sites[Site]</f>
        <v>Bradford - 256 Presidential Dr</v>
      </c>
      <c r="B4" s="26" t="str" cm="1">
        <f t="array" ref="B4:B9">Sites[State]</f>
        <v>MA</v>
      </c>
      <c r="C4" s="22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5"/>
      <c r="K4" s="35"/>
    </row>
    <row r="5" spans="1:11" ht="14.45">
      <c r="A5" s="19" t="str">
        <v>Charlton – 111 Brookfield Road - Bus Lot</v>
      </c>
      <c r="B5" s="28" t="str">
        <v>MA</v>
      </c>
      <c r="C5" s="19"/>
      <c r="D5" s="19"/>
      <c r="E5" s="19"/>
      <c r="F5" s="19"/>
      <c r="G5" s="19"/>
      <c r="H5" s="19"/>
      <c r="I5" s="19"/>
      <c r="J5" s="19"/>
      <c r="K5" s="19"/>
    </row>
    <row r="6" spans="1:11" ht="14.45">
      <c r="A6" s="19" t="str">
        <v>Charlton – 154 Center Depot Road KMARD</v>
      </c>
      <c r="B6" s="28" t="str">
        <v>MA</v>
      </c>
      <c r="C6" s="19"/>
      <c r="D6" s="19"/>
      <c r="E6" s="19"/>
      <c r="F6" s="19"/>
      <c r="G6" s="19"/>
      <c r="H6" s="19"/>
      <c r="I6" s="19"/>
      <c r="J6" s="19"/>
      <c r="K6" s="19"/>
    </row>
    <row r="7" spans="1:11" ht="14.45">
      <c r="A7" s="19" t="str">
        <v>Charlton – 142A Brookfield Rd (Mitchell)</v>
      </c>
      <c r="B7" s="28" t="str">
        <v>MA</v>
      </c>
      <c r="C7" s="19"/>
      <c r="D7" s="19"/>
      <c r="E7" s="19"/>
      <c r="F7" s="19"/>
      <c r="G7" s="19"/>
      <c r="H7" s="19"/>
      <c r="I7" s="19"/>
      <c r="J7" s="19"/>
      <c r="K7" s="19"/>
    </row>
    <row r="8" spans="1:11" ht="14.45">
      <c r="A8" s="19" t="str">
        <v>Great Barrington – 3 Nolan  Drive</v>
      </c>
      <c r="B8" s="28" t="str">
        <v>MA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Stockbridge – 92 State Line Road Truck Stop</v>
      </c>
      <c r="B9" s="28" t="str">
        <v>MA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/>
      <c r="B10" s="28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/>
      <c r="B11" s="28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Bradford - 256 Presidential Dr</v>
      </c>
      <c r="B1" s="67"/>
      <c r="C1" s="67"/>
      <c r="D1" s="68" t="s">
        <v>86</v>
      </c>
      <c r="E1" s="68"/>
      <c r="F1" s="68"/>
      <c r="G1" s="66" t="s">
        <v>87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1" ht="15.6">
      <c r="A4" s="27" t="str" cm="1">
        <f t="array" ref="A4:A9">Sites[Site]</f>
        <v>Bradford - 256 Presidential Dr</v>
      </c>
      <c r="B4" s="26" t="str" cm="1">
        <f t="array" ref="B4:B9">Sites[State]</f>
        <v>MA</v>
      </c>
      <c r="C4" s="22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5"/>
      <c r="K4" s="35"/>
    </row>
    <row r="5" spans="1:11" ht="14.45">
      <c r="A5" s="19" t="str">
        <v>Charlton – 111 Brookfield Road - Bus Lot</v>
      </c>
      <c r="B5" s="28" t="str">
        <v>MA</v>
      </c>
      <c r="C5" s="19"/>
      <c r="D5" s="19"/>
      <c r="E5" s="19"/>
      <c r="F5" s="19"/>
      <c r="G5" s="19"/>
      <c r="H5" s="19"/>
      <c r="I5" s="19"/>
      <c r="J5" s="19"/>
      <c r="K5" s="19"/>
    </row>
    <row r="6" spans="1:11" ht="14.45">
      <c r="A6" s="19" t="str">
        <v>Charlton – 154 Center Depot Road KMARD</v>
      </c>
      <c r="B6" s="28" t="str">
        <v>MA</v>
      </c>
      <c r="C6" s="19"/>
      <c r="D6" s="19"/>
      <c r="E6" s="19"/>
      <c r="F6" s="19"/>
      <c r="G6" s="19"/>
      <c r="H6" s="19"/>
      <c r="I6" s="19"/>
      <c r="J6" s="19"/>
      <c r="K6" s="19"/>
    </row>
    <row r="7" spans="1:11" ht="14.45">
      <c r="A7" s="19" t="str">
        <v>Charlton – 142A Brookfield Rd (Mitchell)</v>
      </c>
      <c r="B7" s="28" t="str">
        <v>MA</v>
      </c>
      <c r="C7" s="19"/>
      <c r="D7" s="19"/>
      <c r="E7" s="19"/>
      <c r="F7" s="19"/>
      <c r="G7" s="19"/>
      <c r="H7" s="19"/>
      <c r="I7" s="19"/>
      <c r="J7" s="19"/>
      <c r="K7" s="19"/>
    </row>
    <row r="8" spans="1:11" ht="14.45">
      <c r="A8" s="19" t="str">
        <v>Great Barrington – 3 Nolan  Drive</v>
      </c>
      <c r="B8" s="28" t="str">
        <v>MA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Stockbridge – 92 State Line Road Truck Stop</v>
      </c>
      <c r="B9" s="28" t="str">
        <v>MA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/>
      <c r="B10" s="28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/>
      <c r="B11" s="28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Bradford - 256 Presidential Dr</v>
      </c>
      <c r="B1" s="67"/>
      <c r="C1" s="67"/>
      <c r="D1" s="68" t="s">
        <v>88</v>
      </c>
      <c r="E1" s="68"/>
      <c r="F1" s="68"/>
      <c r="G1" s="66" t="s">
        <v>89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1" ht="15.6">
      <c r="A4" s="27" t="str" cm="1">
        <f t="array" ref="A4:A9">Sites[Site]</f>
        <v>Bradford - 256 Presidential Dr</v>
      </c>
      <c r="B4" s="26" t="str" cm="1">
        <f t="array" ref="B4:B9">Sites[State]</f>
        <v>MA</v>
      </c>
      <c r="C4" s="22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5"/>
      <c r="K4" s="35"/>
    </row>
    <row r="5" spans="1:11" ht="14.45">
      <c r="A5" s="19" t="str">
        <v>Charlton – 111 Brookfield Road - Bus Lot</v>
      </c>
      <c r="B5" s="28" t="str">
        <v>MA</v>
      </c>
      <c r="C5" s="19"/>
      <c r="D5" s="19"/>
      <c r="E5" s="19"/>
      <c r="F5" s="19"/>
      <c r="G5" s="19"/>
      <c r="H5" s="19"/>
      <c r="I5" s="19"/>
      <c r="J5" s="19"/>
      <c r="K5" s="19"/>
    </row>
    <row r="6" spans="1:11" ht="14.45">
      <c r="A6" s="19" t="str">
        <v>Charlton – 154 Center Depot Road KMARD</v>
      </c>
      <c r="B6" s="28" t="str">
        <v>MA</v>
      </c>
      <c r="C6" s="19"/>
      <c r="D6" s="19"/>
      <c r="E6" s="19"/>
      <c r="F6" s="19"/>
      <c r="G6" s="19"/>
      <c r="H6" s="19"/>
      <c r="I6" s="19"/>
      <c r="J6" s="19"/>
      <c r="K6" s="19"/>
    </row>
    <row r="7" spans="1:11" ht="14.45">
      <c r="A7" s="19" t="str">
        <v>Charlton – 142A Brookfield Rd (Mitchell)</v>
      </c>
      <c r="B7" s="28" t="str">
        <v>MA</v>
      </c>
      <c r="C7" s="19"/>
      <c r="D7" s="19"/>
      <c r="E7" s="19"/>
      <c r="F7" s="19"/>
      <c r="G7" s="19"/>
      <c r="H7" s="19"/>
      <c r="I7" s="19"/>
      <c r="J7" s="19"/>
      <c r="K7" s="19"/>
    </row>
    <row r="8" spans="1:11" ht="14.45">
      <c r="A8" s="19" t="str">
        <v>Great Barrington – 3 Nolan  Drive</v>
      </c>
      <c r="B8" s="28" t="str">
        <v>MA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Stockbridge – 92 State Line Road Truck Stop</v>
      </c>
      <c r="B9" s="28" t="str">
        <v>MA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/>
      <c r="B10" s="28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/>
      <c r="B11" s="28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Bradford - 256 Presidential Dr</v>
      </c>
      <c r="B1" s="67"/>
      <c r="C1" s="67"/>
      <c r="D1" s="68" t="s">
        <v>90</v>
      </c>
      <c r="E1" s="68"/>
      <c r="F1" s="68"/>
      <c r="G1" s="66" t="s">
        <v>91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1" ht="15.6">
      <c r="A4" s="27" t="str" cm="1">
        <f t="array" ref="A4:A9">Sites[Site]</f>
        <v>Bradford - 256 Presidential Dr</v>
      </c>
      <c r="B4" s="26" t="str" cm="1">
        <f t="array" ref="B4:B9">Sites[State]</f>
        <v>MA</v>
      </c>
      <c r="C4" s="22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5"/>
      <c r="K4" s="35"/>
    </row>
    <row r="5" spans="1:11" ht="14.45">
      <c r="A5" s="19" t="str">
        <v>Charlton – 111 Brookfield Road - Bus Lot</v>
      </c>
      <c r="B5" s="28" t="str">
        <v>MA</v>
      </c>
      <c r="C5" s="19"/>
      <c r="D5" s="19"/>
      <c r="E5" s="19"/>
      <c r="F5" s="19"/>
      <c r="G5" s="19"/>
      <c r="H5" s="19"/>
      <c r="I5" s="19"/>
      <c r="J5" s="19"/>
      <c r="K5" s="19"/>
    </row>
    <row r="6" spans="1:11" ht="14.45">
      <c r="A6" s="19" t="str">
        <v>Charlton – 154 Center Depot Road KMARD</v>
      </c>
      <c r="B6" s="28" t="str">
        <v>MA</v>
      </c>
      <c r="C6" s="19"/>
      <c r="D6" s="19"/>
      <c r="E6" s="19"/>
      <c r="F6" s="19"/>
      <c r="G6" s="19"/>
      <c r="H6" s="19"/>
      <c r="I6" s="19"/>
      <c r="J6" s="19"/>
      <c r="K6" s="19"/>
    </row>
    <row r="7" spans="1:11" ht="14.45">
      <c r="A7" s="19" t="str">
        <v>Charlton – 142A Brookfield Rd (Mitchell)</v>
      </c>
      <c r="B7" s="28" t="str">
        <v>MA</v>
      </c>
      <c r="C7" s="19"/>
      <c r="D7" s="19"/>
      <c r="E7" s="19"/>
      <c r="F7" s="19"/>
      <c r="G7" s="19"/>
      <c r="H7" s="19"/>
      <c r="I7" s="19"/>
      <c r="J7" s="19"/>
      <c r="K7" s="19"/>
    </row>
    <row r="8" spans="1:11" ht="14.45">
      <c r="A8" s="19" t="str">
        <v>Great Barrington – 3 Nolan  Drive</v>
      </c>
      <c r="B8" s="28" t="str">
        <v>MA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Stockbridge – 92 State Line Road Truck Stop</v>
      </c>
      <c r="B9" s="28" t="str">
        <v>MA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/>
      <c r="B10" s="28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/>
      <c r="B11" s="28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Bradford - 256 Presidential Dr</v>
      </c>
      <c r="B1" s="67"/>
      <c r="C1" s="67"/>
      <c r="D1" s="68" t="s">
        <v>92</v>
      </c>
      <c r="E1" s="68"/>
      <c r="F1" s="68"/>
      <c r="G1" s="66" t="s">
        <v>93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1" ht="15.6">
      <c r="A4" s="27" t="str" cm="1">
        <f t="array" ref="A4:A9">Sites[Site]</f>
        <v>Bradford - 256 Presidential Dr</v>
      </c>
      <c r="B4" s="26" t="str" cm="1">
        <f t="array" ref="B4:B9">Sites[State]</f>
        <v>MA</v>
      </c>
      <c r="C4" s="22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5"/>
      <c r="K4" s="35"/>
    </row>
    <row r="5" spans="1:11" ht="14.45">
      <c r="A5" s="19" t="str">
        <v>Charlton – 111 Brookfield Road - Bus Lot</v>
      </c>
      <c r="B5" s="28" t="str">
        <v>MA</v>
      </c>
      <c r="C5" s="19"/>
      <c r="D5" s="19"/>
      <c r="E5" s="19"/>
      <c r="F5" s="19"/>
      <c r="G5" s="19"/>
      <c r="H5" s="19"/>
      <c r="I5" s="19"/>
      <c r="J5" s="19"/>
      <c r="K5" s="19"/>
    </row>
    <row r="6" spans="1:11" ht="14.45">
      <c r="A6" s="19" t="str">
        <v>Charlton – 154 Center Depot Road KMARD</v>
      </c>
      <c r="B6" s="28" t="str">
        <v>MA</v>
      </c>
      <c r="C6" s="19"/>
      <c r="D6" s="19"/>
      <c r="E6" s="19"/>
      <c r="F6" s="19"/>
      <c r="G6" s="19"/>
      <c r="H6" s="19"/>
      <c r="I6" s="19"/>
      <c r="J6" s="19"/>
      <c r="K6" s="19"/>
    </row>
    <row r="7" spans="1:11" ht="14.45">
      <c r="A7" s="19" t="str">
        <v>Charlton – 142A Brookfield Rd (Mitchell)</v>
      </c>
      <c r="B7" s="28" t="str">
        <v>MA</v>
      </c>
      <c r="C7" s="19"/>
      <c r="D7" s="19"/>
      <c r="E7" s="19"/>
      <c r="F7" s="19"/>
      <c r="G7" s="19"/>
      <c r="H7" s="19"/>
      <c r="I7" s="19"/>
      <c r="J7" s="19"/>
      <c r="K7" s="19"/>
    </row>
    <row r="8" spans="1:11" ht="14.45">
      <c r="A8" s="19" t="str">
        <v>Great Barrington – 3 Nolan  Drive</v>
      </c>
      <c r="B8" s="28" t="str">
        <v>MA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Stockbridge – 92 State Line Road Truck Stop</v>
      </c>
      <c r="B9" s="28" t="str">
        <v>MA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/>
      <c r="B10" s="28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/>
      <c r="B11" s="28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Bradford - 256 Presidential Dr</v>
      </c>
      <c r="B1" s="67"/>
      <c r="C1" s="67"/>
      <c r="D1" s="68" t="s">
        <v>94</v>
      </c>
      <c r="E1" s="68"/>
      <c r="F1" s="68"/>
      <c r="G1" s="66" t="s">
        <v>95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1" ht="15.6">
      <c r="A4" s="27" t="str" cm="1">
        <f t="array" ref="A4:A9">Sites[Site]</f>
        <v>Bradford - 256 Presidential Dr</v>
      </c>
      <c r="B4" s="26" t="str" cm="1">
        <f t="array" ref="B4:B9">Sites[State]</f>
        <v>MA</v>
      </c>
      <c r="C4" s="22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5"/>
      <c r="K4" s="35"/>
    </row>
    <row r="5" spans="1:11" ht="14.45">
      <c r="A5" s="19" t="str">
        <v>Charlton – 111 Brookfield Road - Bus Lot</v>
      </c>
      <c r="B5" s="28" t="str">
        <v>MA</v>
      </c>
      <c r="C5" s="19"/>
      <c r="D5" s="19"/>
      <c r="E5" s="19"/>
      <c r="F5" s="19"/>
      <c r="G5" s="19"/>
      <c r="H5" s="19"/>
      <c r="I5" s="19"/>
      <c r="J5" s="19"/>
      <c r="K5" s="19"/>
    </row>
    <row r="6" spans="1:11" ht="14.45">
      <c r="A6" s="19" t="str">
        <v>Charlton – 154 Center Depot Road KMARD</v>
      </c>
      <c r="B6" s="28" t="str">
        <v>MA</v>
      </c>
      <c r="C6" s="19"/>
      <c r="D6" s="19"/>
      <c r="E6" s="19"/>
      <c r="F6" s="19"/>
      <c r="G6" s="19"/>
      <c r="H6" s="19"/>
      <c r="I6" s="19"/>
      <c r="J6" s="19"/>
      <c r="K6" s="19"/>
    </row>
    <row r="7" spans="1:11" ht="14.45">
      <c r="A7" s="19" t="str">
        <v>Charlton – 142A Brookfield Rd (Mitchell)</v>
      </c>
      <c r="B7" s="28" t="str">
        <v>MA</v>
      </c>
      <c r="C7" s="19"/>
      <c r="D7" s="19"/>
      <c r="E7" s="19"/>
      <c r="F7" s="19"/>
      <c r="G7" s="19"/>
      <c r="H7" s="19"/>
      <c r="I7" s="19"/>
      <c r="J7" s="19"/>
      <c r="K7" s="19"/>
    </row>
    <row r="8" spans="1:11" ht="14.45">
      <c r="A8" s="19" t="str">
        <v>Great Barrington – 3 Nolan  Drive</v>
      </c>
      <c r="B8" s="28" t="str">
        <v>MA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Stockbridge – 92 State Line Road Truck Stop</v>
      </c>
      <c r="B9" s="28" t="str">
        <v>MA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/>
      <c r="B10" s="28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/>
      <c r="B11" s="28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2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Bradford - 256 Presidential Dr</v>
      </c>
      <c r="B1" s="67"/>
      <c r="C1" s="67"/>
      <c r="D1" s="68" t="s">
        <v>96</v>
      </c>
      <c r="E1" s="68"/>
      <c r="F1" s="68"/>
      <c r="G1" s="66" t="s">
        <v>97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0" t="s">
        <v>6</v>
      </c>
      <c r="E3" s="30" t="s">
        <v>7</v>
      </c>
      <c r="F3" s="31" t="s">
        <v>8</v>
      </c>
      <c r="G3" s="32" t="s">
        <v>9</v>
      </c>
      <c r="H3" s="33" t="s">
        <v>7</v>
      </c>
      <c r="I3" s="34" t="s">
        <v>8</v>
      </c>
      <c r="J3" s="23" t="s">
        <v>20</v>
      </c>
      <c r="K3" s="23" t="s">
        <v>21</v>
      </c>
    </row>
    <row r="4" spans="1:11" ht="15.6">
      <c r="A4" s="27" t="str" cm="1">
        <f t="array" ref="A4:A9">Sites[Site]</f>
        <v>Bradford - 256 Presidential Dr</v>
      </c>
      <c r="B4" s="26" t="str" cm="1">
        <f t="array" ref="B4:B9">Sites[State]</f>
        <v>MA</v>
      </c>
      <c r="C4" s="22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5"/>
      <c r="K4" s="35"/>
    </row>
    <row r="5" spans="1:11" ht="14.45">
      <c r="A5" s="19" t="str">
        <v>Charlton – 111 Brookfield Road - Bus Lot</v>
      </c>
      <c r="B5" s="28" t="str">
        <v>MA</v>
      </c>
      <c r="C5" s="19"/>
      <c r="D5" s="19"/>
      <c r="E5" s="19"/>
      <c r="F5" s="19"/>
      <c r="G5" s="19"/>
      <c r="H5" s="19"/>
      <c r="I5" s="19"/>
      <c r="J5" s="19"/>
      <c r="K5" s="19"/>
    </row>
    <row r="6" spans="1:11" ht="14.45">
      <c r="A6" s="19" t="str">
        <v>Charlton – 154 Center Depot Road KMARD</v>
      </c>
      <c r="B6" s="28" t="str">
        <v>MA</v>
      </c>
      <c r="C6" s="19"/>
      <c r="D6" s="19"/>
      <c r="E6" s="19"/>
      <c r="F6" s="19"/>
      <c r="G6" s="19"/>
      <c r="H6" s="19"/>
      <c r="I6" s="19"/>
      <c r="J6" s="19"/>
      <c r="K6" s="19"/>
    </row>
    <row r="7" spans="1:11" ht="14.45">
      <c r="A7" s="19" t="str">
        <v>Charlton – 142A Brookfield Rd (Mitchell)</v>
      </c>
      <c r="B7" s="28" t="str">
        <v>MA</v>
      </c>
      <c r="C7" s="19"/>
      <c r="D7" s="19"/>
      <c r="E7" s="19"/>
      <c r="F7" s="19"/>
      <c r="G7" s="19"/>
      <c r="H7" s="19"/>
      <c r="I7" s="19"/>
      <c r="J7" s="19"/>
      <c r="K7" s="19"/>
    </row>
    <row r="8" spans="1:11" ht="14.45">
      <c r="A8" s="19" t="str">
        <v>Great Barrington – 3 Nolan  Drive</v>
      </c>
      <c r="B8" s="28" t="str">
        <v>MA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ht="14.45">
      <c r="A9" s="19" t="str">
        <v>Stockbridge – 92 State Line Road Truck Stop</v>
      </c>
      <c r="B9" s="28" t="str">
        <v>MA</v>
      </c>
      <c r="C9" s="19"/>
      <c r="D9" s="19"/>
      <c r="E9" s="19"/>
      <c r="F9" s="19"/>
      <c r="G9" s="19"/>
      <c r="H9" s="19"/>
      <c r="I9" s="19"/>
      <c r="J9" s="19"/>
      <c r="K9" s="19"/>
    </row>
    <row r="10" spans="1:11" ht="14.45">
      <c r="A10" s="19"/>
      <c r="B10" s="28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4.45">
      <c r="A11" s="19"/>
      <c r="B11" s="28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28"/>
      <c r="C12" s="19"/>
      <c r="D12" s="19"/>
      <c r="E12" s="19"/>
      <c r="F12" s="20"/>
      <c r="G12" s="19"/>
      <c r="H12" s="19"/>
      <c r="I12" s="20"/>
      <c r="J12" s="19"/>
      <c r="K12" s="19"/>
    </row>
    <row r="13" spans="1:11" ht="14.45">
      <c r="A13" s="19"/>
      <c r="B13" s="28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28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28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28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28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28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28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28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28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28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28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28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28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28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28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28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28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28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28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28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28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28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28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28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28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28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28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28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28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28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28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28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28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28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28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28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28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28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28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28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28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28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28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28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28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28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28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28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28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28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28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28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28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28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28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28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28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28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28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28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28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28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28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28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28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28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28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28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28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28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28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28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28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28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28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28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28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28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28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28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28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28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28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28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28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28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28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28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28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28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28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28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28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28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28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28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28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28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28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28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28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28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28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28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28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28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28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28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28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28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28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28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28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28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28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28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28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28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28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28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28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28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28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28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28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28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28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28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28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28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28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28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28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28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28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28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28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28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28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28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28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28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28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28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28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28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28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28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28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28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28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28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28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28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28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28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28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28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28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28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28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28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28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28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28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28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28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28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28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28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28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28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28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28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28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28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28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28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28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28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28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28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28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28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28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28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28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28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28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28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28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28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28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28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28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28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28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28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28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28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28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28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28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28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28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28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28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28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28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28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28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28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28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28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28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28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28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28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28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28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28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28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28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28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28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28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28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28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28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28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28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28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28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28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28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28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28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28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28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28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28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28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28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28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28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28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28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28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28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28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28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28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28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28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28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28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28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28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28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28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28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28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28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28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28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28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28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28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28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28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28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28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28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28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28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28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28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28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28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28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28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28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28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28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28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28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28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28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28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28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28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28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28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28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28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28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28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28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28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28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28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28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28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28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28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28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28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28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5" sqref="A5:XFD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98</v>
      </c>
      <c r="B1" t="s">
        <v>99</v>
      </c>
    </row>
    <row r="3" spans="1:12" ht="13.15">
      <c r="A3" t="s">
        <v>100</v>
      </c>
      <c r="B3" t="s">
        <v>3</v>
      </c>
      <c r="C3" t="s">
        <v>4</v>
      </c>
      <c r="D3" t="s">
        <v>101</v>
      </c>
      <c r="E3" s="2" t="s">
        <v>102</v>
      </c>
    </row>
    <row r="4" spans="1:12" ht="14.45">
      <c r="A4" s="41" t="s">
        <v>103</v>
      </c>
      <c r="B4" t="s">
        <v>99</v>
      </c>
      <c r="C4" s="39" t="s">
        <v>104</v>
      </c>
      <c r="D4" s="38" t="s">
        <v>105</v>
      </c>
      <c r="E4" t="s">
        <v>106</v>
      </c>
      <c r="G4" s="3"/>
    </row>
    <row r="5" spans="1:12" ht="14.45">
      <c r="A5" s="47" t="s">
        <v>107</v>
      </c>
      <c r="B5" s="46" t="s">
        <v>108</v>
      </c>
      <c r="C5" s="39" t="s">
        <v>104</v>
      </c>
      <c r="E5" s="46" t="s">
        <v>106</v>
      </c>
      <c r="G5" s="3"/>
    </row>
    <row r="6" spans="1:12" ht="14.45">
      <c r="A6" s="47" t="s">
        <v>109</v>
      </c>
      <c r="B6" s="46" t="s">
        <v>110</v>
      </c>
      <c r="C6" s="39" t="s">
        <v>104</v>
      </c>
      <c r="D6" s="38"/>
      <c r="E6" t="s">
        <v>106</v>
      </c>
      <c r="G6" s="3"/>
    </row>
    <row r="7" spans="1:12" ht="12.75" customHeight="1">
      <c r="A7" s="47" t="s">
        <v>111</v>
      </c>
      <c r="B7" s="46" t="s">
        <v>112</v>
      </c>
      <c r="C7" s="39" t="s">
        <v>104</v>
      </c>
      <c r="D7" s="38"/>
      <c r="E7" t="s">
        <v>106</v>
      </c>
    </row>
    <row r="8" spans="1:12" ht="12.75" customHeight="1">
      <c r="A8" s="47" t="s">
        <v>113</v>
      </c>
      <c r="B8" s="46" t="s">
        <v>114</v>
      </c>
      <c r="C8" s="39" t="s">
        <v>104</v>
      </c>
      <c r="D8" s="38"/>
      <c r="E8" t="s">
        <v>106</v>
      </c>
    </row>
    <row r="9" spans="1:12" ht="12.75" customHeight="1">
      <c r="A9" s="47" t="s">
        <v>115</v>
      </c>
      <c r="B9" s="46" t="s">
        <v>116</v>
      </c>
      <c r="C9" s="39" t="s">
        <v>104</v>
      </c>
      <c r="D9" s="38"/>
      <c r="E9" t="s">
        <v>106</v>
      </c>
    </row>
    <row r="10" spans="1:12" ht="12.75" customHeight="1">
      <c r="A10" s="41"/>
      <c r="C10" s="39"/>
      <c r="D10" s="38"/>
      <c r="K10" s="36"/>
      <c r="L10" s="36"/>
    </row>
    <row r="11" spans="1:12" ht="12.75" customHeight="1">
      <c r="A11" s="41"/>
      <c r="C11" s="39"/>
      <c r="D11" s="38"/>
      <c r="K11" s="36"/>
      <c r="L11" s="36"/>
    </row>
    <row r="12" spans="1:12" ht="12.75" customHeight="1">
      <c r="A12" s="41"/>
      <c r="C12" s="39"/>
      <c r="D12" s="38"/>
      <c r="K12" s="36"/>
      <c r="L12" s="36"/>
    </row>
    <row r="13" spans="1:12" ht="12.75" customHeight="1">
      <c r="A13" s="41"/>
      <c r="C13" s="39"/>
      <c r="D13" s="38"/>
      <c r="K13" s="36"/>
      <c r="L13" s="36"/>
    </row>
    <row r="14" spans="1:12" ht="12.75" customHeight="1">
      <c r="A14" s="41"/>
      <c r="C14" s="39"/>
      <c r="D14" s="38"/>
      <c r="K14" s="36"/>
      <c r="L14" s="36"/>
    </row>
    <row r="15" spans="1:12" ht="12.75" customHeight="1">
      <c r="A15" s="41"/>
      <c r="C15" s="39"/>
      <c r="D15" s="38"/>
      <c r="K15" s="36"/>
      <c r="L15" s="36"/>
    </row>
    <row r="16" spans="1:12" ht="12.75" customHeight="1">
      <c r="A16" s="41"/>
      <c r="C16" s="39"/>
      <c r="D16" s="38"/>
      <c r="K16" s="36"/>
      <c r="L16" s="36"/>
    </row>
    <row r="17" spans="1:12" ht="12.75" customHeight="1">
      <c r="A17" s="41"/>
      <c r="C17" s="39"/>
      <c r="D17" s="38"/>
      <c r="K17" s="36"/>
      <c r="L17" s="36"/>
    </row>
    <row r="18" spans="1:12" ht="12.75" customHeight="1">
      <c r="A18" s="41"/>
      <c r="C18" s="39"/>
      <c r="D18" s="38"/>
      <c r="K18" s="36"/>
      <c r="L18" s="36"/>
    </row>
    <row r="19" spans="1:12" ht="12.75" customHeight="1">
      <c r="A19" s="41"/>
      <c r="C19" s="39"/>
      <c r="D19" s="38"/>
      <c r="K19" s="36"/>
      <c r="L19" s="36"/>
    </row>
    <row r="20" spans="1:12" ht="12.75" customHeight="1">
      <c r="A20" s="41"/>
      <c r="C20" s="39"/>
      <c r="D20" s="38"/>
      <c r="K20" s="36"/>
      <c r="L20" s="36"/>
    </row>
    <row r="21" spans="1:12" ht="12.75" customHeight="1">
      <c r="A21" s="41"/>
      <c r="C21" s="39"/>
      <c r="D21" s="38"/>
      <c r="K21" s="36"/>
      <c r="L21" s="36"/>
    </row>
    <row r="22" spans="1:12" ht="12.75" customHeight="1">
      <c r="A22" s="41"/>
      <c r="C22" s="39"/>
      <c r="D22" s="38"/>
      <c r="K22" s="36"/>
      <c r="L22" s="36"/>
    </row>
    <row r="23" spans="1:12" ht="12.75" customHeight="1">
      <c r="A23" s="41"/>
      <c r="C23" s="39"/>
      <c r="D23" s="38"/>
      <c r="K23" s="36"/>
      <c r="L23" s="36"/>
    </row>
    <row r="24" spans="1:12" ht="12.75" customHeight="1">
      <c r="A24" s="41"/>
      <c r="C24" s="39"/>
      <c r="D24" s="38"/>
      <c r="K24" s="36"/>
      <c r="L24" s="36"/>
    </row>
    <row r="25" spans="1:12" ht="12.75" customHeight="1">
      <c r="A25" s="41"/>
      <c r="C25" s="39"/>
      <c r="D25" s="38"/>
      <c r="K25" s="36"/>
      <c r="L25" s="36"/>
    </row>
    <row r="26" spans="1:12" ht="12.75" customHeight="1">
      <c r="K26" s="36"/>
      <c r="L26" s="36"/>
    </row>
    <row r="27" spans="1:12" ht="12.75" customHeight="1">
      <c r="K27" s="36"/>
      <c r="L27" s="36"/>
    </row>
    <row r="28" spans="1:12" ht="12.75" customHeight="1">
      <c r="K28" s="36"/>
      <c r="L28" s="36"/>
    </row>
    <row r="29" spans="1:12" ht="12.75" customHeight="1">
      <c r="K29" s="36"/>
      <c r="L29" s="36"/>
    </row>
    <row r="30" spans="1:12" ht="12.75" customHeight="1">
      <c r="K30" s="36"/>
      <c r="L30" s="36"/>
    </row>
    <row r="31" spans="1:12" ht="12.75" customHeight="1">
      <c r="K31" s="36"/>
      <c r="L31" s="3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2DA180A8-0009-4982-B2E1-B2DC2E5E41B6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