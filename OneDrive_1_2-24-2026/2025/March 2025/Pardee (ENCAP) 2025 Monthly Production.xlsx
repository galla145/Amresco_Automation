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0" documentId="13_ncr:1_{F3DD5A7E-8642-4576-818F-632411A7BCBF}" xr6:coauthVersionLast="47" xr6:coauthVersionMax="47" xr10:uidLastSave="{00000000-0000-0000-0000-000000000000}"/>
  <bookViews>
    <workbookView xWindow="-108" yWindow="-108" windowWidth="23256" windowHeight="1245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Sites" sheetId="68" r:id="rId16"/>
    <sheet name="Nov" sheetId="32" r:id="rId17"/>
    <sheet name="Dec" sheetId="33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7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6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0" l="1"/>
  <c r="G6" i="30"/>
  <c r="G7" i="30"/>
  <c r="G8" i="30"/>
  <c r="G9" i="30"/>
  <c r="G10" i="30"/>
  <c r="G11" i="30"/>
  <c r="G12" i="30"/>
  <c r="G13" i="30"/>
  <c r="G5" i="30"/>
  <c r="G4" i="30"/>
  <c r="G2" i="30" s="1"/>
  <c r="G6" i="29"/>
  <c r="G7" i="29"/>
  <c r="G8" i="29"/>
  <c r="G9" i="29"/>
  <c r="G10" i="29"/>
  <c r="G11" i="29"/>
  <c r="G12" i="29"/>
  <c r="G13" i="29"/>
  <c r="G14" i="29"/>
  <c r="G5" i="29"/>
  <c r="G4" i="29"/>
  <c r="G2" i="29" s="1"/>
  <c r="G6" i="18"/>
  <c r="G7" i="18"/>
  <c r="G8" i="18"/>
  <c r="G9" i="18"/>
  <c r="G10" i="18"/>
  <c r="G11" i="18"/>
  <c r="G12" i="18"/>
  <c r="G13" i="18"/>
  <c r="G14" i="18"/>
  <c r="G5" i="18"/>
  <c r="G4" i="18"/>
  <c r="G2" i="18" s="1"/>
  <c r="E5" i="33"/>
  <c r="A4" i="19" a="1"/>
  <c r="A4" i="19" s="1"/>
  <c r="A4" i="4" a="1"/>
  <c r="A4" i="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G6" i="1"/>
  <c r="G7" i="1"/>
  <c r="G8" i="1"/>
  <c r="G8" i="34" s="1"/>
  <c r="G9" i="1"/>
  <c r="G9" i="34" s="1"/>
  <c r="G10" i="1"/>
  <c r="G10" i="34" s="1"/>
  <c r="G11" i="1"/>
  <c r="G12" i="1"/>
  <c r="G13" i="1"/>
  <c r="G14" i="1"/>
  <c r="G5" i="1"/>
  <c r="G4" i="1"/>
  <c r="B4" i="34" a="1"/>
  <c r="B4" i="34" s="1"/>
  <c r="A4" i="34" a="1"/>
  <c r="A4" i="34" s="1"/>
  <c r="A1" i="34" a="1"/>
  <c r="A1" i="34" s="1"/>
  <c r="D14" i="30"/>
  <c r="C14" i="30"/>
  <c r="E14" i="30" s="1"/>
  <c r="F14" i="30" s="1"/>
  <c r="D13" i="30"/>
  <c r="C13" i="30"/>
  <c r="D12" i="30"/>
  <c r="C12" i="30"/>
  <c r="D11" i="30"/>
  <c r="C11" i="30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D5" i="30"/>
  <c r="C5" i="30"/>
  <c r="D4" i="30"/>
  <c r="C4" i="30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D5" i="29"/>
  <c r="C5" i="29"/>
  <c r="E5" i="29" s="1"/>
  <c r="F5" i="29" s="1"/>
  <c r="D4" i="29"/>
  <c r="C4" i="29"/>
  <c r="D14" i="18"/>
  <c r="C14" i="18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14" i="1"/>
  <c r="C13" i="1"/>
  <c r="C13" i="34" s="1"/>
  <c r="C12" i="1"/>
  <c r="C12" i="34" s="1"/>
  <c r="C11" i="1"/>
  <c r="C11" i="34" s="1"/>
  <c r="C10" i="1"/>
  <c r="C10" i="34" s="1"/>
  <c r="C9" i="1"/>
  <c r="C9" i="34" s="1"/>
  <c r="C8" i="1"/>
  <c r="C7" i="1"/>
  <c r="C7" i="34" s="1"/>
  <c r="C6" i="1"/>
  <c r="C6" i="34" s="1"/>
  <c r="C5" i="1"/>
  <c r="C5" i="34" s="1"/>
  <c r="C4" i="1"/>
  <c r="D6" i="1"/>
  <c r="D7" i="1"/>
  <c r="D8" i="1"/>
  <c r="D8" i="34" s="1"/>
  <c r="D9" i="1"/>
  <c r="D9" i="34" s="1"/>
  <c r="D10" i="1"/>
  <c r="D10" i="34" s="1"/>
  <c r="D11" i="1"/>
  <c r="D11" i="34" s="1"/>
  <c r="D12" i="1"/>
  <c r="D12" i="34" s="1"/>
  <c r="D13" i="1"/>
  <c r="D13" i="34" s="1"/>
  <c r="D14" i="1"/>
  <c r="D14" i="34" s="1"/>
  <c r="D5" i="1"/>
  <c r="D5" i="34" s="1"/>
  <c r="D4" i="1"/>
  <c r="B4" i="1" a="1"/>
  <c r="B4" i="1" s="1"/>
  <c r="A4" i="1" a="1"/>
  <c r="A4" i="1" s="1"/>
  <c r="A1" i="1" a="1"/>
  <c r="A1" i="1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F5" i="33"/>
  <c r="H4" i="33"/>
  <c r="I4" i="33" s="1"/>
  <c r="E4" i="33"/>
  <c r="F4" i="33" s="1"/>
  <c r="G2" i="33"/>
  <c r="D2" i="33"/>
  <c r="C2" i="33"/>
  <c r="A1" i="33" a="1"/>
  <c r="A1" i="33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C14" i="34" l="1"/>
  <c r="E14" i="34" s="1"/>
  <c r="F14" i="34" s="1"/>
  <c r="C8" i="34"/>
  <c r="E8" i="34" s="1"/>
  <c r="F8" i="34" s="1"/>
  <c r="D7" i="34"/>
  <c r="D6" i="34"/>
  <c r="E6" i="34" s="1"/>
  <c r="F6" i="34" s="1"/>
  <c r="G6" i="34"/>
  <c r="G4" i="34"/>
  <c r="G13" i="34"/>
  <c r="G5" i="34"/>
  <c r="G12" i="34"/>
  <c r="G7" i="34"/>
  <c r="G14" i="34"/>
  <c r="E5" i="18"/>
  <c r="F5" i="18" s="1"/>
  <c r="E6" i="29"/>
  <c r="F6" i="29" s="1"/>
  <c r="G11" i="34"/>
  <c r="E11" i="30"/>
  <c r="F11" i="30" s="1"/>
  <c r="E6" i="30"/>
  <c r="F6" i="30" s="1"/>
  <c r="H12" i="29"/>
  <c r="I12" i="29" s="1"/>
  <c r="E13" i="29"/>
  <c r="F13" i="29" s="1"/>
  <c r="H2" i="26"/>
  <c r="I2" i="26" s="1"/>
  <c r="H2" i="4"/>
  <c r="I2" i="4" s="1"/>
  <c r="H2" i="20"/>
  <c r="I2" i="20" s="1"/>
  <c r="H2" i="21"/>
  <c r="I2" i="21" s="1"/>
  <c r="H2" i="32"/>
  <c r="I2" i="32" s="1"/>
  <c r="H2" i="28"/>
  <c r="I2" i="28" s="1"/>
  <c r="H2" i="33"/>
  <c r="I2" i="33" s="1"/>
  <c r="H2" i="19"/>
  <c r="I2" i="19" s="1"/>
  <c r="D2" i="18"/>
  <c r="H6" i="30"/>
  <c r="I6" i="30" s="1"/>
  <c r="H10" i="29"/>
  <c r="I10" i="29" s="1"/>
  <c r="H2" i="31"/>
  <c r="I2" i="31" s="1"/>
  <c r="D2" i="30"/>
  <c r="E7" i="18"/>
  <c r="F7" i="18" s="1"/>
  <c r="E11" i="18"/>
  <c r="F11" i="18" s="1"/>
  <c r="E8" i="29"/>
  <c r="F8" i="29" s="1"/>
  <c r="E12" i="29"/>
  <c r="F12" i="29" s="1"/>
  <c r="E5" i="30"/>
  <c r="F5" i="30" s="1"/>
  <c r="E9" i="30"/>
  <c r="F9" i="30" s="1"/>
  <c r="E13" i="30"/>
  <c r="F13" i="30" s="1"/>
  <c r="H9" i="29"/>
  <c r="I9" i="29" s="1"/>
  <c r="D4" i="34"/>
  <c r="D2" i="34" s="1"/>
  <c r="E2" i="20"/>
  <c r="F2" i="20" s="1"/>
  <c r="J2" i="4"/>
  <c r="J2" i="32"/>
  <c r="D2" i="29"/>
  <c r="I10" i="27"/>
  <c r="H2" i="27"/>
  <c r="I2" i="27" s="1"/>
  <c r="J2" i="21"/>
  <c r="H13" i="29"/>
  <c r="I13" i="29" s="1"/>
  <c r="E2" i="28"/>
  <c r="F2" i="28" s="1"/>
  <c r="H6" i="29"/>
  <c r="I6" i="29" s="1"/>
  <c r="H7" i="29"/>
  <c r="I7" i="29" s="1"/>
  <c r="E6" i="18"/>
  <c r="F6" i="18" s="1"/>
  <c r="E10" i="18"/>
  <c r="F10" i="18" s="1"/>
  <c r="E14" i="18"/>
  <c r="F14" i="18" s="1"/>
  <c r="E11" i="29"/>
  <c r="F11" i="29" s="1"/>
  <c r="E4" i="30"/>
  <c r="F4" i="30" s="1"/>
  <c r="E8" i="30"/>
  <c r="F8" i="30" s="1"/>
  <c r="E12" i="30"/>
  <c r="F12" i="30" s="1"/>
  <c r="J2" i="20"/>
  <c r="J2" i="19"/>
  <c r="J2" i="26"/>
  <c r="J2" i="27"/>
  <c r="J2" i="28"/>
  <c r="J2" i="31"/>
  <c r="J2" i="33"/>
  <c r="I6" i="33"/>
  <c r="H2" i="3"/>
  <c r="I2" i="3" s="1"/>
  <c r="E11" i="34"/>
  <c r="F11" i="34" s="1"/>
  <c r="E7" i="1"/>
  <c r="F7" i="1" s="1"/>
  <c r="E12" i="34"/>
  <c r="F12" i="34" s="1"/>
  <c r="E5" i="34"/>
  <c r="F5" i="34" s="1"/>
  <c r="E13" i="34"/>
  <c r="F13" i="34" s="1"/>
  <c r="G2" i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14" i="29"/>
  <c r="I14" i="29" s="1"/>
  <c r="H4" i="29"/>
  <c r="I4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H9" i="34"/>
  <c r="I9" i="34" s="1"/>
  <c r="H10" i="34"/>
  <c r="I10" i="34" s="1"/>
  <c r="H11" i="34"/>
  <c r="H12" i="34"/>
  <c r="H13" i="34"/>
  <c r="I13" i="34" s="1"/>
  <c r="H14" i="34"/>
  <c r="E7" i="34"/>
  <c r="F7" i="34" s="1"/>
  <c r="C2" i="29"/>
  <c r="C2" i="30"/>
  <c r="E4" i="29"/>
  <c r="F4" i="29" s="1"/>
  <c r="C2" i="18"/>
  <c r="H7" i="1"/>
  <c r="I7" i="1" s="1"/>
  <c r="H4" i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G2" i="34"/>
  <c r="I14" i="34"/>
  <c r="I12" i="34"/>
  <c r="I11" i="34"/>
  <c r="E2" i="29"/>
  <c r="F2" i="29" s="1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tc={4A15B6EB-7B9B-424C-9435-08A2C479B1FE}</author>
  </authors>
  <commentList>
    <comment ref="C5" authorId="0" shapeId="0" xr:uid="{4A15B6EB-7B9B-424C-9435-08A2C479B1FE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data is taken from inverters data since meter lost communication from 08/22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tc={EC69C0E9-20D7-48F1-B39F-021C2905122D}</author>
  </authors>
  <commentList>
    <comment ref="C5" authorId="0" shapeId="0" xr:uid="{EC69C0E9-20D7-48F1-B39F-021C290512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data is taken from inverters data since meter lost communication from 08/22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tc={5E20A36F-D8D8-49DD-94DD-70235247D7C0}</author>
  </authors>
  <commentList>
    <comment ref="C5" authorId="0" shapeId="0" xr:uid="{5E20A36F-D8D8-49DD-94DD-70235247D7C0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data is taken from inverters data since meter lost communication from 08/22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<sst xmlns="http://schemas.openxmlformats.org/spreadsheetml/2006/main" count="307" uniqueCount="92">
  <si>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</si>
  <si>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</si>
  <si>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</si>
  <si>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</si>
  <si>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</si>
  <si>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</si>
  <si>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</si>
  <si>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</si>
  <si>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</si>
  <si>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</si>
  <si>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</si>
  <si>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</si>
  <si>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</si>
  <si>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</si>
  <si>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</si>
  <si>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</si>
  <si>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</si>
  <si>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</si>
  <si>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</si>
  <si>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</si>
  <si>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</si>
  <si>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</si>
  <si>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is producing at maximum 40 kW throughout the month compared to its capacity 50kW due to seasonal underperformance</t>
  </si>
  <si>
    <t>1. SR099649</t>
  </si>
  <si>
    <t>1. Meter CT was replaced on 01/13 and AlsoEnergy was able to regain meter communication from 12:00 PM on 01/13</t>
  </si>
  <si>
    <t>1. 	SR094972</t>
  </si>
  <si>
    <t>1.Inverter 4 was offline from 01/21 and came back online on 01/24 at 10:30 after the blown fuse was replaced.
2. Inverter 4 offline from 01/25 and came back online on 01/29 at 10:45 after the blown fuse was replaced.</t>
  </si>
  <si>
    <t>1.	SR095814
2.SR096012 , SR096160</t>
  </si>
  <si>
    <t>1. Inverter 2 was underperforming 20kW down compared to inverter 1 due to L1 SP320 cartilage needs replacement and found active ground fault on CB 2-2 string 5.</t>
  </si>
  <si>
    <t>1. PM4031, SR086964, SR086966</t>
  </si>
  <si>
    <t>1.Inverter 1 is underperforming by 12kW down from 08:00 AM to 12:30 PM due to seasonal shading</t>
  </si>
  <si>
    <t>1. SR099639</t>
  </si>
  <si>
    <t>1. Inverter 1 was offline from 07:00 on 01/06 to 12:00pm on 01/24 due to failed PWR DIST Card</t>
  </si>
  <si>
    <t>1. SR094724</t>
  </si>
  <si>
    <t>February Actual v. Expected</t>
  </si>
  <si>
    <t>February Actual v. Forecasted</t>
  </si>
  <si>
    <t>1. Inverter 4 was tripped offline at 18:15 on 02/16 due to control card assembly plus backplane.
2. Inverter 2 and meter 2 stopped communication at 11:50AM on 02/20 tech suggested that replacing the Vlink MESR901 serial server.</t>
  </si>
  <si>
    <t>1. SR095814,	SR096160, SR096012
2. SR097592</t>
  </si>
  <si>
    <t>SR096160</t>
  </si>
  <si>
    <t>SR096012</t>
  </si>
  <si>
    <t>SR097592</t>
  </si>
  <si>
    <t>1.Inverter 2 is underperforming by 20kW down due to shading related issue.</t>
  </si>
  <si>
    <t>1. SR096743</t>
  </si>
  <si>
    <t>1. Inverter 2 having multiple tripping events on 02/25 and 02/27.</t>
  </si>
  <si>
    <t>1. SR097804</t>
  </si>
  <si>
    <t>March Actual v. Expected</t>
  </si>
  <si>
    <t>March Actual v. Forecasted</t>
  </si>
  <si>
    <t xml:space="preserve">1.Inverter 4 was offline from 18:20 on 02/16 to 22:20 on 03/25. On 03/25, a Bold  technician was onsite to replace the controller card and Upon arrival he found a worn DC shunt harness, which was requested for replacement. The inverter went offline again at 18:45 on 03/26 and requires additional components for full restoration.
2. Inverter 2 and meter 2 stopped communicating at 11:50AM on 02/20 and production can't be confirmed.On 02/24 upon troubleshooting ,technician recommends replacing the Vlink MESR901 serial server </t>
  </si>
  <si>
    <t>1.SR096012,SR096160
2.SR097592</t>
  </si>
  <si>
    <t>1.Inverter 2 is underperforming by approximately 20 kW, likely due to shading related issues</t>
  </si>
  <si>
    <t>1.SR096743</t>
  </si>
  <si>
    <t>1. A canopy strike was reported on 01/17, prompting immediate dispatch to secure the parking lot array and document the damages. Dispatch is scheduled to return on 04/10 to install five modules, reconnect homeruns, and re-energize the string.</t>
  </si>
  <si>
    <t>1.SR095815</t>
  </si>
  <si>
    <t>1. Inverter 2 tripped offline at 15:45 on 03/02 and was restored at 16:10 on 03/03 after a technician restart. It went offline again on 03/23 due to a "Watchdog Timer Fault." On 03/24, technicians confirmed the fault is related to internal monitoring and can be triggered by grid voltage fluctuations. The inverter was power cycled and back online at 09:10 AM on 03/24.
2. Inverter 1 tripped offline at 13:00 on 03/15/25 due to a ground fault. On 03/18, the technician observed heat marks on several Trina modules, likely impacted by recent heavy rain. A follow-up visit is required, along with replacement of 5A fuses.</t>
  </si>
  <si>
    <t>1.SR097804,SR098900
2.SR098620</t>
  </si>
  <si>
    <t>SR098900</t>
  </si>
  <si>
    <t>SR098620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</si>
  <si>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</si>
  <si>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</si>
  <si>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</si>
  <si>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</si>
  <si>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</si>
  <si>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</si>
  <si>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</si>
  <si>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</si>
  <si>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</si>
  <si>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</si>
  <si>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</si>
  <si>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</si>
  <si>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</si>
  <si>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</si>
  <si>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Portfolio:</t>
  </si>
  <si>
    <t>Pardee (ENCAP)</t>
  </si>
  <si>
    <t>Site DAS Name</t>
  </si>
  <si>
    <t>Update</t>
  </si>
  <si>
    <t>DAS</t>
  </si>
  <si>
    <t>AZ: ASU - Pardee - Discovery Hall</t>
  </si>
  <si>
    <t>AZ</t>
  </si>
  <si>
    <t>AZ: ASU - Pardee - Farrington</t>
  </si>
  <si>
    <t>AZ: ASU - Pardee - Macro Tech.</t>
  </si>
  <si>
    <t>AZ: ASU - Pardee - McCord Hall</t>
  </si>
  <si>
    <t>AZ: NAU - SF Garage</t>
  </si>
  <si>
    <t>AZ: ASU - Pardee - Parking Lot 11</t>
  </si>
  <si>
    <t>AZ: ASU - Pardee - Parking Lot 19</t>
  </si>
  <si>
    <t>AZ: ASU - Pardee - Parking Lot 41</t>
  </si>
  <si>
    <t>AZ: ASU - Pardee - Parking Lot 58</t>
  </si>
  <si>
    <t>AZ: ASU - Pardee - Parking Lot 59S</t>
  </si>
  <si>
    <t>AZ: ASU - Pardee - Sun Devil Complex</t>
  </si>
  <si>
    <t>November Actual v. Expected</t>
  </si>
  <si>
    <t>November Actual v. Forecasted</t>
  </si>
  <si>
    <t>December Actual v. Expected</t>
  </si>
  <si>
    <t>December Actual v. Forecasted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</si>
</sst>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43" applyFont="1"/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horizontal="left" vertical="top" wrapText="1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left" vertical="top"/>
    </xf>
    <xf numFmtId="49" fontId="26" fillId="0" borderId="0" xfId="0" applyNumberFormat="1" applyFont="1" applyAlignment="1">
      <alignment horizontal="left" vertical="top"/>
    </xf>
    <xf numFmtId="49" fontId="34" fillId="38" borderId="0" xfId="2" applyNumberFormat="1" applyFont="1" applyFill="1" applyBorder="1" applyAlignment="1">
      <alignment horizontal="left"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vertical="top"/>
    </xf>
    <xf numFmtId="49" fontId="27" fillId="0" borderId="0" xfId="0" applyNumberFormat="1" applyFont="1" applyAlignment="1">
      <alignment vertical="top"/>
    </xf>
    <xf numFmtId="49" fontId="29" fillId="38" borderId="0" xfId="2" applyNumberFormat="1" applyFont="1" applyFill="1" applyBorder="1" applyAlignment="1">
      <alignment vertical="top" wrapText="1"/>
    </xf>
    <xf numFmtId="49" fontId="34" fillId="0" borderId="0" xfId="0" applyNumberFormat="1" applyFont="1" applyAlignment="1">
      <alignment horizontal="left" vertical="top"/>
    </xf>
    <xf numFmtId="49" fontId="34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4" fillId="0" borderId="0" xfId="0" applyFont="1" applyAlignment="1">
      <alignment wrapText="1"/>
    </xf>
    <xf numFmtId="0" fontId="34" fillId="0" borderId="0" xfId="0" applyFont="1"/>
    <xf numFmtId="0" fontId="33" fillId="0" borderId="0" xfId="0" applyFont="1"/>
    <xf numFmtId="49" fontId="35" fillId="38" borderId="0" xfId="45" applyNumberFormat="1" applyFill="1" applyBorder="1" applyAlignment="1">
      <alignment horizontal="left" vertical="top" wrapText="1"/>
    </xf>
    <xf numFmtId="49" fontId="35" fillId="0" borderId="0" xfId="45" applyNumberFormat="1" applyAlignment="1">
      <alignment horizontal="left" vertical="center"/>
    </xf>
    <xf numFmtId="49" fontId="35" fillId="0" borderId="0" xfId="45" applyNumberFormat="1" applyAlignment="1">
      <alignment horizontal="left" vertical="top" wrapText="1"/>
    </xf>
    <xf numFmtId="49" fontId="35" fillId="0" borderId="0" xfId="45" applyNumberFormat="1" applyAlignment="1">
      <alignment horizontal="left" vertical="top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EEA5A393-BD7F-4789-84F4-3B09C3281B2F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4" totalsRowShown="0">
  <autoFilter ref="A3:E14" xr:uid="{C9C95D9E-67ED-41E0-9F41-9C3DA4ACF4CD}"/>
  <sortState xmlns:xlrd2="http://schemas.microsoft.com/office/spreadsheetml/2017/richdata2" ref="A3:D4">
    <sortCondition ref="C3"/>
  </sortState>
  <tableColumns count="5">
    <tableColumn id="3" xr3:uid="{3FB6FBC9-911C-415A-89D1-91E602B41CD0}" name="Site DAS Name" dataDxfId="6" dataCellStyle="Normal 2"/>
    <tableColumn id="1" xr3:uid="{9A753695-C18C-437C-AD9C-C2CE5C1A806E}" name="Site" dataDxfId="5" dataCellStyle="Normal 2"/>
    <tableColumn id="2" xr3:uid="{250F229D-34D2-4043-BE8F-6D9C210E223F}" name="State" dataDxfId="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5-01-08T10:00:20.93" personId="{EEA5A393-BD7F-4789-84F4-3B09C3281B2F}" id="{4A15B6EB-7B9B-424C-9435-08A2C479B1FE}">
    <text>Actual data is taken from inverters data since meter lost communication from 08/22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" dT="2025-01-08T10:00:15.27" personId="{EEA5A393-BD7F-4789-84F4-3B09C3281B2F}" id="{EC69C0E9-20D7-48F1-B39F-021C2905122D}">
    <text>Actual data is taken from inverters data since meter lost communication from 08/22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5" dT="2025-01-08T09:59:52.16" personId="{EEA5A393-BD7F-4789-84F4-3B09C3281B2F}" id="{5E20A36F-D8D8-49DD-94DD-70235247D7C0}">
    <text>Actual data is taken from inverters data since meter lost communication from 08/22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804" TargetMode="External"/><Relationship Id="rId3" Type="http://schemas.openxmlformats.org/officeDocument/2006/relationships/hyperlink" Target="https://us3.assetplanner.com/service_request?ID=096160" TargetMode="External"/><Relationship Id="rId7" Type="http://schemas.openxmlformats.org/officeDocument/2006/relationships/hyperlink" Target="https://us3.assetplanner.com/service_request?ID=099639" TargetMode="External"/><Relationship Id="rId2" Type="http://schemas.openxmlformats.org/officeDocument/2006/relationships/hyperlink" Target="https://us3.assetplanner.com/service_request?ID=095814" TargetMode="External"/><Relationship Id="rId1" Type="http://schemas.openxmlformats.org/officeDocument/2006/relationships/hyperlink" Target="https://us3.assetplanner.com/service_request?ID=099649" TargetMode="External"/><Relationship Id="rId6" Type="http://schemas.openxmlformats.org/officeDocument/2006/relationships/hyperlink" Target="https://us3.assetplanner.com/service_request?ID=096743" TargetMode="External"/><Relationship Id="rId5" Type="http://schemas.openxmlformats.org/officeDocument/2006/relationships/hyperlink" Target="https://us3.assetplanner.com/service_request?ID=097592" TargetMode="External"/><Relationship Id="rId4" Type="http://schemas.openxmlformats.org/officeDocument/2006/relationships/hyperlink" Target="https://us3.assetplanner.com/service_request?ID=096012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900" TargetMode="External"/><Relationship Id="rId3" Type="http://schemas.openxmlformats.org/officeDocument/2006/relationships/hyperlink" Target="https://us3.assetplanner.com/service_request?ID=097592" TargetMode="External"/><Relationship Id="rId7" Type="http://schemas.openxmlformats.org/officeDocument/2006/relationships/hyperlink" Target="https://us3.assetplanner.com/service_request?ID=097804" TargetMode="External"/><Relationship Id="rId2" Type="http://schemas.openxmlformats.org/officeDocument/2006/relationships/hyperlink" Target="https://us3.assetplanner.com/service_request?ID=096160" TargetMode="External"/><Relationship Id="rId1" Type="http://schemas.openxmlformats.org/officeDocument/2006/relationships/hyperlink" Target="https://us3.assetplanner.com/service_request?ID=096012" TargetMode="External"/><Relationship Id="rId6" Type="http://schemas.openxmlformats.org/officeDocument/2006/relationships/hyperlink" Target="https://us3.assetplanner.com/service_request?ID=099639" TargetMode="External"/><Relationship Id="rId5" Type="http://schemas.openxmlformats.org/officeDocument/2006/relationships/hyperlink" Target="https://us3.assetplanner.com/service_request?ID=095815" TargetMode="External"/><Relationship Id="rId4" Type="http://schemas.openxmlformats.org/officeDocument/2006/relationships/hyperlink" Target="https://us3.assetplanner.com/service_request?ID=096743" TargetMode="External"/><Relationship Id="rId9" Type="http://schemas.openxmlformats.org/officeDocument/2006/relationships/hyperlink" Target="https://us3.assetplanner.com/service_request?ID=098620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8"/>
  <sheetViews>
    <sheetView workbookViewId="0">
      <pane ySplit="2" topLeftCell="A3" activePane="bottomLeft" state="frozen"/>
      <selection pane="bottomLeft" activeCell="C4" sqref="C4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Pardee (ENCAP)</v>
      </c>
      <c r="B1" s="63"/>
      <c r="C1" s="63"/>
      <c r="D1" s="64" t="s">
        <v>0</v>
      </c>
      <c r="E1" s="64"/>
      <c r="F1" s="64"/>
      <c r="G1" s="62" t="s">
        <v>1</v>
      </c>
      <c r="H1" s="62"/>
      <c r="I1" s="62"/>
    </row>
    <row r="2" spans="1:9" ht="19.5" customHeight="1">
      <c r="A2" s="65" t="s">
        <v>2</v>
      </c>
      <c r="B2" s="65"/>
      <c r="C2" s="5">
        <f>SUM(C4:C86)</f>
        <v>1004744.6359558105</v>
      </c>
      <c r="D2" s="5">
        <f>SUM(D4:D86)</f>
        <v>1086389.2379999999</v>
      </c>
      <c r="E2" s="5">
        <f>C2-D2</f>
        <v>-81644.602044189349</v>
      </c>
      <c r="F2" s="6">
        <f>IFERROR(E2/D2, 0)</f>
        <v>-7.5152255921177816E-2</v>
      </c>
      <c r="G2" s="5">
        <f>SUM(G4:G86)</f>
        <v>1083575.165</v>
      </c>
      <c r="H2" s="7">
        <f>C2-G2</f>
        <v>-78830.52904418949</v>
      </c>
      <c r="I2" s="6">
        <f>IFERROR(H2/G2, 0)</f>
        <v>-7.2750402178320031E-2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SUM('1st Qtr'!C4, '2nd Qtr'!C4, '3rd Qtr'!C4, '4th Qtr'!C4)</f>
        <v>21298.125</v>
      </c>
      <c r="D4" s="13">
        <f>SUM('1st Qtr'!D4, '2nd Qtr'!D4, '3rd Qtr'!D4, '4th Qtr'!D4)</f>
        <v>18845.883999999998</v>
      </c>
      <c r="E4" s="13">
        <f>IF(AND(ISNUMBER(C4),ISNUMBER(D4)), C4-D4, "")</f>
        <v>2452.2410000000018</v>
      </c>
      <c r="F4" s="14">
        <f>IFERROR(E4/D4, "")</f>
        <v>0.13012077332111363</v>
      </c>
      <c r="G4" s="15">
        <f>SUM('1st Qtr'!G4,'2nd Qtr'!G4,'3rd Qtr'!G4,'4th Qtr'!G4)</f>
        <v>23742.099000000002</v>
      </c>
      <c r="H4" s="15">
        <f>SUM('1st Qtr'!H4, '2nd Qtr'!H4, '3rd Qtr'!H4, '4th Qtr'!H4)</f>
        <v>-2443.9740000000002</v>
      </c>
      <c r="I4" s="16">
        <f>IFERROR(H4/G4, "")</f>
        <v>-0.10293841332225934</v>
      </c>
    </row>
    <row r="5" spans="1:9" ht="15.6">
      <c r="A5" s="18" t="str">
        <v>AZ: ASU - Pardee - Farrington</v>
      </c>
      <c r="B5" s="10" t="str">
        <v>AZ</v>
      </c>
      <c r="C5" s="19">
        <f>SUM('1st Qtr'!C5, '2nd Qtr'!C5, '3rd Qtr'!C5, '4th Qtr'!C5)</f>
        <v>90404.823455810605</v>
      </c>
      <c r="D5" s="19">
        <f>SUM('1st Qtr'!D5, '2nd Qtr'!D5, '3rd Qtr'!D5, '4th Qtr'!D5)</f>
        <v>87040.22</v>
      </c>
      <c r="E5" s="19">
        <f t="shared" ref="E5:E14" si="0">IF(AND(ISNUMBER(C5),ISNUMBER(D5)), C5-D5, "")</f>
        <v>3364.6034558106039</v>
      </c>
      <c r="F5" s="20">
        <f>IFERROR(E5/D5, "")</f>
        <v>3.8655732439676779E-2</v>
      </c>
      <c r="G5" s="21">
        <f>SUM('1st Qtr'!G5,'2nd Qtr'!G5,'3rd Qtr'!G5,'4th Qtr'!G5)</f>
        <v>88173.739999999991</v>
      </c>
      <c r="H5" s="21">
        <f>SUM(Jan!H5, Feb!H5, Mar!H5)</f>
        <v>2231.0834558106035</v>
      </c>
      <c r="I5" s="20">
        <f>IFERROR(H5/G5, "")</f>
        <v>2.5303264393804818E-2</v>
      </c>
    </row>
    <row r="6" spans="1:9" ht="15.6">
      <c r="A6" s="12" t="str">
        <v>AZ: ASU - Pardee - Macro Tech.</v>
      </c>
      <c r="B6" s="9" t="str">
        <v>AZ</v>
      </c>
      <c r="C6" s="25">
        <f>SUM('1st Qtr'!C6, '2nd Qtr'!C6, '3rd Qtr'!C6, '4th Qtr'!C6)</f>
        <v>214085.875</v>
      </c>
      <c r="D6" s="13">
        <f>SUM('1st Qtr'!D6, '2nd Qtr'!D6, '3rd Qtr'!D6, '4th Qtr'!D6)</f>
        <v>326130.59999999998</v>
      </c>
      <c r="E6" s="13">
        <f t="shared" si="0"/>
        <v>-112044.72499999998</v>
      </c>
      <c r="F6" s="14">
        <f t="shared" ref="F6:F14" si="1">IFERROR(E6/D6, "")</f>
        <v>-0.34355784155182001</v>
      </c>
      <c r="G6" s="15">
        <f>SUM('1st Qtr'!G6,'2nd Qtr'!G6,'3rd Qtr'!G6,'4th Qtr'!G6)</f>
        <v>318970.23999999999</v>
      </c>
      <c r="H6" s="15">
        <f>SUM(Jan!H6, Feb!H6, Mar!H6)</f>
        <v>-104884.36499999999</v>
      </c>
      <c r="I6" s="16">
        <f t="shared" ref="I6:I14" si="2">IFERROR(H6/G6, "")</f>
        <v>-0.32882178914246041</v>
      </c>
    </row>
    <row r="7" spans="1:9" ht="15.6">
      <c r="A7" s="18" t="str">
        <v>AZ: ASU - Pardee - McCord Hall</v>
      </c>
      <c r="B7" s="10" t="str">
        <v>AZ</v>
      </c>
      <c r="C7" s="19">
        <f>SUM('1st Qtr'!C7, '2nd Qtr'!C7, '3rd Qtr'!C7, '4th Qtr'!C7)</f>
        <v>29492.25</v>
      </c>
      <c r="D7" s="19">
        <f>SUM('1st Qtr'!D7, '2nd Qtr'!D7, '3rd Qtr'!D7, '4th Qtr'!D7)</f>
        <v>23630.756000000001</v>
      </c>
      <c r="E7" s="19">
        <f t="shared" si="0"/>
        <v>5861.4939999999988</v>
      </c>
      <c r="F7" s="20">
        <f t="shared" si="1"/>
        <v>0.24804513236901937</v>
      </c>
      <c r="G7" s="21">
        <f>SUM('1st Qtr'!G7,'2nd Qtr'!G7,'3rd Qtr'!G7,'4th Qtr'!G7)</f>
        <v>32051.733</v>
      </c>
      <c r="H7" s="21">
        <f>SUM(Jan!H7, Feb!H7, Mar!H7)</f>
        <v>-2559.4829999999984</v>
      </c>
      <c r="I7" s="20">
        <f t="shared" si="2"/>
        <v>-7.9854746075664562E-2</v>
      </c>
    </row>
    <row r="8" spans="1:9" ht="15.6">
      <c r="A8" s="12" t="str">
        <v>AZ: NAU - SF Garage</v>
      </c>
      <c r="B8" s="9" t="str">
        <v>AZ</v>
      </c>
      <c r="C8" s="25">
        <f>SUM('1st Qtr'!C8, '2nd Qtr'!C8, '3rd Qtr'!C8, '4th Qtr'!C8)</f>
        <v>180392</v>
      </c>
      <c r="D8" s="13">
        <f>SUM('1st Qtr'!D8, '2nd Qtr'!D8, '3rd Qtr'!D8, '4th Qtr'!D8)</f>
        <v>194414.13799999998</v>
      </c>
      <c r="E8" s="13">
        <f t="shared" si="0"/>
        <v>-14022.137999999977</v>
      </c>
      <c r="F8" s="14">
        <f t="shared" si="1"/>
        <v>-7.2125094112239815E-2</v>
      </c>
      <c r="G8" s="15">
        <f>SUM('1st Qtr'!G8,'2nd Qtr'!G8,'3rd Qtr'!G8,'4th Qtr'!G8)</f>
        <v>170818.65299999999</v>
      </c>
      <c r="H8" s="15">
        <f>SUM(Jan!H8, Feb!H8, Mar!H8)</f>
        <v>9573.3470000000016</v>
      </c>
      <c r="I8" s="16">
        <f t="shared" si="2"/>
        <v>5.604392044936686E-2</v>
      </c>
    </row>
    <row r="9" spans="1:9" ht="15.6">
      <c r="A9" s="18" t="str">
        <v>AZ: ASU - Pardee - Parking Lot 11</v>
      </c>
      <c r="B9" s="10" t="str">
        <v>AZ</v>
      </c>
      <c r="C9" s="19">
        <f>SUM('1st Qtr'!C9, '2nd Qtr'!C9, '3rd Qtr'!C9, '4th Qtr'!C9)</f>
        <v>64410.1875</v>
      </c>
      <c r="D9" s="19">
        <f>SUM('1st Qtr'!D9, '2nd Qtr'!D9, '3rd Qtr'!D9, '4th Qtr'!D9)</f>
        <v>60049.91</v>
      </c>
      <c r="E9" s="19">
        <f t="shared" si="0"/>
        <v>4360.2774999999965</v>
      </c>
      <c r="F9" s="20">
        <f t="shared" si="1"/>
        <v>7.2610891506748237E-2</v>
      </c>
      <c r="G9" s="21">
        <f>SUM('1st Qtr'!G9,'2nd Qtr'!G9,'3rd Qtr'!G9,'4th Qtr'!G9)</f>
        <v>43935.49</v>
      </c>
      <c r="H9" s="21">
        <f>SUM(Jan!H9, Feb!H9, Mar!H9)</f>
        <v>20474.697500000002</v>
      </c>
      <c r="I9" s="20">
        <f t="shared" si="2"/>
        <v>0.46601727896968947</v>
      </c>
    </row>
    <row r="10" spans="1:9" ht="15.6">
      <c r="A10" s="12" t="str">
        <v>AZ: ASU - Pardee - Parking Lot 19</v>
      </c>
      <c r="B10" s="9" t="str">
        <v>AZ</v>
      </c>
      <c r="C10" s="25">
        <f>SUM('1st Qtr'!C10, '2nd Qtr'!C10, '3rd Qtr'!C10, '4th Qtr'!C10)</f>
        <v>92152.625</v>
      </c>
      <c r="D10" s="13">
        <f>SUM('1st Qtr'!D10, '2nd Qtr'!D10, '3rd Qtr'!D10, '4th Qtr'!D10)</f>
        <v>84699.63</v>
      </c>
      <c r="E10" s="13">
        <f t="shared" si="0"/>
        <v>7452.9949999999953</v>
      </c>
      <c r="F10" s="14">
        <f t="shared" si="1"/>
        <v>8.7993241528918076E-2</v>
      </c>
      <c r="G10" s="15">
        <f>SUM('1st Qtr'!G10,'2nd Qtr'!G10,'3rd Qtr'!G10,'4th Qtr'!G10)</f>
        <v>65057.320000000007</v>
      </c>
      <c r="H10" s="15">
        <f>SUM(Jan!H10, Feb!H10, Mar!H10)</f>
        <v>27095.304999999997</v>
      </c>
      <c r="I10" s="16">
        <f t="shared" si="2"/>
        <v>0.41648357171798644</v>
      </c>
    </row>
    <row r="11" spans="1:9" ht="15.6">
      <c r="A11" s="18" t="str">
        <v>AZ: ASU - Pardee - Parking Lot 41</v>
      </c>
      <c r="B11" s="10" t="str">
        <v>AZ</v>
      </c>
      <c r="C11" s="19">
        <f>SUM('1st Qtr'!C11, '2nd Qtr'!C11, '3rd Qtr'!C11, '4th Qtr'!C11)</f>
        <v>74533.5</v>
      </c>
      <c r="D11" s="19">
        <f>SUM('1st Qtr'!D11, '2nd Qtr'!D11, '3rd Qtr'!D11, '4th Qtr'!D11)</f>
        <v>72187.700000000012</v>
      </c>
      <c r="E11" s="19">
        <f t="shared" si="0"/>
        <v>2345.7999999999884</v>
      </c>
      <c r="F11" s="20">
        <f t="shared" si="1"/>
        <v>3.2495840704164114E-2</v>
      </c>
      <c r="G11" s="21">
        <f>SUM('1st Qtr'!G11,'2nd Qtr'!G11,'3rd Qtr'!G11,'4th Qtr'!G11)</f>
        <v>78967.290000000008</v>
      </c>
      <c r="H11" s="21">
        <f>SUM(Jan!H11, Feb!H11, Mar!H11)</f>
        <v>-4433.7900000000009</v>
      </c>
      <c r="I11" s="20">
        <f t="shared" si="2"/>
        <v>-5.6147171822662274E-2</v>
      </c>
    </row>
    <row r="12" spans="1:9" ht="15.6">
      <c r="A12" s="12" t="str">
        <v>AZ: ASU - Pardee - Parking Lot 58</v>
      </c>
      <c r="B12" s="9" t="str">
        <v>AZ</v>
      </c>
      <c r="C12" s="25">
        <f>SUM('1st Qtr'!C12, '2nd Qtr'!C12, '3rd Qtr'!C12, '4th Qtr'!C12)</f>
        <v>91159.5</v>
      </c>
      <c r="D12" s="13">
        <f>SUM('1st Qtr'!D12, '2nd Qtr'!D12, '3rd Qtr'!D12, '4th Qtr'!D12)</f>
        <v>73363.569999999992</v>
      </c>
      <c r="E12" s="13">
        <f t="shared" si="0"/>
        <v>17795.930000000008</v>
      </c>
      <c r="F12" s="14">
        <f t="shared" si="1"/>
        <v>0.24257175598188596</v>
      </c>
      <c r="G12" s="15">
        <f>SUM('1st Qtr'!G12,'2nd Qtr'!G12,'3rd Qtr'!G12,'4th Qtr'!G12)</f>
        <v>82881.3</v>
      </c>
      <c r="H12" s="15">
        <f>SUM(Jan!H12, Feb!H12, Mar!H12)</f>
        <v>8278.1999999999971</v>
      </c>
      <c r="I12" s="16">
        <f t="shared" si="2"/>
        <v>9.9880190103195737E-2</v>
      </c>
    </row>
    <row r="13" spans="1:9" ht="15.6">
      <c r="A13" s="18" t="str">
        <v>AZ: ASU - Pardee - Parking Lot 59S</v>
      </c>
      <c r="B13" s="10" t="str">
        <v>AZ</v>
      </c>
      <c r="C13" s="19">
        <f>SUM('1st Qtr'!C13, '2nd Qtr'!C13, '3rd Qtr'!C13, '4th Qtr'!C13)</f>
        <v>75749.75</v>
      </c>
      <c r="D13" s="19">
        <f>SUM('1st Qtr'!D13, '2nd Qtr'!D13, '3rd Qtr'!D13, '4th Qtr'!D13)</f>
        <v>67144.100000000006</v>
      </c>
      <c r="E13" s="19">
        <f t="shared" si="0"/>
        <v>8605.6499999999942</v>
      </c>
      <c r="F13" s="20">
        <f t="shared" si="1"/>
        <v>0.1281668828683383</v>
      </c>
      <c r="G13" s="21">
        <f>SUM('1st Qtr'!G13,'2nd Qtr'!G13,'3rd Qtr'!G13,'4th Qtr'!G13)</f>
        <v>90651.299999999988</v>
      </c>
      <c r="H13" s="21">
        <f>SUM(Jan!H13, Feb!H13, Mar!H13)</f>
        <v>-14901.55</v>
      </c>
      <c r="I13" s="20">
        <f t="shared" si="2"/>
        <v>-0.16438319141589808</v>
      </c>
    </row>
    <row r="14" spans="1:9" ht="15.6">
      <c r="A14" s="12" t="str">
        <v>AZ: ASU - Pardee - Sun Devil Complex</v>
      </c>
      <c r="B14" s="9" t="str">
        <v>AZ</v>
      </c>
      <c r="C14" s="25">
        <f>SUM('1st Qtr'!C14, '2nd Qtr'!C14, '3rd Qtr'!C14, '4th Qtr'!C14)</f>
        <v>71066</v>
      </c>
      <c r="D14" s="13">
        <f>SUM('1st Qtr'!D14, '2nd Qtr'!D14, '3rd Qtr'!D14, '4th Qtr'!D14)</f>
        <v>78882.73</v>
      </c>
      <c r="E14" s="13">
        <f t="shared" si="0"/>
        <v>-7816.7299999999959</v>
      </c>
      <c r="F14" s="14">
        <f t="shared" si="1"/>
        <v>-9.9093046095133835E-2</v>
      </c>
      <c r="G14" s="15">
        <f>SUM('1st Qtr'!G14,'2nd Qtr'!G14,'3rd Qtr'!G14,'4th Qtr'!G14)</f>
        <v>88326</v>
      </c>
      <c r="H14" s="15">
        <f>SUM(Jan!H14, Feb!H14, Mar!H14)</f>
        <v>-17260</v>
      </c>
      <c r="I14" s="16">
        <f t="shared" si="2"/>
        <v>-0.19541244933541652</v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6 I4:I86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8"/>
  <sheetViews>
    <sheetView workbookViewId="0">
      <pane ySplit="2" topLeftCell="A3" activePane="bottomLeft" state="frozen"/>
      <selection pane="bottomLeft" activeCell="E28" sqref="E28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Pardee (ENCAP)</v>
      </c>
      <c r="B1" s="63"/>
      <c r="C1" s="63"/>
      <c r="D1" s="64" t="s">
        <v>10</v>
      </c>
      <c r="E1" s="64"/>
      <c r="F1" s="64"/>
      <c r="G1" s="62" t="s">
        <v>11</v>
      </c>
      <c r="H1" s="62"/>
      <c r="I1" s="62"/>
    </row>
    <row r="2" spans="1:9" ht="19.5" customHeight="1">
      <c r="A2" s="65" t="s">
        <v>2</v>
      </c>
      <c r="B2" s="65"/>
      <c r="C2" s="5">
        <f>SUM(C4:C86)</f>
        <v>1004744.6359558105</v>
      </c>
      <c r="D2" s="5">
        <f>SUM(D4:D86)</f>
        <v>1086389.2379999999</v>
      </c>
      <c r="E2" s="5">
        <f>C2-D2</f>
        <v>-81644.602044189349</v>
      </c>
      <c r="F2" s="6">
        <f>IFERROR(E2/D2, 0)</f>
        <v>-7.5152255921177816E-2</v>
      </c>
      <c r="G2" s="5">
        <f>SUM(G4:G86)</f>
        <v>1083575.165</v>
      </c>
      <c r="H2" s="7">
        <f>C2-G2</f>
        <v>-78830.52904418949</v>
      </c>
      <c r="I2" s="6">
        <f>IFERROR(H2/G2, 0)</f>
        <v>-7.2750402178320031E-2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SUM(Jan!C4, Feb!C4, Mar!C4)</f>
        <v>21298.125</v>
      </c>
      <c r="D4" s="13">
        <f>SUM(Jan!D4, Feb!D4, Mar!D4)</f>
        <v>18845.883999999998</v>
      </c>
      <c r="E4" s="13">
        <f>IF(AND(ISNUMBER(C4),ISNUMBER(D4)), C4-D4, "")</f>
        <v>2452.2410000000018</v>
      </c>
      <c r="F4" s="14">
        <f>IFERROR(E4/D4, "")</f>
        <v>0.13012077332111363</v>
      </c>
      <c r="G4" s="15">
        <f>SUM(Jan!G4, Feb!G4, Mar!G4)</f>
        <v>23742.099000000002</v>
      </c>
      <c r="H4" s="15">
        <f>SUM(Jan!H4, Feb!H4, Mar!H4)</f>
        <v>-2443.9740000000002</v>
      </c>
      <c r="I4" s="16">
        <f>IFERROR(H4/G4, "")</f>
        <v>-0.10293841332225934</v>
      </c>
    </row>
    <row r="5" spans="1:9" ht="15.6">
      <c r="A5" s="18" t="str">
        <v>AZ: ASU - Pardee - Farrington</v>
      </c>
      <c r="B5" s="10" t="str">
        <v>AZ</v>
      </c>
      <c r="C5" s="11">
        <f>SUM(Jan!C5, Feb!C5, Mar!C5)</f>
        <v>90404.823455810605</v>
      </c>
      <c r="D5" s="19">
        <f>SUM(Jan!D5, Feb!D5, Mar!D5)</f>
        <v>87040.22</v>
      </c>
      <c r="E5" s="19">
        <f t="shared" ref="E5:E14" si="0">IF(AND(ISNUMBER(C5),ISNUMBER(D5)), C5-D5, "")</f>
        <v>3364.6034558106039</v>
      </c>
      <c r="F5" s="20">
        <f>IFERROR(E5/D5, "")</f>
        <v>3.8655732439676779E-2</v>
      </c>
      <c r="G5" s="21">
        <f>SUM(Jan!G5, Feb!G5, Mar!G5)</f>
        <v>88173.739999999991</v>
      </c>
      <c r="H5" s="21">
        <f>SUM(Jan!H5, Feb!H5, Mar!H5)</f>
        <v>2231.0834558106035</v>
      </c>
      <c r="I5" s="20">
        <f>IFERROR(H5/G5, "")</f>
        <v>2.5303264393804818E-2</v>
      </c>
    </row>
    <row r="6" spans="1:9" ht="15.6">
      <c r="A6" s="12" t="str">
        <v>AZ: ASU - Pardee - Macro Tech.</v>
      </c>
      <c r="B6" s="9" t="str">
        <v>AZ</v>
      </c>
      <c r="C6" s="25">
        <f>SUM(Jan!C6, Feb!C6, Mar!C6)</f>
        <v>214085.875</v>
      </c>
      <c r="D6" s="13">
        <f>SUM(Jan!D6, Feb!D6, Mar!D6)</f>
        <v>326130.59999999998</v>
      </c>
      <c r="E6" s="13">
        <f t="shared" si="0"/>
        <v>-112044.72499999998</v>
      </c>
      <c r="F6" s="14">
        <f t="shared" ref="F6:F14" si="1">IFERROR(E6/D6, "")</f>
        <v>-0.34355784155182001</v>
      </c>
      <c r="G6" s="15">
        <f>SUM(Jan!G6, Feb!G6, Mar!G6)</f>
        <v>318970.23999999999</v>
      </c>
      <c r="H6" s="15">
        <f>SUM(Jan!H6, Feb!H6, Mar!H6)</f>
        <v>-104884.36499999999</v>
      </c>
      <c r="I6" s="16">
        <f t="shared" ref="I6:I14" si="2">IFERROR(H6/G6, "")</f>
        <v>-0.32882178914246041</v>
      </c>
    </row>
    <row r="7" spans="1:9" ht="15.6">
      <c r="A7" s="18" t="str">
        <v>AZ: ASU - Pardee - McCord Hall</v>
      </c>
      <c r="B7" s="10" t="str">
        <v>AZ</v>
      </c>
      <c r="C7" s="11">
        <f>SUM(Jan!C7, Feb!C7, Mar!C7)</f>
        <v>29492.25</v>
      </c>
      <c r="D7" s="19">
        <f>SUM(Jan!D7, Feb!D7, Mar!D7)</f>
        <v>23630.756000000001</v>
      </c>
      <c r="E7" s="19">
        <f t="shared" si="0"/>
        <v>5861.4939999999988</v>
      </c>
      <c r="F7" s="20">
        <f t="shared" si="1"/>
        <v>0.24804513236901937</v>
      </c>
      <c r="G7" s="21">
        <f>SUM(Jan!G7, Feb!G7, Mar!G7)</f>
        <v>32051.733</v>
      </c>
      <c r="H7" s="21">
        <f>SUM(Jan!H7, Feb!H7, Mar!H7)</f>
        <v>-2559.4829999999984</v>
      </c>
      <c r="I7" s="20">
        <f t="shared" si="2"/>
        <v>-7.9854746075664562E-2</v>
      </c>
    </row>
    <row r="8" spans="1:9" ht="15.6">
      <c r="A8" s="12" t="str">
        <v>AZ: NAU - SF Garage</v>
      </c>
      <c r="B8" s="9" t="str">
        <v>AZ</v>
      </c>
      <c r="C8" s="25">
        <f>SUM(Jan!C8, Feb!C8, Mar!C8)</f>
        <v>180392</v>
      </c>
      <c r="D8" s="13">
        <f>SUM(Jan!D8, Feb!D8, Mar!D8)</f>
        <v>194414.13799999998</v>
      </c>
      <c r="E8" s="13">
        <f t="shared" si="0"/>
        <v>-14022.137999999977</v>
      </c>
      <c r="F8" s="14">
        <f t="shared" si="1"/>
        <v>-7.2125094112239815E-2</v>
      </c>
      <c r="G8" s="15">
        <f>SUM(Jan!G8, Feb!G8, Mar!G8)</f>
        <v>170818.65299999999</v>
      </c>
      <c r="H8" s="15">
        <f>SUM(Jan!H8, Feb!H8, Mar!H8)</f>
        <v>9573.3470000000016</v>
      </c>
      <c r="I8" s="16">
        <f t="shared" si="2"/>
        <v>5.604392044936686E-2</v>
      </c>
    </row>
    <row r="9" spans="1:9" ht="15.6">
      <c r="A9" s="18" t="str">
        <v>AZ: ASU - Pardee - Parking Lot 11</v>
      </c>
      <c r="B9" s="10" t="str">
        <v>AZ</v>
      </c>
      <c r="C9" s="11">
        <f>SUM(Jan!C9, Feb!C9, Mar!C9)</f>
        <v>64410.1875</v>
      </c>
      <c r="D9" s="19">
        <f>SUM(Jan!D9, Feb!D9, Mar!D9)</f>
        <v>60049.91</v>
      </c>
      <c r="E9" s="19">
        <f t="shared" si="0"/>
        <v>4360.2774999999965</v>
      </c>
      <c r="F9" s="20">
        <f t="shared" si="1"/>
        <v>7.2610891506748237E-2</v>
      </c>
      <c r="G9" s="21">
        <f>SUM(Jan!G9, Feb!G9, Mar!G9)</f>
        <v>43935.49</v>
      </c>
      <c r="H9" s="21">
        <f>SUM(Jan!H9, Feb!H9, Mar!H9)</f>
        <v>20474.697500000002</v>
      </c>
      <c r="I9" s="20">
        <f t="shared" si="2"/>
        <v>0.46601727896968947</v>
      </c>
    </row>
    <row r="10" spans="1:9" ht="15.6">
      <c r="A10" s="12" t="str">
        <v>AZ: ASU - Pardee - Parking Lot 19</v>
      </c>
      <c r="B10" s="9" t="str">
        <v>AZ</v>
      </c>
      <c r="C10" s="25">
        <f>SUM(Jan!C10, Feb!C10, Mar!C10)</f>
        <v>92152.625</v>
      </c>
      <c r="D10" s="13">
        <f>SUM(Jan!D10, Feb!D10, Mar!D10)</f>
        <v>84699.63</v>
      </c>
      <c r="E10" s="13">
        <f t="shared" si="0"/>
        <v>7452.9949999999953</v>
      </c>
      <c r="F10" s="14">
        <f t="shared" si="1"/>
        <v>8.7993241528918076E-2</v>
      </c>
      <c r="G10" s="15">
        <f>SUM(Jan!G10, Feb!G10, Mar!G10)</f>
        <v>65057.320000000007</v>
      </c>
      <c r="H10" s="15">
        <f>SUM(Jan!H10, Feb!H10, Mar!H10)</f>
        <v>27095.304999999997</v>
      </c>
      <c r="I10" s="16">
        <f t="shared" si="2"/>
        <v>0.41648357171798644</v>
      </c>
    </row>
    <row r="11" spans="1:9" ht="15.6">
      <c r="A11" s="18" t="str">
        <v>AZ: ASU - Pardee - Parking Lot 41</v>
      </c>
      <c r="B11" s="10" t="str">
        <v>AZ</v>
      </c>
      <c r="C11" s="11">
        <f>SUM(Jan!C11, Feb!C11, Mar!C11)</f>
        <v>74533.5</v>
      </c>
      <c r="D11" s="19">
        <f>SUM(Jan!D11, Feb!D11, Mar!D11)</f>
        <v>72187.700000000012</v>
      </c>
      <c r="E11" s="19">
        <f t="shared" si="0"/>
        <v>2345.7999999999884</v>
      </c>
      <c r="F11" s="20">
        <f t="shared" si="1"/>
        <v>3.2495840704164114E-2</v>
      </c>
      <c r="G11" s="21">
        <f>SUM(Jan!G11, Feb!G11, Mar!G11)</f>
        <v>78967.290000000008</v>
      </c>
      <c r="H11" s="21">
        <f>SUM(Jan!H11, Feb!H11, Mar!H11)</f>
        <v>-4433.7900000000009</v>
      </c>
      <c r="I11" s="20">
        <f t="shared" si="2"/>
        <v>-5.6147171822662274E-2</v>
      </c>
    </row>
    <row r="12" spans="1:9" ht="15.6">
      <c r="A12" s="12" t="str">
        <v>AZ: ASU - Pardee - Parking Lot 58</v>
      </c>
      <c r="B12" s="9" t="str">
        <v>AZ</v>
      </c>
      <c r="C12" s="25">
        <f>SUM(Jan!C12, Feb!C12, Mar!C12)</f>
        <v>91159.5</v>
      </c>
      <c r="D12" s="13">
        <f>SUM(Jan!D12, Feb!D12, Mar!D12)</f>
        <v>73363.569999999992</v>
      </c>
      <c r="E12" s="13">
        <f t="shared" si="0"/>
        <v>17795.930000000008</v>
      </c>
      <c r="F12" s="14">
        <f t="shared" si="1"/>
        <v>0.24257175598188596</v>
      </c>
      <c r="G12" s="15">
        <f>SUM(Jan!G12, Feb!G12, Mar!G12)</f>
        <v>82881.3</v>
      </c>
      <c r="H12" s="15">
        <f>SUM(Jan!H12, Feb!H12, Mar!H12)</f>
        <v>8278.1999999999971</v>
      </c>
      <c r="I12" s="16">
        <f t="shared" si="2"/>
        <v>9.9880190103195737E-2</v>
      </c>
    </row>
    <row r="13" spans="1:9" ht="15.6">
      <c r="A13" s="18" t="str">
        <v>AZ: ASU - Pardee - Parking Lot 59S</v>
      </c>
      <c r="B13" s="10" t="str">
        <v>AZ</v>
      </c>
      <c r="C13" s="11">
        <f>SUM(Jan!C13, Feb!C13, Mar!C13)</f>
        <v>75749.75</v>
      </c>
      <c r="D13" s="19">
        <f>SUM(Jan!D13, Feb!D13, Mar!D13)</f>
        <v>67144.100000000006</v>
      </c>
      <c r="E13" s="19">
        <f t="shared" si="0"/>
        <v>8605.6499999999942</v>
      </c>
      <c r="F13" s="20">
        <f t="shared" si="1"/>
        <v>0.1281668828683383</v>
      </c>
      <c r="G13" s="21">
        <f>SUM(Jan!G13, Feb!G13, Mar!G13)</f>
        <v>90651.299999999988</v>
      </c>
      <c r="H13" s="21">
        <f>SUM(Jan!H13, Feb!H13, Mar!H13)</f>
        <v>-14901.55</v>
      </c>
      <c r="I13" s="20">
        <f t="shared" si="2"/>
        <v>-0.16438319141589808</v>
      </c>
    </row>
    <row r="14" spans="1:9" ht="15.6">
      <c r="A14" s="12" t="str">
        <v>AZ: ASU - Pardee - Sun Devil Complex</v>
      </c>
      <c r="B14" s="9" t="str">
        <v>AZ</v>
      </c>
      <c r="C14" s="25">
        <f>SUM(Jan!C14, Feb!C14, Mar!C14)</f>
        <v>71066</v>
      </c>
      <c r="D14" s="13">
        <f>SUM(Jan!D14, Feb!D14, Mar!D14)</f>
        <v>78882.73</v>
      </c>
      <c r="E14" s="13">
        <f t="shared" si="0"/>
        <v>-7816.7299999999959</v>
      </c>
      <c r="F14" s="14">
        <f t="shared" si="1"/>
        <v>-9.9093046095133835E-2</v>
      </c>
      <c r="G14" s="15">
        <f>SUM(Jan!G14, Feb!G14, Mar!G14)</f>
        <v>88326</v>
      </c>
      <c r="H14" s="15">
        <f>SUM(Jan!H14, Feb!H14, Mar!H14)</f>
        <v>-17260</v>
      </c>
      <c r="I14" s="16">
        <f t="shared" si="2"/>
        <v>-0.19541244933541652</v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6 I4:I8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ySplit="2" topLeftCell="A3" activePane="bottomLeft" state="frozen"/>
      <selection pane="bottomLeft" activeCell="G7" sqref="G7:G8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Pardee (ENCAP)</v>
      </c>
      <c r="B1" s="63"/>
      <c r="C1" s="63"/>
      <c r="D1" s="64" t="s">
        <v>12</v>
      </c>
      <c r="E1" s="64"/>
      <c r="F1" s="64"/>
      <c r="G1" s="62" t="s">
        <v>13</v>
      </c>
      <c r="H1" s="62"/>
      <c r="I1" s="62"/>
    </row>
    <row r="2" spans="1:9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8" t="str">
        <v>AZ: ASU - Pardee - Farrington</v>
      </c>
      <c r="B5" s="10" t="str">
        <v>AZ</v>
      </c>
      <c r="C5" s="11">
        <f>SUM(Apr!C5, May!C5, Jun!C5)</f>
        <v>0</v>
      </c>
      <c r="D5" s="19">
        <f>SUM(Apr!D5, May!D5, Jun!D5)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11">
        <f>SUM(Apr!G5,May!G5,Jun!G5)</f>
        <v>0</v>
      </c>
      <c r="H5" s="21">
        <f>SUM(Apr!H5, May!H5, Jun!H5)</f>
        <v>0</v>
      </c>
      <c r="I5" s="20" t="str">
        <f>IFERROR(H5/G5, "")</f>
        <v/>
      </c>
    </row>
    <row r="6" spans="1:9" ht="15.6">
      <c r="A6" s="12" t="str">
        <v>AZ: ASU - Pardee - Macro Tech.</v>
      </c>
      <c r="B6" s="9" t="str">
        <v>AZ</v>
      </c>
      <c r="C6" s="25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4" si="1">IFERROR(E6/D6, "")</f>
        <v/>
      </c>
      <c r="G6" s="15">
        <f>SUM(Apr!G6,May!G6,Jun!G6)</f>
        <v>0</v>
      </c>
      <c r="H6" s="15">
        <f>SUM(Apr!H6, May!H6, Jun!H6)</f>
        <v>0</v>
      </c>
      <c r="I6" s="16" t="str">
        <f t="shared" ref="I6:I14" si="2">IFERROR(H6/G6, "")</f>
        <v/>
      </c>
    </row>
    <row r="7" spans="1:9" ht="15.6">
      <c r="A7" s="18" t="str">
        <v>AZ: ASU - Pardee - McCord Hall</v>
      </c>
      <c r="B7" s="10" t="str">
        <v>AZ</v>
      </c>
      <c r="C7" s="11">
        <f>SUM(Apr!C7, May!C7, Jun!C7)</f>
        <v>0</v>
      </c>
      <c r="D7" s="19">
        <f>SUM(Apr!D7, May!D7, Jun!D7)</f>
        <v>0</v>
      </c>
      <c r="E7" s="19">
        <f t="shared" si="0"/>
        <v>0</v>
      </c>
      <c r="F7" s="20" t="str">
        <f t="shared" si="1"/>
        <v/>
      </c>
      <c r="G7" s="11">
        <f>SUM(Apr!G7,May!G7,Jun!G7)</f>
        <v>0</v>
      </c>
      <c r="H7" s="21">
        <f>SUM(Apr!H7, May!H7, Jun!H7)</f>
        <v>0</v>
      </c>
      <c r="I7" s="20" t="str">
        <f t="shared" si="2"/>
        <v/>
      </c>
    </row>
    <row r="8" spans="1:9" ht="15.6">
      <c r="A8" s="12" t="str">
        <v>AZ: NAU - SF Garage</v>
      </c>
      <c r="B8" s="9" t="str">
        <v>AZ</v>
      </c>
      <c r="C8" s="25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>
        <f>SUM(Apr!G8,May!G8,Jun!G8)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18" t="str">
        <v>AZ: ASU - Pardee - Parking Lot 11</v>
      </c>
      <c r="B9" s="10" t="str">
        <v>AZ</v>
      </c>
      <c r="C9" s="11">
        <f>SUM(Apr!C9, May!C9, Jun!C9)</f>
        <v>0</v>
      </c>
      <c r="D9" s="19">
        <f>SUM(Apr!D9, May!D9, Jun!D9)</f>
        <v>0</v>
      </c>
      <c r="E9" s="19">
        <f t="shared" si="0"/>
        <v>0</v>
      </c>
      <c r="F9" s="20" t="str">
        <f t="shared" si="1"/>
        <v/>
      </c>
      <c r="G9" s="11">
        <f>SUM(Apr!G9,May!G9,Jun!G9)</f>
        <v>0</v>
      </c>
      <c r="H9" s="21">
        <f>SUM(Apr!H9, May!H9, Jun!H9)</f>
        <v>0</v>
      </c>
      <c r="I9" s="20" t="str">
        <f t="shared" si="2"/>
        <v/>
      </c>
    </row>
    <row r="10" spans="1:9" ht="15.6">
      <c r="A10" s="12" t="str">
        <v>AZ: ASU - Pardee - Parking Lot 19</v>
      </c>
      <c r="B10" s="9" t="str">
        <v>AZ</v>
      </c>
      <c r="C10" s="25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>
        <f>SUM(Apr!G10,May!G10,Jun!G10)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18" t="str">
        <v>AZ: ASU - Pardee - Parking Lot 41</v>
      </c>
      <c r="B11" s="10" t="str">
        <v>AZ</v>
      </c>
      <c r="C11" s="11">
        <f>SUM(Apr!C11, May!C11, Jun!C11)</f>
        <v>0</v>
      </c>
      <c r="D11" s="19">
        <f>SUM(Apr!D11, May!D11, Jun!D11)</f>
        <v>0</v>
      </c>
      <c r="E11" s="19">
        <f t="shared" si="0"/>
        <v>0</v>
      </c>
      <c r="F11" s="20" t="str">
        <f t="shared" si="1"/>
        <v/>
      </c>
      <c r="G11" s="11">
        <f>SUM(Apr!G11,May!G11,Jun!G11)</f>
        <v>0</v>
      </c>
      <c r="H11" s="21">
        <f>SUM(Apr!H11, May!H11, Jun!H11)</f>
        <v>0</v>
      </c>
      <c r="I11" s="20" t="str">
        <f t="shared" si="2"/>
        <v/>
      </c>
    </row>
    <row r="12" spans="1:9" ht="15.6">
      <c r="A12" s="12" t="str">
        <v>AZ: ASU - Pardee - Parking Lot 58</v>
      </c>
      <c r="B12" s="9" t="str">
        <v>AZ</v>
      </c>
      <c r="C12" s="25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>
        <f>SUM(Apr!G12,May!G12,Jun!G12)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8" t="str">
        <v>AZ: ASU - Pardee - Parking Lot 59S</v>
      </c>
      <c r="B13" s="10" t="str">
        <v>AZ</v>
      </c>
      <c r="C13" s="11">
        <f>SUM(Apr!C13, May!C13, Jun!C13)</f>
        <v>0</v>
      </c>
      <c r="D13" s="19">
        <f>SUM(Apr!D13, May!D13, Jun!D13)</f>
        <v>0</v>
      </c>
      <c r="E13" s="19">
        <f t="shared" si="0"/>
        <v>0</v>
      </c>
      <c r="F13" s="20" t="str">
        <f t="shared" si="1"/>
        <v/>
      </c>
      <c r="G13" s="11">
        <f>SUM(Apr!G13,May!G13,Jun!G13)</f>
        <v>0</v>
      </c>
      <c r="H13" s="21">
        <f>SUM(Apr!H13, May!H13, Jun!H13)</f>
        <v>0</v>
      </c>
      <c r="I13" s="20" t="str">
        <f t="shared" si="2"/>
        <v/>
      </c>
    </row>
    <row r="14" spans="1:9" ht="15.6">
      <c r="A14" s="12" t="str">
        <v>AZ: ASU - Pardee - Sun Devil Complex</v>
      </c>
      <c r="B14" s="9" t="str">
        <v>AZ</v>
      </c>
      <c r="C14" s="25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>
        <f>SUM(Apr!G14,May!G14,Jun!G14)</f>
        <v>0</v>
      </c>
      <c r="H14" s="15">
        <f>SUM(Apr!H14, May!H14, Jun!H14)</f>
        <v>0</v>
      </c>
      <c r="I14" s="16" t="str">
        <f t="shared" si="2"/>
        <v/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8"/>
  <sheetViews>
    <sheetView workbookViewId="0">
      <pane ySplit="2" topLeftCell="A3" activePane="bottomLeft" state="frozen"/>
      <selection pane="bottomLeft" activeCell="L21" sqref="L21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Pardee (ENCAP)</v>
      </c>
      <c r="B1" s="63"/>
      <c r="C1" s="63"/>
      <c r="D1" s="64" t="s">
        <v>14</v>
      </c>
      <c r="E1" s="64"/>
      <c r="F1" s="64"/>
      <c r="G1" s="62" t="s">
        <v>15</v>
      </c>
      <c r="H1" s="62"/>
      <c r="I1" s="62"/>
    </row>
    <row r="2" spans="1:9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8" t="str">
        <v>AZ: ASU - Pardee - Farrington</v>
      </c>
      <c r="B5" s="10" t="str">
        <v>AZ</v>
      </c>
      <c r="C5" s="11">
        <f>SUM(Jul!C5, Aug!C5, Sep!C5)</f>
        <v>0</v>
      </c>
      <c r="D5" s="19">
        <f>SUM(Jul!D5, Aug!D5, Sep!D5)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11">
        <f>SUM(Jul!G5,Aug!G5,Sep!G5)</f>
        <v>0</v>
      </c>
      <c r="H5" s="21">
        <f>SUM(Jul!H5, Aug!H5, Sep!H5)</f>
        <v>0</v>
      </c>
      <c r="I5" s="20" t="str">
        <f>IFERROR(H5/G5, "")</f>
        <v/>
      </c>
    </row>
    <row r="6" spans="1:9" ht="15.6">
      <c r="A6" s="12" t="str">
        <v>AZ: ASU - Pardee - Macro Tech.</v>
      </c>
      <c r="B6" s="9" t="str">
        <v>AZ</v>
      </c>
      <c r="C6" s="25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4" si="1">IFERROR(E6/D6, "")</f>
        <v/>
      </c>
      <c r="G6" s="15">
        <f>SUM(Jul!G6,Aug!G6,Sep!G6)</f>
        <v>0</v>
      </c>
      <c r="H6" s="15">
        <f>SUM(Jul!H6, Aug!H6, Sep!H6)</f>
        <v>0</v>
      </c>
      <c r="I6" s="16" t="str">
        <f t="shared" ref="I6:I14" si="2">IFERROR(H6/G6, "")</f>
        <v/>
      </c>
    </row>
    <row r="7" spans="1:9" ht="15.6">
      <c r="A7" s="18" t="str">
        <v>AZ: ASU - Pardee - McCord Hall</v>
      </c>
      <c r="B7" s="10" t="str">
        <v>AZ</v>
      </c>
      <c r="C7" s="11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11">
        <f>SUM(Jul!G7,Aug!G7,Sep!G7)</f>
        <v>0</v>
      </c>
      <c r="H7" s="21">
        <f>SUM(Jul!H7, Aug!H7, Sep!H7)</f>
        <v>0</v>
      </c>
      <c r="I7" s="20" t="str">
        <f t="shared" si="2"/>
        <v/>
      </c>
    </row>
    <row r="8" spans="1:9" ht="15.6">
      <c r="A8" s="12" t="str">
        <v>AZ: NAU - SF Garage</v>
      </c>
      <c r="B8" s="9" t="str">
        <v>AZ</v>
      </c>
      <c r="C8" s="25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>
        <f>SUM(Jul!G8,Aug!G8,Sep!G8)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18" t="str">
        <v>AZ: ASU - Pardee - Parking Lot 11</v>
      </c>
      <c r="B9" s="10" t="str">
        <v>AZ</v>
      </c>
      <c r="C9" s="11">
        <f>SUM(Jul!C9, Aug!C9, Sep!C9)</f>
        <v>0</v>
      </c>
      <c r="D9" s="19">
        <f>SUM(Jul!D9, Aug!D9, Sep!D9)</f>
        <v>0</v>
      </c>
      <c r="E9" s="19">
        <f t="shared" si="0"/>
        <v>0</v>
      </c>
      <c r="F9" s="20" t="str">
        <f t="shared" si="1"/>
        <v/>
      </c>
      <c r="G9" s="11">
        <f>SUM(Jul!G9,Aug!G9,Sep!G9)</f>
        <v>0</v>
      </c>
      <c r="H9" s="21">
        <f>SUM(Jul!H9, Aug!H9, Sep!H9)</f>
        <v>0</v>
      </c>
      <c r="I9" s="20" t="str">
        <f t="shared" si="2"/>
        <v/>
      </c>
    </row>
    <row r="10" spans="1:9" ht="15.6">
      <c r="A10" s="12" t="str">
        <v>AZ: ASU - Pardee - Parking Lot 19</v>
      </c>
      <c r="B10" s="9" t="str">
        <v>AZ</v>
      </c>
      <c r="C10" s="25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>
        <f>SUM(Jul!G10,Aug!G10,Sep!G10)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18" t="str">
        <v>AZ: ASU - Pardee - Parking Lot 41</v>
      </c>
      <c r="B11" s="10" t="str">
        <v>AZ</v>
      </c>
      <c r="C11" s="11">
        <f>SUM(Jul!C11, Aug!C11, Sep!C11)</f>
        <v>0</v>
      </c>
      <c r="D11" s="19">
        <f>SUM(Jul!D11, Aug!D11, Sep!D11)</f>
        <v>0</v>
      </c>
      <c r="E11" s="19">
        <f t="shared" si="0"/>
        <v>0</v>
      </c>
      <c r="F11" s="20" t="str">
        <f t="shared" si="1"/>
        <v/>
      </c>
      <c r="G11" s="11">
        <f>SUM(Jul!G11,Aug!G11,Sep!G11)</f>
        <v>0</v>
      </c>
      <c r="H11" s="21">
        <f>SUM(Jul!H11, Aug!H11, Sep!H11)</f>
        <v>0</v>
      </c>
      <c r="I11" s="20" t="str">
        <f t="shared" si="2"/>
        <v/>
      </c>
    </row>
    <row r="12" spans="1:9" ht="15.6">
      <c r="A12" s="12" t="str">
        <v>AZ: ASU - Pardee - Parking Lot 58</v>
      </c>
      <c r="B12" s="9" t="str">
        <v>AZ</v>
      </c>
      <c r="C12" s="25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>
        <f>SUM(Jul!G12,Aug!G12,Sep!G12)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18" t="str">
        <v>AZ: ASU - Pardee - Parking Lot 59S</v>
      </c>
      <c r="B13" s="10" t="str">
        <v>AZ</v>
      </c>
      <c r="C13" s="11">
        <f>SUM(Jul!C13, Aug!C13, Sep!C13)</f>
        <v>0</v>
      </c>
      <c r="D13" s="19">
        <f>SUM(Jul!D13, Aug!D13, Sep!D13)</f>
        <v>0</v>
      </c>
      <c r="E13" s="19">
        <f t="shared" si="0"/>
        <v>0</v>
      </c>
      <c r="F13" s="20" t="str">
        <f t="shared" si="1"/>
        <v/>
      </c>
      <c r="G13" s="11">
        <f>SUM(Jul!G13,Aug!G13,Sep!G13)</f>
        <v>0</v>
      </c>
      <c r="H13" s="21">
        <f>SUM(Jul!H13, Aug!H13, Sep!H13)</f>
        <v>0</v>
      </c>
      <c r="I13" s="20" t="str">
        <f t="shared" si="2"/>
        <v/>
      </c>
    </row>
    <row r="14" spans="1:9" ht="15.6">
      <c r="A14" s="12" t="str">
        <v>AZ: ASU - Pardee - Sun Devil Complex</v>
      </c>
      <c r="B14" s="9" t="str">
        <v>AZ</v>
      </c>
      <c r="C14" s="25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>
        <f>SUM(Jul!G14,Aug!G14,Sep!G14)</f>
        <v>0</v>
      </c>
      <c r="H14" s="15">
        <f>SUM(Jul!H14, Aug!H14, Sep!H14)</f>
        <v>0</v>
      </c>
      <c r="I14" s="16" t="str">
        <f t="shared" si="2"/>
        <v/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ySplit="2" topLeftCell="A3" activePane="bottomLeft" state="frozen"/>
      <selection pane="bottomLeft" activeCell="H19" sqref="H19"/>
      <selection activeCell="E30" sqref="E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Pardee (ENCAP)</v>
      </c>
      <c r="B1" s="63"/>
      <c r="C1" s="63"/>
      <c r="D1" s="64" t="s">
        <v>16</v>
      </c>
      <c r="E1" s="64"/>
      <c r="F1" s="64"/>
      <c r="G1" s="62" t="s">
        <v>17</v>
      </c>
      <c r="H1" s="62"/>
      <c r="I1" s="62"/>
    </row>
    <row r="2" spans="1:9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8" t="str">
        <v>AZ: ASU - Pardee - Farrington</v>
      </c>
      <c r="B5" s="10" t="str">
        <v>AZ</v>
      </c>
      <c r="C5" s="11">
        <f>SUM(Oct!C5, Nov!C5, Dec!C5)</f>
        <v>0</v>
      </c>
      <c r="D5" s="19">
        <f>SUM(Oct!D5, Nov!D5, Dec!D5)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11">
        <f>SUM(Oct!G5,Nov!G5,Dec!G5)</f>
        <v>0</v>
      </c>
      <c r="H5" s="21">
        <f>SUM(Oct!H5, Nov!H5, Dec!H5)</f>
        <v>0</v>
      </c>
      <c r="I5" s="20" t="str">
        <f>IFERROR(H5/G5, "")</f>
        <v/>
      </c>
    </row>
    <row r="6" spans="1:9" ht="15.6">
      <c r="A6" s="12" t="str">
        <v>AZ: ASU - Pardee - Macro Tech.</v>
      </c>
      <c r="B6" s="9" t="str">
        <v>AZ</v>
      </c>
      <c r="C6" s="25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4" si="1">IFERROR(E6/D6, "")</f>
        <v/>
      </c>
      <c r="G6" s="15">
        <f>SUM(Oct!G6,Nov!G6,Dec!G6)</f>
        <v>0</v>
      </c>
      <c r="H6" s="15">
        <f>SUM(Oct!H6, Nov!H6, Dec!H6)</f>
        <v>0</v>
      </c>
      <c r="I6" s="16" t="str">
        <f t="shared" ref="I6:I14" si="2">IFERROR(H6/G6, "")</f>
        <v/>
      </c>
    </row>
    <row r="7" spans="1:9" ht="15.6">
      <c r="A7" s="18" t="str">
        <v>AZ: ASU - Pardee - McCord Hall</v>
      </c>
      <c r="B7" s="10" t="str">
        <v>AZ</v>
      </c>
      <c r="C7" s="11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11">
        <f>SUM(Oct!G7,Nov!G7,Dec!G7)</f>
        <v>0</v>
      </c>
      <c r="H7" s="21">
        <f>SUM(Oct!H7, Nov!H7, Dec!H7)</f>
        <v>0</v>
      </c>
      <c r="I7" s="20" t="str">
        <f t="shared" si="2"/>
        <v/>
      </c>
    </row>
    <row r="8" spans="1:9" ht="15.6">
      <c r="A8" s="12" t="str">
        <v>AZ: NAU - SF Garage</v>
      </c>
      <c r="B8" s="9" t="str">
        <v>AZ</v>
      </c>
      <c r="C8" s="25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SUM(Oct!G8,Nov!G8,Dec!G8)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8" t="str">
        <v>AZ: ASU - Pardee - Parking Lot 11</v>
      </c>
      <c r="B9" s="10" t="str">
        <v>AZ</v>
      </c>
      <c r="C9" s="11">
        <f>SUM(Oct!C9, Nov!C9, Dec!C9)</f>
        <v>0</v>
      </c>
      <c r="D9" s="19">
        <f>SUM(Oct!D9, Nov!D9, Dec!D9)</f>
        <v>0</v>
      </c>
      <c r="E9" s="19">
        <f t="shared" si="0"/>
        <v>0</v>
      </c>
      <c r="F9" s="20" t="str">
        <f t="shared" si="1"/>
        <v/>
      </c>
      <c r="G9" s="11">
        <f>SUM(Oct!G9,Nov!G9,Dec!G9)</f>
        <v>0</v>
      </c>
      <c r="H9" s="21">
        <f>SUM(Oct!H9, Nov!H9, Dec!H9)</f>
        <v>0</v>
      </c>
      <c r="I9" s="20" t="str">
        <f t="shared" si="2"/>
        <v/>
      </c>
    </row>
    <row r="10" spans="1:9" ht="15.6">
      <c r="A10" s="12" t="str">
        <v>AZ: ASU - Pardee - Parking Lot 19</v>
      </c>
      <c r="B10" s="9" t="str">
        <v>AZ</v>
      </c>
      <c r="C10" s="25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SUM(Oct!G10,Nov!G10,Dec!G10)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8" t="str">
        <v>AZ: ASU - Pardee - Parking Lot 41</v>
      </c>
      <c r="B11" s="10" t="str">
        <v>AZ</v>
      </c>
      <c r="C11" s="11">
        <f>SUM(Oct!C11, Nov!C11, Dec!C11)</f>
        <v>0</v>
      </c>
      <c r="D11" s="19">
        <f>SUM(Oct!D11, Nov!D11, Dec!D11)</f>
        <v>0</v>
      </c>
      <c r="E11" s="19">
        <f t="shared" si="0"/>
        <v>0</v>
      </c>
      <c r="F11" s="20" t="str">
        <f t="shared" si="1"/>
        <v/>
      </c>
      <c r="G11" s="11">
        <f>SUM(Oct!G11,Nov!G11,Dec!G11)</f>
        <v>0</v>
      </c>
      <c r="H11" s="21">
        <f>SUM(Oct!H11, Nov!H11, Dec!H11)</f>
        <v>0</v>
      </c>
      <c r="I11" s="20" t="str">
        <f t="shared" si="2"/>
        <v/>
      </c>
    </row>
    <row r="12" spans="1:9" ht="15.6">
      <c r="A12" s="12" t="str">
        <v>AZ: ASU - Pardee - Parking Lot 58</v>
      </c>
      <c r="B12" s="9" t="str">
        <v>AZ</v>
      </c>
      <c r="C12" s="25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SUM(Oct!G12,Nov!G12,Dec!G12)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8" t="str">
        <v>AZ: ASU - Pardee - Parking Lot 59S</v>
      </c>
      <c r="B13" s="10" t="str">
        <v>AZ</v>
      </c>
      <c r="C13" s="11">
        <f>SUM(Oct!C13, Nov!C13, Dec!C13)</f>
        <v>0</v>
      </c>
      <c r="D13" s="19">
        <f>SUM(Oct!D13, Nov!D13, Dec!D13)</f>
        <v>0</v>
      </c>
      <c r="E13" s="19">
        <f t="shared" si="0"/>
        <v>0</v>
      </c>
      <c r="F13" s="20" t="str">
        <f t="shared" si="1"/>
        <v/>
      </c>
      <c r="G13" s="11">
        <f>SUM(Oct!G13,Nov!G13,Dec!G13)</f>
        <v>0</v>
      </c>
      <c r="H13" s="21">
        <f>SUM(Oct!H13, Nov!H13, Dec!H13)</f>
        <v>0</v>
      </c>
      <c r="I13" s="20" t="str">
        <f t="shared" si="2"/>
        <v/>
      </c>
    </row>
    <row r="14" spans="1:9" ht="15.6">
      <c r="A14" s="12" t="str">
        <v>AZ: ASU - Pardee - Sun Devil Complex</v>
      </c>
      <c r="B14" s="9" t="str">
        <v>AZ</v>
      </c>
      <c r="C14" s="25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SUM(Oct!G14,Nov!G14,Dec!G14)</f>
        <v>0</v>
      </c>
      <c r="H14" s="15">
        <f>SUM(Oct!H14, Nov!H14, Dec!H14)</f>
        <v>0</v>
      </c>
      <c r="I14" s="16" t="str">
        <f t="shared" si="2"/>
        <v/>
      </c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9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9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9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9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7"/>
  <sheetViews>
    <sheetView zoomScale="70" zoomScaleNormal="70" workbookViewId="0">
      <pane ySplit="3" topLeftCell="A4" activePane="bottomLeft" state="frozen"/>
      <selection pane="bottomLeft" activeCell="J14" sqref="J14"/>
      <selection activeCell="E30" sqref="E3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31.5703125" bestFit="1" customWidth="1"/>
  </cols>
  <sheetData>
    <row r="1" spans="1:11" ht="19.5" customHeight="1">
      <c r="A1" s="63" t="str" cm="1">
        <f t="array" ref="A1">portfolio</f>
        <v>Pardee (ENCAP)</v>
      </c>
      <c r="B1" s="63"/>
      <c r="C1" s="63"/>
      <c r="D1" s="64" t="s">
        <v>18</v>
      </c>
      <c r="E1" s="64"/>
      <c r="F1" s="64"/>
      <c r="G1" s="62" t="s">
        <v>19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SUM(C4:C85)</f>
        <v>288814.37545776367</v>
      </c>
      <c r="D2" s="5">
        <f>SUM(D4:D85)</f>
        <v>316487.484</v>
      </c>
      <c r="E2" s="5">
        <f>C2-D2</f>
        <v>-27673.108542236325</v>
      </c>
      <c r="F2" s="6">
        <f>IFERROR(E2/D2, 0)</f>
        <v>-8.7438239871237139E-2</v>
      </c>
      <c r="G2" s="5">
        <f>SUM(G4:G85)</f>
        <v>295930.84500000003</v>
      </c>
      <c r="H2" s="7">
        <f>C2-G2</f>
        <v>-7116.4695422363584</v>
      </c>
      <c r="I2" s="6">
        <f>IFERROR(H2/G2, 0)</f>
        <v>-2.4047745148824747E-2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28.9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5916.75</v>
      </c>
      <c r="D4" s="13">
        <v>5538.3739999999998</v>
      </c>
      <c r="E4" s="13">
        <f>IF(AND(ISNUMBER(C4),ISNUMBER(D4)), C4-D4, "")</f>
        <v>378.3760000000002</v>
      </c>
      <c r="F4" s="14">
        <f>IFERROR(E4/D4, "")</f>
        <v>6.8318968708144343E-2</v>
      </c>
      <c r="G4" s="15">
        <v>6580.4769999999999</v>
      </c>
      <c r="H4" s="15">
        <f>IF(AND(ISNUMBER(C4),ISNUMBER(G4)), C4-G4, "")</f>
        <v>-663.72699999999986</v>
      </c>
      <c r="I4" s="16">
        <f>IFERROR(H4/G4, "")</f>
        <v>-0.10086305293673997</v>
      </c>
      <c r="J4" s="17" t="s">
        <v>22</v>
      </c>
      <c r="K4" s="17" t="s">
        <v>23</v>
      </c>
    </row>
    <row r="5" spans="1:11" ht="28.9">
      <c r="A5" s="31" t="str">
        <v>AZ: ASU - Pardee - Farrington</v>
      </c>
      <c r="B5" s="32" t="str">
        <v>AZ</v>
      </c>
      <c r="C5" s="11">
        <v>17359.000457763701</v>
      </c>
      <c r="D5" s="19">
        <v>25551.77</v>
      </c>
      <c r="E5" s="19">
        <f t="shared" ref="E5:E6" si="0">IF(AND(ISNUMBER(C5),ISNUMBER(D5)), C5-D5, "")</f>
        <v>-8192.7695422362995</v>
      </c>
      <c r="F5" s="20">
        <f>IFERROR(E5/D5, "")</f>
        <v>-0.32063412993449375</v>
      </c>
      <c r="G5" s="21">
        <v>24198.86</v>
      </c>
      <c r="H5" s="21">
        <f t="shared" ref="H5:H6" si="1">IF(AND(ISNUMBER(C5),ISNUMBER(G5)), C5-G5, "")</f>
        <v>-6839.8595422362996</v>
      </c>
      <c r="I5" s="20">
        <f t="shared" ref="I5:I6" si="2">IFERROR(H5/G5, "")</f>
        <v>-0.28265213907747305</v>
      </c>
      <c r="J5" s="46" t="s">
        <v>24</v>
      </c>
      <c r="K5" s="46" t="s">
        <v>25</v>
      </c>
    </row>
    <row r="6" spans="1:11" ht="63.75" customHeight="1">
      <c r="A6" s="29" t="str">
        <v>AZ: ASU - Pardee - Macro Tech.</v>
      </c>
      <c r="B6" s="30" t="str">
        <v>AZ</v>
      </c>
      <c r="C6" s="25">
        <v>76476.625</v>
      </c>
      <c r="D6" s="13">
        <v>96023.1</v>
      </c>
      <c r="E6" s="13">
        <f t="shared" si="0"/>
        <v>-19546.475000000006</v>
      </c>
      <c r="F6" s="14">
        <f t="shared" ref="F6:F14" si="3">IFERROR(E6/D6, "")</f>
        <v>-0.20356013292634798</v>
      </c>
      <c r="G6" s="15">
        <v>89844.160000000003</v>
      </c>
      <c r="H6" s="15">
        <f t="shared" si="1"/>
        <v>-13367.535000000003</v>
      </c>
      <c r="I6" s="16">
        <f t="shared" si="2"/>
        <v>-0.14878579754098656</v>
      </c>
      <c r="J6" s="17" t="s">
        <v>26</v>
      </c>
      <c r="K6" s="17" t="s">
        <v>27</v>
      </c>
    </row>
    <row r="7" spans="1:11" ht="15.6">
      <c r="A7" s="31" t="str">
        <v>AZ: ASU - Pardee - McCord Hall</v>
      </c>
      <c r="B7" s="32" t="str">
        <v>AZ</v>
      </c>
      <c r="C7" s="11">
        <v>8385.875</v>
      </c>
      <c r="D7" s="19">
        <v>6453.7860000000001</v>
      </c>
      <c r="E7" s="19">
        <f t="shared" ref="E7:E14" si="4">IF(AND(ISNUMBER(C7),ISNUMBER(D7)), C7-D7, "")</f>
        <v>1932.0889999999999</v>
      </c>
      <c r="F7" s="20">
        <f t="shared" si="3"/>
        <v>0.299372957206824</v>
      </c>
      <c r="G7" s="21">
        <v>8884.1229999999996</v>
      </c>
      <c r="H7" s="21">
        <f t="shared" ref="H7:H14" si="5">IF(AND(ISNUMBER(C7),ISNUMBER(G7)), C7-G7, "")</f>
        <v>-498.24799999999959</v>
      </c>
      <c r="I7" s="20">
        <f t="shared" ref="I7:I14" si="6">IFERROR(H7/G7, "")</f>
        <v>-5.6082969585180172E-2</v>
      </c>
      <c r="J7" s="42"/>
      <c r="K7" s="42"/>
    </row>
    <row r="8" spans="1:11" ht="15.6">
      <c r="A8" s="29" t="str">
        <v>AZ: NAU - SF Garage</v>
      </c>
      <c r="B8" s="30" t="str">
        <v>AZ</v>
      </c>
      <c r="C8" s="25">
        <v>52716</v>
      </c>
      <c r="D8" s="13">
        <v>57354.053999999996</v>
      </c>
      <c r="E8" s="13">
        <f t="shared" si="4"/>
        <v>-4638.0539999999964</v>
      </c>
      <c r="F8" s="14">
        <f t="shared" si="3"/>
        <v>-8.0867064776275394E-2</v>
      </c>
      <c r="G8" s="15">
        <v>45999.135000000002</v>
      </c>
      <c r="H8" s="15">
        <f t="shared" si="5"/>
        <v>6716.864999999998</v>
      </c>
      <c r="I8" s="16">
        <f t="shared" si="6"/>
        <v>0.14602155018784588</v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18327.75</v>
      </c>
      <c r="D9" s="19">
        <v>17757.759999999998</v>
      </c>
      <c r="E9" s="19">
        <f t="shared" si="4"/>
        <v>569.9900000000016</v>
      </c>
      <c r="F9" s="20">
        <f t="shared" si="3"/>
        <v>3.2098079938010289E-2</v>
      </c>
      <c r="G9" s="21">
        <v>10305.89</v>
      </c>
      <c r="H9" s="21">
        <f t="shared" si="5"/>
        <v>8021.8600000000006</v>
      </c>
      <c r="I9" s="20">
        <f t="shared" si="6"/>
        <v>0.77837624892173318</v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>
        <v>26035.5</v>
      </c>
      <c r="D10" s="13">
        <v>25220.52</v>
      </c>
      <c r="E10" s="13">
        <f t="shared" si="4"/>
        <v>814.97999999999956</v>
      </c>
      <c r="F10" s="14">
        <f t="shared" si="3"/>
        <v>3.2314163228989709E-2</v>
      </c>
      <c r="G10" s="15">
        <v>15260.94</v>
      </c>
      <c r="H10" s="15">
        <f t="shared" si="5"/>
        <v>10774.56</v>
      </c>
      <c r="I10" s="16">
        <f t="shared" si="6"/>
        <v>0.70602204058203488</v>
      </c>
      <c r="J10" s="17"/>
      <c r="K10" s="17"/>
    </row>
    <row r="11" spans="1:11" ht="28.9">
      <c r="A11" s="31" t="str">
        <v>AZ: ASU - Pardee - Parking Lot 41</v>
      </c>
      <c r="B11" s="32" t="str">
        <v>AZ</v>
      </c>
      <c r="C11" s="11">
        <v>19602.125</v>
      </c>
      <c r="D11" s="19">
        <v>21279.74</v>
      </c>
      <c r="E11" s="19">
        <f t="shared" si="4"/>
        <v>-1677.6150000000016</v>
      </c>
      <c r="F11" s="20">
        <f t="shared" si="3"/>
        <v>-7.8836254578298487E-2</v>
      </c>
      <c r="G11" s="21">
        <v>21672.34</v>
      </c>
      <c r="H11" s="21">
        <f t="shared" si="5"/>
        <v>-2070.2150000000001</v>
      </c>
      <c r="I11" s="20">
        <f t="shared" si="6"/>
        <v>-9.5523372187774833E-2</v>
      </c>
      <c r="J11" s="46" t="s">
        <v>28</v>
      </c>
      <c r="K11" s="42" t="s">
        <v>29</v>
      </c>
    </row>
    <row r="12" spans="1:11" ht="15.6">
      <c r="A12" s="29" t="str">
        <v>AZ: ASU - Pardee - Parking Lot 58</v>
      </c>
      <c r="B12" s="30" t="str">
        <v>AZ</v>
      </c>
      <c r="C12" s="25">
        <v>25842.75</v>
      </c>
      <c r="D12" s="13">
        <v>19977.46</v>
      </c>
      <c r="E12" s="13">
        <f t="shared" si="4"/>
        <v>5865.2900000000009</v>
      </c>
      <c r="F12" s="14">
        <f t="shared" si="3"/>
        <v>0.293595381995509</v>
      </c>
      <c r="G12" s="15">
        <v>22973.07</v>
      </c>
      <c r="H12" s="15">
        <f t="shared" si="5"/>
        <v>2869.6800000000003</v>
      </c>
      <c r="I12" s="16">
        <f t="shared" si="6"/>
        <v>0.12491495477095575</v>
      </c>
      <c r="J12" s="17"/>
      <c r="K12" s="17"/>
    </row>
    <row r="13" spans="1:11" ht="28.9">
      <c r="A13" s="31" t="str">
        <v>AZ: ASU - Pardee - Parking Lot 59S</v>
      </c>
      <c r="B13" s="32" t="str">
        <v>AZ</v>
      </c>
      <c r="C13" s="11">
        <v>20102.5</v>
      </c>
      <c r="D13" s="19">
        <v>18284.13</v>
      </c>
      <c r="E13" s="19">
        <f t="shared" si="4"/>
        <v>1818.369999999999</v>
      </c>
      <c r="F13" s="20">
        <f t="shared" si="3"/>
        <v>9.9450725848044111E-2</v>
      </c>
      <c r="G13" s="21">
        <v>25126.85</v>
      </c>
      <c r="H13" s="21">
        <f t="shared" si="5"/>
        <v>-5024.3499999999985</v>
      </c>
      <c r="I13" s="20">
        <f t="shared" si="6"/>
        <v>-0.19995940597408743</v>
      </c>
      <c r="J13" s="46" t="s">
        <v>30</v>
      </c>
      <c r="K13" s="46" t="s">
        <v>31</v>
      </c>
    </row>
    <row r="14" spans="1:11" ht="28.9">
      <c r="A14" s="29" t="str">
        <v>AZ: ASU - Pardee - Sun Devil Complex</v>
      </c>
      <c r="B14" s="30" t="str">
        <v>AZ</v>
      </c>
      <c r="C14" s="25">
        <v>18049.5</v>
      </c>
      <c r="D14" s="13">
        <v>23046.79</v>
      </c>
      <c r="E14" s="13">
        <f t="shared" si="4"/>
        <v>-4997.2900000000009</v>
      </c>
      <c r="F14" s="14">
        <f t="shared" si="3"/>
        <v>-0.21683236580886106</v>
      </c>
      <c r="G14" s="15">
        <v>25085</v>
      </c>
      <c r="H14" s="15">
        <f t="shared" si="5"/>
        <v>-7035.5</v>
      </c>
      <c r="I14" s="16">
        <f t="shared" si="6"/>
        <v>-0.28046641419174806</v>
      </c>
      <c r="J14" s="17" t="s">
        <v>32</v>
      </c>
      <c r="K14" s="17" t="s">
        <v>33</v>
      </c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3"/>
      <c r="G18" s="22"/>
      <c r="H18" s="22"/>
      <c r="I18" s="23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</sheetData>
  <mergeCells count="4">
    <mergeCell ref="D1:F1"/>
    <mergeCell ref="A1:C1"/>
    <mergeCell ref="G1:I1"/>
    <mergeCell ref="A2:B2"/>
  </mergeCells>
  <conditionalFormatting sqref="F2 I2 F4:F85 I4:I85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tabSelected="1" topLeftCell="E1" workbookViewId="0">
      <pane ySplit="2" topLeftCell="A3" activePane="bottomLeft" state="frozen"/>
      <selection pane="bottomLeft" activeCell="L17" sqref="L17"/>
      <selection activeCell="C21" sqref="C21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2.140625" customWidth="1"/>
  </cols>
  <sheetData>
    <row r="1" spans="1:14" ht="19.5" customHeight="1">
      <c r="A1" s="63" t="str" cm="1">
        <f t="array" ref="A1">portfolio</f>
        <v>Pardee (ENCAP)</v>
      </c>
      <c r="B1" s="63"/>
      <c r="C1" s="63"/>
      <c r="D1" s="64" t="s">
        <v>34</v>
      </c>
      <c r="E1" s="64"/>
      <c r="F1" s="64"/>
      <c r="G1" s="62" t="s">
        <v>35</v>
      </c>
      <c r="H1" s="62"/>
      <c r="I1" s="62"/>
      <c r="J1" s="4"/>
      <c r="K1" s="4"/>
    </row>
    <row r="2" spans="1:14" ht="19.5" customHeight="1">
      <c r="A2" s="65" t="s">
        <v>2</v>
      </c>
      <c r="B2" s="65"/>
      <c r="C2" s="5">
        <f>SUM(C4:C86)</f>
        <v>332166.07843017578</v>
      </c>
      <c r="D2" s="5">
        <f>SUM(D4:D86)</f>
        <v>336249.9</v>
      </c>
      <c r="E2" s="5">
        <f>C2-D2</f>
        <v>-4083.821569824242</v>
      </c>
      <c r="F2" s="6">
        <f>IFERROR(E2/D2, 0)</f>
        <v>-1.2145197871655104E-2</v>
      </c>
      <c r="G2" s="5">
        <f>SUM(G4:G86)</f>
        <v>336219.701</v>
      </c>
      <c r="H2" s="7">
        <f>C2-G2</f>
        <v>-4053.6225698242197</v>
      </c>
      <c r="I2" s="6">
        <f>IFERROR(H2/G2, 0)</f>
        <v>-1.2056469498270774E-2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4" ht="28.9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6598.875</v>
      </c>
      <c r="D4" s="13">
        <v>5712.3580000000002</v>
      </c>
      <c r="E4" s="13">
        <f>IF(AND(ISNUMBER(C4),ISNUMBER(D4)), C4-D4, "")</f>
        <v>886.51699999999983</v>
      </c>
      <c r="F4" s="14">
        <f>IFERROR(E4/D4, "")</f>
        <v>0.15519282930096465</v>
      </c>
      <c r="G4" s="15">
        <v>7494.7110000000002</v>
      </c>
      <c r="H4" s="15">
        <f>IF(AND(ISNUMBER(C4),ISNUMBER(G4)), C4-G4, "")</f>
        <v>-895.83600000000024</v>
      </c>
      <c r="I4" s="16">
        <f>IFERROR(H4/G4, "")</f>
        <v>-0.11952909191561892</v>
      </c>
      <c r="J4" s="17" t="s">
        <v>22</v>
      </c>
      <c r="K4" s="57" t="s">
        <v>23</v>
      </c>
      <c r="L4" s="53"/>
    </row>
    <row r="5" spans="1:14" ht="15.6">
      <c r="A5" s="31" t="str">
        <v>AZ: ASU - Pardee - Farrington</v>
      </c>
      <c r="B5" s="32" t="str">
        <v>AZ</v>
      </c>
      <c r="C5" s="11">
        <v>31007.328430175799</v>
      </c>
      <c r="D5" s="19">
        <v>26810.49</v>
      </c>
      <c r="E5" s="19">
        <f t="shared" ref="E5:E14" si="0">IF(AND(ISNUMBER(C5),ISNUMBER(D5)), C5-D5, "")</f>
        <v>4196.8384301757978</v>
      </c>
      <c r="F5" s="20">
        <f>IFERROR(E5/D5, "")</f>
        <v>0.1565371774322587</v>
      </c>
      <c r="G5" s="21">
        <v>27770.28</v>
      </c>
      <c r="H5" s="21">
        <f t="shared" ref="H5:H14" si="1">IF(AND(ISNUMBER(C5),ISNUMBER(G5)), C5-G5, "")</f>
        <v>3237.0484301758006</v>
      </c>
      <c r="I5" s="20">
        <f t="shared" ref="I5:I14" si="2">IFERROR(H5/G5, "")</f>
        <v>0.11656520676693936</v>
      </c>
      <c r="J5" s="10"/>
      <c r="K5" s="18"/>
      <c r="L5" s="53"/>
    </row>
    <row r="6" spans="1:14" ht="57.6">
      <c r="A6" s="29" t="str">
        <v>AZ: ASU - Pardee - Macro Tech.</v>
      </c>
      <c r="B6" s="30" t="str">
        <v>AZ</v>
      </c>
      <c r="C6" s="25">
        <v>72327.375</v>
      </c>
      <c r="D6" s="13">
        <v>99628.9</v>
      </c>
      <c r="E6" s="13">
        <f t="shared" si="0"/>
        <v>-27301.524999999994</v>
      </c>
      <c r="F6" s="14">
        <f t="shared" ref="F6:F14" si="3">IFERROR(E6/D6, "")</f>
        <v>-0.27403218343271879</v>
      </c>
      <c r="G6" s="15">
        <v>97007.78</v>
      </c>
      <c r="H6" s="15">
        <f t="shared" si="1"/>
        <v>-24680.404999999999</v>
      </c>
      <c r="I6" s="16">
        <f t="shared" si="2"/>
        <v>-0.25441675915065781</v>
      </c>
      <c r="J6" s="17" t="s">
        <v>36</v>
      </c>
      <c r="K6" s="57" t="s">
        <v>37</v>
      </c>
      <c r="L6" s="61" t="s">
        <v>38</v>
      </c>
      <c r="M6" s="61" t="s">
        <v>39</v>
      </c>
      <c r="N6" s="61" t="s">
        <v>40</v>
      </c>
    </row>
    <row r="7" spans="1:14" ht="15.6">
      <c r="A7" s="31" t="str">
        <v>AZ: ASU - Pardee - McCord Hall</v>
      </c>
      <c r="B7" s="32" t="str">
        <v>AZ</v>
      </c>
      <c r="C7" s="11">
        <v>9147.5</v>
      </c>
      <c r="D7" s="19">
        <v>7200.1319999999996</v>
      </c>
      <c r="E7" s="19">
        <f t="shared" si="0"/>
        <v>1947.3680000000004</v>
      </c>
      <c r="F7" s="20">
        <f t="shared" si="3"/>
        <v>0.27046281929275751</v>
      </c>
      <c r="G7" s="21">
        <v>10117.14</v>
      </c>
      <c r="H7" s="21">
        <f t="shared" si="1"/>
        <v>-969.63999999999942</v>
      </c>
      <c r="I7" s="20">
        <f t="shared" si="2"/>
        <v>-9.5841314837987759E-2</v>
      </c>
      <c r="J7" s="10"/>
      <c r="K7" s="18"/>
      <c r="L7" s="53"/>
      <c r="M7" s="53"/>
      <c r="N7" s="53"/>
    </row>
    <row r="8" spans="1:14" ht="15.6">
      <c r="A8" s="29" t="str">
        <v>AZ: NAU - SF Garage</v>
      </c>
      <c r="B8" s="30" t="str">
        <v>AZ</v>
      </c>
      <c r="C8" s="25">
        <v>60795</v>
      </c>
      <c r="D8" s="13">
        <v>63728.1</v>
      </c>
      <c r="E8" s="13">
        <f t="shared" si="0"/>
        <v>-2933.0999999999985</v>
      </c>
      <c r="F8" s="14">
        <f t="shared" si="3"/>
        <v>-4.6025222782414645E-2</v>
      </c>
      <c r="G8" s="15">
        <v>53900.3</v>
      </c>
      <c r="H8" s="15">
        <f t="shared" si="1"/>
        <v>6894.6999999999971</v>
      </c>
      <c r="I8" s="16">
        <f t="shared" si="2"/>
        <v>0.12791580009758752</v>
      </c>
      <c r="J8" s="44"/>
      <c r="K8" s="17"/>
      <c r="L8" s="53"/>
      <c r="M8" s="53"/>
      <c r="N8" s="53"/>
    </row>
    <row r="9" spans="1:14" ht="15.6">
      <c r="A9" s="31" t="str">
        <v>AZ: ASU - Pardee - Parking Lot 11</v>
      </c>
      <c r="B9" s="32" t="str">
        <v>AZ</v>
      </c>
      <c r="C9" s="11">
        <v>20052.5</v>
      </c>
      <c r="D9" s="19">
        <v>18203.32</v>
      </c>
      <c r="E9" s="19">
        <f t="shared" si="0"/>
        <v>1849.1800000000003</v>
      </c>
      <c r="F9" s="20">
        <f t="shared" si="3"/>
        <v>0.10158476585589883</v>
      </c>
      <c r="G9" s="21">
        <v>13387.73</v>
      </c>
      <c r="H9" s="21">
        <f t="shared" si="1"/>
        <v>6664.77</v>
      </c>
      <c r="I9" s="20">
        <f t="shared" si="2"/>
        <v>0.49782674135196936</v>
      </c>
      <c r="J9" s="54"/>
      <c r="K9" s="45"/>
      <c r="L9" s="53"/>
      <c r="M9" s="53"/>
      <c r="N9" s="53"/>
    </row>
    <row r="10" spans="1:14" ht="15.6">
      <c r="A10" s="29" t="str">
        <v>AZ: ASU - Pardee - Parking Lot 19</v>
      </c>
      <c r="B10" s="30" t="str">
        <v>AZ</v>
      </c>
      <c r="C10" s="25">
        <v>28758</v>
      </c>
      <c r="D10" s="13">
        <v>25680.77</v>
      </c>
      <c r="E10" s="13">
        <f t="shared" si="0"/>
        <v>3077.2299999999996</v>
      </c>
      <c r="F10" s="14">
        <f t="shared" si="3"/>
        <v>0.1198262357398162</v>
      </c>
      <c r="G10" s="15">
        <v>19823.29</v>
      </c>
      <c r="H10" s="15">
        <f t="shared" si="1"/>
        <v>8934.7099999999991</v>
      </c>
      <c r="I10" s="16">
        <f t="shared" si="2"/>
        <v>0.45071781727452903</v>
      </c>
      <c r="J10" s="17"/>
      <c r="K10" s="17"/>
      <c r="L10" s="53"/>
      <c r="M10" s="53"/>
      <c r="N10" s="53"/>
    </row>
    <row r="11" spans="1:14" ht="15.6">
      <c r="A11" s="31" t="str">
        <v>AZ: ASU - Pardee - Parking Lot 41</v>
      </c>
      <c r="B11" s="32" t="str">
        <v>AZ</v>
      </c>
      <c r="C11" s="11">
        <v>23110.25</v>
      </c>
      <c r="D11" s="19">
        <v>22043</v>
      </c>
      <c r="E11" s="19">
        <f t="shared" si="0"/>
        <v>1067.25</v>
      </c>
      <c r="F11" s="20">
        <f t="shared" si="3"/>
        <v>4.8416730934990701E-2</v>
      </c>
      <c r="G11" s="21">
        <v>24870.34</v>
      </c>
      <c r="H11" s="21">
        <f t="shared" si="1"/>
        <v>-1760.0900000000001</v>
      </c>
      <c r="I11" s="20">
        <f t="shared" si="2"/>
        <v>-7.0770644872567082E-2</v>
      </c>
      <c r="J11" s="55" t="s">
        <v>41</v>
      </c>
      <c r="K11" s="58" t="s">
        <v>42</v>
      </c>
      <c r="L11" s="53"/>
      <c r="M11" s="53"/>
      <c r="N11" s="53"/>
    </row>
    <row r="12" spans="1:14" ht="15.6">
      <c r="A12" s="29" t="str">
        <v>AZ: ASU - Pardee - Parking Lot 58</v>
      </c>
      <c r="B12" s="30" t="str">
        <v>AZ</v>
      </c>
      <c r="C12" s="25">
        <v>28384.25</v>
      </c>
      <c r="D12" s="13">
        <v>22538.77</v>
      </c>
      <c r="E12" s="13">
        <f t="shared" si="0"/>
        <v>5845.48</v>
      </c>
      <c r="F12" s="14">
        <f t="shared" si="3"/>
        <v>0.25935221842185707</v>
      </c>
      <c r="G12" s="15">
        <v>26162.83</v>
      </c>
      <c r="H12" s="15">
        <f t="shared" si="1"/>
        <v>2221.4199999999983</v>
      </c>
      <c r="I12" s="16">
        <f t="shared" si="2"/>
        <v>8.4907481338983515E-2</v>
      </c>
      <c r="J12" s="17"/>
      <c r="K12" s="17"/>
      <c r="L12" s="53"/>
      <c r="M12" s="53"/>
      <c r="N12" s="53"/>
    </row>
    <row r="13" spans="1:14" ht="28.9">
      <c r="A13" s="31" t="str">
        <v>AZ: ASU - Pardee - Parking Lot 59S</v>
      </c>
      <c r="B13" s="32" t="str">
        <v>AZ</v>
      </c>
      <c r="C13" s="11">
        <v>23550</v>
      </c>
      <c r="D13" s="19">
        <v>20628.14</v>
      </c>
      <c r="E13" s="19">
        <f t="shared" si="0"/>
        <v>2921.8600000000006</v>
      </c>
      <c r="F13" s="20">
        <f t="shared" si="3"/>
        <v>0.14164437511089223</v>
      </c>
      <c r="G13" s="21">
        <v>28615.3</v>
      </c>
      <c r="H13" s="21">
        <f t="shared" si="1"/>
        <v>-5065.2999999999993</v>
      </c>
      <c r="I13" s="20">
        <f t="shared" si="2"/>
        <v>-0.17701369547060486</v>
      </c>
      <c r="J13" s="46" t="s">
        <v>30</v>
      </c>
      <c r="K13" s="59" t="s">
        <v>31</v>
      </c>
      <c r="L13" s="53"/>
      <c r="M13" s="53"/>
      <c r="N13" s="53"/>
    </row>
    <row r="14" spans="1:14" ht="15.6">
      <c r="A14" s="29" t="str">
        <v>AZ: ASU - Pardee - Sun Devil Complex</v>
      </c>
      <c r="B14" s="30" t="str">
        <v>AZ</v>
      </c>
      <c r="C14" s="25">
        <v>28435</v>
      </c>
      <c r="D14" s="13">
        <v>24075.919999999998</v>
      </c>
      <c r="E14" s="13">
        <f t="shared" si="0"/>
        <v>4359.0800000000017</v>
      </c>
      <c r="F14" s="14">
        <f t="shared" si="3"/>
        <v>0.1810555941372127</v>
      </c>
      <c r="G14" s="15">
        <v>27070</v>
      </c>
      <c r="H14" s="15">
        <f t="shared" si="1"/>
        <v>1365</v>
      </c>
      <c r="I14" s="16">
        <f t="shared" si="2"/>
        <v>5.0424824528998893E-2</v>
      </c>
      <c r="J14" s="17" t="s">
        <v>43</v>
      </c>
      <c r="K14" s="57" t="s">
        <v>44</v>
      </c>
      <c r="L14" s="53"/>
    </row>
    <row r="15" spans="1:14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4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9649" xr:uid="{B7AE21CF-6F90-4E13-A2DD-4B0191BADBE7}"/>
    <hyperlink ref="K6" r:id="rId2" display="https://us3.assetplanner.com/service_request?ID=095814" xr:uid="{162153F3-78CB-484E-98B2-2B1D6F43B70A}"/>
    <hyperlink ref="L6" r:id="rId3" display="https://us3.assetplanner.com/service_request?ID=096160" xr:uid="{1E4DC318-82AA-40FB-8A27-93F18D7A98CA}"/>
    <hyperlink ref="M6" r:id="rId4" display="https://us3.assetplanner.com/service_request?ID=096012" xr:uid="{920B04CC-0F99-4BF0-8785-545718CFFBE4}"/>
    <hyperlink ref="N6" r:id="rId5" display="https://us3.assetplanner.com/service_request?ID=097592" xr:uid="{C0A080EC-C8D8-426A-96B7-ADF7648BA5C4}"/>
    <hyperlink ref="K11" r:id="rId6" display="https://us3.assetplanner.com/service_request?ID=096743" xr:uid="{98AE1C93-A899-4B24-8F65-56B27A10371E}"/>
    <hyperlink ref="K13" r:id="rId7" display="https://us3.assetplanner.com/service_request?ID=099639" xr:uid="{5946A77D-AB61-453B-97DA-ECFE736D198F}"/>
    <hyperlink ref="K14" r:id="rId8" display="https://us3.assetplanner.com/service_request?ID=097804" xr:uid="{287F1806-BA86-4A91-BB72-1B11DAC04845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zoomScale="80" zoomScaleNormal="80" workbookViewId="0">
      <pane ySplit="2" topLeftCell="A6" activePane="bottomLeft" state="frozen"/>
      <selection pane="bottomLeft" activeCell="L4" sqref="L4:M14"/>
      <selection activeCell="C21" sqref="C21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3" t="str" cm="1">
        <f t="array" ref="A1">portfolio</f>
        <v>Pardee (ENCAP)</v>
      </c>
      <c r="B1" s="63"/>
      <c r="C1" s="63"/>
      <c r="D1" s="64" t="s">
        <v>45</v>
      </c>
      <c r="E1" s="64"/>
      <c r="F1" s="64"/>
      <c r="G1" s="62" t="s">
        <v>46</v>
      </c>
      <c r="H1" s="62"/>
      <c r="I1" s="62"/>
      <c r="J1" s="4"/>
      <c r="K1" s="4"/>
    </row>
    <row r="2" spans="1:13" ht="19.5" customHeight="1">
      <c r="A2" s="65" t="s">
        <v>2</v>
      </c>
      <c r="B2" s="65"/>
      <c r="C2" s="5">
        <f>SUM(C4:C86)</f>
        <v>383764.18206787109</v>
      </c>
      <c r="D2" s="5">
        <f>SUM(D4:D86)</f>
        <v>433651.85400000011</v>
      </c>
      <c r="E2" s="5">
        <f>C2-D2</f>
        <v>-49887.671932129015</v>
      </c>
      <c r="F2" s="6">
        <f>IFERROR(E2/D2, 0)</f>
        <v>-0.11504083626523363</v>
      </c>
      <c r="G2" s="5">
        <f>SUM(G4:G86)</f>
        <v>451424.61900000006</v>
      </c>
      <c r="H2" s="7">
        <f>C2-G2</f>
        <v>-67660.436932128971</v>
      </c>
      <c r="I2" s="6">
        <f>IFERROR(H2/G2, 0)</f>
        <v>-0.14988202699713407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3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8782.5</v>
      </c>
      <c r="D4" s="13">
        <v>7595.152</v>
      </c>
      <c r="E4" s="13">
        <f>IF(AND(ISNUMBER(C4),ISNUMBER(D4)), C4-D4, "")</f>
        <v>1187.348</v>
      </c>
      <c r="F4" s="14">
        <f>IFERROR(E4/D4, "")</f>
        <v>0.15632972190681635</v>
      </c>
      <c r="G4" s="15">
        <v>9666.9110000000001</v>
      </c>
      <c r="H4" s="15">
        <f>IF(AND(ISNUMBER(C4),ISNUMBER(G4)), C4-G4, "")</f>
        <v>-884.41100000000006</v>
      </c>
      <c r="I4" s="16">
        <f>IFERROR(H4/G4, "")</f>
        <v>-9.1488480653230397E-2</v>
      </c>
      <c r="J4" s="17"/>
      <c r="K4" s="17"/>
      <c r="L4" s="53"/>
      <c r="M4" s="53"/>
    </row>
    <row r="5" spans="1:13" ht="15.6">
      <c r="A5" s="31" t="str">
        <v>AZ: ASU - Pardee - Farrington</v>
      </c>
      <c r="B5" s="32" t="str">
        <v>AZ</v>
      </c>
      <c r="C5" s="11">
        <v>42038.494567871101</v>
      </c>
      <c r="D5" s="19">
        <v>34677.96</v>
      </c>
      <c r="E5" s="19">
        <f t="shared" ref="E5:E14" si="0">IF(AND(ISNUMBER(C5),ISNUMBER(D5)), C5-D5, "")</f>
        <v>7360.5345678711019</v>
      </c>
      <c r="F5" s="20">
        <f>IFERROR(E5/D5, "")</f>
        <v>0.21225396672327618</v>
      </c>
      <c r="G5" s="21">
        <v>36204.6</v>
      </c>
      <c r="H5" s="21">
        <f t="shared" ref="H5:H14" si="1">IF(AND(ISNUMBER(C5),ISNUMBER(G5)), C5-G5, "")</f>
        <v>5833.8945678711025</v>
      </c>
      <c r="I5" s="20">
        <f t="shared" ref="I5:I14" si="2">IFERROR(H5/G5, "")</f>
        <v>0.16113683255362862</v>
      </c>
      <c r="J5" s="10"/>
      <c r="K5" s="18"/>
      <c r="L5" s="53"/>
      <c r="M5" s="53"/>
    </row>
    <row r="6" spans="1:13" ht="132.75" customHeight="1">
      <c r="A6" s="29" t="str">
        <v>AZ: ASU - Pardee - Macro Tech.</v>
      </c>
      <c r="B6" s="30" t="str">
        <v>AZ</v>
      </c>
      <c r="C6" s="25">
        <v>65281.875</v>
      </c>
      <c r="D6" s="13">
        <v>130478.6</v>
      </c>
      <c r="E6" s="13">
        <f t="shared" si="0"/>
        <v>-65196.725000000006</v>
      </c>
      <c r="F6" s="14">
        <f t="shared" ref="F6:F14" si="3">IFERROR(E6/D6, "")</f>
        <v>-0.49967370128128291</v>
      </c>
      <c r="G6" s="15">
        <v>132118.29999999999</v>
      </c>
      <c r="H6" s="15">
        <f t="shared" si="1"/>
        <v>-66836.424999999988</v>
      </c>
      <c r="I6" s="16">
        <f t="shared" si="2"/>
        <v>-0.50588317439749064</v>
      </c>
      <c r="J6" s="17" t="s">
        <v>47</v>
      </c>
      <c r="K6" s="57" t="s">
        <v>48</v>
      </c>
      <c r="L6" s="61" t="s">
        <v>38</v>
      </c>
      <c r="M6" s="61" t="s">
        <v>40</v>
      </c>
    </row>
    <row r="7" spans="1:13" ht="15.6">
      <c r="A7" s="31" t="str">
        <v>AZ: ASU - Pardee - McCord Hall</v>
      </c>
      <c r="B7" s="32" t="str">
        <v>AZ</v>
      </c>
      <c r="C7" s="11">
        <v>11958.875</v>
      </c>
      <c r="D7" s="19">
        <v>9976.8379999999997</v>
      </c>
      <c r="E7" s="19">
        <f t="shared" si="0"/>
        <v>1982.0370000000003</v>
      </c>
      <c r="F7" s="20">
        <f t="shared" si="3"/>
        <v>0.1986638451982482</v>
      </c>
      <c r="G7" s="21">
        <v>13050.47</v>
      </c>
      <c r="H7" s="21">
        <f t="shared" si="1"/>
        <v>-1091.5949999999993</v>
      </c>
      <c r="I7" s="20">
        <f t="shared" si="2"/>
        <v>-8.3644113966776623E-2</v>
      </c>
      <c r="J7" s="10"/>
      <c r="K7" s="18"/>
      <c r="L7" s="53"/>
      <c r="M7" s="53"/>
    </row>
    <row r="8" spans="1:13" ht="15.6">
      <c r="A8" s="29" t="str">
        <v>AZ: NAU - SF Garage</v>
      </c>
      <c r="B8" s="30" t="str">
        <v>AZ</v>
      </c>
      <c r="C8" s="25">
        <v>66881</v>
      </c>
      <c r="D8" s="13">
        <v>73331.983999999997</v>
      </c>
      <c r="E8" s="13">
        <f t="shared" si="0"/>
        <v>-6450.9839999999967</v>
      </c>
      <c r="F8" s="14">
        <f t="shared" si="3"/>
        <v>-8.7969582276677491E-2</v>
      </c>
      <c r="G8" s="15">
        <v>70919.217999999993</v>
      </c>
      <c r="H8" s="15">
        <f t="shared" si="1"/>
        <v>-4038.2179999999935</v>
      </c>
      <c r="I8" s="16">
        <f t="shared" si="2"/>
        <v>-5.694109599460042E-2</v>
      </c>
      <c r="J8" s="17"/>
      <c r="K8" s="17"/>
      <c r="L8" s="53"/>
      <c r="M8" s="53"/>
    </row>
    <row r="9" spans="1:13" ht="15.6">
      <c r="A9" s="31" t="str">
        <v>AZ: ASU - Pardee - Parking Lot 11</v>
      </c>
      <c r="B9" s="32" t="str">
        <v>AZ</v>
      </c>
      <c r="C9" s="11">
        <v>26029.9375</v>
      </c>
      <c r="D9" s="19">
        <v>24088.83</v>
      </c>
      <c r="E9" s="19">
        <f t="shared" si="0"/>
        <v>1941.1074999999983</v>
      </c>
      <c r="F9" s="20">
        <f t="shared" si="3"/>
        <v>8.0581227896913132E-2</v>
      </c>
      <c r="G9" s="21">
        <v>20241.87</v>
      </c>
      <c r="H9" s="21">
        <f t="shared" si="1"/>
        <v>5788.067500000001</v>
      </c>
      <c r="I9" s="20">
        <f t="shared" si="2"/>
        <v>0.28594529556804787</v>
      </c>
      <c r="J9" s="55"/>
      <c r="K9" s="56"/>
      <c r="L9" s="53"/>
      <c r="M9" s="53"/>
    </row>
    <row r="10" spans="1:13" ht="15.6">
      <c r="A10" s="29" t="str">
        <v>AZ: ASU - Pardee - Parking Lot 19</v>
      </c>
      <c r="B10" s="30" t="str">
        <v>AZ</v>
      </c>
      <c r="C10" s="25">
        <v>37359.125</v>
      </c>
      <c r="D10" s="13">
        <v>33798.339999999997</v>
      </c>
      <c r="E10" s="13">
        <f t="shared" si="0"/>
        <v>3560.7850000000035</v>
      </c>
      <c r="F10" s="14">
        <f t="shared" si="3"/>
        <v>0.10535384282186651</v>
      </c>
      <c r="G10" s="15">
        <v>29973.09</v>
      </c>
      <c r="H10" s="15">
        <f t="shared" si="1"/>
        <v>7386.0349999999999</v>
      </c>
      <c r="I10" s="16">
        <f t="shared" si="2"/>
        <v>0.24642220738669252</v>
      </c>
      <c r="J10" s="17"/>
      <c r="K10" s="17"/>
      <c r="L10" s="53"/>
      <c r="M10" s="53"/>
    </row>
    <row r="11" spans="1:13" ht="28.9">
      <c r="A11" s="31" t="str">
        <v>AZ: ASU - Pardee - Parking Lot 41</v>
      </c>
      <c r="B11" s="32" t="str">
        <v>AZ</v>
      </c>
      <c r="C11" s="11">
        <v>31821.125</v>
      </c>
      <c r="D11" s="19">
        <v>28864.959999999999</v>
      </c>
      <c r="E11" s="19">
        <f t="shared" si="0"/>
        <v>2956.1650000000009</v>
      </c>
      <c r="F11" s="20">
        <f t="shared" si="3"/>
        <v>0.10241361844949728</v>
      </c>
      <c r="G11" s="21">
        <v>32424.61</v>
      </c>
      <c r="H11" s="21">
        <f t="shared" si="1"/>
        <v>-603.48500000000058</v>
      </c>
      <c r="I11" s="20">
        <f t="shared" si="2"/>
        <v>-1.8611943212269957E-2</v>
      </c>
      <c r="J11" s="46" t="s">
        <v>49</v>
      </c>
      <c r="K11" s="60" t="s">
        <v>50</v>
      </c>
      <c r="L11" s="53"/>
      <c r="M11" s="53"/>
    </row>
    <row r="12" spans="1:13" ht="48" customHeight="1">
      <c r="A12" s="29" t="str">
        <v>AZ: ASU - Pardee - Parking Lot 58</v>
      </c>
      <c r="B12" s="30" t="str">
        <v>AZ</v>
      </c>
      <c r="C12" s="25">
        <v>36932.5</v>
      </c>
      <c r="D12" s="13">
        <v>30847.34</v>
      </c>
      <c r="E12" s="13">
        <f t="shared" si="0"/>
        <v>6085.16</v>
      </c>
      <c r="F12" s="14">
        <f t="shared" si="3"/>
        <v>0.19726692803982449</v>
      </c>
      <c r="G12" s="15">
        <v>33745.4</v>
      </c>
      <c r="H12" s="15">
        <f t="shared" si="1"/>
        <v>3187.0999999999985</v>
      </c>
      <c r="I12" s="16">
        <f t="shared" si="2"/>
        <v>9.4445465159695791E-2</v>
      </c>
      <c r="J12" s="17" t="s">
        <v>51</v>
      </c>
      <c r="K12" s="57" t="s">
        <v>52</v>
      </c>
      <c r="L12" s="53"/>
      <c r="M12" s="53"/>
    </row>
    <row r="13" spans="1:13" ht="28.9">
      <c r="A13" s="31" t="str">
        <v>AZ: ASU - Pardee - Parking Lot 59S</v>
      </c>
      <c r="B13" s="32" t="str">
        <v>AZ</v>
      </c>
      <c r="C13" s="11">
        <v>32097.25</v>
      </c>
      <c r="D13" s="19">
        <v>28231.83</v>
      </c>
      <c r="E13" s="19">
        <f t="shared" si="0"/>
        <v>3865.4199999999983</v>
      </c>
      <c r="F13" s="20">
        <f t="shared" si="3"/>
        <v>0.13691708968210697</v>
      </c>
      <c r="G13" s="21">
        <v>36909.15</v>
      </c>
      <c r="H13" s="21">
        <f t="shared" si="1"/>
        <v>-4811.9000000000015</v>
      </c>
      <c r="I13" s="20">
        <f t="shared" si="2"/>
        <v>-0.13037146615405668</v>
      </c>
      <c r="J13" s="46" t="s">
        <v>30</v>
      </c>
      <c r="K13" s="59" t="s">
        <v>31</v>
      </c>
      <c r="L13" s="53"/>
      <c r="M13" s="53"/>
    </row>
    <row r="14" spans="1:13" ht="135.75" customHeight="1">
      <c r="A14" s="29" t="str">
        <v>AZ: ASU - Pardee - Sun Devil Complex</v>
      </c>
      <c r="B14" s="30" t="str">
        <v>AZ</v>
      </c>
      <c r="C14" s="25">
        <v>24581.5</v>
      </c>
      <c r="D14" s="13">
        <v>31760.02</v>
      </c>
      <c r="E14" s="13">
        <f t="shared" si="0"/>
        <v>-7178.52</v>
      </c>
      <c r="F14" s="14">
        <f t="shared" si="3"/>
        <v>-0.2260237871386731</v>
      </c>
      <c r="G14" s="15">
        <v>36171</v>
      </c>
      <c r="H14" s="15">
        <f t="shared" si="1"/>
        <v>-11589.5</v>
      </c>
      <c r="I14" s="16">
        <f t="shared" si="2"/>
        <v>-0.32040861463603437</v>
      </c>
      <c r="J14" s="17" t="s">
        <v>53</v>
      </c>
      <c r="K14" s="57" t="s">
        <v>54</v>
      </c>
      <c r="L14" s="61" t="s">
        <v>55</v>
      </c>
      <c r="M14" s="61" t="s">
        <v>56</v>
      </c>
    </row>
    <row r="15" spans="1:13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3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6" r:id="rId1" display="https://us3.assetplanner.com/service_request?ID=096012" xr:uid="{B49359C8-70B9-4835-AD9A-8DE7C73402B4}"/>
    <hyperlink ref="L6" r:id="rId2" display="https://us3.assetplanner.com/service_request?ID=096160" xr:uid="{268CF8B6-2356-4CAD-A902-7EDB052E6EB5}"/>
    <hyperlink ref="M6" r:id="rId3" display="https://us3.assetplanner.com/service_request?ID=097592" xr:uid="{210BA1F0-9949-4471-8C50-F70200AB8952}"/>
    <hyperlink ref="K11" r:id="rId4" display="https://us3.assetplanner.com/service_request?ID=096743" xr:uid="{04BC7E3C-3EB3-40E9-B9D3-F31732D500F4}"/>
    <hyperlink ref="K12" r:id="rId5" display="https://us3.assetplanner.com/service_request?ID=095815" xr:uid="{1D254F19-CEA5-4A1B-9D95-605BB99D4246}"/>
    <hyperlink ref="K13" r:id="rId6" display="https://us3.assetplanner.com/service_request?ID=099639" xr:uid="{7519AE13-699A-4CBB-B942-BC43144DBAFE}"/>
    <hyperlink ref="K14" r:id="rId7" display="https://us3.assetplanner.com/service_request?ID=097804" xr:uid="{389CF7A1-90FF-40A1-88A3-CCD3E883C5BA}"/>
    <hyperlink ref="L14" r:id="rId8" display="https://us3.assetplanner.com/service_request?ID=098900" xr:uid="{779F4B4B-AF46-409C-AFF1-E729E582B0C3}"/>
    <hyperlink ref="M14" r:id="rId9" display="https://us3.assetplanner.com/service_request?ID=098620" xr:uid="{9C7FC7A2-52B2-412A-89A1-D75391AFEBC5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8"/>
  <sheetViews>
    <sheetView zoomScale="80" zoomScaleNormal="80" workbookViewId="0">
      <pane ySplit="2" topLeftCell="A3" activePane="bottomLeft" state="frozen"/>
      <selection pane="bottomLeft" activeCell="J35" sqref="J1:J35"/>
      <selection activeCell="C21" sqref="C21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Pardee (ENCAP)</v>
      </c>
      <c r="B1" s="63"/>
      <c r="C1" s="63"/>
      <c r="D1" s="64" t="s">
        <v>57</v>
      </c>
      <c r="E1" s="64"/>
      <c r="F1" s="64"/>
      <c r="G1" s="62" t="s">
        <v>58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42"/>
      <c r="K5" s="42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2"/>
      <c r="K7" s="43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8"/>
  <sheetViews>
    <sheetView zoomScale="80" zoomScaleNormal="80" workbookViewId="0">
      <pane ySplit="2" topLeftCell="A3" activePane="bottomLeft" state="frozen"/>
      <selection pane="bottomLeft" activeCell="C21" sqref="C21"/>
      <selection activeCell="C21" sqref="C21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Pardee (ENCAP)</v>
      </c>
      <c r="B1" s="63"/>
      <c r="C1" s="63"/>
      <c r="D1" s="64" t="s">
        <v>59</v>
      </c>
      <c r="E1" s="64"/>
      <c r="F1" s="64"/>
      <c r="G1" s="62" t="s">
        <v>60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47"/>
      <c r="K5" s="49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2"/>
      <c r="K9" s="49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6"/>
      <c r="K13" s="43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8"/>
  <sheetViews>
    <sheetView view="pageBreakPreview" zoomScaleNormal="100" zoomScaleSheetLayoutView="100" workbookViewId="0">
      <pane ySplit="2" topLeftCell="A3" activePane="bottomLeft" state="frozen"/>
      <selection pane="bottomLeft" activeCell="C21" sqref="C21"/>
      <selection activeCell="C21" sqref="C21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Pardee (ENCAP)</v>
      </c>
      <c r="B1" s="63"/>
      <c r="C1" s="63"/>
      <c r="D1" s="64" t="s">
        <v>61</v>
      </c>
      <c r="E1" s="64"/>
      <c r="F1" s="64"/>
      <c r="G1" s="62" t="s">
        <v>62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50"/>
      <c r="K4" s="50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49"/>
      <c r="K5" s="49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50"/>
      <c r="K6" s="50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9"/>
      <c r="K7" s="4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50"/>
      <c r="K8" s="50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9"/>
      <c r="K9" s="4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50"/>
      <c r="K10" s="50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49"/>
      <c r="K11" s="4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50"/>
      <c r="K12" s="50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9"/>
      <c r="K13" s="49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50"/>
      <c r="K14" s="50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workbookViewId="0">
      <pane ySplit="2" topLeftCell="A3" activePane="bottomLeft" state="frozen"/>
      <selection pane="bottomLeft" activeCell="C21" sqref="C21"/>
      <selection activeCell="C21" sqref="C21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Pardee (ENCAP)</v>
      </c>
      <c r="B1" s="63"/>
      <c r="C1" s="63"/>
      <c r="D1" s="64" t="s">
        <v>63</v>
      </c>
      <c r="E1" s="64"/>
      <c r="F1" s="64"/>
      <c r="G1" s="62" t="s">
        <v>64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42"/>
      <c r="K5" s="43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sortState xmlns:xlrd2="http://schemas.microsoft.com/office/spreadsheetml/2017/richdata2" ref="A3:K14">
    <sortCondition ref="A3:A14"/>
  </sortState>
  <mergeCells count="4">
    <mergeCell ref="G1:I1"/>
    <mergeCell ref="A1:C1"/>
    <mergeCell ref="D1:F1"/>
    <mergeCell ref="A2:B2"/>
  </mergeCells>
  <conditionalFormatting sqref="F2 I2 F4:F86 I4:I86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ySplit="2" topLeftCell="A3" activePane="bottomLeft" state="frozen"/>
      <selection pane="bottomLeft" activeCell="C21" sqref="C21"/>
      <selection activeCell="C21" sqref="C21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Pardee (ENCAP)</v>
      </c>
      <c r="B1" s="63"/>
      <c r="C1" s="63"/>
      <c r="D1" s="64" t="s">
        <v>65</v>
      </c>
      <c r="E1" s="64"/>
      <c r="F1" s="64"/>
      <c r="G1" s="62" t="s">
        <v>66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46"/>
      <c r="K5" s="45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2"/>
      <c r="K9" s="43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8"/>
  <sheetViews>
    <sheetView workbookViewId="0">
      <pane ySplit="2" topLeftCell="A3" activePane="bottomLeft" state="frozen"/>
      <selection pane="bottomLeft" activeCell="C21" sqref="C21"/>
      <selection activeCell="C21" sqref="C21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Pardee (ENCAP)</v>
      </c>
      <c r="B1" s="63"/>
      <c r="C1" s="63"/>
      <c r="D1" s="64" t="s">
        <v>67</v>
      </c>
      <c r="E1" s="64"/>
      <c r="F1" s="64"/>
      <c r="G1" s="62" t="s">
        <v>68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46"/>
      <c r="K5" s="46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8"/>
  <sheetViews>
    <sheetView workbookViewId="0">
      <pane ySplit="2" topLeftCell="A3" activePane="bottomLeft" state="frozen"/>
      <selection pane="bottomLeft" activeCell="C21" sqref="C21"/>
      <selection activeCell="C21" sqref="C21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2.85546875" customWidth="1"/>
  </cols>
  <sheetData>
    <row r="1" spans="1:11" ht="19.5" customHeight="1">
      <c r="A1" s="63" t="str" cm="1">
        <f t="array" ref="A1">portfolio</f>
        <v>Pardee (ENCAP)</v>
      </c>
      <c r="B1" s="63"/>
      <c r="C1" s="63"/>
      <c r="D1" s="64" t="s">
        <v>69</v>
      </c>
      <c r="E1" s="64"/>
      <c r="F1" s="64"/>
      <c r="G1" s="62" t="s">
        <v>70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46"/>
      <c r="K5" s="52"/>
    </row>
    <row r="6" spans="1:11" ht="15.6">
      <c r="A6" s="33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2"/>
      <c r="K13" s="42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14"/>
  <sheetViews>
    <sheetView workbookViewId="0">
      <pane ySplit="3" topLeftCell="A4" activePane="bottomLeft" state="frozen"/>
      <selection pane="bottomLeft" activeCell="B29" sqref="B2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5" ht="12.75" customHeight="1">
      <c r="A1" t="s">
        <v>71</v>
      </c>
      <c r="B1" t="s">
        <v>72</v>
      </c>
    </row>
    <row r="3" spans="1:5" ht="13.15">
      <c r="A3" t="s">
        <v>73</v>
      </c>
      <c r="B3" t="s">
        <v>3</v>
      </c>
      <c r="C3" t="s">
        <v>4</v>
      </c>
      <c r="D3" t="s">
        <v>74</v>
      </c>
      <c r="E3" s="2" t="s">
        <v>75</v>
      </c>
    </row>
    <row r="4" spans="1:5" ht="12.75" customHeight="1">
      <c r="A4" t="s">
        <v>76</v>
      </c>
      <c r="B4" t="s">
        <v>76</v>
      </c>
      <c r="C4" s="3" t="s">
        <v>77</v>
      </c>
    </row>
    <row r="5" spans="1:5" ht="12.75" customHeight="1">
      <c r="A5" t="s">
        <v>78</v>
      </c>
      <c r="B5" t="s">
        <v>78</v>
      </c>
      <c r="C5" s="3" t="s">
        <v>77</v>
      </c>
    </row>
    <row r="6" spans="1:5" ht="12.75" customHeight="1">
      <c r="A6" t="s">
        <v>79</v>
      </c>
      <c r="B6" t="s">
        <v>79</v>
      </c>
      <c r="C6" s="3" t="s">
        <v>77</v>
      </c>
    </row>
    <row r="7" spans="1:5" ht="12.75" customHeight="1">
      <c r="A7" t="s">
        <v>80</v>
      </c>
      <c r="B7" t="s">
        <v>80</v>
      </c>
      <c r="C7" s="3" t="s">
        <v>77</v>
      </c>
    </row>
    <row r="8" spans="1:5" ht="12.75" customHeight="1">
      <c r="A8" t="s">
        <v>81</v>
      </c>
      <c r="B8" t="s">
        <v>81</v>
      </c>
      <c r="C8" s="3" t="s">
        <v>77</v>
      </c>
    </row>
    <row r="9" spans="1:5" ht="12.75" customHeight="1">
      <c r="A9" t="s">
        <v>82</v>
      </c>
      <c r="B9" t="s">
        <v>82</v>
      </c>
      <c r="C9" s="3" t="s">
        <v>77</v>
      </c>
    </row>
    <row r="10" spans="1:5" ht="12.75" customHeight="1">
      <c r="A10" t="s">
        <v>83</v>
      </c>
      <c r="B10" t="s">
        <v>83</v>
      </c>
      <c r="C10" s="3" t="s">
        <v>77</v>
      </c>
    </row>
    <row r="11" spans="1:5" ht="12.75" customHeight="1">
      <c r="A11" t="s">
        <v>84</v>
      </c>
      <c r="B11" t="s">
        <v>84</v>
      </c>
      <c r="C11" s="3" t="s">
        <v>77</v>
      </c>
    </row>
    <row r="12" spans="1:5" ht="12.75" customHeight="1">
      <c r="A12" t="s">
        <v>85</v>
      </c>
      <c r="B12" t="s">
        <v>85</v>
      </c>
      <c r="C12" s="3" t="s">
        <v>77</v>
      </c>
    </row>
    <row r="13" spans="1:5" ht="12.75" customHeight="1">
      <c r="A13" t="s">
        <v>86</v>
      </c>
      <c r="B13" t="s">
        <v>86</v>
      </c>
      <c r="C13" s="3" t="s">
        <v>77</v>
      </c>
    </row>
    <row r="14" spans="1:5" ht="12.75" customHeight="1">
      <c r="A14" t="s">
        <v>87</v>
      </c>
      <c r="B14" t="s">
        <v>87</v>
      </c>
      <c r="C14" s="3" t="s">
        <v>77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8"/>
  <sheetViews>
    <sheetView workbookViewId="0">
      <pane ySplit="2" topLeftCell="A3" activePane="bottomLeft" state="frozen"/>
      <selection pane="bottomLeft" activeCell="C21" sqref="C21"/>
      <selection activeCell="C21" sqref="C21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Pardee (ENCAP)</v>
      </c>
      <c r="B1" s="63"/>
      <c r="C1" s="63"/>
      <c r="D1" s="64" t="s">
        <v>88</v>
      </c>
      <c r="E1" s="64"/>
      <c r="F1" s="64"/>
      <c r="G1" s="62" t="s">
        <v>89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46"/>
      <c r="K5" s="46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H13" s="21" t="str">
        <f t="shared" si="1"/>
        <v/>
      </c>
      <c r="I13" s="20" t="str">
        <f t="shared" si="2"/>
        <v/>
      </c>
      <c r="J13" s="42"/>
      <c r="K13" s="51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workbookViewId="0">
      <pane ySplit="2" topLeftCell="A3" activePane="bottomLeft" state="frozen"/>
      <selection pane="bottomLeft" activeCell="C21" sqref="C21"/>
      <selection activeCell="C21" sqref="C21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0.85546875" customWidth="1"/>
    <col min="11" max="11" width="20.5703125" bestFit="1" customWidth="1"/>
  </cols>
  <sheetData>
    <row r="1" spans="1:11" ht="19.5" customHeight="1">
      <c r="A1" s="63" t="str" cm="1">
        <f t="array" ref="A1">portfolio</f>
        <v>Pardee (ENCAP)</v>
      </c>
      <c r="B1" s="63"/>
      <c r="C1" s="63"/>
      <c r="D1" s="64" t="s">
        <v>90</v>
      </c>
      <c r="E1" s="64"/>
      <c r="F1" s="64"/>
      <c r="G1" s="62" t="s">
        <v>91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s="53" customFormat="1" ht="21" customHeight="1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46"/>
      <c r="K5" s="42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42"/>
      <c r="K13" s="43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27B939B6-7160-445F-986A-4A2271477837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2024-10-11T05:01:38Z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43751fc4-43d6-4c3a-9180-162eeaa0d68a</vt:lpwstr>
  </property>
  <property fmtid="{D5CDD505-2E9C-101B-9397-08002B2CF9AE}" pid="9" name="MSIP_Label_9d817c99-0b37-4a07-8277-96aa1f96b74b_ContentBits">
    <vt:lpwstr>0</vt:lpwstr>
  </property>
</Properties>
</file>