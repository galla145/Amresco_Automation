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 documentId="13_ncr:1_{C77BFE7E-DA77-4631-A8F5-8EEB8C82EF4D}" xr6:coauthVersionLast="47" xr6:coauthVersionMax="47" xr10:uidLastSave="{75FFD64E-5B5D-401D-8A31-4509AEBAA8A6}"/>
  <bookViews>
    <workbookView xWindow="-108" yWindow="-108" windowWidth="23256" windowHeight="13896" tabRatio="866" firstSheet="12"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4" l="1"/>
  <c r="J6" i="34"/>
  <c r="J7" i="34"/>
  <c r="J8" i="34"/>
  <c r="J9" i="34"/>
  <c r="J10" i="34"/>
  <c r="J11" i="34"/>
  <c r="J12" i="34"/>
  <c r="J13" i="34"/>
  <c r="J14" i="34"/>
  <c r="J15" i="34"/>
  <c r="J16" i="34"/>
  <c r="J17" i="34"/>
  <c r="J18" i="34"/>
  <c r="J19" i="34"/>
  <c r="J20" i="34"/>
  <c r="J21" i="34"/>
  <c r="J22" i="34"/>
  <c r="J23" i="34"/>
  <c r="F2" i="18"/>
  <c r="F2" i="29"/>
  <c r="I2" i="29"/>
  <c r="F5" i="29"/>
  <c r="F6" i="29"/>
  <c r="F7" i="29"/>
  <c r="F8" i="29"/>
  <c r="F9" i="29"/>
  <c r="G9" i="29" s="1"/>
  <c r="H9" i="29" s="1"/>
  <c r="F10" i="29"/>
  <c r="G10" i="29" s="1"/>
  <c r="H10" i="29" s="1"/>
  <c r="F11" i="29"/>
  <c r="F12" i="29"/>
  <c r="F13" i="29"/>
  <c r="F14" i="29"/>
  <c r="F15" i="29"/>
  <c r="G15" i="29" s="1"/>
  <c r="H15" i="29" s="1"/>
  <c r="F16" i="29"/>
  <c r="F17" i="29"/>
  <c r="G17" i="29" s="1"/>
  <c r="H17" i="29" s="1"/>
  <c r="F18" i="29"/>
  <c r="G18" i="29" s="1"/>
  <c r="H18" i="29" s="1"/>
  <c r="F19" i="29"/>
  <c r="F20" i="29"/>
  <c r="G20" i="29" s="1"/>
  <c r="H20" i="29" s="1"/>
  <c r="F21" i="29"/>
  <c r="F22" i="29"/>
  <c r="F23" i="29"/>
  <c r="F4" i="29"/>
  <c r="I5" i="29"/>
  <c r="I6" i="29"/>
  <c r="I7" i="29"/>
  <c r="I8" i="29"/>
  <c r="J2" i="29" s="1"/>
  <c r="I9" i="29"/>
  <c r="I10" i="29"/>
  <c r="I11" i="29"/>
  <c r="I12" i="29"/>
  <c r="I13" i="29"/>
  <c r="I14" i="29"/>
  <c r="I15" i="29"/>
  <c r="I16" i="29"/>
  <c r="I17" i="29"/>
  <c r="J17" i="29" s="1"/>
  <c r="K17" i="29" s="1"/>
  <c r="I18" i="29"/>
  <c r="J18" i="29" s="1"/>
  <c r="K18" i="29" s="1"/>
  <c r="I19" i="29"/>
  <c r="I20" i="29"/>
  <c r="J20" i="29" s="1"/>
  <c r="K20" i="29" s="1"/>
  <c r="I21" i="29"/>
  <c r="I22" i="29"/>
  <c r="I23" i="29"/>
  <c r="I4" i="29"/>
  <c r="I2" i="18"/>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G16" i="1" s="1"/>
  <c r="H16" i="1" s="1"/>
  <c r="F17" i="1"/>
  <c r="F18" i="1"/>
  <c r="F19" i="1"/>
  <c r="F20" i="1"/>
  <c r="F21" i="1"/>
  <c r="F22" i="1"/>
  <c r="I23" i="34"/>
  <c r="K23" i="34" s="1"/>
  <c r="D5" i="29"/>
  <c r="D6" i="29"/>
  <c r="D7" i="29"/>
  <c r="D8" i="29"/>
  <c r="E8" i="29" s="1"/>
  <c r="D9" i="29"/>
  <c r="D10" i="29"/>
  <c r="D11" i="29"/>
  <c r="E11" i="29" s="1"/>
  <c r="D12" i="29"/>
  <c r="D13" i="29"/>
  <c r="E13" i="29" s="1"/>
  <c r="D14" i="29"/>
  <c r="D15" i="29"/>
  <c r="E15" i="29" s="1"/>
  <c r="D16" i="29"/>
  <c r="D17" i="29"/>
  <c r="D18" i="29"/>
  <c r="D19" i="29"/>
  <c r="D20" i="29"/>
  <c r="E20" i="29" s="1"/>
  <c r="D21" i="29"/>
  <c r="D22" i="29"/>
  <c r="D23" i="29"/>
  <c r="E21" i="29"/>
  <c r="D4" i="29"/>
  <c r="J6" i="27"/>
  <c r="J7" i="27"/>
  <c r="J8" i="27"/>
  <c r="J9" i="27"/>
  <c r="J10" i="27"/>
  <c r="J11" i="27"/>
  <c r="J12" i="27"/>
  <c r="J13" i="27"/>
  <c r="J14" i="27"/>
  <c r="J15" i="27"/>
  <c r="J16" i="27"/>
  <c r="J17" i="27"/>
  <c r="J18" i="27"/>
  <c r="J19" i="27"/>
  <c r="J20" i="27"/>
  <c r="J21" i="27"/>
  <c r="J22" i="27"/>
  <c r="J23" i="27"/>
  <c r="K23" i="27" s="1"/>
  <c r="J5" i="27"/>
  <c r="J5" i="26"/>
  <c r="J4" i="27"/>
  <c r="J4" i="26"/>
  <c r="G6" i="27"/>
  <c r="G7" i="27"/>
  <c r="G8" i="27"/>
  <c r="G9" i="27"/>
  <c r="G10" i="27"/>
  <c r="G11" i="27"/>
  <c r="G12" i="27"/>
  <c r="G13" i="27"/>
  <c r="G14" i="27"/>
  <c r="G15" i="27"/>
  <c r="G16" i="27"/>
  <c r="G17" i="27"/>
  <c r="G18" i="27"/>
  <c r="G19" i="27"/>
  <c r="G20" i="27"/>
  <c r="G21" i="27"/>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23" i="28"/>
  <c r="E5" i="28"/>
  <c r="E4" i="28"/>
  <c r="E2" i="28"/>
  <c r="E23" i="20"/>
  <c r="E23" i="19"/>
  <c r="E4" i="30"/>
  <c r="E5" i="30"/>
  <c r="E6" i="30"/>
  <c r="E7" i="30"/>
  <c r="E8" i="30"/>
  <c r="E9" i="30"/>
  <c r="E10" i="30"/>
  <c r="E11" i="30"/>
  <c r="E12" i="30"/>
  <c r="E13" i="30"/>
  <c r="E14" i="30"/>
  <c r="E15" i="30"/>
  <c r="E16" i="30"/>
  <c r="E17" i="30"/>
  <c r="E18" i="30"/>
  <c r="E19" i="30"/>
  <c r="E20" i="30"/>
  <c r="E21" i="30"/>
  <c r="E22" i="30"/>
  <c r="E23" i="30"/>
  <c r="E23" i="18"/>
  <c r="C6" i="29"/>
  <c r="E6" i="29"/>
  <c r="G6" i="29"/>
  <c r="H6" i="29"/>
  <c r="J6" i="29"/>
  <c r="K6" i="29" s="1"/>
  <c r="C7" i="29"/>
  <c r="E7" i="29" s="1"/>
  <c r="C8" i="29"/>
  <c r="G8" i="29"/>
  <c r="H8" i="29" s="1"/>
  <c r="C9" i="29"/>
  <c r="J9" i="29" s="1"/>
  <c r="K9" i="29" s="1"/>
  <c r="C10" i="29"/>
  <c r="J10" i="29" s="1"/>
  <c r="K10" i="29" s="1"/>
  <c r="C11" i="29"/>
  <c r="G11" i="29"/>
  <c r="H11" i="29"/>
  <c r="C12" i="29"/>
  <c r="G12" i="29"/>
  <c r="H12" i="29" s="1"/>
  <c r="C13" i="29"/>
  <c r="G13" i="29"/>
  <c r="H13" i="29"/>
  <c r="C14" i="29"/>
  <c r="G14" i="29"/>
  <c r="H14" i="29" s="1"/>
  <c r="C15" i="29"/>
  <c r="C16" i="29"/>
  <c r="C17" i="29"/>
  <c r="C18" i="29"/>
  <c r="C19" i="29"/>
  <c r="C20" i="29"/>
  <c r="C21" i="29"/>
  <c r="G21" i="29"/>
  <c r="H21" i="29"/>
  <c r="J21" i="29"/>
  <c r="K21" i="29"/>
  <c r="C22" i="29"/>
  <c r="J22" i="29" s="1"/>
  <c r="K22" i="29" s="1"/>
  <c r="E22" i="29"/>
  <c r="G22" i="29"/>
  <c r="H22" i="29" s="1"/>
  <c r="C23" i="29"/>
  <c r="G23" i="29"/>
  <c r="H23" i="29"/>
  <c r="J23" i="29"/>
  <c r="K23" i="29" s="1"/>
  <c r="G6" i="26"/>
  <c r="G7" i="26"/>
  <c r="G8" i="26"/>
  <c r="G9" i="26"/>
  <c r="G10" i="26"/>
  <c r="G11" i="26"/>
  <c r="G12" i="26"/>
  <c r="G13" i="26"/>
  <c r="G14" i="26"/>
  <c r="G15" i="26"/>
  <c r="G16" i="26"/>
  <c r="G17" i="26"/>
  <c r="G18" i="26"/>
  <c r="G19" i="26"/>
  <c r="G20" i="26"/>
  <c r="G21" i="26"/>
  <c r="G22" i="26"/>
  <c r="G23" i="26"/>
  <c r="G4" i="20"/>
  <c r="H23" i="26"/>
  <c r="J6" i="26"/>
  <c r="J7" i="26"/>
  <c r="J8" i="26"/>
  <c r="J9" i="26"/>
  <c r="J10" i="26"/>
  <c r="J11" i="26"/>
  <c r="J12" i="26"/>
  <c r="J13" i="26"/>
  <c r="J14" i="26"/>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C23" i="34"/>
  <c r="F23" i="34"/>
  <c r="F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30"/>
  <c r="D8" i="30"/>
  <c r="D10" i="30"/>
  <c r="D12" i="30"/>
  <c r="D14" i="30"/>
  <c r="D16" i="30"/>
  <c r="D18" i="30"/>
  <c r="D20" i="30"/>
  <c r="D22" i="30"/>
  <c r="D4" i="30"/>
  <c r="D6" i="1"/>
  <c r="D7" i="1"/>
  <c r="D8" i="1"/>
  <c r="D9" i="1"/>
  <c r="D10" i="1"/>
  <c r="D11" i="1"/>
  <c r="D12" i="1"/>
  <c r="D13" i="1"/>
  <c r="D14" i="1"/>
  <c r="D15" i="1"/>
  <c r="D16" i="1"/>
  <c r="D17" i="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D2" i="28"/>
  <c r="K22" i="28"/>
  <c r="H22" i="28"/>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F22" i="18"/>
  <c r="C22" i="18"/>
  <c r="H22" i="21"/>
  <c r="H22" i="4"/>
  <c r="K22" i="4"/>
  <c r="J22" i="3"/>
  <c r="J23" i="3"/>
  <c r="G22" i="3"/>
  <c r="H22" i="3" s="1"/>
  <c r="C22" i="1"/>
  <c r="J22" i="72"/>
  <c r="K22" i="72" s="1"/>
  <c r="G22" i="72"/>
  <c r="H22" i="72" s="1"/>
  <c r="G21" i="72"/>
  <c r="H21" i="72" s="1"/>
  <c r="C16" i="30"/>
  <c r="F16" i="30"/>
  <c r="C17" i="30"/>
  <c r="F17" i="30"/>
  <c r="C18" i="30"/>
  <c r="F18" i="30"/>
  <c r="C19" i="30"/>
  <c r="F19" i="30"/>
  <c r="K19" i="31"/>
  <c r="C20" i="30"/>
  <c r="F20" i="30"/>
  <c r="C21" i="30"/>
  <c r="F21" i="30"/>
  <c r="C16" i="18"/>
  <c r="F16" i="18"/>
  <c r="C17" i="18"/>
  <c r="F17" i="18"/>
  <c r="C18" i="18"/>
  <c r="F18" i="18"/>
  <c r="C19" i="18"/>
  <c r="F19" i="18"/>
  <c r="C20" i="18"/>
  <c r="F20" i="18"/>
  <c r="C21" i="18"/>
  <c r="E21" i="18" s="1"/>
  <c r="F21" i="18"/>
  <c r="C16" i="1"/>
  <c r="C17" i="1"/>
  <c r="C18" i="1"/>
  <c r="C19" i="1"/>
  <c r="C20" i="1"/>
  <c r="C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3"/>
  <c r="G17" i="3"/>
  <c r="H17" i="3" s="1"/>
  <c r="J17" i="3"/>
  <c r="J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B4" i="34" a="1"/>
  <c r="B4" i="34" s="1"/>
  <c r="A4" i="34" a="1"/>
  <c r="A4" i="34" s="1"/>
  <c r="A1" i="34" a="1"/>
  <c r="A1" i="34" s="1"/>
  <c r="F15" i="30"/>
  <c r="C15" i="30"/>
  <c r="F14" i="30"/>
  <c r="C14" i="30"/>
  <c r="F13" i="30"/>
  <c r="C13" i="30"/>
  <c r="F12" i="30"/>
  <c r="C12" i="30"/>
  <c r="F11" i="30"/>
  <c r="C11" i="30"/>
  <c r="F10" i="30"/>
  <c r="C10" i="30"/>
  <c r="F9" i="30"/>
  <c r="C9" i="30"/>
  <c r="F8" i="30"/>
  <c r="C8" i="30"/>
  <c r="F7" i="30"/>
  <c r="C7" i="30"/>
  <c r="F6" i="30"/>
  <c r="C6" i="30"/>
  <c r="F5" i="30"/>
  <c r="C5" i="30"/>
  <c r="F4" i="30"/>
  <c r="C4" i="30"/>
  <c r="C5" i="29"/>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G12" i="1"/>
  <c r="H12" i="1" s="1"/>
  <c r="G14" i="1"/>
  <c r="H14" i="1" s="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K2" i="28" s="1"/>
  <c r="L2" i="28" s="1"/>
  <c r="G2" i="28"/>
  <c r="C2" i="28"/>
  <c r="A1" i="28" a="1"/>
  <c r="A1" i="28"/>
  <c r="K15" i="27"/>
  <c r="K14" i="27"/>
  <c r="K13" i="27"/>
  <c r="K11" i="27"/>
  <c r="K10" i="27"/>
  <c r="K9" i="27"/>
  <c r="K8" i="27"/>
  <c r="K7" i="27"/>
  <c r="K6" i="27"/>
  <c r="K5" i="27"/>
  <c r="K4"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J16" i="18"/>
  <c r="J2" i="31"/>
  <c r="K2" i="31" s="1"/>
  <c r="L2" i="31"/>
  <c r="M2" i="28"/>
  <c r="H2" i="28"/>
  <c r="I2" i="28" s="1"/>
  <c r="J2" i="27"/>
  <c r="K2" i="27" s="1"/>
  <c r="J2" i="26"/>
  <c r="K2" i="26"/>
  <c r="L2" i="26"/>
  <c r="M2" i="19"/>
  <c r="K20" i="72"/>
  <c r="K18" i="72"/>
  <c r="K19" i="72"/>
  <c r="K17" i="72"/>
  <c r="K9" i="26"/>
  <c r="K12" i="26"/>
  <c r="K7" i="26"/>
  <c r="J7" i="18"/>
  <c r="J10" i="1"/>
  <c r="K10" i="1" s="1"/>
  <c r="J6" i="1"/>
  <c r="G2" i="31"/>
  <c r="H2" i="31" s="1"/>
  <c r="G2" i="26"/>
  <c r="H2" i="26" s="1"/>
  <c r="J2" i="72"/>
  <c r="K2" i="72" s="1"/>
  <c r="G2" i="72"/>
  <c r="H2" i="72"/>
  <c r="G19" i="29" l="1"/>
  <c r="H19" i="29" s="1"/>
  <c r="J8" i="29"/>
  <c r="K8" i="29" s="1"/>
  <c r="K16" i="1"/>
  <c r="G22" i="1"/>
  <c r="K17" i="1"/>
  <c r="K16" i="18"/>
  <c r="K18" i="18"/>
  <c r="J19" i="29"/>
  <c r="K19" i="29" s="1"/>
  <c r="E14" i="29"/>
  <c r="E10" i="29"/>
  <c r="J7" i="29"/>
  <c r="K7" i="29" s="1"/>
  <c r="J14" i="29"/>
  <c r="K14" i="29" s="1"/>
  <c r="J16" i="29"/>
  <c r="K16" i="29" s="1"/>
  <c r="D16" i="34"/>
  <c r="J13" i="29"/>
  <c r="K13" i="29" s="1"/>
  <c r="G7" i="29"/>
  <c r="H7" i="29" s="1"/>
  <c r="J15" i="29"/>
  <c r="K15" i="29" s="1"/>
  <c r="E18" i="29"/>
  <c r="E9" i="29"/>
  <c r="J12" i="29"/>
  <c r="K12" i="29" s="1"/>
  <c r="E19" i="29"/>
  <c r="G16" i="29"/>
  <c r="H16" i="29" s="1"/>
  <c r="E17" i="29"/>
  <c r="E12" i="29"/>
  <c r="J11" i="29"/>
  <c r="K11" i="29" s="1"/>
  <c r="E16" i="29"/>
  <c r="D23" i="34"/>
  <c r="E23" i="34" s="1"/>
  <c r="D15" i="34"/>
  <c r="D17" i="34"/>
  <c r="L2" i="27"/>
  <c r="E2" i="27"/>
  <c r="B4" i="27"/>
  <c r="J4" i="29"/>
  <c r="G4" i="29"/>
  <c r="H4" i="29" s="1"/>
  <c r="E5" i="29"/>
  <c r="J5" i="29"/>
  <c r="G2" i="27"/>
  <c r="H2" i="27" s="1"/>
  <c r="G23" i="34"/>
  <c r="H23" i="34" s="1"/>
  <c r="E23" i="29"/>
  <c r="B4" i="26"/>
  <c r="G5" i="29"/>
  <c r="H5" i="29" s="1"/>
  <c r="E4" i="29"/>
  <c r="D2"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J14" i="1"/>
  <c r="K14" i="1" s="1"/>
  <c r="K6" i="1"/>
  <c r="J5" i="1"/>
  <c r="K5" i="1"/>
  <c r="G4" i="1"/>
  <c r="H4" i="1" s="1"/>
  <c r="E9" i="1"/>
  <c r="G7" i="1"/>
  <c r="H7" i="1" s="1"/>
  <c r="G18" i="1"/>
  <c r="H18" i="1" s="1"/>
  <c r="E2" i="3"/>
  <c r="E18" i="1"/>
  <c r="G5" i="1"/>
  <c r="H5" i="1" s="1"/>
  <c r="E6" i="1"/>
  <c r="J18" i="1"/>
  <c r="K18" i="1" s="1"/>
  <c r="E14" i="1"/>
  <c r="E17" i="1"/>
  <c r="J21" i="1"/>
  <c r="G6" i="1"/>
  <c r="H6" i="1" s="1"/>
  <c r="E15" i="1"/>
  <c r="J22" i="1"/>
  <c r="J4" i="1"/>
  <c r="K4" i="1" s="1"/>
  <c r="G2" i="3"/>
  <c r="H2" i="3" s="1"/>
  <c r="K22" i="3"/>
  <c r="J2" i="3"/>
  <c r="K2" i="3" s="1"/>
  <c r="D2" i="30"/>
  <c r="C2" i="29"/>
  <c r="D2" i="18"/>
  <c r="G6" i="18"/>
  <c r="H6" i="18" s="1"/>
  <c r="E17" i="18"/>
  <c r="E18" i="18"/>
  <c r="G7" i="18"/>
  <c r="H7" i="18" s="1"/>
  <c r="E19" i="18"/>
  <c r="E20" i="1"/>
  <c r="E11" i="1"/>
  <c r="E19" i="1"/>
  <c r="E12" i="1"/>
  <c r="E13" i="1"/>
  <c r="E21" i="1"/>
  <c r="D2" i="1"/>
  <c r="G19" i="1"/>
  <c r="H19" i="1" s="1"/>
  <c r="C9" i="34"/>
  <c r="C13" i="34"/>
  <c r="C20" i="34"/>
  <c r="G10" i="1"/>
  <c r="H10" i="1" s="1"/>
  <c r="E22" i="1"/>
  <c r="C22" i="34"/>
  <c r="F2" i="1"/>
  <c r="G4" i="18"/>
  <c r="H4" i="18" s="1"/>
  <c r="I17" i="34"/>
  <c r="K8" i="18"/>
  <c r="F17" i="34"/>
  <c r="F22" i="34"/>
  <c r="F20" i="34"/>
  <c r="J8" i="1"/>
  <c r="K8" i="1" s="1"/>
  <c r="K15" i="1"/>
  <c r="G10" i="18"/>
  <c r="H10" i="18" s="1"/>
  <c r="G14" i="18"/>
  <c r="H14" i="18" s="1"/>
  <c r="F19" i="34"/>
  <c r="J22" i="18"/>
  <c r="K22" i="18" s="1"/>
  <c r="F5" i="34"/>
  <c r="K16" i="72"/>
  <c r="K4" i="20"/>
  <c r="K12" i="27"/>
  <c r="C6" i="34"/>
  <c r="F9" i="34"/>
  <c r="F13"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H21" i="33"/>
  <c r="G21" i="1"/>
  <c r="H21" i="1" s="1"/>
  <c r="G22" i="30"/>
  <c r="H22" i="30" s="1"/>
  <c r="F10" i="34"/>
  <c r="F14" i="34"/>
  <c r="I20" i="34"/>
  <c r="J22" i="30"/>
  <c r="C7" i="34"/>
  <c r="C11" i="34"/>
  <c r="I16" i="34"/>
  <c r="C19" i="34"/>
  <c r="F16" i="34"/>
  <c r="E2" i="32"/>
  <c r="M2" i="4"/>
  <c r="I13" i="34"/>
  <c r="C4" i="34"/>
  <c r="F7" i="34"/>
  <c r="F11" i="34"/>
  <c r="F15" i="34"/>
  <c r="G20" i="30"/>
  <c r="H20" i="30" s="1"/>
  <c r="F21" i="34"/>
  <c r="C16" i="34"/>
  <c r="E16" i="34" s="1"/>
  <c r="C12" i="34"/>
  <c r="C21" i="34"/>
  <c r="F18" i="34"/>
  <c r="C17" i="34"/>
  <c r="K2" i="4"/>
  <c r="L2" i="4" s="1"/>
  <c r="I14" i="34"/>
  <c r="C5" i="34"/>
  <c r="F8" i="34"/>
  <c r="F12" i="34"/>
  <c r="E2" i="33"/>
  <c r="G10" i="30"/>
  <c r="H10" i="30" s="1"/>
  <c r="G19" i="30"/>
  <c r="H19" i="30" s="1"/>
  <c r="K17" i="33"/>
  <c r="H22" i="33"/>
  <c r="K15" i="33"/>
  <c r="I22" i="30"/>
  <c r="I22" i="34" s="1"/>
  <c r="K22" i="33"/>
  <c r="K20" i="33"/>
  <c r="I18" i="30"/>
  <c r="I18" i="34" s="1"/>
  <c r="G17" i="30"/>
  <c r="H17" i="30" s="1"/>
  <c r="J12" i="30"/>
  <c r="I8" i="30"/>
  <c r="I8" i="34" s="1"/>
  <c r="J10" i="30"/>
  <c r="J14" i="30"/>
  <c r="K14" i="30" s="1"/>
  <c r="G8" i="30"/>
  <c r="H8" i="30" s="1"/>
  <c r="K16" i="33"/>
  <c r="J7" i="30"/>
  <c r="C8" i="34"/>
  <c r="G6" i="30"/>
  <c r="H6" i="30" s="1"/>
  <c r="I7" i="30"/>
  <c r="I7" i="34" s="1"/>
  <c r="I9" i="30"/>
  <c r="I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J21" i="30"/>
  <c r="J4" i="30"/>
  <c r="G16" i="30"/>
  <c r="H16" i="30" s="1"/>
  <c r="C18" i="34"/>
  <c r="B4" i="33"/>
  <c r="I6" i="30"/>
  <c r="I6" i="34" s="1"/>
  <c r="K6" i="34" s="1"/>
  <c r="J9" i="30"/>
  <c r="G2" i="33"/>
  <c r="H2" i="33" s="1"/>
  <c r="K13" i="33"/>
  <c r="G13" i="30"/>
  <c r="H13" i="30" s="1"/>
  <c r="C15" i="34"/>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G2" i="29" l="1"/>
  <c r="H2" i="29" s="1"/>
  <c r="E11" i="34"/>
  <c r="K10" i="34"/>
  <c r="E19" i="34"/>
  <c r="K9" i="34"/>
  <c r="E17" i="34"/>
  <c r="K22" i="34"/>
  <c r="K15" i="34"/>
  <c r="E15" i="34"/>
  <c r="E5" i="34"/>
  <c r="E7" i="34"/>
  <c r="E9" i="34"/>
  <c r="E14" i="34"/>
  <c r="E13" i="34"/>
  <c r="E8" i="34"/>
  <c r="E21" i="34"/>
  <c r="E2" i="29"/>
  <c r="E4" i="34"/>
  <c r="E22" i="34"/>
  <c r="D2" i="34"/>
  <c r="E18" i="34"/>
  <c r="E10" i="34"/>
  <c r="E6" i="34"/>
  <c r="G9" i="34"/>
  <c r="H9" i="34" s="1"/>
  <c r="E12" i="34"/>
  <c r="K8" i="34"/>
  <c r="K14" i="34"/>
  <c r="K18" i="34"/>
  <c r="K17" i="34"/>
  <c r="K21" i="34"/>
  <c r="G13" i="34"/>
  <c r="H13" i="34" s="1"/>
  <c r="G6" i="34"/>
  <c r="H6" i="34" s="1"/>
  <c r="G20" i="34"/>
  <c r="H20" i="34" s="1"/>
  <c r="E20" i="34"/>
  <c r="E2" i="30"/>
  <c r="K7" i="34"/>
  <c r="G7" i="34"/>
  <c r="H7" i="34" s="1"/>
  <c r="E2" i="18"/>
  <c r="G17" i="34"/>
  <c r="H17" i="34" s="1"/>
  <c r="G11" i="34"/>
  <c r="H11" i="34" s="1"/>
  <c r="G22" i="34"/>
  <c r="H22" i="34" s="1"/>
  <c r="G16" i="34"/>
  <c r="H16" i="34" s="1"/>
  <c r="G19" i="34"/>
  <c r="H19" i="34" s="1"/>
  <c r="J2" i="18"/>
  <c r="K2" i="18" s="1"/>
  <c r="E2" i="1"/>
  <c r="G21" i="34"/>
  <c r="H21" i="34" s="1"/>
  <c r="K19" i="34"/>
  <c r="G18" i="34"/>
  <c r="H18" i="34" s="1"/>
  <c r="G5" i="34"/>
  <c r="H5" i="34" s="1"/>
  <c r="G8" i="34"/>
  <c r="H8" i="34" s="1"/>
  <c r="K2" i="29"/>
  <c r="G10" i="34"/>
  <c r="H10" i="34" s="1"/>
  <c r="K13" i="34"/>
  <c r="I11" i="34"/>
  <c r="K11" i="34" s="1"/>
  <c r="K16" i="34"/>
  <c r="G14" i="34"/>
  <c r="H14" i="34" s="1"/>
  <c r="J2" i="1"/>
  <c r="K2" i="1" s="1"/>
  <c r="G2" i="1"/>
  <c r="H2" i="1" s="1"/>
  <c r="G15" i="34"/>
  <c r="H15" i="34" s="1"/>
  <c r="G12" i="34"/>
  <c r="H12" i="34" s="1"/>
  <c r="I12" i="34"/>
  <c r="K12" i="34" s="1"/>
  <c r="K20" i="34"/>
  <c r="G2" i="18"/>
  <c r="H2" i="18" s="1"/>
  <c r="K18" i="30"/>
  <c r="K10" i="30"/>
  <c r="K8" i="30"/>
  <c r="K22" i="30"/>
  <c r="K21" i="30"/>
  <c r="K11" i="30"/>
  <c r="K9" i="30"/>
  <c r="K7" i="30"/>
  <c r="K4" i="30"/>
  <c r="C2" i="34"/>
  <c r="K5" i="30"/>
  <c r="I5" i="34"/>
  <c r="I2" i="30"/>
  <c r="J2" i="30" s="1"/>
  <c r="K2" i="30" s="1"/>
  <c r="K12" i="30"/>
  <c r="K6" i="30"/>
  <c r="G2" i="30"/>
  <c r="H2" i="30" s="1"/>
  <c r="G4" i="34"/>
  <c r="H4" i="34" s="1"/>
  <c r="F2" i="34"/>
  <c r="E2" i="34" l="1"/>
  <c r="G2" i="34"/>
  <c r="H2" i="34" s="1"/>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<sst xmlns="http://schemas.openxmlformats.org/spreadsheetml/2006/main" count="592" uniqueCount="323">
  <si>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</si>
  <si>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</si>
  <si>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</si>
  <si>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</si>
  <si>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</si>
  <si>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</si>
  <si>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</si>
  <si>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</si>
  <si>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</si>
  <si>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</si>
  <si>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</si>
  <si>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</si>
  <si>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</si>
  <si>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</si>
  <si>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</si>
  <si>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</si>
  <si>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</si>
  <si>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</si>
  <si>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</si>
  <si>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</si>
  <si>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</si>
  <si>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</si>
  <si>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</si>
  <si>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</si>
  <si>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</si>
  <si>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</si>
  <si>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</si>
  <si>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</si>
  <si>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</si>
  <si>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</si>
  <si>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</si>
  <si>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</si>
  <si>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</si>
  <si>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</si>
  <si>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</si>
  <si>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</si>
  <si>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</si>
  <si>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</si>
  <si>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</si>
  <si>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</si>
  <si>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</si>
  <si>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</si>
  <si>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</si>
  <si>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</si>
  <si>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</si>
  <si>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</si>
  <si>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</si>
  <si>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</si>
  <si>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</si>
  <si>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</si>
  <si>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</si>
  <si>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</si>
  <si>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</si>
  <si>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</si>
  <si>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</si>
  <si>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</si>
  <si>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</si>
  <si>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</si>
  <si>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</si>
  <si>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</si>
  <si>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</si>
  <si>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</si>
  <si>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</si>
  <si>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</si>
  <si>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</si>
  <si>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</si>
  <si>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</si>
  <si>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</si>
  <si>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</si>
  <si>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</si>
  <si>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</si>
  <si>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</si>
  <si>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</si>
  <si>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</si>
  <si>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</si>
  <si>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</si>
  <si>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</si>
  <si>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</si>
  <si>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</si>
  <si>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</si>
  <si>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</si>
  <si>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</si>
  <si>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</si>
  <si>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</si>
  <si>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</si>
  <si>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</si>
  <si>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</si>
  <si>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</si>
  <si>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</si>
  <si>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</si>
  <si>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</si>
  <si>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</si>
  <si>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</si>
  <si>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</si>
  <si>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</si>
  <si>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</si>
  <si>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</si>
  <si>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</si>
  <si>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</si>
  <si>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</si>
  <si>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</si>
  <si>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</si>
  <si>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</si>
  <si>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</si>
  <si>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</si>
  <si>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</si>
  <si>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</si>
  <si>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</si>
  <si>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</si>
  <si>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</si>
  <si>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</si>
  <si>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</si>
  <si>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</si>
  <si>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</si>
  <si>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</si>
  <si>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</si>
  <si>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</si>
  <si>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</si>
  <si>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</si>
  <si>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</si>
  <si>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</si>
  <si>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</si>
  <si>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</si>
  <si>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</si>
  <si>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</si>
  <si>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</si>
  <si>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</si>
  <si>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</si>
  <si>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</si>
  <si>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</si>
  <si>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</si>
  <si>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</si>
  <si>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</si>
  <si>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</si>
  <si>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</si>
  <si>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</si>
  <si>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</si>
  <si>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</si>
  <si>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</si>
  <si>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</si>
  <si>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</si>
  <si>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</si>
  <si>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</si>
  <si>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</si>
  <si>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</si>
  <si>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</si>
  <si>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</si>
  <si>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</si>
  <si>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</si>
  <si>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</si>
  <si>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</si>
  <si>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</si>
  <si>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</si>
  <si>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</si>
  <si>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</si>
  <si>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</si>
  <si>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</si>
  <si>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</si>
  <si>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</si>
  <si>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</si>
  <si>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</si>
  <si>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</si>
  <si>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</si>
  <si>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</si>
  <si>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</si>
  <si>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</si>
  <si>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</si>
  <si>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</si>
  <si>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</si>
  <si>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</si>
  <si>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</si>
  <si>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</si>
  <si>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</si>
  <si>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</si>
  <si>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</si>
  <si>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</si>
  <si>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</si>
  <si>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</si>
  <si>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</si>
  <si>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</si>
  <si>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</si>
  <si>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</si>
  <si>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</si>
  <si>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</si>
  <si>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</si>
  <si>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</si>
  <si>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</si>
  <si>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</si>
  <si>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</si>
  <si>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</si>
  <si>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</si>
  <si>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</si>
  <si>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</si>
  <si>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</si>
  <si>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</si>
  <si>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</si>
  <si>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</si>
  <si>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</si>
  <si>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</si>
  <si>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</si>
  <si>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</si>
  <si>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</si>
  <si>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</si>
  <si>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</si>
  <si>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</si>
  <si>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</si>
  <si>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</si>
  <si>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</si>
  <si>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</si>
  <si>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</si>
  <si>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</si>
  <si>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</si>
  <si>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</si>
  <si>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</si>
  <si>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</si>
  <si>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</si>
  <si>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</si>
  <si>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</si>
  <si>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</si>
  <si>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</si>
  <si>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</si>
  <si>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</si>
  <si>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</si>
  <si>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</si>
  <si>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</si>
  <si>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</si>
  <si>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</si>
  <si>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</si>
  <si>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</si>
  <si>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</si>
  <si>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</si>
  <si>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</si>
  <si>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</si>
  <si>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</si>
  <si>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</si>
  <si>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</si>
  <si>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1. The weather station has been reporting erroneous values. Its graph shows continuous fluctuations throughout the day, indicating inconsistent readings. on 08/25 technician replaced Irradiance sensor and it is reporting as expected.
2.  Inverters 2, 3 and 6 has tripped offline at 17:15 on 08/23. All inverters are reporting "Steady state GFCI fault" and later back online at 07:00 on 08/24.
3. Inverter 1 has tripped offline at 21:40 on 08/26 and reporting "ARC protection"  and remained offline throughout the month.</t>
  </si>
  <si>
    <t>1. SR099622
2. SR106793
3. SR107034</t>
  </si>
  <si>
    <t>SR106793</t>
  </si>
  <si>
    <t>SR107034</t>
  </si>
  <si>
    <t>1. Due to seasonal changes, the performance of Inverter 6 has gradually decreased since August. A similar trend was also observed last year.</t>
  </si>
  <si>
    <t>1. Inverter 1 has tripped offline at 11:55 on 08/26. during a storm and reporting  "GFCI fault" and later back online at 07:00 on 08/27.</t>
  </si>
  <si>
    <t>1. SR106951</t>
  </si>
  <si>
    <t xml:space="preserve">1. The weather station has been reporting erroneous values  from 04/07. Its graph shows continuous fluctuations throughout the day, indicating inconsistent readings. On 08/06 technician recycled the reference cell and it is reporting as expected.
</t>
  </si>
  <si>
    <t>1. All inverters experiencing shading issue during evening hours.
2.  Inverter 4 has tripped offline at 16:00 on 08/24 and reporting "Bus Differential fault" and later self resolved and back online at 07:00 on 08/25.</t>
  </si>
  <si>
    <t>1. SR105795
2. SR106807</t>
  </si>
  <si>
    <t>SR106807</t>
  </si>
  <si>
    <t>1. Inverters 5 is underperforming by 3 kW. On 07/24 . The powerhead on Inverter 5 needs to be RMA'd.</t>
  </si>
  <si>
    <t>1. SR099433, 
SR104106, SR105254</t>
  </si>
  <si>
    <t>1. The site was offline at 22:50 on 08/07 due to potential breaker trip and later back online at 14:05 on 08/08.</t>
  </si>
  <si>
    <t>1. SR105911</t>
  </si>
  <si>
    <t>1. Inverter 3.4 was tripped offline at 16:50 on 07/27 and later back online at 11:15 on 08/13.
2. Inverter 5-1 is down a string (6kW) at 12:00 on 08/14.</t>
  </si>
  <si>
    <t>1. SR105142
2. SR107053</t>
  </si>
  <si>
    <t>SR107053</t>
  </si>
  <si>
    <t xml:space="preserve">1. Site is producing as expected possibly the issue is with the estimated value.
</t>
  </si>
  <si>
    <t>1. Inverter 5.4 didn't start for production and reporting " ARC Protection" since 02/22/25 and it's under RMA'd.
2. Inverter 1.3 is underperforming by about 10 kW compared to its peers since 03/25/25.</t>
  </si>
  <si>
    <t>1. Inverters 4, 6 and 8 have heavy morning shading issue until 10:00 AM.</t>
  </si>
  <si>
    <t>1. Inverter 1 is underperforming by 3 kW and is independent mode. Will be investigate in next month.
2. Inverter 13 has tripped offline at 12:25 on 08/20 and reporting " 0260 Error Code" and later back online at 15:00 on 08/26.</t>
  </si>
  <si>
    <t xml:space="preserve"> 1. SR104095, 
SR099435
2. SR106602</t>
  </si>
  <si>
    <t>SR106602</t>
  </si>
  <si>
    <t>1. Meter 2 Phase A current is approximately 65 amps lower than the Phase B and C currents, resulting in an 18% variance between total inverter power and meter power. Waiting for parts.
2.  inverters 9 to 34 not started for production and  reporting "Grid Line Voltage Out of Range" and later self resolved and back online at 11:05 on 08/07.</t>
  </si>
  <si>
    <t>1. SR100428, SR104327
2. SR105814</t>
  </si>
  <si>
    <t>SR104327</t>
  </si>
  <si>
    <t>SR105814</t>
  </si>
  <si>
    <t xml:space="preserve">1. Weather station is heavily shaded until around 10am each morning. On 08/19 technician installed replacement cable and sensors and weather station is reporting as expected.
</t>
  </si>
  <si>
    <t xml:space="preserve">1. Meter 1  had sustained thermal damage. The breaker and feeders connected 
to the meter were burnt and require replacement. on 08/26  meter 1 and inverters online are back online at 18:25. 
2.  Inverter 5.3 is intermittently derating in the morning since 08/15. on scheduled during PM on 09/18
</t>
  </si>
  <si>
    <t>1. SR102064
2. SR106356</t>
  </si>
  <si>
    <t>SR106356</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</si>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</sst>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3">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
      <sz val="11"/>
      <color rgb="FF000000"/>
      <name val="Calibri"/>
    </font>
    <font>
      <b/>
      <sz val="11"/>
      <color rgb="FF000000"/>
      <name val="Calibri"/>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3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49" fontId="41" fillId="38" borderId="0" xfId="2" applyNumberFormat="1" applyFont="1" applyFill="1" applyBorder="1" applyAlignment="1">
      <alignment horizontal="left" vertical="top" wrapText="1"/>
    </xf>
    <xf numFmtId="165" fontId="28" fillId="47" borderId="0" xfId="1" applyNumberFormat="1" applyFont="1" applyFill="1" applyBorder="1" applyAlignment="1">
      <alignment horizontal="center" vertical="center" wrapText="1"/>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107053" TargetMode="External"/><Relationship Id="rId18" Type="http://schemas.openxmlformats.org/officeDocument/2006/relationships/hyperlink" Target="https://us3.assetplanner.com/service_request?ID=106602" TargetMode="External"/><Relationship Id="rId3" Type="http://schemas.openxmlformats.org/officeDocument/2006/relationships/hyperlink" Target="https://us3.assetplanner.com/service_request?ID=107034" TargetMode="External"/><Relationship Id="rId21" Type="http://schemas.openxmlformats.org/officeDocument/2006/relationships/hyperlink" Target="https://us3.assetplanner.com/service_request?ID=104327"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5142" TargetMode="External"/><Relationship Id="rId17" Type="http://schemas.openxmlformats.org/officeDocument/2006/relationships/hyperlink" Target="https://us3.assetplanner.com/service_request?ID=099435" TargetMode="External"/><Relationship Id="rId25"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6793" TargetMode="External"/><Relationship Id="rId16" Type="http://schemas.openxmlformats.org/officeDocument/2006/relationships/hyperlink" Target="https://us3.assetplanner.com/service_request?ID=104095" TargetMode="External"/><Relationship Id="rId20" Type="http://schemas.openxmlformats.org/officeDocument/2006/relationships/hyperlink" Target="https://us3.assetplanner.com/service_request?ID=100428"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5795" TargetMode="External"/><Relationship Id="rId11" Type="http://schemas.openxmlformats.org/officeDocument/2006/relationships/hyperlink" Target="https://us3.assetplanner.com/service_request?ID=105911" TargetMode="External"/><Relationship Id="rId24" Type="http://schemas.openxmlformats.org/officeDocument/2006/relationships/hyperlink" Target="https://us3.assetplanner.com/service_request?ID=102064" TargetMode="External"/><Relationship Id="rId5" Type="http://schemas.openxmlformats.org/officeDocument/2006/relationships/hyperlink" Target="https://us3.assetplanner.com/service_request?ID=099861" TargetMode="External"/><Relationship Id="rId15" Type="http://schemas.openxmlformats.org/officeDocument/2006/relationships/hyperlink" Target="https://us3.assetplanner.com/service_request?ID=098986" TargetMode="External"/><Relationship Id="rId23" Type="http://schemas.openxmlformats.org/officeDocument/2006/relationships/hyperlink" Target="https://us3.assetplanner.com/service_request?ID=099704"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1090" TargetMode="External"/><Relationship Id="rId4" Type="http://schemas.openxmlformats.org/officeDocument/2006/relationships/hyperlink" Target="https://us3.assetplanner.com/service_request?ID=106951"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7653" TargetMode="External"/><Relationship Id="rId22" Type="http://schemas.openxmlformats.org/officeDocument/2006/relationships/hyperlink" Target="https://us3.assetplanner.com/service_request?ID=10581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B11" sqref="B11"/>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1" t="str" cm="1">
        <f t="array" ref="A1">portfolio</f>
        <v>CITI</v>
      </c>
      <c r="B1" s="131"/>
      <c r="C1" s="131"/>
      <c r="D1" s="76" t="s">
        <v>0</v>
      </c>
      <c r="E1" s="76" t="s">
        <v>1</v>
      </c>
      <c r="F1" s="132" t="s">
        <v>2</v>
      </c>
      <c r="G1" s="132"/>
      <c r="H1" s="132"/>
      <c r="I1" s="130" t="s">
        <v>3</v>
      </c>
      <c r="J1" s="130"/>
      <c r="K1" s="130"/>
    </row>
    <row r="2" spans="1:11" ht="19.5" customHeight="1">
      <c r="A2" s="133" t="s">
        <v>4</v>
      </c>
      <c r="B2" s="133"/>
      <c r="C2" s="6">
        <f>SUM(C4:C100)</f>
        <v>17472091.099999998</v>
      </c>
      <c r="D2" s="6">
        <f>SUM(D4:D22)</f>
        <v>17607943.690000001</v>
      </c>
      <c r="E2" s="7">
        <f>C2/D2</f>
        <v>0.99228458516270934</v>
      </c>
      <c r="F2" s="6">
        <f>SUM(F4:F100)</f>
        <v>17314731.689000003</v>
      </c>
      <c r="G2" s="6">
        <f>C2-F2</f>
        <v>157359.41099999472</v>
      </c>
      <c r="H2" s="7">
        <f>IFERROR(G2/F2, 0)</f>
        <v>9.0881807368672473E-3</v>
      </c>
      <c r="I2" s="6">
        <f>SUM(I4:I100)</f>
        <v>19481960.993999999</v>
      </c>
      <c r="J2" s="8">
        <f>C2-I2</f>
        <v>-2009869.8940000013</v>
      </c>
      <c r="K2" s="7">
        <f>IFERROR(J2/I2, 0)</f>
        <v>-0.10316568720258681</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503061</v>
      </c>
      <c r="D4" s="111">
        <f>SUM('1st Qtr'!D4,'2nd Qtr'!D4,'3rd Qtr'!D4,'4th Qtr'!D4)</f>
        <v>486109.74</v>
      </c>
      <c r="E4" s="79">
        <f>C4/D4</f>
        <v>1.0348712617854561</v>
      </c>
      <c r="F4" s="14">
        <f>SUM('1st Qtr'!F4, '2nd Qtr'!F4, '3rd Qtr'!F4, '4th Qtr'!F4)</f>
        <v>491248.85</v>
      </c>
      <c r="G4" s="14">
        <f>IF(AND(ISNUMBER(C4),ISNUMBER(F4)), C4-F4, "")</f>
        <v>11812.150000000023</v>
      </c>
      <c r="H4" s="15">
        <f>IFERROR(G4/F4, "")</f>
        <v>2.4045145347414094E-2</v>
      </c>
      <c r="I4" s="16">
        <f>SUM('1st Qtr'!I4,'2nd Qtr'!I4,'3rd Qtr'!I4,'4th Qtr'!I4)</f>
        <v>500275.53200000001</v>
      </c>
      <c r="J4" s="16">
        <f>SUM('1st Qtr'!J4, '2nd Qtr'!J4, '3rd Qtr'!J4, '4th Qtr'!J4)</f>
        <v>2785.4680000000008</v>
      </c>
      <c r="K4" s="17">
        <f>IFERROR(J4/I4, "")</f>
        <v>5.5678677485270275E-3</v>
      </c>
    </row>
    <row r="5" spans="1:11" ht="15.6">
      <c r="A5" s="19" t="str">
        <v>CA: Antioch MC CUP - Citi</v>
      </c>
      <c r="B5" s="11" t="str">
        <v>CA</v>
      </c>
      <c r="C5" s="20">
        <f>SUM('1st Qtr'!C5, '2nd Qtr'!C5, '3rd Qtr'!C5, '4th Qtr'!C5)</f>
        <v>1669207</v>
      </c>
      <c r="D5" s="112">
        <f>SUM('1st Qtr'!D5,'2nd Qtr'!D5,'3rd Qtr'!D5,'4th Qtr'!D5)</f>
        <v>1647514.18</v>
      </c>
      <c r="E5" s="80">
        <f t="shared" ref="E5:E23" si="0">C5/D5</f>
        <v>1.0131670004806879</v>
      </c>
      <c r="F5" s="20">
        <f>SUM('1st Qtr'!F5, '2nd Qtr'!F5, '3rd Qtr'!F5, '4th Qtr'!F5)</f>
        <v>1667616.6</v>
      </c>
      <c r="G5" s="20">
        <f t="shared" ref="G5:G15" si="1">IF(AND(ISNUMBER(C5),ISNUMBER(F5)), C5-F5, "")</f>
        <v>1590.3999999999069</v>
      </c>
      <c r="H5" s="21">
        <f>IFERROR(G5/F5, "")</f>
        <v>9.5369643118202755E-4</v>
      </c>
      <c r="I5" s="22">
        <f>SUM('1st Qtr'!I5,'2nd Qtr'!I5,'3rd Qtr'!I5,'4th Qtr'!I5)</f>
        <v>1719644.9939999999</v>
      </c>
      <c r="J5" s="22">
        <f>SUM('1st Qtr'!J5, '2nd Qtr'!J5, '3rd Qtr'!J5, '4th Qtr'!J5)</f>
        <v>-50437.993999999962</v>
      </c>
      <c r="K5" s="21">
        <f>IFERROR(J5/I5, "")</f>
        <v>-2.9330468890952945E-2</v>
      </c>
    </row>
    <row r="6" spans="1:11" ht="15.6">
      <c r="A6" s="13" t="str">
        <v>CA: Clovis - Citi</v>
      </c>
      <c r="B6" s="10" t="str">
        <v>CA</v>
      </c>
      <c r="C6" s="26">
        <f>SUM('1st Qtr'!C6, '2nd Qtr'!C6, '3rd Qtr'!C6, '4th Qtr'!C6)</f>
        <v>690071.75</v>
      </c>
      <c r="D6" s="111">
        <f>SUM('1st Qtr'!D6,'2nd Qtr'!D6,'3rd Qtr'!D6,'4th Qtr'!D6)</f>
        <v>692456</v>
      </c>
      <c r="E6" s="79">
        <f t="shared" si="0"/>
        <v>0.99655682093880338</v>
      </c>
      <c r="F6" s="14">
        <f>SUM('1st Qtr'!F6, '2nd Qtr'!F6, '3rd Qtr'!F6, '4th Qtr'!F6)</f>
        <v>373623.1</v>
      </c>
      <c r="G6" s="14">
        <f t="shared" si="1"/>
        <v>316448.65000000002</v>
      </c>
      <c r="H6" s="15">
        <f t="shared" ref="H6:H15" si="2">IFERROR(G6/F6, "")</f>
        <v>0.84697292538924929</v>
      </c>
      <c r="I6" s="16">
        <f>SUM('1st Qtr'!I6,'2nd Qtr'!I6,'3rd Qtr'!I6,'4th Qtr'!I6)</f>
        <v>479246.67099999997</v>
      </c>
      <c r="J6" s="16">
        <f>SUM('1st Qtr'!J6, '2nd Qtr'!J6, '3rd Qtr'!J6, '4th Qtr'!J6)</f>
        <v>210825.079</v>
      </c>
      <c r="K6" s="17">
        <f t="shared" ref="K6:K15" si="3">IFERROR(J6/I6, "")</f>
        <v>0.43990932385631532</v>
      </c>
    </row>
    <row r="7" spans="1:11" ht="15.6">
      <c r="A7" s="19" t="str">
        <v>CA: Elk Grove MOB - Citi</v>
      </c>
      <c r="B7" s="11" t="str">
        <v>CA</v>
      </c>
      <c r="C7" s="20">
        <f>SUM('1st Qtr'!C7, '2nd Qtr'!C7, '3rd Qtr'!C7, '4th Qtr'!C7)</f>
        <v>1081551.5</v>
      </c>
      <c r="D7" s="112">
        <f>SUM('1st Qtr'!D7,'2nd Qtr'!D7,'3rd Qtr'!D7,'4th Qtr'!D7)</f>
        <v>1116199</v>
      </c>
      <c r="E7" s="80">
        <f t="shared" si="0"/>
        <v>0.96895938806610649</v>
      </c>
      <c r="F7" s="20">
        <f>SUM('1st Qtr'!F7, '2nd Qtr'!F7, '3rd Qtr'!F7, '4th Qtr'!F7)</f>
        <v>1131353.6000000001</v>
      </c>
      <c r="G7" s="20">
        <f t="shared" si="1"/>
        <v>-49802.100000000093</v>
      </c>
      <c r="H7" s="21">
        <f t="shared" si="2"/>
        <v>-4.4019924451559694E-2</v>
      </c>
      <c r="I7" s="22">
        <f>SUM('1st Qtr'!I7,'2nd Qtr'!I7,'3rd Qtr'!I7,'4th Qtr'!I7)</f>
        <v>1151272.003</v>
      </c>
      <c r="J7" s="22">
        <f>SUM('1st Qtr'!J7, '2nd Qtr'!J7, '3rd Qtr'!J7, '4th Qtr'!J7)</f>
        <v>-69720.503000000012</v>
      </c>
      <c r="K7" s="21">
        <f t="shared" si="3"/>
        <v>-6.0559540072477561E-2</v>
      </c>
    </row>
    <row r="8" spans="1:11" ht="15.6">
      <c r="A8" s="13" t="str">
        <v>CA: Elk Grove Promenade - Citi</v>
      </c>
      <c r="B8" s="10" t="str">
        <v>CA</v>
      </c>
      <c r="C8" s="26">
        <f>SUM('1st Qtr'!C8, '2nd Qtr'!C8, '3rd Qtr'!C8, '4th Qtr'!C8)</f>
        <v>581710.75</v>
      </c>
      <c r="D8" s="111">
        <f>SUM('1st Qtr'!D8,'2nd Qtr'!D8,'3rd Qtr'!D8,'4th Qtr'!D8)</f>
        <v>593320.5</v>
      </c>
      <c r="E8" s="79">
        <f t="shared" si="0"/>
        <v>0.98043258239012476</v>
      </c>
      <c r="F8" s="14">
        <f>SUM('1st Qtr'!F8, '2nd Qtr'!F8, '3rd Qtr'!F8, '4th Qtr'!F8)</f>
        <v>586205.26900000009</v>
      </c>
      <c r="G8" s="14">
        <f t="shared" si="1"/>
        <v>-4494.5190000000875</v>
      </c>
      <c r="H8" s="15">
        <f t="shared" si="2"/>
        <v>-7.6671419342020392E-3</v>
      </c>
      <c r="I8" s="16">
        <f>SUM('1st Qtr'!I8,'2nd Qtr'!I8,'3rd Qtr'!I8,'4th Qtr'!I8)</f>
        <v>614968.3870000001</v>
      </c>
      <c r="J8" s="16">
        <f>SUM('1st Qtr'!J8, '2nd Qtr'!J8, '3rd Qtr'!J8, '4th Qtr'!J8)</f>
        <v>-33257.636999999995</v>
      </c>
      <c r="K8" s="17">
        <f t="shared" si="3"/>
        <v>-5.408023843671169E-2</v>
      </c>
    </row>
    <row r="9" spans="1:11" ht="15.6">
      <c r="A9" s="19" t="str">
        <v>CA: Fresno Sequioa - Citi</v>
      </c>
      <c r="B9" s="11" t="str">
        <v>CA</v>
      </c>
      <c r="C9" s="20">
        <f>SUM('1st Qtr'!C9, '2nd Qtr'!C9, '3rd Qtr'!C9, '4th Qtr'!C9)</f>
        <v>1122719</v>
      </c>
      <c r="D9" s="112">
        <f>SUM('1st Qtr'!D9,'2nd Qtr'!D9,'3rd Qtr'!D9,'4th Qtr'!D9)</f>
        <v>1162361.56</v>
      </c>
      <c r="E9" s="80">
        <f t="shared" si="0"/>
        <v>0.96589481159373503</v>
      </c>
      <c r="F9" s="20">
        <f>SUM('1st Qtr'!F9, '2nd Qtr'!F9, '3rd Qtr'!F9, '4th Qtr'!F9)</f>
        <v>1162695.2</v>
      </c>
      <c r="G9" s="20">
        <f t="shared" si="1"/>
        <v>-39976.199999999953</v>
      </c>
      <c r="H9" s="21">
        <f t="shared" si="2"/>
        <v>-3.4382355754113338E-2</v>
      </c>
      <c r="I9" s="22">
        <f>SUM('1st Qtr'!I9,'2nd Qtr'!I9,'3rd Qtr'!I9,'4th Qtr'!I9)</f>
        <v>1201254.1089999999</v>
      </c>
      <c r="J9" s="22">
        <f>SUM('1st Qtr'!J9, '2nd Qtr'!J9, '3rd Qtr'!J9, '4th Qtr'!J9)</f>
        <v>-78535.108999999982</v>
      </c>
      <c r="K9" s="21">
        <f t="shared" si="3"/>
        <v>-6.5377598637625128E-2</v>
      </c>
    </row>
    <row r="10" spans="1:11" ht="15.6">
      <c r="A10" s="13" t="str">
        <v>CA: Fresno MOB - Citi</v>
      </c>
      <c r="B10" s="10" t="str">
        <v>CA</v>
      </c>
      <c r="C10" s="26">
        <f>SUM('1st Qtr'!C10, '2nd Qtr'!C10, '3rd Qtr'!C10, '4th Qtr'!C10)</f>
        <v>420006.63</v>
      </c>
      <c r="D10" s="111">
        <f>SUM('1st Qtr'!D10,'2nd Qtr'!D10,'3rd Qtr'!D10,'4th Qtr'!D10)</f>
        <v>469807.88</v>
      </c>
      <c r="E10" s="79">
        <f t="shared" si="0"/>
        <v>0.8939965630206117</v>
      </c>
      <c r="F10" s="14">
        <f>SUM('1st Qtr'!F10, '2nd Qtr'!F10, '3rd Qtr'!F10, '4th Qtr'!F10)</f>
        <v>452448.48</v>
      </c>
      <c r="G10" s="14">
        <f t="shared" si="1"/>
        <v>-32441.849999999977</v>
      </c>
      <c r="H10" s="15">
        <f t="shared" si="2"/>
        <v>-7.1702859958773596E-2</v>
      </c>
      <c r="I10" s="16">
        <f>SUM('1st Qtr'!I10,'2nd Qtr'!I10,'3rd Qtr'!I10,'4th Qtr'!I10)</f>
        <v>456362.72400000005</v>
      </c>
      <c r="J10" s="16">
        <f>SUM('1st Qtr'!J10, '2nd Qtr'!J10, '3rd Qtr'!J10, '4th Qtr'!J10)</f>
        <v>-36356.093999999997</v>
      </c>
      <c r="K10" s="17">
        <f t="shared" si="3"/>
        <v>-7.9664907075101057E-2</v>
      </c>
    </row>
    <row r="11" spans="1:11" ht="15.6">
      <c r="A11" s="19" t="str">
        <v>CA: Modesto Bangs - Citi</v>
      </c>
      <c r="B11" s="11" t="str">
        <v>CA</v>
      </c>
      <c r="C11" s="20">
        <f>SUM('1st Qtr'!C11, '2nd Qtr'!C11, '3rd Qtr'!C11, '4th Qtr'!C11)</f>
        <v>282273</v>
      </c>
      <c r="D11" s="112">
        <f>SUM('1st Qtr'!D11,'2nd Qtr'!D11,'3rd Qtr'!D11,'4th Qtr'!D11)</f>
        <v>319837.71999999997</v>
      </c>
      <c r="E11" s="80">
        <f t="shared" si="0"/>
        <v>0.88255068851791474</v>
      </c>
      <c r="F11" s="20">
        <f>SUM('1st Qtr'!F11, '2nd Qtr'!F11, '3rd Qtr'!F11, '4th Qtr'!F11)</f>
        <v>199364.22</v>
      </c>
      <c r="G11" s="20">
        <f t="shared" si="1"/>
        <v>82908.78</v>
      </c>
      <c r="H11" s="21">
        <f t="shared" si="2"/>
        <v>0.41586589609710306</v>
      </c>
      <c r="I11" s="22">
        <f>SUM('1st Qtr'!I11,'2nd Qtr'!I11,'3rd Qtr'!I11,'4th Qtr'!I11)</f>
        <v>234875.41500000001</v>
      </c>
      <c r="J11" s="22">
        <f>SUM('1st Qtr'!J11, '2nd Qtr'!J11, '3rd Qtr'!J11, '4th Qtr'!J11)</f>
        <v>47397.584999999992</v>
      </c>
      <c r="K11" s="21">
        <f t="shared" si="3"/>
        <v>0.20179883450126099</v>
      </c>
    </row>
    <row r="12" spans="1:11" ht="15.6">
      <c r="A12" s="13" t="str">
        <v>CA: Napa Data Center - Citi</v>
      </c>
      <c r="B12" s="10" t="str">
        <v>CA</v>
      </c>
      <c r="C12" s="26">
        <f>SUM('1st Qtr'!C12, '2nd Qtr'!C12, '3rd Qtr'!C12, '4th Qtr'!C12)</f>
        <v>293330.75</v>
      </c>
      <c r="D12" s="111">
        <f>SUM('1st Qtr'!D12,'2nd Qtr'!D12,'3rd Qtr'!D12,'4th Qtr'!D12)</f>
        <v>337660.29000000004</v>
      </c>
      <c r="E12" s="79">
        <f t="shared" si="0"/>
        <v>0.86871556616858903</v>
      </c>
      <c r="F12" s="14">
        <f>SUM('1st Qtr'!F12, '2nd Qtr'!F12, '3rd Qtr'!F12, '4th Qtr'!F12)</f>
        <v>360638.74</v>
      </c>
      <c r="G12" s="14">
        <f t="shared" si="1"/>
        <v>-67307.989999999991</v>
      </c>
      <c r="H12" s="15">
        <f t="shared" si="2"/>
        <v>-0.18663549567636575</v>
      </c>
      <c r="I12" s="16">
        <f>SUM('1st Qtr'!I12,'2nd Qtr'!I12,'3rd Qtr'!I12,'4th Qtr'!I12)</f>
        <v>338651.18099999998</v>
      </c>
      <c r="J12" s="16">
        <f>SUM('1st Qtr'!J12, '2nd Qtr'!J12, '3rd Qtr'!J12, '4th Qtr'!J12)</f>
        <v>-45320.430999999997</v>
      </c>
      <c r="K12" s="17">
        <f t="shared" si="3"/>
        <v>-0.13382628953536707</v>
      </c>
    </row>
    <row r="13" spans="1:11" ht="15.6">
      <c r="A13" s="19" t="str">
        <v>CA: Petaluma MOB - Citi</v>
      </c>
      <c r="B13" s="11" t="str">
        <v>CA</v>
      </c>
      <c r="C13" s="20">
        <f>SUM('1st Qtr'!C13, '2nd Qtr'!C13, '3rd Qtr'!C13, '4th Qtr'!C13)</f>
        <v>658575</v>
      </c>
      <c r="D13" s="112">
        <f>SUM('1st Qtr'!D13,'2nd Qtr'!D13,'3rd Qtr'!D13,'4th Qtr'!D13)</f>
        <v>782482.5</v>
      </c>
      <c r="E13" s="80">
        <f t="shared" si="0"/>
        <v>0.84164821577479365</v>
      </c>
      <c r="F13" s="20">
        <f>SUM('1st Qtr'!F13, '2nd Qtr'!F13, '3rd Qtr'!F13, '4th Qtr'!F13)</f>
        <v>570572.4</v>
      </c>
      <c r="G13" s="20">
        <f t="shared" si="1"/>
        <v>88002.599999999977</v>
      </c>
      <c r="H13" s="21">
        <f t="shared" si="2"/>
        <v>0.15423564126130176</v>
      </c>
      <c r="I13" s="22">
        <f>SUM('1st Qtr'!I13,'2nd Qtr'!I13,'3rd Qtr'!I13,'4th Qtr'!I13)</f>
        <v>588158.41599999997</v>
      </c>
      <c r="J13" s="22">
        <f>SUM('1st Qtr'!J13, '2nd Qtr'!J13, '3rd Qtr'!J13, '4th Qtr'!J13)</f>
        <v>70416.583999999988</v>
      </c>
      <c r="K13" s="21">
        <f t="shared" si="3"/>
        <v>0.11972383984385593</v>
      </c>
    </row>
    <row r="14" spans="1:11" ht="15.6">
      <c r="A14" s="13" t="str">
        <v>CA: Pleasanton Tec Ctr - Citi</v>
      </c>
      <c r="B14" s="10" t="str">
        <v>CA</v>
      </c>
      <c r="C14" s="26">
        <f>SUM('1st Qtr'!C14, '2nd Qtr'!C14, '3rd Qtr'!C14, '4th Qtr'!C14)</f>
        <v>940174</v>
      </c>
      <c r="D14" s="111">
        <f>SUM('1st Qtr'!D14,'2nd Qtr'!D14,'3rd Qtr'!D14,'4th Qtr'!D14)</f>
        <v>1092589.3599999999</v>
      </c>
      <c r="E14" s="79">
        <f t="shared" si="0"/>
        <v>0.86050078320367329</v>
      </c>
      <c r="F14" s="14">
        <f>SUM('1st Qtr'!F14, '2nd Qtr'!F14, '3rd Qtr'!F14, '4th Qtr'!F14)</f>
        <v>1093517</v>
      </c>
      <c r="G14" s="14">
        <f t="shared" si="1"/>
        <v>-153343</v>
      </c>
      <c r="H14" s="15">
        <f t="shared" si="2"/>
        <v>-0.14022918710911672</v>
      </c>
      <c r="I14" s="16">
        <f>SUM('1st Qtr'!I14,'2nd Qtr'!I14,'3rd Qtr'!I14,'4th Qtr'!I14)</f>
        <v>1106049.4840000002</v>
      </c>
      <c r="J14" s="16">
        <f>SUM('1st Qtr'!J14, '2nd Qtr'!J14, '3rd Qtr'!J14, '4th Qtr'!J14)</f>
        <v>-165875.484</v>
      </c>
      <c r="K14" s="17">
        <f t="shared" si="3"/>
        <v>-0.14997112371511218</v>
      </c>
    </row>
    <row r="15" spans="1:11" ht="15.6">
      <c r="A15" s="19" t="str">
        <v>CA: Rancho Cordova - Citi</v>
      </c>
      <c r="B15" s="11" t="str">
        <v>CA</v>
      </c>
      <c r="C15" s="20">
        <f>SUM('1st Qtr'!C15, '2nd Qtr'!C15, '3rd Qtr'!C15, '4th Qtr'!C15)</f>
        <v>1569739</v>
      </c>
      <c r="D15" s="112">
        <f>SUM('1st Qtr'!D15,'2nd Qtr'!D15,'3rd Qtr'!D15,'4th Qtr'!D15)</f>
        <v>1540046.78</v>
      </c>
      <c r="E15" s="80">
        <f t="shared" si="0"/>
        <v>1.0192800766740344</v>
      </c>
      <c r="F15" s="20">
        <f>SUM('1st Qtr'!F15, '2nd Qtr'!F15, '3rd Qtr'!F15, '4th Qtr'!F15)</f>
        <v>1570268.3</v>
      </c>
      <c r="G15" s="20">
        <f t="shared" si="1"/>
        <v>-529.30000000004657</v>
      </c>
      <c r="H15" s="21">
        <f t="shared" si="2"/>
        <v>-3.3707615443809606E-4</v>
      </c>
      <c r="I15" s="22">
        <f>SUM('1st Qtr'!I15,'2nd Qtr'!I15,'3rd Qtr'!I15,'4th Qtr'!I15)</f>
        <v>1639282.6869999999</v>
      </c>
      <c r="J15" s="22">
        <f>SUM('1st Qtr'!J15, '2nd Qtr'!J15, '3rd Qtr'!J15, '4th Qtr'!J15)</f>
        <v>-69543.68700000002</v>
      </c>
      <c r="K15" s="21">
        <f t="shared" si="3"/>
        <v>-4.2423242526442924E-2</v>
      </c>
    </row>
    <row r="16" spans="1:11" ht="15.6">
      <c r="A16" s="13" t="str">
        <v>CA: S Sacramento Wyndham - Citi</v>
      </c>
      <c r="B16" s="10" t="str">
        <v>CA</v>
      </c>
      <c r="C16" s="26">
        <f>SUM('1st Qtr'!C16, '2nd Qtr'!C16, '3rd Qtr'!C16, '4th Qtr'!C16)</f>
        <v>871614.5</v>
      </c>
      <c r="D16" s="111">
        <f>SUM('1st Qtr'!D16,'2nd Qtr'!D16,'3rd Qtr'!D16,'4th Qtr'!D16)</f>
        <v>965927.69</v>
      </c>
      <c r="E16" s="79">
        <f t="shared" si="0"/>
        <v>0.90235998928656869</v>
      </c>
      <c r="F16" s="14">
        <f>SUM('1st Qtr'!F16, '2nd Qtr'!F16, '3rd Qtr'!F16, '4th Qtr'!F16)</f>
        <v>923090.7</v>
      </c>
      <c r="G16" s="14">
        <f t="shared" ref="G16:G22" si="4">IF(AND(ISNUMBER(C16),ISNUMBER(F16)), C16-F16, "")</f>
        <v>-51476.199999999953</v>
      </c>
      <c r="H16" s="38">
        <f t="shared" ref="H16:H22" si="5">IFERROR(G16/F16, "")</f>
        <v>-5.5765051039946514E-2</v>
      </c>
      <c r="I16" s="39">
        <f>SUM('1st Qtr'!I16,'2nd Qtr'!I16,'3rd Qtr'!I16,'4th Qtr'!I16)</f>
        <v>956789.75699999998</v>
      </c>
      <c r="J16" s="16">
        <f>SUM('1st Qtr'!J16, '2nd Qtr'!J16, '3rd Qtr'!J16, '4th Qtr'!J16)</f>
        <v>-85175.256999999983</v>
      </c>
      <c r="K16" s="40">
        <f t="shared" ref="K16:K22" si="6">IFERROR(J16/I16, "")</f>
        <v>-8.9021915605645416E-2</v>
      </c>
    </row>
    <row r="17" spans="1:11" ht="15.6">
      <c r="A17" s="19" t="str">
        <v>CA: Sacramento Point West - Citi</v>
      </c>
      <c r="B17" s="11" t="str">
        <v>CA</v>
      </c>
      <c r="C17" s="20">
        <f>SUM('1st Qtr'!C17, '2nd Qtr'!C17, '3rd Qtr'!C17, '4th Qtr'!C17)</f>
        <v>1734141</v>
      </c>
      <c r="D17" s="112">
        <f>SUM('1st Qtr'!D17,'2nd Qtr'!D17,'3rd Qtr'!D17,'4th Qtr'!D17)</f>
        <v>1846480.9</v>
      </c>
      <c r="E17" s="80">
        <f t="shared" si="0"/>
        <v>0.93915999889302948</v>
      </c>
      <c r="F17" s="20">
        <f>SUM('1st Qtr'!F17, '2nd Qtr'!F17, '3rd Qtr'!F17, '4th Qtr'!F17)</f>
        <v>1837059.4</v>
      </c>
      <c r="G17" s="20">
        <f t="shared" si="4"/>
        <v>-102918.39999999991</v>
      </c>
      <c r="H17" s="43">
        <f t="shared" si="5"/>
        <v>-5.6023447037150738E-2</v>
      </c>
      <c r="I17" s="44">
        <f>SUM('1st Qtr'!I17,'2nd Qtr'!I17,'3rd Qtr'!I17,'4th Qtr'!I17)</f>
        <v>1916629.561</v>
      </c>
      <c r="J17" s="22">
        <f>SUM('1st Qtr'!J17, '2nd Qtr'!J17, '3rd Qtr'!J17, '4th Qtr'!J17)</f>
        <v>-182488.56100000002</v>
      </c>
      <c r="K17" s="43">
        <f t="shared" si="6"/>
        <v>-9.5213266409596001E-2</v>
      </c>
    </row>
    <row r="18" spans="1:11" ht="12.75" customHeight="1">
      <c r="A18" s="13" t="str">
        <v>CA: San Jose FHC - Citi</v>
      </c>
      <c r="B18" s="10" t="str">
        <v>CA</v>
      </c>
      <c r="C18" s="26">
        <f>SUM('1st Qtr'!C18, '2nd Qtr'!C18, '3rd Qtr'!C18, '4th Qtr'!C18)</f>
        <v>334705.25</v>
      </c>
      <c r="D18" s="111">
        <f>SUM('1st Qtr'!D18,'2nd Qtr'!D18,'3rd Qtr'!D18,'4th Qtr'!D18)</f>
        <v>377807.35</v>
      </c>
      <c r="E18" s="79">
        <f t="shared" si="0"/>
        <v>0.88591513637836861</v>
      </c>
      <c r="F18" s="14">
        <f>SUM('1st Qtr'!F18, '2nd Qtr'!F18, '3rd Qtr'!F18, '4th Qtr'!F18)</f>
        <v>375145.25</v>
      </c>
      <c r="G18" s="14">
        <f t="shared" si="4"/>
        <v>-40440</v>
      </c>
      <c r="H18" s="38">
        <f t="shared" si="5"/>
        <v>-0.10779824614599279</v>
      </c>
      <c r="I18" s="39">
        <f>SUM('1st Qtr'!I18,'2nd Qtr'!I18,'3rd Qtr'!I18,'4th Qtr'!I18)</f>
        <v>385678.87199999997</v>
      </c>
      <c r="J18" s="16">
        <f>SUM('1st Qtr'!J18, '2nd Qtr'!J18, '3rd Qtr'!J18, '4th Qtr'!J18)</f>
        <v>-50973.621999999996</v>
      </c>
      <c r="K18" s="40">
        <f t="shared" si="6"/>
        <v>-0.13216596941301986</v>
      </c>
    </row>
    <row r="19" spans="1:11" ht="15.6">
      <c r="A19" s="19" t="str">
        <v>CA: San Jose MOB - Citi</v>
      </c>
      <c r="B19" s="11" t="str">
        <v>CA</v>
      </c>
      <c r="C19" s="20">
        <f>SUM('1st Qtr'!C19, '2nd Qtr'!C19, '3rd Qtr'!C19, '4th Qtr'!C19)</f>
        <v>512421.5</v>
      </c>
      <c r="D19" s="112">
        <f>SUM('1st Qtr'!D19,'2nd Qtr'!D19,'3rd Qtr'!D19,'4th Qtr'!D19)</f>
        <v>602686.84000000008</v>
      </c>
      <c r="E19" s="80">
        <f t="shared" si="0"/>
        <v>0.85022845363605404</v>
      </c>
      <c r="F19" s="20">
        <f>SUM('1st Qtr'!F19, '2nd Qtr'!F19, '3rd Qtr'!F19, '4th Qtr'!F19)</f>
        <v>596963.43999999994</v>
      </c>
      <c r="G19" s="20">
        <f t="shared" si="4"/>
        <v>-84541.939999999944</v>
      </c>
      <c r="H19" s="43">
        <f t="shared" si="5"/>
        <v>-0.14161996252232792</v>
      </c>
      <c r="I19" s="44">
        <f>SUM('1st Qtr'!I19,'2nd Qtr'!I19,'3rd Qtr'!I19,'4th Qtr'!I19)</f>
        <v>617324.85400000005</v>
      </c>
      <c r="J19" s="22">
        <f>SUM('1st Qtr'!J19, '2nd Qtr'!J19, '3rd Qtr'!J19, '4th Qtr'!J19)</f>
        <v>-104903.35399999999</v>
      </c>
      <c r="K19" s="43">
        <f t="shared" si="6"/>
        <v>-0.16993217318284093</v>
      </c>
    </row>
    <row r="20" spans="1:11" ht="15.6">
      <c r="A20" s="13" t="str">
        <v>CA: Selma - Citi</v>
      </c>
      <c r="B20" s="10" t="str">
        <v>CA</v>
      </c>
      <c r="C20" s="26">
        <f>SUM('1st Qtr'!C20, '2nd Qtr'!C20, '3rd Qtr'!C20, '4th Qtr'!C20)</f>
        <v>324652.12</v>
      </c>
      <c r="D20" s="111">
        <f>SUM('1st Qtr'!D20,'2nd Qtr'!D20,'3rd Qtr'!D20,'4th Qtr'!D20)</f>
        <v>351569.96</v>
      </c>
      <c r="E20" s="79">
        <f t="shared" si="0"/>
        <v>0.9234353242239467</v>
      </c>
      <c r="F20" s="14">
        <f>SUM('1st Qtr'!F20, '2nd Qtr'!F20, '3rd Qtr'!F20, '4th Qtr'!F20)</f>
        <v>351018.16000000003</v>
      </c>
      <c r="G20" s="14">
        <f t="shared" si="4"/>
        <v>-26366.040000000037</v>
      </c>
      <c r="H20" s="38">
        <f t="shared" si="5"/>
        <v>-7.5113036886752624E-2</v>
      </c>
      <c r="I20" s="39">
        <f>SUM('1st Qtr'!I20,'2nd Qtr'!I20,'3rd Qtr'!I20,'4th Qtr'!I20)</f>
        <v>368368.359</v>
      </c>
      <c r="J20" s="16">
        <f>SUM('1st Qtr'!J20, '2nd Qtr'!J20, '3rd Qtr'!J20, '4th Qtr'!J20)</f>
        <v>-43716.239000000001</v>
      </c>
      <c r="K20" s="40">
        <f t="shared" si="6"/>
        <v>-0.11867533660783282</v>
      </c>
    </row>
    <row r="21" spans="1:11" ht="15.6">
      <c r="A21" s="19" t="str">
        <v>CA: Vacaville Hospital</v>
      </c>
      <c r="B21" s="11" t="str">
        <v>CA</v>
      </c>
      <c r="C21" s="20">
        <f>SUM('1st Qtr'!C21, '2nd Qtr'!C21, '3rd Qtr'!C21, '4th Qtr'!C21)</f>
        <v>1771507.5</v>
      </c>
      <c r="D21" s="112">
        <f>SUM('1st Qtr'!D21,'2nd Qtr'!D21,'3rd Qtr'!D21,'4th Qtr'!D21)</f>
        <v>2440903.4400000004</v>
      </c>
      <c r="E21" s="80">
        <f t="shared" si="0"/>
        <v>0.72575894276260255</v>
      </c>
      <c r="F21" s="20">
        <f>SUM('1st Qtr'!F21, '2nd Qtr'!F21, '3rd Qtr'!F21, '4th Qtr'!F21)</f>
        <v>2530583.7000000002</v>
      </c>
      <c r="G21" s="20">
        <f t="shared" si="4"/>
        <v>-759076.20000000019</v>
      </c>
      <c r="H21" s="43">
        <f t="shared" si="5"/>
        <v>-0.29996091415589221</v>
      </c>
      <c r="I21" s="44">
        <f>SUM('1st Qtr'!I21,'2nd Qtr'!I21,'3rd Qtr'!I21,'4th Qtr'!I21)</f>
        <v>2523423.5180000002</v>
      </c>
      <c r="J21" s="22">
        <f>SUM('1st Qtr'!J21, '2nd Qtr'!J21, '3rd Qtr'!J21, '4th Qtr'!J21)</f>
        <v>-751916.01799999992</v>
      </c>
      <c r="K21" s="43">
        <f t="shared" si="6"/>
        <v>-0.29797456219158525</v>
      </c>
    </row>
    <row r="22" spans="1:11" ht="15.6">
      <c r="A22" s="13" t="str">
        <v>CA: Manteca - KP Manteca Hospital</v>
      </c>
      <c r="B22" s="10" t="str">
        <v>CA</v>
      </c>
      <c r="C22" s="26">
        <f>SUM('1st Qtr'!C22, '2nd Qtr'!C22, '3rd Qtr'!C22, '4th Qtr'!C22)</f>
        <v>630407.88</v>
      </c>
      <c r="D22" s="111">
        <f>SUM('1st Qtr'!D22,'2nd Qtr'!D22,'3rd Qtr'!D22,'4th Qtr'!D22)</f>
        <v>782182</v>
      </c>
      <c r="E22" s="79">
        <f t="shared" si="0"/>
        <v>0.80596060763351751</v>
      </c>
      <c r="F22" s="14">
        <f>SUM('1st Qtr'!F22, '2nd Qtr'!F22, '3rd Qtr'!F22, '4th Qtr'!F22)</f>
        <v>658180.78</v>
      </c>
      <c r="G22" s="14">
        <f t="shared" si="4"/>
        <v>-27772.900000000023</v>
      </c>
      <c r="H22" s="38">
        <f t="shared" si="5"/>
        <v>-4.2196461586131433E-2</v>
      </c>
      <c r="I22" s="39">
        <f>SUM('1st Qtr'!I22,'2nd Qtr'!I22,'3rd Qtr'!I22,'4th Qtr'!I22)</f>
        <v>735275.47</v>
      </c>
      <c r="J22" s="16">
        <f>SUM('1st Qtr'!J22, '2nd Qtr'!J22, '3rd Qtr'!J22, '4th Qtr'!J22)</f>
        <v>-104867.59</v>
      </c>
      <c r="K22" s="40">
        <f t="shared" si="6"/>
        <v>-0.14262353944705922</v>
      </c>
    </row>
    <row r="23" spans="1:11" ht="15.6">
      <c r="A23" s="19" t="str">
        <v>Sacramento - KP South Sacramento HSP</v>
      </c>
      <c r="B23" s="11" t="str">
        <v>CA</v>
      </c>
      <c r="C23" s="20">
        <f>SUM('1st Qtr'!C23, '2nd Qtr'!C23, '3rd Qtr'!C23, '4th Qtr'!C23)</f>
        <v>1480221.9699999997</v>
      </c>
      <c r="D23" s="112">
        <f>SUM('1st Qtr'!D23,'2nd Qtr'!D23,'3rd Qtr'!D23,'4th Qtr'!D23)</f>
        <v>0</v>
      </c>
      <c r="E23" s="80" t="e">
        <f t="shared" si="0"/>
        <v>#DIV/0!</v>
      </c>
      <c r="F23" s="20">
        <f>SUM('1st Qtr'!F23, '2nd Qtr'!F23, '3rd Qtr'!F23, '4th Qtr'!F23)</f>
        <v>383138.5</v>
      </c>
      <c r="G23" s="20">
        <f t="shared" ref="G23" si="7">IF(AND(ISNUMBER(C23),ISNUMBER(F23)), C23-F23, "")</f>
        <v>1097083.4699999997</v>
      </c>
      <c r="H23" s="43">
        <f t="shared" ref="H23" si="8">IFERROR(G23/F23, "")</f>
        <v>2.8634122386552114</v>
      </c>
      <c r="I23" s="44">
        <f>SUM('1st Qtr'!I23,'2nd Qtr'!I23,'3rd Qtr'!I23,'4th Qtr'!I23)</f>
        <v>1948429</v>
      </c>
      <c r="J23" s="22">
        <f>SUM('1st Qtr'!J23, '2nd Qtr'!J23, '3rd Qtr'!J23, '4th Qtr'!J23)</f>
        <v>-468207.03</v>
      </c>
      <c r="K23" s="43">
        <f t="shared" ref="K23" si="9">IFERROR(J23/I23, "")</f>
        <v>-0.24029976457956642</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8" priority="1" stopIfTrue="1" operator="lessThanOrEqual">
      <formula>-0.1</formula>
    </cfRule>
    <cfRule type="expression" dxfId="37"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E33" sqref="E33"/>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1" t="str" cm="1">
        <f t="array" ref="A1">portfolio</f>
        <v>CITI</v>
      </c>
      <c r="B1" s="131"/>
      <c r="C1" s="131"/>
      <c r="D1" s="76" t="s">
        <v>0</v>
      </c>
      <c r="E1" s="76" t="s">
        <v>1</v>
      </c>
      <c r="F1" s="132" t="s">
        <v>12</v>
      </c>
      <c r="G1" s="132"/>
      <c r="H1" s="132"/>
      <c r="I1" s="130" t="s">
        <v>13</v>
      </c>
      <c r="J1" s="130"/>
      <c r="K1" s="130"/>
    </row>
    <row r="2" spans="1:11" ht="19.5" customHeight="1">
      <c r="A2" s="133" t="s">
        <v>4</v>
      </c>
      <c r="B2" s="133"/>
      <c r="C2" s="6">
        <f>SUM(C4:C100)</f>
        <v>4011350.76</v>
      </c>
      <c r="D2" s="6">
        <f>SUM(D4:D22)</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c r="D23" s="42"/>
      <c r="E23" s="117"/>
      <c r="F23" s="20"/>
      <c r="G23" s="20"/>
      <c r="H23" s="43"/>
      <c r="I23" s="44"/>
      <c r="J23" s="44"/>
      <c r="K23" s="40"/>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6" priority="1" stopIfTrue="1" operator="lessThanOrEqual">
      <formula>-0.1</formula>
    </cfRule>
    <cfRule type="expression" dxfId="35"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F3" sqref="F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31" t="str" cm="1">
        <f t="array" ref="A1">portfolio</f>
        <v>CITI</v>
      </c>
      <c r="B1" s="131"/>
      <c r="C1" s="131"/>
      <c r="D1" s="76" t="s">
        <v>0</v>
      </c>
      <c r="E1" s="76" t="s">
        <v>1</v>
      </c>
      <c r="F1" s="132" t="s">
        <v>14</v>
      </c>
      <c r="G1" s="132"/>
      <c r="H1" s="132"/>
      <c r="I1" s="130" t="s">
        <v>15</v>
      </c>
      <c r="J1" s="130"/>
      <c r="K1" s="130"/>
    </row>
    <row r="2" spans="1:14" ht="19.5" customHeight="1">
      <c r="A2" s="133" t="s">
        <v>4</v>
      </c>
      <c r="B2" s="133"/>
      <c r="C2" s="6">
        <f>SUM(C4:C99)</f>
        <v>8281607.71</v>
      </c>
      <c r="D2" s="6">
        <f>SUM(D4:D22)</f>
        <v>7975892.5499999989</v>
      </c>
      <c r="E2" s="7">
        <f>C2/D2</f>
        <v>1.038329899517014</v>
      </c>
      <c r="F2" s="6">
        <f>SUM(F4:F99)</f>
        <v>7665622.5479999995</v>
      </c>
      <c r="G2" s="6">
        <f>C2-F2</f>
        <v>615985.16200000048</v>
      </c>
      <c r="H2" s="7">
        <f>IFERROR(G2/F2, 0)</f>
        <v>8.0356834444022321E-2</v>
      </c>
      <c r="I2" s="6">
        <f>SUM(I4:I99)</f>
        <v>8826489.4800000004</v>
      </c>
      <c r="J2" s="8">
        <f>C2-I2</f>
        <v>-544881.77000000048</v>
      </c>
      <c r="K2" s="7">
        <f>IFERROR(J2/I2, 0)</f>
        <v>-6.1732557573954128E-2</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H11" sqref="H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31" t="str" cm="1">
        <f t="array" ref="A1">portfolio</f>
        <v>CITI</v>
      </c>
      <c r="B1" s="131"/>
      <c r="C1" s="131"/>
      <c r="D1" s="74" t="s">
        <v>0</v>
      </c>
      <c r="E1" s="75" t="s">
        <v>1</v>
      </c>
      <c r="F1" s="132" t="s">
        <v>16</v>
      </c>
      <c r="G1" s="132"/>
      <c r="H1" s="132"/>
      <c r="I1" s="130" t="s">
        <v>17</v>
      </c>
      <c r="J1" s="130"/>
      <c r="K1" s="130"/>
    </row>
    <row r="2" spans="1:13" ht="19.5" customHeight="1">
      <c r="A2" s="133" t="s">
        <v>4</v>
      </c>
      <c r="B2" s="133"/>
      <c r="C2" s="6">
        <f>SUM(C4:C95)</f>
        <v>5179132.63</v>
      </c>
      <c r="D2" s="6">
        <f>SUM(D3:D22)</f>
        <v>5621183</v>
      </c>
      <c r="E2" s="68">
        <f>C2/D2</f>
        <v>0.92135990413405855</v>
      </c>
      <c r="F2" s="6">
        <f>SUM(F4:F95)</f>
        <v>5661385.3200000003</v>
      </c>
      <c r="G2" s="6">
        <f>C2-F2</f>
        <v>-482252.69000000041</v>
      </c>
      <c r="H2" s="7">
        <f>IFERROR(G2/F2, 0)</f>
        <v>-8.5182806458402371E-2</v>
      </c>
      <c r="I2" s="6">
        <f>SUM(I4:I95)</f>
        <v>6365030.1869999999</v>
      </c>
      <c r="J2" s="8">
        <f>C2-I2</f>
        <v>-1185897.557</v>
      </c>
      <c r="K2" s="7">
        <f>IFERROR(J2/I2, 0)</f>
        <v>-0.18631452203040433</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157592.5</v>
      </c>
      <c r="D4" s="128">
        <f>SUM(Jul!D4,Aug!D4,Sep!D4)</f>
        <v>154364</v>
      </c>
      <c r="E4" s="82">
        <f>C4/D4</f>
        <v>1.0209148506128372</v>
      </c>
      <c r="F4" s="14">
        <f>SUM(Jul!F4, Aug!F4, Sep!G4)</f>
        <v>156860.85</v>
      </c>
      <c r="G4" s="14">
        <f>IF(AND(ISNUMBER(C4),ISNUMBER(F4)), C4-F4, "")</f>
        <v>731.64999999999418</v>
      </c>
      <c r="H4" s="15">
        <f>IFERROR(G4/F4, "")</f>
        <v>4.6643251008775879E-3</v>
      </c>
      <c r="I4" s="16">
        <f>SUM(Jul!I4, Aug!I4, Sep!J4)</f>
        <v>153004</v>
      </c>
      <c r="J4" s="16">
        <f>IF(AND(ISNUMBER(C4),ISNUMBER(I4)), C4-I4, "")</f>
        <v>4588.5</v>
      </c>
      <c r="K4" s="17">
        <f>IFERROR(J4/I4, "")</f>
        <v>2.9989412041515253E-2</v>
      </c>
    </row>
    <row r="5" spans="1:13" ht="15.6">
      <c r="A5" s="19" t="str">
        <v>CA: Antioch MC CUP - Citi</v>
      </c>
      <c r="B5" s="11" t="str">
        <v>CA</v>
      </c>
      <c r="C5" s="12">
        <f>SUM(Jul!C5, Aug!C5, Sep!C5)</f>
        <v>501960</v>
      </c>
      <c r="D5" s="12">
        <f>SUM(Jul!D5,Aug!D5,Sep!D5)</f>
        <v>526839</v>
      </c>
      <c r="E5" s="80">
        <f t="shared" ref="E5:E6" si="0">C5/D5</f>
        <v>0.95277684453884393</v>
      </c>
      <c r="F5" s="20">
        <f>SUM(Jul!F5, Aug!F5, Sep!G5)</f>
        <v>535486.6</v>
      </c>
      <c r="G5" s="20">
        <f t="shared" ref="G5:G6" si="1">IF(AND(ISNUMBER(C5),ISNUMBER(F5)), C5-F5, "")</f>
        <v>-33526.599999999977</v>
      </c>
      <c r="H5" s="21">
        <f>IFERROR(G5/F5, "")</f>
        <v>-6.2609596580007754E-2</v>
      </c>
      <c r="I5" s="20">
        <f>SUM(Jul!I5, Aug!I5, Sep!J5)</f>
        <v>521577</v>
      </c>
      <c r="J5" s="20">
        <f>IF(AND(ISNUMBER(C5),ISNUMBER(I5)), C5-I5, "")</f>
        <v>-19617</v>
      </c>
      <c r="K5" s="21">
        <f>IFERROR(J5/I5, "")</f>
        <v>-3.7610937598858848E-2</v>
      </c>
    </row>
    <row r="6" spans="1:13" ht="15.6">
      <c r="A6" s="13" t="str">
        <v>CA: Clovis - Citi</v>
      </c>
      <c r="B6" s="10" t="str">
        <v>CA</v>
      </c>
      <c r="C6" s="26">
        <f>SUM(Jul!C6, Aug!C6, Sep!C6)</f>
        <v>206010.25</v>
      </c>
      <c r="D6" s="128">
        <f>SUM(Jul!D6,Aug!D6,Sep!D6)</f>
        <v>220345</v>
      </c>
      <c r="E6" s="82">
        <f t="shared" si="0"/>
        <v>0.93494406498899452</v>
      </c>
      <c r="F6" s="14">
        <f>SUM(Jul!F6, Aug!F6, Sep!G6)</f>
        <v>24701.1</v>
      </c>
      <c r="G6" s="14">
        <f t="shared" si="1"/>
        <v>181309.15</v>
      </c>
      <c r="H6" s="15">
        <f t="shared" ref="H6:H23" si="2">IFERROR(G6/F6, "")</f>
        <v>7.3401245288671353</v>
      </c>
      <c r="I6" s="16">
        <f>SUM(Jul!I6, Aug!I6, Sep!J6)</f>
        <v>212737</v>
      </c>
      <c r="J6" s="16">
        <f t="shared" ref="J6:J23" si="3">IF(AND(ISNUMBER(C6),ISNUMBER(I6)), C6-I6, "")</f>
        <v>-6726.75</v>
      </c>
      <c r="K6" s="17">
        <f t="shared" ref="K6:K23" si="4">IFERROR(J6/I6, "")</f>
        <v>-3.162002848587693E-2</v>
      </c>
    </row>
    <row r="7" spans="1:13" ht="15.6">
      <c r="A7" s="19" t="str">
        <v>CA: Elk Grove MOB - Citi</v>
      </c>
      <c r="B7" s="11" t="str">
        <v>CA</v>
      </c>
      <c r="C7" s="12">
        <f>SUM(Jul!C7, Aug!C7, Sep!C7)</f>
        <v>339063</v>
      </c>
      <c r="D7" s="12">
        <f>SUM(Jul!D7,Aug!D7,Sep!D7)</f>
        <v>361295</v>
      </c>
      <c r="E7" s="80">
        <f t="shared" ref="E7:E22" si="5">C7/D7</f>
        <v>0.93846579664816843</v>
      </c>
      <c r="F7" s="20">
        <f>SUM(Jul!F7, Aug!F7, Sep!G7)</f>
        <v>375932.6</v>
      </c>
      <c r="G7" s="20">
        <f t="shared" ref="G7:G23" si="6">IF(AND(ISNUMBER(C7),ISNUMBER(F7)), C7-F7, "")</f>
        <v>-36869.599999999977</v>
      </c>
      <c r="H7" s="21">
        <f t="shared" si="2"/>
        <v>-9.8075027278825985E-2</v>
      </c>
      <c r="I7" s="20">
        <f>SUM(Jul!I7, Aug!I7, Sep!J7)</f>
        <v>358502</v>
      </c>
      <c r="J7" s="20">
        <f t="shared" si="3"/>
        <v>-19439</v>
      </c>
      <c r="K7" s="21">
        <f t="shared" si="4"/>
        <v>-5.4222849523852028E-2</v>
      </c>
    </row>
    <row r="8" spans="1:13" ht="15.6">
      <c r="A8" s="13" t="str">
        <v>CA: Elk Grove Promenade - Citi</v>
      </c>
      <c r="B8" s="10" t="str">
        <v>CA</v>
      </c>
      <c r="C8" s="26">
        <f>SUM(Jul!C8, Aug!C8, Sep!C8)</f>
        <v>178407.75</v>
      </c>
      <c r="D8" s="128">
        <f>SUM(Jul!D8,Aug!D8,Sep!D8)</f>
        <v>190879</v>
      </c>
      <c r="E8" s="82">
        <f t="shared" si="5"/>
        <v>0.93466410658060861</v>
      </c>
      <c r="F8" s="14">
        <f>SUM(Jul!F8, Aug!F8, Sep!G8)</f>
        <v>186296.28</v>
      </c>
      <c r="G8" s="14">
        <f t="shared" si="6"/>
        <v>-7888.5299999999988</v>
      </c>
      <c r="H8" s="15">
        <f t="shared" si="2"/>
        <v>-4.2344001715976284E-2</v>
      </c>
      <c r="I8" s="16">
        <f>SUM(Jul!I8, Aug!I8, Sep!J8)</f>
        <v>189393.234</v>
      </c>
      <c r="J8" s="16">
        <f t="shared" si="3"/>
        <v>-10985.483999999997</v>
      </c>
      <c r="K8" s="17">
        <f t="shared" si="4"/>
        <v>-5.8003571553142161E-2</v>
      </c>
    </row>
    <row r="9" spans="1:13" ht="15.6">
      <c r="A9" s="19" t="str">
        <v>CA: Fresno Sequioa - Citi</v>
      </c>
      <c r="B9" s="11" t="str">
        <v>CA</v>
      </c>
      <c r="C9" s="12">
        <f>SUM(Jul!C9, Aug!C9, Sep!C9)</f>
        <v>338488</v>
      </c>
      <c r="D9" s="12">
        <f>SUM(Jul!D9,Aug!D9,Sep!D9)</f>
        <v>365218</v>
      </c>
      <c r="E9" s="80">
        <f t="shared" si="5"/>
        <v>0.92681083626765381</v>
      </c>
      <c r="F9" s="20">
        <f>SUM(Jul!F9, Aug!F9, Sep!G9)</f>
        <v>365824.2</v>
      </c>
      <c r="G9" s="20">
        <f t="shared" si="6"/>
        <v>-27336.200000000012</v>
      </c>
      <c r="H9" s="21">
        <f t="shared" si="2"/>
        <v>-7.4724963520729382E-2</v>
      </c>
      <c r="I9" s="20">
        <f>SUM(Jul!I9, Aug!I9, Sep!J9)</f>
        <v>361675</v>
      </c>
      <c r="J9" s="20">
        <f t="shared" si="3"/>
        <v>-23187</v>
      </c>
      <c r="K9" s="21">
        <f t="shared" si="4"/>
        <v>-6.4110043547383699E-2</v>
      </c>
    </row>
    <row r="10" spans="1:13" ht="15.6">
      <c r="A10" s="13" t="str">
        <v>CA: Fresno MOB - Citi</v>
      </c>
      <c r="B10" s="10" t="str">
        <v>CA</v>
      </c>
      <c r="C10" s="26">
        <f>SUM(Jul!C10, Aug!C10, Sep!C10)</f>
        <v>129509.13</v>
      </c>
      <c r="D10" s="128">
        <f>SUM(Jul!D10,Aug!D10,Sep!D10)</f>
        <v>147125</v>
      </c>
      <c r="E10" s="82">
        <f t="shared" si="5"/>
        <v>0.88026596431605786</v>
      </c>
      <c r="F10" s="14">
        <f>SUM(Jul!F10, Aug!F10, Sep!G10)</f>
        <v>130749.48000000001</v>
      </c>
      <c r="G10" s="14">
        <f t="shared" si="6"/>
        <v>-1240.3500000000058</v>
      </c>
      <c r="H10" s="15">
        <f t="shared" si="2"/>
        <v>-9.4864622023736207E-3</v>
      </c>
      <c r="I10" s="16">
        <f>SUM(Jul!I10, Aug!I10, Sep!J10)</f>
        <v>147381</v>
      </c>
      <c r="J10" s="16">
        <f t="shared" si="3"/>
        <v>-17871.869999999995</v>
      </c>
      <c r="K10" s="17">
        <f t="shared" si="4"/>
        <v>-0.12126305290369854</v>
      </c>
    </row>
    <row r="11" spans="1:13" ht="15.6">
      <c r="A11" s="19" t="str">
        <v>CA: Modesto Bangs - Citi</v>
      </c>
      <c r="B11" s="11" t="str">
        <v>CA</v>
      </c>
      <c r="C11" s="12">
        <f>SUM(Jul!C11, Aug!C11, Sep!C11)</f>
        <v>82463.37</v>
      </c>
      <c r="D11" s="12">
        <f>SUM(Jul!D11,Aug!D11,Sep!D11)</f>
        <v>102741</v>
      </c>
      <c r="E11" s="80">
        <f t="shared" si="5"/>
        <v>0.80263351534440963</v>
      </c>
      <c r="F11" s="20">
        <f>SUM(Jul!F11, Aug!F11, Sep!G11)</f>
        <v>37700.22</v>
      </c>
      <c r="G11" s="20">
        <f t="shared" si="6"/>
        <v>44763.149999999994</v>
      </c>
      <c r="H11" s="21">
        <f t="shared" si="2"/>
        <v>1.1873445300849701</v>
      </c>
      <c r="I11" s="20">
        <f>SUM(Jul!I11, Aug!I11, Sep!J11)</f>
        <v>102239</v>
      </c>
      <c r="J11" s="20">
        <f t="shared" si="3"/>
        <v>-19775.630000000005</v>
      </c>
      <c r="K11" s="21">
        <f t="shared" si="4"/>
        <v>-0.19342550298809658</v>
      </c>
      <c r="M11" s="20"/>
    </row>
    <row r="12" spans="1:13" ht="15.6">
      <c r="A12" s="13" t="str">
        <v>CA: Napa Data Center - Citi</v>
      </c>
      <c r="B12" s="10" t="str">
        <v>CA</v>
      </c>
      <c r="C12" s="26">
        <f>SUM(Jul!C12, Aug!C12, Sep!C12)</f>
        <v>88947.5</v>
      </c>
      <c r="D12" s="128">
        <f>SUM(Jul!D12,Aug!D12,Sep!D12)</f>
        <v>105539</v>
      </c>
      <c r="E12" s="82">
        <f t="shared" si="5"/>
        <v>0.84279271169899284</v>
      </c>
      <c r="F12" s="14">
        <f>SUM(Jul!F12, Aug!F12, Sep!G12)</f>
        <v>133056.74</v>
      </c>
      <c r="G12" s="14">
        <f t="shared" si="6"/>
        <v>-44109.239999999991</v>
      </c>
      <c r="H12" s="15">
        <f t="shared" si="2"/>
        <v>-0.33150699468512451</v>
      </c>
      <c r="I12" s="16">
        <f>SUM(Jul!I12, Aug!I12, Sep!J12)</f>
        <v>101529</v>
      </c>
      <c r="J12" s="16">
        <f t="shared" si="3"/>
        <v>-12581.5</v>
      </c>
      <c r="K12" s="17">
        <f t="shared" si="4"/>
        <v>-0.12392025923627732</v>
      </c>
    </row>
    <row r="13" spans="1:13" ht="15.6">
      <c r="A13" s="19" t="str">
        <v>CA: Petaluma MOB - Citi</v>
      </c>
      <c r="B13" s="11" t="str">
        <v>CA</v>
      </c>
      <c r="C13" s="12">
        <f>SUM(Jul!C13, Aug!C13, Sep!C13)</f>
        <v>190454</v>
      </c>
      <c r="D13" s="12">
        <f>SUM(Jul!D13,Aug!D13,Sep!D13)</f>
        <v>248396</v>
      </c>
      <c r="E13" s="80">
        <f t="shared" si="5"/>
        <v>0.76673537416061455</v>
      </c>
      <c r="F13" s="20">
        <f>SUM(Jul!F13, Aug!F13, Sep!G13)</f>
        <v>164775.4</v>
      </c>
      <c r="G13" s="20">
        <f t="shared" si="6"/>
        <v>25678.600000000006</v>
      </c>
      <c r="H13" s="21">
        <f t="shared" si="2"/>
        <v>0.15584001009859486</v>
      </c>
      <c r="I13" s="20">
        <f>SUM(Jul!I13, Aug!I13, Sep!J13)</f>
        <v>239034</v>
      </c>
      <c r="J13" s="20">
        <f t="shared" si="3"/>
        <v>-48580</v>
      </c>
      <c r="K13" s="21">
        <f t="shared" si="4"/>
        <v>-0.2032346862789394</v>
      </c>
    </row>
    <row r="14" spans="1:13" ht="15.6">
      <c r="A14" s="13" t="str">
        <v>CA: Pleasanton Tec Ctr - Citi</v>
      </c>
      <c r="B14" s="10" t="str">
        <v>CA</v>
      </c>
      <c r="C14" s="26">
        <f>SUM(Jul!C14, Aug!C14, Sep!C14)</f>
        <v>295538</v>
      </c>
      <c r="D14" s="128">
        <f>SUM(Jul!D14,Aug!D14,Sep!D14)</f>
        <v>350734</v>
      </c>
      <c r="E14" s="82">
        <f t="shared" si="5"/>
        <v>0.84262717615058702</v>
      </c>
      <c r="F14" s="14">
        <f>SUM(Jul!F14, Aug!F14, Sep!G14)</f>
        <v>350564</v>
      </c>
      <c r="G14" s="14">
        <f t="shared" si="6"/>
        <v>-55026</v>
      </c>
      <c r="H14" s="15">
        <f t="shared" si="2"/>
        <v>-0.1569642062504992</v>
      </c>
      <c r="I14" s="16">
        <f>SUM(Jul!I14, Aug!I14, Sep!J14)</f>
        <v>347463</v>
      </c>
      <c r="J14" s="16">
        <f t="shared" si="3"/>
        <v>-51925</v>
      </c>
      <c r="K14" s="17">
        <f t="shared" si="4"/>
        <v>-0.14944037206839289</v>
      </c>
    </row>
    <row r="15" spans="1:13" ht="15.6">
      <c r="A15" s="19" t="str">
        <v>CA: Rancho Cordova - Citi</v>
      </c>
      <c r="B15" s="11" t="str">
        <v>CA</v>
      </c>
      <c r="C15" s="12">
        <f>SUM(Jul!C15, Aug!C15, Sep!C15)</f>
        <v>448641</v>
      </c>
      <c r="D15" s="12">
        <f>SUM(Jul!D15,Aug!D15,Sep!D15)</f>
        <v>483756</v>
      </c>
      <c r="E15" s="80">
        <f t="shared" si="5"/>
        <v>0.92741175303252055</v>
      </c>
      <c r="F15" s="20">
        <f>SUM(Jul!F15, Aug!F15, Sep!G15)</f>
        <v>504790.3</v>
      </c>
      <c r="G15" s="20">
        <f t="shared" si="6"/>
        <v>-56149.299999999988</v>
      </c>
      <c r="H15" s="21">
        <f t="shared" si="2"/>
        <v>-0.11123292186874428</v>
      </c>
      <c r="I15" s="20">
        <f>SUM(Jul!I15, Aug!I15, Sep!J15)</f>
        <v>480861</v>
      </c>
      <c r="J15" s="20">
        <f t="shared" si="3"/>
        <v>-32220</v>
      </c>
      <c r="K15" s="21">
        <f t="shared" si="4"/>
        <v>-6.7004810121843936E-2</v>
      </c>
    </row>
    <row r="16" spans="1:13" ht="15.6">
      <c r="A16" s="13" t="str">
        <v>CA: S Sacramento Wyndham - Citi</v>
      </c>
      <c r="B16" s="10" t="str">
        <v>CA</v>
      </c>
      <c r="C16" s="26">
        <f>SUM(Jul!C16, Aug!C16, Sep!C16)</f>
        <v>265100</v>
      </c>
      <c r="D16" s="128">
        <f>SUM(Jul!D16,Aug!D16,Sep!D16)</f>
        <v>312868</v>
      </c>
      <c r="E16" s="82">
        <f t="shared" si="5"/>
        <v>0.84732219338506976</v>
      </c>
      <c r="F16" s="14">
        <f>SUM(Jul!F16, Aug!F16, Sep!G16)</f>
        <v>284666.7</v>
      </c>
      <c r="G16" s="14">
        <f t="shared" si="6"/>
        <v>-19566.700000000012</v>
      </c>
      <c r="H16" s="15">
        <f t="shared" si="2"/>
        <v>-6.8735472045026724E-2</v>
      </c>
      <c r="I16" s="16">
        <f>SUM(Jul!I16, Aug!I16, Sep!J16)</f>
        <v>310708</v>
      </c>
      <c r="J16" s="16">
        <f t="shared" si="3"/>
        <v>-45608</v>
      </c>
      <c r="K16" s="17">
        <f t="shared" si="4"/>
        <v>-0.14678733730705357</v>
      </c>
    </row>
    <row r="17" spans="1:11" ht="15.6">
      <c r="A17" s="19" t="str">
        <v>CA: Sacramento Point West - Citi</v>
      </c>
      <c r="B17" s="11" t="str">
        <v>CA</v>
      </c>
      <c r="C17" s="12">
        <f>SUM(Jul!C17, Aug!C17, Sep!C17)</f>
        <v>526177</v>
      </c>
      <c r="D17" s="12">
        <f>SUM(Jul!D17,Aug!D17,Sep!D17)</f>
        <v>599343</v>
      </c>
      <c r="E17" s="80">
        <f t="shared" si="5"/>
        <v>0.87792299234328253</v>
      </c>
      <c r="F17" s="20">
        <f>SUM(Jul!F17, Aug!F17, Sep!G17)</f>
        <v>589410.4</v>
      </c>
      <c r="G17" s="20">
        <f t="shared" si="6"/>
        <v>-63233.400000000023</v>
      </c>
      <c r="H17" s="21">
        <f t="shared" si="2"/>
        <v>-0.10728246396738168</v>
      </c>
      <c r="I17" s="20">
        <f>SUM(Jul!I17, Aug!I17, Sep!J17)</f>
        <v>594248</v>
      </c>
      <c r="J17" s="20">
        <f t="shared" si="3"/>
        <v>-68071</v>
      </c>
      <c r="K17" s="21">
        <f t="shared" si="4"/>
        <v>-0.11454981758457748</v>
      </c>
    </row>
    <row r="18" spans="1:11" ht="12.75" customHeight="1">
      <c r="A18" s="13" t="str">
        <v>CA: San Jose FHC - Citi</v>
      </c>
      <c r="B18" s="10" t="str">
        <v>CA</v>
      </c>
      <c r="C18" s="26">
        <f>SUM(Jul!C18, Aug!C18, Sep!C18)</f>
        <v>104036.25</v>
      </c>
      <c r="D18" s="128">
        <f>SUM(Jul!D18,Aug!D18,Sep!D18)</f>
        <v>119799</v>
      </c>
      <c r="E18" s="82">
        <f t="shared" si="5"/>
        <v>0.8684233591265369</v>
      </c>
      <c r="F18" s="14">
        <f>SUM(Jul!F18, Aug!F18, Sep!G18)</f>
        <v>112664.25</v>
      </c>
      <c r="G18" s="14">
        <f t="shared" si="6"/>
        <v>-8628</v>
      </c>
      <c r="H18" s="15">
        <f t="shared" si="2"/>
        <v>-7.6581524307843887E-2</v>
      </c>
      <c r="I18" s="16">
        <f>SUM(Jul!I18, Aug!I18, Sep!J18)</f>
        <v>122787</v>
      </c>
      <c r="J18" s="16">
        <f t="shared" si="3"/>
        <v>-18750.75</v>
      </c>
      <c r="K18" s="17">
        <f t="shared" si="4"/>
        <v>-0.1527095702313763</v>
      </c>
    </row>
    <row r="19" spans="1:11" ht="15.6">
      <c r="A19" s="19" t="str">
        <v>CA: San Jose MOB - Citi</v>
      </c>
      <c r="B19" s="11" t="str">
        <v>CA</v>
      </c>
      <c r="C19" s="12">
        <f>SUM(Jul!C19, Aug!C19, Sep!C19)</f>
        <v>161659.25</v>
      </c>
      <c r="D19" s="12">
        <f>SUM(Jul!D19,Aug!D19,Sep!D19)</f>
        <v>190256</v>
      </c>
      <c r="E19" s="80">
        <f t="shared" si="5"/>
        <v>0.84969330796400644</v>
      </c>
      <c r="F19" s="20">
        <f>SUM(Jul!F19, Aug!F19, Sep!G19)</f>
        <v>177908.44</v>
      </c>
      <c r="G19" s="20">
        <f t="shared" si="6"/>
        <v>-16249.190000000002</v>
      </c>
      <c r="H19" s="21">
        <f t="shared" si="2"/>
        <v>-9.1334565127995065E-2</v>
      </c>
      <c r="I19" s="20">
        <f>SUM(Jul!I19, Aug!I19, Sep!J19)</f>
        <v>191879</v>
      </c>
      <c r="J19" s="20">
        <f t="shared" si="3"/>
        <v>-30219.75</v>
      </c>
      <c r="K19" s="21">
        <f t="shared" si="4"/>
        <v>-0.15749378514584711</v>
      </c>
    </row>
    <row r="20" spans="1:11" ht="15.6">
      <c r="A20" s="13" t="str">
        <v>CA: Selma - Citi</v>
      </c>
      <c r="B20" s="10" t="str">
        <v>CA</v>
      </c>
      <c r="C20" s="26">
        <f>SUM(Jul!C20, Aug!C20, Sep!C20)</f>
        <v>94262.12</v>
      </c>
      <c r="D20" s="128">
        <f>SUM(Jul!D20,Aug!D20,Sep!D20)</f>
        <v>111628</v>
      </c>
      <c r="E20" s="82">
        <f t="shared" si="5"/>
        <v>0.84443078797434334</v>
      </c>
      <c r="F20" s="14">
        <f>SUM(Jul!F20, Aug!F20, Sep!G20)</f>
        <v>111261.16</v>
      </c>
      <c r="G20" s="14">
        <f t="shared" si="6"/>
        <v>-16999.040000000008</v>
      </c>
      <c r="H20" s="15">
        <f t="shared" si="2"/>
        <v>-0.15278503298006246</v>
      </c>
      <c r="I20" s="16">
        <f>SUM(Jul!I20, Aug!I20, Sep!J20)</f>
        <v>110730</v>
      </c>
      <c r="J20" s="16">
        <f t="shared" si="3"/>
        <v>-16467.880000000005</v>
      </c>
      <c r="K20" s="17">
        <f t="shared" si="4"/>
        <v>-0.14872103314368287</v>
      </c>
    </row>
    <row r="21" spans="1:11" ht="15.6">
      <c r="A21" s="19" t="str">
        <v>CA: Vacaville Hospital</v>
      </c>
      <c r="B21" s="11" t="str">
        <v>CA</v>
      </c>
      <c r="C21" s="12">
        <f>SUM(Jul!C21, Aug!C21, Sep!C21)</f>
        <v>325757</v>
      </c>
      <c r="D21" s="12">
        <f>SUM(Jul!D21,Aug!D21,Sep!D21)</f>
        <v>778017</v>
      </c>
      <c r="E21" s="80">
        <f t="shared" si="5"/>
        <v>0.41870164790743647</v>
      </c>
      <c r="F21" s="20">
        <f>SUM(Jul!F21, Aug!F21, Sep!G21)</f>
        <v>825996.7</v>
      </c>
      <c r="G21" s="20">
        <f t="shared" si="6"/>
        <v>-500239.69999999995</v>
      </c>
      <c r="H21" s="21">
        <f t="shared" si="2"/>
        <v>-0.60561948976309465</v>
      </c>
      <c r="I21" s="20">
        <f>SUM(Jul!I21, Aug!I21, Sep!J21)</f>
        <v>767427</v>
      </c>
      <c r="J21" s="20">
        <f t="shared" si="3"/>
        <v>-441670</v>
      </c>
      <c r="K21" s="21">
        <f t="shared" si="4"/>
        <v>-0.57552053810981374</v>
      </c>
    </row>
    <row r="22" spans="1:11" ht="15.6">
      <c r="A22" s="13" t="str">
        <v>CA: Manteca - KP Manteca Hospital</v>
      </c>
      <c r="B22" s="10" t="str">
        <v>CA</v>
      </c>
      <c r="C22" s="26">
        <f>SUM(Jul!C22, Aug!C22, Sep!C22)</f>
        <v>218976.13</v>
      </c>
      <c r="D22" s="128">
        <f>SUM(Jul!D22,Aug!D22,Sep!D22)</f>
        <v>252041</v>
      </c>
      <c r="E22" s="82">
        <f t="shared" si="5"/>
        <v>0.86881154256648718</v>
      </c>
      <c r="F22" s="14">
        <f>SUM(Jul!F22, Aug!F22, Sep!G22)</f>
        <v>209601.4</v>
      </c>
      <c r="G22" s="14">
        <f t="shared" si="6"/>
        <v>9374.7300000000105</v>
      </c>
      <c r="H22" s="15">
        <f t="shared" si="2"/>
        <v>4.4726466521693133E-2</v>
      </c>
      <c r="I22" s="16">
        <f>SUM(Jul!I22, Aug!I22, Sep!J22)</f>
        <v>242271.95299999998</v>
      </c>
      <c r="J22" s="16">
        <f t="shared" si="3"/>
        <v>-23295.822999999975</v>
      </c>
      <c r="K22" s="17">
        <f t="shared" si="4"/>
        <v>-9.6155674280629488E-2</v>
      </c>
    </row>
    <row r="23" spans="1:11" ht="15.6">
      <c r="A23" s="19" t="str">
        <v>Sacramento - KP South Sacramento HSP</v>
      </c>
      <c r="B23" s="11" t="str">
        <v>CA</v>
      </c>
      <c r="C23" s="12">
        <f>SUM(Jul!C23, Aug!C23, Sep!C23)</f>
        <v>526090.38</v>
      </c>
      <c r="D23" s="12">
        <f>SUM(Jul!D23,Aug!D23,Sep!D23)</f>
        <v>0</v>
      </c>
      <c r="E23" s="80" t="str">
        <f>IFERROR(C23/D23, "")</f>
        <v/>
      </c>
      <c r="F23" s="20">
        <f>SUM(Jul!F23, Aug!F23, Sep!G23)</f>
        <v>383138.5</v>
      </c>
      <c r="G23" s="20">
        <f t="shared" si="6"/>
        <v>142951.88</v>
      </c>
      <c r="H23" s="21">
        <f t="shared" si="2"/>
        <v>0.37310758381107617</v>
      </c>
      <c r="I23" s="20">
        <f>SUM(Jul!I23, Aug!I23, Sep!J23)</f>
        <v>809584</v>
      </c>
      <c r="J23" s="20">
        <f t="shared" si="3"/>
        <v>-283493.62</v>
      </c>
      <c r="K23" s="21">
        <f t="shared" si="4"/>
        <v>-0.35017196486096563</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I24:I95 F24:F95">
    <cfRule type="cellIs" dxfId="32" priority="7" stopIfTrue="1" operator="lessThanOrEqual">
      <formula>-0.1</formula>
    </cfRule>
    <cfRule type="expression" dxfId="31"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I5" sqref="I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31" t="str" cm="1">
        <f t="array" ref="A1">portfolio</f>
        <v>CITI</v>
      </c>
      <c r="B1" s="131"/>
      <c r="C1" s="131"/>
      <c r="D1" s="74" t="s">
        <v>0</v>
      </c>
      <c r="E1" s="75" t="s">
        <v>1</v>
      </c>
      <c r="F1" s="132" t="s">
        <v>18</v>
      </c>
      <c r="G1" s="132"/>
      <c r="H1" s="132"/>
      <c r="I1" s="130" t="s">
        <v>19</v>
      </c>
      <c r="J1" s="130"/>
      <c r="K1" s="130"/>
    </row>
    <row r="2" spans="1:11" ht="19.5" customHeight="1">
      <c r="A2" s="133" t="s">
        <v>4</v>
      </c>
      <c r="B2" s="133"/>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str">
        <f t="shared" ref="E4:E21" si="0">IFERROR(C4/D4, "")</f>
        <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23" t="str">
        <f t="shared" si="0"/>
        <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str">
        <f t="shared" si="0"/>
        <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23" t="str">
        <f t="shared" si="0"/>
        <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str">
        <f t="shared" si="0"/>
        <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23" t="str">
        <f t="shared" si="0"/>
        <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str">
        <f t="shared" si="0"/>
        <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23" t="str">
        <f t="shared" si="0"/>
        <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str">
        <f t="shared" si="0"/>
        <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23" t="str">
        <f t="shared" si="0"/>
        <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str">
        <f t="shared" si="0"/>
        <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23" t="str">
        <f t="shared" si="0"/>
        <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str">
        <f t="shared" si="0"/>
        <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23" t="str">
        <f t="shared" si="0"/>
        <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str">
        <f t="shared" si="0"/>
        <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23" t="str">
        <f t="shared" si="0"/>
        <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str">
        <f t="shared" si="0"/>
        <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23" t="str">
        <f t="shared" si="0"/>
        <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str">
        <f>IFERROR(C22/D22, "")</f>
        <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t="str">
        <v>Sacramento - KP South Sacramento HSP</v>
      </c>
      <c r="B23" s="23" t="str">
        <v>CA</v>
      </c>
      <c r="C23" s="23"/>
      <c r="D23" s="23"/>
      <c r="E23" s="23" t="str">
        <f>IFERROR(C23/D23, "")</f>
        <v/>
      </c>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H4" sqref="H4"/>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31" t="str" cm="1">
        <f t="array" ref="A1">portfolio</f>
        <v>CITI</v>
      </c>
      <c r="B1" s="131"/>
      <c r="C1" s="131"/>
      <c r="D1" s="76" t="s">
        <v>0</v>
      </c>
      <c r="E1" s="76" t="s">
        <v>1</v>
      </c>
      <c r="F1" s="132" t="s">
        <v>20</v>
      </c>
      <c r="G1" s="132"/>
      <c r="H1" s="132"/>
      <c r="I1" s="130" t="s">
        <v>21</v>
      </c>
      <c r="J1" s="130"/>
      <c r="K1" s="130"/>
      <c r="L1" s="5"/>
      <c r="M1" s="5"/>
    </row>
    <row r="2" spans="1:14" ht="19.5" customHeight="1">
      <c r="A2" s="133" t="s">
        <v>4</v>
      </c>
      <c r="B2" s="133"/>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8" priority="2" stopIfTrue="1" operator="lessThanOrEqual">
      <formula>-0.1</formula>
    </cfRule>
    <cfRule type="expression" dxfId="27"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31" t="str" cm="1">
        <f t="array" ref="A1">portfolio</f>
        <v>CITI</v>
      </c>
      <c r="B1" s="131"/>
      <c r="C1" s="131"/>
      <c r="D1" s="76" t="s">
        <v>0</v>
      </c>
      <c r="E1" s="76" t="s">
        <v>1</v>
      </c>
      <c r="F1" s="132" t="s">
        <v>44</v>
      </c>
      <c r="G1" s="132"/>
      <c r="H1" s="132"/>
      <c r="I1" s="130" t="s">
        <v>45</v>
      </c>
      <c r="J1" s="130"/>
      <c r="K1" s="130"/>
      <c r="L1" s="5"/>
      <c r="M1" s="5"/>
    </row>
    <row r="2" spans="1:17" ht="19.5" customHeight="1">
      <c r="A2" s="133" t="s">
        <v>4</v>
      </c>
      <c r="B2" s="133"/>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6" priority="1" stopIfTrue="1" operator="lessThanOrEqual">
      <formula>-0.1</formula>
    </cfRule>
    <cfRule type="expression" dxfId="25"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G4" sqref="G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31" t="str" cm="1">
        <f t="array" ref="A1">portfolio</f>
        <v>CITI</v>
      </c>
      <c r="B1" s="131"/>
      <c r="C1" s="131"/>
      <c r="D1" s="76" t="s">
        <v>0</v>
      </c>
      <c r="E1" s="76" t="s">
        <v>1</v>
      </c>
      <c r="F1" s="76" t="s">
        <v>69</v>
      </c>
      <c r="G1" s="132" t="s">
        <v>70</v>
      </c>
      <c r="H1" s="132"/>
      <c r="I1" s="132"/>
      <c r="J1" s="130" t="s">
        <v>71</v>
      </c>
      <c r="K1" s="130"/>
      <c r="L1" s="130"/>
      <c r="M1" s="5"/>
      <c r="N1" s="5"/>
    </row>
    <row r="2" spans="1:17" ht="19.5" customHeight="1">
      <c r="A2" s="133" t="s">
        <v>4</v>
      </c>
      <c r="B2" s="133"/>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4" priority="1" stopIfTrue="1" operator="lessThanOrEqual">
      <formula>-0.1</formula>
    </cfRule>
    <cfRule type="expression" dxfId="23"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3" activePane="bottomLeft" state="frozen"/>
      <selection pane="bottomLeft" activeCell="D6" sqref="A6:D6"/>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31" t="str" cm="1">
        <f t="array" ref="A1">portfolio</f>
        <v>CITI</v>
      </c>
      <c r="B1" s="131"/>
      <c r="C1" s="131"/>
      <c r="D1" s="76" t="s">
        <v>0</v>
      </c>
      <c r="E1" s="76" t="s">
        <v>1</v>
      </c>
      <c r="F1" s="132" t="s">
        <v>103</v>
      </c>
      <c r="G1" s="132"/>
      <c r="H1" s="132"/>
      <c r="I1" s="130" t="s">
        <v>104</v>
      </c>
      <c r="J1" s="130"/>
      <c r="K1" s="130"/>
      <c r="L1" s="5"/>
      <c r="M1" s="5"/>
    </row>
    <row r="2" spans="1:13" ht="19.5" customHeight="1">
      <c r="A2" s="133" t="s">
        <v>4</v>
      </c>
      <c r="B2" s="133"/>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7"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6" activePane="bottomLeft" state="frozen"/>
      <selection pane="bottomLeft" activeCell="D1" sqref="D1:E1"/>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31" t="str" cm="1">
        <f t="array" ref="A1">portfolio</f>
        <v>CITI</v>
      </c>
      <c r="B1" s="131"/>
      <c r="C1" s="131"/>
      <c r="D1" s="76" t="s">
        <v>0</v>
      </c>
      <c r="E1" s="76" t="s">
        <v>1</v>
      </c>
      <c r="F1" s="132" t="s">
        <v>135</v>
      </c>
      <c r="G1" s="132"/>
      <c r="H1" s="132"/>
      <c r="I1" s="130" t="s">
        <v>136</v>
      </c>
      <c r="J1" s="130"/>
      <c r="K1" s="130"/>
      <c r="L1" s="5"/>
      <c r="M1" s="64"/>
    </row>
    <row r="2" spans="1:15" ht="19.5" customHeight="1">
      <c r="A2" s="133" t="s">
        <v>4</v>
      </c>
      <c r="B2" s="133"/>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6.45">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8.9">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6">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1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5.15">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8.9">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5.15">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5.15">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0" priority="1" stopIfTrue="1" operator="lessThanOrEqual">
      <formula>-0.1</formula>
    </cfRule>
    <cfRule type="expression" dxfId="19"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tabSelected="1" zoomScale="50" zoomScaleNormal="50" workbookViewId="0">
      <pane ySplit="2" topLeftCell="A6" activePane="bottomLeft" state="frozen"/>
      <selection pane="bottomLeft" activeCell="N13" sqref="A13:N13"/>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31" t="str" cm="1">
        <f t="array" ref="A1">portfolio</f>
        <v>CITI</v>
      </c>
      <c r="B1" s="131"/>
      <c r="C1" s="131"/>
      <c r="D1" s="76" t="s">
        <v>0</v>
      </c>
      <c r="E1" s="76" t="s">
        <v>1</v>
      </c>
      <c r="F1" s="76" t="s">
        <v>170</v>
      </c>
      <c r="G1" s="132" t="s">
        <v>171</v>
      </c>
      <c r="H1" s="132"/>
      <c r="I1" s="132"/>
      <c r="J1" s="130" t="s">
        <v>172</v>
      </c>
      <c r="K1" s="130"/>
      <c r="L1" s="130"/>
      <c r="M1" s="5"/>
      <c r="N1" s="5"/>
    </row>
    <row r="2" spans="1:18" ht="19.5" customHeight="1">
      <c r="A2" s="133" t="s">
        <v>4</v>
      </c>
      <c r="B2" s="133"/>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6.45">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86.45">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8" priority="1" stopIfTrue="1" operator="lessThanOrEqual">
      <formula>-0.1</formula>
    </cfRule>
    <cfRule type="expression" dxfId="17"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D2" sqref="D2"/>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9"/>
  </cols>
  <sheetData>
    <row r="1" spans="1:17" ht="19.5" customHeight="1">
      <c r="A1" s="131" t="str" cm="1">
        <f t="array" ref="A1">portfolio</f>
        <v>CITI</v>
      </c>
      <c r="B1" s="131"/>
      <c r="C1" s="131"/>
      <c r="D1" s="76" t="s">
        <v>0</v>
      </c>
      <c r="E1" s="76" t="s">
        <v>1</v>
      </c>
      <c r="F1" s="132" t="s">
        <v>202</v>
      </c>
      <c r="G1" s="132"/>
      <c r="H1" s="132"/>
      <c r="I1" s="130" t="s">
        <v>203</v>
      </c>
      <c r="J1" s="130"/>
      <c r="K1" s="130"/>
      <c r="L1" s="5"/>
      <c r="M1" s="5"/>
    </row>
    <row r="2" spans="1:17" ht="19.5" customHeight="1">
      <c r="A2" s="133" t="s">
        <v>4</v>
      </c>
      <c r="B2" s="133"/>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8.9">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8.9">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8.9">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1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8.9">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8.9">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9"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1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6" priority="5" stopIfTrue="1" operator="lessThanOrEqual">
      <formula>-0.1</formula>
    </cfRule>
    <cfRule type="expression" dxfId="15" priority="6">
      <formula>AND(ISNUMBER(H2), H2&gt;=0.1)</formula>
    </cfRule>
  </conditionalFormatting>
  <conditionalFormatting sqref="H4:H100 K4:K100">
    <cfRule type="cellIs" dxfId="14" priority="1" stopIfTrue="1" operator="lessThanOrEqual">
      <formula>-0.1</formula>
    </cfRule>
    <cfRule type="expression" dxfId="13"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70" zoomScaleNormal="70" workbookViewId="0">
      <pane ySplit="2" topLeftCell="A3" activePane="bottomLeft" state="frozen"/>
      <selection pane="bottomLeft" activeCell="L6" sqref="L6"/>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31" t="str" cm="1">
        <f t="array" ref="A1">portfolio</f>
        <v>CITI</v>
      </c>
      <c r="B1" s="131"/>
      <c r="C1" s="131"/>
      <c r="D1" s="76" t="s">
        <v>0</v>
      </c>
      <c r="E1" s="76" t="s">
        <v>1</v>
      </c>
      <c r="F1" s="134" t="s">
        <v>234</v>
      </c>
      <c r="G1" s="135"/>
      <c r="H1" s="136"/>
      <c r="I1" s="130" t="s">
        <v>235</v>
      </c>
      <c r="J1" s="130"/>
      <c r="K1" s="130"/>
      <c r="L1" s="5"/>
      <c r="M1" s="5"/>
    </row>
    <row r="2" spans="1:16" ht="19.5" customHeight="1">
      <c r="A2" s="133" t="s">
        <v>4</v>
      </c>
      <c r="B2" s="133"/>
      <c r="C2" s="6">
        <f>SUM(C4:C81)</f>
        <v>2436361.5799999996</v>
      </c>
      <c r="D2" s="6">
        <f>SUM(D4:D22)</f>
        <v>2706108</v>
      </c>
      <c r="E2" s="7">
        <f>C2/D2</f>
        <v>0.90031941814591276</v>
      </c>
      <c r="F2" s="6">
        <f>SUM(F4:F81)</f>
        <v>2978561.3200000003</v>
      </c>
      <c r="G2" s="6">
        <f>C2-F2</f>
        <v>-542199.74000000069</v>
      </c>
      <c r="H2" s="7">
        <f>IFERROR(G2/F2, 0)</f>
        <v>-0.1820341036322867</v>
      </c>
      <c r="I2" s="6">
        <f>SUM(I4:I81)</f>
        <v>3061726.1870000004</v>
      </c>
      <c r="J2" s="8">
        <f>C2-I2</f>
        <v>-625364.60700000077</v>
      </c>
      <c r="K2" s="7">
        <f>IFERROR(J2/I2, 0)</f>
        <v>-0.20425229716990387</v>
      </c>
      <c r="L2" s="28" t="str">
        <f ca="1">IF(AND(TODAY()&gt;DATE(2024, 8, 1), COUNTA(Sites[Site])&lt;&gt;(COUNT(C:C)-1)), "Some sites are missing actual data; if new sites were added, make sure they are aligned correctly (including prior months!)", "")</f>
        <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v>74969.5</v>
      </c>
      <c r="D4" s="78">
        <v>74036</v>
      </c>
      <c r="E4" s="79">
        <f t="shared" ref="E4:E22" si="0">C4/D4</f>
        <v>1.0126087308876763</v>
      </c>
      <c r="F4" s="14">
        <v>75945.850000000006</v>
      </c>
      <c r="G4" s="14">
        <f t="shared" ref="G4:G23" si="1">IF(AND(ISNUMBER(C4),ISNUMBER(F4)), C4-F4, "")</f>
        <v>-976.35000000000582</v>
      </c>
      <c r="H4" s="15">
        <f t="shared" ref="H4:H23" si="2">IFERROR(G4/F4, "")</f>
        <v>-1.2855870333928789E-2</v>
      </c>
      <c r="I4" s="16">
        <v>73471</v>
      </c>
      <c r="J4" s="16">
        <f t="shared" ref="J4:J23" si="3">IF(AND(ISNUMBER(C4),ISNUMBER(I4)), C4-I4, "")</f>
        <v>1498.5</v>
      </c>
      <c r="K4" s="17">
        <f>IFERROR(J4/I4, "")</f>
        <v>2.0395802425446776E-2</v>
      </c>
      <c r="L4" s="18"/>
      <c r="M4" s="58"/>
      <c r="N4" s="129"/>
      <c r="O4" s="129"/>
      <c r="P4" s="129"/>
    </row>
    <row r="5" spans="1:16" ht="15.6" customHeight="1">
      <c r="A5" s="32" t="str">
        <v>CA: Antioch MC CUP - Citi</v>
      </c>
      <c r="B5" s="33" t="str">
        <v>CA</v>
      </c>
      <c r="C5" s="12">
        <v>237085</v>
      </c>
      <c r="D5" s="12">
        <v>252293</v>
      </c>
      <c r="E5" s="80">
        <f t="shared" si="0"/>
        <v>0.93972088008783439</v>
      </c>
      <c r="F5" s="20">
        <v>259019.6</v>
      </c>
      <c r="G5" s="20">
        <f t="shared" si="1"/>
        <v>-21934.600000000006</v>
      </c>
      <c r="H5" s="21">
        <f t="shared" si="2"/>
        <v>-8.4683166833706816E-2</v>
      </c>
      <c r="I5" s="22">
        <v>249773</v>
      </c>
      <c r="J5" s="20">
        <f t="shared" si="3"/>
        <v>-12688</v>
      </c>
      <c r="K5" s="21">
        <f t="shared" ref="K5:K15" si="4">IFERROR(J5/I5, "")</f>
        <v>-5.0798124697225083E-2</v>
      </c>
      <c r="L5" s="57"/>
      <c r="M5" s="59"/>
      <c r="N5" s="129"/>
      <c r="O5" s="129"/>
      <c r="P5" s="129"/>
    </row>
    <row r="6" spans="1:16" ht="105.75" customHeight="1">
      <c r="A6" s="34" t="str">
        <v>CA: Clovis - Citi</v>
      </c>
      <c r="B6" s="31" t="str">
        <v>CA</v>
      </c>
      <c r="C6" s="37">
        <v>93874.25</v>
      </c>
      <c r="D6" s="78">
        <v>107365</v>
      </c>
      <c r="E6" s="79">
        <f t="shared" si="0"/>
        <v>0.8743468541889815</v>
      </c>
      <c r="F6" s="14">
        <v>22666.1</v>
      </c>
      <c r="G6" s="14">
        <f t="shared" si="1"/>
        <v>71208.149999999994</v>
      </c>
      <c r="H6" s="15">
        <f t="shared" si="2"/>
        <v>3.1416145697760092</v>
      </c>
      <c r="I6" s="16">
        <v>103658</v>
      </c>
      <c r="J6" s="16">
        <f t="shared" si="3"/>
        <v>-9783.75</v>
      </c>
      <c r="K6" s="17">
        <f t="shared" si="4"/>
        <v>-9.4384900345366493E-2</v>
      </c>
      <c r="L6" s="18" t="s">
        <v>236</v>
      </c>
      <c r="M6" s="101" t="s">
        <v>237</v>
      </c>
      <c r="N6" s="104" t="s">
        <v>238</v>
      </c>
      <c r="O6" s="104" t="s">
        <v>239</v>
      </c>
      <c r="P6" s="129"/>
    </row>
    <row r="7" spans="1:16" ht="39.75" customHeight="1">
      <c r="A7" s="32" t="str">
        <v>CA: Elk Grove MOB - Citi</v>
      </c>
      <c r="B7" s="33" t="str">
        <v>CA</v>
      </c>
      <c r="C7" s="12">
        <v>171267</v>
      </c>
      <c r="D7" s="12">
        <v>172569</v>
      </c>
      <c r="E7" s="80">
        <f t="shared" si="0"/>
        <v>0.99245519183630893</v>
      </c>
      <c r="F7" s="20">
        <v>180396.6</v>
      </c>
      <c r="G7" s="20">
        <f t="shared" si="1"/>
        <v>-9129.6000000000058</v>
      </c>
      <c r="H7" s="21">
        <f t="shared" si="2"/>
        <v>-5.0608492621257863E-2</v>
      </c>
      <c r="I7" s="22">
        <v>171449</v>
      </c>
      <c r="J7" s="20">
        <f t="shared" si="3"/>
        <v>-182</v>
      </c>
      <c r="K7" s="21">
        <f t="shared" si="4"/>
        <v>-1.0615401664634963E-3</v>
      </c>
      <c r="L7" s="84"/>
      <c r="M7" s="59"/>
      <c r="N7" s="129"/>
      <c r="O7" s="129"/>
      <c r="P7" s="129"/>
    </row>
    <row r="8" spans="1:16" ht="15.6" customHeight="1">
      <c r="A8" s="34" t="str">
        <v>CA: Elk Grove Promenade - Citi</v>
      </c>
      <c r="B8" s="31" t="str">
        <v>CA</v>
      </c>
      <c r="C8" s="37">
        <v>83452.5</v>
      </c>
      <c r="D8" s="78">
        <v>91788</v>
      </c>
      <c r="E8" s="79">
        <f t="shared" si="0"/>
        <v>0.90918747548699175</v>
      </c>
      <c r="F8" s="14">
        <v>87993.279999999999</v>
      </c>
      <c r="G8" s="14">
        <f t="shared" si="1"/>
        <v>-4540.7799999999988</v>
      </c>
      <c r="H8" s="15">
        <f t="shared" si="2"/>
        <v>-5.1603713374475856E-2</v>
      </c>
      <c r="I8" s="16">
        <v>91088.233999999997</v>
      </c>
      <c r="J8" s="16">
        <f t="shared" si="3"/>
        <v>-7635.7339999999967</v>
      </c>
      <c r="K8" s="17">
        <f t="shared" si="4"/>
        <v>-8.3827884949443598E-2</v>
      </c>
      <c r="L8" s="18"/>
      <c r="M8" s="58"/>
      <c r="N8" s="129"/>
      <c r="O8" s="129"/>
      <c r="P8" s="129"/>
    </row>
    <row r="9" spans="1:16" ht="70.5" customHeight="1">
      <c r="A9" s="32" t="str">
        <v>CA: Fresno Sequioa - Citi</v>
      </c>
      <c r="B9" s="33" t="str">
        <v>CA</v>
      </c>
      <c r="C9" s="12">
        <v>154583</v>
      </c>
      <c r="D9" s="12">
        <v>179046</v>
      </c>
      <c r="E9" s="80">
        <f t="shared" si="0"/>
        <v>0.86337030707192564</v>
      </c>
      <c r="F9" s="20">
        <v>173772.2</v>
      </c>
      <c r="G9" s="20">
        <f t="shared" si="1"/>
        <v>-19189.200000000012</v>
      </c>
      <c r="H9" s="21">
        <f t="shared" si="2"/>
        <v>-0.11042732957285463</v>
      </c>
      <c r="I9" s="22">
        <v>177309</v>
      </c>
      <c r="J9" s="20">
        <f t="shared" si="3"/>
        <v>-22726</v>
      </c>
      <c r="K9" s="21">
        <f t="shared" si="4"/>
        <v>-0.12817172281158881</v>
      </c>
      <c r="L9" s="84" t="s">
        <v>240</v>
      </c>
      <c r="M9" s="59"/>
      <c r="N9" s="129"/>
      <c r="O9" s="129"/>
      <c r="P9" s="129"/>
    </row>
    <row r="10" spans="1:16" ht="31.5" customHeight="1">
      <c r="A10" s="34" t="str">
        <v>CA: Fresno MOB - Citi</v>
      </c>
      <c r="B10" s="31" t="str">
        <v>CA</v>
      </c>
      <c r="C10" s="37">
        <v>62401.63</v>
      </c>
      <c r="D10" s="78">
        <v>72218</v>
      </c>
      <c r="E10" s="79">
        <f t="shared" si="0"/>
        <v>0.86407308427261897</v>
      </c>
      <c r="F10" s="14">
        <v>60214.48</v>
      </c>
      <c r="G10" s="14">
        <f t="shared" si="1"/>
        <v>2187.1499999999942</v>
      </c>
      <c r="H10" s="15">
        <f t="shared" si="2"/>
        <v>3.6322658603046877E-2</v>
      </c>
      <c r="I10" s="16">
        <v>72360</v>
      </c>
      <c r="J10" s="16">
        <f t="shared" si="3"/>
        <v>-9958.3700000000026</v>
      </c>
      <c r="K10" s="17">
        <f t="shared" si="4"/>
        <v>-0.13762258153676069</v>
      </c>
      <c r="L10" s="18" t="s">
        <v>241</v>
      </c>
      <c r="M10" s="101" t="s">
        <v>242</v>
      </c>
      <c r="N10" s="129"/>
      <c r="O10" s="129"/>
      <c r="P10" s="129"/>
    </row>
    <row r="11" spans="1:16" ht="57" customHeight="1">
      <c r="A11" s="32" t="str">
        <v>CA: Modesto Bangs - Citi</v>
      </c>
      <c r="B11" s="33" t="str">
        <v>CA</v>
      </c>
      <c r="C11" s="12">
        <v>37149.25</v>
      </c>
      <c r="D11" s="12">
        <v>49248</v>
      </c>
      <c r="E11" s="80">
        <f t="shared" si="0"/>
        <v>0.75433012508122155</v>
      </c>
      <c r="F11" s="20">
        <v>37576.22</v>
      </c>
      <c r="G11" s="20">
        <f t="shared" si="1"/>
        <v>-426.97000000000116</v>
      </c>
      <c r="H11" s="21">
        <f t="shared" si="2"/>
        <v>-1.1362771454925513E-2</v>
      </c>
      <c r="I11" s="22">
        <v>49007</v>
      </c>
      <c r="J11" s="20">
        <f t="shared" si="3"/>
        <v>-11857.75</v>
      </c>
      <c r="K11" s="21">
        <f t="shared" si="4"/>
        <v>-0.24196033219744117</v>
      </c>
      <c r="L11" s="84" t="s">
        <v>243</v>
      </c>
      <c r="M11" s="102" t="s">
        <v>178</v>
      </c>
      <c r="N11" s="129"/>
      <c r="O11" s="129"/>
      <c r="P11" s="129"/>
    </row>
    <row r="12" spans="1:16" ht="46.5" customHeight="1">
      <c r="A12" s="34" t="str">
        <v>CA: Napa Data Center - Citi</v>
      </c>
      <c r="B12" s="31" t="str">
        <v>CA</v>
      </c>
      <c r="C12" s="37">
        <v>43512.5</v>
      </c>
      <c r="D12" s="78">
        <v>50233</v>
      </c>
      <c r="E12" s="79">
        <f t="shared" si="0"/>
        <v>0.86621344534469369</v>
      </c>
      <c r="F12" s="14">
        <v>65876.740000000005</v>
      </c>
      <c r="G12" s="14">
        <f t="shared" si="1"/>
        <v>-22364.240000000005</v>
      </c>
      <c r="H12" s="15">
        <f t="shared" si="2"/>
        <v>-0.33948613729216115</v>
      </c>
      <c r="I12" s="16">
        <v>48341</v>
      </c>
      <c r="J12" s="16">
        <f t="shared" si="3"/>
        <v>-4828.5</v>
      </c>
      <c r="K12" s="17">
        <f t="shared" si="4"/>
        <v>-9.9884156306241076E-2</v>
      </c>
      <c r="L12" s="18" t="s">
        <v>244</v>
      </c>
      <c r="M12" s="101" t="s">
        <v>245</v>
      </c>
      <c r="N12" s="104" t="s">
        <v>246</v>
      </c>
      <c r="O12" s="129"/>
      <c r="P12" s="129"/>
    </row>
    <row r="13" spans="1:16" ht="72" customHeight="1">
      <c r="A13" s="32" t="str">
        <v>CA: Petaluma MOB - Citi</v>
      </c>
      <c r="B13" s="33" t="str">
        <v>CA</v>
      </c>
      <c r="C13" s="12">
        <v>91072.5</v>
      </c>
      <c r="D13" s="12">
        <v>119283</v>
      </c>
      <c r="E13" s="80">
        <f t="shared" si="0"/>
        <v>0.76349940896858726</v>
      </c>
      <c r="F13" s="20">
        <v>126782.39999999999</v>
      </c>
      <c r="G13" s="20">
        <f t="shared" si="1"/>
        <v>-35709.899999999994</v>
      </c>
      <c r="H13" s="21">
        <f t="shared" si="2"/>
        <v>-0.28166291220232459</v>
      </c>
      <c r="I13" s="22">
        <v>114787</v>
      </c>
      <c r="J13" s="20">
        <f t="shared" si="3"/>
        <v>-23714.5</v>
      </c>
      <c r="K13" s="21">
        <f t="shared" si="4"/>
        <v>-0.20659569463440983</v>
      </c>
      <c r="L13" s="84" t="s">
        <v>247</v>
      </c>
      <c r="M13" s="107" t="s">
        <v>248</v>
      </c>
      <c r="N13" s="104" t="s">
        <v>216</v>
      </c>
      <c r="O13" s="104" t="s">
        <v>217</v>
      </c>
      <c r="P13" s="129"/>
    </row>
    <row r="14" spans="1:16" ht="32.25" customHeight="1">
      <c r="A14" s="34" t="str">
        <v>CA: Pleasanton Tec Ctr - Citi</v>
      </c>
      <c r="B14" s="31" t="str">
        <v>CA</v>
      </c>
      <c r="C14" s="37">
        <v>147145.5</v>
      </c>
      <c r="D14" s="78">
        <v>168586</v>
      </c>
      <c r="E14" s="79">
        <f t="shared" si="0"/>
        <v>0.8728215866086152</v>
      </c>
      <c r="F14" s="14">
        <v>169457</v>
      </c>
      <c r="G14" s="14">
        <f t="shared" si="1"/>
        <v>-22311.5</v>
      </c>
      <c r="H14" s="15">
        <f t="shared" si="2"/>
        <v>-0.13166467009329799</v>
      </c>
      <c r="I14" s="16">
        <v>167017</v>
      </c>
      <c r="J14" s="16">
        <f t="shared" si="3"/>
        <v>-19871.5</v>
      </c>
      <c r="K14" s="17">
        <f t="shared" si="4"/>
        <v>-0.11897890633887569</v>
      </c>
      <c r="L14" s="18" t="s">
        <v>249</v>
      </c>
      <c r="M14" s="101" t="s">
        <v>250</v>
      </c>
      <c r="N14" s="129"/>
      <c r="O14" s="129"/>
      <c r="P14" s="129"/>
    </row>
    <row r="15" spans="1:16" ht="41.25" customHeight="1">
      <c r="A15" s="32" t="str">
        <v>CA: Rancho Cordova - Citi</v>
      </c>
      <c r="B15" s="33" t="str">
        <v>CA</v>
      </c>
      <c r="C15" s="12">
        <v>212613</v>
      </c>
      <c r="D15" s="12">
        <v>236652</v>
      </c>
      <c r="E15" s="80">
        <f t="shared" si="0"/>
        <v>0.89842046549363619</v>
      </c>
      <c r="F15" s="20">
        <v>246152.3</v>
      </c>
      <c r="G15" s="20">
        <f t="shared" si="1"/>
        <v>-33539.299999999988</v>
      </c>
      <c r="H15" s="21">
        <f t="shared" si="2"/>
        <v>-0.13625426209708374</v>
      </c>
      <c r="I15" s="22">
        <v>235236</v>
      </c>
      <c r="J15" s="20">
        <f t="shared" si="3"/>
        <v>-22623</v>
      </c>
      <c r="K15" s="21">
        <f t="shared" si="4"/>
        <v>-9.6171504361577315E-2</v>
      </c>
      <c r="L15" s="57" t="s">
        <v>251</v>
      </c>
      <c r="M15" s="107" t="s">
        <v>252</v>
      </c>
      <c r="N15" s="104" t="s">
        <v>253</v>
      </c>
      <c r="O15" s="129"/>
      <c r="P15" s="129"/>
    </row>
    <row r="16" spans="1:16" ht="15.6" customHeight="1">
      <c r="A16" s="34" t="str">
        <v>CA: S Sacramento Wyndham - Citi</v>
      </c>
      <c r="B16" s="31" t="str">
        <v>CA</v>
      </c>
      <c r="C16" s="37">
        <v>123325.5</v>
      </c>
      <c r="D16" s="78">
        <v>149229</v>
      </c>
      <c r="E16" s="79">
        <f t="shared" si="0"/>
        <v>0.8264177874273767</v>
      </c>
      <c r="F16" s="14">
        <v>132435.70000000001</v>
      </c>
      <c r="G16" s="14">
        <f t="shared" si="1"/>
        <v>-9110.2000000000116</v>
      </c>
      <c r="H16" s="15">
        <f t="shared" si="2"/>
        <v>-6.8789608844141051E-2</v>
      </c>
      <c r="I16" s="16">
        <v>148199</v>
      </c>
      <c r="J16" s="16">
        <f t="shared" si="3"/>
        <v>-24873.5</v>
      </c>
      <c r="K16" s="17">
        <f t="shared" ref="K16:K20" si="5">IFERROR(J16/I16, "")</f>
        <v>-0.16783851442992193</v>
      </c>
      <c r="L16" s="18" t="s">
        <v>254</v>
      </c>
      <c r="M16" s="58"/>
      <c r="N16" s="129"/>
      <c r="O16" s="129"/>
      <c r="P16" s="129"/>
    </row>
    <row r="17" spans="1:16" ht="33" customHeight="1">
      <c r="A17" s="32" t="str">
        <v>CA: Sacramento Point West - Citi</v>
      </c>
      <c r="B17" s="33" t="str">
        <v>CA</v>
      </c>
      <c r="C17" s="12">
        <v>243076</v>
      </c>
      <c r="D17" s="12">
        <v>286044</v>
      </c>
      <c r="E17" s="80">
        <f t="shared" si="0"/>
        <v>0.84978534770874414</v>
      </c>
      <c r="F17" s="20">
        <v>276686.40000000002</v>
      </c>
      <c r="G17" s="20">
        <f t="shared" si="1"/>
        <v>-33610.400000000023</v>
      </c>
      <c r="H17" s="21">
        <f t="shared" si="2"/>
        <v>-0.12147470927374826</v>
      </c>
      <c r="I17" s="22">
        <v>283690</v>
      </c>
      <c r="J17" s="20">
        <f t="shared" si="3"/>
        <v>-40614</v>
      </c>
      <c r="K17" s="21">
        <f t="shared" si="5"/>
        <v>-0.14316331206598751</v>
      </c>
      <c r="L17" s="57" t="s">
        <v>255</v>
      </c>
      <c r="M17" s="107" t="s">
        <v>93</v>
      </c>
      <c r="N17" s="104" t="s">
        <v>94</v>
      </c>
      <c r="O17" s="129"/>
      <c r="P17" s="129"/>
    </row>
    <row r="18" spans="1:16" ht="41.25" customHeight="1">
      <c r="A18" s="34" t="str">
        <v>CA: San Jose FHC - Citi</v>
      </c>
      <c r="B18" s="31" t="str">
        <v>CA</v>
      </c>
      <c r="C18" s="37">
        <v>48008.25</v>
      </c>
      <c r="D18" s="78">
        <v>57332</v>
      </c>
      <c r="E18" s="79">
        <f t="shared" si="0"/>
        <v>0.83737267145747574</v>
      </c>
      <c r="F18" s="14">
        <v>53385.25</v>
      </c>
      <c r="G18" s="14">
        <f t="shared" si="1"/>
        <v>-5377</v>
      </c>
      <c r="H18" s="15">
        <f t="shared" si="2"/>
        <v>-0.10072070468902927</v>
      </c>
      <c r="I18" s="16">
        <v>58762</v>
      </c>
      <c r="J18" s="16">
        <f t="shared" si="3"/>
        <v>-10753.75</v>
      </c>
      <c r="K18" s="17">
        <f t="shared" si="5"/>
        <v>-0.18300517341138831</v>
      </c>
      <c r="L18" s="18" t="s">
        <v>256</v>
      </c>
      <c r="M18" s="58"/>
      <c r="N18" s="129"/>
      <c r="O18" s="129"/>
      <c r="P18" s="129"/>
    </row>
    <row r="19" spans="1:16" ht="62.25" customHeight="1">
      <c r="A19" s="32" t="str">
        <v>CA: San Jose MOB - Citi</v>
      </c>
      <c r="B19" s="33" t="str">
        <v>CA</v>
      </c>
      <c r="C19" s="12">
        <v>74711.25</v>
      </c>
      <c r="D19" s="12">
        <v>91223</v>
      </c>
      <c r="E19" s="80">
        <f t="shared" si="0"/>
        <v>0.81899575764883858</v>
      </c>
      <c r="F19" s="20">
        <v>84294.44</v>
      </c>
      <c r="G19" s="20">
        <f t="shared" si="1"/>
        <v>-9583.1900000000023</v>
      </c>
      <c r="H19" s="21">
        <f t="shared" si="2"/>
        <v>-0.11368709490210745</v>
      </c>
      <c r="I19" s="22">
        <v>92001</v>
      </c>
      <c r="J19" s="20">
        <f t="shared" si="3"/>
        <v>-17289.75</v>
      </c>
      <c r="K19" s="21">
        <f t="shared" si="5"/>
        <v>-0.18793002249975543</v>
      </c>
      <c r="L19" s="84" t="s">
        <v>257</v>
      </c>
      <c r="M19" s="107" t="s">
        <v>258</v>
      </c>
      <c r="N19" s="104" t="s">
        <v>156</v>
      </c>
      <c r="O19" s="104" t="s">
        <v>259</v>
      </c>
      <c r="P19" s="129"/>
    </row>
    <row r="20" spans="1:16" ht="30" customHeight="1">
      <c r="A20" s="34" t="str">
        <v>CA: Selma - Citi</v>
      </c>
      <c r="B20" s="31" t="str">
        <v>CA</v>
      </c>
      <c r="C20" s="37">
        <v>41973.25</v>
      </c>
      <c r="D20" s="78">
        <v>54361</v>
      </c>
      <c r="E20" s="79">
        <f t="shared" si="0"/>
        <v>0.77212063795735919</v>
      </c>
      <c r="F20" s="14">
        <v>51426.16</v>
      </c>
      <c r="G20" s="14">
        <f t="shared" si="1"/>
        <v>-9452.9100000000035</v>
      </c>
      <c r="H20" s="15">
        <f t="shared" si="2"/>
        <v>-0.18381520222392655</v>
      </c>
      <c r="I20" s="16">
        <v>53941</v>
      </c>
      <c r="J20" s="16">
        <f t="shared" si="3"/>
        <v>-11967.75</v>
      </c>
      <c r="K20" s="17">
        <f t="shared" si="5"/>
        <v>-0.22186741068945701</v>
      </c>
      <c r="L20" s="18" t="s">
        <v>228</v>
      </c>
      <c r="M20" s="101" t="s">
        <v>128</v>
      </c>
      <c r="N20" s="129"/>
      <c r="O20" s="129"/>
      <c r="P20" s="129"/>
    </row>
    <row r="21" spans="1:16" ht="96" customHeight="1">
      <c r="A21" s="32" t="str">
        <v>CA: Vacaville Hospital</v>
      </c>
      <c r="B21" s="33" t="str">
        <v>CA</v>
      </c>
      <c r="C21" s="12">
        <v>142153.5</v>
      </c>
      <c r="D21" s="12">
        <v>372753</v>
      </c>
      <c r="E21" s="80">
        <f t="shared" si="0"/>
        <v>0.38136111580590903</v>
      </c>
      <c r="F21" s="20">
        <v>387141.7</v>
      </c>
      <c r="G21" s="20">
        <f t="shared" si="1"/>
        <v>-244988.2</v>
      </c>
      <c r="H21" s="21">
        <f t="shared" si="2"/>
        <v>-0.63281274014140043</v>
      </c>
      <c r="I21" s="22">
        <v>367738</v>
      </c>
      <c r="J21" s="20">
        <f t="shared" si="3"/>
        <v>-225584.5</v>
      </c>
      <c r="K21" s="21">
        <f>IFERROR(J21/I21, "")</f>
        <v>-0.61343809995159593</v>
      </c>
      <c r="L21" s="84" t="s">
        <v>260</v>
      </c>
      <c r="M21" s="107" t="s">
        <v>261</v>
      </c>
      <c r="N21" s="104" t="s">
        <v>262</v>
      </c>
      <c r="O21" s="104" t="s">
        <v>263</v>
      </c>
      <c r="P21" s="129"/>
    </row>
    <row r="22" spans="1:16" ht="50.45" customHeight="1">
      <c r="A22" s="34" t="str">
        <v>CA: Manteca - KP Manteca Hospital</v>
      </c>
      <c r="B22" s="31" t="str">
        <v>CA</v>
      </c>
      <c r="C22" s="37">
        <v>102640.13</v>
      </c>
      <c r="D22" s="78">
        <v>121849</v>
      </c>
      <c r="E22" s="79">
        <f t="shared" si="0"/>
        <v>0.84235512806834689</v>
      </c>
      <c r="F22" s="14">
        <v>104200.4</v>
      </c>
      <c r="G22" s="14">
        <f t="shared" si="1"/>
        <v>-1560.2699999999895</v>
      </c>
      <c r="H22" s="15">
        <f t="shared" si="2"/>
        <v>-1.497374290309816E-2</v>
      </c>
      <c r="I22" s="16">
        <v>115631.95299999999</v>
      </c>
      <c r="J22" s="16">
        <f t="shared" si="3"/>
        <v>-12991.822999999989</v>
      </c>
      <c r="K22" s="17">
        <f>IFERROR(J22/I22, "")</f>
        <v>-0.11235495607343059</v>
      </c>
      <c r="L22" s="18" t="s">
        <v>264</v>
      </c>
      <c r="M22" s="101" t="s">
        <v>232</v>
      </c>
      <c r="N22" s="129"/>
      <c r="O22" s="129"/>
      <c r="P22" s="129"/>
    </row>
    <row r="23" spans="1:16" ht="76.5" customHeight="1">
      <c r="A23" s="32" t="str">
        <v>Sacramento - KP South Sacramento HSP</v>
      </c>
      <c r="B23" s="33" t="str">
        <v>CA</v>
      </c>
      <c r="C23" s="12">
        <v>251348.07</v>
      </c>
      <c r="D23" s="12">
        <v>0</v>
      </c>
      <c r="E23" s="80" t="str">
        <f>IFERROR(C23/D23, "")</f>
        <v/>
      </c>
      <c r="F23" s="20">
        <v>383138.5</v>
      </c>
      <c r="G23" s="20">
        <f t="shared" si="1"/>
        <v>-131790.43</v>
      </c>
      <c r="H23" s="21">
        <f t="shared" si="2"/>
        <v>-0.3439759512552249</v>
      </c>
      <c r="I23" s="22">
        <v>388267</v>
      </c>
      <c r="J23" s="20">
        <f t="shared" si="3"/>
        <v>-136918.93</v>
      </c>
      <c r="K23" s="21">
        <f>IFERROR(J23/I23, "")</f>
        <v>-0.35264117218305957</v>
      </c>
      <c r="L23" s="84" t="s">
        <v>265</v>
      </c>
      <c r="M23" s="107" t="s">
        <v>266</v>
      </c>
      <c r="N23" s="104" t="s">
        <v>267</v>
      </c>
      <c r="O23" s="129"/>
      <c r="P23" s="129"/>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2" priority="3" stopIfTrue="1" operator="lessThanOrEqual">
      <formula>-0.1</formula>
    </cfRule>
    <cfRule type="expression" dxfId="11" priority="4">
      <formula>AND(ISNUMBER(H2), H2&gt;=0.1)</formula>
    </cfRule>
  </conditionalFormatting>
  <conditionalFormatting sqref="H4:H81 K4:K81">
    <cfRule type="cellIs" dxfId="10" priority="1" stopIfTrue="1" operator="lessThanOrEqual">
      <formula>-0.1</formula>
    </cfRule>
    <cfRule type="expression" dxfId="9" priority="2">
      <formula>AND(ISNUMBER(H4), H4&gt;=0.1)</formula>
    </cfRule>
  </conditionalFormatting>
  <hyperlinks>
    <hyperlink ref="M6" r:id="rId1" display="https://us3.assetplanner.com/service_request?ID=099622" xr:uid="{408A608B-A988-470B-9EE2-57E73314DDE0}"/>
    <hyperlink ref="N6" r:id="rId2" display="https://us3.assetplanner.com/service_request?ID=106793" xr:uid="{A63EC298-DB61-4375-8A21-D86094B555C8}"/>
    <hyperlink ref="O6" r:id="rId3" display="https://us3.assetplanner.com/service_request?ID=107034" xr:uid="{02719F11-4335-476F-B196-A951465B8321}"/>
    <hyperlink ref="M10" r:id="rId4" display="https://us3.assetplanner.com/service_request?ID=106951" xr:uid="{22C5522D-953F-47D7-9DF3-CB12B86EC17C}"/>
    <hyperlink ref="M11" r:id="rId5" display="https://us3.assetplanner.com/service_request?ID=099861" xr:uid="{F0020537-6082-4E47-B58D-0C4FD96D0B08}"/>
    <hyperlink ref="M12" r:id="rId6" display="https://us3.assetplanner.com/service_request?ID=105795" xr:uid="{72E7CD93-5430-4DBE-8F47-EC6DB9039CB4}"/>
    <hyperlink ref="N12" r:id="rId7" display="https://us3.assetplanner.com/service_request?ID=106807" xr:uid="{C243779A-C654-4588-B88D-6AE1D81FB72D}"/>
    <hyperlink ref="M13" r:id="rId8" display="https://us3.assetplanner.com/service_request?ID=099433" xr:uid="{E12431F5-C888-4372-B2FB-6324A1AB73F1}"/>
    <hyperlink ref="N13" r:id="rId9" display="https://us3.assetplanner.com/service_request?ID=104106" xr:uid="{6B10F8B9-E5D1-455E-8428-90928017EB9C}"/>
    <hyperlink ref="O13" r:id="rId10" display="https://us3.assetplanner.com/service_request?ID=105254" xr:uid="{8B88E410-4611-4099-9BB3-8DD2F32D2526}"/>
    <hyperlink ref="M14" r:id="rId11" display="https://us3.assetplanner.com/service_request?ID=105911" xr:uid="{DA875B92-566D-489C-AFAB-EE84262A99A7}"/>
    <hyperlink ref="M15" r:id="rId12" display="https://us3.assetplanner.com/service_request?ID=105142" xr:uid="{E2B94DCF-8485-4562-BDA4-2317E9E122B3}"/>
    <hyperlink ref="N15" r:id="rId13" display="https://us3.assetplanner.com/service_request?ID=107053" xr:uid="{CE0275FB-6A2B-423C-BC1B-F29BC0316818}"/>
    <hyperlink ref="M17" r:id="rId14" display="https://us3.assetplanner.com/service_request?ID=097653" xr:uid="{2A0965A7-438C-43CB-B10C-8378F077A0CC}"/>
    <hyperlink ref="N17" r:id="rId15" display="https://us3.assetplanner.com/service_request?ID=098986" xr:uid="{4D1FB095-BE43-4D31-B5F2-29E63A33897D}"/>
    <hyperlink ref="M19" r:id="rId16" display="https://us3.assetplanner.com/service_request?ID=104095" xr:uid="{31681F01-7E08-45E6-BA40-BAEF431392D7}"/>
    <hyperlink ref="N19" r:id="rId17" display="https://us3.assetplanner.com/service_request?ID=099435" xr:uid="{2B806524-7AD4-49EF-B920-6C97F5D0B199}"/>
    <hyperlink ref="O19" r:id="rId18" display="https://us3.assetplanner.com/service_request?ID=106602" xr:uid="{BFDB7DFE-AB7B-4EEF-AC2A-2BFE0BAF21FC}"/>
    <hyperlink ref="M20" r:id="rId19" display="https://us3.assetplanner.com/service_request?ID=101090" xr:uid="{2502F7C6-BB63-495B-81D7-B0672A847E3E}"/>
    <hyperlink ref="M21" r:id="rId20" display="https://us3.assetplanner.com/service_request?ID=100428" xr:uid="{D363792F-B307-4E43-A6F8-DC3DB1FFF5E8}"/>
    <hyperlink ref="N21" r:id="rId21" display="https://us3.assetplanner.com/service_request?ID=104327" xr:uid="{2D15F0AE-3CF8-4626-8D8D-990C4B662714}"/>
    <hyperlink ref="O21" r:id="rId22" display="https://us3.assetplanner.com/service_request?ID=105814" xr:uid="{236F91F8-72E1-41EF-8287-74679CE4F7AC}"/>
    <hyperlink ref="M22" r:id="rId23" display="https://us3.assetplanner.com/service_request?ID=099704" xr:uid="{23519412-A30D-4001-AAAF-E245F0AE0EE8}"/>
    <hyperlink ref="M23" r:id="rId24" display="https://us3.assetplanner.com/service_request?ID=102064" xr:uid="{CA4C2A5B-6A37-4631-8235-8D30DB283896}"/>
    <hyperlink ref="N23" r:id="rId25" display="https://us3.assetplanner.com/service_request?ID=106356" xr:uid="{D69E749F-D99E-42C5-BC2F-0152C3C7B78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E23" sqref="E23"/>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31" t="str" cm="1">
        <f t="array" ref="A1">portfolio</f>
        <v>CITI</v>
      </c>
      <c r="B1" s="131"/>
      <c r="C1" s="131"/>
      <c r="D1" s="74" t="s">
        <v>0</v>
      </c>
      <c r="E1" s="75" t="s">
        <v>1</v>
      </c>
      <c r="F1" s="76" t="s">
        <v>268</v>
      </c>
      <c r="G1" s="132" t="s">
        <v>269</v>
      </c>
      <c r="H1" s="132"/>
      <c r="I1" s="132"/>
      <c r="J1" s="130" t="s">
        <v>270</v>
      </c>
      <c r="K1" s="130"/>
      <c r="L1" s="130"/>
      <c r="M1" s="5"/>
      <c r="N1" s="5"/>
    </row>
    <row r="2" spans="1:14" ht="19.5" customHeight="1">
      <c r="A2" s="133" t="s">
        <v>4</v>
      </c>
      <c r="B2" s="133"/>
      <c r="C2" s="6">
        <f>SUM(C4:C100)</f>
        <v>0</v>
      </c>
      <c r="D2" s="6">
        <f>SUM(D3:D22)</f>
        <v>0</v>
      </c>
      <c r="E2" s="68" t="str">
        <f>IFERROR(C2/D2, "")</f>
        <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1"/>
      <c r="E4" s="82" t="str">
        <f>IFERROR(C4/D4, "")</f>
        <v/>
      </c>
      <c r="F4" s="79"/>
      <c r="G4" s="14"/>
      <c r="H4" s="14" t="str">
        <f t="shared" ref="H4:H22" si="0">IF(AND(ISNUMBER(C4),ISNUMBER(G4)), C4-G4, "")</f>
        <v/>
      </c>
      <c r="I4" s="15"/>
      <c r="J4" s="16"/>
      <c r="K4" s="16" t="str">
        <f t="shared" ref="K4:K22" si="1">IF(AND(ISNUMBER(C4),ISNUMBER(J4)), C4-J4, "")</f>
        <v/>
      </c>
      <c r="L4" s="17"/>
      <c r="M4" s="18"/>
      <c r="N4" s="18"/>
    </row>
    <row r="5" spans="1:14" ht="39.6" customHeight="1">
      <c r="A5" s="32" t="str">
        <v>CA: Antioch MC CUP - Citi</v>
      </c>
      <c r="B5" s="33" t="str">
        <v>CA</v>
      </c>
      <c r="C5" s="12"/>
      <c r="D5" s="12"/>
      <c r="E5" s="80" t="str">
        <f>IFERROR(C5/D5,"")</f>
        <v/>
      </c>
      <c r="F5" s="80"/>
      <c r="G5" s="20"/>
      <c r="H5" s="20" t="str">
        <f t="shared" si="0"/>
        <v/>
      </c>
      <c r="I5" s="21"/>
      <c r="J5" s="22"/>
      <c r="K5" s="22" t="str">
        <f t="shared" si="1"/>
        <v/>
      </c>
      <c r="L5" s="21"/>
      <c r="M5" s="84"/>
      <c r="N5" s="86"/>
    </row>
    <row r="6" spans="1:14" ht="15.6">
      <c r="A6" s="30" t="str">
        <v>CA: Clovis - Citi</v>
      </c>
      <c r="B6" s="31" t="str">
        <v>CA</v>
      </c>
      <c r="C6" s="26"/>
      <c r="D6" s="71"/>
      <c r="E6" s="82" t="str">
        <f t="shared" ref="E6" si="2">IFERROR(C6/D6, "")</f>
        <v/>
      </c>
      <c r="F6" s="79"/>
      <c r="G6" s="14"/>
      <c r="H6" s="14" t="str">
        <f t="shared" si="0"/>
        <v/>
      </c>
      <c r="I6" s="15"/>
      <c r="J6" s="16"/>
      <c r="K6" s="16" t="str">
        <f t="shared" si="1"/>
        <v/>
      </c>
      <c r="L6" s="17"/>
      <c r="M6" s="18"/>
      <c r="N6" s="18"/>
    </row>
    <row r="7" spans="1:14" ht="15.6">
      <c r="A7" s="32" t="str">
        <v>CA: Elk Grove MOB - Citi</v>
      </c>
      <c r="B7" s="33" t="str">
        <v>CA</v>
      </c>
      <c r="C7" s="12"/>
      <c r="D7" s="12"/>
      <c r="E7" s="80" t="str">
        <f t="shared" ref="E7" si="3">IFERROR(C7/D7,"")</f>
        <v/>
      </c>
      <c r="F7" s="80"/>
      <c r="G7" s="20"/>
      <c r="H7" s="20" t="str">
        <f t="shared" si="0"/>
        <v/>
      </c>
      <c r="I7" s="21"/>
      <c r="J7" s="22"/>
      <c r="K7" s="22" t="str">
        <f t="shared" si="1"/>
        <v/>
      </c>
      <c r="L7" s="21"/>
      <c r="M7" s="85"/>
      <c r="N7" s="94"/>
    </row>
    <row r="8" spans="1:14" ht="15.6">
      <c r="A8" s="30" t="str">
        <v>CA: Elk Grove Promenade - Citi</v>
      </c>
      <c r="B8" s="31" t="str">
        <v>CA</v>
      </c>
      <c r="C8" s="26"/>
      <c r="D8" s="71"/>
      <c r="E8" s="82" t="str">
        <f t="shared" ref="E8" si="4">IFERROR(C8/D8, "")</f>
        <v/>
      </c>
      <c r="F8" s="79"/>
      <c r="G8" s="14"/>
      <c r="H8" s="14" t="str">
        <f t="shared" si="0"/>
        <v/>
      </c>
      <c r="I8" s="15"/>
      <c r="J8" s="16"/>
      <c r="K8" s="16" t="str">
        <f t="shared" si="1"/>
        <v/>
      </c>
      <c r="L8" s="17"/>
      <c r="M8" s="18"/>
      <c r="N8" s="18"/>
    </row>
    <row r="9" spans="1:14" ht="15.6">
      <c r="A9" s="32" t="str">
        <v>CA: Fresno Sequioa - Citi</v>
      </c>
      <c r="B9" s="33" t="str">
        <v>CA</v>
      </c>
      <c r="C9" s="12"/>
      <c r="D9" s="12"/>
      <c r="E9" s="80" t="str">
        <f t="shared" ref="E9" si="5">IFERROR(C9/D9,"")</f>
        <v/>
      </c>
      <c r="F9" s="80"/>
      <c r="G9" s="20"/>
      <c r="H9" s="20" t="str">
        <f t="shared" si="0"/>
        <v/>
      </c>
      <c r="I9" s="21"/>
      <c r="J9" s="22"/>
      <c r="K9" s="22" t="str">
        <f t="shared" si="1"/>
        <v/>
      </c>
      <c r="L9" s="21"/>
      <c r="M9" s="61"/>
      <c r="N9" s="62"/>
    </row>
    <row r="10" spans="1:14" ht="15.6">
      <c r="A10" s="30" t="str">
        <v>CA: Fresno MOB - Citi</v>
      </c>
      <c r="B10" s="31" t="str">
        <v>CA</v>
      </c>
      <c r="C10" s="26"/>
      <c r="D10" s="71"/>
      <c r="E10" s="82" t="str">
        <f t="shared" ref="E10" si="6">IFERROR(C10/D10, "")</f>
        <v/>
      </c>
      <c r="F10" s="79"/>
      <c r="G10" s="14"/>
      <c r="H10" s="14" t="str">
        <f t="shared" si="0"/>
        <v/>
      </c>
      <c r="I10" s="15"/>
      <c r="J10" s="16"/>
      <c r="K10" s="16" t="str">
        <f t="shared" si="1"/>
        <v/>
      </c>
      <c r="L10" s="17"/>
      <c r="M10" s="18"/>
      <c r="N10" s="18"/>
    </row>
    <row r="11" spans="1:14" ht="15.6">
      <c r="A11" s="32" t="str">
        <v>CA: Modesto Bangs - Citi</v>
      </c>
      <c r="B11" s="33" t="str">
        <v>CA</v>
      </c>
      <c r="C11" s="12"/>
      <c r="D11" s="12"/>
      <c r="E11" s="80" t="str">
        <f t="shared" ref="E11" si="7">IFERROR(C11/D11,"")</f>
        <v/>
      </c>
      <c r="F11" s="80"/>
      <c r="G11" s="20"/>
      <c r="H11" s="20" t="str">
        <f t="shared" si="0"/>
        <v/>
      </c>
      <c r="I11" s="21"/>
      <c r="J11" s="22"/>
      <c r="K11" s="22" t="str">
        <f t="shared" si="1"/>
        <v/>
      </c>
      <c r="L11" s="21"/>
      <c r="M11" s="84"/>
      <c r="N11" s="87"/>
    </row>
    <row r="12" spans="1:14" ht="15.6">
      <c r="A12" s="30" t="str">
        <v>CA: Napa Data Center - Citi</v>
      </c>
      <c r="B12" s="31" t="str">
        <v>CA</v>
      </c>
      <c r="C12" s="26"/>
      <c r="D12" s="71"/>
      <c r="E12" s="82" t="str">
        <f t="shared" ref="E12" si="8">IFERROR(C12/D12, "")</f>
        <v/>
      </c>
      <c r="F12" s="79"/>
      <c r="G12" s="14"/>
      <c r="H12" s="14" t="str">
        <f t="shared" si="0"/>
        <v/>
      </c>
      <c r="I12" s="15"/>
      <c r="J12" s="16"/>
      <c r="K12" s="16" t="str">
        <f t="shared" si="1"/>
        <v/>
      </c>
      <c r="L12" s="17"/>
      <c r="M12" s="18"/>
      <c r="N12" s="18"/>
    </row>
    <row r="13" spans="1:14" ht="15.6">
      <c r="A13" s="32" t="str">
        <v>CA: Petaluma MOB - Citi</v>
      </c>
      <c r="B13" s="33" t="str">
        <v>CA</v>
      </c>
      <c r="C13" s="12"/>
      <c r="D13" s="12"/>
      <c r="E13" s="80" t="str">
        <f t="shared" ref="E13" si="9">IFERROR(C13/D13,"")</f>
        <v/>
      </c>
      <c r="F13" s="80"/>
      <c r="G13" s="20"/>
      <c r="H13" s="20" t="str">
        <f t="shared" si="0"/>
        <v/>
      </c>
      <c r="I13" s="21"/>
      <c r="J13" s="22"/>
      <c r="K13" s="22" t="str">
        <f t="shared" si="1"/>
        <v/>
      </c>
      <c r="L13" s="21"/>
      <c r="M13" s="61"/>
      <c r="N13" s="62"/>
    </row>
    <row r="14" spans="1:14" ht="15.6">
      <c r="A14" s="30" t="str">
        <v>CA: Pleasanton Tec Ctr - Citi</v>
      </c>
      <c r="B14" s="31" t="str">
        <v>CA</v>
      </c>
      <c r="C14" s="26"/>
      <c r="D14" s="71"/>
      <c r="E14" s="82" t="str">
        <f t="shared" ref="E14" si="10">IFERROR(C14/D14, "")</f>
        <v/>
      </c>
      <c r="F14" s="79"/>
      <c r="G14" s="14"/>
      <c r="H14" s="14" t="str">
        <f t="shared" si="0"/>
        <v/>
      </c>
      <c r="I14" s="15"/>
      <c r="J14" s="16"/>
      <c r="K14" s="16" t="str">
        <f t="shared" si="1"/>
        <v/>
      </c>
      <c r="L14" s="17"/>
      <c r="M14" s="18"/>
      <c r="N14" s="18"/>
    </row>
    <row r="15" spans="1:14" ht="15.6">
      <c r="A15" s="32" t="str">
        <v>CA: Rancho Cordova - Citi</v>
      </c>
      <c r="B15" s="33" t="str">
        <v>CA</v>
      </c>
      <c r="C15" s="12"/>
      <c r="D15" s="12"/>
      <c r="E15" s="80" t="str">
        <f t="shared" ref="E15" si="11">IFERROR(C15/D15,"")</f>
        <v/>
      </c>
      <c r="F15" s="80"/>
      <c r="G15" s="20"/>
      <c r="H15" s="20" t="str">
        <f t="shared" si="0"/>
        <v/>
      </c>
      <c r="I15" s="21"/>
      <c r="J15" s="22"/>
      <c r="K15" s="22" t="str">
        <f t="shared" si="1"/>
        <v/>
      </c>
      <c r="L15" s="21"/>
      <c r="M15" s="11"/>
      <c r="N15" s="19"/>
    </row>
    <row r="16" spans="1:14" ht="15.6">
      <c r="A16" s="30" t="str">
        <v>CA: S Sacramento Wyndham - Citi</v>
      </c>
      <c r="B16" s="31" t="str">
        <v>CA</v>
      </c>
      <c r="C16" s="37"/>
      <c r="D16" s="72"/>
      <c r="E16" s="82" t="str">
        <f t="shared" ref="E16" si="12">IFERROR(C16/D16, "")</f>
        <v/>
      </c>
      <c r="F16" s="79"/>
      <c r="G16" s="14"/>
      <c r="H16" s="14" t="str">
        <f t="shared" si="0"/>
        <v/>
      </c>
      <c r="I16" s="38"/>
      <c r="J16" s="39"/>
      <c r="K16" s="39" t="str">
        <f t="shared" si="1"/>
        <v/>
      </c>
      <c r="L16" s="40"/>
      <c r="M16" s="41"/>
      <c r="N16" s="41"/>
    </row>
    <row r="17" spans="1:14" ht="15.6">
      <c r="A17" s="32" t="str">
        <v>CA: Sacramento Point West - Citi</v>
      </c>
      <c r="B17" s="33" t="str">
        <v>CA</v>
      </c>
      <c r="C17" s="42"/>
      <c r="D17" s="42"/>
      <c r="E17" s="80" t="str">
        <f t="shared" ref="E17" si="13">IFERROR(C17/D17,"")</f>
        <v/>
      </c>
      <c r="F17" s="80"/>
      <c r="G17" s="20"/>
      <c r="H17" s="20" t="str">
        <f t="shared" si="0"/>
        <v/>
      </c>
      <c r="I17" s="43"/>
      <c r="J17" s="44"/>
      <c r="K17" s="44" t="str">
        <f t="shared" si="1"/>
        <v/>
      </c>
      <c r="L17" s="43"/>
      <c r="M17" s="85"/>
      <c r="N17" s="60"/>
    </row>
    <row r="18" spans="1:14" ht="12.75" customHeight="1">
      <c r="A18" s="30" t="str">
        <v>CA: San Jose FHC - Citi</v>
      </c>
      <c r="B18" s="31" t="str">
        <v>CA</v>
      </c>
      <c r="C18" s="37"/>
      <c r="D18" s="72"/>
      <c r="E18" s="82" t="str">
        <f t="shared" ref="E18" si="14">IFERROR(C18/D18, "")</f>
        <v/>
      </c>
      <c r="F18" s="79"/>
      <c r="G18" s="14"/>
      <c r="H18" s="14" t="str">
        <f t="shared" si="0"/>
        <v/>
      </c>
      <c r="I18" s="38"/>
      <c r="J18" s="39"/>
      <c r="K18" s="39" t="str">
        <f t="shared" si="1"/>
        <v/>
      </c>
      <c r="L18" s="40"/>
      <c r="M18" s="41"/>
      <c r="N18" s="41"/>
    </row>
    <row r="19" spans="1:14" ht="15.6">
      <c r="A19" s="32" t="str">
        <v>CA: San Jose MOB - Citi</v>
      </c>
      <c r="B19" s="33" t="str">
        <v>CA</v>
      </c>
      <c r="C19" s="42"/>
      <c r="D19" s="42"/>
      <c r="E19" s="80" t="str">
        <f t="shared" ref="E19" si="15">IFERROR(C19/D19,"")</f>
        <v/>
      </c>
      <c r="F19" s="80"/>
      <c r="G19" s="20"/>
      <c r="H19" s="20" t="str">
        <f t="shared" si="0"/>
        <v/>
      </c>
      <c r="I19" s="43"/>
      <c r="J19" s="44"/>
      <c r="K19" s="44" t="str">
        <f t="shared" si="1"/>
        <v/>
      </c>
      <c r="L19" s="43"/>
      <c r="M19" s="11"/>
      <c r="N19" s="19"/>
    </row>
    <row r="20" spans="1:14" ht="15.6">
      <c r="A20" s="30" t="str">
        <v>CA: Selma - Citi</v>
      </c>
      <c r="B20" s="31" t="str">
        <v>CA</v>
      </c>
      <c r="C20" s="37"/>
      <c r="D20" s="72"/>
      <c r="E20" s="82" t="str">
        <f t="shared" ref="E20" si="16">IFERROR(C20/D20, "")</f>
        <v/>
      </c>
      <c r="F20" s="79"/>
      <c r="G20" s="14"/>
      <c r="H20" s="14" t="str">
        <f t="shared" si="0"/>
        <v/>
      </c>
      <c r="I20" s="38"/>
      <c r="J20" s="39"/>
      <c r="K20" s="39" t="str">
        <f t="shared" si="1"/>
        <v/>
      </c>
      <c r="L20" s="40"/>
      <c r="M20" s="41"/>
      <c r="N20" s="41"/>
    </row>
    <row r="21" spans="1:14" ht="15.6">
      <c r="A21" s="32" t="str">
        <v>CA: Vacaville Hospital</v>
      </c>
      <c r="B21" s="33" t="str">
        <v>CA</v>
      </c>
      <c r="C21" s="42"/>
      <c r="D21" s="42"/>
      <c r="E21" s="80" t="str">
        <f t="shared" ref="E21" si="17">IFERROR(C21/D21,"")</f>
        <v/>
      </c>
      <c r="F21" s="80"/>
      <c r="G21" s="20"/>
      <c r="H21" s="20" t="str">
        <f t="shared" si="0"/>
        <v/>
      </c>
      <c r="I21" s="43"/>
      <c r="J21" s="44"/>
      <c r="K21" s="44" t="str">
        <f t="shared" si="1"/>
        <v/>
      </c>
      <c r="L21" s="43"/>
      <c r="M21" s="61"/>
      <c r="N21" s="62"/>
    </row>
    <row r="22" spans="1:14" ht="15.6">
      <c r="A22" s="30" t="str">
        <v>CA: Manteca - KP Manteca Hospital</v>
      </c>
      <c r="B22" s="31" t="str">
        <v>CA</v>
      </c>
      <c r="C22" s="37"/>
      <c r="D22" s="72"/>
      <c r="E22" s="82" t="str">
        <f t="shared" ref="E22" si="18">IFERROR(C22/D22, "")</f>
        <v/>
      </c>
      <c r="F22" s="79"/>
      <c r="G22" s="14"/>
      <c r="H22" s="14" t="str">
        <f t="shared" si="0"/>
        <v/>
      </c>
      <c r="I22" s="38"/>
      <c r="J22" s="39"/>
      <c r="K22" s="39" t="str">
        <f t="shared" si="1"/>
        <v/>
      </c>
      <c r="L22" s="40"/>
      <c r="M22" s="41"/>
      <c r="N22" s="41"/>
    </row>
    <row r="23" spans="1:14" ht="14.45">
      <c r="A23" s="23" t="str">
        <v>Sacramento - KP South Sacramento HSP</v>
      </c>
      <c r="B23" s="35" t="str">
        <v>CA</v>
      </c>
      <c r="C23" s="23"/>
      <c r="D23" s="23"/>
      <c r="E23" s="80" t="str">
        <f t="shared" ref="E23" si="19">IFERROR(C23/D23,"")</f>
        <v/>
      </c>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31" t="str" cm="1">
        <f t="array" ref="A1">portfolio</f>
        <v>CITI</v>
      </c>
      <c r="B1" s="131"/>
      <c r="C1" s="131"/>
      <c r="D1" s="74" t="s">
        <v>0</v>
      </c>
      <c r="E1" s="75" t="s">
        <v>1</v>
      </c>
      <c r="F1" s="132" t="s">
        <v>271</v>
      </c>
      <c r="G1" s="132"/>
      <c r="H1" s="132"/>
      <c r="I1" s="130" t="s">
        <v>272</v>
      </c>
      <c r="J1" s="130"/>
      <c r="K1" s="130"/>
      <c r="L1" s="88"/>
      <c r="M1" s="5"/>
    </row>
    <row r="2" spans="1:13" ht="19.5" customHeight="1">
      <c r="A2" s="133" t="s">
        <v>4</v>
      </c>
      <c r="B2" s="133"/>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ht="14.45">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S14" sqref="A11:S1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31" t="str" cm="1">
        <f t="array" ref="A1">portfolio</f>
        <v>CITI</v>
      </c>
      <c r="B1" s="131"/>
      <c r="C1" s="131"/>
      <c r="D1" s="74" t="s">
        <v>0</v>
      </c>
      <c r="E1" s="75" t="s">
        <v>1</v>
      </c>
      <c r="F1" s="132" t="s">
        <v>273</v>
      </c>
      <c r="G1" s="132"/>
      <c r="H1" s="132"/>
      <c r="I1" s="130" t="s">
        <v>274</v>
      </c>
      <c r="J1" s="130"/>
      <c r="K1" s="130"/>
      <c r="L1" s="5"/>
      <c r="M1" s="5"/>
    </row>
    <row r="2" spans="1:13" ht="19.5" customHeight="1">
      <c r="A2" s="133" t="s">
        <v>4</v>
      </c>
      <c r="B2" s="133"/>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31" t="str" cm="1">
        <f t="array" ref="A1">portfolio</f>
        <v>CITI</v>
      </c>
      <c r="B1" s="131"/>
      <c r="C1" s="131"/>
      <c r="D1" s="74" t="s">
        <v>0</v>
      </c>
      <c r="E1" s="75" t="s">
        <v>1</v>
      </c>
      <c r="F1" s="132" t="s">
        <v>275</v>
      </c>
      <c r="G1" s="132"/>
      <c r="H1" s="132"/>
      <c r="I1" s="130" t="s">
        <v>276</v>
      </c>
      <c r="J1" s="130"/>
      <c r="K1" s="130"/>
      <c r="L1" s="5"/>
      <c r="M1" s="5"/>
    </row>
    <row r="2" spans="1:13" ht="19.5" customHeight="1">
      <c r="A2" s="133" t="s">
        <v>4</v>
      </c>
      <c r="B2" s="133"/>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G20" sqref="G20"/>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277</v>
      </c>
      <c r="B1" t="s">
        <v>278</v>
      </c>
    </row>
    <row r="3" spans="1:6" ht="13.15">
      <c r="A3" t="s">
        <v>279</v>
      </c>
      <c r="B3" t="s">
        <v>5</v>
      </c>
      <c r="C3" t="s">
        <v>6</v>
      </c>
      <c r="D3" t="s">
        <v>280</v>
      </c>
      <c r="E3" s="2" t="s">
        <v>281</v>
      </c>
    </row>
    <row r="4" spans="1:6" ht="14.45">
      <c r="A4" t="s">
        <v>282</v>
      </c>
      <c r="B4" t="s">
        <v>283</v>
      </c>
      <c r="C4" s="4" t="s">
        <v>284</v>
      </c>
      <c r="F4" s="3"/>
    </row>
    <row r="5" spans="1:6" ht="14.45">
      <c r="A5" t="s">
        <v>285</v>
      </c>
      <c r="B5" t="s">
        <v>286</v>
      </c>
      <c r="C5" s="4" t="s">
        <v>284</v>
      </c>
      <c r="F5" s="3"/>
    </row>
    <row r="6" spans="1:6" ht="14.45">
      <c r="A6" t="s">
        <v>287</v>
      </c>
      <c r="B6" t="s">
        <v>288</v>
      </c>
      <c r="C6" s="4" t="s">
        <v>284</v>
      </c>
      <c r="F6" s="3"/>
    </row>
    <row r="7" spans="1:6" ht="12.75" customHeight="1">
      <c r="A7" t="s">
        <v>289</v>
      </c>
      <c r="B7" t="s">
        <v>290</v>
      </c>
      <c r="C7" s="4" t="s">
        <v>284</v>
      </c>
    </row>
    <row r="8" spans="1:6" ht="12.75" customHeight="1">
      <c r="A8" t="s">
        <v>291</v>
      </c>
      <c r="B8" t="s">
        <v>292</v>
      </c>
      <c r="C8" s="4" t="s">
        <v>284</v>
      </c>
    </row>
    <row r="9" spans="1:6" ht="12.75" customHeight="1">
      <c r="A9" t="s">
        <v>293</v>
      </c>
      <c r="B9" t="s">
        <v>294</v>
      </c>
      <c r="C9" s="4" t="s">
        <v>284</v>
      </c>
    </row>
    <row r="10" spans="1:6" ht="12.75" customHeight="1">
      <c r="A10" t="s">
        <v>295</v>
      </c>
      <c r="B10" t="s">
        <v>296</v>
      </c>
      <c r="C10" s="4" t="s">
        <v>284</v>
      </c>
    </row>
    <row r="11" spans="1:6" ht="12.75" customHeight="1">
      <c r="A11" t="s">
        <v>297</v>
      </c>
      <c r="B11" t="s">
        <v>298</v>
      </c>
      <c r="C11" s="4" t="s">
        <v>284</v>
      </c>
    </row>
    <row r="12" spans="1:6" ht="12.75" customHeight="1">
      <c r="A12" t="s">
        <v>299</v>
      </c>
      <c r="B12" t="s">
        <v>300</v>
      </c>
      <c r="C12" s="4" t="s">
        <v>284</v>
      </c>
    </row>
    <row r="13" spans="1:6" ht="12.75" customHeight="1">
      <c r="A13" t="s">
        <v>301</v>
      </c>
      <c r="B13" t="s">
        <v>302</v>
      </c>
      <c r="C13" s="4" t="s">
        <v>284</v>
      </c>
    </row>
    <row r="14" spans="1:6" ht="12.75" customHeight="1">
      <c r="A14" t="s">
        <v>303</v>
      </c>
      <c r="B14" t="s">
        <v>304</v>
      </c>
      <c r="C14" s="4" t="s">
        <v>284</v>
      </c>
    </row>
    <row r="15" spans="1:6" ht="12.75" customHeight="1">
      <c r="A15" t="s">
        <v>305</v>
      </c>
      <c r="B15" t="s">
        <v>306</v>
      </c>
      <c r="C15" s="4" t="s">
        <v>284</v>
      </c>
    </row>
    <row r="16" spans="1:6" ht="12.75" customHeight="1">
      <c r="A16" t="s">
        <v>307</v>
      </c>
      <c r="B16" t="s">
        <v>308</v>
      </c>
      <c r="C16" s="4" t="s">
        <v>284</v>
      </c>
    </row>
    <row r="17" spans="1:3" ht="12.75" customHeight="1">
      <c r="A17" t="s">
        <v>309</v>
      </c>
      <c r="B17" t="s">
        <v>310</v>
      </c>
      <c r="C17" s="4" t="s">
        <v>284</v>
      </c>
    </row>
    <row r="18" spans="1:3" ht="12.75" customHeight="1">
      <c r="A18" t="s">
        <v>311</v>
      </c>
      <c r="B18" t="s">
        <v>312</v>
      </c>
      <c r="C18" s="4" t="s">
        <v>284</v>
      </c>
    </row>
    <row r="19" spans="1:3" ht="12.75" customHeight="1">
      <c r="A19" t="s">
        <v>313</v>
      </c>
      <c r="B19" t="s">
        <v>314</v>
      </c>
      <c r="C19" s="4" t="s">
        <v>284</v>
      </c>
    </row>
    <row r="20" spans="1:3" ht="12.75" customHeight="1">
      <c r="A20" t="s">
        <v>315</v>
      </c>
      <c r="B20" t="s">
        <v>316</v>
      </c>
      <c r="C20" s="4" t="s">
        <v>284</v>
      </c>
    </row>
    <row r="21" spans="1:3" ht="12.75" customHeight="1">
      <c r="A21" t="s">
        <v>317</v>
      </c>
      <c r="B21" t="s">
        <v>318</v>
      </c>
      <c r="C21" s="4" t="s">
        <v>284</v>
      </c>
    </row>
    <row r="22" spans="1:3" ht="12.75" customHeight="1">
      <c r="A22" s="56" t="s">
        <v>319</v>
      </c>
      <c r="B22" t="s">
        <v>320</v>
      </c>
      <c r="C22" s="4" t="s">
        <v>284</v>
      </c>
    </row>
    <row r="23" spans="1:3" ht="12.75" customHeight="1">
      <c r="A23" t="s">
        <v>321</v>
      </c>
      <c r="B23" t="s">
        <v>322</v>
      </c>
      <c r="C23" s="4" t="s">
        <v>284</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F4A7D667-4168-4485-8607-E55E17130F01}"/>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2026-01-27T18:56:03Z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