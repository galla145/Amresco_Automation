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F2456C23-D9FB-43D6-A41B-0ABC4DC86A49}" xr6:coauthVersionLast="47" xr6:coauthVersionMax="47" xr10:uidLastSave="{1DE21485-82CE-4483-B92D-84F7F176E6DB}"/>
  <bookViews>
    <workbookView xWindow="-108" yWindow="-108" windowWidth="23256" windowHeight="1245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F4" i="21" s="1"/>
  <c r="E4" i="20"/>
  <c r="F4" i="20" s="1"/>
  <c r="H4" i="20"/>
  <c r="I4" i="20" s="1"/>
  <c r="E4" i="72"/>
  <c r="F4" i="72"/>
  <c r="H4" i="72"/>
  <c r="I4" i="72"/>
  <c r="G4" i="30"/>
  <c r="G2" i="30" s="1"/>
  <c r="G4" i="29"/>
  <c r="G2" i="29" s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1"/>
  <c r="B4" i="34" a="1"/>
  <c r="B4" i="34" s="1"/>
  <c r="A4" i="34" a="1"/>
  <c r="A4" i="34" s="1"/>
  <c r="A1" i="34" a="1"/>
  <c r="A1" i="34" s="1"/>
  <c r="D4" i="30"/>
  <c r="D2" i="30" s="1"/>
  <c r="C4" i="30"/>
  <c r="D4" i="29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G2" i="72"/>
  <c r="D2" i="72"/>
  <c r="C2" i="72"/>
  <c r="A1" i="72" a="1"/>
  <c r="A1" i="72" s="1"/>
  <c r="E2" i="20" l="1"/>
  <c r="F2" i="20" s="1"/>
  <c r="G4" i="34"/>
  <c r="G2" i="34" s="1"/>
  <c r="H2" i="31"/>
  <c r="I2" i="31" s="1"/>
  <c r="E4" i="18"/>
  <c r="F4" i="18" s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4" i="34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<sst xmlns="http://schemas.openxmlformats.org/spreadsheetml/2006/main" count="265" uniqueCount="78">
  <si>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</si>
  <si>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</si>
  <si>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</si>
  <si>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</si>
  <si>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</si>
  <si>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</si>
  <si>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</si>
  <si>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</si>
  <si>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</si>
  <si>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</si>
  <si>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</si>
  <si>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</si>
  <si>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</si>
  <si>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</si>
  <si>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</si>
  <si>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</si>
  <si>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</si>
  <si>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</si>
  <si>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</si>
  <si>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</si>
  <si>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 xml:space="preserve"> </t>
  </si>
  <si>
    <t>Notes</t>
  </si>
  <si>
    <t>Service Requests</t>
  </si>
  <si>
    <t>1.Low generation due to weather/snow.</t>
  </si>
  <si>
    <t>February Actual v. Expected</t>
  </si>
  <si>
    <t>February Actual v. Forecasted</t>
  </si>
  <si>
    <t>1.Inverter 33 tripped offline at 11:45AM on 02/11. Technician found an alarm and cleared it. The inverterwas back online at 13:30 on 02/12.
2.Inverter 10 tripped offline at 12:00 PM on 02/25 due to an arc fault. It came back online at 9:45 AM on 02/26 after the technician cleared the grid unlock alarm by logging into the DAS.</t>
  </si>
  <si>
    <t>1.SR096699
2.SR097781</t>
  </si>
  <si>
    <t>SR097781</t>
  </si>
  <si>
    <t>March Actual v. Expected</t>
  </si>
  <si>
    <t>March Actual v. Forecasted</t>
  </si>
  <si>
    <t>1. Inverter 32 did not start production due to Insolation resistance fault on 03/17 technician noted water pooling on the ground and inverter back online at 10:00 on 03/18.
2. Inverter 32 started late for the production at 13:00 on 03/31</t>
  </si>
  <si>
    <t>1.SR098664
2.SR099174</t>
  </si>
  <si>
    <t>April Actual v. Expected</t>
  </si>
  <si>
    <t>April Actual v. Forecasted</t>
  </si>
  <si>
    <t>1. Inverter 32 started late for the production at 12:00pm on 04/22 due to  "Alarm E34 - Insulation fault". Technician was dispatched to the site to replace the 4 solar modules on 04/25. And again inverte 32 tripped offline  from 06:00 to 15:00 on 04/26.</t>
  </si>
  <si>
    <t>1.SR099174</t>
  </si>
  <si>
    <t>May Actual v. Expected</t>
  </si>
  <si>
    <t>May Actual v. Forecasted</t>
  </si>
  <si>
    <t xml:space="preserve">1. Inverter 32 started late for the production on 05/04, 05/18, 05/20 and 05/31  due to  "Alarm E34 - Insulation fault". </t>
  </si>
  <si>
    <t>1. SR099174</t>
  </si>
  <si>
    <t>June Actual v. Expected</t>
  </si>
  <si>
    <t>June Actual v. Forecasted</t>
  </si>
  <si>
    <t>1.Inverter 32 started late for the production on 06/06 , 06/07 , 06/10 ,06/18 , 06/29
2. Inverter 20 was tripped offline multiple days</t>
  </si>
  <si>
    <t>1. SR099174
2.	SR103744</t>
  </si>
  <si>
    <t>SR103744</t>
  </si>
  <si>
    <t>July Actual v. Expected</t>
  </si>
  <si>
    <t>July Actual v. Forecasted</t>
  </si>
  <si>
    <t>1. Site was offline at 9:15am on 07/01 due to utility outage and later utility power has been restored and back online at 13:00 on same day.
2. Invert 39 has tripped offline at 7:00am on 07/13 and later back online at 9:30am on 07/14
3. Inverter 20 tripped offline at 09:15am on 07/01 and reporting Alarm E34 - Insulation later back online at 11:15 on 07/14. Inverter 20 string 14 connector replaced.  String 11 causing a ground fault, left unplugged.</t>
  </si>
  <si>
    <t>1. SR103827
2. SR104365
3. SR104443, SR104568, SR103827, SR103744, SR105336</t>
  </si>
  <si>
    <t>SR104365</t>
  </si>
  <si>
    <t>SR104443</t>
  </si>
  <si>
    <t>SR104568</t>
  </si>
  <si>
    <t>SR103827</t>
  </si>
  <si>
    <t>SR105336</t>
  </si>
  <si>
    <t>s</t>
  </si>
  <si>
    <t>August Actual v. Expected</t>
  </si>
  <si>
    <t>August Actual v. Forecasted</t>
  </si>
  <si>
    <t>1.Inverter 32 started for production at 11:15 on 08/30</t>
  </si>
  <si>
    <t>1.	SR107227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</si>
  <si>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</si>
  <si>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</si>
  <si>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</si>
  <si>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</si>
  <si>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</si>
  <si>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</si>
  <si>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</si>
  <si>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</si>
  <si>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</si>
  <si>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Walden Renewables Dev't LLC</t>
  </si>
  <si>
    <t>Site DAS Name</t>
  </si>
  <si>
    <t>Update</t>
  </si>
  <si>
    <t>DAS</t>
  </si>
  <si>
    <t>Littlefield Solar</t>
  </si>
  <si>
    <t>ME: Wells - Littlefield Solar</t>
  </si>
  <si>
    <t>MAINE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</si>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</sst>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5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49" fontId="35" fillId="38" borderId="0" xfId="45" applyNumberFormat="1" applyFill="1" applyBorder="1" applyAlignment="1">
      <alignment horizontal="left" vertical="top" wrapText="1"/>
    </xf>
    <xf numFmtId="0" fontId="35" fillId="0" borderId="0" xfId="45" applyAlignment="1">
      <alignment vertical="top"/>
    </xf>
    <xf numFmtId="164" fontId="28" fillId="44" borderId="0" xfId="1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0" fontId="0" fillId="0" borderId="0" xfId="0" applyAlignment="1">
      <alignment vertical="top"/>
    </xf>
    <xf numFmtId="49" fontId="23" fillId="38" borderId="0" xfId="2" applyNumberFormat="1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7781" TargetMode="External"/><Relationship Id="rId1" Type="http://schemas.openxmlformats.org/officeDocument/2006/relationships/hyperlink" Target="https://us3.assetplanner.com/service_request?ID=096699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9174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3744" TargetMode="External"/><Relationship Id="rId1" Type="http://schemas.openxmlformats.org/officeDocument/2006/relationships/hyperlink" Target="https://us3.assetplanner.com/service_request?ID=09917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4443" TargetMode="External"/><Relationship Id="rId7" Type="http://schemas.openxmlformats.org/officeDocument/2006/relationships/hyperlink" Target="https://us3.assetplanner.com/service_request?ID=105336" TargetMode="External"/><Relationship Id="rId2" Type="http://schemas.openxmlformats.org/officeDocument/2006/relationships/hyperlink" Target="https://us3.assetplanner.com/service_request?ID=104365" TargetMode="External"/><Relationship Id="rId1" Type="http://schemas.openxmlformats.org/officeDocument/2006/relationships/hyperlink" Target="https://us3.assetplanner.com/service_request?ID=103827" TargetMode="External"/><Relationship Id="rId6" Type="http://schemas.openxmlformats.org/officeDocument/2006/relationships/hyperlink" Target="https://us3.assetplanner.com/service_request?ID=103744" TargetMode="External"/><Relationship Id="rId5" Type="http://schemas.openxmlformats.org/officeDocument/2006/relationships/hyperlink" Target="https://us3.assetplanner.com/service_request?ID=103827" TargetMode="External"/><Relationship Id="rId4" Type="http://schemas.openxmlformats.org/officeDocument/2006/relationships/hyperlink" Target="https://us3.assetplanner.com/service_request?ID=104568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227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J11" sqref="J11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0</v>
      </c>
      <c r="E1" s="52"/>
      <c r="F1" s="52"/>
      <c r="G1" s="50" t="s">
        <v>1</v>
      </c>
      <c r="H1" s="50"/>
      <c r="I1" s="50"/>
    </row>
    <row r="2" spans="1:9" ht="19.5" customHeight="1">
      <c r="A2" s="53" t="s">
        <v>2</v>
      </c>
      <c r="B2" s="53"/>
      <c r="C2" s="6">
        <f>SUM(C4:C60)</f>
        <v>5535756</v>
      </c>
      <c r="D2" s="6">
        <f>SUM(D4:D60)</f>
        <v>6293901.5239999993</v>
      </c>
      <c r="E2" s="6">
        <f>C2-D2</f>
        <v>-758145.52399999928</v>
      </c>
      <c r="F2" s="7">
        <f>IFERROR(E2/D2, 0)</f>
        <v>-0.12045716335233836</v>
      </c>
      <c r="G2" s="6">
        <f>SUM(G4:G60)</f>
        <v>5880771.1500000004</v>
      </c>
      <c r="H2" s="8">
        <f>C2-G2</f>
        <v>-345015.15000000037</v>
      </c>
      <c r="I2" s="7">
        <f>IFERROR(H2/G2, 0)</f>
        <v>-5.8668351683775412E-2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SUM('1st Qtr'!C4, '2nd Qtr'!C4, '3rd Qtr'!C4, '4th Qtr'!C4)</f>
        <v>5535756</v>
      </c>
      <c r="D4" s="14">
        <f>SUM('1st Qtr'!D4, '2nd Qtr'!D4, '3rd Qtr'!D4, '4th Qtr'!D4)</f>
        <v>6293901.5239999993</v>
      </c>
      <c r="E4" s="14">
        <f>IF(AND(ISNUMBER(C4),ISNUMBER(D4)), C4-D4, "")</f>
        <v>-758145.52399999928</v>
      </c>
      <c r="F4" s="15">
        <f>IFERROR(E4/D4, "")</f>
        <v>-0.12045716335233836</v>
      </c>
      <c r="G4" s="16">
        <f>SUM('1st Qtr'!G4,'2nd Qtr'!G4,'3rd Qtr'!G4,'4th Qtr'!G4)</f>
        <v>5880771.1500000004</v>
      </c>
      <c r="H4" s="16">
        <f>SUM('1st Qtr'!H4, '2nd Qtr'!H4, '3rd Qtr'!H4, '4th Qtr'!H4)</f>
        <v>-345015.15</v>
      </c>
      <c r="I4" s="17">
        <f>IFERROR(H4/G4, "")</f>
        <v>-5.8668351683775349E-2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H4" sqref="H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10</v>
      </c>
      <c r="E1" s="52"/>
      <c r="F1" s="52"/>
      <c r="G1" s="50" t="s">
        <v>11</v>
      </c>
      <c r="H1" s="50"/>
      <c r="I1" s="50"/>
    </row>
    <row r="2" spans="1:9" ht="19.5" customHeight="1">
      <c r="A2" s="53" t="s">
        <v>2</v>
      </c>
      <c r="B2" s="53"/>
      <c r="C2" s="6">
        <f>SUM(C4:C68)</f>
        <v>1207402</v>
      </c>
      <c r="D2" s="6">
        <f>SUM(D4:D68)</f>
        <v>1863098.443</v>
      </c>
      <c r="E2" s="6">
        <f>C2-D2</f>
        <v>-655696.44299999997</v>
      </c>
      <c r="F2" s="7">
        <f>IFERROR(E2/D2, 0)</f>
        <v>-0.35193869946248457</v>
      </c>
      <c r="G2" s="6">
        <f>SUM(G4:G68)</f>
        <v>1495210.12</v>
      </c>
      <c r="H2" s="8">
        <f>C2-G2</f>
        <v>-287808.12000000011</v>
      </c>
      <c r="I2" s="7">
        <f>IFERROR(H2/G2, 0)</f>
        <v>-0.19248673892068099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SUM(Jan!C4, Feb!C4, Mar!C4)</f>
        <v>1207402</v>
      </c>
      <c r="D4" s="14">
        <f>SUM(Jan!D4, Feb!D4, Mar!D4)</f>
        <v>1863098.443</v>
      </c>
      <c r="E4" s="14">
        <f>IF(AND(ISNUMBER(C4),ISNUMBER(D4)), C4-D4, "")</f>
        <v>-655696.44299999997</v>
      </c>
      <c r="F4" s="15">
        <f>IFERROR(E4/D4, "")</f>
        <v>-0.35193869946248457</v>
      </c>
      <c r="G4" s="16">
        <f>SUM(Jan!G4, Feb!G4, Mar!G4)</f>
        <v>1495210.12</v>
      </c>
      <c r="H4" s="16">
        <f>SUM(Jan!H4, Feb!H4, Mar!H4)</f>
        <v>-287808.12</v>
      </c>
      <c r="I4" s="17">
        <f>IFERROR(H4/G4, "")</f>
        <v>-0.19248673892068091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12</v>
      </c>
      <c r="E1" s="52"/>
      <c r="F1" s="52"/>
      <c r="G1" s="50" t="s">
        <v>13</v>
      </c>
      <c r="H1" s="50"/>
      <c r="I1" s="50"/>
    </row>
    <row r="2" spans="1:9" ht="19.5" customHeight="1">
      <c r="A2" s="53" t="s">
        <v>2</v>
      </c>
      <c r="B2" s="53"/>
      <c r="C2" s="6">
        <f>SUM(C4:C90)</f>
        <v>2416614</v>
      </c>
      <c r="D2" s="6">
        <f>SUM(D4:D90)</f>
        <v>2440154.5079999999</v>
      </c>
      <c r="E2" s="6">
        <f>C2-D2</f>
        <v>-23540.507999999914</v>
      </c>
      <c r="F2" s="7">
        <f>IFERROR(E2/D2, 0)</f>
        <v>-9.6471382950640248E-3</v>
      </c>
      <c r="G2" s="6">
        <f>SUM(G4:G90)</f>
        <v>2555809.71</v>
      </c>
      <c r="H2" s="8">
        <f>C2-G2</f>
        <v>-139195.70999999996</v>
      </c>
      <c r="I2" s="7">
        <f>IFERROR(H2/G2, 0)</f>
        <v>-5.4462470134366912E-2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SUM(Apr!C4, May!C4, Jun!C4)</f>
        <v>2416614</v>
      </c>
      <c r="D4" s="14">
        <f>SUM(Apr!D4, May!D4, Jun!D4)</f>
        <v>2440154.5079999999</v>
      </c>
      <c r="E4" s="14">
        <f>IF(AND(ISNUMBER(C4),ISNUMBER(D4)), C4-D4, "")</f>
        <v>-23540.507999999914</v>
      </c>
      <c r="F4" s="15">
        <f>IFERROR(E4/D4, "")</f>
        <v>-9.6471382950640248E-3</v>
      </c>
      <c r="G4" s="16">
        <f>SUM(Apr!G4,May!G4,Jun!G4)</f>
        <v>2555809.71</v>
      </c>
      <c r="H4" s="16">
        <f>SUM(Apr!H4, May!H4, Jun!H4)</f>
        <v>-139195.70999999996</v>
      </c>
      <c r="I4" s="17">
        <f>IFERROR(H4/G4, "")</f>
        <v>-5.4462470134366912E-2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A3" activePane="bottomLeft" state="frozen"/>
      <selection pane="bottomLeft" activeCell="H4" sqref="H4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14</v>
      </c>
      <c r="E1" s="52"/>
      <c r="F1" s="52"/>
      <c r="G1" s="50" t="s">
        <v>15</v>
      </c>
      <c r="H1" s="50"/>
      <c r="I1" s="50"/>
    </row>
    <row r="2" spans="1:9" ht="19.5" customHeight="1">
      <c r="A2" s="53" t="s">
        <v>2</v>
      </c>
      <c r="B2" s="53"/>
      <c r="C2" s="6">
        <f>SUM(C4:C89)</f>
        <v>1911740</v>
      </c>
      <c r="D2" s="6">
        <f>SUM(D4:D89)</f>
        <v>1990648.5729999999</v>
      </c>
      <c r="E2" s="6">
        <f>C2-D2</f>
        <v>-78908.572999999858</v>
      </c>
      <c r="F2" s="7">
        <f>IFERROR(E2/D2, 0)</f>
        <v>-3.9639630053375507E-2</v>
      </c>
      <c r="G2" s="6">
        <f>SUM(G4:G89)</f>
        <v>1829751.32</v>
      </c>
      <c r="H2" s="8">
        <f>C2-G2</f>
        <v>81988.679999999935</v>
      </c>
      <c r="I2" s="7">
        <f>IFERROR(H2/G2, 0)</f>
        <v>4.4808646455847305E-2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SUM(Jul!C4, Aug!C4, Sep!C4)</f>
        <v>1911740</v>
      </c>
      <c r="D4" s="14">
        <f>SUM(Jul!D4, Aug!D4, Sep!D4)</f>
        <v>1990648.5729999999</v>
      </c>
      <c r="E4" s="14">
        <f>IF(AND(ISNUMBER(C4),ISNUMBER(D4)), C4-D4, "")</f>
        <v>-78908.572999999858</v>
      </c>
      <c r="F4" s="15">
        <f>IFERROR(E4/D4, "")</f>
        <v>-3.9639630053375507E-2</v>
      </c>
      <c r="G4" s="16">
        <f>SUM(Jul!G4,Aug!G4,Sep!G4)</f>
        <v>1829751.32</v>
      </c>
      <c r="H4" s="16">
        <f>SUM(Jul!H4, Aug!H4, Sep!H4)</f>
        <v>81988.679999999935</v>
      </c>
      <c r="I4" s="17">
        <f>IFERROR(H4/G4, "")</f>
        <v>4.4808646455847305E-2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workbookViewId="0">
      <pane ySplit="2" topLeftCell="A3" activePane="bottomLeft" state="frozen"/>
      <selection pane="bottomLeft" activeCell="I2" sqref="I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1" t="str" cm="1">
        <f t="array" ref="A1">portfolio</f>
        <v>Walden Renewables Dev't LLC</v>
      </c>
      <c r="B1" s="51"/>
      <c r="C1" s="51"/>
      <c r="D1" s="52" t="s">
        <v>16</v>
      </c>
      <c r="E1" s="52"/>
      <c r="F1" s="52"/>
      <c r="G1" s="50" t="s">
        <v>17</v>
      </c>
      <c r="H1" s="50"/>
      <c r="I1" s="50"/>
    </row>
    <row r="2" spans="1:9" ht="19.5" customHeight="1">
      <c r="A2" s="53" t="s">
        <v>2</v>
      </c>
      <c r="B2" s="53"/>
      <c r="C2" s="6">
        <f>SUM(C4:C89)</f>
        <v>0</v>
      </c>
      <c r="D2" s="6">
        <f>SUM(D4:D89)</f>
        <v>0</v>
      </c>
      <c r="E2" s="6">
        <f>C2-D2</f>
        <v>0</v>
      </c>
      <c r="F2" s="7">
        <f>IFERROR(E2/D2, 0)</f>
        <v>0</v>
      </c>
      <c r="G2" s="6">
        <f>SUM(G4:G89)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ME: Wells - Littlefield Solar</v>
      </c>
      <c r="B4" s="10" t="str" cm="1">
        <f t="array" ref="B4">Sites[State]</f>
        <v>MAINE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18</v>
      </c>
      <c r="E1" s="52"/>
      <c r="F1" s="52"/>
      <c r="G1" s="50" t="s">
        <v>19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SUM(C4:C89)</f>
        <v>306430</v>
      </c>
      <c r="D2" s="6">
        <f>SUM(D4:D89)</f>
        <v>560571.1</v>
      </c>
      <c r="E2" s="6">
        <f>C2-D2</f>
        <v>-254141.09999999998</v>
      </c>
      <c r="F2" s="7">
        <f>IFERROR(E2/D2, 0)</f>
        <v>-0.45336104554801343</v>
      </c>
      <c r="G2" s="6">
        <f>SUM(G4:G89)</f>
        <v>342243.7</v>
      </c>
      <c r="H2" s="8">
        <f>C2-G2</f>
        <v>-35813.700000000012</v>
      </c>
      <c r="I2" s="7">
        <f>IFERROR(H2/G2, 0)</f>
        <v>-0.10464385465678407</v>
      </c>
      <c r="J2" s="28" t="s">
        <v>20</v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306430</v>
      </c>
      <c r="D4" s="14">
        <v>560571.1</v>
      </c>
      <c r="E4" s="14">
        <f>IF(AND(ISNUMBER(C4),ISNUMBER(D4)), C4-D4, "")</f>
        <v>-254141.09999999998</v>
      </c>
      <c r="F4" s="15">
        <f>IFERROR(E4/D4, "")</f>
        <v>-0.45336104554801343</v>
      </c>
      <c r="G4" s="16">
        <v>342243.7</v>
      </c>
      <c r="H4" s="16">
        <f>IF(AND(ISNUMBER(C4),ISNUMBER(G4)), C4-G4, "")</f>
        <v>-35813.700000000012</v>
      </c>
      <c r="I4" s="17">
        <f>IFERROR(H4/G4, "")</f>
        <v>-0.10464385465678407</v>
      </c>
      <c r="J4" s="18" t="s">
        <v>23</v>
      </c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7"/>
  <sheetViews>
    <sheetView zoomScale="90" zoomScaleNormal="90" workbookViewId="0">
      <pane ySplit="2" topLeftCell="A3" activePane="bottomLeft" state="frozen"/>
      <selection pane="bottomLeft" activeCell="H12" sqref="H12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3.5703125" customWidth="1"/>
    <col min="11" max="11" width="20.5703125" bestFit="1" customWidth="1"/>
  </cols>
  <sheetData>
    <row r="1" spans="1:12" ht="19.5" customHeight="1">
      <c r="A1" s="51" t="str" cm="1">
        <f t="array" ref="A1">portfolio</f>
        <v>Walden Renewables Dev't LLC</v>
      </c>
      <c r="B1" s="51"/>
      <c r="C1" s="51"/>
      <c r="D1" s="52" t="s">
        <v>24</v>
      </c>
      <c r="E1" s="52"/>
      <c r="F1" s="52"/>
      <c r="G1" s="50" t="s">
        <v>25</v>
      </c>
      <c r="H1" s="50"/>
      <c r="I1" s="50"/>
      <c r="J1" s="5"/>
      <c r="K1" s="5"/>
    </row>
    <row r="2" spans="1:12" ht="19.5" customHeight="1">
      <c r="A2" s="53" t="s">
        <v>2</v>
      </c>
      <c r="B2" s="53"/>
      <c r="C2" s="6">
        <f>SUM(C4:C85)</f>
        <v>219588</v>
      </c>
      <c r="D2" s="6">
        <f>SUM(D4:D85)</f>
        <v>601103.19999999995</v>
      </c>
      <c r="E2" s="6">
        <f>C2-D2</f>
        <v>-381515.19999999995</v>
      </c>
      <c r="F2" s="7">
        <f>IFERROR(E2/D2, 0)</f>
        <v>-0.63469168023061595</v>
      </c>
      <c r="G2" s="6">
        <f>SUM(G4:G85)</f>
        <v>451211.3</v>
      </c>
      <c r="H2" s="8">
        <f>C2-G2</f>
        <v>-231623.3</v>
      </c>
      <c r="I2" s="7">
        <f>IFERROR(H2/G2, 0)</f>
        <v>-0.51333665624065705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57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219588</v>
      </c>
      <c r="D4" s="14">
        <v>601103.19999999995</v>
      </c>
      <c r="E4" s="14">
        <f>IF(AND(ISNUMBER(C4),ISNUMBER(D4)), C4-D4, "")</f>
        <v>-381515.19999999995</v>
      </c>
      <c r="F4" s="15">
        <f>IFERROR(E4/D4, "")</f>
        <v>-0.63469168023061595</v>
      </c>
      <c r="G4" s="16">
        <v>451211.3</v>
      </c>
      <c r="H4" s="16">
        <f>IF(AND(ISNUMBER(C4),ISNUMBER(G4)), C4-G4, "")</f>
        <v>-231623.3</v>
      </c>
      <c r="I4" s="17">
        <f>IFERROR(H4/G4, "")</f>
        <v>-0.51333665624065705</v>
      </c>
      <c r="J4" s="18" t="s">
        <v>26</v>
      </c>
      <c r="K4" s="43" t="s">
        <v>27</v>
      </c>
      <c r="L4" s="44" t="s">
        <v>28</v>
      </c>
    </row>
    <row r="5" spans="1:12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6699" xr:uid="{6D8FDE12-0D96-411E-9F0E-590AE5E502B9}"/>
    <hyperlink ref="L4" r:id="rId2" display="https://us3.assetplanner.com/service_request?ID=097781" xr:uid="{47FD19ED-8729-4BAF-86A4-5AC0CF2A4D20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4" activePane="bottomLeft" state="frozen"/>
      <selection pane="bottomLeft" activeCell="J4" sqref="J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29</v>
      </c>
      <c r="E1" s="52"/>
      <c r="F1" s="52"/>
      <c r="G1" s="50" t="s">
        <v>30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681384</v>
      </c>
      <c r="D2" s="6">
        <f>SUM(D4:D90)</f>
        <v>701424.14300000004</v>
      </c>
      <c r="E2" s="6">
        <f>C2-D2</f>
        <v>-20040.14300000004</v>
      </c>
      <c r="F2" s="7">
        <f>IFERROR(E2/D2, 0)</f>
        <v>-2.8570649014572114E-2</v>
      </c>
      <c r="G2" s="6">
        <f>SUM(G4:G90)</f>
        <v>701755.12</v>
      </c>
      <c r="H2" s="8">
        <f>C2-G2</f>
        <v>-20371.119999999995</v>
      </c>
      <c r="I2" s="7">
        <f>IFERROR(H2/G2, 0)</f>
        <v>-2.9028815635858837E-2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7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681384</v>
      </c>
      <c r="D4" s="14">
        <v>701424.14300000004</v>
      </c>
      <c r="E4" s="14">
        <f>IF(AND(ISNUMBER(C4),ISNUMBER(D4)), C4-D4, "")</f>
        <v>-20040.14300000004</v>
      </c>
      <c r="F4" s="15">
        <f>IFERROR(E4/D4, "")</f>
        <v>-2.8570649014572114E-2</v>
      </c>
      <c r="G4" s="16">
        <v>701755.12</v>
      </c>
      <c r="H4" s="16">
        <f>IF(AND(ISNUMBER(C4),ISNUMBER(G4)), C4-G4, "")</f>
        <v>-20371.119999999995</v>
      </c>
      <c r="I4" s="17">
        <f>IFERROR(H4/G4, "")</f>
        <v>-2.9028815635858837E-2</v>
      </c>
      <c r="J4" s="18" t="s">
        <v>31</v>
      </c>
      <c r="K4" s="18" t="s">
        <v>32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I9" sqref="I9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33</v>
      </c>
      <c r="E1" s="52"/>
      <c r="F1" s="52"/>
      <c r="G1" s="50" t="s">
        <v>34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799664</v>
      </c>
      <c r="D2" s="6">
        <f>SUM(D4:D90)</f>
        <v>805747.81099999999</v>
      </c>
      <c r="E2" s="6">
        <f>C2-D2</f>
        <v>-6083.810999999987</v>
      </c>
      <c r="F2" s="7">
        <f>IFERROR(E2/D2, 0)</f>
        <v>-7.5505150829382611E-3</v>
      </c>
      <c r="G2" s="6">
        <f>SUM(G4:G90)</f>
        <v>783489.13</v>
      </c>
      <c r="H2" s="8">
        <f>C2-G2</f>
        <v>16174.869999999995</v>
      </c>
      <c r="I2" s="7">
        <f>IFERROR(H2/G2, 0)</f>
        <v>2.0644664208678932E-2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73.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45">
        <v>799664</v>
      </c>
      <c r="D4" s="14">
        <v>805747.81099999999</v>
      </c>
      <c r="E4" s="14">
        <f>IF(AND(ISNUMBER(C4),ISNUMBER(D4)), C4-D4, "")</f>
        <v>-6083.810999999987</v>
      </c>
      <c r="F4" s="15">
        <f>IFERROR(E4/D4, "")</f>
        <v>-7.5505150829382611E-3</v>
      </c>
      <c r="G4" s="16">
        <v>783489.13</v>
      </c>
      <c r="H4" s="16">
        <f>IF(AND(ISNUMBER(C4),ISNUMBER(G4)), C4-G4, "")</f>
        <v>16174.869999999995</v>
      </c>
      <c r="I4" s="17">
        <f>IFERROR(H4/G4, "")</f>
        <v>2.0644664208678932E-2</v>
      </c>
      <c r="J4" s="18" t="s">
        <v>35</v>
      </c>
      <c r="K4" s="43" t="s">
        <v>36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099174" xr:uid="{57357E23-1957-458E-9D44-36782D33A964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O332"/>
  <sheetViews>
    <sheetView zoomScale="70" zoomScaleNormal="70" workbookViewId="0">
      <pane ySplit="2" topLeftCell="A3" activePane="bottomLeft" state="frozen"/>
      <selection pane="bottomLeft" activeCell="K4" sqref="K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0.42578125" customWidth="1"/>
    <col min="11" max="11" width="20.5703125" bestFit="1" customWidth="1"/>
    <col min="12" max="15" width="8.85546875" style="46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37</v>
      </c>
      <c r="E1" s="52"/>
      <c r="F1" s="52"/>
      <c r="G1" s="50" t="s">
        <v>38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748850</v>
      </c>
      <c r="D2" s="6">
        <f>SUM(D4:D90)</f>
        <v>748674.49899999995</v>
      </c>
      <c r="E2" s="6">
        <f>C2-D2</f>
        <v>175.5010000000475</v>
      </c>
      <c r="F2" s="7">
        <f>IFERROR(E2/D2, 0)</f>
        <v>2.3441562419244027E-4</v>
      </c>
      <c r="G2" s="6">
        <f>SUM(G4:G90)</f>
        <v>895247.98</v>
      </c>
      <c r="H2" s="8">
        <f>C2-G2</f>
        <v>-146397.97999999998</v>
      </c>
      <c r="I2" s="7">
        <f>IFERROR(H2/G2, 0)</f>
        <v>-0.16352785291958993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28.9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748850</v>
      </c>
      <c r="D4" s="14">
        <v>748674.49899999995</v>
      </c>
      <c r="E4" s="14">
        <f>IF(AND(ISNUMBER(C4),ISNUMBER(D4)), C4-D4, "")</f>
        <v>175.5010000000475</v>
      </c>
      <c r="F4" s="15">
        <f>IFERROR(E4/D4, "")</f>
        <v>2.3441562419244027E-4</v>
      </c>
      <c r="G4" s="16">
        <v>895247.98</v>
      </c>
      <c r="H4" s="16">
        <f>IF(AND(ISNUMBER(C4),ISNUMBER(G4)), C4-G4, "")</f>
        <v>-146397.97999999998</v>
      </c>
      <c r="I4" s="17">
        <f>IFERROR(H4/G4, "")</f>
        <v>-0.16352785291958993</v>
      </c>
      <c r="J4" s="18" t="s">
        <v>39</v>
      </c>
      <c r="K4" s="43" t="s">
        <v>40</v>
      </c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099174" xr:uid="{98990AA3-4DAE-48D3-9CD1-6A650B90D821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32"/>
  <sheetViews>
    <sheetView zoomScale="80" zoomScaleNormal="80" workbookViewId="0">
      <pane ySplit="2" topLeftCell="A3" activePane="bottomLeft" state="frozen"/>
      <selection pane="bottomLeft" activeCell="L1" sqref="L1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46"/>
  </cols>
  <sheetData>
    <row r="1" spans="1:12" ht="19.5" customHeight="1">
      <c r="A1" s="51" t="str" cm="1">
        <f t="array" ref="A1">portfolio</f>
        <v>Walden Renewables Dev't LLC</v>
      </c>
      <c r="B1" s="51"/>
      <c r="C1" s="51"/>
      <c r="D1" s="52" t="s">
        <v>41</v>
      </c>
      <c r="E1" s="52"/>
      <c r="F1" s="52"/>
      <c r="G1" s="50" t="s">
        <v>42</v>
      </c>
      <c r="H1" s="50"/>
      <c r="I1" s="50"/>
      <c r="J1" s="5"/>
      <c r="K1" s="5"/>
    </row>
    <row r="2" spans="1:12" ht="19.5" customHeight="1">
      <c r="A2" s="53" t="s">
        <v>2</v>
      </c>
      <c r="B2" s="53"/>
      <c r="C2" s="6">
        <f>SUM(C4:C90)</f>
        <v>868100</v>
      </c>
      <c r="D2" s="6">
        <f>SUM(D4:D90)</f>
        <v>885732.19799999997</v>
      </c>
      <c r="E2" s="6">
        <f>C2-D2</f>
        <v>-17632.197999999975</v>
      </c>
      <c r="F2" s="7">
        <f>IFERROR(E2/D2, 0)</f>
        <v>-1.9906917734066585E-2</v>
      </c>
      <c r="G2" s="6">
        <f>SUM(G4:G90)</f>
        <v>877072.6</v>
      </c>
      <c r="H2" s="8">
        <f>C2-G2</f>
        <v>-8972.5999999999767</v>
      </c>
      <c r="I2" s="7">
        <f>IFERROR(H2/G2, 0)</f>
        <v>-1.0230167947328393E-2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2" ht="63.75" customHeight="1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>
        <v>868100</v>
      </c>
      <c r="D4" s="14">
        <v>885732.19799999997</v>
      </c>
      <c r="E4" s="14">
        <f>IF(AND(ISNUMBER(C4),ISNUMBER(D4)), C4-D4, "")</f>
        <v>-17632.197999999975</v>
      </c>
      <c r="F4" s="15">
        <f>IFERROR(E4/D4, "")</f>
        <v>-1.9906917734066585E-2</v>
      </c>
      <c r="G4" s="16">
        <v>877072.6</v>
      </c>
      <c r="H4" s="16">
        <f>IF(AND(ISNUMBER(C4),ISNUMBER(G4)), C4-G4, "")</f>
        <v>-8972.5999999999767</v>
      </c>
      <c r="I4" s="17">
        <f>IFERROR(H4/G4, "")</f>
        <v>-1.0230167947328393E-2</v>
      </c>
      <c r="J4" s="18" t="s">
        <v>43</v>
      </c>
      <c r="K4" s="43" t="s">
        <v>44</v>
      </c>
      <c r="L4" s="47" t="s">
        <v>45</v>
      </c>
    </row>
    <row r="5" spans="1:12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099174" xr:uid="{13CB9469-1580-48BB-AD01-51D4D8140633}"/>
    <hyperlink ref="L4" r:id="rId2" display="https://us3.assetplanner.com/service_request?ID=103744" xr:uid="{01EAD350-72D5-4657-8076-DE3C4C34692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Q332"/>
  <sheetViews>
    <sheetView zoomScale="70" zoomScaleNormal="70" workbookViewId="0">
      <pane ySplit="2" topLeftCell="A3" activePane="bottomLeft" state="frozen"/>
      <selection pane="bottomLeft" activeCell="S9" sqref="S9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7" width="9.140625" style="48"/>
  </cols>
  <sheetData>
    <row r="1" spans="1:17" ht="19.5" customHeight="1">
      <c r="A1" s="51" t="str" cm="1">
        <f t="array" ref="A1">portfolio</f>
        <v>Walden Renewables Dev't LLC</v>
      </c>
      <c r="B1" s="51"/>
      <c r="C1" s="51"/>
      <c r="D1" s="52" t="s">
        <v>46</v>
      </c>
      <c r="E1" s="52"/>
      <c r="F1" s="52"/>
      <c r="G1" s="50" t="s">
        <v>47</v>
      </c>
      <c r="H1" s="50"/>
      <c r="I1" s="50"/>
      <c r="J1" s="5"/>
      <c r="K1" s="5"/>
    </row>
    <row r="2" spans="1:17" ht="19.5" customHeight="1">
      <c r="A2" s="53" t="s">
        <v>2</v>
      </c>
      <c r="B2" s="53"/>
      <c r="C2" s="6">
        <f>SUM(C4:C90)</f>
        <v>926000</v>
      </c>
      <c r="D2" s="6">
        <f>SUM(D4:D90)</f>
        <v>960073.57299999997</v>
      </c>
      <c r="E2" s="6">
        <f>C2-D2</f>
        <v>-34073.572999999975</v>
      </c>
      <c r="F2" s="7">
        <f>IFERROR(E2/D2, 0)</f>
        <v>-3.5490585261635961E-2</v>
      </c>
      <c r="G2" s="6">
        <f>SUM(G4:G90)</f>
        <v>932088.42</v>
      </c>
      <c r="H2" s="8">
        <f>C2-G2</f>
        <v>-6088.4200000000419</v>
      </c>
      <c r="I2" s="7">
        <f>IFERROR(H2/G2, 0)</f>
        <v>-6.5320197841316832E-3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7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7" ht="129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926000</v>
      </c>
      <c r="D4" s="14">
        <v>960073.57299999997</v>
      </c>
      <c r="E4" s="14">
        <f>IF(AND(ISNUMBER(C4),ISNUMBER(D4)), C4-D4, "")</f>
        <v>-34073.572999999975</v>
      </c>
      <c r="F4" s="15">
        <f>IFERROR(E4/D4, "")</f>
        <v>-3.5490585261635961E-2</v>
      </c>
      <c r="G4" s="16">
        <v>932088.42</v>
      </c>
      <c r="H4" s="16">
        <f>IF(AND(ISNUMBER(C4),ISNUMBER(G4)), C4-G4, "")</f>
        <v>-6088.4200000000419</v>
      </c>
      <c r="I4" s="17">
        <f>IFERROR(H4/G4, "")</f>
        <v>-6.5320197841316832E-3</v>
      </c>
      <c r="J4" s="49" t="s">
        <v>48</v>
      </c>
      <c r="K4" s="43" t="s">
        <v>49</v>
      </c>
      <c r="L4" s="44" t="s">
        <v>50</v>
      </c>
      <c r="M4" s="44" t="s">
        <v>51</v>
      </c>
      <c r="N4" s="44" t="s">
        <v>52</v>
      </c>
      <c r="O4" s="44" t="s">
        <v>53</v>
      </c>
      <c r="P4" s="44" t="s">
        <v>45</v>
      </c>
      <c r="Q4" s="44" t="s">
        <v>54</v>
      </c>
    </row>
    <row r="5" spans="1:17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7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7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7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7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7" ht="14.45">
      <c r="A10" s="23"/>
      <c r="B10" s="34"/>
      <c r="C10" s="23"/>
      <c r="D10" s="23"/>
      <c r="E10" s="23"/>
      <c r="F10" s="23"/>
      <c r="G10" s="23"/>
      <c r="H10" s="23"/>
      <c r="I10" s="23"/>
      <c r="J10" s="23" t="s">
        <v>55</v>
      </c>
      <c r="K10" s="23"/>
    </row>
    <row r="11" spans="1:17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7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7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7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7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7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3827" xr:uid="{24125573-C7EE-4083-B2A4-D3FDE0F2B600}"/>
    <hyperlink ref="L4" r:id="rId2" display="https://us3.assetplanner.com/service_request?ID=104365" xr:uid="{0F3BC671-5F5D-4708-BB60-66BFBC22E45A}"/>
    <hyperlink ref="M4" r:id="rId3" display="https://us3.assetplanner.com/service_request?ID=104443" xr:uid="{AA4121BA-AE3D-4C0E-A5BB-98D41FBD38A0}"/>
    <hyperlink ref="N4" r:id="rId4" display="https://us3.assetplanner.com/service_request?ID=104568" xr:uid="{325E939D-3583-47E3-B006-453D0EC34F1F}"/>
    <hyperlink ref="O4" r:id="rId5" display="https://us3.assetplanner.com/service_request?ID=103827" xr:uid="{2B394CA1-0585-4800-86E8-5C7C4392EA1F}"/>
    <hyperlink ref="P4" r:id="rId6" display="https://us3.assetplanner.com/service_request?ID=103744" xr:uid="{DDF1E588-F559-4E2F-A2B5-2C71491D02FD}"/>
    <hyperlink ref="Q4" r:id="rId7" display="https://us3.assetplanner.com/service_request?ID=105336" xr:uid="{8C21DCD2-07AF-479A-B6F6-36147F3CC33E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tabSelected="1" zoomScale="80" zoomScaleNormal="80" workbookViewId="0">
      <pane ySplit="2" topLeftCell="K4" activePane="bottomLeft" state="frozen"/>
      <selection pane="bottomLeft" activeCell="K4" sqref="K4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56</v>
      </c>
      <c r="E1" s="52"/>
      <c r="F1" s="52"/>
      <c r="G1" s="50" t="s">
        <v>57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SUM(C4:C30)</f>
        <v>985740</v>
      </c>
      <c r="D2" s="6">
        <f>SUM(D4:D30)</f>
        <v>1030575</v>
      </c>
      <c r="E2" s="6">
        <f>C2-D2</f>
        <v>-44835</v>
      </c>
      <c r="F2" s="7">
        <f>IFERROR(E2/D2, 0)</f>
        <v>-4.3504839531329595E-2</v>
      </c>
      <c r="G2" s="6">
        <f>SUM(G4:G30)</f>
        <v>897662.9</v>
      </c>
      <c r="H2" s="8">
        <f>C2-G2</f>
        <v>88077.099999999977</v>
      </c>
      <c r="I2" s="7">
        <f>IFERROR(H2/G2, 0)</f>
        <v>9.8118235698501047E-2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>
        <v>985740</v>
      </c>
      <c r="D4" s="14">
        <v>1030575</v>
      </c>
      <c r="E4" s="14">
        <f>IF(AND(ISNUMBER(C4),ISNUMBER(D4)), C4-D4, "")</f>
        <v>-44835</v>
      </c>
      <c r="F4" s="15">
        <f>IFERROR(E4/D4, "")</f>
        <v>-4.3504839531329595E-2</v>
      </c>
      <c r="G4" s="16">
        <v>897662.9</v>
      </c>
      <c r="H4" s="16">
        <f>IF(AND(ISNUMBER(C4),ISNUMBER(G4)), C4-G4, "")</f>
        <v>88077.099999999977</v>
      </c>
      <c r="I4" s="17">
        <f>IFERROR(H4/G4, "")</f>
        <v>9.8118235698501047E-2</v>
      </c>
      <c r="J4" s="18" t="s">
        <v>58</v>
      </c>
      <c r="K4" s="43" t="s">
        <v>59</v>
      </c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hyperlinks>
    <hyperlink ref="K4" r:id="rId1" display="https://us3.assetplanner.com/service_request?ID=107227" xr:uid="{F9B133E5-D142-4F61-838F-4D39BDEB42D9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60</v>
      </c>
      <c r="E1" s="52"/>
      <c r="F1" s="52"/>
      <c r="G1" s="50" t="s">
        <v>61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62</v>
      </c>
      <c r="E1" s="52"/>
      <c r="F1" s="52"/>
      <c r="G1" s="50" t="s">
        <v>63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G25" sqref="G25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64</v>
      </c>
      <c r="E1" s="52"/>
      <c r="F1" s="52"/>
      <c r="G1" s="50" t="s">
        <v>65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38.25" customHeight="1">
      <c r="A4" s="42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A3" activePane="bottomLeft" state="frozen"/>
      <selection pane="bottomLeft" activeCell="G25" sqref="G25"/>
      <selection activeCell="J4" activeCellId="3" sqref="B25 C4:D4 G4 J4:K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1" t="str" cm="1">
        <f t="array" ref="A1">portfolio</f>
        <v>Walden Renewables Dev't LLC</v>
      </c>
      <c r="B1" s="51"/>
      <c r="C1" s="51"/>
      <c r="D1" s="52" t="s">
        <v>66</v>
      </c>
      <c r="E1" s="52"/>
      <c r="F1" s="52"/>
      <c r="G1" s="50" t="s">
        <v>67</v>
      </c>
      <c r="H1" s="50"/>
      <c r="I1" s="50"/>
      <c r="J1" s="5"/>
      <c r="K1" s="5"/>
    </row>
    <row r="2" spans="1:11" ht="19.5" customHeight="1">
      <c r="A2" s="53" t="s">
        <v>2</v>
      </c>
      <c r="B2" s="53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21</v>
      </c>
      <c r="K3" s="27" t="s">
        <v>22</v>
      </c>
    </row>
    <row r="4" spans="1:11" ht="15.6">
      <c r="A4" s="33" t="str" cm="1">
        <f t="array" ref="A4">Sites[Site]</f>
        <v>ME: Wells - Littlefield Solar</v>
      </c>
      <c r="B4" s="30" t="str" cm="1">
        <f t="array" ref="B4">Sites[State]</f>
        <v>MAINE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F20" sqref="F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68</v>
      </c>
      <c r="B1" t="s">
        <v>69</v>
      </c>
    </row>
    <row r="3" spans="1:7" ht="13.15">
      <c r="A3" t="s">
        <v>70</v>
      </c>
      <c r="B3" t="s">
        <v>3</v>
      </c>
      <c r="C3" t="s">
        <v>4</v>
      </c>
      <c r="D3" t="s">
        <v>71</v>
      </c>
      <c r="E3" s="2" t="s">
        <v>72</v>
      </c>
    </row>
    <row r="4" spans="1:7" ht="14.45">
      <c r="A4" t="s">
        <v>73</v>
      </c>
      <c r="B4" t="s">
        <v>74</v>
      </c>
      <c r="C4" s="4" t="s">
        <v>75</v>
      </c>
      <c r="D4" t="s">
        <v>76</v>
      </c>
      <c r="E4" t="s">
        <v>77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1954BBA4-0359-438C-B0EC-A756015F7C02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84F1B64F-96FE-439A-9808-7B3DD7715F24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078388C9-06F9-42F4-B857-EF76B5CAF1FD}"/>
</file>

<file path=customXml/itemProps12.xml><?xml version="1.0" encoding="utf-8"?>
<ds:datastoreItem xmlns:ds="http://schemas.openxmlformats.org/officeDocument/2006/customXml" ds:itemID="{2BC74AAC-D69B-4AF1-9649-B21EF3C1C463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Zierlein, Roy</cp:lastModifiedBy>
  <cp:revision/>
  <dcterms:created xsi:type="dcterms:W3CDTF">2021-01-01T16:39:53Z</dcterms:created>
  <dcterms:modified xsi:type="dcterms:W3CDTF">2025-09-24T20:06:59Z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2025-09-24T20:06:06Z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dc8e4636-8069-4a22-bc27-bd0c1ece09f1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