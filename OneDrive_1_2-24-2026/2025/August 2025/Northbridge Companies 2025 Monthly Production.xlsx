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4" documentId="13_ncr:1_{1532EAF5-5368-44B6-B9CC-5E2E70FAA123}" xr6:coauthVersionLast="47" xr6:coauthVersionMax="47" xr10:uidLastSave="{42AF7C3D-F9F0-4B4C-B26F-00D37CD1D75E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7" l="1"/>
  <c r="H5" i="4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<sst xmlns="http://schemas.openxmlformats.org/spreadsheetml/2006/main" count="279" uniqueCount="70">
  <si>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</si>
  <si>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</si>
  <si>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</si>
  <si>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</si>
  <si>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</si>
  <si>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</si>
  <si>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</si>
  <si>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</si>
  <si>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</si>
  <si>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</si>
  <si>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</si>
  <si>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</si>
  <si>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</si>
  <si>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</si>
  <si>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</si>
  <si>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</si>
  <si>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</si>
  <si>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</si>
  <si>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</si>
  <si>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</si>
  <si>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</si>
  <si>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</si>
  <si>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</si>
  <si>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</si>
  <si>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</si>
  <si>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</si>
  <si>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</si>
  <si>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</si>
  <si>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</si>
  <si>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</si>
  <si>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</si>
  <si>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</si>
  <si>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</si>
  <si>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</si>
  <si>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</si>
  <si>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</si>
  <si>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1.Site tripped offline at 12:15 on 04/23,meter voltages were abnormal,techician checked in and found that site is running and producing without communication due to faulty step down transformer.</t>
  </si>
  <si>
    <t>1.SR100216</t>
  </si>
  <si>
    <t>1.Inverter 2.3 didn't start for production reporting "Insulation resistance low"
and was back online at 12:44 on 04/22.
2.The POA irradiance sensor has intermittent communication issues and has been
 showing bad data since 11/03/2024.</t>
  </si>
  <si>
    <t>1.SR098622
2.SR094280</t>
  </si>
  <si>
    <t>May Actual v. Expected</t>
  </si>
  <si>
    <t>May Actual v. Forecasted</t>
  </si>
  <si>
    <t>1.Site was not communicated for whole month due to a damaged transformer affecting communications.</t>
  </si>
  <si>
    <t>1. SR094280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</si>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</sst>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49" fontId="35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280" TargetMode="External"/><Relationship Id="rId2" Type="http://schemas.openxmlformats.org/officeDocument/2006/relationships/hyperlink" Target="https://us3.assetplanner.com/service_request?ID=098622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Northbridge Companies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>
      <c r="A2" s="58" t="s">
        <v>2</v>
      </c>
      <c r="B2" s="58"/>
      <c r="C2" s="6">
        <f>SUM(C4:C90)</f>
        <v>291845.65000000002</v>
      </c>
      <c r="D2" s="6">
        <f>SUM(D4:D90)</f>
        <v>141079.39600000001</v>
      </c>
      <c r="E2" s="6">
        <f>C2-D2</f>
        <v>150766.25400000002</v>
      </c>
      <c r="F2" s="7">
        <f>IFERROR(E2/D2, 0)</f>
        <v>1.0686624572733499</v>
      </c>
      <c r="G2" s="6">
        <f>SUM(G4:G90)</f>
        <v>201110.41599999997</v>
      </c>
      <c r="H2" s="8">
        <f>C2-G2</f>
        <v>90735.234000000055</v>
      </c>
      <c r="I2" s="7">
        <f>IFERROR(H2/G2, 0)</f>
        <v>0.45117123123051006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80923.399999999994</v>
      </c>
      <c r="D4" s="14">
        <f>SUM('1st Qtr'!D4, '2nd Qtr'!D4, '3rd Qtr'!D4, '4th Qtr'!D4)</f>
        <v>0</v>
      </c>
      <c r="E4" s="14">
        <f>IF(AND(ISNUMBER(C4),ISNUMBER(D4)), C4-D4, "")</f>
        <v>80923.399999999994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20">
        <f>SUM('1st Qtr'!C5, '2nd Qtr'!C5, '3rd Qtr'!C5, '4th Qtr'!C5)</f>
        <v>210922.25</v>
      </c>
      <c r="D5" s="20">
        <f>SUM('1st Qtr'!D5, '2nd Qtr'!D5, '3rd Qtr'!D5, '4th Qtr'!D5)</f>
        <v>141079.39600000001</v>
      </c>
      <c r="E5" s="20">
        <f t="shared" ref="E5" si="0">IF(AND(ISNUMBER(C5),ISNUMBER(D5)), C5-D5, "")</f>
        <v>69842.853999999992</v>
      </c>
      <c r="F5" s="21">
        <f>IFERROR(E5/D5, "")</f>
        <v>0.49506062529499339</v>
      </c>
      <c r="G5" s="22">
        <f>SUM('1st Qtr'!G5,'2nd Qtr'!G5,'3rd Qtr'!G5,'4th Qtr'!G5)</f>
        <v>201110.41599999997</v>
      </c>
      <c r="H5" s="22">
        <f>SUM('1st Qtr'!H5, '2nd Qtr'!H5, '3rd Qtr'!H5, '4th Qtr'!H5)</f>
        <v>9811.8340000000007</v>
      </c>
      <c r="I5" s="21">
        <f>IFERROR(H5/G5, "")</f>
        <v>4.878829349147188E-2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Northbridge Companies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>
      <c r="A2" s="58" t="s">
        <v>2</v>
      </c>
      <c r="B2" s="58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2.7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Northbridge Companies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>
      <c r="A2" s="58" t="s">
        <v>2</v>
      </c>
      <c r="B2" s="58"/>
      <c r="C2" s="6">
        <f>SUM(C4:C90)</f>
        <v>106640.815</v>
      </c>
      <c r="D2" s="6">
        <f>SUM(D4:D90)</f>
        <v>34396.06</v>
      </c>
      <c r="E2" s="6">
        <f>C2-D2</f>
        <v>72244.755000000005</v>
      </c>
      <c r="F2" s="7">
        <f>IFERROR(E2/D2, 0)</f>
        <v>2.1003787933850564</v>
      </c>
      <c r="G2" s="6">
        <f>SUM(G4:G90)</f>
        <v>89142.737999999998</v>
      </c>
      <c r="H2" s="8">
        <f>C2-G2</f>
        <v>17498.077000000005</v>
      </c>
      <c r="I2" s="7">
        <f>IFERROR(H2/G2, 0)</f>
        <v>0.19629279280158532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18456.439999999999</v>
      </c>
      <c r="D4" s="14">
        <f>SUM(Apr!D4, May!D4, Jun!D4)</f>
        <v>0</v>
      </c>
      <c r="E4" s="14">
        <f>IF(AND(ISNUMBER(C4),ISNUMBER(D4)), C4-D4, "")</f>
        <v>18456.439999999999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SUM(Apr!C5, May!C5, Jun!C5)</f>
        <v>88184.375</v>
      </c>
      <c r="D5" s="20">
        <f>SUM(Apr!D5, May!D5, Jun!D5)</f>
        <v>34396.06</v>
      </c>
      <c r="E5" s="20">
        <f t="shared" ref="E5" si="0">IF(AND(ISNUMBER(C5),ISNUMBER(D5)), C5-D5, "")</f>
        <v>53788.315000000002</v>
      </c>
      <c r="F5" s="21">
        <f>IFERROR(E5/D5, "")</f>
        <v>1.5637929169794449</v>
      </c>
      <c r="G5" s="12">
        <f>SUM(Apr!G5, May!G5, Jun!G5)</f>
        <v>89142.737999999998</v>
      </c>
      <c r="H5" s="22">
        <f>SUM(Apr!H5, May!H5, Jun!H5)</f>
        <v>-958.36300000000119</v>
      </c>
      <c r="I5" s="21">
        <f>IFERROR(H5/G5, "")</f>
        <v>-1.0750881356145929E-2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Northbridge Companies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>
      <c r="A2" s="58" t="s">
        <v>2</v>
      </c>
      <c r="B2" s="58"/>
      <c r="C2" s="6">
        <f>SUM(C4:C90)</f>
        <v>66985.75</v>
      </c>
      <c r="D2" s="6">
        <f>SUM(D4:D90)</f>
        <v>27489.743000000002</v>
      </c>
      <c r="E2" s="6">
        <f>C2-D2</f>
        <v>39496.006999999998</v>
      </c>
      <c r="F2" s="7">
        <f>IFERROR(E2/D2, 0)</f>
        <v>1.4367543196020418</v>
      </c>
      <c r="G2" s="6">
        <f>SUM(G4:G90)</f>
        <v>59973.213000000003</v>
      </c>
      <c r="H2" s="8">
        <f>C2-G2</f>
        <v>7012.5369999999966</v>
      </c>
      <c r="I2" s="7">
        <f>IFERROR(H2/G2, 0)</f>
        <v>0.1169278190915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SUM(Jul!C5, Aug!C5, Sep!C5)</f>
        <v>66985.75</v>
      </c>
      <c r="D5" s="20">
        <f>SUM(Jul!D5, Aug!D5, Sep!D5)</f>
        <v>27489.743000000002</v>
      </c>
      <c r="E5" s="20">
        <f t="shared" ref="E5" si="0">IF(AND(ISNUMBER(C5),ISNUMBER(D5)), C5-D5, "")</f>
        <v>39496.006999999998</v>
      </c>
      <c r="F5" s="21">
        <f>IFERROR(E5/D5, "")</f>
        <v>1.4367543196020418</v>
      </c>
      <c r="G5" s="20">
        <f>SUM(Jul!G5, Aug!G5, Sep!G5)</f>
        <v>59973.213000000003</v>
      </c>
      <c r="H5" s="22">
        <f>SUM(Jul!H5, Aug!H5, Sep!H5)</f>
        <v>7012.5370000000003</v>
      </c>
      <c r="I5" s="21">
        <f>IFERROR(H5/G5, "")</f>
        <v>0.11692781909150006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6" t="str" cm="1">
        <f t="array" ref="A1">portfolio</f>
        <v>Northbridge Companies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>
      <c r="A2" s="58" t="s">
        <v>2</v>
      </c>
      <c r="B2" s="5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pane="bottomLeft" activeCell="G18" sqref="G18"/>
      <selection activeCell="F18" sqref="F18"/>
    </sheetView>
  </sheetViews>
  <sheetFormatPr defaultRowHeight="13.5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0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5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3" t="s">
        <v>23</v>
      </c>
      <c r="K5" s="46" t="s">
        <v>24</v>
      </c>
    </row>
    <row r="6" spans="1:11" ht="14.2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6" t="str" cm="1">
        <f t="array" ref="A1">portfolio</f>
        <v>Northbridge Companies</v>
      </c>
      <c r="B1" s="56"/>
      <c r="C1" s="56"/>
      <c r="D1" s="57" t="s">
        <v>25</v>
      </c>
      <c r="E1" s="57"/>
      <c r="F1" s="57"/>
      <c r="G1" s="55" t="s">
        <v>26</v>
      </c>
      <c r="H1" s="55"/>
      <c r="I1" s="55"/>
      <c r="J1" s="5"/>
      <c r="K1" s="5"/>
    </row>
    <row r="2" spans="1:12" ht="19.5" customHeight="1">
      <c r="A2" s="58" t="s">
        <v>2</v>
      </c>
      <c r="B2" s="58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0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85.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3" t="s">
        <v>27</v>
      </c>
      <c r="K5" s="46" t="s">
        <v>28</v>
      </c>
      <c r="L5" s="52" t="s">
        <v>29</v>
      </c>
    </row>
    <row r="6" spans="1:12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D15" sqref="D15"/>
      <selection activeCell="F18" sqref="F18"/>
    </sheetView>
  </sheetViews>
  <sheetFormatPr defaultRowHeight="13.5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30</v>
      </c>
      <c r="E1" s="57"/>
      <c r="F1" s="57"/>
      <c r="G1" s="55" t="s">
        <v>31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0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5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47">
        <f>IF(AND(ISNUMBER(C5),ISNUMBER(G5)), C5-G5, "")</f>
        <v>2775.3240000000005</v>
      </c>
      <c r="I5" s="21">
        <f t="shared" ref="I5" si="1">IFERROR(H5/G5, "")</f>
        <v>0.12475510397831972</v>
      </c>
      <c r="J5" s="43" t="s">
        <v>32</v>
      </c>
      <c r="K5" s="51" t="s">
        <v>33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2"/>
  <sheetViews>
    <sheetView topLeftCell="B1" workbookViewId="0">
      <pane ySplit="2" topLeftCell="A3" activePane="bottomLeft" state="frozen"/>
      <selection pane="bottomLeft" activeCell="J11" sqref="J11"/>
      <selection activeCell="F18" sqref="F1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4"/>
  </cols>
  <sheetData>
    <row r="1" spans="1:12" ht="19.5" customHeight="1">
      <c r="A1" s="56" t="str" cm="1">
        <f t="array" ref="A1">portfolio</f>
        <v>Northbridge Companies</v>
      </c>
      <c r="B1" s="56"/>
      <c r="C1" s="56"/>
      <c r="D1" s="57" t="s">
        <v>34</v>
      </c>
      <c r="E1" s="57"/>
      <c r="F1" s="57"/>
      <c r="G1" s="55" t="s">
        <v>35</v>
      </c>
      <c r="H1" s="55"/>
      <c r="I1" s="55"/>
      <c r="J1" s="5"/>
      <c r="K1" s="5"/>
    </row>
    <row r="2" spans="1:12" ht="19.5" customHeight="1">
      <c r="A2" s="58" t="s">
        <v>2</v>
      </c>
      <c r="B2" s="58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42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18456.439999999999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0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36</v>
      </c>
      <c r="K4" s="53" t="s">
        <v>37</v>
      </c>
    </row>
    <row r="5" spans="1:12" ht="57">
      <c r="A5" s="31" t="str">
        <v>MA: North Dartmouth - 293 Cross St (Array 2)</v>
      </c>
      <c r="B5" s="32" t="str">
        <v>MA</v>
      </c>
      <c r="C5" s="12">
        <v>27544.625</v>
      </c>
      <c r="D5" s="20"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22">
        <v>26440.769</v>
      </c>
      <c r="H5" s="22">
        <f t="shared" ref="H5" si="1">IF(AND(ISNUMBER(C5),ISNUMBER(G5)), C5-G5, "")</f>
        <v>1103.8559999999998</v>
      </c>
      <c r="I5" s="21">
        <f t="shared" ref="I5" si="2">IFERROR(H5/G5, "")</f>
        <v>4.1748256262894613E-2</v>
      </c>
      <c r="J5" s="43" t="s">
        <v>38</v>
      </c>
      <c r="K5" s="46" t="s">
        <v>39</v>
      </c>
      <c r="L5" s="52" t="s">
        <v>29</v>
      </c>
    </row>
    <row r="6" spans="1:12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100216" xr:uid="{A3CC9481-13B3-4E47-86D9-6E7013E1F660}"/>
    <hyperlink ref="K5" r:id="rId2" display="https://us3.assetplanner.com/service_request?ID=098622" xr:uid="{847F17A3-9F59-421B-AC7C-AD61EC9D2E2A}"/>
    <hyperlink ref="L5" r:id="rId3" display="https://us3.assetplanner.com/service_request?ID=094280" xr:uid="{95DFD69E-F5A2-4BC9-9B02-E5D473467D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K4" sqref="K4"/>
      <selection activeCell="F18" sqref="F18"/>
    </sheetView>
  </sheetViews>
  <sheetFormatPr defaultRowHeight="13.5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40</v>
      </c>
      <c r="E1" s="57"/>
      <c r="F1" s="57"/>
      <c r="G1" s="55" t="s">
        <v>41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SUM(C4:C90)</f>
        <v>29245.125</v>
      </c>
      <c r="D2" s="6">
        <f>SUM(D4:D90)</f>
        <v>13831.293</v>
      </c>
      <c r="E2" s="6">
        <f>C2-D2</f>
        <v>15413.832</v>
      </c>
      <c r="F2" s="7">
        <f>IFERROR(E2/D2, 0)</f>
        <v>1.1144172854989045</v>
      </c>
      <c r="G2" s="6">
        <f>SUM(G4:G90)</f>
        <v>30978.309000000001</v>
      </c>
      <c r="H2" s="8">
        <f>C2-G2</f>
        <v>-1733.1840000000011</v>
      </c>
      <c r="I2" s="7">
        <f>IFERROR(H2/G2, 0)</f>
        <v>-5.5948308863469631E-2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3" t="s">
        <v>37</v>
      </c>
    </row>
    <row r="5" spans="1:11" ht="28.5">
      <c r="A5" s="31" t="str">
        <v>MA: North Dartmouth - 293 Cross St (Array 2)</v>
      </c>
      <c r="B5" s="32" t="str">
        <v>MA</v>
      </c>
      <c r="C5" s="12">
        <v>29245.125</v>
      </c>
      <c r="D5" s="20">
        <v>13831.293</v>
      </c>
      <c r="E5" s="20">
        <f t="shared" ref="E5" si="0">IF(AND(ISNUMBER(C5),ISNUMBER(D5)), C5-D5, "")</f>
        <v>15413.832</v>
      </c>
      <c r="F5" s="21">
        <f>IFERROR(E5/D5, "")</f>
        <v>1.1144172854989045</v>
      </c>
      <c r="G5" s="22">
        <v>30978.309000000001</v>
      </c>
      <c r="H5" s="22">
        <f t="shared" ref="H5" si="1">IF(AND(ISNUMBER(C5),ISNUMBER(G5)), C5-G5, "")</f>
        <v>-1733.1840000000011</v>
      </c>
      <c r="I5" s="21">
        <f t="shared" ref="I5" si="2">IFERROR(H5/G5, "")</f>
        <v>-5.5948308863469631E-2</v>
      </c>
      <c r="J5" s="43" t="s">
        <v>32</v>
      </c>
      <c r="K5" s="51" t="s">
        <v>43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100216" xr:uid="{95494AA4-0AB1-4B46-A6D7-9C249285F2FD}"/>
    <hyperlink ref="K5" r:id="rId2" display="https://us3.assetplanner.com/service_request?ID=094280" xr:uid="{31A6E779-93FD-405A-98B1-FB3815E9951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J4" sqref="J4"/>
      <selection activeCell="F18" sqref="F18"/>
    </sheetView>
  </sheetViews>
  <sheetFormatPr defaultRowHeight="13.5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44</v>
      </c>
      <c r="E1" s="57"/>
      <c r="F1" s="57"/>
      <c r="G1" s="55" t="s">
        <v>45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SUM(C4:C90)</f>
        <v>31394.625</v>
      </c>
      <c r="D2" s="6">
        <f>SUM(D4:D90)</f>
        <v>7267.3289999999997</v>
      </c>
      <c r="E2" s="6">
        <f>C2-D2</f>
        <v>24127.296000000002</v>
      </c>
      <c r="F2" s="7">
        <f>IFERROR(E2/D2, 0)</f>
        <v>3.3199674873670921</v>
      </c>
      <c r="G2" s="6">
        <f>SUM(G4:G90)</f>
        <v>31723.66</v>
      </c>
      <c r="H2" s="8">
        <f>C2-G2</f>
        <v>-329.03499999999985</v>
      </c>
      <c r="I2" s="7">
        <f>IFERROR(H2/G2, 0)</f>
        <v>-1.0371911689886975E-2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3" t="s">
        <v>37</v>
      </c>
    </row>
    <row r="5" spans="1:11" ht="28.5">
      <c r="A5" s="31" t="str">
        <v>MA: North Dartmouth - 293 Cross St (Array 2)</v>
      </c>
      <c r="B5" s="32" t="str">
        <v>MA</v>
      </c>
      <c r="C5" s="12">
        <v>31394.625</v>
      </c>
      <c r="D5" s="20">
        <v>7267.3289999999997</v>
      </c>
      <c r="E5" s="20">
        <f t="shared" ref="E5" si="0">IF(AND(ISNUMBER(C5),ISNUMBER(D5)), C5-D5, "")</f>
        <v>24127.296000000002</v>
      </c>
      <c r="F5" s="21">
        <f>IFERROR(E5/D5, "")</f>
        <v>3.3199674873670921</v>
      </c>
      <c r="G5" s="22">
        <v>31723.66</v>
      </c>
      <c r="H5" s="22">
        <f t="shared" ref="H5" si="1">IF(AND(ISNUMBER(C5),ISNUMBER(G5)), C5-G5, "")</f>
        <v>-329.03499999999985</v>
      </c>
      <c r="I5" s="21">
        <f t="shared" ref="I5" si="2">IFERROR(H5/G5, "")</f>
        <v>-1.0371911689886975E-2</v>
      </c>
      <c r="J5" s="43" t="s">
        <v>32</v>
      </c>
      <c r="K5" s="51" t="s">
        <v>33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100216" xr:uid="{8716BE45-57DE-4E6C-B016-3A98E5BAD8E8}"/>
    <hyperlink ref="K5" r:id="rId2" display="https://us3.assetplanner.com/service_request?ID=094280" xr:uid="{9A9FBA6D-6B94-4F7F-9207-34339E9D103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J5" sqref="J5:K5"/>
      <selection activeCell="F18" sqref="F1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46</v>
      </c>
      <c r="E1" s="57"/>
      <c r="F1" s="57"/>
      <c r="G1" s="55" t="s">
        <v>47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SUM(C4:C90)</f>
        <v>32655.625</v>
      </c>
      <c r="D2" s="6">
        <f>SUM(D4:D90)</f>
        <v>12807.285</v>
      </c>
      <c r="E2" s="6">
        <f>C2-D2</f>
        <v>19848.34</v>
      </c>
      <c r="F2" s="7">
        <f>IFERROR(E2/D2, 0)</f>
        <v>1.5497695257035351</v>
      </c>
      <c r="G2" s="6">
        <f>SUM(G4:G90)</f>
        <v>30863.213</v>
      </c>
      <c r="H2" s="8">
        <f>C2-G2</f>
        <v>1792.4120000000003</v>
      </c>
      <c r="I2" s="7">
        <f>IFERROR(H2/G2, 0)</f>
        <v>5.8076001354752022E-2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3" t="s">
        <v>37</v>
      </c>
    </row>
    <row r="5" spans="1:11" ht="28.5">
      <c r="A5" s="31" t="str">
        <v>MA: North Dartmouth - 293 Cross St (Array 2)</v>
      </c>
      <c r="B5" s="32" t="str">
        <v>MA</v>
      </c>
      <c r="C5" s="12">
        <v>32655.625</v>
      </c>
      <c r="D5" s="20">
        <v>12807.285</v>
      </c>
      <c r="E5" s="20">
        <f t="shared" ref="E5" si="0">IF(AND(ISNUMBER(C5),ISNUMBER(D5)), C5-D5, "")</f>
        <v>19848.34</v>
      </c>
      <c r="F5" s="21">
        <f>IFERROR(E5/D5, "")</f>
        <v>1.5497695257035351</v>
      </c>
      <c r="G5" s="22">
        <v>30863.213</v>
      </c>
      <c r="H5" s="22">
        <f t="shared" ref="H5" si="1">IF(AND(ISNUMBER(C5),ISNUMBER(G5)), C5-G5, "")</f>
        <v>1792.4120000000003</v>
      </c>
      <c r="I5" s="21">
        <f t="shared" ref="I5" si="2">IFERROR(H5/G5, "")</f>
        <v>5.8076001354752022E-2</v>
      </c>
      <c r="J5" s="44" t="s">
        <v>32</v>
      </c>
      <c r="K5" s="51" t="s">
        <v>33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0216" xr:uid="{9635BA9B-428C-4796-B051-1E1A5448BFEE}"/>
    <hyperlink ref="K5" r:id="rId2" display="https://us3.assetplanner.com/service_request?ID=094280" xr:uid="{E5157812-88F0-4C64-BD92-B374D2001C1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tabSelected="1" zoomScale="80" zoomScaleNormal="80" workbookViewId="0">
      <pane ySplit="2" topLeftCell="A3" activePane="bottomLeft" state="frozen"/>
      <selection pane="bottomLeft" activeCell="A4" sqref="A4"/>
      <selection activeCell="F18" sqref="F18"/>
    </sheetView>
  </sheetViews>
  <sheetFormatPr defaultRowHeight="13.5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48</v>
      </c>
      <c r="E1" s="57"/>
      <c r="F1" s="57"/>
      <c r="G1" s="55" t="s">
        <v>49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SUM(C4:C90)</f>
        <v>34330.125</v>
      </c>
      <c r="D2" s="6">
        <f>SUM(D4:D90)</f>
        <v>14682.458000000001</v>
      </c>
      <c r="E2" s="6">
        <f>C2-D2</f>
        <v>19647.667000000001</v>
      </c>
      <c r="F2" s="7">
        <f>IFERROR(E2/D2, 0)</f>
        <v>1.3381728726893005</v>
      </c>
      <c r="G2" s="6">
        <f>SUM(G4:G90)</f>
        <v>29110</v>
      </c>
      <c r="H2" s="8">
        <f>C2-G2</f>
        <v>5220.125</v>
      </c>
      <c r="I2" s="7">
        <f>IFERROR(H2/G2, 0)</f>
        <v>0.17932411542425283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3" t="s">
        <v>37</v>
      </c>
    </row>
    <row r="5" spans="1:11" ht="28.5">
      <c r="A5" s="31" t="str">
        <v>MA: North Dartmouth - 293 Cross St (Array 2)</v>
      </c>
      <c r="B5" s="32" t="str">
        <v>MA</v>
      </c>
      <c r="C5" s="12">
        <v>34330.125</v>
      </c>
      <c r="D5" s="20">
        <v>14682.458000000001</v>
      </c>
      <c r="E5" s="20">
        <f>IF(AND(ISNUMBER(C5),ISNUMBER(D5)), C5-D5, "")</f>
        <v>19647.667000000001</v>
      </c>
      <c r="F5" s="21">
        <f>IFERROR(E5/D5, "")</f>
        <v>1.3381728726893005</v>
      </c>
      <c r="G5" s="22">
        <v>29110</v>
      </c>
      <c r="H5" s="22">
        <f t="shared" ref="H5" si="0">IF(AND(ISNUMBER(C5),ISNUMBER(G5)), C5-G5, "")</f>
        <v>5220.125</v>
      </c>
      <c r="I5" s="21">
        <f t="shared" ref="I5" si="1">IFERROR(H5/G5, "")</f>
        <v>0.17932411542425283</v>
      </c>
      <c r="J5" s="44" t="s">
        <v>32</v>
      </c>
      <c r="K5" s="51" t="s">
        <v>33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0216" xr:uid="{726A4759-6CB4-44F8-B414-872E2EB9DC13}"/>
    <hyperlink ref="K5" r:id="rId2" display="https://us3.assetplanner.com/service_request?ID=094280" xr:uid="{C04032DD-D005-4AF7-9123-A8CCE4C59BB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50</v>
      </c>
      <c r="E1" s="57"/>
      <c r="F1" s="57"/>
      <c r="G1" s="55" t="s">
        <v>51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42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52</v>
      </c>
      <c r="E1" s="57"/>
      <c r="F1" s="57"/>
      <c r="G1" s="55" t="s">
        <v>53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1.15" customHeight="1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4"/>
      <c r="K5" s="48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5"/>
  <cols>
    <col min="1" max="1" width="41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54</v>
      </c>
      <c r="E1" s="57"/>
      <c r="F1" s="57"/>
      <c r="G1" s="55" t="s">
        <v>55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4"/>
      <c r="K5" s="4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H15" sqref="H15"/>
      <selection activeCell="J16" sqref="J16"/>
    </sheetView>
  </sheetViews>
  <sheetFormatPr defaultRowHeight="13.5"/>
  <cols>
    <col min="1" max="1" width="40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85546875" customWidth="1"/>
    <col min="11" max="11" width="20.5703125" bestFit="1" customWidth="1"/>
  </cols>
  <sheetData>
    <row r="1" spans="1:11" ht="19.5" customHeight="1">
      <c r="A1" s="56" t="str" cm="1">
        <f t="array" ref="A1">portfolio</f>
        <v>Northbridge Companies</v>
      </c>
      <c r="B1" s="56"/>
      <c r="C1" s="56"/>
      <c r="D1" s="57" t="s">
        <v>56</v>
      </c>
      <c r="E1" s="57"/>
      <c r="F1" s="57"/>
      <c r="G1" s="55" t="s">
        <v>57</v>
      </c>
      <c r="H1" s="55"/>
      <c r="I1" s="55"/>
      <c r="J1" s="5"/>
      <c r="K1" s="5"/>
    </row>
    <row r="2" spans="1:11" ht="19.5" customHeight="1">
      <c r="A2" s="58" t="s">
        <v>2</v>
      </c>
      <c r="B2" s="5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3"/>
      <c r="K5" s="45"/>
    </row>
    <row r="6" spans="1:11" ht="15.7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t="s">
        <v>59</v>
      </c>
    </row>
    <row r="3" spans="1:7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25">
      <c r="A4" t="s">
        <v>63</v>
      </c>
      <c r="B4" t="s">
        <v>64</v>
      </c>
      <c r="C4" s="4" t="s">
        <v>65</v>
      </c>
      <c r="E4" t="s">
        <v>66</v>
      </c>
      <c r="G4" s="3"/>
    </row>
    <row r="5" spans="1:7" ht="14.25">
      <c r="A5" t="s">
        <v>67</v>
      </c>
      <c r="B5" t="s">
        <v>68</v>
      </c>
      <c r="C5" s="4" t="s">
        <v>65</v>
      </c>
      <c r="E5" t="s">
        <v>69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07658339-E796-4DCB-B533-3B96ABFFD23B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Zierlein, Roy</cp:lastModifiedBy>
  <cp:revision/>
  <dcterms:created xsi:type="dcterms:W3CDTF">2021-01-01T16:39:53Z</dcterms:created>
  <dcterms:modified xsi:type="dcterms:W3CDTF">2025-09-24T19:43:11Z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2025-09-24T19:40:24Z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d78fe914-ac7e-4b35-8c27-bdd764db789c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