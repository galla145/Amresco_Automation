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1A0CAFC7-CE89-4761-9987-A0E4921052AD}" xr6:coauthVersionLast="47" xr6:coauthVersionMax="47" xr10:uidLastSave="{00000000-0000-0000-0000-000000000000}"/>
  <bookViews>
    <workbookView xWindow="-108" yWindow="-108" windowWidth="23256" windowHeight="1389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7" l="1"/>
  <c r="H4" i="27"/>
  <c r="B4" i="26" a="1"/>
  <c r="B4" i="26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G4" i="29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<sst xmlns="http://schemas.openxmlformats.org/spreadsheetml/2006/main" count="247" uniqueCount="60">
  <si>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</si>
  <si>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</si>
  <si>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</si>
  <si>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</si>
  <si>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</si>
  <si>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</si>
  <si>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</si>
  <si>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</si>
  <si>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</si>
  <si>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</si>
  <si>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</si>
  <si>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</si>
  <si>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</si>
  <si>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</si>
  <si>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</si>
  <si>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</si>
  <si>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</si>
  <si>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</si>
  <si>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</si>
  <si>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</si>
  <si>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</si>
  <si>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</si>
  <si>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</si>
  <si>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</si>
  <si>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</si>
  <si>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</si>
  <si>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</si>
  <si>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</si>
  <si>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</si>
  <si>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</si>
  <si>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</si>
  <si>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</si>
  <si>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</si>
  <si>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</si>
  <si>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</si>
  <si>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</si>
  <si>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</si>
  <si>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</si>
  <si>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</si>
  <si>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Inverters 4-03 and 6-09 are offline on 8/18 on 08/26 technician checked in and found that 3 inverters without production and restored 2. remaining inverter need further troubleshooting.</t>
  </si>
  <si>
    <t>1. SR097964
2. SR106854, SR105456</t>
  </si>
  <si>
    <t>SR106854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</si>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</sst>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7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Greenbaker Capital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703184.52389999991</v>
      </c>
      <c r="D2" s="5">
        <f>SUM(D4:D79)</f>
        <v>1364769.8196</v>
      </c>
      <c r="E2" s="5">
        <f>C2-D2</f>
        <v>-661585.29570000013</v>
      </c>
      <c r="F2" s="6">
        <f>IFERROR(E2/D2, 0)</f>
        <v>-0.48475961748179919</v>
      </c>
      <c r="G2" s="5">
        <f>SUM(G4:G79)</f>
        <v>407465.20389999991</v>
      </c>
      <c r="H2" s="7">
        <f>C2-G2</f>
        <v>295719.32</v>
      </c>
      <c r="I2" s="6">
        <f>IFERROR(H2/G2, 0)</f>
        <v>0.72575355433926925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703184.52389999991</v>
      </c>
      <c r="D4" s="12">
        <f>SUM('1st Qtr'!D4, '2nd Qtr'!D4, '3rd Qtr'!D4, '4th Qtr'!D4)</f>
        <v>1364769.8196</v>
      </c>
      <c r="E4" s="12">
        <f>IF(AND(ISNUMBER(C4),ISNUMBER(D4)), C4-D4, "")</f>
        <v>-661585.29570000013</v>
      </c>
      <c r="F4" s="13">
        <f>IFERROR(E4/D4, "")</f>
        <v>-0.48475961748179919</v>
      </c>
      <c r="G4" s="14">
        <f>SUM('1st Qtr'!G4, '2nd Qtr'!G4, '3rd Qtr'!G4, '4th Qtr'!G4)</f>
        <v>407465.20389999991</v>
      </c>
      <c r="H4" s="14">
        <f>SUM('1st Qtr'!H4, '2nd Qtr'!H4, '3rd Qtr'!H4, '4th Qtr'!H4)</f>
        <v>-522249.21610000002</v>
      </c>
      <c r="I4" s="15">
        <f>IFERROR(H4/G4, "")</f>
        <v>-1.2817026119073727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Greenbaker Capital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Greenbaker Capital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4" sqref="I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Greenbaker Capital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703184.52389999991</v>
      </c>
      <c r="D2" s="5">
        <f>SUM(D4:D79)</f>
        <v>1364769.8196</v>
      </c>
      <c r="E2" s="5">
        <f>C2-D2</f>
        <v>-661585.29570000013</v>
      </c>
      <c r="F2" s="6">
        <f>IFERROR(E2/D2, 0)</f>
        <v>-0.48475961748179919</v>
      </c>
      <c r="G2" s="5">
        <f>SUM(G4:G79)</f>
        <v>407465.20389999991</v>
      </c>
      <c r="H2" s="7">
        <f>C2-G2</f>
        <v>295719.32</v>
      </c>
      <c r="I2" s="6">
        <f>IFERROR(H2/G2, 0)</f>
        <v>0.72575355433926925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703184.52389999991</v>
      </c>
      <c r="D4" s="12">
        <f>SUM(Jul!D4, Aug!D4, Sep!D4)</f>
        <v>1364769.8196</v>
      </c>
      <c r="E4" s="12">
        <f>IF(AND(ISNUMBER(C4),ISNUMBER(D4)), C4-D4, "")</f>
        <v>-661585.29570000013</v>
      </c>
      <c r="F4" s="13">
        <f>IFERROR(E4/D4, "")</f>
        <v>-0.48475961748179919</v>
      </c>
      <c r="G4" s="14">
        <f>SUM(Jul!G4,Aug!H4,Sep!G4)</f>
        <v>407465.20389999991</v>
      </c>
      <c r="H4" s="14">
        <f>SUM(Jul!H4, Aug!H4, Sep!H4)</f>
        <v>-522249.21610000002</v>
      </c>
      <c r="I4" s="15">
        <f>IFERROR(H4/G4, "")</f>
        <v>-1.2817026119073727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Greenbaker Capital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Greenbaker Capital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1" t="str" cm="1">
        <f t="array" ref="A1">portfolio</f>
        <v>Greenbaker Capital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4"/>
      <c r="K1" s="4"/>
    </row>
    <row r="2" spans="1:16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1" t="str" cm="1">
        <f t="array" ref="A1">portfolio</f>
        <v>Greenbaker Capital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5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1" t="str" cm="1">
        <f t="array" ref="A1">portfolio</f>
        <v>Greenbaker Capital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4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1" t="str" cm="1">
        <f t="array" ref="A1">portfolio</f>
        <v>Greenbaker Capital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4"/>
      <c r="K1" s="4"/>
    </row>
    <row r="2" spans="1:13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1" t="str" cm="1">
        <f t="array" ref="A1">portfolio</f>
        <v>Greenbaker Capital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6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Greenbaker Capital</v>
      </c>
      <c r="B1" s="61"/>
      <c r="C1" s="61"/>
      <c r="D1" s="62" t="s">
        <v>32</v>
      </c>
      <c r="E1" s="62"/>
      <c r="F1" s="62"/>
      <c r="G1" s="60" t="s">
        <v>33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3" t="s">
        <v>35</v>
      </c>
      <c r="L4" s="54" t="s">
        <v>36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tabSelected="1" zoomScale="90" zoomScaleNormal="90" workbookViewId="0">
      <pane xSplit="2" ySplit="3" topLeftCell="C4" activePane="bottomRight" state="frozen"/>
      <selection pane="bottomRight" activeCell="J13" sqref="J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1" t="str" cm="1">
        <f t="array" ref="A1">portfolio</f>
        <v>Greenbaker Capital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3" ht="19.5" customHeight="1">
      <c r="A2" s="63" t="s">
        <v>2</v>
      </c>
      <c r="B2" s="63"/>
      <c r="C2" s="5">
        <f>SUM(C4:C79)</f>
        <v>350363.52389999997</v>
      </c>
      <c r="D2" s="5">
        <f>SUM(D4:D79)</f>
        <v>633412.45799999998</v>
      </c>
      <c r="E2" s="5">
        <f>C2-D2</f>
        <v>-283048.93410000001</v>
      </c>
      <c r="F2" s="6">
        <f>IFERROR(E2/D2, 0)</f>
        <v>-0.44686354132302214</v>
      </c>
      <c r="G2" s="5">
        <f>SUM(G5:G79)</f>
        <v>0</v>
      </c>
      <c r="H2" s="7">
        <f>C2-G2</f>
        <v>350363.52389999997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350363.52389999997</v>
      </c>
      <c r="D4" s="12">
        <v>633412.45799999998</v>
      </c>
      <c r="E4" s="12">
        <f>IF(AND(ISNUMBER(C4),ISNUMBER(D4)), C4-D4, "")</f>
        <v>-283048.93410000001</v>
      </c>
      <c r="F4" s="13">
        <f>IFERROR(E4/D4, "")</f>
        <v>-0.44686354132302214</v>
      </c>
      <c r="G4" s="14">
        <v>584166.03</v>
      </c>
      <c r="H4" s="14">
        <f>IF(AND(ISNUMBER(C4),ISNUMBER(G4)), C4-G4, "")</f>
        <v>-233802.50610000006</v>
      </c>
      <c r="I4" s="15">
        <f>IFERROR(H4/G4, "")</f>
        <v>-0.40023297160911608</v>
      </c>
      <c r="J4" s="36" t="s">
        <v>39</v>
      </c>
      <c r="K4" s="53" t="s">
        <v>40</v>
      </c>
      <c r="L4" s="59" t="s">
        <v>41</v>
      </c>
      <c r="M4" s="59" t="s">
        <v>36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097964" xr:uid="{0F7AE93F-CD59-4C6E-B965-3898EF8E864B}"/>
    <hyperlink ref="L4" r:id="rId2" display="https://us3.assetplanner.com/service_request?ID=106854" xr:uid="{3710EF90-0162-4F35-81D3-0EB7AC847336}"/>
    <hyperlink ref="M4" r:id="rId3" display="https://us3.assetplanner.com/service_request?ID=105456" xr:uid="{54679A74-6BE4-4051-9FF1-8A3241D7D613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D17" sqref="D17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Greenbaker Capital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Greenbaker Capital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Greenbaker Capital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Greenbaker Capital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0" sqref="B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4" t="s">
        <v>55</v>
      </c>
      <c r="B4" t="s">
        <v>56</v>
      </c>
      <c r="C4" s="42" t="s">
        <v>57</v>
      </c>
      <c r="D4" s="41" t="s">
        <v>58</v>
      </c>
      <c r="E4" t="s">
        <v>59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BA0CC8B-6A71-4B6F-8F56-82CC4846BB2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2025-09-25T19:16:44Z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