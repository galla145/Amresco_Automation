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09" documentId="13_ncr:1_{DE0946C0-9B72-43A7-AB9A-3228051D2CA6}" xr6:coauthVersionLast="47" xr6:coauthVersionMax="47" xr10:uidLastSave="{10F61D2F-C669-467F-8F62-96E6310678A5}"/>
  <bookViews>
    <workbookView xWindow="28680" yWindow="-2070" windowWidth="29040" windowHeight="15720" tabRatio="872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Qtr'!$A$2:$H$2</definedName>
    <definedName name="_xlnm._FilterDatabase" localSheetId="2" hidden="1">'2nd Qtr'!$A$2:$H$2</definedName>
    <definedName name="_xlnm._FilterDatabase" localSheetId="3" hidden="1">'3rd Qtr'!#REF!</definedName>
    <definedName name="_xlnm._FilterDatabase" localSheetId="4" hidden="1">'4th Qtr'!#REF!</definedName>
    <definedName name="_xlnm._FilterDatabase" localSheetId="8" hidden="1">Apr!$A$2:$I$2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Jul!$A$3:$K$3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Date'!$A$2:$H$2</definedName>
    <definedName name="_xlnm._FilterDatabase" localSheetId="12" hidden="1">Aug!$B$3:$L$3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7" l="1"/>
  <c r="A6" i="27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A36" i="27" s="1"/>
  <c r="A37" i="27" s="1"/>
  <c r="A38" i="27" s="1"/>
  <c r="A39" i="27" s="1"/>
  <c r="A40" i="27" s="1"/>
  <c r="A41" i="27" s="1"/>
  <c r="A42" i="27" s="1"/>
  <c r="A43" i="27" s="1"/>
  <c r="A44" i="27" s="1"/>
  <c r="A45" i="27" s="1"/>
  <c r="A46" i="27" s="1"/>
  <c r="A47" i="27" s="1"/>
  <c r="A48" i="27" s="1"/>
  <c r="A49" i="27" s="1"/>
  <c r="A50" i="27" s="1"/>
  <c r="A51" i="27" s="1"/>
  <c r="A52" i="27" s="1"/>
  <c r="A53" i="27" s="1"/>
  <c r="A54" i="27" s="1"/>
  <c r="A55" i="27" s="1"/>
  <c r="A56" i="27" s="1"/>
  <c r="A57" i="27" s="1"/>
  <c r="A58" i="27" s="1"/>
  <c r="A59" i="27" s="1"/>
  <c r="A60" i="27" s="1"/>
  <c r="A61" i="27" s="1"/>
  <c r="A62" i="27" s="1"/>
  <c r="A63" i="27" s="1"/>
  <c r="A64" i="27" s="1"/>
  <c r="A65" i="27" s="1"/>
  <c r="A66" i="27" s="1"/>
  <c r="A67" i="27" s="1"/>
  <c r="A68" i="27" s="1"/>
  <c r="A69" i="27" s="1"/>
  <c r="A70" i="27" s="1"/>
  <c r="A71" i="27" s="1"/>
  <c r="A72" i="27" s="1"/>
  <c r="A73" i="27" s="1"/>
  <c r="A74" i="27" s="1"/>
  <c r="A75" i="27" s="1"/>
  <c r="A76" i="27" s="1"/>
  <c r="A77" i="27" s="1"/>
  <c r="A78" i="27" s="1"/>
  <c r="A79" i="27" s="1"/>
  <c r="A80" i="27" s="1"/>
  <c r="A81" i="27" s="1"/>
  <c r="A82" i="27" s="1"/>
  <c r="A83" i="27" s="1"/>
  <c r="A84" i="27" s="1"/>
  <c r="I15" i="27"/>
  <c r="I42" i="27"/>
  <c r="J42" i="27" s="1"/>
  <c r="I43" i="27"/>
  <c r="J43" i="27" s="1"/>
  <c r="I44" i="27"/>
  <c r="J44" i="27"/>
  <c r="I45" i="27"/>
  <c r="J45" i="27" s="1"/>
  <c r="I46" i="27"/>
  <c r="J46" i="27"/>
  <c r="I47" i="27"/>
  <c r="J47" i="27"/>
  <c r="I48" i="27"/>
  <c r="J48" i="27"/>
  <c r="I49" i="27"/>
  <c r="J49" i="27"/>
  <c r="I50" i="27"/>
  <c r="J50" i="27"/>
  <c r="I51" i="27"/>
  <c r="J51" i="27"/>
  <c r="I52" i="27"/>
  <c r="J52" i="27"/>
  <c r="I53" i="27"/>
  <c r="J53" i="27"/>
  <c r="I54" i="27"/>
  <c r="J54" i="27"/>
  <c r="I55" i="27"/>
  <c r="J55" i="27"/>
  <c r="I56" i="27"/>
  <c r="J56" i="27"/>
  <c r="I57" i="27"/>
  <c r="J57" i="27"/>
  <c r="I58" i="27"/>
  <c r="J58" i="27"/>
  <c r="I59" i="27"/>
  <c r="J59" i="27"/>
  <c r="I60" i="27"/>
  <c r="J60" i="27"/>
  <c r="I61" i="27"/>
  <c r="J61" i="27"/>
  <c r="I62" i="27"/>
  <c r="J62" i="27"/>
  <c r="I63" i="27"/>
  <c r="J63" i="27"/>
  <c r="I64" i="27"/>
  <c r="J64" i="27"/>
  <c r="I65" i="27"/>
  <c r="J65" i="27"/>
  <c r="I66" i="27"/>
  <c r="J66" i="27"/>
  <c r="I67" i="27"/>
  <c r="J67" i="27"/>
  <c r="I68" i="27"/>
  <c r="J68" i="27"/>
  <c r="I69" i="27"/>
  <c r="J69" i="27"/>
  <c r="I70" i="27"/>
  <c r="J70" i="27"/>
  <c r="I71" i="27"/>
  <c r="J71" i="27"/>
  <c r="I72" i="27"/>
  <c r="J72" i="27"/>
  <c r="I73" i="27"/>
  <c r="J73" i="27"/>
  <c r="I74" i="27"/>
  <c r="J74" i="27"/>
  <c r="I75" i="27"/>
  <c r="J75" i="27"/>
  <c r="I76" i="27"/>
  <c r="J76" i="27"/>
  <c r="I77" i="27"/>
  <c r="J77" i="27"/>
  <c r="I78" i="27"/>
  <c r="J78" i="27"/>
  <c r="I79" i="27"/>
  <c r="J79" i="27"/>
  <c r="I80" i="27"/>
  <c r="J80" i="27"/>
  <c r="I81" i="27"/>
  <c r="J81" i="27"/>
  <c r="I82" i="27"/>
  <c r="J82" i="27"/>
  <c r="I83" i="27"/>
  <c r="J83" i="27"/>
  <c r="I84" i="27"/>
  <c r="J84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20" i="26"/>
  <c r="I25" i="26"/>
  <c r="F25" i="26"/>
  <c r="H84" i="26"/>
  <c r="I84" i="26" s="1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I83" i="26" s="1"/>
  <c r="F66" i="26"/>
  <c r="F67" i="26"/>
  <c r="F68" i="26"/>
  <c r="F69" i="26"/>
  <c r="F73" i="26"/>
  <c r="F74" i="26"/>
  <c r="F75" i="26"/>
  <c r="F76" i="26"/>
  <c r="F77" i="26"/>
  <c r="F78" i="26"/>
  <c r="F79" i="26"/>
  <c r="F80" i="26"/>
  <c r="F81" i="26"/>
  <c r="F82" i="26"/>
  <c r="E66" i="26"/>
  <c r="E67" i="26"/>
  <c r="E68" i="26"/>
  <c r="E69" i="26"/>
  <c r="E70" i="26"/>
  <c r="F70" i="26" s="1"/>
  <c r="E71" i="26"/>
  <c r="F71" i="26" s="1"/>
  <c r="E72" i="26"/>
  <c r="F72" i="26" s="1"/>
  <c r="E73" i="26"/>
  <c r="E74" i="26"/>
  <c r="E75" i="26"/>
  <c r="E76" i="26"/>
  <c r="E77" i="26"/>
  <c r="E78" i="26"/>
  <c r="E79" i="26"/>
  <c r="E80" i="26"/>
  <c r="E81" i="26"/>
  <c r="E82" i="26"/>
  <c r="E83" i="26"/>
  <c r="F83" i="26" s="1"/>
  <c r="E84" i="26"/>
  <c r="F84" i="26" s="1"/>
  <c r="I5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5" i="19"/>
  <c r="F66" i="19"/>
  <c r="F67" i="19"/>
  <c r="F68" i="19"/>
  <c r="F69" i="19"/>
  <c r="F73" i="19"/>
  <c r="F74" i="19"/>
  <c r="F75" i="19"/>
  <c r="F76" i="19"/>
  <c r="F77" i="19"/>
  <c r="F78" i="19"/>
  <c r="F79" i="19"/>
  <c r="F80" i="19"/>
  <c r="F81" i="19"/>
  <c r="F82" i="19"/>
  <c r="F83" i="19"/>
  <c r="E6" i="19"/>
  <c r="F6" i="19" s="1"/>
  <c r="E7" i="19"/>
  <c r="F7" i="19" s="1"/>
  <c r="E8" i="19"/>
  <c r="F8" i="19" s="1"/>
  <c r="E9" i="19"/>
  <c r="F9" i="19" s="1"/>
  <c r="E10" i="19"/>
  <c r="F10" i="19" s="1"/>
  <c r="E11" i="19"/>
  <c r="F11" i="19" s="1"/>
  <c r="E12" i="19"/>
  <c r="F12" i="19" s="1"/>
  <c r="E13" i="19"/>
  <c r="F13" i="19" s="1"/>
  <c r="E14" i="19"/>
  <c r="F14" i="19" s="1"/>
  <c r="E15" i="19"/>
  <c r="F15" i="19" s="1"/>
  <c r="E16" i="19"/>
  <c r="F16" i="19" s="1"/>
  <c r="E17" i="19"/>
  <c r="F17" i="19" s="1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F64" i="19" s="1"/>
  <c r="E65" i="19"/>
  <c r="E66" i="19"/>
  <c r="E67" i="19"/>
  <c r="E68" i="19"/>
  <c r="E69" i="19"/>
  <c r="E70" i="19"/>
  <c r="F70" i="19" s="1"/>
  <c r="E71" i="19"/>
  <c r="F71" i="19" s="1"/>
  <c r="E72" i="19"/>
  <c r="F72" i="19" s="1"/>
  <c r="E73" i="19"/>
  <c r="E74" i="19"/>
  <c r="E75" i="19"/>
  <c r="E76" i="19"/>
  <c r="E77" i="19"/>
  <c r="E78" i="19"/>
  <c r="E79" i="19"/>
  <c r="E80" i="19"/>
  <c r="E81" i="19"/>
  <c r="E82" i="19"/>
  <c r="E83" i="19"/>
  <c r="E84" i="19"/>
  <c r="F84" i="19" s="1"/>
  <c r="I7" i="19"/>
  <c r="I8" i="19"/>
  <c r="I9" i="19"/>
  <c r="I10" i="19"/>
  <c r="I11" i="19"/>
  <c r="I12" i="19"/>
  <c r="I13" i="19"/>
  <c r="I14" i="19"/>
  <c r="I16" i="19"/>
  <c r="I17" i="19"/>
  <c r="I18" i="19"/>
  <c r="I19" i="19"/>
  <c r="I20" i="19"/>
  <c r="I21" i="19"/>
  <c r="I22" i="19"/>
  <c r="I23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8" i="19"/>
  <c r="I59" i="19"/>
  <c r="I60" i="19"/>
  <c r="I61" i="19"/>
  <c r="I62" i="19"/>
  <c r="I63" i="19"/>
  <c r="I64" i="19"/>
  <c r="I65" i="19"/>
  <c r="I66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H6" i="19"/>
  <c r="I6" i="19" s="1"/>
  <c r="H7" i="19"/>
  <c r="H8" i="19"/>
  <c r="H9" i="19"/>
  <c r="H10" i="19"/>
  <c r="H11" i="19"/>
  <c r="H12" i="19"/>
  <c r="H13" i="19"/>
  <c r="H14" i="19"/>
  <c r="H15" i="19"/>
  <c r="I15" i="19" s="1"/>
  <c r="H16" i="19"/>
  <c r="H17" i="19"/>
  <c r="H18" i="19"/>
  <c r="H19" i="19"/>
  <c r="H20" i="19"/>
  <c r="H21" i="19"/>
  <c r="H22" i="19"/>
  <c r="H23" i="19"/>
  <c r="H24" i="19"/>
  <c r="I24" i="19" s="1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I67" i="19" s="1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F66" i="20"/>
  <c r="F67" i="20"/>
  <c r="F68" i="20"/>
  <c r="F69" i="20"/>
  <c r="F73" i="20"/>
  <c r="F74" i="20"/>
  <c r="F75" i="20"/>
  <c r="F76" i="20"/>
  <c r="F77" i="20"/>
  <c r="F78" i="20"/>
  <c r="F79" i="20"/>
  <c r="F80" i="20"/>
  <c r="F81" i="20"/>
  <c r="F82" i="20"/>
  <c r="F83" i="20"/>
  <c r="E65" i="20"/>
  <c r="E66" i="20"/>
  <c r="E67" i="20"/>
  <c r="E68" i="20"/>
  <c r="E69" i="20"/>
  <c r="E70" i="20"/>
  <c r="F70" i="20" s="1"/>
  <c r="E71" i="20"/>
  <c r="F71" i="20" s="1"/>
  <c r="E72" i="20"/>
  <c r="F72" i="20" s="1"/>
  <c r="E73" i="20"/>
  <c r="E74" i="20"/>
  <c r="E75" i="20"/>
  <c r="E76" i="20"/>
  <c r="E77" i="20"/>
  <c r="E78" i="20"/>
  <c r="E79" i="20"/>
  <c r="E80" i="20"/>
  <c r="E81" i="20"/>
  <c r="E82" i="20"/>
  <c r="E83" i="20"/>
  <c r="E84" i="20"/>
  <c r="F84" i="20" s="1"/>
  <c r="H84" i="21"/>
  <c r="I84" i="21" s="1"/>
  <c r="E84" i="21"/>
  <c r="F84" i="21" s="1"/>
  <c r="E60" i="21"/>
  <c r="I84" i="4"/>
  <c r="H84" i="4"/>
  <c r="F84" i="4"/>
  <c r="E84" i="4"/>
  <c r="I8" i="4"/>
  <c r="H66" i="4"/>
  <c r="I66" i="4" s="1"/>
  <c r="H67" i="4"/>
  <c r="I67" i="4" s="1"/>
  <c r="H68" i="4"/>
  <c r="I68" i="4" s="1"/>
  <c r="H69" i="4"/>
  <c r="I69" i="4" s="1"/>
  <c r="H70" i="4"/>
  <c r="I70" i="4" s="1"/>
  <c r="H71" i="4"/>
  <c r="I71" i="4" s="1"/>
  <c r="H72" i="4"/>
  <c r="I72" i="4" s="1"/>
  <c r="H73" i="4"/>
  <c r="I73" i="4" s="1"/>
  <c r="H74" i="4"/>
  <c r="I74" i="4" s="1"/>
  <c r="H75" i="4"/>
  <c r="I75" i="4" s="1"/>
  <c r="H76" i="4"/>
  <c r="I76" i="4" s="1"/>
  <c r="H77" i="4"/>
  <c r="I77" i="4" s="1"/>
  <c r="H78" i="4"/>
  <c r="I78" i="4" s="1"/>
  <c r="H79" i="4"/>
  <c r="I79" i="4" s="1"/>
  <c r="H80" i="4"/>
  <c r="I80" i="4" s="1"/>
  <c r="H81" i="4"/>
  <c r="I81" i="4" s="1"/>
  <c r="H82" i="4"/>
  <c r="I82" i="4" s="1"/>
  <c r="H83" i="4"/>
  <c r="I83" i="4" s="1"/>
  <c r="E66" i="4"/>
  <c r="F66" i="4" s="1"/>
  <c r="E67" i="4"/>
  <c r="F67" i="4" s="1"/>
  <c r="E68" i="4"/>
  <c r="F68" i="4" s="1"/>
  <c r="E69" i="4"/>
  <c r="F69" i="4" s="1"/>
  <c r="E70" i="4"/>
  <c r="F70" i="4" s="1"/>
  <c r="E71" i="4"/>
  <c r="F71" i="4" s="1"/>
  <c r="E72" i="4"/>
  <c r="F72" i="4" s="1"/>
  <c r="E73" i="4"/>
  <c r="F73" i="4" s="1"/>
  <c r="E74" i="4"/>
  <c r="F74" i="4" s="1"/>
  <c r="E75" i="4"/>
  <c r="F75" i="4" s="1"/>
  <c r="E76" i="4"/>
  <c r="F76" i="4" s="1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F56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I11" i="3"/>
  <c r="I12" i="3"/>
  <c r="I13" i="3"/>
  <c r="I14" i="3"/>
  <c r="I15" i="3"/>
  <c r="I16" i="3"/>
  <c r="I17" i="3"/>
  <c r="I18" i="3"/>
  <c r="I19" i="3"/>
  <c r="I20" i="3"/>
  <c r="I21" i="3"/>
  <c r="I22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H83" i="72"/>
  <c r="I83" i="72" s="1"/>
  <c r="E83" i="72"/>
  <c r="F83" i="72" s="1"/>
  <c r="H82" i="72"/>
  <c r="I82" i="72" s="1"/>
  <c r="E82" i="72"/>
  <c r="F82" i="72" s="1"/>
  <c r="H81" i="72"/>
  <c r="I81" i="72" s="1"/>
  <c r="E81" i="72"/>
  <c r="F81" i="72" s="1"/>
  <c r="H80" i="72"/>
  <c r="I80" i="72" s="1"/>
  <c r="E80" i="72"/>
  <c r="F80" i="72" s="1"/>
  <c r="H79" i="72"/>
  <c r="I79" i="72" s="1"/>
  <c r="E79" i="72"/>
  <c r="F79" i="72" s="1"/>
  <c r="H78" i="72"/>
  <c r="I78" i="72" s="1"/>
  <c r="E78" i="72"/>
  <c r="F78" i="72" s="1"/>
  <c r="H77" i="72"/>
  <c r="I77" i="72" s="1"/>
  <c r="E77" i="72"/>
  <c r="F77" i="72" s="1"/>
  <c r="H76" i="72"/>
  <c r="I76" i="72" s="1"/>
  <c r="E76" i="72"/>
  <c r="F76" i="72" s="1"/>
  <c r="H75" i="72"/>
  <c r="I75" i="72" s="1"/>
  <c r="E75" i="72"/>
  <c r="F75" i="72" s="1"/>
  <c r="H74" i="72"/>
  <c r="I74" i="72" s="1"/>
  <c r="E74" i="72"/>
  <c r="F74" i="72" s="1"/>
  <c r="H73" i="72"/>
  <c r="I73" i="72" s="1"/>
  <c r="E73" i="72"/>
  <c r="F73" i="72" s="1"/>
  <c r="H72" i="72"/>
  <c r="I72" i="72" s="1"/>
  <c r="E72" i="72"/>
  <c r="F72" i="72" s="1"/>
  <c r="H71" i="72"/>
  <c r="I71" i="72" s="1"/>
  <c r="E71" i="72"/>
  <c r="F71" i="72" s="1"/>
  <c r="H70" i="72"/>
  <c r="I70" i="72" s="1"/>
  <c r="E70" i="72"/>
  <c r="F70" i="72" s="1"/>
  <c r="H69" i="72"/>
  <c r="I69" i="72" s="1"/>
  <c r="E69" i="72"/>
  <c r="F69" i="72" s="1"/>
  <c r="H68" i="72"/>
  <c r="I68" i="72" s="1"/>
  <c r="E68" i="72"/>
  <c r="F68" i="72" s="1"/>
  <c r="H67" i="72"/>
  <c r="I67" i="72" s="1"/>
  <c r="E67" i="72"/>
  <c r="F67" i="72" s="1"/>
  <c r="H66" i="72"/>
  <c r="I66" i="72" s="1"/>
  <c r="E66" i="72"/>
  <c r="F66" i="72" s="1"/>
  <c r="H65" i="72"/>
  <c r="I65" i="72" s="1"/>
  <c r="E65" i="72"/>
  <c r="F65" i="72" s="1"/>
  <c r="H64" i="72"/>
  <c r="I64" i="72" s="1"/>
  <c r="E64" i="72"/>
  <c r="F64" i="72" s="1"/>
  <c r="H63" i="72"/>
  <c r="I63" i="72" s="1"/>
  <c r="E63" i="72"/>
  <c r="F63" i="72" s="1"/>
  <c r="H62" i="72"/>
  <c r="I62" i="72" s="1"/>
  <c r="E62" i="72"/>
  <c r="F62" i="72" s="1"/>
  <c r="H61" i="72"/>
  <c r="I61" i="72" s="1"/>
  <c r="E61" i="72"/>
  <c r="F61" i="72" s="1"/>
  <c r="H60" i="72"/>
  <c r="I60" i="72" s="1"/>
  <c r="E60" i="72"/>
  <c r="F60" i="72" s="1"/>
  <c r="H59" i="72"/>
  <c r="I59" i="72" s="1"/>
  <c r="E59" i="72"/>
  <c r="F59" i="72" s="1"/>
  <c r="H58" i="72"/>
  <c r="I58" i="72" s="1"/>
  <c r="E58" i="72"/>
  <c r="F58" i="72" s="1"/>
  <c r="H57" i="72"/>
  <c r="I57" i="72" s="1"/>
  <c r="E57" i="72"/>
  <c r="F57" i="72" s="1"/>
  <c r="H56" i="72"/>
  <c r="I56" i="72" s="1"/>
  <c r="E56" i="72"/>
  <c r="F56" i="72" s="1"/>
  <c r="H55" i="72"/>
  <c r="I55" i="72" s="1"/>
  <c r="E55" i="72"/>
  <c r="F55" i="72" s="1"/>
  <c r="H54" i="72"/>
  <c r="I54" i="72" s="1"/>
  <c r="E54" i="72"/>
  <c r="F54" i="72" s="1"/>
  <c r="H53" i="72"/>
  <c r="I53" i="72" s="1"/>
  <c r="E53" i="72"/>
  <c r="F53" i="72" s="1"/>
  <c r="H52" i="72"/>
  <c r="I52" i="72" s="1"/>
  <c r="E52" i="72"/>
  <c r="F52" i="72" s="1"/>
  <c r="H51" i="72"/>
  <c r="I51" i="72" s="1"/>
  <c r="E51" i="72"/>
  <c r="F51" i="72" s="1"/>
  <c r="H50" i="72"/>
  <c r="I50" i="72" s="1"/>
  <c r="E50" i="72"/>
  <c r="F50" i="72" s="1"/>
  <c r="H49" i="72"/>
  <c r="I49" i="72" s="1"/>
  <c r="E49" i="72"/>
  <c r="F49" i="72" s="1"/>
  <c r="H48" i="72"/>
  <c r="I48" i="72" s="1"/>
  <c r="E48" i="72"/>
  <c r="F48" i="72" s="1"/>
  <c r="H47" i="72"/>
  <c r="I47" i="72" s="1"/>
  <c r="E47" i="72"/>
  <c r="F47" i="72" s="1"/>
  <c r="H46" i="72"/>
  <c r="I46" i="72" s="1"/>
  <c r="E46" i="72"/>
  <c r="F46" i="72" s="1"/>
  <c r="H45" i="72"/>
  <c r="I45" i="72" s="1"/>
  <c r="E45" i="72"/>
  <c r="F45" i="72" s="1"/>
  <c r="H44" i="72"/>
  <c r="I44" i="72" s="1"/>
  <c r="E44" i="72"/>
  <c r="F44" i="72" s="1"/>
  <c r="H43" i="72"/>
  <c r="I43" i="72" s="1"/>
  <c r="E43" i="72"/>
  <c r="F43" i="72" s="1"/>
  <c r="H42" i="72"/>
  <c r="I42" i="72" s="1"/>
  <c r="E42" i="72"/>
  <c r="F42" i="72" s="1"/>
  <c r="H41" i="72"/>
  <c r="I41" i="72" s="1"/>
  <c r="E41" i="72"/>
  <c r="F41" i="72" s="1"/>
  <c r="H40" i="72"/>
  <c r="I40" i="72" s="1"/>
  <c r="E40" i="72"/>
  <c r="F40" i="72" s="1"/>
  <c r="H39" i="72"/>
  <c r="I39" i="72" s="1"/>
  <c r="E39" i="72"/>
  <c r="F39" i="72" s="1"/>
  <c r="H38" i="72"/>
  <c r="I38" i="72" s="1"/>
  <c r="E38" i="72"/>
  <c r="F38" i="72" s="1"/>
  <c r="H37" i="72"/>
  <c r="I37" i="72" s="1"/>
  <c r="E37" i="72"/>
  <c r="F37" i="72" s="1"/>
  <c r="H36" i="72"/>
  <c r="I36" i="72" s="1"/>
  <c r="E36" i="72"/>
  <c r="F36" i="72" s="1"/>
  <c r="H35" i="72"/>
  <c r="I35" i="72" s="1"/>
  <c r="E35" i="72"/>
  <c r="F35" i="72" s="1"/>
  <c r="H34" i="72"/>
  <c r="I34" i="72" s="1"/>
  <c r="E34" i="72"/>
  <c r="F34" i="72" s="1"/>
  <c r="H33" i="72"/>
  <c r="I33" i="72" s="1"/>
  <c r="E33" i="72"/>
  <c r="F33" i="72" s="1"/>
  <c r="H32" i="72"/>
  <c r="I32" i="72" s="1"/>
  <c r="E32" i="72"/>
  <c r="F32" i="72" s="1"/>
  <c r="H31" i="72"/>
  <c r="I31" i="72" s="1"/>
  <c r="E31" i="72"/>
  <c r="F31" i="72" s="1"/>
  <c r="H30" i="72"/>
  <c r="I30" i="72" s="1"/>
  <c r="E30" i="72"/>
  <c r="F30" i="72" s="1"/>
  <c r="H29" i="72"/>
  <c r="I29" i="72" s="1"/>
  <c r="E29" i="72"/>
  <c r="F29" i="72" s="1"/>
  <c r="H28" i="72"/>
  <c r="I28" i="72" s="1"/>
  <c r="E28" i="72"/>
  <c r="F28" i="72" s="1"/>
  <c r="H27" i="72"/>
  <c r="I27" i="72" s="1"/>
  <c r="E27" i="72"/>
  <c r="F27" i="72" s="1"/>
  <c r="H26" i="72"/>
  <c r="I26" i="72" s="1"/>
  <c r="E26" i="72"/>
  <c r="F26" i="72" s="1"/>
  <c r="H25" i="72"/>
  <c r="I25" i="72" s="1"/>
  <c r="E25" i="72"/>
  <c r="F25" i="72" s="1"/>
  <c r="H24" i="72"/>
  <c r="I24" i="72" s="1"/>
  <c r="E24" i="72"/>
  <c r="F24" i="72" s="1"/>
  <c r="H23" i="72"/>
  <c r="I23" i="72" s="1"/>
  <c r="E23" i="72"/>
  <c r="F23" i="72" s="1"/>
  <c r="H22" i="72"/>
  <c r="I22" i="72" s="1"/>
  <c r="E22" i="72"/>
  <c r="F22" i="72" s="1"/>
  <c r="H21" i="72"/>
  <c r="I21" i="72" s="1"/>
  <c r="E21" i="72"/>
  <c r="F21" i="72" s="1"/>
  <c r="H21" i="3"/>
  <c r="H22" i="3"/>
  <c r="H23" i="3"/>
  <c r="I23" i="3" s="1"/>
  <c r="H19" i="3"/>
  <c r="H18" i="3"/>
  <c r="H17" i="3"/>
  <c r="H70" i="28"/>
  <c r="I70" i="28" s="1"/>
  <c r="H71" i="28"/>
  <c r="I71" i="28" s="1"/>
  <c r="H72" i="28"/>
  <c r="I72" i="28" s="1"/>
  <c r="H73" i="28"/>
  <c r="I73" i="28" s="1"/>
  <c r="H74" i="28"/>
  <c r="I74" i="28" s="1"/>
  <c r="H75" i="28"/>
  <c r="I75" i="28" s="1"/>
  <c r="H76" i="28"/>
  <c r="H77" i="28"/>
  <c r="I77" i="28" s="1"/>
  <c r="H78" i="28"/>
  <c r="I78" i="28" s="1"/>
  <c r="H79" i="28"/>
  <c r="I79" i="28" s="1"/>
  <c r="H80" i="28"/>
  <c r="I80" i="28" s="1"/>
  <c r="H81" i="28"/>
  <c r="I81" i="28" s="1"/>
  <c r="H82" i="28"/>
  <c r="I82" i="28" s="1"/>
  <c r="H83" i="28"/>
  <c r="I83" i="28" s="1"/>
  <c r="H84" i="28"/>
  <c r="I84" i="28" s="1"/>
  <c r="I76" i="28"/>
  <c r="E70" i="28"/>
  <c r="F70" i="28" s="1"/>
  <c r="E71" i="28"/>
  <c r="F71" i="28" s="1"/>
  <c r="E72" i="28"/>
  <c r="F72" i="28" s="1"/>
  <c r="E73" i="28"/>
  <c r="F73" i="28" s="1"/>
  <c r="E74" i="28"/>
  <c r="F74" i="28" s="1"/>
  <c r="E75" i="28"/>
  <c r="F75" i="28" s="1"/>
  <c r="E76" i="28"/>
  <c r="F76" i="28" s="1"/>
  <c r="E77" i="28"/>
  <c r="F77" i="28" s="1"/>
  <c r="E78" i="28"/>
  <c r="F78" i="28" s="1"/>
  <c r="E79" i="28"/>
  <c r="F79" i="28" s="1"/>
  <c r="E80" i="28"/>
  <c r="F80" i="28" s="1"/>
  <c r="E81" i="28"/>
  <c r="F81" i="28" s="1"/>
  <c r="E82" i="28"/>
  <c r="F82" i="28" s="1"/>
  <c r="E83" i="28"/>
  <c r="F83" i="28" s="1"/>
  <c r="E84" i="28"/>
  <c r="F84" i="28" s="1"/>
  <c r="H70" i="31"/>
  <c r="H71" i="31"/>
  <c r="I71" i="31" s="1"/>
  <c r="H72" i="31"/>
  <c r="I72" i="31" s="1"/>
  <c r="H73" i="31"/>
  <c r="I73" i="31" s="1"/>
  <c r="H74" i="31"/>
  <c r="I74" i="31" s="1"/>
  <c r="H75" i="31"/>
  <c r="I75" i="31" s="1"/>
  <c r="H76" i="31"/>
  <c r="I76" i="31" s="1"/>
  <c r="H77" i="31"/>
  <c r="I77" i="31" s="1"/>
  <c r="H78" i="31"/>
  <c r="I78" i="31" s="1"/>
  <c r="H79" i="31"/>
  <c r="I79" i="31" s="1"/>
  <c r="H80" i="31"/>
  <c r="I80" i="31" s="1"/>
  <c r="H81" i="31"/>
  <c r="I81" i="31" s="1"/>
  <c r="H82" i="31"/>
  <c r="I82" i="31" s="1"/>
  <c r="H83" i="31"/>
  <c r="I83" i="31" s="1"/>
  <c r="H84" i="31"/>
  <c r="I84" i="31" s="1"/>
  <c r="I70" i="31"/>
  <c r="F75" i="31"/>
  <c r="F79" i="31"/>
  <c r="F80" i="31"/>
  <c r="F81" i="31"/>
  <c r="F82" i="31"/>
  <c r="F83" i="31"/>
  <c r="E70" i="31"/>
  <c r="F70" i="31" s="1"/>
  <c r="E71" i="31"/>
  <c r="F71" i="31" s="1"/>
  <c r="E72" i="31"/>
  <c r="F72" i="31" s="1"/>
  <c r="E73" i="31"/>
  <c r="F73" i="31" s="1"/>
  <c r="E74" i="31"/>
  <c r="F74" i="31" s="1"/>
  <c r="E75" i="31"/>
  <c r="E76" i="31"/>
  <c r="F76" i="31" s="1"/>
  <c r="E77" i="31"/>
  <c r="F77" i="31" s="1"/>
  <c r="E78" i="31"/>
  <c r="F78" i="31" s="1"/>
  <c r="E79" i="31"/>
  <c r="E80" i="31"/>
  <c r="E81" i="31"/>
  <c r="E82" i="31"/>
  <c r="E83" i="31"/>
  <c r="E84" i="31"/>
  <c r="F84" i="31" s="1"/>
  <c r="H70" i="32"/>
  <c r="I70" i="32" s="1"/>
  <c r="H71" i="32"/>
  <c r="I71" i="32" s="1"/>
  <c r="H72" i="32"/>
  <c r="I72" i="32" s="1"/>
  <c r="H73" i="32"/>
  <c r="I73" i="32" s="1"/>
  <c r="H74" i="32"/>
  <c r="I74" i="32" s="1"/>
  <c r="H75" i="32"/>
  <c r="I75" i="32" s="1"/>
  <c r="H76" i="32"/>
  <c r="I76" i="32" s="1"/>
  <c r="H77" i="32"/>
  <c r="I77" i="32" s="1"/>
  <c r="H78" i="32"/>
  <c r="I78" i="32" s="1"/>
  <c r="H79" i="32"/>
  <c r="I79" i="32" s="1"/>
  <c r="H80" i="32"/>
  <c r="I80" i="32" s="1"/>
  <c r="H81" i="32"/>
  <c r="I81" i="32" s="1"/>
  <c r="H82" i="32"/>
  <c r="I82" i="32" s="1"/>
  <c r="H83" i="32"/>
  <c r="I83" i="32" s="1"/>
  <c r="H84" i="32"/>
  <c r="I84" i="32" s="1"/>
  <c r="F85" i="32"/>
  <c r="E70" i="32"/>
  <c r="F70" i="32" s="1"/>
  <c r="E71" i="32"/>
  <c r="F71" i="32" s="1"/>
  <c r="E72" i="32"/>
  <c r="F72" i="32" s="1"/>
  <c r="E73" i="32"/>
  <c r="F73" i="32" s="1"/>
  <c r="E74" i="32"/>
  <c r="F74" i="32" s="1"/>
  <c r="E75" i="32"/>
  <c r="F75" i="32" s="1"/>
  <c r="E76" i="32"/>
  <c r="F76" i="32" s="1"/>
  <c r="E77" i="32"/>
  <c r="F77" i="32" s="1"/>
  <c r="E78" i="32"/>
  <c r="F78" i="32" s="1"/>
  <c r="E79" i="32"/>
  <c r="F79" i="32" s="1"/>
  <c r="E80" i="32"/>
  <c r="F80" i="32" s="1"/>
  <c r="E81" i="32"/>
  <c r="F81" i="32" s="1"/>
  <c r="E82" i="32"/>
  <c r="F82" i="32" s="1"/>
  <c r="E83" i="32"/>
  <c r="F83" i="32" s="1"/>
  <c r="E84" i="32"/>
  <c r="F84" i="32" s="1"/>
  <c r="H70" i="33"/>
  <c r="I70" i="33" s="1"/>
  <c r="H71" i="33"/>
  <c r="H72" i="33"/>
  <c r="I72" i="33" s="1"/>
  <c r="H73" i="33"/>
  <c r="I73" i="33" s="1"/>
  <c r="H74" i="33"/>
  <c r="I74" i="33" s="1"/>
  <c r="H75" i="33"/>
  <c r="I75" i="33" s="1"/>
  <c r="H76" i="33"/>
  <c r="I76" i="33" s="1"/>
  <c r="H77" i="33"/>
  <c r="I77" i="33" s="1"/>
  <c r="H78" i="33"/>
  <c r="I78" i="33" s="1"/>
  <c r="H79" i="33"/>
  <c r="I79" i="33" s="1"/>
  <c r="H80" i="33"/>
  <c r="I80" i="33" s="1"/>
  <c r="H81" i="33"/>
  <c r="I81" i="33" s="1"/>
  <c r="H82" i="33"/>
  <c r="I82" i="33" s="1"/>
  <c r="H83" i="33"/>
  <c r="I83" i="33" s="1"/>
  <c r="H84" i="33"/>
  <c r="I84" i="33" s="1"/>
  <c r="I71" i="33"/>
  <c r="F70" i="33"/>
  <c r="F74" i="33"/>
  <c r="F77" i="33"/>
  <c r="F78" i="33"/>
  <c r="F79" i="33"/>
  <c r="F80" i="33"/>
  <c r="F81" i="33"/>
  <c r="E70" i="33"/>
  <c r="E71" i="33"/>
  <c r="F71" i="33" s="1"/>
  <c r="E72" i="33"/>
  <c r="F72" i="33" s="1"/>
  <c r="E73" i="33"/>
  <c r="F73" i="33" s="1"/>
  <c r="E74" i="33"/>
  <c r="E75" i="33"/>
  <c r="F75" i="33" s="1"/>
  <c r="E76" i="33"/>
  <c r="F76" i="33" s="1"/>
  <c r="E77" i="33"/>
  <c r="E78" i="33"/>
  <c r="E79" i="33"/>
  <c r="E80" i="33"/>
  <c r="E81" i="33"/>
  <c r="E82" i="33"/>
  <c r="F82" i="33" s="1"/>
  <c r="E83" i="33"/>
  <c r="F83" i="33" s="1"/>
  <c r="E84" i="33"/>
  <c r="F84" i="33" s="1"/>
  <c r="E70" i="21"/>
  <c r="F70" i="21" s="1"/>
  <c r="H70" i="21"/>
  <c r="I70" i="21" s="1"/>
  <c r="E71" i="21"/>
  <c r="F71" i="21" s="1"/>
  <c r="H71" i="21"/>
  <c r="I71" i="21" s="1"/>
  <c r="E72" i="21"/>
  <c r="F72" i="21" s="1"/>
  <c r="H72" i="21"/>
  <c r="I72" i="21" s="1"/>
  <c r="E73" i="21"/>
  <c r="F73" i="21" s="1"/>
  <c r="H73" i="21"/>
  <c r="I73" i="21" s="1"/>
  <c r="E74" i="21"/>
  <c r="F74" i="21" s="1"/>
  <c r="H74" i="21"/>
  <c r="I74" i="21" s="1"/>
  <c r="E75" i="21"/>
  <c r="F75" i="21" s="1"/>
  <c r="H75" i="21"/>
  <c r="I75" i="21" s="1"/>
  <c r="E76" i="21"/>
  <c r="F76" i="21" s="1"/>
  <c r="H76" i="21"/>
  <c r="I76" i="21" s="1"/>
  <c r="E77" i="21"/>
  <c r="F77" i="21" s="1"/>
  <c r="H77" i="21"/>
  <c r="I77" i="21" s="1"/>
  <c r="E78" i="21"/>
  <c r="F78" i="21" s="1"/>
  <c r="H78" i="21"/>
  <c r="I78" i="21" s="1"/>
  <c r="E79" i="21"/>
  <c r="F79" i="21"/>
  <c r="H79" i="21"/>
  <c r="I79" i="21" s="1"/>
  <c r="E80" i="21"/>
  <c r="F80" i="21" s="1"/>
  <c r="H80" i="21"/>
  <c r="I80" i="21" s="1"/>
  <c r="E81" i="21"/>
  <c r="F81" i="21" s="1"/>
  <c r="H81" i="21"/>
  <c r="I81" i="21" s="1"/>
  <c r="E82" i="21"/>
  <c r="F82" i="21" s="1"/>
  <c r="H82" i="21"/>
  <c r="I82" i="21" s="1"/>
  <c r="E83" i="21"/>
  <c r="F83" i="21" s="1"/>
  <c r="H83" i="21"/>
  <c r="I83" i="21" s="1"/>
  <c r="A4" i="32" a="1"/>
  <c r="A4" i="32" s="1"/>
  <c r="F25" i="27"/>
  <c r="G25" i="27" s="1"/>
  <c r="F24" i="27"/>
  <c r="G24" i="27" s="1"/>
  <c r="F23" i="27"/>
  <c r="H25" i="20"/>
  <c r="I25" i="20" s="1"/>
  <c r="E25" i="20"/>
  <c r="F25" i="20" s="1"/>
  <c r="H24" i="20"/>
  <c r="I24" i="20" s="1"/>
  <c r="E24" i="20"/>
  <c r="F24" i="20" s="1"/>
  <c r="H23" i="20"/>
  <c r="I23" i="20" s="1"/>
  <c r="E23" i="20"/>
  <c r="F23" i="20" s="1"/>
  <c r="H22" i="20"/>
  <c r="I22" i="20" s="1"/>
  <c r="E22" i="20"/>
  <c r="F22" i="20" s="1"/>
  <c r="H21" i="20"/>
  <c r="I21" i="20" s="1"/>
  <c r="E21" i="20"/>
  <c r="F21" i="20" s="1"/>
  <c r="H32" i="20"/>
  <c r="I32" i="20" s="1"/>
  <c r="E32" i="20"/>
  <c r="F32" i="20" s="1"/>
  <c r="H31" i="20"/>
  <c r="I31" i="20" s="1"/>
  <c r="E31" i="20"/>
  <c r="F31" i="20" s="1"/>
  <c r="H30" i="20"/>
  <c r="I30" i="20" s="1"/>
  <c r="E30" i="20"/>
  <c r="F30" i="20" s="1"/>
  <c r="H37" i="20"/>
  <c r="I37" i="20" s="1"/>
  <c r="E37" i="20"/>
  <c r="F37" i="20" s="1"/>
  <c r="H26" i="3"/>
  <c r="E5" i="3"/>
  <c r="F5" i="3" s="1"/>
  <c r="E4" i="3"/>
  <c r="F4" i="3" s="1"/>
  <c r="C2" i="3"/>
  <c r="H5" i="3"/>
  <c r="A4" i="34" a="1"/>
  <c r="A4" i="34" s="1"/>
  <c r="A4" i="30" a="1"/>
  <c r="A1" i="30" a="1"/>
  <c r="A1" i="30" s="1"/>
  <c r="A4" i="29" a="1"/>
  <c r="A1" i="29" a="1"/>
  <c r="A1" i="29" s="1"/>
  <c r="A4" i="18" a="1"/>
  <c r="A1" i="18" a="1"/>
  <c r="A1" i="18" s="1"/>
  <c r="H69" i="33"/>
  <c r="I69" i="33" s="1"/>
  <c r="E69" i="33"/>
  <c r="F69" i="33" s="1"/>
  <c r="H68" i="33"/>
  <c r="I68" i="33" s="1"/>
  <c r="E68" i="33"/>
  <c r="F68" i="33" s="1"/>
  <c r="H67" i="33"/>
  <c r="I67" i="33" s="1"/>
  <c r="E67" i="33"/>
  <c r="F67" i="33" s="1"/>
  <c r="H66" i="33"/>
  <c r="I66" i="33" s="1"/>
  <c r="E66" i="33"/>
  <c r="F66" i="33" s="1"/>
  <c r="H65" i="33"/>
  <c r="I65" i="33" s="1"/>
  <c r="E65" i="33"/>
  <c r="F65" i="33" s="1"/>
  <c r="H64" i="33"/>
  <c r="I64" i="33" s="1"/>
  <c r="E64" i="33"/>
  <c r="F64" i="33" s="1"/>
  <c r="H63" i="33"/>
  <c r="I63" i="33" s="1"/>
  <c r="E63" i="33"/>
  <c r="F63" i="33" s="1"/>
  <c r="H62" i="33"/>
  <c r="I62" i="33" s="1"/>
  <c r="E62" i="33"/>
  <c r="F62" i="33" s="1"/>
  <c r="H61" i="33"/>
  <c r="I61" i="33" s="1"/>
  <c r="E61" i="33"/>
  <c r="F61" i="33" s="1"/>
  <c r="H60" i="33"/>
  <c r="I60" i="33" s="1"/>
  <c r="E60" i="33"/>
  <c r="F60" i="33" s="1"/>
  <c r="H59" i="33"/>
  <c r="I59" i="33" s="1"/>
  <c r="E59" i="33"/>
  <c r="F59" i="33" s="1"/>
  <c r="H58" i="33"/>
  <c r="I58" i="33" s="1"/>
  <c r="E58" i="33"/>
  <c r="F58" i="33" s="1"/>
  <c r="H57" i="33"/>
  <c r="I57" i="33" s="1"/>
  <c r="E57" i="33"/>
  <c r="F57" i="33" s="1"/>
  <c r="H56" i="33"/>
  <c r="I56" i="33" s="1"/>
  <c r="E56" i="33"/>
  <c r="F56" i="33" s="1"/>
  <c r="H55" i="33"/>
  <c r="I55" i="33" s="1"/>
  <c r="E55" i="33"/>
  <c r="F55" i="33" s="1"/>
  <c r="H54" i="33"/>
  <c r="I54" i="33" s="1"/>
  <c r="E54" i="33"/>
  <c r="F54" i="33" s="1"/>
  <c r="H53" i="33"/>
  <c r="I53" i="33" s="1"/>
  <c r="E53" i="33"/>
  <c r="F53" i="33" s="1"/>
  <c r="H52" i="33"/>
  <c r="I52" i="33" s="1"/>
  <c r="E52" i="33"/>
  <c r="F52" i="33" s="1"/>
  <c r="H51" i="33"/>
  <c r="I51" i="33" s="1"/>
  <c r="E51" i="33"/>
  <c r="F51" i="33" s="1"/>
  <c r="H50" i="33"/>
  <c r="I50" i="33" s="1"/>
  <c r="E50" i="33"/>
  <c r="F50" i="33" s="1"/>
  <c r="H49" i="33"/>
  <c r="I49" i="33" s="1"/>
  <c r="E49" i="33"/>
  <c r="F49" i="33" s="1"/>
  <c r="H48" i="33"/>
  <c r="I48" i="33" s="1"/>
  <c r="E48" i="33"/>
  <c r="F48" i="33" s="1"/>
  <c r="H47" i="33"/>
  <c r="I47" i="33" s="1"/>
  <c r="E47" i="33"/>
  <c r="F47" i="33" s="1"/>
  <c r="H46" i="33"/>
  <c r="I46" i="33" s="1"/>
  <c r="E46" i="33"/>
  <c r="F46" i="33" s="1"/>
  <c r="H45" i="33"/>
  <c r="I45" i="33" s="1"/>
  <c r="E45" i="33"/>
  <c r="F45" i="33" s="1"/>
  <c r="H44" i="33"/>
  <c r="I44" i="33" s="1"/>
  <c r="E44" i="33"/>
  <c r="F44" i="33" s="1"/>
  <c r="H43" i="33"/>
  <c r="I43" i="33" s="1"/>
  <c r="E43" i="33"/>
  <c r="F43" i="33" s="1"/>
  <c r="H42" i="33"/>
  <c r="I42" i="33" s="1"/>
  <c r="E42" i="33"/>
  <c r="F42" i="33" s="1"/>
  <c r="H41" i="33"/>
  <c r="I41" i="33" s="1"/>
  <c r="E41" i="33"/>
  <c r="F41" i="33" s="1"/>
  <c r="H40" i="33"/>
  <c r="I40" i="33" s="1"/>
  <c r="E40" i="33"/>
  <c r="F40" i="33" s="1"/>
  <c r="H39" i="33"/>
  <c r="I39" i="33" s="1"/>
  <c r="E39" i="33"/>
  <c r="F39" i="33" s="1"/>
  <c r="H38" i="33"/>
  <c r="I38" i="33" s="1"/>
  <c r="E38" i="33"/>
  <c r="F38" i="33" s="1"/>
  <c r="H37" i="33"/>
  <c r="I37" i="33" s="1"/>
  <c r="E37" i="33"/>
  <c r="F37" i="33" s="1"/>
  <c r="H36" i="33"/>
  <c r="I36" i="33" s="1"/>
  <c r="E36" i="33"/>
  <c r="F36" i="33" s="1"/>
  <c r="H35" i="33"/>
  <c r="I35" i="33" s="1"/>
  <c r="E35" i="33"/>
  <c r="F35" i="33" s="1"/>
  <c r="H34" i="33"/>
  <c r="I34" i="33" s="1"/>
  <c r="E34" i="33"/>
  <c r="F34" i="33" s="1"/>
  <c r="H33" i="33"/>
  <c r="I33" i="33" s="1"/>
  <c r="E33" i="33"/>
  <c r="F33" i="33" s="1"/>
  <c r="H32" i="33"/>
  <c r="I32" i="33" s="1"/>
  <c r="E32" i="33"/>
  <c r="F32" i="33" s="1"/>
  <c r="H31" i="33"/>
  <c r="I31" i="33" s="1"/>
  <c r="E31" i="33"/>
  <c r="F31" i="33" s="1"/>
  <c r="H30" i="33"/>
  <c r="I30" i="33" s="1"/>
  <c r="E30" i="33"/>
  <c r="F30" i="33" s="1"/>
  <c r="H29" i="33"/>
  <c r="I29" i="33" s="1"/>
  <c r="E29" i="33"/>
  <c r="F29" i="33" s="1"/>
  <c r="H28" i="33"/>
  <c r="I28" i="33" s="1"/>
  <c r="E28" i="33"/>
  <c r="F28" i="33" s="1"/>
  <c r="H27" i="33"/>
  <c r="I27" i="33" s="1"/>
  <c r="E27" i="33"/>
  <c r="F27" i="33" s="1"/>
  <c r="H26" i="33"/>
  <c r="I26" i="33" s="1"/>
  <c r="E26" i="33"/>
  <c r="F26" i="33" s="1"/>
  <c r="H25" i="33"/>
  <c r="I25" i="33" s="1"/>
  <c r="E25" i="33"/>
  <c r="F25" i="33" s="1"/>
  <c r="H24" i="33"/>
  <c r="I24" i="33" s="1"/>
  <c r="E24" i="33"/>
  <c r="F24" i="33" s="1"/>
  <c r="H23" i="33"/>
  <c r="I23" i="33" s="1"/>
  <c r="E23" i="33"/>
  <c r="F23" i="33" s="1"/>
  <c r="H22" i="33"/>
  <c r="I22" i="33" s="1"/>
  <c r="E22" i="33"/>
  <c r="F22" i="33" s="1"/>
  <c r="H21" i="33"/>
  <c r="I21" i="33" s="1"/>
  <c r="E21" i="33"/>
  <c r="F21" i="33" s="1"/>
  <c r="H20" i="33"/>
  <c r="I20" i="33" s="1"/>
  <c r="E20" i="33"/>
  <c r="F20" i="33" s="1"/>
  <c r="H19" i="33"/>
  <c r="I19" i="33" s="1"/>
  <c r="E19" i="33"/>
  <c r="F19" i="33" s="1"/>
  <c r="H18" i="33"/>
  <c r="I18" i="33" s="1"/>
  <c r="E18" i="33"/>
  <c r="F18" i="33" s="1"/>
  <c r="H17" i="33"/>
  <c r="I17" i="33" s="1"/>
  <c r="E17" i="33"/>
  <c r="F17" i="33" s="1"/>
  <c r="H16" i="33"/>
  <c r="I16" i="33" s="1"/>
  <c r="E16" i="33"/>
  <c r="F16" i="33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B4" i="33" a="1"/>
  <c r="B4" i="33" s="1"/>
  <c r="A4" i="33" a="1"/>
  <c r="A4" i="33" s="1"/>
  <c r="H69" i="32"/>
  <c r="I69" i="32" s="1"/>
  <c r="E69" i="32"/>
  <c r="F69" i="32" s="1"/>
  <c r="H68" i="32"/>
  <c r="I68" i="32" s="1"/>
  <c r="E68" i="32"/>
  <c r="F68" i="32" s="1"/>
  <c r="H67" i="32"/>
  <c r="I67" i="32" s="1"/>
  <c r="E67" i="32"/>
  <c r="F67" i="32" s="1"/>
  <c r="H66" i="32"/>
  <c r="I66" i="32" s="1"/>
  <c r="E66" i="32"/>
  <c r="F66" i="32" s="1"/>
  <c r="H65" i="32"/>
  <c r="I65" i="32" s="1"/>
  <c r="E65" i="32"/>
  <c r="F65" i="32" s="1"/>
  <c r="H64" i="32"/>
  <c r="I64" i="32" s="1"/>
  <c r="E64" i="32"/>
  <c r="F64" i="32" s="1"/>
  <c r="H63" i="32"/>
  <c r="I63" i="32" s="1"/>
  <c r="E63" i="32"/>
  <c r="F63" i="32" s="1"/>
  <c r="H62" i="32"/>
  <c r="I62" i="32" s="1"/>
  <c r="E62" i="32"/>
  <c r="F62" i="32" s="1"/>
  <c r="H61" i="32"/>
  <c r="I61" i="32" s="1"/>
  <c r="E61" i="32"/>
  <c r="F61" i="32" s="1"/>
  <c r="H60" i="32"/>
  <c r="I60" i="32" s="1"/>
  <c r="E60" i="32"/>
  <c r="F60" i="32" s="1"/>
  <c r="H59" i="32"/>
  <c r="I59" i="32" s="1"/>
  <c r="E59" i="32"/>
  <c r="F59" i="32" s="1"/>
  <c r="H58" i="32"/>
  <c r="I58" i="32" s="1"/>
  <c r="E58" i="32"/>
  <c r="F58" i="32" s="1"/>
  <c r="H57" i="32"/>
  <c r="I57" i="32" s="1"/>
  <c r="E57" i="32"/>
  <c r="F57" i="32" s="1"/>
  <c r="H56" i="32"/>
  <c r="I56" i="32" s="1"/>
  <c r="E56" i="32"/>
  <c r="F56" i="32" s="1"/>
  <c r="H55" i="32"/>
  <c r="I55" i="32" s="1"/>
  <c r="E55" i="32"/>
  <c r="F55" i="32" s="1"/>
  <c r="H54" i="32"/>
  <c r="I54" i="32" s="1"/>
  <c r="E54" i="32"/>
  <c r="F54" i="32" s="1"/>
  <c r="H53" i="32"/>
  <c r="I53" i="32" s="1"/>
  <c r="E53" i="32"/>
  <c r="F53" i="32" s="1"/>
  <c r="H52" i="32"/>
  <c r="I52" i="32" s="1"/>
  <c r="E52" i="32"/>
  <c r="F52" i="32" s="1"/>
  <c r="H51" i="32"/>
  <c r="I51" i="32" s="1"/>
  <c r="E51" i="32"/>
  <c r="F51" i="32" s="1"/>
  <c r="H50" i="32"/>
  <c r="I50" i="32" s="1"/>
  <c r="E50" i="32"/>
  <c r="F50" i="32" s="1"/>
  <c r="H49" i="32"/>
  <c r="I49" i="32" s="1"/>
  <c r="E49" i="32"/>
  <c r="F49" i="32" s="1"/>
  <c r="H48" i="32"/>
  <c r="I48" i="32" s="1"/>
  <c r="E48" i="32"/>
  <c r="F48" i="32" s="1"/>
  <c r="H47" i="32"/>
  <c r="I47" i="32" s="1"/>
  <c r="E47" i="32"/>
  <c r="F47" i="32" s="1"/>
  <c r="H46" i="32"/>
  <c r="I46" i="32" s="1"/>
  <c r="E46" i="32"/>
  <c r="F46" i="32" s="1"/>
  <c r="H45" i="32"/>
  <c r="I45" i="32" s="1"/>
  <c r="E45" i="32"/>
  <c r="F45" i="32" s="1"/>
  <c r="H44" i="32"/>
  <c r="I44" i="32" s="1"/>
  <c r="E44" i="32"/>
  <c r="F44" i="32" s="1"/>
  <c r="H43" i="32"/>
  <c r="I43" i="32" s="1"/>
  <c r="E43" i="32"/>
  <c r="F43" i="32" s="1"/>
  <c r="H42" i="32"/>
  <c r="I42" i="32" s="1"/>
  <c r="E42" i="32"/>
  <c r="F42" i="32" s="1"/>
  <c r="H41" i="32"/>
  <c r="I41" i="32" s="1"/>
  <c r="E41" i="32"/>
  <c r="F41" i="32" s="1"/>
  <c r="H40" i="32"/>
  <c r="I40" i="32" s="1"/>
  <c r="E40" i="32"/>
  <c r="F40" i="32" s="1"/>
  <c r="H39" i="32"/>
  <c r="I39" i="32" s="1"/>
  <c r="E39" i="32"/>
  <c r="F39" i="32" s="1"/>
  <c r="H38" i="32"/>
  <c r="I38" i="32" s="1"/>
  <c r="E38" i="32"/>
  <c r="F38" i="32" s="1"/>
  <c r="H37" i="32"/>
  <c r="I37" i="32" s="1"/>
  <c r="E37" i="32"/>
  <c r="F37" i="32" s="1"/>
  <c r="H36" i="32"/>
  <c r="I36" i="32" s="1"/>
  <c r="E36" i="32"/>
  <c r="F36" i="32" s="1"/>
  <c r="H35" i="32"/>
  <c r="I35" i="32" s="1"/>
  <c r="E35" i="32"/>
  <c r="F35" i="32" s="1"/>
  <c r="H34" i="32"/>
  <c r="I34" i="32" s="1"/>
  <c r="E34" i="32"/>
  <c r="F34" i="32" s="1"/>
  <c r="H33" i="32"/>
  <c r="I33" i="32" s="1"/>
  <c r="E33" i="32"/>
  <c r="F33" i="32" s="1"/>
  <c r="H32" i="32"/>
  <c r="I32" i="32" s="1"/>
  <c r="E32" i="32"/>
  <c r="F32" i="32" s="1"/>
  <c r="H31" i="32"/>
  <c r="I31" i="32" s="1"/>
  <c r="E31" i="32"/>
  <c r="F31" i="32" s="1"/>
  <c r="H30" i="32"/>
  <c r="I30" i="32" s="1"/>
  <c r="E30" i="32"/>
  <c r="F30" i="32" s="1"/>
  <c r="H29" i="32"/>
  <c r="I29" i="32" s="1"/>
  <c r="E29" i="32"/>
  <c r="F29" i="32" s="1"/>
  <c r="H28" i="32"/>
  <c r="I28" i="32" s="1"/>
  <c r="E28" i="32"/>
  <c r="F28" i="32" s="1"/>
  <c r="H27" i="32"/>
  <c r="I27" i="32" s="1"/>
  <c r="E27" i="32"/>
  <c r="F27" i="32" s="1"/>
  <c r="H26" i="32"/>
  <c r="I26" i="32" s="1"/>
  <c r="E26" i="32"/>
  <c r="F26" i="32" s="1"/>
  <c r="H25" i="32"/>
  <c r="I25" i="32" s="1"/>
  <c r="E25" i="32"/>
  <c r="F25" i="32" s="1"/>
  <c r="H24" i="32"/>
  <c r="I24" i="32" s="1"/>
  <c r="E24" i="32"/>
  <c r="F24" i="32" s="1"/>
  <c r="H23" i="32"/>
  <c r="I23" i="32" s="1"/>
  <c r="E23" i="32"/>
  <c r="F23" i="32" s="1"/>
  <c r="H22" i="32"/>
  <c r="I22" i="32" s="1"/>
  <c r="E22" i="32"/>
  <c r="F22" i="32" s="1"/>
  <c r="H21" i="32"/>
  <c r="I21" i="32" s="1"/>
  <c r="E21" i="32"/>
  <c r="F21" i="32" s="1"/>
  <c r="H20" i="32"/>
  <c r="I20" i="32" s="1"/>
  <c r="E20" i="32"/>
  <c r="F20" i="32" s="1"/>
  <c r="H19" i="32"/>
  <c r="I19" i="32" s="1"/>
  <c r="E19" i="32"/>
  <c r="F19" i="32" s="1"/>
  <c r="H18" i="32"/>
  <c r="I18" i="32" s="1"/>
  <c r="E18" i="32"/>
  <c r="F18" i="32" s="1"/>
  <c r="H17" i="32"/>
  <c r="I17" i="32" s="1"/>
  <c r="E17" i="32"/>
  <c r="F17" i="32" s="1"/>
  <c r="H16" i="32"/>
  <c r="I16" i="32" s="1"/>
  <c r="E16" i="32"/>
  <c r="F16" i="32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I5" i="32"/>
  <c r="E5" i="32"/>
  <c r="F5" i="32" s="1"/>
  <c r="H4" i="32"/>
  <c r="I4" i="32" s="1"/>
  <c r="E4" i="32"/>
  <c r="F4" i="32" s="1"/>
  <c r="B4" i="32" a="1"/>
  <c r="B4" i="32" s="1"/>
  <c r="H69" i="31"/>
  <c r="I69" i="31" s="1"/>
  <c r="E69" i="31"/>
  <c r="F69" i="31" s="1"/>
  <c r="H68" i="31"/>
  <c r="I68" i="31" s="1"/>
  <c r="E68" i="31"/>
  <c r="F68" i="31" s="1"/>
  <c r="H67" i="31"/>
  <c r="I67" i="31" s="1"/>
  <c r="E67" i="31"/>
  <c r="F67" i="31" s="1"/>
  <c r="H66" i="31"/>
  <c r="I66" i="31" s="1"/>
  <c r="E66" i="31"/>
  <c r="F66" i="31" s="1"/>
  <c r="H65" i="31"/>
  <c r="I65" i="31" s="1"/>
  <c r="E65" i="31"/>
  <c r="F65" i="31" s="1"/>
  <c r="H64" i="31"/>
  <c r="I64" i="31" s="1"/>
  <c r="E64" i="31"/>
  <c r="F64" i="31" s="1"/>
  <c r="H63" i="31"/>
  <c r="I63" i="31" s="1"/>
  <c r="E63" i="31"/>
  <c r="F63" i="31" s="1"/>
  <c r="H62" i="31"/>
  <c r="I62" i="31" s="1"/>
  <c r="E62" i="31"/>
  <c r="F62" i="31" s="1"/>
  <c r="H61" i="31"/>
  <c r="I61" i="31" s="1"/>
  <c r="E61" i="31"/>
  <c r="F61" i="31" s="1"/>
  <c r="H60" i="31"/>
  <c r="I60" i="31" s="1"/>
  <c r="E60" i="31"/>
  <c r="F60" i="31" s="1"/>
  <c r="H59" i="31"/>
  <c r="I59" i="31" s="1"/>
  <c r="E59" i="31"/>
  <c r="F59" i="31" s="1"/>
  <c r="H58" i="31"/>
  <c r="I58" i="31" s="1"/>
  <c r="E58" i="31"/>
  <c r="F58" i="31" s="1"/>
  <c r="H57" i="31"/>
  <c r="I57" i="31" s="1"/>
  <c r="E57" i="31"/>
  <c r="F57" i="31" s="1"/>
  <c r="H56" i="31"/>
  <c r="I56" i="31" s="1"/>
  <c r="E56" i="31"/>
  <c r="F56" i="31" s="1"/>
  <c r="H55" i="31"/>
  <c r="I55" i="31" s="1"/>
  <c r="E55" i="31"/>
  <c r="F55" i="31" s="1"/>
  <c r="H54" i="31"/>
  <c r="I54" i="31" s="1"/>
  <c r="E54" i="31"/>
  <c r="F54" i="31" s="1"/>
  <c r="H53" i="31"/>
  <c r="I53" i="31" s="1"/>
  <c r="E53" i="31"/>
  <c r="F53" i="31" s="1"/>
  <c r="H52" i="31"/>
  <c r="I52" i="31" s="1"/>
  <c r="E52" i="31"/>
  <c r="F52" i="31" s="1"/>
  <c r="H51" i="31"/>
  <c r="I51" i="31" s="1"/>
  <c r="E51" i="31"/>
  <c r="F51" i="31" s="1"/>
  <c r="H50" i="31"/>
  <c r="I50" i="31" s="1"/>
  <c r="E50" i="31"/>
  <c r="F50" i="31" s="1"/>
  <c r="H49" i="31"/>
  <c r="I49" i="31" s="1"/>
  <c r="E49" i="31"/>
  <c r="F49" i="31" s="1"/>
  <c r="H48" i="31"/>
  <c r="I48" i="31" s="1"/>
  <c r="E48" i="31"/>
  <c r="F48" i="31" s="1"/>
  <c r="H47" i="31"/>
  <c r="I47" i="31" s="1"/>
  <c r="E47" i="31"/>
  <c r="F47" i="31" s="1"/>
  <c r="H46" i="31"/>
  <c r="I46" i="31" s="1"/>
  <c r="E46" i="31"/>
  <c r="F46" i="31" s="1"/>
  <c r="H45" i="31"/>
  <c r="I45" i="31" s="1"/>
  <c r="E45" i="31"/>
  <c r="F45" i="31" s="1"/>
  <c r="H44" i="31"/>
  <c r="I44" i="31" s="1"/>
  <c r="E44" i="31"/>
  <c r="F44" i="31" s="1"/>
  <c r="H43" i="31"/>
  <c r="I43" i="31" s="1"/>
  <c r="E43" i="31"/>
  <c r="F43" i="31" s="1"/>
  <c r="H42" i="31"/>
  <c r="I42" i="31" s="1"/>
  <c r="E42" i="31"/>
  <c r="F42" i="31" s="1"/>
  <c r="H41" i="31"/>
  <c r="I41" i="31" s="1"/>
  <c r="E41" i="31"/>
  <c r="F41" i="31" s="1"/>
  <c r="H40" i="31"/>
  <c r="I40" i="31" s="1"/>
  <c r="E40" i="31"/>
  <c r="F40" i="31" s="1"/>
  <c r="H39" i="31"/>
  <c r="I39" i="31" s="1"/>
  <c r="E39" i="31"/>
  <c r="F39" i="31" s="1"/>
  <c r="H38" i="31"/>
  <c r="I38" i="31" s="1"/>
  <c r="E38" i="31"/>
  <c r="F38" i="31" s="1"/>
  <c r="H37" i="31"/>
  <c r="I37" i="31" s="1"/>
  <c r="E37" i="31"/>
  <c r="F37" i="31" s="1"/>
  <c r="H36" i="31"/>
  <c r="I36" i="31" s="1"/>
  <c r="E36" i="31"/>
  <c r="F36" i="31" s="1"/>
  <c r="H35" i="31"/>
  <c r="I35" i="31" s="1"/>
  <c r="E35" i="31"/>
  <c r="F35" i="31" s="1"/>
  <c r="H34" i="31"/>
  <c r="I34" i="31" s="1"/>
  <c r="E34" i="31"/>
  <c r="F34" i="31" s="1"/>
  <c r="H33" i="31"/>
  <c r="I33" i="31" s="1"/>
  <c r="E33" i="31"/>
  <c r="F33" i="31" s="1"/>
  <c r="H32" i="31"/>
  <c r="I32" i="31" s="1"/>
  <c r="E32" i="31"/>
  <c r="F32" i="31" s="1"/>
  <c r="H31" i="31"/>
  <c r="I31" i="31" s="1"/>
  <c r="E31" i="31"/>
  <c r="F31" i="31" s="1"/>
  <c r="H30" i="31"/>
  <c r="I30" i="31" s="1"/>
  <c r="E30" i="31"/>
  <c r="F30" i="31" s="1"/>
  <c r="H29" i="31"/>
  <c r="I29" i="31" s="1"/>
  <c r="E29" i="31"/>
  <c r="F29" i="31" s="1"/>
  <c r="H28" i="31"/>
  <c r="I28" i="31" s="1"/>
  <c r="E28" i="31"/>
  <c r="F28" i="31" s="1"/>
  <c r="H27" i="31"/>
  <c r="I27" i="31" s="1"/>
  <c r="E27" i="31"/>
  <c r="F27" i="31" s="1"/>
  <c r="H26" i="31"/>
  <c r="I26" i="31" s="1"/>
  <c r="E26" i="31"/>
  <c r="F26" i="31" s="1"/>
  <c r="H25" i="31"/>
  <c r="I25" i="31" s="1"/>
  <c r="E25" i="31"/>
  <c r="F25" i="31" s="1"/>
  <c r="H24" i="31"/>
  <c r="I24" i="31" s="1"/>
  <c r="E24" i="31"/>
  <c r="F24" i="31" s="1"/>
  <c r="H23" i="31"/>
  <c r="I23" i="31" s="1"/>
  <c r="E23" i="31"/>
  <c r="F23" i="31" s="1"/>
  <c r="H22" i="31"/>
  <c r="I22" i="31" s="1"/>
  <c r="E22" i="31"/>
  <c r="F22" i="31" s="1"/>
  <c r="H21" i="31"/>
  <c r="I21" i="31" s="1"/>
  <c r="E21" i="31"/>
  <c r="F21" i="31" s="1"/>
  <c r="H20" i="31"/>
  <c r="I20" i="31" s="1"/>
  <c r="E20" i="31"/>
  <c r="F20" i="31" s="1"/>
  <c r="H19" i="31"/>
  <c r="I19" i="31" s="1"/>
  <c r="E19" i="31"/>
  <c r="F19" i="31" s="1"/>
  <c r="H18" i="31"/>
  <c r="I18" i="31" s="1"/>
  <c r="E18" i="31"/>
  <c r="F18" i="31" s="1"/>
  <c r="H17" i="31"/>
  <c r="I17" i="31" s="1"/>
  <c r="E17" i="31"/>
  <c r="F17" i="31" s="1"/>
  <c r="H16" i="31"/>
  <c r="I16" i="31" s="1"/>
  <c r="E16" i="31"/>
  <c r="F16" i="31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B4" i="31" a="1"/>
  <c r="B4" i="31" s="1"/>
  <c r="A4" i="31" a="1"/>
  <c r="A4" i="31" s="1"/>
  <c r="H69" i="28"/>
  <c r="I69" i="28" s="1"/>
  <c r="E69" i="28"/>
  <c r="F69" i="28" s="1"/>
  <c r="H68" i="28"/>
  <c r="I68" i="28" s="1"/>
  <c r="E68" i="28"/>
  <c r="F68" i="28" s="1"/>
  <c r="H67" i="28"/>
  <c r="I67" i="28" s="1"/>
  <c r="E67" i="28"/>
  <c r="F67" i="28" s="1"/>
  <c r="H66" i="28"/>
  <c r="I66" i="28" s="1"/>
  <c r="E66" i="28"/>
  <c r="F66" i="28" s="1"/>
  <c r="H65" i="28"/>
  <c r="I65" i="28" s="1"/>
  <c r="E65" i="28"/>
  <c r="F65" i="28" s="1"/>
  <c r="H64" i="28"/>
  <c r="I64" i="28" s="1"/>
  <c r="E64" i="28"/>
  <c r="F64" i="28" s="1"/>
  <c r="H63" i="28"/>
  <c r="I63" i="28" s="1"/>
  <c r="E63" i="28"/>
  <c r="F63" i="28" s="1"/>
  <c r="H62" i="28"/>
  <c r="I62" i="28" s="1"/>
  <c r="E62" i="28"/>
  <c r="F62" i="28" s="1"/>
  <c r="H61" i="28"/>
  <c r="I61" i="28" s="1"/>
  <c r="E61" i="28"/>
  <c r="F61" i="28" s="1"/>
  <c r="H60" i="28"/>
  <c r="I60" i="28" s="1"/>
  <c r="E60" i="28"/>
  <c r="F60" i="28" s="1"/>
  <c r="H59" i="28"/>
  <c r="I59" i="28" s="1"/>
  <c r="E59" i="28"/>
  <c r="F59" i="28" s="1"/>
  <c r="H58" i="28"/>
  <c r="I58" i="28" s="1"/>
  <c r="E58" i="28"/>
  <c r="F58" i="28" s="1"/>
  <c r="H57" i="28"/>
  <c r="I57" i="28" s="1"/>
  <c r="E57" i="28"/>
  <c r="F57" i="28" s="1"/>
  <c r="H56" i="28"/>
  <c r="I56" i="28" s="1"/>
  <c r="E56" i="28"/>
  <c r="F56" i="28" s="1"/>
  <c r="H55" i="28"/>
  <c r="I55" i="28" s="1"/>
  <c r="E55" i="28"/>
  <c r="F55" i="28" s="1"/>
  <c r="H54" i="28"/>
  <c r="I54" i="28" s="1"/>
  <c r="E54" i="28"/>
  <c r="F54" i="28" s="1"/>
  <c r="H53" i="28"/>
  <c r="I53" i="28" s="1"/>
  <c r="E53" i="28"/>
  <c r="F53" i="28" s="1"/>
  <c r="H52" i="28"/>
  <c r="I52" i="28" s="1"/>
  <c r="E52" i="28"/>
  <c r="F52" i="28" s="1"/>
  <c r="H51" i="28"/>
  <c r="I51" i="28" s="1"/>
  <c r="E51" i="28"/>
  <c r="F51" i="28" s="1"/>
  <c r="H50" i="28"/>
  <c r="I50" i="28" s="1"/>
  <c r="E50" i="28"/>
  <c r="F50" i="28" s="1"/>
  <c r="H49" i="28"/>
  <c r="I49" i="28" s="1"/>
  <c r="E49" i="28"/>
  <c r="F49" i="28" s="1"/>
  <c r="H48" i="28"/>
  <c r="I48" i="28" s="1"/>
  <c r="E48" i="28"/>
  <c r="F48" i="28" s="1"/>
  <c r="H47" i="28"/>
  <c r="I47" i="28" s="1"/>
  <c r="E47" i="28"/>
  <c r="F47" i="28" s="1"/>
  <c r="H46" i="28"/>
  <c r="I46" i="28" s="1"/>
  <c r="E46" i="28"/>
  <c r="F46" i="28" s="1"/>
  <c r="H45" i="28"/>
  <c r="I45" i="28" s="1"/>
  <c r="E45" i="28"/>
  <c r="F45" i="28" s="1"/>
  <c r="H44" i="28"/>
  <c r="I44" i="28" s="1"/>
  <c r="E44" i="28"/>
  <c r="F44" i="28" s="1"/>
  <c r="H43" i="28"/>
  <c r="I43" i="28" s="1"/>
  <c r="E43" i="28"/>
  <c r="F43" i="28" s="1"/>
  <c r="H42" i="28"/>
  <c r="I42" i="28" s="1"/>
  <c r="E42" i="28"/>
  <c r="F42" i="28" s="1"/>
  <c r="H41" i="28"/>
  <c r="I41" i="28" s="1"/>
  <c r="E41" i="28"/>
  <c r="F41" i="28" s="1"/>
  <c r="H40" i="28"/>
  <c r="I40" i="28" s="1"/>
  <c r="E40" i="28"/>
  <c r="F40" i="28" s="1"/>
  <c r="H39" i="28"/>
  <c r="I39" i="28" s="1"/>
  <c r="E39" i="28"/>
  <c r="F39" i="28" s="1"/>
  <c r="H38" i="28"/>
  <c r="I38" i="28" s="1"/>
  <c r="E38" i="28"/>
  <c r="F38" i="28" s="1"/>
  <c r="H37" i="28"/>
  <c r="I37" i="28" s="1"/>
  <c r="E37" i="28"/>
  <c r="F37" i="28" s="1"/>
  <c r="H36" i="28"/>
  <c r="I36" i="28" s="1"/>
  <c r="E36" i="28"/>
  <c r="F36" i="28" s="1"/>
  <c r="H35" i="28"/>
  <c r="I35" i="28" s="1"/>
  <c r="E35" i="28"/>
  <c r="F35" i="28" s="1"/>
  <c r="H34" i="28"/>
  <c r="I34" i="28" s="1"/>
  <c r="E34" i="28"/>
  <c r="F34" i="28" s="1"/>
  <c r="H33" i="28"/>
  <c r="I33" i="28" s="1"/>
  <c r="E33" i="28"/>
  <c r="F33" i="28" s="1"/>
  <c r="H32" i="28"/>
  <c r="I32" i="28" s="1"/>
  <c r="E32" i="28"/>
  <c r="F32" i="28" s="1"/>
  <c r="H31" i="28"/>
  <c r="I31" i="28" s="1"/>
  <c r="E31" i="28"/>
  <c r="F31" i="28" s="1"/>
  <c r="H30" i="28"/>
  <c r="I30" i="28" s="1"/>
  <c r="E30" i="28"/>
  <c r="F30" i="28" s="1"/>
  <c r="H29" i="28"/>
  <c r="I29" i="28" s="1"/>
  <c r="E29" i="28"/>
  <c r="F29" i="28" s="1"/>
  <c r="H28" i="28"/>
  <c r="I28" i="28" s="1"/>
  <c r="E28" i="28"/>
  <c r="F28" i="28" s="1"/>
  <c r="H27" i="28"/>
  <c r="I27" i="28" s="1"/>
  <c r="E27" i="28"/>
  <c r="F27" i="28" s="1"/>
  <c r="H26" i="28"/>
  <c r="I26" i="28" s="1"/>
  <c r="E26" i="28"/>
  <c r="F26" i="28" s="1"/>
  <c r="H25" i="28"/>
  <c r="I25" i="28" s="1"/>
  <c r="E25" i="28"/>
  <c r="F25" i="28" s="1"/>
  <c r="H24" i="28"/>
  <c r="I24" i="28" s="1"/>
  <c r="E24" i="28"/>
  <c r="F24" i="28" s="1"/>
  <c r="H23" i="28"/>
  <c r="I23" i="28" s="1"/>
  <c r="E23" i="28"/>
  <c r="F23" i="28" s="1"/>
  <c r="H22" i="28"/>
  <c r="I22" i="28" s="1"/>
  <c r="E22" i="28"/>
  <c r="F22" i="28" s="1"/>
  <c r="H21" i="28"/>
  <c r="I21" i="28" s="1"/>
  <c r="E21" i="28"/>
  <c r="F21" i="28" s="1"/>
  <c r="H20" i="28"/>
  <c r="I20" i="28" s="1"/>
  <c r="E20" i="28"/>
  <c r="F20" i="28" s="1"/>
  <c r="H19" i="28"/>
  <c r="I19" i="28" s="1"/>
  <c r="E19" i="28"/>
  <c r="F19" i="28" s="1"/>
  <c r="H18" i="28"/>
  <c r="I18" i="28" s="1"/>
  <c r="E18" i="28"/>
  <c r="F18" i="28" s="1"/>
  <c r="H17" i="28"/>
  <c r="I17" i="28" s="1"/>
  <c r="E17" i="28"/>
  <c r="F17" i="28" s="1"/>
  <c r="H16" i="28"/>
  <c r="I16" i="28" s="1"/>
  <c r="E16" i="28"/>
  <c r="F16" i="28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F47" i="27"/>
  <c r="G47" i="27" s="1"/>
  <c r="F46" i="27"/>
  <c r="G46" i="27" s="1"/>
  <c r="F45" i="27"/>
  <c r="G45" i="27" s="1"/>
  <c r="F44" i="27"/>
  <c r="G44" i="27" s="1"/>
  <c r="F43" i="27"/>
  <c r="G43" i="27" s="1"/>
  <c r="F42" i="27"/>
  <c r="G42" i="27" s="1"/>
  <c r="I41" i="27"/>
  <c r="J41" i="27" s="1"/>
  <c r="F41" i="27"/>
  <c r="G41" i="27" s="1"/>
  <c r="I40" i="27"/>
  <c r="J40" i="27" s="1"/>
  <c r="F40" i="27"/>
  <c r="G40" i="27" s="1"/>
  <c r="I39" i="27"/>
  <c r="J39" i="27" s="1"/>
  <c r="F39" i="27"/>
  <c r="G39" i="27" s="1"/>
  <c r="I38" i="27"/>
  <c r="J38" i="27" s="1"/>
  <c r="F38" i="27"/>
  <c r="G38" i="27" s="1"/>
  <c r="I37" i="27"/>
  <c r="J37" i="27" s="1"/>
  <c r="F37" i="27"/>
  <c r="G37" i="27" s="1"/>
  <c r="I36" i="27"/>
  <c r="J36" i="27" s="1"/>
  <c r="F36" i="27"/>
  <c r="G36" i="27" s="1"/>
  <c r="I35" i="27"/>
  <c r="J35" i="27" s="1"/>
  <c r="F35" i="27"/>
  <c r="G35" i="27" s="1"/>
  <c r="I34" i="27"/>
  <c r="J34" i="27" s="1"/>
  <c r="F34" i="27"/>
  <c r="G34" i="27" s="1"/>
  <c r="I33" i="27"/>
  <c r="J33" i="27" s="1"/>
  <c r="F33" i="27"/>
  <c r="G33" i="27" s="1"/>
  <c r="I32" i="27"/>
  <c r="J32" i="27" s="1"/>
  <c r="F32" i="27"/>
  <c r="G32" i="27" s="1"/>
  <c r="I31" i="27"/>
  <c r="J31" i="27" s="1"/>
  <c r="F31" i="27"/>
  <c r="G31" i="27" s="1"/>
  <c r="I30" i="27"/>
  <c r="J30" i="27" s="1"/>
  <c r="F30" i="27"/>
  <c r="G30" i="27" s="1"/>
  <c r="I29" i="27"/>
  <c r="J29" i="27" s="1"/>
  <c r="F29" i="27"/>
  <c r="G29" i="27" s="1"/>
  <c r="I28" i="27"/>
  <c r="J28" i="27" s="1"/>
  <c r="F28" i="27"/>
  <c r="G28" i="27" s="1"/>
  <c r="I27" i="27"/>
  <c r="J27" i="27" s="1"/>
  <c r="F27" i="27"/>
  <c r="G27" i="27" s="1"/>
  <c r="I26" i="27"/>
  <c r="J26" i="27" s="1"/>
  <c r="F26" i="27"/>
  <c r="G26" i="27" s="1"/>
  <c r="I25" i="27"/>
  <c r="J25" i="27" s="1"/>
  <c r="I24" i="27"/>
  <c r="J24" i="27" s="1"/>
  <c r="I23" i="27"/>
  <c r="J23" i="27" s="1"/>
  <c r="G23" i="27"/>
  <c r="I22" i="27"/>
  <c r="J22" i="27" s="1"/>
  <c r="F22" i="27"/>
  <c r="G22" i="27" s="1"/>
  <c r="I21" i="27"/>
  <c r="J21" i="27" s="1"/>
  <c r="F21" i="27"/>
  <c r="G21" i="27" s="1"/>
  <c r="I20" i="27"/>
  <c r="J20" i="27" s="1"/>
  <c r="F20" i="27"/>
  <c r="G20" i="27" s="1"/>
  <c r="I19" i="27"/>
  <c r="J19" i="27" s="1"/>
  <c r="F19" i="27"/>
  <c r="G19" i="27" s="1"/>
  <c r="I18" i="27"/>
  <c r="J18" i="27" s="1"/>
  <c r="F18" i="27"/>
  <c r="G18" i="27" s="1"/>
  <c r="I17" i="27"/>
  <c r="J17" i="27" s="1"/>
  <c r="F17" i="27"/>
  <c r="G17" i="27" s="1"/>
  <c r="I16" i="27"/>
  <c r="J16" i="27" s="1"/>
  <c r="F16" i="27"/>
  <c r="G16" i="27" s="1"/>
  <c r="J15" i="27"/>
  <c r="F15" i="27"/>
  <c r="G15" i="27" s="1"/>
  <c r="I14" i="27"/>
  <c r="J14" i="27" s="1"/>
  <c r="F14" i="27"/>
  <c r="G14" i="27" s="1"/>
  <c r="I13" i="27"/>
  <c r="J13" i="27" s="1"/>
  <c r="F13" i="27"/>
  <c r="G13" i="27" s="1"/>
  <c r="I12" i="27"/>
  <c r="J12" i="27" s="1"/>
  <c r="F12" i="27"/>
  <c r="G12" i="27" s="1"/>
  <c r="I11" i="27"/>
  <c r="J11" i="27" s="1"/>
  <c r="F11" i="27"/>
  <c r="G11" i="27" s="1"/>
  <c r="I10" i="27"/>
  <c r="J10" i="27" s="1"/>
  <c r="F10" i="27"/>
  <c r="G10" i="27" s="1"/>
  <c r="I9" i="27"/>
  <c r="J9" i="27" s="1"/>
  <c r="F9" i="27"/>
  <c r="G9" i="27" s="1"/>
  <c r="I8" i="27"/>
  <c r="J8" i="27" s="1"/>
  <c r="F8" i="27"/>
  <c r="G8" i="27" s="1"/>
  <c r="I7" i="27"/>
  <c r="J7" i="27" s="1"/>
  <c r="F7" i="27"/>
  <c r="G7" i="27" s="1"/>
  <c r="I6" i="27"/>
  <c r="J6" i="27" s="1"/>
  <c r="F6" i="27"/>
  <c r="G6" i="27" s="1"/>
  <c r="I5" i="27"/>
  <c r="J5" i="27" s="1"/>
  <c r="F5" i="27"/>
  <c r="G5" i="27" s="1"/>
  <c r="I4" i="27"/>
  <c r="J4" i="27" s="1"/>
  <c r="F4" i="27"/>
  <c r="G4" i="27" s="1"/>
  <c r="C4" i="27" a="1"/>
  <c r="C4" i="27" s="1"/>
  <c r="B4" i="27" a="1"/>
  <c r="B4" i="27" s="1"/>
  <c r="H65" i="26"/>
  <c r="E65" i="26"/>
  <c r="F65" i="26" s="1"/>
  <c r="H64" i="26"/>
  <c r="I64" i="26" s="1"/>
  <c r="E64" i="26"/>
  <c r="F64" i="26" s="1"/>
  <c r="H63" i="26"/>
  <c r="I63" i="26" s="1"/>
  <c r="E63" i="26"/>
  <c r="F63" i="26" s="1"/>
  <c r="H62" i="26"/>
  <c r="I62" i="26" s="1"/>
  <c r="E62" i="26"/>
  <c r="F62" i="26" s="1"/>
  <c r="H61" i="26"/>
  <c r="I61" i="26" s="1"/>
  <c r="E61" i="26"/>
  <c r="F61" i="26" s="1"/>
  <c r="H60" i="26"/>
  <c r="I60" i="26" s="1"/>
  <c r="E60" i="26"/>
  <c r="F60" i="26" s="1"/>
  <c r="H59" i="26"/>
  <c r="I59" i="26" s="1"/>
  <c r="E59" i="26"/>
  <c r="F59" i="26" s="1"/>
  <c r="H58" i="26"/>
  <c r="I58" i="26" s="1"/>
  <c r="E58" i="26"/>
  <c r="F58" i="26" s="1"/>
  <c r="H57" i="26"/>
  <c r="I57" i="26" s="1"/>
  <c r="E57" i="26"/>
  <c r="F57" i="26" s="1"/>
  <c r="H56" i="26"/>
  <c r="I56" i="26" s="1"/>
  <c r="E56" i="26"/>
  <c r="F56" i="26" s="1"/>
  <c r="H55" i="26"/>
  <c r="I55" i="26" s="1"/>
  <c r="E55" i="26"/>
  <c r="F55" i="26" s="1"/>
  <c r="H54" i="26"/>
  <c r="I54" i="26" s="1"/>
  <c r="E54" i="26"/>
  <c r="F54" i="26" s="1"/>
  <c r="H53" i="26"/>
  <c r="I53" i="26" s="1"/>
  <c r="E53" i="26"/>
  <c r="F53" i="26" s="1"/>
  <c r="H52" i="26"/>
  <c r="I52" i="26" s="1"/>
  <c r="E52" i="26"/>
  <c r="F52" i="26" s="1"/>
  <c r="H51" i="26"/>
  <c r="I51" i="26" s="1"/>
  <c r="E51" i="26"/>
  <c r="F51" i="26" s="1"/>
  <c r="H50" i="26"/>
  <c r="I50" i="26" s="1"/>
  <c r="E50" i="26"/>
  <c r="F50" i="26" s="1"/>
  <c r="H49" i="26"/>
  <c r="I49" i="26" s="1"/>
  <c r="E49" i="26"/>
  <c r="F49" i="26" s="1"/>
  <c r="H48" i="26"/>
  <c r="I48" i="26" s="1"/>
  <c r="E48" i="26"/>
  <c r="F48" i="26" s="1"/>
  <c r="H47" i="26"/>
  <c r="I47" i="26" s="1"/>
  <c r="E47" i="26"/>
  <c r="F47" i="26" s="1"/>
  <c r="H46" i="26"/>
  <c r="I46" i="26" s="1"/>
  <c r="E46" i="26"/>
  <c r="F46" i="26" s="1"/>
  <c r="H45" i="26"/>
  <c r="I45" i="26" s="1"/>
  <c r="E45" i="26"/>
  <c r="F45" i="26" s="1"/>
  <c r="H44" i="26"/>
  <c r="I44" i="26" s="1"/>
  <c r="E44" i="26"/>
  <c r="F44" i="26" s="1"/>
  <c r="H43" i="26"/>
  <c r="I43" i="26" s="1"/>
  <c r="E43" i="26"/>
  <c r="F43" i="26" s="1"/>
  <c r="H42" i="26"/>
  <c r="I42" i="26" s="1"/>
  <c r="E42" i="26"/>
  <c r="F42" i="26" s="1"/>
  <c r="H41" i="26"/>
  <c r="I41" i="26" s="1"/>
  <c r="E41" i="26"/>
  <c r="F41" i="26" s="1"/>
  <c r="H40" i="26"/>
  <c r="I40" i="26" s="1"/>
  <c r="E40" i="26"/>
  <c r="F40" i="26" s="1"/>
  <c r="H39" i="26"/>
  <c r="I39" i="26" s="1"/>
  <c r="E39" i="26"/>
  <c r="F39" i="26" s="1"/>
  <c r="H38" i="26"/>
  <c r="I38" i="26" s="1"/>
  <c r="E38" i="26"/>
  <c r="F38" i="26" s="1"/>
  <c r="H37" i="26"/>
  <c r="I37" i="26" s="1"/>
  <c r="E37" i="26"/>
  <c r="F37" i="26" s="1"/>
  <c r="H36" i="26"/>
  <c r="I36" i="26" s="1"/>
  <c r="E36" i="26"/>
  <c r="F36" i="26" s="1"/>
  <c r="H35" i="26"/>
  <c r="I35" i="26" s="1"/>
  <c r="E35" i="26"/>
  <c r="F35" i="26" s="1"/>
  <c r="H34" i="26"/>
  <c r="I34" i="26" s="1"/>
  <c r="E34" i="26"/>
  <c r="F34" i="26" s="1"/>
  <c r="H33" i="26"/>
  <c r="I33" i="26" s="1"/>
  <c r="E33" i="26"/>
  <c r="F33" i="26" s="1"/>
  <c r="H32" i="26"/>
  <c r="I32" i="26" s="1"/>
  <c r="E32" i="26"/>
  <c r="F32" i="26" s="1"/>
  <c r="H31" i="26"/>
  <c r="I31" i="26" s="1"/>
  <c r="E31" i="26"/>
  <c r="F31" i="26" s="1"/>
  <c r="H30" i="26"/>
  <c r="I30" i="26" s="1"/>
  <c r="E30" i="26"/>
  <c r="F30" i="26" s="1"/>
  <c r="H29" i="26"/>
  <c r="I29" i="26" s="1"/>
  <c r="E29" i="26"/>
  <c r="F29" i="26" s="1"/>
  <c r="H28" i="26"/>
  <c r="I28" i="26" s="1"/>
  <c r="E28" i="26"/>
  <c r="F28" i="26" s="1"/>
  <c r="H27" i="26"/>
  <c r="I27" i="26" s="1"/>
  <c r="E27" i="26"/>
  <c r="F27" i="26" s="1"/>
  <c r="H26" i="26"/>
  <c r="I26" i="26" s="1"/>
  <c r="E26" i="26"/>
  <c r="F26" i="26" s="1"/>
  <c r="H25" i="26"/>
  <c r="E25" i="26"/>
  <c r="H24" i="26"/>
  <c r="I24" i="26" s="1"/>
  <c r="E24" i="26"/>
  <c r="F24" i="26" s="1"/>
  <c r="H23" i="26"/>
  <c r="I23" i="26" s="1"/>
  <c r="E23" i="26"/>
  <c r="F23" i="26" s="1"/>
  <c r="H22" i="26"/>
  <c r="I22" i="26" s="1"/>
  <c r="E22" i="26"/>
  <c r="F22" i="26" s="1"/>
  <c r="H21" i="26"/>
  <c r="I21" i="26" s="1"/>
  <c r="E21" i="26"/>
  <c r="F21" i="26" s="1"/>
  <c r="H20" i="26"/>
  <c r="I20" i="26" s="1"/>
  <c r="E20" i="26"/>
  <c r="H19" i="26"/>
  <c r="I19" i="26" s="1"/>
  <c r="E19" i="26"/>
  <c r="F19" i="26" s="1"/>
  <c r="H18" i="26"/>
  <c r="I18" i="26" s="1"/>
  <c r="E18" i="26"/>
  <c r="F18" i="26" s="1"/>
  <c r="H17" i="26"/>
  <c r="I17" i="26" s="1"/>
  <c r="E17" i="26"/>
  <c r="F17" i="26" s="1"/>
  <c r="H16" i="26"/>
  <c r="I16" i="26" s="1"/>
  <c r="E16" i="26"/>
  <c r="F16" i="26" s="1"/>
  <c r="H15" i="26"/>
  <c r="I15" i="26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I12" i="26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I9" i="26" s="1"/>
  <c r="E9" i="26"/>
  <c r="F9" i="26" s="1"/>
  <c r="H8" i="26"/>
  <c r="I8" i="26" s="1"/>
  <c r="E8" i="26"/>
  <c r="F8" i="26" s="1"/>
  <c r="H7" i="26"/>
  <c r="I7" i="26" s="1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B4" i="26" a="1"/>
  <c r="B4" i="26" s="1"/>
  <c r="A4" i="26" a="1"/>
  <c r="A4" i="26" s="1"/>
  <c r="H5" i="19"/>
  <c r="I5" i="19" s="1"/>
  <c r="E5" i="19"/>
  <c r="F5" i="19" s="1"/>
  <c r="H4" i="19"/>
  <c r="I4" i="19" s="1"/>
  <c r="E4" i="19"/>
  <c r="F4" i="19" s="1"/>
  <c r="B4" i="19" a="1"/>
  <c r="B4" i="19" s="1"/>
  <c r="A4" i="19" a="1"/>
  <c r="A4" i="19" s="1"/>
  <c r="H65" i="20"/>
  <c r="I65" i="20" s="1"/>
  <c r="F65" i="20"/>
  <c r="H64" i="20"/>
  <c r="I64" i="20" s="1"/>
  <c r="E64" i="20"/>
  <c r="F64" i="20" s="1"/>
  <c r="H63" i="20"/>
  <c r="I63" i="20" s="1"/>
  <c r="E63" i="20"/>
  <c r="F63" i="20" s="1"/>
  <c r="H62" i="20"/>
  <c r="I62" i="20" s="1"/>
  <c r="E62" i="20"/>
  <c r="F62" i="20" s="1"/>
  <c r="H61" i="20"/>
  <c r="I61" i="20" s="1"/>
  <c r="E61" i="20"/>
  <c r="F61" i="20" s="1"/>
  <c r="H60" i="20"/>
  <c r="I60" i="20" s="1"/>
  <c r="E60" i="20"/>
  <c r="F60" i="20" s="1"/>
  <c r="H59" i="20"/>
  <c r="I59" i="20" s="1"/>
  <c r="E59" i="20"/>
  <c r="F59" i="20" s="1"/>
  <c r="H58" i="20"/>
  <c r="I58" i="20" s="1"/>
  <c r="E58" i="20"/>
  <c r="F58" i="20" s="1"/>
  <c r="H57" i="20"/>
  <c r="I57" i="20" s="1"/>
  <c r="E57" i="20"/>
  <c r="F57" i="20" s="1"/>
  <c r="H56" i="20"/>
  <c r="I56" i="20" s="1"/>
  <c r="E56" i="20"/>
  <c r="F56" i="20" s="1"/>
  <c r="H55" i="20"/>
  <c r="I55" i="20" s="1"/>
  <c r="E55" i="20"/>
  <c r="F55" i="20" s="1"/>
  <c r="H54" i="20"/>
  <c r="I54" i="20" s="1"/>
  <c r="E54" i="20"/>
  <c r="F54" i="20" s="1"/>
  <c r="H53" i="20"/>
  <c r="I53" i="20" s="1"/>
  <c r="E53" i="20"/>
  <c r="F53" i="20" s="1"/>
  <c r="H52" i="20"/>
  <c r="I52" i="20" s="1"/>
  <c r="E52" i="20"/>
  <c r="F52" i="20" s="1"/>
  <c r="H51" i="20"/>
  <c r="I51" i="20" s="1"/>
  <c r="E51" i="20"/>
  <c r="F51" i="20" s="1"/>
  <c r="H50" i="20"/>
  <c r="I50" i="20" s="1"/>
  <c r="E50" i="20"/>
  <c r="F50" i="20" s="1"/>
  <c r="H49" i="20"/>
  <c r="I49" i="20" s="1"/>
  <c r="E49" i="20"/>
  <c r="F49" i="20" s="1"/>
  <c r="H48" i="20"/>
  <c r="I48" i="20" s="1"/>
  <c r="E48" i="20"/>
  <c r="F48" i="20" s="1"/>
  <c r="H47" i="20"/>
  <c r="I47" i="20" s="1"/>
  <c r="E47" i="20"/>
  <c r="F47" i="20" s="1"/>
  <c r="H46" i="20"/>
  <c r="I46" i="20" s="1"/>
  <c r="E46" i="20"/>
  <c r="F46" i="20" s="1"/>
  <c r="H45" i="20"/>
  <c r="I45" i="20" s="1"/>
  <c r="E45" i="20"/>
  <c r="F45" i="20" s="1"/>
  <c r="H44" i="20"/>
  <c r="I44" i="20" s="1"/>
  <c r="E44" i="20"/>
  <c r="F44" i="20" s="1"/>
  <c r="H43" i="20"/>
  <c r="I43" i="20" s="1"/>
  <c r="E43" i="20"/>
  <c r="F43" i="20" s="1"/>
  <c r="H42" i="20"/>
  <c r="I42" i="20" s="1"/>
  <c r="E42" i="20"/>
  <c r="F42" i="20" s="1"/>
  <c r="H41" i="20"/>
  <c r="I41" i="20" s="1"/>
  <c r="E41" i="20"/>
  <c r="F41" i="20" s="1"/>
  <c r="H40" i="20"/>
  <c r="I40" i="20" s="1"/>
  <c r="E40" i="20"/>
  <c r="F40" i="20" s="1"/>
  <c r="H39" i="20"/>
  <c r="I39" i="20" s="1"/>
  <c r="E39" i="20"/>
  <c r="F39" i="20" s="1"/>
  <c r="H38" i="20"/>
  <c r="I38" i="20" s="1"/>
  <c r="E38" i="20"/>
  <c r="F38" i="20" s="1"/>
  <c r="H36" i="20"/>
  <c r="I36" i="20" s="1"/>
  <c r="E36" i="20"/>
  <c r="F36" i="20" s="1"/>
  <c r="H35" i="20"/>
  <c r="I35" i="20" s="1"/>
  <c r="E35" i="20"/>
  <c r="F35" i="20" s="1"/>
  <c r="H34" i="20"/>
  <c r="I34" i="20" s="1"/>
  <c r="E34" i="20"/>
  <c r="F34" i="20" s="1"/>
  <c r="H33" i="20"/>
  <c r="I33" i="20" s="1"/>
  <c r="E33" i="20"/>
  <c r="F33" i="20" s="1"/>
  <c r="H29" i="20"/>
  <c r="I29" i="20" s="1"/>
  <c r="E29" i="20"/>
  <c r="F29" i="20" s="1"/>
  <c r="H28" i="20"/>
  <c r="I28" i="20" s="1"/>
  <c r="E28" i="20"/>
  <c r="F28" i="20" s="1"/>
  <c r="H27" i="20"/>
  <c r="I27" i="20" s="1"/>
  <c r="E27" i="20"/>
  <c r="F27" i="20" s="1"/>
  <c r="H26" i="20"/>
  <c r="I26" i="20" s="1"/>
  <c r="E26" i="20"/>
  <c r="F26" i="20" s="1"/>
  <c r="H20" i="20"/>
  <c r="I20" i="20" s="1"/>
  <c r="E20" i="20"/>
  <c r="F20" i="20" s="1"/>
  <c r="H19" i="20"/>
  <c r="I19" i="20" s="1"/>
  <c r="E19" i="20"/>
  <c r="F19" i="20" s="1"/>
  <c r="H18" i="20"/>
  <c r="I18" i="20" s="1"/>
  <c r="E18" i="20"/>
  <c r="F18" i="20" s="1"/>
  <c r="H17" i="20"/>
  <c r="I17" i="20" s="1"/>
  <c r="E17" i="20"/>
  <c r="F17" i="20" s="1"/>
  <c r="H16" i="20"/>
  <c r="I16" i="20" s="1"/>
  <c r="E16" i="20"/>
  <c r="F16" i="20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B4" i="20" a="1"/>
  <c r="B4" i="20" s="1"/>
  <c r="A4" i="20" a="1"/>
  <c r="A4" i="20" s="1"/>
  <c r="H69" i="21"/>
  <c r="I69" i="21" s="1"/>
  <c r="E69" i="21"/>
  <c r="F69" i="21" s="1"/>
  <c r="H68" i="21"/>
  <c r="I68" i="21" s="1"/>
  <c r="E68" i="21"/>
  <c r="F68" i="21" s="1"/>
  <c r="H67" i="21"/>
  <c r="I67" i="21" s="1"/>
  <c r="E67" i="21"/>
  <c r="F67" i="21" s="1"/>
  <c r="H66" i="21"/>
  <c r="I66" i="21" s="1"/>
  <c r="E66" i="21"/>
  <c r="F66" i="21" s="1"/>
  <c r="H65" i="21"/>
  <c r="I65" i="21" s="1"/>
  <c r="E65" i="21"/>
  <c r="F65" i="21" s="1"/>
  <c r="H64" i="21"/>
  <c r="I64" i="21" s="1"/>
  <c r="E64" i="21"/>
  <c r="F64" i="21" s="1"/>
  <c r="H63" i="21"/>
  <c r="I63" i="21" s="1"/>
  <c r="E63" i="21"/>
  <c r="F63" i="21" s="1"/>
  <c r="H62" i="21"/>
  <c r="I62" i="21" s="1"/>
  <c r="E62" i="21"/>
  <c r="F62" i="21" s="1"/>
  <c r="H61" i="21"/>
  <c r="I61" i="21" s="1"/>
  <c r="E61" i="21"/>
  <c r="F61" i="21" s="1"/>
  <c r="H60" i="21"/>
  <c r="I60" i="21" s="1"/>
  <c r="F60" i="21"/>
  <c r="H59" i="21"/>
  <c r="I59" i="21" s="1"/>
  <c r="E59" i="21"/>
  <c r="F59" i="21" s="1"/>
  <c r="H58" i="21"/>
  <c r="I58" i="21" s="1"/>
  <c r="E58" i="21"/>
  <c r="F58" i="21" s="1"/>
  <c r="H57" i="21"/>
  <c r="I57" i="21" s="1"/>
  <c r="E57" i="21"/>
  <c r="F57" i="21" s="1"/>
  <c r="H56" i="21"/>
  <c r="I56" i="21" s="1"/>
  <c r="E56" i="21"/>
  <c r="F56" i="21" s="1"/>
  <c r="H55" i="21"/>
  <c r="I55" i="21" s="1"/>
  <c r="E55" i="21"/>
  <c r="F55" i="21" s="1"/>
  <c r="H54" i="21"/>
  <c r="I54" i="21" s="1"/>
  <c r="E54" i="21"/>
  <c r="F54" i="21" s="1"/>
  <c r="H53" i="21"/>
  <c r="I53" i="21" s="1"/>
  <c r="E53" i="21"/>
  <c r="F53" i="21" s="1"/>
  <c r="H52" i="21"/>
  <c r="I52" i="21" s="1"/>
  <c r="E52" i="21"/>
  <c r="F52" i="21" s="1"/>
  <c r="H51" i="21"/>
  <c r="I51" i="21" s="1"/>
  <c r="E51" i="21"/>
  <c r="F51" i="21" s="1"/>
  <c r="H50" i="21"/>
  <c r="I50" i="21" s="1"/>
  <c r="E50" i="21"/>
  <c r="F50" i="21" s="1"/>
  <c r="H49" i="21"/>
  <c r="I49" i="21" s="1"/>
  <c r="E49" i="21"/>
  <c r="F49" i="21" s="1"/>
  <c r="H48" i="21"/>
  <c r="I48" i="21" s="1"/>
  <c r="E48" i="21"/>
  <c r="F48" i="21" s="1"/>
  <c r="H47" i="21"/>
  <c r="I47" i="21" s="1"/>
  <c r="E47" i="21"/>
  <c r="F47" i="21" s="1"/>
  <c r="H46" i="21"/>
  <c r="I46" i="21" s="1"/>
  <c r="E46" i="21"/>
  <c r="F46" i="21" s="1"/>
  <c r="H45" i="21"/>
  <c r="I45" i="21" s="1"/>
  <c r="E45" i="21"/>
  <c r="F45" i="21" s="1"/>
  <c r="H44" i="21"/>
  <c r="I44" i="21" s="1"/>
  <c r="E44" i="21"/>
  <c r="F44" i="21" s="1"/>
  <c r="H43" i="21"/>
  <c r="I43" i="21" s="1"/>
  <c r="E43" i="21"/>
  <c r="F43" i="21" s="1"/>
  <c r="H42" i="21"/>
  <c r="I42" i="21" s="1"/>
  <c r="E42" i="21"/>
  <c r="F42" i="21" s="1"/>
  <c r="H41" i="21"/>
  <c r="I41" i="21" s="1"/>
  <c r="E41" i="21"/>
  <c r="F41" i="21" s="1"/>
  <c r="H40" i="21"/>
  <c r="I40" i="21" s="1"/>
  <c r="E40" i="21"/>
  <c r="F40" i="21" s="1"/>
  <c r="H39" i="21"/>
  <c r="I39" i="21" s="1"/>
  <c r="E39" i="21"/>
  <c r="F39" i="21" s="1"/>
  <c r="H38" i="21"/>
  <c r="I38" i="21" s="1"/>
  <c r="E38" i="21"/>
  <c r="F38" i="21" s="1"/>
  <c r="H37" i="21"/>
  <c r="I37" i="21" s="1"/>
  <c r="E37" i="21"/>
  <c r="F37" i="21" s="1"/>
  <c r="H36" i="21"/>
  <c r="I36" i="21" s="1"/>
  <c r="E36" i="21"/>
  <c r="F36" i="21" s="1"/>
  <c r="H35" i="21"/>
  <c r="I35" i="21" s="1"/>
  <c r="E35" i="21"/>
  <c r="F35" i="21" s="1"/>
  <c r="H34" i="21"/>
  <c r="I34" i="21" s="1"/>
  <c r="E34" i="21"/>
  <c r="F34" i="21" s="1"/>
  <c r="H33" i="21"/>
  <c r="I33" i="21" s="1"/>
  <c r="E33" i="21"/>
  <c r="F33" i="21" s="1"/>
  <c r="H32" i="21"/>
  <c r="I32" i="21" s="1"/>
  <c r="E32" i="21"/>
  <c r="F32" i="21" s="1"/>
  <c r="H31" i="21"/>
  <c r="I31" i="21" s="1"/>
  <c r="E31" i="21"/>
  <c r="F31" i="21" s="1"/>
  <c r="H30" i="21"/>
  <c r="I30" i="21" s="1"/>
  <c r="E30" i="21"/>
  <c r="F30" i="21" s="1"/>
  <c r="H29" i="21"/>
  <c r="I29" i="21" s="1"/>
  <c r="E29" i="21"/>
  <c r="F29" i="21" s="1"/>
  <c r="H28" i="21"/>
  <c r="I28" i="21" s="1"/>
  <c r="E28" i="21"/>
  <c r="F28" i="21" s="1"/>
  <c r="H27" i="21"/>
  <c r="I27" i="21" s="1"/>
  <c r="E27" i="21"/>
  <c r="F27" i="21" s="1"/>
  <c r="H26" i="21"/>
  <c r="I26" i="21" s="1"/>
  <c r="E26" i="21"/>
  <c r="F26" i="21" s="1"/>
  <c r="H25" i="21"/>
  <c r="I25" i="21" s="1"/>
  <c r="E25" i="21"/>
  <c r="F25" i="21" s="1"/>
  <c r="H24" i="21"/>
  <c r="I24" i="21" s="1"/>
  <c r="E24" i="21"/>
  <c r="F24" i="21" s="1"/>
  <c r="H23" i="21"/>
  <c r="I23" i="21" s="1"/>
  <c r="E23" i="21"/>
  <c r="F23" i="21" s="1"/>
  <c r="H22" i="21"/>
  <c r="I22" i="21" s="1"/>
  <c r="E22" i="21"/>
  <c r="F22" i="21" s="1"/>
  <c r="H21" i="21"/>
  <c r="I21" i="21" s="1"/>
  <c r="E21" i="21"/>
  <c r="F21" i="21" s="1"/>
  <c r="H20" i="21"/>
  <c r="I20" i="21" s="1"/>
  <c r="E20" i="21"/>
  <c r="F20" i="21" s="1"/>
  <c r="H19" i="21"/>
  <c r="I19" i="21" s="1"/>
  <c r="E19" i="21"/>
  <c r="F19" i="21" s="1"/>
  <c r="H18" i="21"/>
  <c r="I18" i="21" s="1"/>
  <c r="E18" i="21"/>
  <c r="F18" i="21" s="1"/>
  <c r="H17" i="21"/>
  <c r="I17" i="21" s="1"/>
  <c r="E17" i="21"/>
  <c r="F17" i="21" s="1"/>
  <c r="H16" i="21"/>
  <c r="I16" i="21" s="1"/>
  <c r="E16" i="21"/>
  <c r="F16" i="21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B4" i="21" a="1"/>
  <c r="B4" i="21" s="1"/>
  <c r="A4" i="21" a="1"/>
  <c r="A4" i="21" s="1"/>
  <c r="H65" i="4"/>
  <c r="I65" i="4" s="1"/>
  <c r="E65" i="4"/>
  <c r="F65" i="4" s="1"/>
  <c r="H64" i="4"/>
  <c r="I64" i="4" s="1"/>
  <c r="E64" i="4"/>
  <c r="F64" i="4" s="1"/>
  <c r="H63" i="4"/>
  <c r="I63" i="4" s="1"/>
  <c r="E63" i="4"/>
  <c r="F63" i="4" s="1"/>
  <c r="H62" i="4"/>
  <c r="I62" i="4" s="1"/>
  <c r="E62" i="4"/>
  <c r="F62" i="4" s="1"/>
  <c r="H61" i="4"/>
  <c r="I61" i="4" s="1"/>
  <c r="E61" i="4"/>
  <c r="F61" i="4" s="1"/>
  <c r="H60" i="4"/>
  <c r="I60" i="4" s="1"/>
  <c r="E60" i="4"/>
  <c r="F60" i="4" s="1"/>
  <c r="H59" i="4"/>
  <c r="I59" i="4" s="1"/>
  <c r="E59" i="4"/>
  <c r="F59" i="4" s="1"/>
  <c r="H58" i="4"/>
  <c r="I58" i="4" s="1"/>
  <c r="E58" i="4"/>
  <c r="F58" i="4" s="1"/>
  <c r="H57" i="4"/>
  <c r="I57" i="4" s="1"/>
  <c r="E57" i="4"/>
  <c r="F57" i="4" s="1"/>
  <c r="H56" i="4"/>
  <c r="I56" i="4" s="1"/>
  <c r="E56" i="4"/>
  <c r="F56" i="4" s="1"/>
  <c r="H55" i="4"/>
  <c r="I55" i="4" s="1"/>
  <c r="E55" i="4"/>
  <c r="F55" i="4" s="1"/>
  <c r="H54" i="4"/>
  <c r="I54" i="4" s="1"/>
  <c r="E54" i="4"/>
  <c r="F54" i="4" s="1"/>
  <c r="H53" i="4"/>
  <c r="I53" i="4" s="1"/>
  <c r="E53" i="4"/>
  <c r="F53" i="4" s="1"/>
  <c r="H52" i="4"/>
  <c r="I52" i="4" s="1"/>
  <c r="E52" i="4"/>
  <c r="F52" i="4" s="1"/>
  <c r="H51" i="4"/>
  <c r="I51" i="4" s="1"/>
  <c r="E51" i="4"/>
  <c r="F51" i="4" s="1"/>
  <c r="H50" i="4"/>
  <c r="I50" i="4" s="1"/>
  <c r="E50" i="4"/>
  <c r="F50" i="4" s="1"/>
  <c r="H49" i="4"/>
  <c r="I49" i="4" s="1"/>
  <c r="E49" i="4"/>
  <c r="F49" i="4" s="1"/>
  <c r="H48" i="4"/>
  <c r="I48" i="4" s="1"/>
  <c r="E48" i="4"/>
  <c r="F48" i="4" s="1"/>
  <c r="H47" i="4"/>
  <c r="I47" i="4" s="1"/>
  <c r="E47" i="4"/>
  <c r="F47" i="4" s="1"/>
  <c r="H46" i="4"/>
  <c r="I46" i="4" s="1"/>
  <c r="E46" i="4"/>
  <c r="F46" i="4" s="1"/>
  <c r="H45" i="4"/>
  <c r="I45" i="4" s="1"/>
  <c r="E45" i="4"/>
  <c r="F45" i="4" s="1"/>
  <c r="H44" i="4"/>
  <c r="I44" i="4" s="1"/>
  <c r="E44" i="4"/>
  <c r="F44" i="4" s="1"/>
  <c r="H43" i="4"/>
  <c r="I43" i="4" s="1"/>
  <c r="E43" i="4"/>
  <c r="F43" i="4" s="1"/>
  <c r="H42" i="4"/>
  <c r="I42" i="4" s="1"/>
  <c r="E42" i="4"/>
  <c r="F42" i="4" s="1"/>
  <c r="H41" i="4"/>
  <c r="I41" i="4" s="1"/>
  <c r="E41" i="4"/>
  <c r="F41" i="4" s="1"/>
  <c r="H40" i="4"/>
  <c r="I40" i="4" s="1"/>
  <c r="E40" i="4"/>
  <c r="F40" i="4" s="1"/>
  <c r="H39" i="4"/>
  <c r="I39" i="4" s="1"/>
  <c r="E39" i="4"/>
  <c r="F39" i="4" s="1"/>
  <c r="H38" i="4"/>
  <c r="I38" i="4" s="1"/>
  <c r="E38" i="4"/>
  <c r="F38" i="4" s="1"/>
  <c r="H37" i="4"/>
  <c r="I37" i="4" s="1"/>
  <c r="E37" i="4"/>
  <c r="F37" i="4" s="1"/>
  <c r="H36" i="4"/>
  <c r="I36" i="4" s="1"/>
  <c r="E36" i="4"/>
  <c r="F36" i="4" s="1"/>
  <c r="H35" i="4"/>
  <c r="I35" i="4" s="1"/>
  <c r="E35" i="4"/>
  <c r="F35" i="4" s="1"/>
  <c r="H34" i="4"/>
  <c r="I34" i="4" s="1"/>
  <c r="E34" i="4"/>
  <c r="F34" i="4" s="1"/>
  <c r="H33" i="4"/>
  <c r="I33" i="4" s="1"/>
  <c r="E33" i="4"/>
  <c r="F33" i="4" s="1"/>
  <c r="H32" i="4"/>
  <c r="I32" i="4" s="1"/>
  <c r="E32" i="4"/>
  <c r="F32" i="4" s="1"/>
  <c r="H31" i="4"/>
  <c r="I31" i="4" s="1"/>
  <c r="E31" i="4"/>
  <c r="F31" i="4" s="1"/>
  <c r="H30" i="4"/>
  <c r="I30" i="4" s="1"/>
  <c r="E30" i="4"/>
  <c r="F30" i="4" s="1"/>
  <c r="H29" i="4"/>
  <c r="I29" i="4" s="1"/>
  <c r="E29" i="4"/>
  <c r="F29" i="4" s="1"/>
  <c r="H28" i="4"/>
  <c r="I28" i="4" s="1"/>
  <c r="E28" i="4"/>
  <c r="F28" i="4" s="1"/>
  <c r="H27" i="4"/>
  <c r="I27" i="4" s="1"/>
  <c r="E27" i="4"/>
  <c r="F27" i="4" s="1"/>
  <c r="H26" i="4"/>
  <c r="I26" i="4" s="1"/>
  <c r="E26" i="4"/>
  <c r="F26" i="4" s="1"/>
  <c r="H25" i="4"/>
  <c r="I25" i="4" s="1"/>
  <c r="E25" i="4"/>
  <c r="F25" i="4" s="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 s="1"/>
  <c r="H17" i="4"/>
  <c r="I17" i="4" s="1"/>
  <c r="E17" i="4"/>
  <c r="F17" i="4" s="1"/>
  <c r="H16" i="4"/>
  <c r="I16" i="4" s="1"/>
  <c r="E16" i="4"/>
  <c r="F16" i="4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B4" i="4" a="1"/>
  <c r="B4" i="4" s="1"/>
  <c r="A4" i="4" a="1"/>
  <c r="A4" i="4" s="1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5" i="3"/>
  <c r="H24" i="3"/>
  <c r="I24" i="3" s="1"/>
  <c r="H20" i="3"/>
  <c r="H16" i="3"/>
  <c r="H15" i="3"/>
  <c r="H14" i="3"/>
  <c r="H13" i="3"/>
  <c r="H12" i="3"/>
  <c r="H11" i="3"/>
  <c r="H10" i="3"/>
  <c r="I10" i="3" s="1"/>
  <c r="H9" i="3"/>
  <c r="I9" i="3" s="1"/>
  <c r="H8" i="3"/>
  <c r="I8" i="3" s="1"/>
  <c r="E8" i="3"/>
  <c r="F8" i="3" s="1"/>
  <c r="H7" i="3"/>
  <c r="I7" i="3" s="1"/>
  <c r="E7" i="3"/>
  <c r="F7" i="3" s="1"/>
  <c r="H6" i="3"/>
  <c r="I6" i="3" s="1"/>
  <c r="E6" i="3"/>
  <c r="F6" i="3" s="1"/>
  <c r="I5" i="3"/>
  <c r="H4" i="3"/>
  <c r="I4" i="3" s="1"/>
  <c r="B4" i="3" a="1"/>
  <c r="B4" i="3" s="1"/>
  <c r="A4" i="3" a="1"/>
  <c r="A4" i="3" s="1"/>
  <c r="A4" i="1" a="1"/>
  <c r="A4" i="1" s="1"/>
  <c r="H20" i="72"/>
  <c r="I20" i="72" s="1"/>
  <c r="E20" i="72"/>
  <c r="F20" i="72" s="1"/>
  <c r="H19" i="72"/>
  <c r="I19" i="72" s="1"/>
  <c r="E19" i="72"/>
  <c r="F19" i="72" s="1"/>
  <c r="H18" i="72"/>
  <c r="I18" i="72" s="1"/>
  <c r="E18" i="72"/>
  <c r="F18" i="72" s="1"/>
  <c r="H17" i="72"/>
  <c r="I17" i="72" s="1"/>
  <c r="E17" i="72"/>
  <c r="F17" i="72" s="1"/>
  <c r="H16" i="72"/>
  <c r="I16" i="72" s="1"/>
  <c r="E16" i="72"/>
  <c r="F16" i="72" s="1"/>
  <c r="F12" i="18" l="1"/>
  <c r="C11" i="18"/>
  <c r="C12" i="18"/>
  <c r="B11" i="18"/>
  <c r="B12" i="18"/>
  <c r="F12" i="29"/>
  <c r="C12" i="29"/>
  <c r="B12" i="29"/>
  <c r="F12" i="30"/>
  <c r="C12" i="30"/>
  <c r="B12" i="30"/>
  <c r="F11" i="30"/>
  <c r="B9" i="30"/>
  <c r="C6" i="30"/>
  <c r="C11" i="30"/>
  <c r="F5" i="30"/>
  <c r="F10" i="30"/>
  <c r="B8" i="30"/>
  <c r="C5" i="30"/>
  <c r="B10" i="30"/>
  <c r="C10" i="30"/>
  <c r="F7" i="30"/>
  <c r="B5" i="30"/>
  <c r="C7" i="30"/>
  <c r="F9" i="30"/>
  <c r="B7" i="30"/>
  <c r="C9" i="30"/>
  <c r="F6" i="30"/>
  <c r="F8" i="30"/>
  <c r="B6" i="30"/>
  <c r="B11" i="30"/>
  <c r="C8" i="30"/>
  <c r="F11" i="18"/>
  <c r="F11" i="29"/>
  <c r="F6" i="18"/>
  <c r="C9" i="18"/>
  <c r="F6" i="29"/>
  <c r="C9" i="29"/>
  <c r="B7" i="18"/>
  <c r="F9" i="18"/>
  <c r="B7" i="29"/>
  <c r="F9" i="29"/>
  <c r="C7" i="18"/>
  <c r="B10" i="18"/>
  <c r="C7" i="29"/>
  <c r="B10" i="29"/>
  <c r="B5" i="18"/>
  <c r="F7" i="18"/>
  <c r="C10" i="18"/>
  <c r="B5" i="29"/>
  <c r="F7" i="29"/>
  <c r="C10" i="29"/>
  <c r="C5" i="18"/>
  <c r="B8" i="18"/>
  <c r="F10" i="18"/>
  <c r="C5" i="29"/>
  <c r="B8" i="29"/>
  <c r="F10" i="29"/>
  <c r="F5" i="18"/>
  <c r="C8" i="18"/>
  <c r="F5" i="29"/>
  <c r="C8" i="29"/>
  <c r="B11" i="29"/>
  <c r="B6" i="18"/>
  <c r="F8" i="18"/>
  <c r="B6" i="29"/>
  <c r="F8" i="29"/>
  <c r="C11" i="29"/>
  <c r="C6" i="18"/>
  <c r="B9" i="18"/>
  <c r="C6" i="29"/>
  <c r="B9" i="29"/>
  <c r="A4" i="30"/>
  <c r="A4" i="29"/>
  <c r="A4" i="18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A4" i="72" a="1"/>
  <c r="A4" i="72" s="1"/>
  <c r="B4" i="72" a="1"/>
  <c r="B4" i="72" s="1"/>
  <c r="A1" i="34" a="1"/>
  <c r="A1" i="34" s="1"/>
  <c r="A1" i="1" a="1"/>
  <c r="A1" i="1" s="1"/>
  <c r="G2" i="33"/>
  <c r="D2" i="33"/>
  <c r="C2" i="33"/>
  <c r="A1" i="33" a="1"/>
  <c r="A1" i="33" s="1"/>
  <c r="G2" i="32"/>
  <c r="D2" i="32"/>
  <c r="C2" i="32"/>
  <c r="A1" i="32" a="1"/>
  <c r="A1" i="32" s="1"/>
  <c r="G2" i="31"/>
  <c r="D2" i="31"/>
  <c r="C2" i="31"/>
  <c r="A1" i="31" a="1"/>
  <c r="A1" i="31" s="1"/>
  <c r="G2" i="28"/>
  <c r="D2" i="28"/>
  <c r="C2" i="28"/>
  <c r="A1" i="28" a="1"/>
  <c r="A1" i="28" s="1"/>
  <c r="H2" i="27"/>
  <c r="E2" i="27"/>
  <c r="D2" i="27"/>
  <c r="B1" i="27" a="1"/>
  <c r="B1" i="27" s="1"/>
  <c r="G2" i="26"/>
  <c r="D2" i="26"/>
  <c r="C2" i="26"/>
  <c r="A1" i="26" a="1"/>
  <c r="A1" i="26" s="1"/>
  <c r="G2" i="19"/>
  <c r="D2" i="19"/>
  <c r="C2" i="19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A1" i="3" a="1"/>
  <c r="A1" i="3" s="1"/>
  <c r="H6" i="72"/>
  <c r="I6" i="72" s="1"/>
  <c r="H7" i="72"/>
  <c r="I7" i="72" s="1"/>
  <c r="H8" i="72"/>
  <c r="H9" i="72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G12" i="30" l="1"/>
  <c r="H12" i="30" s="1"/>
  <c r="D12" i="29"/>
  <c r="E12" i="29" s="1"/>
  <c r="D12" i="30"/>
  <c r="E12" i="30" s="1"/>
  <c r="D12" i="18"/>
  <c r="E12" i="18" s="1"/>
  <c r="D11" i="18"/>
  <c r="E11" i="18" s="1"/>
  <c r="G12" i="18"/>
  <c r="H12" i="18" s="1"/>
  <c r="G12" i="29"/>
  <c r="H12" i="29" s="1"/>
  <c r="B4" i="1"/>
  <c r="F11" i="1"/>
  <c r="F11" i="34" s="1"/>
  <c r="F12" i="1"/>
  <c r="F12" i="34" s="1"/>
  <c r="C12" i="1"/>
  <c r="C12" i="34" s="1"/>
  <c r="B12" i="1"/>
  <c r="F4" i="30"/>
  <c r="F2" i="30" s="1"/>
  <c r="C4" i="30"/>
  <c r="C2" i="30" s="1"/>
  <c r="B4" i="30"/>
  <c r="G9" i="30"/>
  <c r="H9" i="30" s="1"/>
  <c r="D8" i="30"/>
  <c r="E8" i="30" s="1"/>
  <c r="G7" i="30"/>
  <c r="H7" i="30" s="1"/>
  <c r="G11" i="30"/>
  <c r="H11" i="30" s="1"/>
  <c r="D7" i="18"/>
  <c r="E7" i="18" s="1"/>
  <c r="D10" i="30"/>
  <c r="E10" i="30" s="1"/>
  <c r="G6" i="30"/>
  <c r="H6" i="30" s="1"/>
  <c r="G5" i="30"/>
  <c r="H5" i="30" s="1"/>
  <c r="D11" i="30"/>
  <c r="E11" i="30" s="1"/>
  <c r="D10" i="18"/>
  <c r="E10" i="18" s="1"/>
  <c r="G10" i="30"/>
  <c r="H10" i="30" s="1"/>
  <c r="D7" i="30"/>
  <c r="E7" i="30" s="1"/>
  <c r="G10" i="18"/>
  <c r="H10" i="18" s="1"/>
  <c r="D5" i="30"/>
  <c r="E5" i="30" s="1"/>
  <c r="D6" i="30"/>
  <c r="E6" i="30" s="1"/>
  <c r="D9" i="30"/>
  <c r="E9" i="30" s="1"/>
  <c r="C7" i="1"/>
  <c r="C7" i="34" s="1"/>
  <c r="B5" i="1"/>
  <c r="F8" i="1"/>
  <c r="F8" i="34" s="1"/>
  <c r="B10" i="1"/>
  <c r="F4" i="18"/>
  <c r="F2" i="18" s="1"/>
  <c r="C4" i="18"/>
  <c r="C2" i="18" s="1"/>
  <c r="B4" i="18"/>
  <c r="C5" i="1"/>
  <c r="C5" i="34" s="1"/>
  <c r="B8" i="1"/>
  <c r="C6" i="1"/>
  <c r="C6" i="34" s="1"/>
  <c r="C10" i="1"/>
  <c r="C10" i="34" s="1"/>
  <c r="F10" i="1"/>
  <c r="F10" i="34" s="1"/>
  <c r="F5" i="1"/>
  <c r="F5" i="34" s="1"/>
  <c r="F4" i="29"/>
  <c r="F2" i="29" s="1"/>
  <c r="C4" i="29"/>
  <c r="C2" i="29" s="1"/>
  <c r="B4" i="29"/>
  <c r="B9" i="1"/>
  <c r="G8" i="30"/>
  <c r="H8" i="30" s="1"/>
  <c r="B7" i="1"/>
  <c r="F4" i="1"/>
  <c r="C4" i="1"/>
  <c r="C8" i="1"/>
  <c r="C8" i="34" s="1"/>
  <c r="F9" i="1"/>
  <c r="F9" i="34" s="1"/>
  <c r="C11" i="1"/>
  <c r="C11" i="34" s="1"/>
  <c r="B11" i="1"/>
  <c r="F6" i="1"/>
  <c r="F6" i="34" s="1"/>
  <c r="F7" i="1"/>
  <c r="F7" i="34" s="1"/>
  <c r="B6" i="1"/>
  <c r="C9" i="1"/>
  <c r="C9" i="34" s="1"/>
  <c r="G7" i="29"/>
  <c r="H7" i="29" s="1"/>
  <c r="D7" i="29"/>
  <c r="E7" i="29" s="1"/>
  <c r="G11" i="29"/>
  <c r="H11" i="29" s="1"/>
  <c r="D11" i="29"/>
  <c r="E11" i="29" s="1"/>
  <c r="G6" i="29"/>
  <c r="H6" i="29" s="1"/>
  <c r="D6" i="29"/>
  <c r="E6" i="29" s="1"/>
  <c r="D5" i="29"/>
  <c r="E5" i="29" s="1"/>
  <c r="G5" i="29"/>
  <c r="H5" i="29" s="1"/>
  <c r="G10" i="29"/>
  <c r="H10" i="29" s="1"/>
  <c r="D10" i="29"/>
  <c r="E10" i="29" s="1"/>
  <c r="G9" i="29"/>
  <c r="H9" i="29" s="1"/>
  <c r="D9" i="29"/>
  <c r="E9" i="29" s="1"/>
  <c r="D8" i="29"/>
  <c r="E8" i="29" s="1"/>
  <c r="G8" i="29"/>
  <c r="H8" i="29" s="1"/>
  <c r="G11" i="18"/>
  <c r="H11" i="18" s="1"/>
  <c r="D8" i="18"/>
  <c r="E8" i="18" s="1"/>
  <c r="G8" i="18"/>
  <c r="H8" i="18" s="1"/>
  <c r="G7" i="18"/>
  <c r="H7" i="18" s="1"/>
  <c r="G9" i="18"/>
  <c r="H9" i="18" s="1"/>
  <c r="D9" i="18"/>
  <c r="E9" i="18" s="1"/>
  <c r="G5" i="18"/>
  <c r="H5" i="18" s="1"/>
  <c r="D5" i="18"/>
  <c r="E5" i="18" s="1"/>
  <c r="G6" i="18"/>
  <c r="H6" i="18" s="1"/>
  <c r="D6" i="18"/>
  <c r="E6" i="18" s="1"/>
  <c r="I8" i="72"/>
  <c r="I9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I2" i="27"/>
  <c r="J2" i="27" s="1"/>
  <c r="K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2" i="3"/>
  <c r="F2" i="3" s="1"/>
  <c r="E2" i="33"/>
  <c r="F2" i="33" s="1"/>
  <c r="E2" i="32"/>
  <c r="F2" i="32" s="1"/>
  <c r="E2" i="31"/>
  <c r="F2" i="31" s="1"/>
  <c r="F2" i="27"/>
  <c r="G2" i="27" s="1"/>
  <c r="E2" i="26"/>
  <c r="F2" i="26" s="1"/>
  <c r="E2" i="19"/>
  <c r="F2" i="19" s="1"/>
  <c r="E2" i="21"/>
  <c r="F2" i="21" s="1"/>
  <c r="E2" i="4"/>
  <c r="F2" i="4" s="1"/>
  <c r="H2" i="72"/>
  <c r="D4" i="1" l="1"/>
  <c r="E4" i="1" s="1"/>
  <c r="G11" i="1"/>
  <c r="H11" i="1" s="1"/>
  <c r="B12" i="34"/>
  <c r="G12" i="1"/>
  <c r="H12" i="1" s="1"/>
  <c r="D12" i="1"/>
  <c r="E12" i="1" s="1"/>
  <c r="D5" i="1"/>
  <c r="E5" i="1" s="1"/>
  <c r="F2" i="1"/>
  <c r="B4" i="34"/>
  <c r="C2" i="1"/>
  <c r="B6" i="34"/>
  <c r="D6" i="1"/>
  <c r="E6" i="1" s="1"/>
  <c r="G6" i="1"/>
  <c r="H6" i="1" s="1"/>
  <c r="C4" i="34"/>
  <c r="G4" i="1"/>
  <c r="H4" i="1" s="1"/>
  <c r="F4" i="34"/>
  <c r="F2" i="34" s="1"/>
  <c r="D10" i="1"/>
  <c r="E10" i="1" s="1"/>
  <c r="B10" i="34"/>
  <c r="G10" i="1"/>
  <c r="H10" i="1" s="1"/>
  <c r="B7" i="34"/>
  <c r="D7" i="1"/>
  <c r="E7" i="1" s="1"/>
  <c r="G7" i="1"/>
  <c r="H7" i="1" s="1"/>
  <c r="B11" i="34"/>
  <c r="D11" i="1"/>
  <c r="E11" i="1" s="1"/>
  <c r="G5" i="1"/>
  <c r="H5" i="1" s="1"/>
  <c r="B5" i="34"/>
  <c r="B9" i="34"/>
  <c r="G9" i="1"/>
  <c r="H9" i="1" s="1"/>
  <c r="D9" i="1"/>
  <c r="E9" i="1" s="1"/>
  <c r="G8" i="1"/>
  <c r="H8" i="1" s="1"/>
  <c r="B8" i="34"/>
  <c r="D8" i="1"/>
  <c r="E8" i="1" s="1"/>
  <c r="B2" i="1"/>
  <c r="B2" i="30"/>
  <c r="D4" i="30"/>
  <c r="E4" i="30" s="1"/>
  <c r="G4" i="30"/>
  <c r="H4" i="30" s="1"/>
  <c r="G4" i="29"/>
  <c r="H4" i="29" s="1"/>
  <c r="B2" i="29"/>
  <c r="D4" i="29"/>
  <c r="E4" i="29" s="1"/>
  <c r="G4" i="18"/>
  <c r="H4" i="18" s="1"/>
  <c r="B2" i="18"/>
  <c r="D4" i="18"/>
  <c r="E4" i="18" s="1"/>
  <c r="I2" i="72"/>
  <c r="E2" i="72"/>
  <c r="F2" i="72" s="1"/>
  <c r="G12" i="34" l="1"/>
  <c r="H12" i="34" s="1"/>
  <c r="D12" i="34"/>
  <c r="E12" i="34" s="1"/>
  <c r="G2" i="1"/>
  <c r="H2" i="1" s="1"/>
  <c r="D4" i="34"/>
  <c r="G8" i="34"/>
  <c r="H8" i="34" s="1"/>
  <c r="D8" i="34"/>
  <c r="E8" i="34" s="1"/>
  <c r="G4" i="34"/>
  <c r="H4" i="34" s="1"/>
  <c r="D11" i="34"/>
  <c r="E11" i="34" s="1"/>
  <c r="G11" i="34"/>
  <c r="H11" i="34" s="1"/>
  <c r="D2" i="1"/>
  <c r="E2" i="1" s="1"/>
  <c r="D9" i="34"/>
  <c r="E9" i="34" s="1"/>
  <c r="G9" i="34"/>
  <c r="H9" i="34" s="1"/>
  <c r="G7" i="34"/>
  <c r="H7" i="34" s="1"/>
  <c r="D7" i="34"/>
  <c r="E7" i="34" s="1"/>
  <c r="D5" i="34"/>
  <c r="E5" i="34" s="1"/>
  <c r="G5" i="34"/>
  <c r="H5" i="34" s="1"/>
  <c r="G6" i="34"/>
  <c r="H6" i="34" s="1"/>
  <c r="D6" i="34"/>
  <c r="E6" i="34" s="1"/>
  <c r="G10" i="34"/>
  <c r="H10" i="34" s="1"/>
  <c r="D10" i="34"/>
  <c r="E10" i="34" s="1"/>
  <c r="D2" i="30"/>
  <c r="E2" i="30" s="1"/>
  <c r="G2" i="30"/>
  <c r="H2" i="30" s="1"/>
  <c r="D2" i="29"/>
  <c r="E2" i="29" s="1"/>
  <c r="G2" i="29"/>
  <c r="H2" i="29" s="1"/>
  <c r="D2" i="18"/>
  <c r="E2" i="18" s="1"/>
  <c r="G2" i="18"/>
  <c r="H2" i="18" s="1"/>
  <c r="B2" i="34"/>
  <c r="G2" i="34" s="1"/>
  <c r="H2" i="34" s="1"/>
  <c r="C2" i="34"/>
  <c r="D2" i="34" l="1"/>
  <c r="E2" i="34" s="1"/>
  <c r="E4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<sst xmlns="http://schemas.openxmlformats.org/spreadsheetml/2006/main" count="1499" uniqueCount="511">
  <si>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</si>
  <si>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</si>
  <si>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</si>
  <si>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</si>
  <si>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</si>
  <si>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</si>
  <si>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</si>
  <si>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</si>
  <si>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</si>
  <si>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62% of the sites (41 of the 81 sites) outperformed vs August 2024 information.</t>
  </si>
  <si>
    <t>17% of the sites (14 of the 81 sites) appear to have inaccurate modeling information. I will be reviewing the PVsyst information, assuming it was made available to O&amp;M.</t>
  </si>
  <si>
    <t>States with positive performance (actual vs expected):</t>
  </si>
  <si>
    <t>N Black Canyon Hwy, Phoenix - South</t>
  </si>
  <si>
    <t>Rincon</t>
  </si>
  <si>
    <t>N Black Canyon Hwy, Phoenix - North</t>
  </si>
  <si>
    <t>States with under-performance issues (actual vs. expected):</t>
  </si>
  <si>
    <t>Hialeah Gardens</t>
  </si>
  <si>
    <t>Standley Lake</t>
  </si>
  <si>
    <t>W. Des Moines Campus SW</t>
  </si>
  <si>
    <t>Lodi - Lodi Vineyard</t>
  </si>
  <si>
    <t>WF - CIC</t>
  </si>
  <si>
    <t>Most common issues seen:</t>
  </si>
  <si>
    <t>Communication issues on equipment (meters, weather stations, etc). - Followed up with AE Support</t>
  </si>
  <si>
    <t xml:space="preserve">String issues on several inverters of various capacities. </t>
  </si>
  <si>
    <t>Plan to remediate:</t>
  </si>
  <si>
    <t>Operations is reviewing all open SRs and prioritizing accordingly.</t>
  </si>
  <si>
    <t>81 sites</t>
  </si>
  <si>
    <t>66 Sites</t>
  </si>
  <si>
    <t>1st Quarter Actual v. Expected</t>
  </si>
  <si>
    <t>1st Quarter Actual v. Forecasted</t>
  </si>
  <si>
    <t>State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</si>
  <si>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</si>
  <si>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</si>
  <si>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</si>
  <si>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</si>
  <si>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</si>
  <si>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</si>
  <si>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</si>
  <si>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</si>
  <si>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</si>
  <si>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</si>
  <si>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1.Low generation due to weather/snow.</t>
  </si>
  <si>
    <t>1. Production data taken from consumption meter.</t>
  </si>
  <si>
    <t>1.Inverter 4 underperforming by 7kW since 06/11, down 2 strings. Dispatch has been scheduled.
   Inverter 2 underperforming by 3kW since 05/10, down 1 string. Dispatch has been scheduled.
   Inverter 7 underperforming by 3kW since 09/09, down 1 string. Dispatch has been scheduled.
2.The inverter 3 has a history of wire box damage, so a complete inverter and wire box upgrade was required. The current wire box string fuse configuration was not acceptable. So, Inverter 3 has been undergoing an RMA process since 07/26/24.</t>
  </si>
  <si>
    <t>1.SR091496
2.SR088261</t>
  </si>
  <si>
    <t>SR088261</t>
  </si>
  <si>
    <t>1.Weather station reporting erroneous values from 07/04/2024. Will investigate next time onsite.
2.The meter's Phase C current/power factor was experiencing intermittent glitches, which are affecting the reported energy production, but there was no impact on actual production. Will investigate next time onsite.</t>
  </si>
  <si>
    <t>1.SR088667
2.SR077700</t>
  </si>
  <si>
    <t>SR077700</t>
  </si>
  <si>
    <t>1. Low generation due to weather/snow.</t>
  </si>
  <si>
    <t>1.Inverter 1’s String 4 RSD was being RMA’d from 12/12/24. Dispatch has been scheduled for February.</t>
  </si>
  <si>
    <t>1.SR090252</t>
  </si>
  <si>
    <t>1. Meter Phase B current intermittently underreporting, but inverter production remains unaffected. Reported energy loss may be retroactively corrected once the meter/CT issue is resolved</t>
  </si>
  <si>
    <t>1.SR077660</t>
  </si>
  <si>
    <t>1. Underperformance due to morning hours shading</t>
  </si>
  <si>
    <t xml:space="preserve">1. The Ambient Temperature sensor was not communicating </t>
  </si>
  <si>
    <t>1.SR091735</t>
  </si>
  <si>
    <t>1.Site stopped communicating from 01/28, communication card was need to be replaced and dispatch was scheduled  for February.</t>
  </si>
  <si>
    <t>1.SR096085</t>
  </si>
  <si>
    <t>1.The site went offline at 07:45 MST on 12/16/24. The technician arrived and found the SES-A breaker switch tripped . After re-energizing the system, the site was back online at 10:30 MST on 01/14/25.</t>
  </si>
  <si>
    <t>1.SR094853</t>
  </si>
  <si>
    <t>1. The Virtual weather station resumed communication on 01/14.</t>
  </si>
  <si>
    <t>February Actual v. Expected</t>
  </si>
  <si>
    <t>February Actual v. Forecasted</t>
  </si>
  <si>
    <t>Some sites are missing actual data; if new sites were added, make sure they are aligned correctly (including prior months!)</t>
  </si>
  <si>
    <t>1.Inverter 4 is underperforming by 7KW from 06/13/24 due to 2 non-operational strings. 
 Inverter 2 underperforming by 3kW since 05/10/24 due to a string down and after technician replaced blown fuse on 02/20/25 inverter is producing in line with peers.
 Inverter 7 underperforming by 3kW since 09/09/24 due to a string down and after technician replaced blown fuse on 02/20/25 inverter is producing in line with peers.
Inverter 5 underperforming by 4kW since 02/08/2 due to a string down.
2.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
3. SIte stopped communicating at 17:00 on 02/14 and regained communication at 8AM on 02/16 energy was not backfilled.</t>
  </si>
  <si>
    <t>1.SR091496
2.SR088261, SR097801
3.SR097144</t>
  </si>
  <si>
    <t>SR097801</t>
  </si>
  <si>
    <t>SR097144</t>
  </si>
  <si>
    <t>1.Inverter 1 was offline on 02/09 due to a loss of main fault and self-resolved at 2:30 PM on 02/10.</t>
  </si>
  <si>
    <t>1.SR096618</t>
  </si>
  <si>
    <t xml:space="preserve">1. Inverter 1's String 4 RSD was sent for RMA on 12/12/24. On 02/10/25, the technician installed a new RSD and inserted the fuse for String 5. The inverter came back online and is producing as expected
</t>
  </si>
  <si>
    <t xml:space="preserve">1.SR090252
</t>
  </si>
  <si>
    <t>1.Inverter 4 is underperforming by 5kW since 02/16, down 1 string. Dispatch has been scheduled for next PM on 10/10/25.</t>
  </si>
  <si>
    <t>1.SR097581</t>
  </si>
  <si>
    <t>1. The Ambient Temperature sensor was not communicating .
2.The site lost communication at 7:30 AM on 02/02 and regained at 9:45 AM on 02/06.</t>
  </si>
  <si>
    <t>1.SR091735
2.SR096229</t>
  </si>
  <si>
    <t>SR096229</t>
  </si>
  <si>
    <t>1.On 02/18, the technician de-energized the inverter from 09:46 AM to 10:15 AM to replace the comms card. After replacing it, the inverter was re-energized.
2.The site went offline at 06:45 AM on 02/21. Upon arrival, the technician found that the breaker had tripped and reset it. The site was back online by 09:30 AM on 02/24.</t>
  </si>
  <si>
    <t>1.SR091107
2.SR097627</t>
  </si>
  <si>
    <t>SR097627</t>
  </si>
  <si>
    <t>1.Site stopped communicating from 01/28 and back online at 03:30PM on 02/07 .</t>
  </si>
  <si>
    <t>1.Inverter 16 is  down 1 string. Dispatch has been scheduled for next PM on 05/26/25.</t>
  </si>
  <si>
    <t>1.SR097838</t>
  </si>
  <si>
    <t>1.The site went offline at 5:32 PM on 01/31/25. On 02/24, a technician arrived and found that the SES-A breaker switch had tripped. After re-energizing the system, the site was back online at 10:20 AM on 02/24.</t>
  </si>
  <si>
    <t>1.SR096213</t>
  </si>
  <si>
    <t>1. The site stopped communication at 06:00PM on 02/08 and back at 03:45AM on 02/09.
2.The Virtual weather station resumed communication on 01/31 and back on 02/24.</t>
  </si>
  <si>
    <t>1.SR096533</t>
  </si>
  <si>
    <t>1. Production meter is underreporting compared to the inverters, with B-phase current reading low compared to A &amp; C. The meter is reporting lower by approximately 7kW.</t>
  </si>
  <si>
    <t>1. SR099589</t>
  </si>
  <si>
    <t>March Actual v. Expected</t>
  </si>
  <si>
    <t>March Actual v. Forecasted</t>
  </si>
  <si>
    <t>1.Inverter 4 and 6 are underperforming by 7KW from 06/13/24 due to 2 non-operational strings. 
Inverter 5 underperforming by 4kW since 02/08/2 due to a string down.
2.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 CPS Team is preparing quote for 36kW powerhead compatible with he V2 wirebox</t>
  </si>
  <si>
    <t>1.SR091496
2.SR097801</t>
  </si>
  <si>
    <t>1. Compared to last year’s delta values, we can still see a negative variance for this site, which suggests an issue with the forecasted value.</t>
  </si>
  <si>
    <t>1. Compared to last year’s delta values, we still see a negative variance for this site, which suggests an issue with the forecasted value. Additionally, we do not have inverter communications for this site.</t>
  </si>
  <si>
    <t>1. Site production was low 03/05, 03/06, 03/15 to 03/17, 03/24, 03/29 to 03/31 due to rain.</t>
  </si>
  <si>
    <t>1. Weather station reporting erroneous values from 07/04/2024. Will investigate while next time onsite.
2.The meter's Phase C current/power factor was experiencing intermittent glitches, which are affecting the reported energy production, but there was no impact on actual production. Will investigate next time onsite.</t>
  </si>
  <si>
    <t>1. SR088667
2. SR077700</t>
  </si>
  <si>
    <t xml:space="preserve">1. Site underperforming by ~15 kW since 03/12. Will investigate next time onsite.
</t>
  </si>
  <si>
    <t>1.SR098782</t>
  </si>
  <si>
    <t>1. Site production was low on 03/05, 03/15, 03/17, 03/24, 03/30 due to bad weather.</t>
  </si>
  <si>
    <t>1. Site production was low on 03/05, 03/13, 03/15 to 03/17, 03/20, 03/24 due to rain.</t>
  </si>
  <si>
    <t>1.Weather station is reporting 0 during production hours even on a good irradiance day</t>
  </si>
  <si>
    <t>1. Site production was low on 03/05, 03/13, 03/15 to 03/17, 03/24, 03/30 due to bad weather.</t>
  </si>
  <si>
    <t>1.Meter Phase B current was intermittently underreporting, but inverter production remained unaffected. On 03/06, a technician identified an issue with Phase B and swapped the CT for Phase B with the CT for Phase C. The issue was resolved after the technician's visit.</t>
  </si>
  <si>
    <t>1.Inverter 3 stopped communicating at 12:00 CDT on 03/31, and production cannot be confirmed at the meter level. It has not regained communication since then.</t>
  </si>
  <si>
    <t>1.SR099238</t>
  </si>
  <si>
    <t>1.Inverters 1 and 2 were offline from 06:30 PST to 14:50 PST on 03/06</t>
  </si>
  <si>
    <t>1.SR098213</t>
  </si>
  <si>
    <t>1.The site remained offline from 22:45 PDT on 03/16 until 14:45 PDT on 03/17.Issue got self resolved</t>
  </si>
  <si>
    <t>1.SR098649</t>
  </si>
  <si>
    <t>1. Compared to last year’s (November and December) delta values, we still see a negative variance for this site, which suggests an issue with the forecasted value. Additionally, we do not have inverter communications for this site.</t>
  </si>
  <si>
    <t>1.Inverter 1 was offline from 06:45 PDT to 16:45 PDT on 03/09 and self resolved and we don't have SR for this issue.</t>
  </si>
  <si>
    <t>1. Compared to last year’s (November and December) delta values, we still see a negative variance for this site, which suggests an issue with the forecasted value.</t>
  </si>
  <si>
    <t>1.Inverter 16 has one string down. A dispatch has been scheduled for the next PM on 05/26/25</t>
  </si>
  <si>
    <t>1.Inverter 2 tripped offline at 14:25 MDT on 03/18 and back online at 14:55 MDT on the same day.It tripped offline at 13:00 MDT on 03/19 and back online at 14:45 MDT on 03/19.</t>
  </si>
  <si>
    <t>1.Site stopped communicating at 18:30 on 03/22,Unable to confirm production  and Site did not regain the communication for the rest of the month.
2.Production meter is underreporting compared to the inverters, with B-phase current reading low compared to A &amp; C. The meter is reporting lower by approximately 7kW.</t>
  </si>
  <si>
    <t>1.SR098897
2.SR099589</t>
  </si>
  <si>
    <t>April Actual v. Expected</t>
  </si>
  <si>
    <t>April Actual v. Forecasted</t>
  </si>
  <si>
    <t>NA</t>
  </si>
  <si>
    <t>1.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 CPS Team is preparing quote for 36kW powerhead compatible with he V2 wirebox
2. Site was stopped communicating on 04/08 at 07:30am.  The site was down for EPC testing on nearby project.
3. Inverter 4 and 6 are underperforming by 7KW from 06/13/24 due to 2 non-operational strings. 
Inverter 5 underperforming by 4kW since 02/08/2 due to a string down.</t>
  </si>
  <si>
    <t>1. SR097801
2. SR099548
3. SR091496</t>
  </si>
  <si>
    <t>SR099548</t>
  </si>
  <si>
    <t>SR091496</t>
  </si>
  <si>
    <t>1.Inverter 2 was offline for the entire month due to 'Fault State 401: Communication Fault.' The inverter needs to be replaced, but the client has not approved it.</t>
  </si>
  <si>
    <t>1. SR084532, SR088671, PM4252</t>
  </si>
  <si>
    <t>SR088671</t>
  </si>
  <si>
    <t>1. Site production was low on 04/03, 04/05, 04/07, 04/11 and 04/12 due to rain.</t>
  </si>
  <si>
    <t>1.Weather station reporting erroneous values from 07/04/2024</t>
  </si>
  <si>
    <t>1.SR088667</t>
  </si>
  <si>
    <t>1.Site underperforming by ~15 kW since 03/12. Will investigate next time onsite</t>
  </si>
  <si>
    <t>1. Weather station constantly reporting a fixed value of 1237.22 W/m2 01/09.</t>
  </si>
  <si>
    <t>1. SR100979</t>
  </si>
  <si>
    <t>1. Weather station is frequently reporting erroneous values since 04/14.</t>
  </si>
  <si>
    <t>1. SR100592</t>
  </si>
  <si>
    <t>1. The site went offline at 18:05 on 04/22 later self resolved and back online at 15:15 on 04/22.</t>
  </si>
  <si>
    <t>1. SR100186</t>
  </si>
  <si>
    <t>1. Site production was low on 04/07, 04/11 and 04/12 due to rain.</t>
  </si>
  <si>
    <t>1.The site tripped offline at 11:37 AM on 04/25 due to "Loss of Main - GridV.OutLim" but was back online by 12:00 PM. The outage was brief with minimal production loss</t>
  </si>
  <si>
    <t>1.SR100412</t>
  </si>
  <si>
    <t>1.The site lost communication at 20:00 EDT on 04/23. Production cannot be confirmed, and the issue remains unresolved for rest of the month.</t>
  </si>
  <si>
    <t>1.SR100432</t>
  </si>
  <si>
    <t>1.Weather station is frequently reporting erroneous values ( 0 w/m^2) during mid days from 03/10.</t>
  </si>
  <si>
    <t>1.SR100593</t>
  </si>
  <si>
    <t>1.Inverter-3 was offline since 03/31,on 04/11 ,technician rebooted and 
cleared gateway fault after that inverter was back online at 11:08 on 04/11,again it was oflline at 14:35 on 04/12 technician checked in on 04/15 and reconnected NEP gateway to internet ,after which it came back online at 08:15 on 04/16,again it was offline at 14:00 on 04/16.On 04/18 techician replaced faulty RSD unit with the new one and issue was resolved.Inverter was back online at 10:00 on 04/21.</t>
  </si>
  <si>
    <t>1.Inverter 2 is down a string from 04/25</t>
  </si>
  <si>
    <t>1.SR100421</t>
  </si>
  <si>
    <t>1.Inverter-16 is down a string and PM event was scheduled for 05/26/24</t>
  </si>
  <si>
    <t>1.Inverters 1&amp;3 were tripped offline at 11:30AM on 04/20 repoting "Grid Phase Voltage Out of Range - GridV.OutLim"and were back online at 17:45 on 04/20
2.Site stopped communicating at 18:30 on 03/22,unable to confirm voltages.SIte came back online at 10:00MDT on 04/09 but energy was not backfilled
3.Production meter is reporting lower by approximately 7KW with B-phase current reading low compared to A&amp;C.</t>
  </si>
  <si>
    <t>1.SR100039
2.SR098897
3.SR099589</t>
  </si>
  <si>
    <t>SR098897</t>
  </si>
  <si>
    <t>SR099589</t>
  </si>
  <si>
    <t>May Actual v. Expected</t>
  </si>
  <si>
    <t>May Actual v. Forecasted</t>
  </si>
  <si>
    <t>1.Site was offline throughout the month for EPC testing on nearby project and informed that site may remain offline until PTO of new project</t>
  </si>
  <si>
    <t>1.SR099548</t>
  </si>
  <si>
    <t>1. On 05/19 technican was onsite for preventive maintenance. Tech found inverter 3 has a derating issue that will need more troubleshooting and additionally the POA needs more troubleshooting to report accurately.</t>
  </si>
  <si>
    <t xml:space="preserve">1. PM8080 </t>
  </si>
  <si>
    <t>1. The site was offline from 10:31 to 10:54 on 05/21 due to technician was onsite for preventive maintenance work.</t>
  </si>
  <si>
    <t>1. PM8141</t>
  </si>
  <si>
    <t>1.Inverter 2 has been offline since 05/20 and is currently in the process of being replaced.</t>
  </si>
  <si>
    <t>1.SR101743</t>
  </si>
  <si>
    <t>1. Site production was low on 05/05, 05/06, 05/21 to 05/23, 05/31 due to rain.</t>
  </si>
  <si>
    <t xml:space="preserve">1.An intermittent issue with Meter Phase C/Power Factor is slightly affecting the reported energy production. A case has been created with AlsoEnergy, and they have confirmed a site visit for further investigation
2.Weather station reporting erroneous values from 07/04/2024.This issue is to be investigated next time onsite </t>
  </si>
  <si>
    <t>1.SR077700
2.SR088667</t>
  </si>
  <si>
    <t>SR088667</t>
  </si>
  <si>
    <t>1. Site underperforming by ~15 kW. Production appears capped at 1.6 kW on high irradiance days, with brief spikes. Will be investigating during next site visit.</t>
  </si>
  <si>
    <t>1. All inverters tripped offline at 15:45 and back online at 16:45 on 05/21.Issue got self resolved</t>
  </si>
  <si>
    <t>1.SR102015</t>
  </si>
  <si>
    <t>1.Inverter 3 may be down a string, reaching 125 kW later in the morning and dropping off earlier than others in the afternoon</t>
  </si>
  <si>
    <t>1.SR101435</t>
  </si>
  <si>
    <t>1.Inverter 13 tripped offline at 17:00 on 05/03,possibly due to bad weather and back online on 05/04</t>
  </si>
  <si>
    <t>1.SR100975</t>
  </si>
  <si>
    <t>1. Site production was low on 05/04, 05/05, 05/09, 05/13, 05/22, 05/28 due to rain.</t>
  </si>
  <si>
    <t>1.The site was offline from 14:30 on 05/15 to 13:00 on 05/19 and again from 08:15 on 05/25 to 11:15 on 05/27. The issue occurred because the disconnect lock was opened by the fire department. The site was restored after a CBRE technician closed the disconnect</t>
  </si>
  <si>
    <t>1.SR101597,SR101928</t>
  </si>
  <si>
    <t>SR101928</t>
  </si>
  <si>
    <t>1.Inverter 1 tripped offline due to an insolation error at 13:15 on 05/02 and remained offline throughout the month.</t>
  </si>
  <si>
    <t>1.SR100951</t>
  </si>
  <si>
    <t>1.Weather station  constantly reporting a fixed value of 1237.22 W/m2 during production hours.Reached out to AlsoEnergy for remote assistance and waiting for their response</t>
  </si>
  <si>
    <t>1.SR100979</t>
  </si>
  <si>
    <t>1.Weather station is frequently reporting erroneous values ( 0 w/m^2). Has been happening intermittently since 4/14</t>
  </si>
  <si>
    <t>1.SR100592</t>
  </si>
  <si>
    <t>1. Site production was low on 05/04, 05/05, 05/13, 05/14, 05/22, 05/28, 05/30 due to rain.</t>
  </si>
  <si>
    <t>1.Inverter 1 tripped offline at 11:15 on 05/16 and back online at 12:45 on 05/16 likely due to bad weather</t>
  </si>
  <si>
    <t>1.SR101587</t>
  </si>
  <si>
    <t>1. Weather station is frequently reporting erroneous values ( 0 w/m^2) during mid days.We have reached out to AlsoEnergy for remote assistance and waiting for their response</t>
  </si>
  <si>
    <t>1.Inverter 4 has been derating to 40 kW due to a fan fault on intermittent days since 04/01.Reached out to CPS for RMA of fans</t>
  </si>
  <si>
    <t xml:space="preserve">	1.SR099750</t>
  </si>
  <si>
    <t>1. The inverter was offline from 09:30 CDT on 04/20. The technician later replaced the inverter's powerhead on 05/29, and it came back online at 11:00 CDT on the same day.</t>
  </si>
  <si>
    <t>1. SR100040</t>
  </si>
  <si>
    <t>1. The meter had no communication starting from 05/01. Technician later found water intrusion in an unused enclosure, disconnected the unused wiring, and the meter resumed normal communication at 11:00 CDT on 05/20.
2. Inverter 104.1 underperforming from 05/20 since meter rewiring performed on SR101240 (unused wiring disconnected). Capacity appears to be down about 2/3, may be 2 MPPTs offline. Possibility of wiring disconnected on SR101240 causing underperformance.</t>
  </si>
  <si>
    <t>1. SR101240
2. SR101804</t>
  </si>
  <si>
    <t>SR101804</t>
  </si>
  <si>
    <t>1. Inverters 1, 4, and 5 have some afternoon shading. Inverter 5 is underperforming by 3kW; likely soiling.</t>
  </si>
  <si>
    <t>1. SR101247</t>
  </si>
  <si>
    <t>1. SR100421</t>
  </si>
  <si>
    <t>1. Inverter 16 is derating at 32 kW on 05/22, 05/24, 05/28, 05/29 and reporting "External Fan Err - ExtFanerr".</t>
  </si>
  <si>
    <t>1. SR101864</t>
  </si>
  <si>
    <t>1. Inverter 2 is tripping on and offline frequently through out the month.</t>
  </si>
  <si>
    <t>1. SR101434</t>
  </si>
  <si>
    <t>1. Production meter is reporting lower by approximately 7KW with B-phase current reading low compared to A&amp;C.
2. Inverter 1 tripping on and off frequently on 05/17, 05/19, 05/20, 05/24, 05/25 due to "Grid Phase Voltage Out of Range - GridV.OutLim".</t>
  </si>
  <si>
    <t>1. SR99589
2. SR101626</t>
  </si>
  <si>
    <t>SR101626</t>
  </si>
  <si>
    <t>June Actual v. Expected</t>
  </si>
  <si>
    <t>June Actual v. Forecasted</t>
  </si>
  <si>
    <t>N/A</t>
  </si>
  <si>
    <t>1. Site was not communicated for whole month.</t>
  </si>
  <si>
    <t>1. SR099548</t>
  </si>
  <si>
    <t>1. Tech found inverter 3 has a derating issue that will need more troubleshooting and additionally the POA needs more troubleshooting to report accurately.</t>
  </si>
  <si>
    <t>1. Inverter 2 was offline for the entire month and will be investigated in 2026</t>
  </si>
  <si>
    <t>1. SR101743</t>
  </si>
  <si>
    <t>1. The site was offline from 10:15 to 11:30 on 06/13 due to technician was onsite for preventive maintenance.</t>
  </si>
  <si>
    <t>1. PM9554</t>
  </si>
  <si>
    <t>The plant is performing as expected. The forecasted (theoretical) values may appear lower and they are based on long-term average weather data (typically over 10–15 years). In contrast, the actual vs. expected generation reflects real-time weather conditions during the period, offering a more accurate representation of current performance.</t>
  </si>
  <si>
    <t>1. Site production was low on 06/07, 06/10, 06/14, 06/15, 06/17 due to cloudy weather and rain.</t>
  </si>
  <si>
    <t>1. Weather station reporting erroneous values from 07/04/2024. Will investigate next time onsite 
2. An intermittent issue with Meter Phase C/Power Factor is slightly affecting the reported energy production. A case has been created with AlsoEnergy, and they have confirmed a site visit for further investigation</t>
  </si>
  <si>
    <t>1. SR088667
2. SR066760 SR077700</t>
  </si>
  <si>
    <t>SR066760</t>
  </si>
  <si>
    <t>As per site weather station data, the plant is performing as expected. The forecasted (theoretical) values appear higher because they are based on long-term average weather data (typically 10–15 years). In contrast, actual vs expected generation reflects real-time weather conditions during the period, providing a more accurate measure of current performance.</t>
  </si>
  <si>
    <t>1. Site was offline from 05/02 to 12:00 on 06/05 and 2 strings were isolated on inverter on 06/05.</t>
  </si>
  <si>
    <t>1. SR100951</t>
  </si>
  <si>
    <t>1. Weather station  constantly reporting a fixed value of 1237.22 W/m2 since 01/09. Will investigate next time onsite</t>
  </si>
  <si>
    <t>1. Inverter 1 tripped offline on 06/23, 06/24, and 06/25, but self-resolved on the following days.</t>
  </si>
  <si>
    <t>1. SR103327</t>
  </si>
  <si>
    <t>1. Inverter 1 tripped offline at 11am on 06/26 and displaying fault Grid Phase Voltage Out of Range - GridV.OutLim and back online at 8:00am on 06/27</t>
  </si>
  <si>
    <t>1. SR103607</t>
  </si>
  <si>
    <t>1. Site production was low on 06/08 to 06/10 and 06/15 due to rain.</t>
  </si>
  <si>
    <t>1.SR099750</t>
  </si>
  <si>
    <t>1. The weather station data indicates normal irradiance levels, and no major issues were observed on site. Based on the available information, the system performance appears consistent with typical operating conditions.</t>
  </si>
  <si>
    <t>The virtual weather station has experienced intermittent communication issues, in contrast to the actual weather station at Building 203, San Antonio Ops Center (S64346), which is reporting without any issues. A case (#595841) has been opened with AlsoEnergy to reconfigure the virtual weather station accordingly.</t>
  </si>
  <si>
    <t>1. Inverters 1, 4, and 5 have some afternoon shading issues.</t>
  </si>
  <si>
    <t>The plant is performing as expected. The forecasted (theoretical) values may appear higher because they are based on long-term average weather data (typically over 10–15 years). In contrast, the actual vs. expected generation reflects real-time weather conditions during the period, offering a more accurate representation of current performance.</t>
  </si>
  <si>
    <t>1. Inverter 1 is underperforming by 13kW and inverter 2 by 10kW. Pending quote for return visit.</t>
  </si>
  <si>
    <t>1. Production meter is reporting lower by approximately 7KW with B-phase current reading low compared to A&amp;C.</t>
  </si>
  <si>
    <t>1.SR098897</t>
  </si>
  <si>
    <t>July Actual v. Expected</t>
  </si>
  <si>
    <t>July Actual v. Forecasted</t>
  </si>
  <si>
    <t>Performance vs Prior Year</t>
  </si>
  <si>
    <t>+ or -</t>
  </si>
  <si>
    <t>No weather station on the Legacy sites</t>
  </si>
  <si>
    <t>1. Meter B and C phase currents are half of A phase current for whole month</t>
  </si>
  <si>
    <t>1.SR105604</t>
  </si>
  <si>
    <t>-</t>
  </si>
  <si>
    <t>1. Site was offline from 07/09 through out the month.</t>
  </si>
  <si>
    <t>1.SR103075</t>
  </si>
  <si>
    <t>+</t>
  </si>
  <si>
    <t>1.Meter stopped communicating at 07/30 at 10:45pm till end of the month
2. Inverter 2 was offline for the entire month and will be investigated in 2026</t>
  </si>
  <si>
    <t>1.SR105436
2.SR101743</t>
  </si>
  <si>
    <t>1.Meter C phase current dropped 20 amps from  7/13/25.</t>
  </si>
  <si>
    <t>1.SR105517</t>
  </si>
  <si>
    <t>Forecasted model might be inaccurate.</t>
  </si>
  <si>
    <t xml:space="preserve">1.BOM sensor fell off.  Will repair next time onsite </t>
  </si>
  <si>
    <t>1.SR087054</t>
  </si>
  <si>
    <t>SR087054 stems from the 2024 PM</t>
  </si>
  <si>
    <t>1. Weather station reporting erroneous values from 07/04/2024. Will investigate next time onsite
2. An intermittent issue with Meter Phase C/Power Factor is slightly affecting the reported energy production. A case has been created with AlsoEnergy, and they have confirmed a site visit for further investigation</t>
  </si>
  <si>
    <t xml:space="preserve"> </t>
  </si>
  <si>
    <t>Still waiting on a response from Wells Fargo dating back to 2023</t>
  </si>
  <si>
    <t>1.Inverter 1 underperforming by 8kW (1 string) from 7/28/25.
2. Inverter 2 tripped offline at 08:45CDT on 07/20</t>
  </si>
  <si>
    <t>1.SR105483
2.SR105331</t>
  </si>
  <si>
    <t>SR105331</t>
  </si>
  <si>
    <t>Up 2% from 2024 weather adj. (expected)</t>
  </si>
  <si>
    <t>1. Inverter 12 appears to be down at least one string, maybe two, when compared with peers</t>
  </si>
  <si>
    <t>1.SR099323</t>
  </si>
  <si>
    <t>Up 9% from 2024 weather adj. (expected)</t>
  </si>
  <si>
    <t>Nothing mechanical</t>
  </si>
  <si>
    <t>Up 4% from 2024 weather adj. (expected)</t>
  </si>
  <si>
    <t>Up 6% from 2024 weather adj. (expected)</t>
  </si>
  <si>
    <t>Up 3% from 2024 weather adj. (expected); forecasted model might be inaccurate.</t>
  </si>
  <si>
    <t>Weather station issue is negatively impacting the weather adj. (expected)</t>
  </si>
  <si>
    <t>Up 3% from 2024 weather adj. (expected)</t>
  </si>
  <si>
    <t>Up 26% from 2024 weather adj. (expected)</t>
  </si>
  <si>
    <t xml:space="preserve"> Weather station is frequently reporting erroneous values ( 0 w/m^2). Has been happening intermittently since 4/14</t>
  </si>
  <si>
    <t>Weather station issue is positively impacting the weather adj. (expected)</t>
  </si>
  <si>
    <t>NC</t>
  </si>
  <si>
    <t>1. Site was offline frm 07/07 and back online on 07/09 at 16:00</t>
  </si>
  <si>
    <t>1.SR104082</t>
  </si>
  <si>
    <t>1.Production meter phase A volts are offline</t>
  </si>
  <si>
    <t>1.SR075812</t>
  </si>
  <si>
    <t xml:space="preserve">Weather adj. (expected) impacted by Weather station issue. </t>
  </si>
  <si>
    <t>1.Inverter 4 is derating at 40 kW through out the month</t>
  </si>
  <si>
    <t>Up 5% from 2024 weather adj. (expected)</t>
  </si>
  <si>
    <t>Up 3% from 2024 weather adj. (expected). Possible issue with the data used to calculate the expected; inquiry with AE Support.</t>
  </si>
  <si>
    <t>1.Inverter 4 tripped offline at 11:20 cdt on 07/29 and remained the same throughout the month.</t>
  </si>
  <si>
    <t>1.SR105312</t>
  </si>
  <si>
    <t>1.SR101247</t>
  </si>
  <si>
    <t>1.SR104629</t>
  </si>
  <si>
    <t xml:space="preserve">Sites live Jan 2025 </t>
  </si>
  <si>
    <t xml:space="preserve">1. Production meter is reporting lower by approximately 7KW with B-phase current reading low compared to A&amp;C.
2.  Meter A and C phase are underreporting. Meter A and B power factor are less than 1. </t>
  </si>
  <si>
    <t>1. SR098897
2. SR104705</t>
  </si>
  <si>
    <t>SR104705</t>
  </si>
  <si>
    <t>Used inverter data (meter data requires a data correction)</t>
  </si>
  <si>
    <t>August Actual v. Expected</t>
  </si>
  <si>
    <t>August Actual v. Forecasted</t>
  </si>
  <si>
    <t>1. No communication to the inverters, As per technician visit on 08/08 inverter 3 is offline and inverter 1 is underperforming.</t>
  </si>
  <si>
    <t>1. Site is back online at 10:00 on 08/04</t>
  </si>
  <si>
    <t>1. Site stopped communicating at 7/30 at 10:45 to till date and production cannot be confirmed.</t>
  </si>
  <si>
    <t>1.SR105436</t>
  </si>
  <si>
    <t>1.SR105437</t>
  </si>
  <si>
    <t>1. Site underperforming by ~15 kW. Production appears capped at 1.6 kW on high irradiance days, with brief spikes. Will be investigating during next site visit.
2. Site de-energized 08/15/25; site needs to be re-engineered.</t>
  </si>
  <si>
    <t>1.SR098782, SR098791</t>
  </si>
  <si>
    <t>SR098791</t>
  </si>
  <si>
    <t>1.Inverter 1 underperforming by 8kW (2 string) from 7/28/25. Inverter 3 down 1 string from 8/7 (8kW)
2. Inverter 2 tripped offline at 08:45CDT on 07/20</t>
  </si>
  <si>
    <t>1.Inverter 16 is constantly reporting 57.80 kW even in the non - production hours which suggest the communication issue and meter is not capturing the inverter 16 power which concludes inverter is offline.</t>
  </si>
  <si>
    <t>1.SR106886</t>
  </si>
  <si>
    <t>1. Weather station was not communicated on 08/03 from 11:45 to 13:45.</t>
  </si>
  <si>
    <t>The site is producing as expected. When compared with the same month in previous years, there is always a deviation of 10%, which may be related to minor seasonal shading effects.</t>
  </si>
  <si>
    <t>1.SR106961</t>
  </si>
  <si>
    <t>1. San Antonio 102 is a virtual weather station. On 08/23, San Antonio 203 lost communication, which caused San Antonio 102 to stop receiving data from 07:00 to 16:45</t>
  </si>
  <si>
    <t>1. SR106784</t>
  </si>
  <si>
    <t>1. Inverter 1 and 7 have morning to afternoon shading</t>
  </si>
  <si>
    <t>1. Inverters 1, 4, and 5 have some afternoon shading. Inverter 5 is underperforming by 3kW; likely soiling.
2.Site stopped communicating at 23:15 on 08/16 and later back online at 08/18 at 09:00</t>
  </si>
  <si>
    <t>1.SR101247
2.SR106393</t>
  </si>
  <si>
    <t>SR106393</t>
  </si>
  <si>
    <t>The plant is performing as expected. I compared the results with last year’s forecasted data for July and August. July aligns well, but from August there is a deviation of -15%, which may be due to inaccuracies in the forecasted values, as these are theoretical</t>
  </si>
  <si>
    <t>1.Inverter 16 is derating at 33kW in the afternoon starting on 07/18.</t>
  </si>
  <si>
    <t>1.SR104656</t>
  </si>
  <si>
    <t>1.Meter A and C phase are underreporting. Meter A and B power factor are less than 1 and on 08/21 phase C currents are showing more amps additional troubleshoot required
Actual energy is taken from total inverters data</t>
  </si>
  <si>
    <t>1.SR104705</t>
  </si>
  <si>
    <t>Actual vs weather adjusted (August 2025)</t>
  </si>
  <si>
    <t>Negative</t>
  </si>
  <si>
    <t>No Change</t>
  </si>
  <si>
    <t>Positive</t>
  </si>
  <si>
    <t>Actual vs forecasted (August 2025)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</si>
  <si>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</si>
  <si>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</si>
  <si>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</si>
  <si>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</si>
  <si>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</si>
  <si>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</si>
  <si>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</si>
  <si>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</si>
  <si>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</si>
  <si>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Wells Fargo</t>
  </si>
  <si>
    <t>Site DAS Name</t>
  </si>
  <si>
    <t>Update</t>
  </si>
  <si>
    <t>DAS</t>
  </si>
  <si>
    <t>BE</t>
  </si>
  <si>
    <t>Admin/Retail</t>
  </si>
  <si>
    <t>July 2025 Facility Partner</t>
  </si>
  <si>
    <t>BE 191334 - Adams &amp; Broadway</t>
  </si>
  <si>
    <t>Adams &amp; Broadway</t>
  </si>
  <si>
    <t>CA</t>
  </si>
  <si>
    <t>AEF</t>
  </si>
  <si>
    <t>PowerTrack</t>
  </si>
  <si>
    <t>Retail</t>
  </si>
  <si>
    <t>CBRE</t>
  </si>
  <si>
    <t>BE 196270 - Otay Mesa (ATM)</t>
  </si>
  <si>
    <t>Otay Mesa</t>
  </si>
  <si>
    <t>BE 144682 - San Leandro Ops Center</t>
  </si>
  <si>
    <t>San Leandro</t>
  </si>
  <si>
    <t>Admin</t>
  </si>
  <si>
    <t>JLL</t>
  </si>
  <si>
    <t>BE 191705 - Van Nuys</t>
  </si>
  <si>
    <t>Van Nuys</t>
  </si>
  <si>
    <t>AF</t>
  </si>
  <si>
    <t>BE 103541 - 98th &amp; Grant</t>
  </si>
  <si>
    <t>98th &amp; Grant</t>
  </si>
  <si>
    <t>CO</t>
  </si>
  <si>
    <t>BE 101451 - Arapahoe Crossings</t>
  </si>
  <si>
    <t>Arapahoe Crossings</t>
  </si>
  <si>
    <t>BE 120617 - Aurora City Center</t>
  </si>
  <si>
    <t>Aurora City Center</t>
  </si>
  <si>
    <t>BE 101995 - Dry Creek</t>
  </si>
  <si>
    <t>Dry Creek</t>
  </si>
  <si>
    <t>BE 102040 - Highlands Ranch South</t>
  </si>
  <si>
    <t>Highlands Ranch S.</t>
  </si>
  <si>
    <t>BE 120717 - Lone Tree</t>
  </si>
  <si>
    <t>Lone Tree</t>
  </si>
  <si>
    <t>BE 103553 - Meridian</t>
  </si>
  <si>
    <t>Meridian</t>
  </si>
  <si>
    <t>BE 105797 - Southglenn Relocation</t>
  </si>
  <si>
    <t>Southglenn</t>
  </si>
  <si>
    <t>BE 120768 - Standley Lake</t>
  </si>
  <si>
    <t>BE 106004 - Havana Gardens</t>
  </si>
  <si>
    <t>Havana Gardens</t>
  </si>
  <si>
    <t>BE 144783 - East Hartford</t>
  </si>
  <si>
    <t>East Hartford</t>
  </si>
  <si>
    <t>CT</t>
  </si>
  <si>
    <t>BE 144725 - Norwalk Post Road</t>
  </si>
  <si>
    <t>Norwalk</t>
  </si>
  <si>
    <t>BE 107447 - Hialeah Gardens</t>
  </si>
  <si>
    <t>FL</t>
  </si>
  <si>
    <t>BE 150496 - West Des Moines Campus - East</t>
  </si>
  <si>
    <t>W. Des Moines Campus EAST</t>
  </si>
  <si>
    <t>IA</t>
  </si>
  <si>
    <t>BE 150496 - West Des Moines Campus - SW</t>
  </si>
  <si>
    <t>BE 141278 - CIC</t>
  </si>
  <si>
    <t>BE 141954 - DUC</t>
  </si>
  <si>
    <t>Charlotte - Wells Fargo - DUC</t>
  </si>
  <si>
    <t>BE 140171 - East Windsor</t>
  </si>
  <si>
    <t>East Windsor</t>
  </si>
  <si>
    <t>NJ</t>
  </si>
  <si>
    <t>BE 141423 - Burlington Springside</t>
  </si>
  <si>
    <t>Burlington</t>
  </si>
  <si>
    <t>BE 141327 - Bayonne Office</t>
  </si>
  <si>
    <t>Bayonne</t>
  </si>
  <si>
    <t>BE 141382 - Clifton Office</t>
  </si>
  <si>
    <t>Clifton</t>
  </si>
  <si>
    <t>BE 141427 - North Elizabeth Office</t>
  </si>
  <si>
    <t>North Elizabeth</t>
  </si>
  <si>
    <t>BE 145739 - Westmont Plaza</t>
  </si>
  <si>
    <t>Haddon Westmont Plaza</t>
  </si>
  <si>
    <t>BE 141464 - Parsippany Route 46</t>
  </si>
  <si>
    <t>Parsippany</t>
  </si>
  <si>
    <t>BE 141467 - Clark Office</t>
  </si>
  <si>
    <t>Clark</t>
  </si>
  <si>
    <t>BE 141468 - Closter Office</t>
  </si>
  <si>
    <t>Closter</t>
  </si>
  <si>
    <t>BE 140216 - Holmdel - Rt. 35</t>
  </si>
  <si>
    <t>Holmdel</t>
  </si>
  <si>
    <t>BE 144566 - Ellisburg Circle Center</t>
  </si>
  <si>
    <t>Ellisburg Circle Center</t>
  </si>
  <si>
    <t>BE 141317 - Nutley Franklin</t>
  </si>
  <si>
    <t>Nutley</t>
  </si>
  <si>
    <t>BE 140334 - Marlton</t>
  </si>
  <si>
    <t>Marlton</t>
  </si>
  <si>
    <t>BE 140262 - Middletown - UC</t>
  </si>
  <si>
    <t>Middletown</t>
  </si>
  <si>
    <t>BE 141443 - Whiting Crestwood</t>
  </si>
  <si>
    <t>Whiting Crestwood</t>
  </si>
  <si>
    <t>BE 141441 - Barnegat Office</t>
  </si>
  <si>
    <t>Barnegat</t>
  </si>
  <si>
    <t>BE 141445 - Manchester Office</t>
  </si>
  <si>
    <t>Manchester</t>
  </si>
  <si>
    <t>BE 144269 - West Deptford / Woodbury</t>
  </si>
  <si>
    <t>West Deptford - Woodbury</t>
  </si>
  <si>
    <t>BE 141344 - Edison Office</t>
  </si>
  <si>
    <t>Edison</t>
  </si>
  <si>
    <t>BE 142050 - Flemington</t>
  </si>
  <si>
    <t>Flemington</t>
  </si>
  <si>
    <t>BE 140332 - Rt. 22 Springfield</t>
  </si>
  <si>
    <t>Route 22</t>
  </si>
  <si>
    <t>BE 141466 - Laurelton Office</t>
  </si>
  <si>
    <t>Laurelton</t>
  </si>
  <si>
    <t>BE 142088 - Mahwah</t>
  </si>
  <si>
    <t>Mahwah</t>
  </si>
  <si>
    <t>BE 144110 - Franklin Township</t>
  </si>
  <si>
    <t>Franklin Township WF</t>
  </si>
  <si>
    <t>BE 144103 - Bordentown</t>
  </si>
  <si>
    <t>Bordentown</t>
  </si>
  <si>
    <t>BE 141918 - South Plainfield Oak Park</t>
  </si>
  <si>
    <t>South Plainfield</t>
  </si>
  <si>
    <t>BE 144813 - Somerset</t>
  </si>
  <si>
    <t>Somerset</t>
  </si>
  <si>
    <t xml:space="preserve">BE 145709 - Clinton  </t>
  </si>
  <si>
    <t>Clinton Main Relo</t>
  </si>
  <si>
    <t>BE 143233 - North Brunswick Financial Ctr</t>
  </si>
  <si>
    <t>North Brunswick</t>
  </si>
  <si>
    <t>BE 141916 - Cherry Hill Short Hills</t>
  </si>
  <si>
    <t>Cherry Hill</t>
  </si>
  <si>
    <t>BE 142875 - Hainesport Crossroads</t>
  </si>
  <si>
    <t>Hainesport</t>
  </si>
  <si>
    <t>BE 144679 - 106 - San Antonio Ops</t>
  </si>
  <si>
    <t>San Antonio - Ops Ctr (Bldg 106)</t>
  </si>
  <si>
    <t>TX</t>
  </si>
  <si>
    <t>BE 144679 - GM - San Antonio Ops</t>
  </si>
  <si>
    <t>San Antonio - Ops Ctr GM</t>
  </si>
  <si>
    <t>BE 144679 - 201 - San Antonio Ops</t>
  </si>
  <si>
    <t>San Antonio - Ctr (Bldg 201)</t>
  </si>
  <si>
    <t>BE 144679 - 203 - San Antonio Ops</t>
  </si>
  <si>
    <t>San Antonio - Ops Ctr (Bldg 203)</t>
  </si>
  <si>
    <t>BE 144679 - 205 - San Antonio Ops</t>
  </si>
  <si>
    <t>San Antonio - Ops Ctr (Bldg 205)</t>
  </si>
  <si>
    <t>BE 144679 - 307 - San Antonio Ops</t>
  </si>
  <si>
    <t>San Antonio - Ops Ctr (Bldg 307)</t>
  </si>
  <si>
    <t>BE 144679 - 308 - San Antonio Ops</t>
  </si>
  <si>
    <t>San Antonio - Ctr (Bldg 308)</t>
  </si>
  <si>
    <t>BE 144679 - 104 - San Antonio Ops</t>
  </si>
  <si>
    <t>San Antonio - Ops Ctr (Bldg 104)</t>
  </si>
  <si>
    <t>BE 144679 - 102 - San Antonio Ops</t>
  </si>
  <si>
    <t>San Antonio - Ops Ctr (Bldg 102)</t>
  </si>
  <si>
    <t>BE 105499 - Lodi Vineyard</t>
  </si>
  <si>
    <t>BE 144486 - Arden Fair Mall</t>
  </si>
  <si>
    <t>Arden Fair Mall</t>
  </si>
  <si>
    <t>BE 199250 - Modesto Main</t>
  </si>
  <si>
    <t>Modesto - Modesto Main</t>
  </si>
  <si>
    <t>BE 199506 - Stevens Creek</t>
  </si>
  <si>
    <t>Stevens Creek</t>
  </si>
  <si>
    <t>BE 101173 - Covina Main</t>
  </si>
  <si>
    <t>Covina Main</t>
  </si>
  <si>
    <t>BE 144507 - Old Ranch Town Center</t>
  </si>
  <si>
    <t>Old Ranch Town Center</t>
  </si>
  <si>
    <t>BE 191411 - Mountain Gate Plaza</t>
  </si>
  <si>
    <t>Mountain Gate Plaza</t>
  </si>
  <si>
    <t>BE 144410 - Arcadia Main</t>
  </si>
  <si>
    <t>Arcadia Main</t>
  </si>
  <si>
    <t>BE 199190 - Fairfield</t>
  </si>
  <si>
    <t>Fairfield</t>
  </si>
  <si>
    <t>BE 199487 - Los Gatos</t>
  </si>
  <si>
    <t>Los Gatos</t>
  </si>
  <si>
    <t>BE 199892 - San Marino</t>
  </si>
  <si>
    <t>San Marino</t>
  </si>
  <si>
    <t>BE 199924 - Buenaventura</t>
  </si>
  <si>
    <t>Buenaventura</t>
  </si>
  <si>
    <t>BE 101497 - N Black Canyon Hwy, Phoenix - North</t>
  </si>
  <si>
    <t>AZ</t>
  </si>
  <si>
    <t>BE 101497 - N Black Canyon Hwy, Phoenix - South</t>
  </si>
  <si>
    <t>BE 102073 - Building 2222, Rose Garden Ln, Phoenix</t>
  </si>
  <si>
    <t xml:space="preserve"> Building 2222, Rose Garden Ln, Phoenix</t>
  </si>
  <si>
    <t>BE 102566 - Building 2202, Rose Garden Ln, Phoenix</t>
  </si>
  <si>
    <t xml:space="preserve"> Building 2202, Rose Garden Ln, Phoenix</t>
  </si>
  <si>
    <t>BE 192010 - 99TH Ave &amp; BELL</t>
  </si>
  <si>
    <t xml:space="preserve"> 99TH Ave &amp; BELL</t>
  </si>
  <si>
    <t>BE 192156 - Rincon</t>
  </si>
  <si>
    <t>BE 198359 - Tucson Main Parking Garage</t>
  </si>
  <si>
    <t>Tucson Main Parking Garage</t>
  </si>
  <si>
    <t>CA: San Jose - Westgate</t>
  </si>
  <si>
    <t>BE 199502 - Westgate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</si>
</sst>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%"/>
  </numFmts>
  <fonts count="5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4"/>
      <color rgb="FFFFFFFF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rgb="FFFF0000"/>
      <name val="Arial"/>
      <family val="2"/>
    </font>
    <font>
      <sz val="14"/>
      <color rgb="FF000000"/>
      <name val="Calibri"/>
      <family val="2"/>
    </font>
    <font>
      <sz val="14"/>
      <color theme="1"/>
      <name val="Calibri"/>
      <family val="2"/>
    </font>
    <font>
      <sz val="14"/>
      <name val="Calibri"/>
      <family val="2"/>
    </font>
    <font>
      <u/>
      <sz val="14"/>
      <color theme="10"/>
      <name val="Arial"/>
      <family val="2"/>
    </font>
    <font>
      <sz val="16"/>
      <name val="Arial"/>
      <family val="2"/>
    </font>
    <font>
      <sz val="14"/>
      <color theme="10"/>
      <name val="Arial"/>
      <family val="2"/>
    </font>
    <font>
      <sz val="11"/>
      <name val="Aptos"/>
      <family val="2"/>
    </font>
    <font>
      <sz val="11"/>
      <color rgb="FF000000"/>
      <name val="Aptos Narrow"/>
      <family val="2"/>
    </font>
    <font>
      <sz val="11"/>
      <color rgb="FF9C0006"/>
      <name val="Arial"/>
      <family val="2"/>
    </font>
    <font>
      <b/>
      <sz val="11"/>
      <name val="Aptos"/>
      <family val="2"/>
    </font>
    <font>
      <b/>
      <sz val="10"/>
      <name val="Calibri"/>
      <family val="2"/>
    </font>
    <font>
      <b/>
      <sz val="8"/>
      <name val="Calibri"/>
      <family val="2"/>
    </font>
  </fonts>
  <fills count="5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AD47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8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5" fillId="0" borderId="0"/>
    <xf numFmtId="43" fontId="3" fillId="0" borderId="0" applyFont="0" applyFill="0" applyBorder="0" applyAlignment="0" applyProtection="0"/>
    <xf numFmtId="0" fontId="42" fillId="0" borderId="0" applyNumberFormat="0" applyFill="0" applyBorder="0" applyAlignment="0" applyProtection="0"/>
  </cellStyleXfs>
  <cellXfs count="226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6" fillId="40" borderId="0" xfId="0" applyFont="1" applyFill="1" applyAlignment="1">
      <alignment horizontal="center" vertical="center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center" wrapText="1"/>
    </xf>
    <xf numFmtId="0" fontId="23" fillId="39" borderId="1" xfId="0" applyFont="1" applyFill="1" applyBorder="1" applyAlignment="1">
      <alignment horizontal="center" vertical="center"/>
    </xf>
    <xf numFmtId="0" fontId="3" fillId="0" borderId="0" xfId="0" applyFont="1"/>
    <xf numFmtId="164" fontId="27" fillId="44" borderId="0" xfId="1" applyNumberFormat="1" applyFont="1" applyFill="1" applyBorder="1" applyAlignment="1">
      <alignment horizontal="center" vertical="center" indent="1"/>
    </xf>
    <xf numFmtId="0" fontId="34" fillId="46" borderId="15" xfId="0" applyFont="1" applyFill="1" applyBorder="1"/>
    <xf numFmtId="0" fontId="34" fillId="0" borderId="0" xfId="0" applyFont="1"/>
    <xf numFmtId="0" fontId="34" fillId="46" borderId="0" xfId="0" applyFont="1" applyFill="1"/>
    <xf numFmtId="0" fontId="34" fillId="0" borderId="16" xfId="0" applyFont="1" applyBorder="1"/>
    <xf numFmtId="0" fontId="34" fillId="0" borderId="16" xfId="0" applyFont="1" applyBorder="1" applyAlignment="1">
      <alignment wrapText="1"/>
    </xf>
    <xf numFmtId="49" fontId="27" fillId="0" borderId="0" xfId="0" applyNumberFormat="1" applyFont="1" applyAlignment="1">
      <alignment horizontal="left" vertical="top" wrapText="1"/>
    </xf>
    <xf numFmtId="0" fontId="0" fillId="0" borderId="0" xfId="0" applyAlignment="1">
      <alignment wrapText="1"/>
    </xf>
    <xf numFmtId="164" fontId="27" fillId="0" borderId="0" xfId="1" applyNumberFormat="1" applyFont="1" applyFill="1" applyBorder="1" applyAlignment="1">
      <alignment horizontal="center" vertical="center"/>
    </xf>
    <xf numFmtId="164" fontId="27" fillId="47" borderId="0" xfId="1" applyNumberFormat="1" applyFont="1" applyFill="1" applyBorder="1" applyAlignment="1">
      <alignment horizontal="center" vertical="center"/>
    </xf>
    <xf numFmtId="49" fontId="36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top" wrapText="1"/>
    </xf>
    <xf numFmtId="49" fontId="26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center" wrapText="1"/>
    </xf>
    <xf numFmtId="164" fontId="27" fillId="44" borderId="0" xfId="1" applyNumberFormat="1" applyFont="1" applyFill="1" applyAlignment="1">
      <alignment horizontal="center" vertical="center"/>
    </xf>
    <xf numFmtId="9" fontId="29" fillId="3" borderId="0" xfId="2" applyFont="1" applyFill="1" applyAlignment="1">
      <alignment horizontal="center" vertical="center"/>
    </xf>
    <xf numFmtId="49" fontId="29" fillId="38" borderId="0" xfId="2" applyNumberFormat="1" applyFont="1" applyFill="1" applyAlignment="1">
      <alignment vertical="top" wrapText="1"/>
    </xf>
    <xf numFmtId="49" fontId="29" fillId="38" borderId="0" xfId="2" applyNumberFormat="1" applyFont="1" applyFill="1" applyBorder="1" applyAlignment="1">
      <alignment horizontal="left" vertical="top" wrapText="1"/>
    </xf>
    <xf numFmtId="49" fontId="29" fillId="38" borderId="0" xfId="2" applyNumberFormat="1" applyFont="1" applyFill="1" applyAlignment="1">
      <alignment horizontal="left" vertical="top" wrapText="1"/>
    </xf>
    <xf numFmtId="0" fontId="3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9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49" fontId="26" fillId="0" borderId="0" xfId="0" applyNumberFormat="1" applyFont="1" applyAlignment="1">
      <alignment vertical="top" wrapText="1"/>
    </xf>
    <xf numFmtId="49" fontId="37" fillId="38" borderId="0" xfId="2" applyNumberFormat="1" applyFont="1" applyFill="1" applyBorder="1" applyAlignment="1">
      <alignment vertical="top" wrapText="1"/>
    </xf>
    <xf numFmtId="49" fontId="38" fillId="0" borderId="0" xfId="0" applyNumberFormat="1" applyFont="1" applyAlignment="1">
      <alignment vertical="top" wrapText="1"/>
    </xf>
    <xf numFmtId="49" fontId="37" fillId="38" borderId="0" xfId="2" applyNumberFormat="1" applyFont="1" applyFill="1" applyAlignment="1">
      <alignment vertical="top" wrapText="1"/>
    </xf>
    <xf numFmtId="49" fontId="39" fillId="0" borderId="0" xfId="0" applyNumberFormat="1" applyFont="1" applyAlignment="1">
      <alignment vertical="top" wrapText="1"/>
    </xf>
    <xf numFmtId="164" fontId="27" fillId="0" borderId="0" xfId="1" applyNumberFormat="1" applyFont="1" applyAlignment="1">
      <alignment horizontal="center" vertical="center"/>
    </xf>
    <xf numFmtId="3" fontId="29" fillId="0" borderId="0" xfId="1" applyNumberFormat="1" applyFont="1" applyAlignment="1">
      <alignment vertical="center"/>
    </xf>
    <xf numFmtId="3" fontId="29" fillId="4" borderId="0" xfId="1" applyNumberFormat="1" applyFont="1" applyFill="1" applyAlignment="1">
      <alignment vertical="center"/>
    </xf>
    <xf numFmtId="9" fontId="29" fillId="37" borderId="0" xfId="2" applyFont="1" applyFill="1" applyAlignment="1">
      <alignment horizontal="center" vertical="center"/>
    </xf>
    <xf numFmtId="9" fontId="29" fillId="0" borderId="0" xfId="2" applyFont="1" applyAlignment="1">
      <alignment horizontal="center" vertical="center"/>
    </xf>
    <xf numFmtId="0" fontId="41" fillId="0" borderId="0" xfId="0" applyFont="1"/>
    <xf numFmtId="49" fontId="42" fillId="38" borderId="0" xfId="47" applyNumberFormat="1" applyFill="1" applyBorder="1" applyAlignment="1">
      <alignment vertical="top" wrapText="1"/>
    </xf>
    <xf numFmtId="0" fontId="42" fillId="0" borderId="0" xfId="47"/>
    <xf numFmtId="49" fontId="42" fillId="0" borderId="0" xfId="47" applyNumberFormat="1" applyAlignment="1">
      <alignment vertical="top" wrapText="1"/>
    </xf>
    <xf numFmtId="49" fontId="42" fillId="0" borderId="0" xfId="47" applyNumberFormat="1" applyAlignment="1">
      <alignment horizontal="left" vertical="top" wrapText="1"/>
    </xf>
    <xf numFmtId="49" fontId="26" fillId="0" borderId="0" xfId="0" applyNumberFormat="1" applyFont="1" applyAlignment="1">
      <alignment horizontal="left" vertical="center" wrapText="1"/>
    </xf>
    <xf numFmtId="49" fontId="42" fillId="38" borderId="0" xfId="47" applyNumberFormat="1" applyFill="1" applyAlignment="1">
      <alignment horizontal="left" vertical="top" wrapText="1"/>
    </xf>
    <xf numFmtId="49" fontId="42" fillId="0" borderId="0" xfId="47" applyNumberFormat="1" applyAlignment="1">
      <alignment horizontal="left" vertical="center" wrapText="1"/>
    </xf>
    <xf numFmtId="49" fontId="42" fillId="0" borderId="0" xfId="47" applyNumberFormat="1" applyAlignment="1">
      <alignment vertical="center" wrapText="1"/>
    </xf>
    <xf numFmtId="0" fontId="42" fillId="0" borderId="0" xfId="47" applyAlignment="1">
      <alignment horizontal="left" vertical="top"/>
    </xf>
    <xf numFmtId="49" fontId="42" fillId="38" borderId="0" xfId="47" applyNumberFormat="1" applyFill="1" applyBorder="1" applyAlignment="1">
      <alignment horizontal="left" vertical="top" wrapText="1"/>
    </xf>
    <xf numFmtId="0" fontId="0" fillId="48" borderId="0" xfId="0" applyFill="1" applyAlignment="1">
      <alignment horizontal="left" vertical="top"/>
    </xf>
    <xf numFmtId="0" fontId="39" fillId="0" borderId="0" xfId="0" applyFont="1" applyAlignment="1">
      <alignment wrapText="1"/>
    </xf>
    <xf numFmtId="3" fontId="29" fillId="0" borderId="0" xfId="1" applyNumberFormat="1" applyFont="1" applyFill="1" applyBorder="1" applyAlignment="1">
      <alignment horizontal="right" vertical="center"/>
    </xf>
    <xf numFmtId="49" fontId="1" fillId="0" borderId="0" xfId="0" applyNumberFormat="1" applyFont="1" applyAlignment="1">
      <alignment vertical="top" wrapText="1"/>
    </xf>
    <xf numFmtId="0" fontId="43" fillId="2" borderId="1" xfId="0" applyFont="1" applyFill="1" applyBorder="1" applyAlignment="1">
      <alignment horizontal="center" vertical="center" wrapText="1"/>
    </xf>
    <xf numFmtId="0" fontId="44" fillId="0" borderId="0" xfId="0" applyFont="1" applyAlignment="1">
      <alignment vertical="center"/>
    </xf>
    <xf numFmtId="0" fontId="45" fillId="0" borderId="0" xfId="0" applyFont="1"/>
    <xf numFmtId="3" fontId="45" fillId="36" borderId="1" xfId="0" applyNumberFormat="1" applyFont="1" applyFill="1" applyBorder="1" applyAlignment="1">
      <alignment horizontal="center" vertical="center"/>
    </xf>
    <xf numFmtId="9" fontId="45" fillId="36" borderId="1" xfId="0" applyNumberFormat="1" applyFont="1" applyFill="1" applyBorder="1" applyAlignment="1">
      <alignment horizontal="center" vertical="center"/>
    </xf>
    <xf numFmtId="3" fontId="45" fillId="36" borderId="1" xfId="1" applyNumberFormat="1" applyFont="1" applyFill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43" fillId="43" borderId="1" xfId="0" applyFont="1" applyFill="1" applyBorder="1" applyAlignment="1">
      <alignment horizontal="center" vertical="center" wrapText="1"/>
    </xf>
    <xf numFmtId="0" fontId="44" fillId="41" borderId="1" xfId="0" applyFont="1" applyFill="1" applyBorder="1" applyAlignment="1">
      <alignment horizontal="center" vertical="center" wrapText="1"/>
    </xf>
    <xf numFmtId="9" fontId="44" fillId="41" borderId="1" xfId="2" applyFont="1" applyFill="1" applyBorder="1" applyAlignment="1">
      <alignment horizontal="center" vertical="center" wrapText="1"/>
    </xf>
    <xf numFmtId="0" fontId="44" fillId="42" borderId="1" xfId="0" applyFont="1" applyFill="1" applyBorder="1" applyAlignment="1">
      <alignment horizontal="center"/>
    </xf>
    <xf numFmtId="0" fontId="44" fillId="42" borderId="1" xfId="0" applyFont="1" applyFill="1" applyBorder="1" applyAlignment="1">
      <alignment horizontal="center" vertical="center" wrapText="1"/>
    </xf>
    <xf numFmtId="9" fontId="44" fillId="42" borderId="1" xfId="2" applyFont="1" applyFill="1" applyBorder="1" applyAlignment="1">
      <alignment horizontal="center" vertical="center" wrapText="1"/>
    </xf>
    <xf numFmtId="0" fontId="44" fillId="45" borderId="1" xfId="0" applyFont="1" applyFill="1" applyBorder="1" applyAlignment="1">
      <alignment horizontal="center" vertical="center"/>
    </xf>
    <xf numFmtId="0" fontId="47" fillId="40" borderId="0" xfId="0" applyFont="1" applyFill="1" applyAlignment="1">
      <alignment horizontal="center"/>
    </xf>
    <xf numFmtId="0" fontId="48" fillId="40" borderId="0" xfId="0" applyFont="1" applyFill="1" applyAlignment="1">
      <alignment horizontal="center" vertical="center"/>
    </xf>
    <xf numFmtId="164" fontId="48" fillId="44" borderId="0" xfId="1" applyNumberFormat="1" applyFont="1" applyFill="1" applyBorder="1" applyAlignment="1">
      <alignment horizontal="center" vertical="center"/>
    </xf>
    <xf numFmtId="3" fontId="49" fillId="3" borderId="0" xfId="0" applyNumberFormat="1" applyFont="1" applyFill="1" applyAlignment="1">
      <alignment horizontal="right" vertical="center"/>
    </xf>
    <xf numFmtId="9" fontId="49" fillId="3" borderId="0" xfId="2" applyFont="1" applyFill="1" applyBorder="1" applyAlignment="1">
      <alignment horizontal="center" vertical="center"/>
    </xf>
    <xf numFmtId="3" fontId="49" fillId="4" borderId="0" xfId="1" applyNumberFormat="1" applyFont="1" applyFill="1" applyBorder="1" applyAlignment="1">
      <alignment vertical="center"/>
    </xf>
    <xf numFmtId="9" fontId="49" fillId="37" borderId="0" xfId="2" applyFont="1" applyFill="1" applyBorder="1" applyAlignment="1">
      <alignment horizontal="center" vertical="center"/>
    </xf>
    <xf numFmtId="49" fontId="49" fillId="38" borderId="0" xfId="2" applyNumberFormat="1" applyFont="1" applyFill="1" applyBorder="1" applyAlignment="1">
      <alignment horizontal="left" vertical="top" wrapText="1"/>
    </xf>
    <xf numFmtId="0" fontId="48" fillId="0" borderId="0" xfId="0" applyFont="1" applyAlignment="1">
      <alignment horizontal="center" vertical="center"/>
    </xf>
    <xf numFmtId="164" fontId="48" fillId="0" borderId="0" xfId="1" applyNumberFormat="1" applyFont="1" applyBorder="1" applyAlignment="1">
      <alignment horizontal="center" vertical="center"/>
    </xf>
    <xf numFmtId="3" fontId="49" fillId="0" borderId="0" xfId="0" applyNumberFormat="1" applyFont="1" applyAlignment="1">
      <alignment horizontal="right" vertical="center"/>
    </xf>
    <xf numFmtId="9" fontId="49" fillId="0" borderId="0" xfId="2" applyFont="1" applyFill="1" applyBorder="1" applyAlignment="1">
      <alignment horizontal="center" vertical="center"/>
    </xf>
    <xf numFmtId="3" fontId="49" fillId="0" borderId="0" xfId="1" applyNumberFormat="1" applyFont="1" applyFill="1" applyBorder="1" applyAlignment="1">
      <alignment horizontal="right"/>
    </xf>
    <xf numFmtId="3" fontId="49" fillId="0" borderId="0" xfId="1" applyNumberFormat="1" applyFont="1" applyFill="1" applyBorder="1" applyAlignment="1">
      <alignment vertical="center"/>
    </xf>
    <xf numFmtId="49" fontId="48" fillId="0" borderId="0" xfId="0" applyNumberFormat="1" applyFont="1" applyAlignment="1">
      <alignment horizontal="left" vertical="center" wrapText="1"/>
    </xf>
    <xf numFmtId="49" fontId="48" fillId="0" borderId="0" xfId="0" applyNumberFormat="1" applyFont="1" applyAlignment="1">
      <alignment horizontal="left" vertical="top" wrapText="1"/>
    </xf>
    <xf numFmtId="49" fontId="50" fillId="38" borderId="0" xfId="47" applyNumberFormat="1" applyFont="1" applyFill="1" applyBorder="1" applyAlignment="1">
      <alignment horizontal="left" vertical="top" wrapText="1"/>
    </xf>
    <xf numFmtId="49" fontId="50" fillId="0" borderId="0" xfId="47" applyNumberFormat="1" applyFont="1" applyAlignment="1">
      <alignment horizontal="left" vertical="top" wrapText="1"/>
    </xf>
    <xf numFmtId="0" fontId="50" fillId="0" borderId="0" xfId="47" applyFont="1"/>
    <xf numFmtId="0" fontId="47" fillId="0" borderId="0" xfId="0" applyFont="1" applyAlignment="1">
      <alignment wrapText="1"/>
    </xf>
    <xf numFmtId="0" fontId="49" fillId="0" borderId="0" xfId="0" applyFont="1" applyAlignment="1">
      <alignment horizontal="center"/>
    </xf>
    <xf numFmtId="0" fontId="49" fillId="0" borderId="0" xfId="0" applyFont="1"/>
    <xf numFmtId="9" fontId="49" fillId="0" borderId="0" xfId="2" applyFont="1" applyAlignment="1">
      <alignment horizontal="center"/>
    </xf>
    <xf numFmtId="0" fontId="45" fillId="0" borderId="0" xfId="0" applyFont="1" applyAlignment="1">
      <alignment horizontal="center"/>
    </xf>
    <xf numFmtId="9" fontId="45" fillId="0" borderId="0" xfId="2" applyFont="1" applyAlignment="1">
      <alignment horizontal="center"/>
    </xf>
    <xf numFmtId="0" fontId="51" fillId="0" borderId="0" xfId="0" applyFont="1"/>
    <xf numFmtId="0" fontId="45" fillId="0" borderId="0" xfId="0" applyFont="1" applyAlignment="1">
      <alignment wrapText="1"/>
    </xf>
    <xf numFmtId="0" fontId="45" fillId="0" borderId="0" xfId="0" applyFont="1" applyAlignment="1">
      <alignment horizontal="center" vertical="center"/>
    </xf>
    <xf numFmtId="0" fontId="45" fillId="0" borderId="0" xfId="0" quotePrefix="1" applyFont="1" applyAlignment="1">
      <alignment horizontal="center" vertical="center"/>
    </xf>
    <xf numFmtId="165" fontId="45" fillId="0" borderId="0" xfId="0" applyNumberFormat="1" applyFont="1"/>
    <xf numFmtId="0" fontId="45" fillId="0" borderId="0" xfId="0" applyFont="1" applyAlignment="1">
      <alignment horizontal="center" vertical="center" wrapText="1"/>
    </xf>
    <xf numFmtId="0" fontId="53" fillId="0" borderId="0" xfId="0" applyFont="1" applyAlignment="1">
      <alignment vertical="center"/>
    </xf>
    <xf numFmtId="0" fontId="36" fillId="0" borderId="0" xfId="0" applyFont="1"/>
    <xf numFmtId="0" fontId="36" fillId="0" borderId="0" xfId="0" applyFont="1" applyAlignment="1">
      <alignment horizontal="left" vertical="top" wrapText="1"/>
    </xf>
    <xf numFmtId="0" fontId="28" fillId="49" borderId="17" xfId="0" applyFont="1" applyFill="1" applyBorder="1"/>
    <xf numFmtId="0" fontId="28" fillId="49" borderId="18" xfId="0" applyFont="1" applyFill="1" applyBorder="1"/>
    <xf numFmtId="0" fontId="34" fillId="46" borderId="17" xfId="0" applyFont="1" applyFill="1" applyBorder="1"/>
    <xf numFmtId="0" fontId="34" fillId="46" borderId="18" xfId="0" applyFont="1" applyFill="1" applyBorder="1"/>
    <xf numFmtId="0" fontId="34" fillId="0" borderId="17" xfId="0" applyFont="1" applyBorder="1"/>
    <xf numFmtId="0" fontId="34" fillId="0" borderId="18" xfId="0" applyFont="1" applyBorder="1"/>
    <xf numFmtId="0" fontId="54" fillId="0" borderId="0" xfId="0" applyFont="1"/>
    <xf numFmtId="0" fontId="23" fillId="0" borderId="0" xfId="0" applyFont="1"/>
    <xf numFmtId="10" fontId="54" fillId="0" borderId="0" xfId="0" applyNumberFormat="1" applyFont="1"/>
    <xf numFmtId="0" fontId="28" fillId="50" borderId="1" xfId="0" applyFont="1" applyFill="1" applyBorder="1" applyAlignment="1">
      <alignment wrapText="1"/>
    </xf>
    <xf numFmtId="0" fontId="23" fillId="51" borderId="14" xfId="0" applyFont="1" applyFill="1" applyBorder="1" applyAlignment="1">
      <alignment wrapText="1"/>
    </xf>
    <xf numFmtId="0" fontId="23" fillId="52" borderId="14" xfId="0" applyFont="1" applyFill="1" applyBorder="1"/>
    <xf numFmtId="0" fontId="23" fillId="52" borderId="14" xfId="0" applyFont="1" applyFill="1" applyBorder="1" applyAlignment="1">
      <alignment wrapText="1"/>
    </xf>
    <xf numFmtId="3" fontId="24" fillId="53" borderId="19" xfId="0" applyNumberFormat="1" applyFont="1" applyFill="1" applyBorder="1"/>
    <xf numFmtId="3" fontId="24" fillId="53" borderId="20" xfId="0" applyNumberFormat="1" applyFont="1" applyFill="1" applyBorder="1"/>
    <xf numFmtId="9" fontId="24" fillId="53" borderId="20" xfId="0" applyNumberFormat="1" applyFont="1" applyFill="1" applyBorder="1"/>
    <xf numFmtId="9" fontId="55" fillId="54" borderId="20" xfId="0" applyNumberFormat="1" applyFont="1" applyFill="1" applyBorder="1"/>
    <xf numFmtId="0" fontId="0" fillId="55" borderId="0" xfId="0" applyFill="1"/>
    <xf numFmtId="9" fontId="30" fillId="0" borderId="0" xfId="2" applyFont="1" applyFill="1" applyAlignment="1">
      <alignment horizontal="center"/>
    </xf>
    <xf numFmtId="0" fontId="0" fillId="56" borderId="0" xfId="0" applyFill="1"/>
    <xf numFmtId="0" fontId="56" fillId="0" borderId="0" xfId="0" applyFont="1" applyAlignment="1">
      <alignment vertical="center"/>
    </xf>
    <xf numFmtId="0" fontId="57" fillId="0" borderId="0" xfId="0" applyFont="1"/>
    <xf numFmtId="9" fontId="58" fillId="0" borderId="0" xfId="2" applyFont="1" applyAlignment="1">
      <alignment horizontal="center"/>
    </xf>
    <xf numFmtId="0" fontId="33" fillId="0" borderId="21" xfId="0" applyFont="1" applyBorder="1" applyAlignment="1">
      <alignment horizontal="center"/>
    </xf>
    <xf numFmtId="0" fontId="27" fillId="0" borderId="21" xfId="0" applyFont="1" applyBorder="1" applyAlignment="1">
      <alignment horizontal="center" vertical="center"/>
    </xf>
    <xf numFmtId="164" fontId="27" fillId="0" borderId="21" xfId="1" applyNumberFormat="1" applyFont="1" applyFill="1" applyBorder="1" applyAlignment="1">
      <alignment horizontal="center" vertical="center"/>
    </xf>
    <xf numFmtId="3" fontId="29" fillId="0" borderId="21" xfId="0" applyNumberFormat="1" applyFont="1" applyBorder="1" applyAlignment="1">
      <alignment horizontal="right" vertical="center"/>
    </xf>
    <xf numFmtId="9" fontId="29" fillId="0" borderId="21" xfId="2" applyFont="1" applyFill="1" applyBorder="1" applyAlignment="1">
      <alignment horizontal="center" vertical="center"/>
    </xf>
    <xf numFmtId="3" fontId="29" fillId="0" borderId="21" xfId="1" applyNumberFormat="1" applyFont="1" applyFill="1" applyBorder="1" applyAlignment="1">
      <alignment vertical="center"/>
    </xf>
    <xf numFmtId="49" fontId="29" fillId="0" borderId="21" xfId="2" applyNumberFormat="1" applyFont="1" applyFill="1" applyBorder="1" applyAlignment="1">
      <alignment vertical="top" wrapText="1"/>
    </xf>
    <xf numFmtId="0" fontId="0" fillId="0" borderId="21" xfId="0" applyBorder="1" applyAlignment="1">
      <alignment horizontal="left" vertical="top"/>
    </xf>
    <xf numFmtId="0" fontId="26" fillId="0" borderId="21" xfId="0" applyFont="1" applyBorder="1" applyAlignment="1">
      <alignment horizontal="center" vertical="center"/>
    </xf>
    <xf numFmtId="3" fontId="29" fillId="0" borderId="21" xfId="1" applyNumberFormat="1" applyFont="1" applyFill="1" applyBorder="1" applyAlignment="1">
      <alignment horizontal="right"/>
    </xf>
    <xf numFmtId="49" fontId="27" fillId="0" borderId="21" xfId="0" applyNumberFormat="1" applyFont="1" applyBorder="1" applyAlignment="1">
      <alignment horizontal="left" vertical="center" wrapText="1"/>
    </xf>
    <xf numFmtId="49" fontId="27" fillId="0" borderId="21" xfId="0" applyNumberFormat="1" applyFont="1" applyBorder="1" applyAlignment="1">
      <alignment vertical="top" wrapText="1"/>
    </xf>
    <xf numFmtId="49" fontId="29" fillId="0" borderId="21" xfId="2" applyNumberFormat="1" applyFont="1" applyFill="1" applyBorder="1" applyAlignment="1">
      <alignment horizontal="left" vertical="top" wrapText="1"/>
    </xf>
    <xf numFmtId="49" fontId="42" fillId="0" borderId="21" xfId="47" applyNumberFormat="1" applyFill="1" applyBorder="1" applyAlignment="1">
      <alignment vertical="top" wrapText="1"/>
    </xf>
    <xf numFmtId="0" fontId="26" fillId="55" borderId="21" xfId="0" applyFont="1" applyFill="1" applyBorder="1" applyAlignment="1">
      <alignment horizontal="center" vertical="center"/>
    </xf>
    <xf numFmtId="0" fontId="27" fillId="55" borderId="21" xfId="0" applyFont="1" applyFill="1" applyBorder="1" applyAlignment="1">
      <alignment horizontal="center" vertical="center"/>
    </xf>
    <xf numFmtId="164" fontId="27" fillId="55" borderId="21" xfId="1" applyNumberFormat="1" applyFont="1" applyFill="1" applyBorder="1" applyAlignment="1">
      <alignment horizontal="center" vertical="center"/>
    </xf>
    <xf numFmtId="3" fontId="29" fillId="55" borderId="21" xfId="0" applyNumberFormat="1" applyFont="1" applyFill="1" applyBorder="1" applyAlignment="1">
      <alignment horizontal="right" vertical="center"/>
    </xf>
    <xf numFmtId="9" fontId="29" fillId="55" borderId="21" xfId="2" applyFont="1" applyFill="1" applyBorder="1" applyAlignment="1">
      <alignment horizontal="center" vertical="center"/>
    </xf>
    <xf numFmtId="3" fontId="29" fillId="55" borderId="21" xfId="1" applyNumberFormat="1" applyFont="1" applyFill="1" applyBorder="1" applyAlignment="1">
      <alignment vertical="center"/>
    </xf>
    <xf numFmtId="49" fontId="29" fillId="55" borderId="21" xfId="2" applyNumberFormat="1" applyFont="1" applyFill="1" applyBorder="1" applyAlignment="1">
      <alignment vertical="top" wrapText="1"/>
    </xf>
    <xf numFmtId="49" fontId="42" fillId="55" borderId="21" xfId="47" applyNumberFormat="1" applyFill="1" applyBorder="1" applyAlignment="1">
      <alignment vertical="top" wrapText="1"/>
    </xf>
    <xf numFmtId="0" fontId="42" fillId="0" borderId="21" xfId="47" applyFill="1" applyBorder="1" applyAlignment="1">
      <alignment horizontal="left" vertical="top"/>
    </xf>
    <xf numFmtId="49" fontId="27" fillId="55" borderId="21" xfId="0" applyNumberFormat="1" applyFont="1" applyFill="1" applyBorder="1" applyAlignment="1">
      <alignment vertical="top" wrapText="1"/>
    </xf>
    <xf numFmtId="49" fontId="27" fillId="0" borderId="21" xfId="0" applyNumberFormat="1" applyFont="1" applyBorder="1" applyAlignment="1">
      <alignment horizontal="left" vertical="top" wrapText="1"/>
    </xf>
    <xf numFmtId="49" fontId="42" fillId="0" borderId="21" xfId="47" applyNumberFormat="1" applyFill="1" applyBorder="1" applyAlignment="1">
      <alignment horizontal="left" vertical="top" wrapText="1"/>
    </xf>
    <xf numFmtId="49" fontId="27" fillId="0" borderId="21" xfId="0" applyNumberFormat="1" applyFont="1" applyBorder="1" applyAlignment="1">
      <alignment vertical="center" wrapText="1"/>
    </xf>
    <xf numFmtId="49" fontId="26" fillId="0" borderId="21" xfId="0" applyNumberFormat="1" applyFont="1" applyBorder="1" applyAlignment="1">
      <alignment vertical="center" wrapText="1"/>
    </xf>
    <xf numFmtId="0" fontId="26" fillId="56" borderId="21" xfId="0" applyFont="1" applyFill="1" applyBorder="1" applyAlignment="1">
      <alignment horizontal="center" vertical="center"/>
    </xf>
    <xf numFmtId="0" fontId="27" fillId="56" borderId="21" xfId="0" applyFont="1" applyFill="1" applyBorder="1" applyAlignment="1">
      <alignment horizontal="center" vertical="center"/>
    </xf>
    <xf numFmtId="164" fontId="27" fillId="56" borderId="21" xfId="1" applyNumberFormat="1" applyFont="1" applyFill="1" applyBorder="1" applyAlignment="1">
      <alignment horizontal="center" vertical="center"/>
    </xf>
    <xf numFmtId="3" fontId="29" fillId="56" borderId="21" xfId="0" applyNumberFormat="1" applyFont="1" applyFill="1" applyBorder="1" applyAlignment="1">
      <alignment horizontal="right" vertical="center"/>
    </xf>
    <xf numFmtId="9" fontId="29" fillId="56" borderId="21" xfId="2" applyFont="1" applyFill="1" applyBorder="1" applyAlignment="1">
      <alignment horizontal="center" vertical="center"/>
    </xf>
    <xf numFmtId="3" fontId="29" fillId="56" borderId="21" xfId="1" applyNumberFormat="1" applyFont="1" applyFill="1" applyBorder="1" applyAlignment="1">
      <alignment vertical="center"/>
    </xf>
    <xf numFmtId="49" fontId="27" fillId="56" borderId="21" xfId="0" applyNumberFormat="1" applyFont="1" applyFill="1" applyBorder="1" applyAlignment="1">
      <alignment vertical="center" wrapText="1"/>
    </xf>
    <xf numFmtId="49" fontId="26" fillId="56" borderId="21" xfId="0" applyNumberFormat="1" applyFont="1" applyFill="1" applyBorder="1" applyAlignment="1">
      <alignment vertical="center" wrapText="1"/>
    </xf>
    <xf numFmtId="49" fontId="29" fillId="56" borderId="21" xfId="2" applyNumberFormat="1" applyFont="1" applyFill="1" applyBorder="1" applyAlignment="1">
      <alignment vertical="top" wrapText="1"/>
    </xf>
    <xf numFmtId="49" fontId="42" fillId="56" borderId="21" xfId="47" applyNumberFormat="1" applyFill="1" applyBorder="1" applyAlignment="1">
      <alignment vertical="top" wrapText="1"/>
    </xf>
    <xf numFmtId="0" fontId="28" fillId="43" borderId="11" xfId="0" applyFont="1" applyFill="1" applyBorder="1" applyAlignment="1">
      <alignment horizontal="center" vertical="center" wrapText="1"/>
    </xf>
    <xf numFmtId="0" fontId="23" fillId="41" borderId="11" xfId="0" applyFont="1" applyFill="1" applyBorder="1" applyAlignment="1">
      <alignment horizontal="center" vertical="center" wrapText="1"/>
    </xf>
    <xf numFmtId="9" fontId="23" fillId="41" borderId="11" xfId="2" applyFont="1" applyFill="1" applyBorder="1" applyAlignment="1">
      <alignment horizontal="center" vertical="center" wrapText="1"/>
    </xf>
    <xf numFmtId="0" fontId="23" fillId="42" borderId="11" xfId="0" applyFont="1" applyFill="1" applyBorder="1" applyAlignment="1">
      <alignment horizontal="center"/>
    </xf>
    <xf numFmtId="0" fontId="23" fillId="42" borderId="11" xfId="0" applyFont="1" applyFill="1" applyBorder="1" applyAlignment="1">
      <alignment horizontal="center" vertical="center" wrapText="1"/>
    </xf>
    <xf numFmtId="9" fontId="23" fillId="42" borderId="11" xfId="2" applyFont="1" applyFill="1" applyBorder="1" applyAlignment="1">
      <alignment horizontal="center" vertical="center" wrapText="1"/>
    </xf>
    <xf numFmtId="0" fontId="6" fillId="45" borderId="11" xfId="0" applyFont="1" applyFill="1" applyBorder="1" applyAlignment="1">
      <alignment horizontal="center" vertical="center"/>
    </xf>
    <xf numFmtId="0" fontId="54" fillId="0" borderId="0" xfId="0" applyFont="1" applyAlignment="1">
      <alignment wrapText="1"/>
    </xf>
    <xf numFmtId="0" fontId="4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 wrapText="1"/>
    </xf>
    <xf numFmtId="0" fontId="44" fillId="3" borderId="1" xfId="0" applyFont="1" applyFill="1" applyBorder="1" applyAlignment="1">
      <alignment horizontal="center" vertical="center"/>
    </xf>
    <xf numFmtId="0" fontId="44" fillId="39" borderId="1" xfId="0" applyFont="1" applyFill="1" applyBorder="1" applyAlignment="1">
      <alignment horizontal="center" vertical="center"/>
    </xf>
    <xf numFmtId="0" fontId="52" fillId="0" borderId="0" xfId="47" applyFont="1" applyAlignment="1">
      <alignment horizontal="center" vertical="center" wrapText="1"/>
    </xf>
  </cellXfs>
  <cellStyles count="48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BC3ABBC2-A84D-4417-8EF8-E275E00175B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7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FA432B37-6C12-4BBA-A202-D57C1BC32D31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561975</xdr:colOff>
      <xdr:row>32</xdr:row>
      <xdr:rowOff>57150</xdr:rowOff>
    </xdr:from>
    <xdr:to>
      <xdr:col>18</xdr:col>
      <xdr:colOff>409575</xdr:colOff>
      <xdr:row>44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10D564-D558-C4D9-E60F-EA2E8E76D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29825" y="5857875"/>
          <a:ext cx="5334000" cy="2295525"/>
        </a:xfrm>
        <a:prstGeom prst="rect">
          <a:avLst/>
        </a:prstGeom>
      </xdr:spPr>
    </xdr:pic>
    <xdr:clientData/>
  </xdr:twoCellAnchor>
  <xdr:twoCellAnchor editAs="oneCell">
    <xdr:from>
      <xdr:col>9</xdr:col>
      <xdr:colOff>590550</xdr:colOff>
      <xdr:row>19</xdr:row>
      <xdr:rowOff>19050</xdr:rowOff>
    </xdr:from>
    <xdr:to>
      <xdr:col>18</xdr:col>
      <xdr:colOff>352425</xdr:colOff>
      <xdr:row>31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6B4D4F-4358-EC5E-7914-C580F5C00313}"/>
            </a:ext>
            <a:ext uri="{147F2762-F138-4A5C-976F-8EAC2B608ADB}">
              <a16:predDERef xmlns:a16="http://schemas.microsoft.com/office/drawing/2014/main" pred="{AB10D564-D558-C4D9-E60F-EA2E8E76D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58400" y="3609975"/>
          <a:ext cx="5248275" cy="23050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84" totalsRowShown="0">
  <autoFilter ref="A3:E84" xr:uid="{C9C95D9E-67ED-41E0-9F41-9C3DA4ACF4CD}"/>
  <sortState xmlns:xlrd2="http://schemas.microsoft.com/office/spreadsheetml/2017/richdata2" ref="A4:E55">
    <sortCondition ref="C3:C55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6085" TargetMode="External"/><Relationship Id="rId3" Type="http://schemas.openxmlformats.org/officeDocument/2006/relationships/hyperlink" Target="https://us3.assetplanner.com/service_request?ID=088667" TargetMode="External"/><Relationship Id="rId7" Type="http://schemas.openxmlformats.org/officeDocument/2006/relationships/hyperlink" Target="https://us3.assetplanner.com/service_request?ID=091735" TargetMode="External"/><Relationship Id="rId2" Type="http://schemas.openxmlformats.org/officeDocument/2006/relationships/hyperlink" Target="https://us3.assetplanner.com/service_request?ID=088261" TargetMode="External"/><Relationship Id="rId1" Type="http://schemas.openxmlformats.org/officeDocument/2006/relationships/hyperlink" Target="https://us3.assetplanner.com/service_request?ID=091496" TargetMode="External"/><Relationship Id="rId6" Type="http://schemas.openxmlformats.org/officeDocument/2006/relationships/hyperlink" Target="https://us3.assetplanner.com/service_request?ID=077660" TargetMode="External"/><Relationship Id="rId5" Type="http://schemas.openxmlformats.org/officeDocument/2006/relationships/hyperlink" Target="https://us3.assetplanner.com/service_request?ID=090252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https://us3.assetplanner.com/service_request?ID=077700" TargetMode="External"/><Relationship Id="rId9" Type="http://schemas.openxmlformats.org/officeDocument/2006/relationships/hyperlink" Target="https://us3.assetplanner.com/service_request?ID=094853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0252" TargetMode="External"/><Relationship Id="rId13" Type="http://schemas.openxmlformats.org/officeDocument/2006/relationships/hyperlink" Target="https://us3.assetplanner.com/service_request?ID=091107" TargetMode="External"/><Relationship Id="rId18" Type="http://schemas.openxmlformats.org/officeDocument/2006/relationships/hyperlink" Target="https://us3.assetplanner.com/service_request?ID=096533" TargetMode="External"/><Relationship Id="rId3" Type="http://schemas.openxmlformats.org/officeDocument/2006/relationships/hyperlink" Target="https://us3.assetplanner.com/service_request?ID=097801" TargetMode="External"/><Relationship Id="rId7" Type="http://schemas.openxmlformats.org/officeDocument/2006/relationships/hyperlink" Target="https://us3.assetplanner.com/service_request?ID=096618" TargetMode="External"/><Relationship Id="rId12" Type="http://schemas.openxmlformats.org/officeDocument/2006/relationships/hyperlink" Target="https://us3.assetplanner.com/service_request?ID=096229" TargetMode="External"/><Relationship Id="rId17" Type="http://schemas.openxmlformats.org/officeDocument/2006/relationships/hyperlink" Target="https://us3.assetplanner.com/service_request?ID=096213" TargetMode="External"/><Relationship Id="rId2" Type="http://schemas.openxmlformats.org/officeDocument/2006/relationships/hyperlink" Target="https://us3.assetplanner.com/service_request?ID=088261" TargetMode="External"/><Relationship Id="rId16" Type="http://schemas.openxmlformats.org/officeDocument/2006/relationships/hyperlink" Target="https://us3.assetplanner.com/service_request?ID=097838" TargetMode="External"/><Relationship Id="rId1" Type="http://schemas.openxmlformats.org/officeDocument/2006/relationships/hyperlink" Target="https://us3.assetplanner.com/service_request?ID=091496" TargetMode="External"/><Relationship Id="rId6" Type="http://schemas.openxmlformats.org/officeDocument/2006/relationships/hyperlink" Target="https://us3.assetplanner.com/service_request?ID=077700" TargetMode="External"/><Relationship Id="rId11" Type="http://schemas.openxmlformats.org/officeDocument/2006/relationships/hyperlink" Target="https://us3.assetplanner.com/service_request?ID=091735" TargetMode="External"/><Relationship Id="rId5" Type="http://schemas.openxmlformats.org/officeDocument/2006/relationships/hyperlink" Target="https://us3.assetplanner.com/service_request?ID=088667" TargetMode="External"/><Relationship Id="rId15" Type="http://schemas.openxmlformats.org/officeDocument/2006/relationships/hyperlink" Target="https://us3.assetplanner.com/service_request?ID=096085" TargetMode="External"/><Relationship Id="rId10" Type="http://schemas.openxmlformats.org/officeDocument/2006/relationships/hyperlink" Target="https://us3.assetplanner.com/service_request?ID=077660" TargetMode="External"/><Relationship Id="rId19" Type="http://schemas.openxmlformats.org/officeDocument/2006/relationships/hyperlink" Target="https://us3.assetplanner.com/service_request?FindQS=RepID%3D397%26DateField%3DCREATED%26DateRange%3D0%26FacilityID%3D22631%26FacilityStatus%3DActive%26Find%3D1&amp;ID=99589" TargetMode="External"/><Relationship Id="rId4" Type="http://schemas.openxmlformats.org/officeDocument/2006/relationships/hyperlink" Target="https://us3.assetplanner.com/service_request?ID=097144" TargetMode="External"/><Relationship Id="rId9" Type="http://schemas.openxmlformats.org/officeDocument/2006/relationships/hyperlink" Target="https://us3.assetplanner.com/service_request?ID=090252" TargetMode="External"/><Relationship Id="rId14" Type="http://schemas.openxmlformats.org/officeDocument/2006/relationships/hyperlink" Target="https://us3.assetplanner.com/service_request?ID=097627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8213" TargetMode="External"/><Relationship Id="rId3" Type="http://schemas.openxmlformats.org/officeDocument/2006/relationships/hyperlink" Target="https://us3.assetplanner.com/service_request?ID=088667" TargetMode="External"/><Relationship Id="rId7" Type="http://schemas.openxmlformats.org/officeDocument/2006/relationships/hyperlink" Target="https://us3.assetplanner.com/service_request?ID=099238" TargetMode="External"/><Relationship Id="rId2" Type="http://schemas.openxmlformats.org/officeDocument/2006/relationships/hyperlink" Target="https://us3.assetplanner.com/service_request?ID=097801" TargetMode="External"/><Relationship Id="rId1" Type="http://schemas.openxmlformats.org/officeDocument/2006/relationships/hyperlink" Target="https://us3.assetplanner.com/service_request?ID=091496" TargetMode="External"/><Relationship Id="rId6" Type="http://schemas.openxmlformats.org/officeDocument/2006/relationships/hyperlink" Target="https://us3.assetplanner.com/service_request?ID=077660" TargetMode="External"/><Relationship Id="rId11" Type="http://schemas.openxmlformats.org/officeDocument/2006/relationships/hyperlink" Target="https://us3.assetplanner.com/service_request?ID=098897" TargetMode="External"/><Relationship Id="rId5" Type="http://schemas.openxmlformats.org/officeDocument/2006/relationships/hyperlink" Target="https://us3.assetplanner.com/service_request?ID=098782" TargetMode="External"/><Relationship Id="rId10" Type="http://schemas.openxmlformats.org/officeDocument/2006/relationships/hyperlink" Target="https://us3.assetplanner.com/service_request?ID=097838" TargetMode="External"/><Relationship Id="rId4" Type="http://schemas.openxmlformats.org/officeDocument/2006/relationships/hyperlink" Target="https://us3.assetplanner.com/service_request?ID=077700" TargetMode="External"/><Relationship Id="rId9" Type="http://schemas.openxmlformats.org/officeDocument/2006/relationships/hyperlink" Target="https://us3.assetplanner.com/service_request?ID=098649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979" TargetMode="External"/><Relationship Id="rId13" Type="http://schemas.openxmlformats.org/officeDocument/2006/relationships/hyperlink" Target="https://us3.assetplanner.com/service_request?ID=100593" TargetMode="External"/><Relationship Id="rId18" Type="http://schemas.openxmlformats.org/officeDocument/2006/relationships/hyperlink" Target="https://us3.assetplanner.com/service_request?ID=098897" TargetMode="External"/><Relationship Id="rId3" Type="http://schemas.openxmlformats.org/officeDocument/2006/relationships/hyperlink" Target="https://us3.assetplanner.com/service_request?ID=091496" TargetMode="External"/><Relationship Id="rId7" Type="http://schemas.openxmlformats.org/officeDocument/2006/relationships/hyperlink" Target="https://us3.assetplanner.com/service_request?ID=098782" TargetMode="External"/><Relationship Id="rId12" Type="http://schemas.openxmlformats.org/officeDocument/2006/relationships/hyperlink" Target="https://us3.assetplanner.com/service_request?ID=100432" TargetMode="External"/><Relationship Id="rId17" Type="http://schemas.openxmlformats.org/officeDocument/2006/relationships/hyperlink" Target="https://us3.assetplanner.com/service_request?ID=100039" TargetMode="External"/><Relationship Id="rId2" Type="http://schemas.openxmlformats.org/officeDocument/2006/relationships/hyperlink" Target="https://us3.assetplanner.com/service_request?ID=099548" TargetMode="External"/><Relationship Id="rId16" Type="http://schemas.openxmlformats.org/officeDocument/2006/relationships/hyperlink" Target="https://us3.assetplanner.com/service_request?ID=097838" TargetMode="External"/><Relationship Id="rId1" Type="http://schemas.openxmlformats.org/officeDocument/2006/relationships/hyperlink" Target="https://us3.assetplanner.com/service_request?ID=097801" TargetMode="External"/><Relationship Id="rId6" Type="http://schemas.openxmlformats.org/officeDocument/2006/relationships/hyperlink" Target="https://us3.assetplanner.com/service_request?ID=088667" TargetMode="External"/><Relationship Id="rId11" Type="http://schemas.openxmlformats.org/officeDocument/2006/relationships/hyperlink" Target="https://us3.assetplanner.com/service_request?ID=100412" TargetMode="External"/><Relationship Id="rId5" Type="http://schemas.openxmlformats.org/officeDocument/2006/relationships/hyperlink" Target="https://us3.assetplanner.com/service_request?ID=088671" TargetMode="External"/><Relationship Id="rId15" Type="http://schemas.openxmlformats.org/officeDocument/2006/relationships/hyperlink" Target="https://us3.assetplanner.com/service_request?ID=100421" TargetMode="External"/><Relationship Id="rId10" Type="http://schemas.openxmlformats.org/officeDocument/2006/relationships/hyperlink" Target="https://us3.assetplanner.com/service_request?ID=100186" TargetMode="External"/><Relationship Id="rId19" Type="http://schemas.openxmlformats.org/officeDocument/2006/relationships/hyperlink" Target="https://us3.assetplanner.com/service_request?ID=099589" TargetMode="External"/><Relationship Id="rId4" Type="http://schemas.openxmlformats.org/officeDocument/2006/relationships/hyperlink" Target="https://us3.assetplanner.com/service_request?ID=084532" TargetMode="External"/><Relationship Id="rId9" Type="http://schemas.openxmlformats.org/officeDocument/2006/relationships/hyperlink" Target="https://us3.assetplanner.com/service_request?ID=100592" TargetMode="External"/><Relationship Id="rId14" Type="http://schemas.openxmlformats.org/officeDocument/2006/relationships/hyperlink" Target="https://us3.assetplanner.com/service_request?ID=099238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975" TargetMode="External"/><Relationship Id="rId13" Type="http://schemas.openxmlformats.org/officeDocument/2006/relationships/hyperlink" Target="https://us3.assetplanner.com/service_request?ID=100592" TargetMode="External"/><Relationship Id="rId18" Type="http://schemas.openxmlformats.org/officeDocument/2006/relationships/hyperlink" Target="https://us3.assetplanner.com/service_request?ID=101240" TargetMode="External"/><Relationship Id="rId26" Type="http://schemas.openxmlformats.org/officeDocument/2006/relationships/printerSettings" Target="../printerSettings/printerSettings5.bin"/><Relationship Id="rId3" Type="http://schemas.openxmlformats.org/officeDocument/2006/relationships/hyperlink" Target="https://us3.assetplanner.com/service_request?ID=077700" TargetMode="External"/><Relationship Id="rId21" Type="http://schemas.openxmlformats.org/officeDocument/2006/relationships/hyperlink" Target="https://us3.assetplanner.com/service_request?ID=100421" TargetMode="External"/><Relationship Id="rId7" Type="http://schemas.openxmlformats.org/officeDocument/2006/relationships/hyperlink" Target="https://us3.assetplanner.com/service_request?ID=101435" TargetMode="External"/><Relationship Id="rId12" Type="http://schemas.openxmlformats.org/officeDocument/2006/relationships/hyperlink" Target="https://us3.assetplanner.com/service_request?ID=100979" TargetMode="External"/><Relationship Id="rId17" Type="http://schemas.openxmlformats.org/officeDocument/2006/relationships/hyperlink" Target="https://us3.assetplanner.com/service_request?ID=100040" TargetMode="External"/><Relationship Id="rId25" Type="http://schemas.openxmlformats.org/officeDocument/2006/relationships/hyperlink" Target="https://us3.assetplanner.com/service_request?ID=101626" TargetMode="External"/><Relationship Id="rId2" Type="http://schemas.openxmlformats.org/officeDocument/2006/relationships/hyperlink" Target="https://us3.assetplanner.com/service_request?ID=101743" TargetMode="External"/><Relationship Id="rId16" Type="http://schemas.openxmlformats.org/officeDocument/2006/relationships/hyperlink" Target="https://us3.assetplanner.com/service_request?ID=099750" TargetMode="External"/><Relationship Id="rId20" Type="http://schemas.openxmlformats.org/officeDocument/2006/relationships/hyperlink" Target="https://us3.assetplanner.com/service_request?ID=101247" TargetMode="External"/><Relationship Id="rId1" Type="http://schemas.openxmlformats.org/officeDocument/2006/relationships/hyperlink" Target="https://us3.assetplanner.com/service_request?ID=099548" TargetMode="External"/><Relationship Id="rId6" Type="http://schemas.openxmlformats.org/officeDocument/2006/relationships/hyperlink" Target="https://us3.assetplanner.com/service_request?ID=102015" TargetMode="External"/><Relationship Id="rId11" Type="http://schemas.openxmlformats.org/officeDocument/2006/relationships/hyperlink" Target="https://us3.assetplanner.com/service_request?ID=100951" TargetMode="External"/><Relationship Id="rId24" Type="http://schemas.openxmlformats.org/officeDocument/2006/relationships/hyperlink" Target="https://us3.assetplanner.com/service_request?ID=99589" TargetMode="External"/><Relationship Id="rId5" Type="http://schemas.openxmlformats.org/officeDocument/2006/relationships/hyperlink" Target="https://us3.assetplanner.com/service_request?ID=098782" TargetMode="External"/><Relationship Id="rId15" Type="http://schemas.openxmlformats.org/officeDocument/2006/relationships/hyperlink" Target="https://us3.assetplanner.com/service_request?ID=100593" TargetMode="External"/><Relationship Id="rId23" Type="http://schemas.openxmlformats.org/officeDocument/2006/relationships/hyperlink" Target="https://us3.assetplanner.com/service_request?ID=101434" TargetMode="External"/><Relationship Id="rId10" Type="http://schemas.openxmlformats.org/officeDocument/2006/relationships/hyperlink" Target="https://us3.assetplanner.com/service_request?ID=101928" TargetMode="External"/><Relationship Id="rId19" Type="http://schemas.openxmlformats.org/officeDocument/2006/relationships/hyperlink" Target="https://us3.assetplanner.com/service_request?ID=101804" TargetMode="External"/><Relationship Id="rId4" Type="http://schemas.openxmlformats.org/officeDocument/2006/relationships/hyperlink" Target="https://us3.assetplanner.com/service_request?ID=088667" TargetMode="External"/><Relationship Id="rId9" Type="http://schemas.openxmlformats.org/officeDocument/2006/relationships/hyperlink" Target="https://us3.assetplanner.com/service_request?ID=101597" TargetMode="External"/><Relationship Id="rId14" Type="http://schemas.openxmlformats.org/officeDocument/2006/relationships/hyperlink" Target="https://us3.assetplanner.com/service_request?ID=101587" TargetMode="External"/><Relationship Id="rId22" Type="http://schemas.openxmlformats.org/officeDocument/2006/relationships/hyperlink" Target="https://us3.assetplanner.com/service_request?ID=101864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979" TargetMode="External"/><Relationship Id="rId13" Type="http://schemas.openxmlformats.org/officeDocument/2006/relationships/hyperlink" Target="https://us3.assetplanner.com/service_request?ID=101247" TargetMode="External"/><Relationship Id="rId3" Type="http://schemas.openxmlformats.org/officeDocument/2006/relationships/hyperlink" Target="https://us3.assetplanner.com/service_request?ID=088667" TargetMode="External"/><Relationship Id="rId7" Type="http://schemas.openxmlformats.org/officeDocument/2006/relationships/hyperlink" Target="https://us3.assetplanner.com/service_request?ID=100951" TargetMode="External"/><Relationship Id="rId12" Type="http://schemas.openxmlformats.org/officeDocument/2006/relationships/hyperlink" Target="https://us3.assetplanner.com/service_request?ID=099750" TargetMode="External"/><Relationship Id="rId2" Type="http://schemas.openxmlformats.org/officeDocument/2006/relationships/hyperlink" Target="https://us3.assetplanner.com/service_request?ID=101743" TargetMode="External"/><Relationship Id="rId16" Type="http://schemas.openxmlformats.org/officeDocument/2006/relationships/hyperlink" Target="https://us3.assetplanner.com/service_request?ID=098897" TargetMode="External"/><Relationship Id="rId1" Type="http://schemas.openxmlformats.org/officeDocument/2006/relationships/hyperlink" Target="https://us3.assetplanner.com/service_request?ID=099548" TargetMode="External"/><Relationship Id="rId6" Type="http://schemas.openxmlformats.org/officeDocument/2006/relationships/hyperlink" Target="https://us3.assetplanner.com/service_request?ID=098782" TargetMode="External"/><Relationship Id="rId11" Type="http://schemas.openxmlformats.org/officeDocument/2006/relationships/hyperlink" Target="https://us3.assetplanner.com/service_request?ID=100593" TargetMode="External"/><Relationship Id="rId5" Type="http://schemas.openxmlformats.org/officeDocument/2006/relationships/hyperlink" Target="https://us3.assetplanner.com/service_request?ID=077700" TargetMode="External"/><Relationship Id="rId15" Type="http://schemas.openxmlformats.org/officeDocument/2006/relationships/hyperlink" Target="https://us3.assetplanner.com/service_request?ID=101434" TargetMode="External"/><Relationship Id="rId10" Type="http://schemas.openxmlformats.org/officeDocument/2006/relationships/hyperlink" Target="https://us3.assetplanner.com/service_request?ID=103607" TargetMode="External"/><Relationship Id="rId4" Type="http://schemas.openxmlformats.org/officeDocument/2006/relationships/hyperlink" Target="https://us3.assetplanner.com/service_request?ID=066760" TargetMode="External"/><Relationship Id="rId9" Type="http://schemas.openxmlformats.org/officeDocument/2006/relationships/hyperlink" Target="https://us3.assetplanner.com/service_request?ID=103327" TargetMode="External"/><Relationship Id="rId14" Type="http://schemas.openxmlformats.org/officeDocument/2006/relationships/hyperlink" Target="https://us3.assetplanner.com/service_request?ID=100421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88667" TargetMode="External"/><Relationship Id="rId13" Type="http://schemas.openxmlformats.org/officeDocument/2006/relationships/hyperlink" Target="https://us3.assetplanner.com/service_request?ID=099323" TargetMode="External"/><Relationship Id="rId18" Type="http://schemas.openxmlformats.org/officeDocument/2006/relationships/hyperlink" Target="https://us3.assetplanner.com/service_request?ID=105312" TargetMode="External"/><Relationship Id="rId3" Type="http://schemas.openxmlformats.org/officeDocument/2006/relationships/hyperlink" Target="https://us3.assetplanner.com/service_request?ID=103075" TargetMode="External"/><Relationship Id="rId21" Type="http://schemas.openxmlformats.org/officeDocument/2006/relationships/hyperlink" Target="https://us3.assetplanner.com/service_request?ID=098897" TargetMode="External"/><Relationship Id="rId7" Type="http://schemas.openxmlformats.org/officeDocument/2006/relationships/hyperlink" Target="https://us3.assetplanner.com/service_request?ID=087054" TargetMode="External"/><Relationship Id="rId12" Type="http://schemas.openxmlformats.org/officeDocument/2006/relationships/hyperlink" Target="https://us3.assetplanner.com/service_request?ID=105331" TargetMode="External"/><Relationship Id="rId17" Type="http://schemas.openxmlformats.org/officeDocument/2006/relationships/hyperlink" Target="https://us3.assetplanner.com/service_request?ID=099750" TargetMode="External"/><Relationship Id="rId25" Type="http://schemas.openxmlformats.org/officeDocument/2006/relationships/printerSettings" Target="../printerSettings/printerSettings6.bin"/><Relationship Id="rId2" Type="http://schemas.openxmlformats.org/officeDocument/2006/relationships/hyperlink" Target="https://us3.assetplanner.com/service_request?ID=105604" TargetMode="External"/><Relationship Id="rId16" Type="http://schemas.openxmlformats.org/officeDocument/2006/relationships/hyperlink" Target="https://us3.assetplanner.com/service_request?ID=075812" TargetMode="External"/><Relationship Id="rId20" Type="http://schemas.openxmlformats.org/officeDocument/2006/relationships/hyperlink" Target="https://us3.assetplanner.com/service_request?ID=104629" TargetMode="External"/><Relationship Id="rId1" Type="http://schemas.openxmlformats.org/officeDocument/2006/relationships/hyperlink" Target="https://us3.assetplanner.com/service_request?ID=099548" TargetMode="External"/><Relationship Id="rId6" Type="http://schemas.openxmlformats.org/officeDocument/2006/relationships/hyperlink" Target="https://us3.assetplanner.com/service_request?ID=105517" TargetMode="External"/><Relationship Id="rId11" Type="http://schemas.openxmlformats.org/officeDocument/2006/relationships/hyperlink" Target="https://us3.assetplanner.com/service_request?ID=105483" TargetMode="External"/><Relationship Id="rId24" Type="http://schemas.openxmlformats.org/officeDocument/2006/relationships/hyperlink" Target="https://us3.assetplanner.com/service_request?ID=100593" TargetMode="External"/><Relationship Id="rId5" Type="http://schemas.openxmlformats.org/officeDocument/2006/relationships/hyperlink" Target="https://us3.assetplanner.com/service_request?ID=101743" TargetMode="External"/><Relationship Id="rId15" Type="http://schemas.openxmlformats.org/officeDocument/2006/relationships/hyperlink" Target="https://us3.assetplanner.com/service_request?ID=100592" TargetMode="External"/><Relationship Id="rId23" Type="http://schemas.openxmlformats.org/officeDocument/2006/relationships/hyperlink" Target="https://us3.assetplanner.com/service_request?ID=104082" TargetMode="External"/><Relationship Id="rId10" Type="http://schemas.openxmlformats.org/officeDocument/2006/relationships/hyperlink" Target="https://us3.assetplanner.com/service_request?ID=098782" TargetMode="External"/><Relationship Id="rId19" Type="http://schemas.openxmlformats.org/officeDocument/2006/relationships/hyperlink" Target="https://us3.assetplanner.com/service_request?ID=101247" TargetMode="External"/><Relationship Id="rId4" Type="http://schemas.openxmlformats.org/officeDocument/2006/relationships/hyperlink" Target="https://us3.assetplanner.com/service_request?ID=105436" TargetMode="External"/><Relationship Id="rId9" Type="http://schemas.openxmlformats.org/officeDocument/2006/relationships/hyperlink" Target="https://us3.assetplanner.com/service_request?ID=077700" TargetMode="External"/><Relationship Id="rId14" Type="http://schemas.openxmlformats.org/officeDocument/2006/relationships/hyperlink" Target="https://us3.assetplanner.com/service_request?ID=100979" TargetMode="External"/><Relationship Id="rId22" Type="http://schemas.openxmlformats.org/officeDocument/2006/relationships/hyperlink" Target="https://us3.assetplanner.com/service_request?ID=104705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8782" TargetMode="External"/><Relationship Id="rId13" Type="http://schemas.openxmlformats.org/officeDocument/2006/relationships/hyperlink" Target="https://us3.assetplanner.com/service_request?ID=100979" TargetMode="External"/><Relationship Id="rId18" Type="http://schemas.openxmlformats.org/officeDocument/2006/relationships/hyperlink" Target="https://us3.assetplanner.com/service_request?ID=106784" TargetMode="External"/><Relationship Id="rId3" Type="http://schemas.openxmlformats.org/officeDocument/2006/relationships/hyperlink" Target="https://us3.assetplanner.com/service_request?ID=103075" TargetMode="External"/><Relationship Id="rId21" Type="http://schemas.openxmlformats.org/officeDocument/2006/relationships/hyperlink" Target="https://us3.assetplanner.com/service_request?ID=104629" TargetMode="External"/><Relationship Id="rId7" Type="http://schemas.openxmlformats.org/officeDocument/2006/relationships/hyperlink" Target="https://us3.assetplanner.com/service_request?ID=077700" TargetMode="External"/><Relationship Id="rId12" Type="http://schemas.openxmlformats.org/officeDocument/2006/relationships/hyperlink" Target="https://us3.assetplanner.com/service_request?ID=106886" TargetMode="External"/><Relationship Id="rId17" Type="http://schemas.openxmlformats.org/officeDocument/2006/relationships/hyperlink" Target="https://us3.assetplanner.com/service_request?ID=106961" TargetMode="External"/><Relationship Id="rId2" Type="http://schemas.openxmlformats.org/officeDocument/2006/relationships/hyperlink" Target="https://us3.assetplanner.com/service_request?ID=105604" TargetMode="External"/><Relationship Id="rId16" Type="http://schemas.openxmlformats.org/officeDocument/2006/relationships/hyperlink" Target="https://us3.assetplanner.com/service_request?ID=100593" TargetMode="External"/><Relationship Id="rId20" Type="http://schemas.openxmlformats.org/officeDocument/2006/relationships/hyperlink" Target="https://us3.assetplanner.com/service_request?ID=106393" TargetMode="External"/><Relationship Id="rId1" Type="http://schemas.openxmlformats.org/officeDocument/2006/relationships/hyperlink" Target="https://us3.assetplanner.com/service_request?ID=099548" TargetMode="External"/><Relationship Id="rId6" Type="http://schemas.openxmlformats.org/officeDocument/2006/relationships/hyperlink" Target="https://us3.assetplanner.com/service_request?ID=088667" TargetMode="External"/><Relationship Id="rId11" Type="http://schemas.openxmlformats.org/officeDocument/2006/relationships/hyperlink" Target="https://us3.assetplanner.com/service_request?ID=105331" TargetMode="External"/><Relationship Id="rId24" Type="http://schemas.openxmlformats.org/officeDocument/2006/relationships/hyperlink" Target="https://us3.assetplanner.com/service_request?ID=105517" TargetMode="External"/><Relationship Id="rId5" Type="http://schemas.openxmlformats.org/officeDocument/2006/relationships/hyperlink" Target="https://us3.assetplanner.com/service_request?ID=105437" TargetMode="External"/><Relationship Id="rId15" Type="http://schemas.openxmlformats.org/officeDocument/2006/relationships/hyperlink" Target="https://us3.assetplanner.com/service_request?ID=075812" TargetMode="External"/><Relationship Id="rId23" Type="http://schemas.openxmlformats.org/officeDocument/2006/relationships/hyperlink" Target="https://us3.assetplanner.com/service_request?ID=104705" TargetMode="External"/><Relationship Id="rId10" Type="http://schemas.openxmlformats.org/officeDocument/2006/relationships/hyperlink" Target="https://us3.assetplanner.com/service_request?ID=105483" TargetMode="External"/><Relationship Id="rId19" Type="http://schemas.openxmlformats.org/officeDocument/2006/relationships/hyperlink" Target="https://us3.assetplanner.com/service_request?ID=101247" TargetMode="External"/><Relationship Id="rId4" Type="http://schemas.openxmlformats.org/officeDocument/2006/relationships/hyperlink" Target="https://us3.assetplanner.com/service_request?ID=105436" TargetMode="External"/><Relationship Id="rId9" Type="http://schemas.openxmlformats.org/officeDocument/2006/relationships/hyperlink" Target="https://us3.assetplanner.com/service_request?ID=098791" TargetMode="External"/><Relationship Id="rId14" Type="http://schemas.openxmlformats.org/officeDocument/2006/relationships/hyperlink" Target="https://us3.assetplanner.com/service_request?ID=100592" TargetMode="External"/><Relationship Id="rId22" Type="http://schemas.openxmlformats.org/officeDocument/2006/relationships/hyperlink" Target="https://us3.assetplanner.com/service_request?ID=10465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J340"/>
  <sheetViews>
    <sheetView workbookViewId="0">
      <pane xSplit="1" ySplit="3" topLeftCell="B5" activePane="bottomRight" state="frozen"/>
      <selection pane="bottomRight" activeCell="C36" sqref="C36:D36"/>
      <selection pane="bottomLeft"/>
      <selection pane="topRight"/>
    </sheetView>
  </sheetViews>
  <sheetFormatPr defaultRowHeight="13.15"/>
  <cols>
    <col min="1" max="1" width="42.140625" customWidth="1"/>
    <col min="2" max="2" width="11.85546875" customWidth="1"/>
    <col min="3" max="4" width="13.140625" customWidth="1"/>
    <col min="5" max="5" width="13.140625" style="1" customWidth="1"/>
    <col min="6" max="7" width="13.140625" customWidth="1"/>
    <col min="8" max="8" width="13.140625" style="1" customWidth="1"/>
  </cols>
  <sheetData>
    <row r="1" spans="1:8" ht="19.5" customHeight="1">
      <c r="A1" s="210" t="str" cm="1">
        <f t="array" ref="A1">portfolio</f>
        <v>Wells Fargo</v>
      </c>
      <c r="B1" s="210"/>
      <c r="C1" s="211" t="s">
        <v>0</v>
      </c>
      <c r="D1" s="211"/>
      <c r="E1" s="211"/>
      <c r="F1" s="209" t="s">
        <v>1</v>
      </c>
      <c r="G1" s="209"/>
      <c r="H1" s="209"/>
    </row>
    <row r="2" spans="1:8" ht="19.5" customHeight="1">
      <c r="A2" s="41" t="s">
        <v>2</v>
      </c>
      <c r="B2" s="4">
        <f ca="1">SUM(B4:B93)</f>
        <v>15432689.272300551</v>
      </c>
      <c r="C2" s="4">
        <f ca="1">SUM(C4:C92)</f>
        <v>14899273.909734</v>
      </c>
      <c r="D2" s="4">
        <f ca="1">B2-C2</f>
        <v>533415.36256655119</v>
      </c>
      <c r="E2" s="5">
        <f ca="1">IFERROR(D2/C2, 0)</f>
        <v>3.5801433398580586E-2</v>
      </c>
      <c r="F2" s="4">
        <f ca="1">SUM(F4:F92)</f>
        <v>16293423.701500002</v>
      </c>
      <c r="G2" s="6">
        <f ca="1">B2-F2</f>
        <v>-860734.42919945158</v>
      </c>
      <c r="H2" s="5">
        <f ca="1">IFERROR(G2/F2, 0)</f>
        <v>-5.2827106504338361E-2</v>
      </c>
    </row>
    <row r="3" spans="1:8" ht="14.25" customHeight="1">
      <c r="A3" s="7" t="s">
        <v>3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SUM('1st Qtr'!B4, '2nd Qtr'!B4, '3rd Qtr'!B4, '4th Qtr'!B4)</f>
        <v>1060096.9907300374</v>
      </c>
      <c r="C4" s="11">
        <f ca="1">SUM('1st Qtr'!C4, '2nd Qtr'!C4, '3rd Qtr'!C4, '4th Qtr'!C4)</f>
        <v>945698.35699999996</v>
      </c>
      <c r="D4" s="11">
        <f ca="1">IF(AND(ISNUMBER($B4),ISNUMBER(C4)), $B4-C4, "")</f>
        <v>114398.63373003749</v>
      </c>
      <c r="E4" s="12">
        <f ca="1">IFERROR(D4/C4, "")</f>
        <v>0.12096736013472581</v>
      </c>
      <c r="F4" s="13">
        <f ca="1">SUM('1st Qtr'!F4, '2nd Qtr'!F4, '3rd Qtr'!F4, '4th Qtr'!F4)</f>
        <v>1109029.2579999999</v>
      </c>
      <c r="G4" s="13">
        <f ca="1">IF(AND(ISNUMBER($B4),ISNUMBER(F4)), $B4-F4, "")</f>
        <v>-48932.267269962467</v>
      </c>
      <c r="H4" s="14">
        <f ca="1">IFERROR(G4/F4, "")</f>
        <v>-4.4121709970218359E-2</v>
      </c>
    </row>
    <row r="5" spans="1:8" ht="15.6">
      <c r="A5" s="27" t="str">
        <v>CO</v>
      </c>
      <c r="B5" s="10">
        <f ca="1">SUM('1st Qtr'!B5, '2nd Qtr'!B5, '3rd Qtr'!B5, '4th Qtr'!B5)</f>
        <v>194571.62761927574</v>
      </c>
      <c r="C5" s="15">
        <f ca="1">SUM('1st Qtr'!C5, '2nd Qtr'!C5, '3rd Qtr'!C5, '4th Qtr'!C5)</f>
        <v>22755.559999999998</v>
      </c>
      <c r="D5" s="15">
        <f ca="1">IF(AND(ISNUMBER($B5),ISNUMBER(C5)), $B5-C5, "")</f>
        <v>171816.06761927574</v>
      </c>
      <c r="E5" s="16">
        <f ca="1">IFERROR(D5/C5, "")</f>
        <v>7.5505093093413542</v>
      </c>
      <c r="F5" s="17">
        <f ca="1">SUM('1st Qtr'!F5, '2nd Qtr'!F5, '3rd Qtr'!F5, '4th Qtr'!F5)</f>
        <v>207440.98000000004</v>
      </c>
      <c r="G5" s="17">
        <f ca="1">IF(AND(ISNUMBER($B5),ISNUMBER(F5)), $B5-F5, "")</f>
        <v>-12869.352380724304</v>
      </c>
      <c r="H5" s="16">
        <f ca="1">IFERROR(G5/F5, "")</f>
        <v>-6.2038621205531816E-2</v>
      </c>
    </row>
    <row r="6" spans="1:8" ht="15.6">
      <c r="A6" s="25" t="str">
        <v>CT</v>
      </c>
      <c r="B6" s="21">
        <f ca="1">SUM('1st Qtr'!B6, '2nd Qtr'!B6, '3rd Qtr'!B6, '4th Qtr'!B6)</f>
        <v>10565.803241308837</v>
      </c>
      <c r="C6" s="11">
        <f ca="1">SUM('1st Qtr'!C6, '2nd Qtr'!C6, '3rd Qtr'!C6, '4th Qtr'!C6)</f>
        <v>13325.389833999998</v>
      </c>
      <c r="D6" s="11">
        <f t="shared" ref="D6:D11" ca="1" si="0">IF(AND(ISNUMBER($B6),ISNUMBER(C6)), $B6-C6, "")</f>
        <v>-2759.5865926911611</v>
      </c>
      <c r="E6" s="12">
        <f t="shared" ref="E6:E11" ca="1" si="1">IFERROR(D6/C6, "")</f>
        <v>-0.20709237231094138</v>
      </c>
      <c r="F6" s="13">
        <f ca="1">SUM('1st Qtr'!F6, '2nd Qtr'!F6, '3rd Qtr'!F6, '4th Qtr'!F6)</f>
        <v>13148.9203</v>
      </c>
      <c r="G6" s="13">
        <f t="shared" ref="G6:G11" ca="1" si="2">IF(AND(ISNUMBER($B6),ISNUMBER(F6)), $B6-F6, "")</f>
        <v>-2583.117058691163</v>
      </c>
      <c r="H6" s="14">
        <f t="shared" ref="H6:H11" ca="1" si="3">IFERROR(G6/F6, "")</f>
        <v>-0.19645088720259132</v>
      </c>
    </row>
    <row r="7" spans="1:8" ht="15.6">
      <c r="A7" s="27" t="str">
        <v>FL</v>
      </c>
      <c r="B7" s="10">
        <f ca="1">SUM('1st Qtr'!B7, '2nd Qtr'!B7, '3rd Qtr'!B7, '4th Qtr'!B7)</f>
        <v>11005.316225370316</v>
      </c>
      <c r="C7" s="15">
        <f ca="1">SUM('1st Qtr'!C7, '2nd Qtr'!C7, '3rd Qtr'!C7, '4th Qtr'!C7)</f>
        <v>32952.120999999999</v>
      </c>
      <c r="D7" s="15">
        <f t="shared" ca="1" si="0"/>
        <v>-21946.804774629683</v>
      </c>
      <c r="E7" s="16">
        <f t="shared" ca="1" si="1"/>
        <v>-0.666021005890021</v>
      </c>
      <c r="F7" s="17">
        <f ca="1">SUM('1st Qtr'!F7, '2nd Qtr'!F7, '3rd Qtr'!F7, '4th Qtr'!F7)</f>
        <v>39271</v>
      </c>
      <c r="G7" s="17">
        <f t="shared" ca="1" si="2"/>
        <v>-28265.683774629684</v>
      </c>
      <c r="H7" s="16">
        <f t="shared" ca="1" si="3"/>
        <v>-0.71975971517480286</v>
      </c>
    </row>
    <row r="8" spans="1:8" ht="15.6">
      <c r="A8" s="25" t="str">
        <v>IA</v>
      </c>
      <c r="B8" s="21">
        <f ca="1">SUM('1st Qtr'!B8, '2nd Qtr'!B8, '3rd Qtr'!B8, '4th Qtr'!B8)</f>
        <v>2009468</v>
      </c>
      <c r="C8" s="11">
        <f ca="1">SUM('1st Qtr'!C8, '2nd Qtr'!C8, '3rd Qtr'!C8, '4th Qtr'!C8)</f>
        <v>2053080.0399999998</v>
      </c>
      <c r="D8" s="11">
        <f t="shared" ca="1" si="0"/>
        <v>-43612.039999999804</v>
      </c>
      <c r="E8" s="12">
        <f t="shared" ca="1" si="1"/>
        <v>-2.1242250253428897E-2</v>
      </c>
      <c r="F8" s="13">
        <f ca="1">SUM('1st Qtr'!F8, '2nd Qtr'!F8, '3rd Qtr'!F8, '4th Qtr'!F8)</f>
        <v>2041008.7800000003</v>
      </c>
      <c r="G8" s="13">
        <f t="shared" ca="1" si="2"/>
        <v>-31540.780000000261</v>
      </c>
      <c r="H8" s="14">
        <f t="shared" ca="1" si="3"/>
        <v>-1.5453524898604432E-2</v>
      </c>
    </row>
    <row r="9" spans="1:8" ht="15.6">
      <c r="A9" s="27" t="str">
        <v>NC</v>
      </c>
      <c r="B9" s="10">
        <f ca="1">SUM('1st Qtr'!B9, '2nd Qtr'!B9, '3rd Qtr'!B9, '4th Qtr'!B9)</f>
        <v>2480978.2000000002</v>
      </c>
      <c r="C9" s="15">
        <f ca="1">SUM('1st Qtr'!C9, '2nd Qtr'!C9, '3rd Qtr'!C9, '4th Qtr'!C9)</f>
        <v>2595266.3079999997</v>
      </c>
      <c r="D9" s="15">
        <f t="shared" ca="1" si="0"/>
        <v>-114288.10799999954</v>
      </c>
      <c r="E9" s="16">
        <f t="shared" ca="1" si="1"/>
        <v>-4.403714086978374E-2</v>
      </c>
      <c r="F9" s="17">
        <f ca="1">SUM('1st Qtr'!F9, '2nd Qtr'!F9, '3rd Qtr'!F9, '4th Qtr'!F9)</f>
        <v>2557726.0410000002</v>
      </c>
      <c r="G9" s="17">
        <f t="shared" ca="1" si="2"/>
        <v>-76747.841000000015</v>
      </c>
      <c r="H9" s="16">
        <f t="shared" ca="1" si="3"/>
        <v>-3.0006278925007047E-2</v>
      </c>
    </row>
    <row r="10" spans="1:8" ht="15.6">
      <c r="A10" s="25" t="str">
        <v>NJ</v>
      </c>
      <c r="B10" s="21">
        <f ca="1">SUM('1st Qtr'!B10, '2nd Qtr'!B10, '3rd Qtr'!B10, '4th Qtr'!B10)</f>
        <v>615289.56131311739</v>
      </c>
      <c r="C10" s="11">
        <f ca="1">SUM('1st Qtr'!C10, '2nd Qtr'!C10, '3rd Qtr'!C10, '4th Qtr'!C10)</f>
        <v>615232.04389999993</v>
      </c>
      <c r="D10" s="11">
        <f t="shared" ca="1" si="0"/>
        <v>57.517413117457181</v>
      </c>
      <c r="E10" s="12">
        <f t="shared" ca="1" si="1"/>
        <v>9.3488974912376451E-5</v>
      </c>
      <c r="F10" s="13">
        <f ca="1">SUM('1st Qtr'!F10, '2nd Qtr'!F10, '3rd Qtr'!F10, '4th Qtr'!F10)</f>
        <v>672618.02319999994</v>
      </c>
      <c r="G10" s="13">
        <f t="shared" ca="1" si="2"/>
        <v>-57328.461886882549</v>
      </c>
      <c r="H10" s="14">
        <f t="shared" ca="1" si="3"/>
        <v>-8.5231825359274066E-2</v>
      </c>
    </row>
    <row r="11" spans="1:8" ht="15.6">
      <c r="A11" s="27" t="str">
        <v>TX</v>
      </c>
      <c r="B11" s="10">
        <f ca="1">SUM('1st Qtr'!B11, '2nd Qtr'!B11, '3rd Qtr'!B11, '4th Qtr'!B11)</f>
        <v>5509547.8677719999</v>
      </c>
      <c r="C11" s="15">
        <f ca="1">SUM('1st Qtr'!C11, '2nd Qtr'!C11, '3rd Qtr'!C11, '4th Qtr'!C11)</f>
        <v>5404349.2689999994</v>
      </c>
      <c r="D11" s="15">
        <f t="shared" ca="1" si="0"/>
        <v>105198.59877200052</v>
      </c>
      <c r="E11" s="16">
        <f t="shared" ca="1" si="1"/>
        <v>1.9465544052719243E-2</v>
      </c>
      <c r="F11" s="17">
        <f ca="1">SUM('1st Qtr'!F11, '2nd Qtr'!F11, '3rd Qtr'!F11, '4th Qtr'!F11)</f>
        <v>6155013.5590000004</v>
      </c>
      <c r="G11" s="17">
        <f t="shared" ca="1" si="2"/>
        <v>-645465.69122800045</v>
      </c>
      <c r="H11" s="16">
        <f t="shared" ca="1" si="3"/>
        <v>-0.10486828096165375</v>
      </c>
    </row>
    <row r="12" spans="1:8" ht="12.75" customHeight="1">
      <c r="A12" s="25" t="str">
        <v>AZ</v>
      </c>
      <c r="B12" s="57">
        <f ca="1">SUM('1st Qtr'!B12, '2nd Qtr'!B12, '3rd Qtr'!B12, '4th Qtr'!B12)</f>
        <v>3541165.9053994417</v>
      </c>
      <c r="C12" s="11">
        <f ca="1">SUM('1st Qtr'!C12, '2nd Qtr'!C12, '3rd Qtr'!C12, '4th Qtr'!C12)</f>
        <v>3216614.821</v>
      </c>
      <c r="D12" s="11">
        <f t="shared" ref="D12" ca="1" si="4">IF(AND(ISNUMBER($B12),ISNUMBER(C12)), $B12-C12, "")</f>
        <v>324551.08439944172</v>
      </c>
      <c r="E12" s="58">
        <f t="shared" ref="E12" ca="1" si="5">IFERROR(D12/C12, "")</f>
        <v>0.10089833643760411</v>
      </c>
      <c r="F12" s="74">
        <f ca="1">SUM('1st Qtr'!F12, '2nd Qtr'!F12, '3rd Qtr'!F12, '4th Qtr'!F12)</f>
        <v>3435836.14</v>
      </c>
      <c r="G12" s="74">
        <f t="shared" ref="G12" ca="1" si="6">IF(AND(ISNUMBER($B12),ISNUMBER(F12)), $B12-F12, "")</f>
        <v>105329.76539944159</v>
      </c>
      <c r="H12" s="75">
        <f t="shared" ref="H12" ca="1" si="7">IFERROR(G12/F12, "")</f>
        <v>3.0656224891866229E-2</v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4.45">
      <c r="A16" s="18"/>
      <c r="B16" s="18"/>
      <c r="C16" s="137" t="s">
        <v>9</v>
      </c>
      <c r="D16" s="18"/>
      <c r="E16" s="18"/>
      <c r="F16" s="18"/>
      <c r="G16" s="18"/>
      <c r="H16" s="18"/>
    </row>
    <row r="17" spans="1:8" ht="14.45">
      <c r="A17" s="18"/>
      <c r="B17" s="18"/>
      <c r="C17" s="137"/>
      <c r="D17" s="18"/>
      <c r="E17" s="18"/>
      <c r="F17" s="18"/>
      <c r="G17" s="18"/>
      <c r="H17" s="18"/>
    </row>
    <row r="18" spans="1:8" ht="14.45">
      <c r="A18" s="18"/>
      <c r="B18" s="18"/>
      <c r="C18" s="137" t="s">
        <v>10</v>
      </c>
      <c r="D18" s="18"/>
      <c r="E18" s="18"/>
      <c r="F18" s="18"/>
      <c r="G18" s="18"/>
      <c r="H18" s="18"/>
    </row>
    <row r="19" spans="1:8" ht="14.45">
      <c r="A19" s="18"/>
      <c r="B19" s="18"/>
      <c r="C19" s="137"/>
      <c r="D19" s="18"/>
      <c r="E19" s="18"/>
      <c r="F19" s="18"/>
      <c r="G19" s="18"/>
      <c r="H19" s="18"/>
    </row>
    <row r="20" spans="1:8" ht="15">
      <c r="A20" s="18"/>
      <c r="B20" s="18"/>
      <c r="C20" s="160" t="s">
        <v>11</v>
      </c>
      <c r="D20" s="161"/>
      <c r="E20" s="161"/>
      <c r="F20" s="161"/>
      <c r="G20" s="18"/>
      <c r="H20" s="18"/>
    </row>
    <row r="21" spans="1:8" ht="14.45">
      <c r="A21" s="18"/>
      <c r="B21" s="18"/>
      <c r="C21" s="137" t="s">
        <v>12</v>
      </c>
      <c r="D21" s="18"/>
      <c r="E21" s="18"/>
      <c r="F21" s="18"/>
      <c r="G21" s="18"/>
      <c r="H21" s="18"/>
    </row>
    <row r="22" spans="1:8" ht="14.45">
      <c r="A22" s="18"/>
      <c r="B22" s="18"/>
      <c r="C22" s="137" t="s">
        <v>13</v>
      </c>
      <c r="D22" s="18"/>
      <c r="E22" s="19"/>
      <c r="F22" s="18"/>
      <c r="G22" s="18"/>
      <c r="H22" s="19"/>
    </row>
    <row r="23" spans="1:8" ht="14.45">
      <c r="A23" s="18"/>
      <c r="B23" s="18"/>
      <c r="C23" s="137" t="s">
        <v>14</v>
      </c>
      <c r="D23" s="18"/>
      <c r="E23" s="19"/>
      <c r="F23" s="18"/>
      <c r="G23" s="18"/>
      <c r="H23" s="19"/>
    </row>
    <row r="24" spans="1:8" ht="14.45">
      <c r="A24" s="18"/>
      <c r="B24" s="18"/>
      <c r="C24" s="137"/>
      <c r="D24" s="18"/>
      <c r="E24" s="19"/>
      <c r="F24" s="18"/>
      <c r="G24" s="18"/>
      <c r="H24" s="19"/>
    </row>
    <row r="25" spans="1:8" ht="15">
      <c r="A25" s="18"/>
      <c r="B25" s="18"/>
      <c r="C25" s="160" t="s">
        <v>15</v>
      </c>
      <c r="D25" s="161"/>
      <c r="E25" s="162"/>
      <c r="F25" s="161"/>
      <c r="G25" s="18"/>
      <c r="H25" s="19"/>
    </row>
    <row r="26" spans="1:8" ht="14.45">
      <c r="A26" s="18"/>
      <c r="B26" s="18"/>
      <c r="C26" s="137" t="s">
        <v>16</v>
      </c>
      <c r="D26" s="18"/>
      <c r="E26" s="19"/>
      <c r="F26" s="18"/>
      <c r="G26" s="18"/>
      <c r="H26" s="19"/>
    </row>
    <row r="27" spans="1:8" ht="14.45">
      <c r="A27" s="18"/>
      <c r="B27" s="18"/>
      <c r="C27" s="137" t="s">
        <v>17</v>
      </c>
      <c r="D27" s="18"/>
      <c r="E27" s="19"/>
      <c r="F27" s="18"/>
      <c r="G27" s="18"/>
      <c r="H27" s="19"/>
    </row>
    <row r="28" spans="1:8" ht="15">
      <c r="A28" s="18"/>
      <c r="B28" s="18"/>
      <c r="C28" s="137" t="s">
        <v>18</v>
      </c>
      <c r="D28" s="18"/>
      <c r="E28" s="19"/>
      <c r="F28" s="18"/>
      <c r="G28" s="18"/>
      <c r="H28" s="19"/>
    </row>
    <row r="29" spans="1:8" ht="15">
      <c r="A29" s="18"/>
      <c r="B29" s="18"/>
      <c r="C29" s="137" t="s">
        <v>19</v>
      </c>
      <c r="D29" s="18"/>
      <c r="E29" s="19"/>
      <c r="F29" s="18"/>
      <c r="G29" s="18"/>
      <c r="H29" s="19"/>
    </row>
    <row r="30" spans="1:8" ht="15">
      <c r="A30" s="18"/>
      <c r="B30" s="18"/>
      <c r="C30" s="137" t="s">
        <v>20</v>
      </c>
      <c r="D30" s="18"/>
      <c r="E30" s="19"/>
      <c r="F30" s="18"/>
      <c r="G30" s="18"/>
      <c r="H30" s="19"/>
    </row>
    <row r="31" spans="1:8" ht="15">
      <c r="A31" s="18"/>
      <c r="B31" s="18"/>
      <c r="C31" s="137"/>
      <c r="D31" s="18"/>
      <c r="E31" s="19"/>
      <c r="F31" s="18"/>
      <c r="G31" s="18"/>
      <c r="H31" s="19"/>
    </row>
    <row r="32" spans="1:8" ht="15">
      <c r="A32" s="18"/>
      <c r="B32" s="18"/>
      <c r="C32" s="160" t="s">
        <v>21</v>
      </c>
      <c r="D32" s="161"/>
      <c r="E32" s="19"/>
      <c r="F32" s="18"/>
      <c r="G32" s="18"/>
      <c r="H32" s="19"/>
    </row>
    <row r="33" spans="1:10" ht="15">
      <c r="A33" s="18"/>
      <c r="B33" s="18"/>
      <c r="C33" s="137" t="s">
        <v>22</v>
      </c>
      <c r="D33" s="18"/>
      <c r="E33" s="19"/>
      <c r="F33" s="18"/>
      <c r="G33" s="18"/>
      <c r="H33" s="19"/>
    </row>
    <row r="34" spans="1:10" ht="15">
      <c r="A34" s="18"/>
      <c r="B34" s="18"/>
      <c r="C34" s="137" t="s">
        <v>23</v>
      </c>
      <c r="D34" s="18"/>
      <c r="E34" s="19"/>
      <c r="F34" s="18"/>
      <c r="G34" s="18"/>
      <c r="H34" s="19"/>
    </row>
    <row r="35" spans="1:10" ht="15">
      <c r="A35" s="18"/>
      <c r="B35" s="18"/>
      <c r="C35" s="137"/>
      <c r="D35" s="18"/>
      <c r="E35" s="19"/>
      <c r="F35" s="18"/>
      <c r="G35" s="18"/>
      <c r="H35" s="19"/>
    </row>
    <row r="36" spans="1:10" ht="15">
      <c r="A36" s="18"/>
      <c r="B36" s="18"/>
      <c r="C36" s="160" t="s">
        <v>24</v>
      </c>
      <c r="D36" s="161"/>
      <c r="E36" s="19"/>
      <c r="F36" s="18"/>
      <c r="G36" s="18"/>
      <c r="H36" s="19"/>
    </row>
    <row r="37" spans="1:10" ht="15">
      <c r="A37" s="18"/>
      <c r="B37" s="18"/>
      <c r="C37" s="137" t="s">
        <v>25</v>
      </c>
      <c r="D37" s="18"/>
      <c r="E37" s="19"/>
      <c r="F37" s="18"/>
      <c r="G37" s="18"/>
      <c r="H37" s="19"/>
    </row>
    <row r="38" spans="1:10" ht="12.75">
      <c r="A38" s="18"/>
      <c r="B38" s="18"/>
      <c r="C38" s="18"/>
      <c r="D38" s="18"/>
      <c r="E38" s="19"/>
      <c r="F38" s="18"/>
      <c r="G38" s="18"/>
      <c r="H38" s="19"/>
    </row>
    <row r="39" spans="1:10" ht="12.75">
      <c r="A39" s="18"/>
      <c r="B39" s="18"/>
      <c r="C39" s="18"/>
      <c r="D39" s="18"/>
      <c r="E39" s="19"/>
      <c r="F39" s="18"/>
      <c r="G39" s="18"/>
      <c r="H39" s="19"/>
    </row>
    <row r="40" spans="1:10" ht="13.9" customHeight="1">
      <c r="A40" s="146"/>
      <c r="B40" s="18"/>
      <c r="E40" s="146"/>
      <c r="F40" s="146"/>
      <c r="G40" s="208"/>
      <c r="H40" s="208"/>
      <c r="I40" s="146"/>
      <c r="J40" s="146"/>
    </row>
    <row r="41" spans="1:10" ht="15">
      <c r="A41" s="146"/>
      <c r="E41" s="146"/>
      <c r="F41" s="146"/>
      <c r="G41" s="146"/>
      <c r="H41" s="146"/>
      <c r="I41" s="146"/>
      <c r="J41" s="146"/>
    </row>
    <row r="42" spans="1:10" ht="15">
      <c r="A42" s="146"/>
      <c r="E42" s="146"/>
      <c r="F42" s="146"/>
      <c r="G42" s="146"/>
      <c r="H42" s="146"/>
      <c r="I42" s="146"/>
      <c r="J42" s="146"/>
    </row>
    <row r="43" spans="1:10" ht="15">
      <c r="A43" s="146"/>
      <c r="E43" s="146"/>
      <c r="F43" s="146"/>
      <c r="G43" s="146"/>
      <c r="H43" s="146"/>
      <c r="I43" s="146"/>
      <c r="J43" s="146"/>
    </row>
    <row r="44" spans="1:10" ht="15">
      <c r="A44" s="146"/>
      <c r="E44" s="146"/>
      <c r="F44" s="146"/>
      <c r="G44" s="146"/>
      <c r="H44" s="146"/>
      <c r="I44" s="146"/>
      <c r="J44" s="146"/>
    </row>
    <row r="45" spans="1:10" ht="15">
      <c r="A45" s="146"/>
      <c r="E45" s="146"/>
      <c r="F45" s="146"/>
      <c r="G45" s="146"/>
      <c r="H45" s="146"/>
      <c r="I45" s="146"/>
      <c r="J45" s="146"/>
    </row>
    <row r="46" spans="1:10" ht="13.9" customHeight="1">
      <c r="A46" s="146"/>
      <c r="E46" s="146"/>
      <c r="F46" s="146"/>
      <c r="G46" s="146"/>
      <c r="H46" s="146"/>
      <c r="I46" s="146"/>
      <c r="J46" s="146"/>
    </row>
    <row r="47" spans="1:10" ht="15">
      <c r="A47" s="146"/>
      <c r="E47" s="146"/>
      <c r="F47" s="146"/>
      <c r="G47" s="146"/>
      <c r="H47" s="146"/>
      <c r="I47" s="146"/>
      <c r="J47" s="146"/>
    </row>
    <row r="48" spans="1:10" ht="15">
      <c r="A48" s="146"/>
      <c r="E48" s="146"/>
      <c r="F48" s="146"/>
      <c r="G48" s="146"/>
      <c r="H48" s="146"/>
      <c r="I48" s="146"/>
      <c r="J48" s="146"/>
    </row>
    <row r="49" spans="1:10" ht="15">
      <c r="A49" s="146"/>
      <c r="E49" s="146"/>
      <c r="F49" s="146"/>
      <c r="G49" s="146"/>
      <c r="H49" s="146"/>
      <c r="I49" s="146"/>
      <c r="J49" s="146"/>
    </row>
    <row r="50" spans="1:10" ht="15">
      <c r="A50" s="146"/>
      <c r="C50" s="146"/>
      <c r="D50" s="146"/>
      <c r="E50" s="146"/>
      <c r="F50" s="146"/>
      <c r="G50" s="146"/>
      <c r="H50" s="146"/>
      <c r="I50" s="146"/>
      <c r="J50" s="146"/>
    </row>
    <row r="51" spans="1:10" ht="15">
      <c r="A51" s="146"/>
      <c r="B51" s="146"/>
      <c r="C51" s="146" t="s">
        <v>26</v>
      </c>
      <c r="D51" s="146">
        <v>2025</v>
      </c>
      <c r="E51" s="146"/>
      <c r="F51" s="146"/>
      <c r="G51" s="146"/>
      <c r="H51" s="146"/>
      <c r="I51" s="146"/>
      <c r="J51" s="146"/>
    </row>
    <row r="52" spans="1:10" ht="15">
      <c r="A52" s="146"/>
      <c r="B52" s="146"/>
      <c r="C52" s="146"/>
      <c r="D52" s="149" t="s">
        <v>4</v>
      </c>
      <c r="E52" s="150" t="s">
        <v>5</v>
      </c>
      <c r="F52" s="150" t="s">
        <v>6</v>
      </c>
      <c r="G52" s="150" t="s">
        <v>7</v>
      </c>
      <c r="H52" s="151" t="s">
        <v>8</v>
      </c>
      <c r="I52" s="152" t="s">
        <v>6</v>
      </c>
      <c r="J52" s="152" t="s">
        <v>7</v>
      </c>
    </row>
    <row r="53" spans="1:10" ht="15">
      <c r="A53" s="147"/>
      <c r="B53" s="146"/>
      <c r="C53" s="146"/>
      <c r="D53" s="153">
        <v>2009886</v>
      </c>
      <c r="E53" s="154">
        <v>1966799</v>
      </c>
      <c r="F53" s="154">
        <v>43087</v>
      </c>
      <c r="G53" s="155">
        <v>0.02</v>
      </c>
      <c r="H53" s="154">
        <v>2174763</v>
      </c>
      <c r="I53" s="154">
        <v>-164877</v>
      </c>
      <c r="J53" s="155">
        <v>-0.08</v>
      </c>
    </row>
    <row r="54" spans="1:10" ht="15">
      <c r="A54" s="146"/>
      <c r="B54" s="147"/>
      <c r="C54" s="146"/>
      <c r="D54" s="146"/>
      <c r="E54" s="146"/>
      <c r="F54" s="146"/>
      <c r="G54" s="146"/>
      <c r="H54" s="146"/>
      <c r="I54" s="146"/>
      <c r="J54" s="146"/>
    </row>
    <row r="55" spans="1:10" ht="15">
      <c r="A55" s="18"/>
      <c r="B55" s="146"/>
      <c r="C55" s="146" t="s">
        <v>27</v>
      </c>
      <c r="D55" s="146">
        <v>2024</v>
      </c>
      <c r="E55" s="146"/>
      <c r="F55" s="146"/>
      <c r="G55" s="146"/>
      <c r="H55" s="146"/>
      <c r="I55" s="146"/>
      <c r="J55" s="146"/>
    </row>
    <row r="56" spans="1:10" ht="15">
      <c r="A56" s="18"/>
      <c r="B56" s="146"/>
      <c r="C56" s="146"/>
      <c r="D56" s="149" t="s">
        <v>4</v>
      </c>
      <c r="E56" s="150" t="s">
        <v>5</v>
      </c>
      <c r="F56" s="150" t="s">
        <v>6</v>
      </c>
      <c r="G56" s="150" t="s">
        <v>7</v>
      </c>
      <c r="H56" s="151" t="s">
        <v>8</v>
      </c>
      <c r="I56" s="152" t="s">
        <v>6</v>
      </c>
      <c r="J56" s="152" t="s">
        <v>7</v>
      </c>
    </row>
    <row r="57" spans="1:10" ht="15">
      <c r="A57" s="18"/>
      <c r="B57" s="146"/>
      <c r="C57" s="146"/>
      <c r="D57" s="153">
        <v>1566588</v>
      </c>
      <c r="E57" s="154">
        <v>1547344</v>
      </c>
      <c r="F57" s="154">
        <v>19244</v>
      </c>
      <c r="G57" s="155">
        <v>0.01</v>
      </c>
      <c r="H57" s="154">
        <v>1863295</v>
      </c>
      <c r="I57" s="154">
        <v>-296707</v>
      </c>
      <c r="J57" s="156">
        <v>-0.16</v>
      </c>
    </row>
    <row r="58" spans="1:10" ht="15">
      <c r="A58" s="18"/>
      <c r="B58" s="146"/>
      <c r="C58" s="18"/>
      <c r="D58" s="18"/>
      <c r="E58" s="19"/>
      <c r="F58" s="18"/>
      <c r="G58" s="18"/>
      <c r="H58" s="19"/>
    </row>
    <row r="59" spans="1:10" ht="12.75">
      <c r="A59" s="18"/>
      <c r="B59" s="18"/>
      <c r="C59" s="18"/>
      <c r="D59" s="18"/>
      <c r="E59" s="19"/>
      <c r="F59" s="18"/>
      <c r="G59" s="18"/>
      <c r="H59" s="19"/>
    </row>
    <row r="60" spans="1:10" ht="12.75">
      <c r="A60" s="18"/>
      <c r="B60" s="18"/>
      <c r="C60" s="18"/>
      <c r="D60" s="18"/>
      <c r="E60" s="19"/>
      <c r="F60" s="18"/>
      <c r="G60" s="18"/>
      <c r="H60" s="19"/>
    </row>
    <row r="61" spans="1:10" ht="12.75">
      <c r="A61" s="18"/>
      <c r="B61" s="18"/>
      <c r="C61" s="18"/>
      <c r="D61" s="18"/>
      <c r="E61" s="19"/>
      <c r="F61" s="18"/>
      <c r="G61" s="18"/>
      <c r="H61" s="19"/>
    </row>
    <row r="62" spans="1:10" ht="12.75">
      <c r="A62" s="18"/>
      <c r="B62" s="18"/>
      <c r="C62" s="18"/>
      <c r="D62" s="18"/>
      <c r="E62" s="19"/>
      <c r="F62" s="18"/>
      <c r="G62" s="18"/>
      <c r="H62" s="19"/>
    </row>
    <row r="63" spans="1:10" ht="12.75">
      <c r="A63" s="18"/>
      <c r="B63" s="18"/>
      <c r="C63" s="18"/>
      <c r="D63" s="18"/>
      <c r="E63" s="19"/>
      <c r="F63" s="18"/>
      <c r="G63" s="18"/>
      <c r="H63" s="19"/>
    </row>
    <row r="64" spans="1:10" ht="12.75">
      <c r="A64" s="18"/>
      <c r="B64" s="18"/>
      <c r="C64" s="18"/>
      <c r="D64" s="18"/>
      <c r="E64" s="19"/>
      <c r="F64" s="18"/>
      <c r="G64" s="18"/>
      <c r="H64" s="19"/>
    </row>
    <row r="65" spans="1:8" ht="12.75">
      <c r="A65" s="18"/>
      <c r="B65" s="18"/>
      <c r="C65" s="18"/>
      <c r="D65" s="18"/>
      <c r="E65" s="19"/>
      <c r="F65" s="18"/>
      <c r="G65" s="18"/>
      <c r="H65" s="19"/>
    </row>
    <row r="66" spans="1:8" ht="12.75">
      <c r="A66" s="18"/>
      <c r="B66" s="18"/>
      <c r="C66" s="18"/>
      <c r="D66" s="18"/>
      <c r="E66" s="19"/>
      <c r="F66" s="18"/>
      <c r="G66" s="18"/>
      <c r="H66" s="19"/>
    </row>
    <row r="67" spans="1:8" ht="12.75">
      <c r="A67" s="18"/>
      <c r="B67" s="18"/>
      <c r="C67" s="18"/>
      <c r="D67" s="18"/>
      <c r="E67" s="19"/>
      <c r="F67" s="18"/>
      <c r="G67" s="18"/>
      <c r="H67" s="19"/>
    </row>
    <row r="68" spans="1:8" ht="12.75">
      <c r="A68" s="18"/>
      <c r="B68" s="18"/>
      <c r="C68" s="18"/>
      <c r="D68" s="18"/>
      <c r="E68" s="19"/>
      <c r="F68" s="18"/>
      <c r="G68" s="18"/>
      <c r="H68" s="19"/>
    </row>
    <row r="69" spans="1:8" ht="12.75">
      <c r="A69" s="18"/>
      <c r="B69" s="18"/>
      <c r="C69" s="18"/>
      <c r="D69" s="18"/>
      <c r="E69" s="19"/>
      <c r="F69" s="18"/>
      <c r="G69" s="18"/>
      <c r="H69" s="19"/>
    </row>
    <row r="70" spans="1:8" ht="12.75">
      <c r="A70" s="18"/>
      <c r="B70" s="18"/>
      <c r="C70" s="18"/>
      <c r="D70" s="18"/>
      <c r="E70" s="19"/>
      <c r="F70" s="18"/>
      <c r="G70" s="18"/>
      <c r="H70" s="19"/>
    </row>
    <row r="71" spans="1:8" ht="12.75">
      <c r="A71" s="18"/>
      <c r="B71" s="18"/>
      <c r="C71" s="18"/>
      <c r="D71" s="18"/>
      <c r="E71" s="19"/>
      <c r="F71" s="18"/>
      <c r="G71" s="18"/>
      <c r="H71" s="19"/>
    </row>
    <row r="72" spans="1:8" ht="12.75">
      <c r="A72" s="18"/>
      <c r="B72" s="18"/>
      <c r="C72" s="18"/>
      <c r="D72" s="18"/>
      <c r="E72" s="19"/>
      <c r="F72" s="18"/>
      <c r="G72" s="18"/>
      <c r="H72" s="19"/>
    </row>
    <row r="73" spans="1:8" ht="12.75">
      <c r="A73" s="18"/>
      <c r="B73" s="18"/>
      <c r="C73" s="18"/>
      <c r="D73" s="18"/>
      <c r="E73" s="19"/>
      <c r="F73" s="18"/>
      <c r="G73" s="18"/>
      <c r="H73" s="19"/>
    </row>
    <row r="74" spans="1:8" ht="12.75">
      <c r="A74" s="18"/>
      <c r="B74" s="18"/>
      <c r="C74" s="18"/>
      <c r="D74" s="18"/>
      <c r="E74" s="19"/>
      <c r="F74" s="18"/>
      <c r="G74" s="18"/>
      <c r="H74" s="19"/>
    </row>
    <row r="75" spans="1:8" ht="12.75">
      <c r="A75" s="18"/>
      <c r="B75" s="18"/>
      <c r="C75" s="18"/>
      <c r="D75" s="18"/>
      <c r="E75" s="19"/>
      <c r="F75" s="18"/>
      <c r="G75" s="18"/>
      <c r="H75" s="19"/>
    </row>
    <row r="76" spans="1:8" ht="12.75">
      <c r="A76" s="18"/>
      <c r="B76" s="18"/>
      <c r="C76" s="18"/>
      <c r="D76" s="18"/>
      <c r="E76" s="19"/>
      <c r="F76" s="18"/>
      <c r="G76" s="18"/>
      <c r="H76" s="19"/>
    </row>
    <row r="77" spans="1:8" ht="12.75">
      <c r="A77" s="18"/>
      <c r="B77" s="18"/>
      <c r="C77" s="18"/>
      <c r="D77" s="18"/>
      <c r="E77" s="19"/>
      <c r="F77" s="18"/>
      <c r="G77" s="18"/>
      <c r="H77" s="19"/>
    </row>
    <row r="78" spans="1:8" ht="12.75">
      <c r="A78" s="18"/>
      <c r="B78" s="18"/>
      <c r="C78" s="18"/>
      <c r="D78" s="18"/>
      <c r="E78" s="19"/>
      <c r="F78" s="18"/>
      <c r="G78" s="18"/>
      <c r="H78" s="19"/>
    </row>
    <row r="79" spans="1:8" ht="12.75">
      <c r="A79" s="18"/>
      <c r="B79" s="18"/>
      <c r="C79" s="18"/>
      <c r="D79" s="18"/>
      <c r="E79" s="19"/>
      <c r="F79" s="18"/>
      <c r="G79" s="18"/>
      <c r="H79" s="19"/>
    </row>
    <row r="80" spans="1:8" ht="12.75">
      <c r="A80" s="18"/>
      <c r="B80" s="18"/>
      <c r="C80" s="18"/>
      <c r="D80" s="18"/>
      <c r="E80" s="19"/>
      <c r="F80" s="18"/>
      <c r="G80" s="18"/>
      <c r="H80" s="19"/>
    </row>
    <row r="81" spans="1:8" ht="12.75">
      <c r="A81" s="18"/>
      <c r="B81" s="18"/>
      <c r="C81" s="18"/>
      <c r="D81" s="18"/>
      <c r="E81" s="19"/>
      <c r="F81" s="18"/>
      <c r="G81" s="18"/>
      <c r="H81" s="19"/>
    </row>
    <row r="82" spans="1:8" ht="12.75">
      <c r="A82" s="18"/>
      <c r="B82" s="18"/>
      <c r="C82" s="18"/>
      <c r="D82" s="18"/>
      <c r="E82" s="19"/>
      <c r="F82" s="18"/>
      <c r="G82" s="18"/>
      <c r="H82" s="19"/>
    </row>
    <row r="83" spans="1:8" ht="12.75">
      <c r="A83" s="18"/>
      <c r="B83" s="18"/>
      <c r="C83" s="18"/>
      <c r="D83" s="18"/>
      <c r="E83" s="19"/>
      <c r="F83" s="18"/>
      <c r="G83" s="18"/>
      <c r="H83" s="19"/>
    </row>
    <row r="84" spans="1:8" ht="12.75">
      <c r="A84" s="18"/>
      <c r="B84" s="18"/>
      <c r="C84" s="18"/>
      <c r="D84" s="18"/>
      <c r="E84" s="19"/>
      <c r="F84" s="18"/>
      <c r="G84" s="18"/>
      <c r="H84" s="19"/>
    </row>
    <row r="85" spans="1:8" ht="12.75">
      <c r="A85" s="18"/>
      <c r="B85" s="18"/>
      <c r="C85" s="18"/>
      <c r="D85" s="18"/>
      <c r="E85" s="19"/>
      <c r="F85" s="18"/>
      <c r="G85" s="18"/>
      <c r="H85" s="19"/>
    </row>
    <row r="86" spans="1:8" ht="12.75">
      <c r="A86" s="18"/>
      <c r="B86" s="18"/>
      <c r="C86" s="18"/>
      <c r="D86" s="18"/>
      <c r="E86" s="19"/>
      <c r="F86" s="18"/>
      <c r="G86" s="18"/>
      <c r="H86" s="19"/>
    </row>
    <row r="87" spans="1:8" ht="12.75">
      <c r="A87" s="18"/>
      <c r="B87" s="18"/>
      <c r="C87" s="18"/>
      <c r="D87" s="18"/>
      <c r="E87" s="19"/>
      <c r="F87" s="18"/>
      <c r="G87" s="18"/>
      <c r="H87" s="19"/>
    </row>
    <row r="88" spans="1:8" ht="12.75">
      <c r="A88" s="18"/>
      <c r="B88" s="18"/>
      <c r="C88" s="18"/>
      <c r="D88" s="18"/>
      <c r="E88" s="19"/>
      <c r="F88" s="18"/>
      <c r="G88" s="18"/>
      <c r="H88" s="19"/>
    </row>
    <row r="89" spans="1:8" ht="12.75">
      <c r="A89" s="18"/>
      <c r="B89" s="18"/>
      <c r="C89" s="18"/>
      <c r="D89" s="18"/>
      <c r="E89" s="19"/>
      <c r="F89" s="18"/>
      <c r="G89" s="18"/>
      <c r="H89" s="19"/>
    </row>
    <row r="90" spans="1:8" ht="12.75">
      <c r="A90" s="18"/>
      <c r="B90" s="18"/>
      <c r="C90" s="18"/>
      <c r="D90" s="18"/>
      <c r="E90" s="19"/>
      <c r="F90" s="18"/>
      <c r="G90" s="18"/>
      <c r="H90" s="19"/>
    </row>
    <row r="91" spans="1:8" ht="12.75">
      <c r="A91" s="18"/>
      <c r="B91" s="18"/>
      <c r="C91" s="18"/>
      <c r="D91" s="18"/>
      <c r="E91" s="19"/>
      <c r="F91" s="18"/>
      <c r="G91" s="18"/>
      <c r="H91" s="19"/>
    </row>
    <row r="92" spans="1:8" ht="12.75">
      <c r="A92" s="18"/>
      <c r="B92" s="18"/>
      <c r="C92" s="18"/>
      <c r="D92" s="18"/>
      <c r="E92" s="19"/>
      <c r="F92" s="18"/>
      <c r="G92" s="18"/>
      <c r="H92" s="19"/>
    </row>
    <row r="93" spans="1:8" ht="12.75">
      <c r="A93" s="18"/>
      <c r="B93" s="18"/>
      <c r="C93" s="18"/>
      <c r="D93" s="18"/>
      <c r="E93" s="19"/>
      <c r="F93" s="18"/>
      <c r="G93" s="18"/>
      <c r="H93" s="19"/>
    </row>
    <row r="94" spans="1:8" ht="12.75">
      <c r="A94" s="18"/>
      <c r="B94" s="18"/>
      <c r="C94" s="18"/>
      <c r="D94" s="18"/>
      <c r="E94" s="19"/>
      <c r="F94" s="18"/>
      <c r="G94" s="18"/>
      <c r="H94" s="19"/>
    </row>
    <row r="95" spans="1:8" ht="12.75">
      <c r="A95" s="18"/>
      <c r="B95" s="18"/>
      <c r="C95" s="18"/>
      <c r="D95" s="18"/>
      <c r="E95" s="19"/>
      <c r="F95" s="18"/>
      <c r="G95" s="18"/>
      <c r="H95" s="19"/>
    </row>
    <row r="96" spans="1:8" ht="12.75">
      <c r="A96" s="18"/>
      <c r="B96" s="18"/>
      <c r="C96" s="18"/>
      <c r="D96" s="18"/>
      <c r="E96" s="19"/>
      <c r="F96" s="18"/>
      <c r="G96" s="18"/>
      <c r="H96" s="19"/>
    </row>
    <row r="97" spans="1:8" ht="12.75">
      <c r="A97" s="18"/>
      <c r="B97" s="18"/>
      <c r="C97" s="18"/>
      <c r="D97" s="18"/>
      <c r="E97" s="19"/>
      <c r="F97" s="18"/>
      <c r="G97" s="18"/>
      <c r="H97" s="19"/>
    </row>
    <row r="98" spans="1:8" ht="12.75">
      <c r="A98" s="18"/>
      <c r="B98" s="18"/>
      <c r="C98" s="18"/>
      <c r="D98" s="18"/>
      <c r="E98" s="19"/>
      <c r="F98" s="18"/>
      <c r="G98" s="18"/>
      <c r="H98" s="19"/>
    </row>
    <row r="99" spans="1:8" ht="12.75">
      <c r="A99" s="18"/>
      <c r="B99" s="18"/>
      <c r="C99" s="18"/>
      <c r="D99" s="18"/>
      <c r="E99" s="19"/>
      <c r="F99" s="18"/>
      <c r="G99" s="18"/>
      <c r="H99" s="19"/>
    </row>
    <row r="100" spans="1:8" ht="12.75">
      <c r="A100" s="18"/>
      <c r="B100" s="18"/>
      <c r="C100" s="18"/>
      <c r="D100" s="18"/>
      <c r="E100" s="19"/>
      <c r="F100" s="18"/>
      <c r="G100" s="18"/>
      <c r="H100" s="19"/>
    </row>
    <row r="101" spans="1:8" ht="12.75">
      <c r="A101" s="18"/>
      <c r="B101" s="18"/>
      <c r="C101" s="18"/>
      <c r="D101" s="18"/>
      <c r="E101" s="19"/>
      <c r="F101" s="18"/>
      <c r="G101" s="18"/>
      <c r="H101" s="19"/>
    </row>
    <row r="102" spans="1:8" ht="12.75">
      <c r="A102" s="18"/>
      <c r="B102" s="18"/>
      <c r="C102" s="18"/>
      <c r="D102" s="18"/>
      <c r="E102" s="19"/>
      <c r="F102" s="18"/>
      <c r="G102" s="18"/>
      <c r="H102" s="19"/>
    </row>
    <row r="103" spans="1:8" ht="12.75">
      <c r="A103" s="18"/>
      <c r="B103" s="18"/>
      <c r="C103" s="18"/>
      <c r="D103" s="18"/>
      <c r="E103" s="19"/>
      <c r="F103" s="18"/>
      <c r="G103" s="18"/>
      <c r="H103" s="19"/>
    </row>
    <row r="104" spans="1:8" ht="12.75">
      <c r="A104" s="18"/>
      <c r="B104" s="18"/>
      <c r="C104" s="18"/>
      <c r="D104" s="18"/>
      <c r="E104" s="19"/>
      <c r="F104" s="18"/>
      <c r="G104" s="18"/>
      <c r="H104" s="19"/>
    </row>
    <row r="105" spans="1:8" ht="12.75">
      <c r="A105" s="18"/>
      <c r="B105" s="18"/>
      <c r="C105" s="18"/>
      <c r="D105" s="18"/>
      <c r="E105" s="19"/>
      <c r="F105" s="18"/>
      <c r="G105" s="18"/>
      <c r="H105" s="19"/>
    </row>
    <row r="106" spans="1:8" ht="12.75">
      <c r="A106" s="18"/>
      <c r="B106" s="18"/>
      <c r="C106" s="18"/>
      <c r="D106" s="18"/>
      <c r="E106" s="19"/>
      <c r="F106" s="18"/>
      <c r="G106" s="18"/>
      <c r="H106" s="19"/>
    </row>
    <row r="107" spans="1:8" ht="12.75">
      <c r="A107" s="18"/>
      <c r="B107" s="18"/>
      <c r="C107" s="18"/>
      <c r="D107" s="18"/>
      <c r="E107" s="19"/>
      <c r="F107" s="18"/>
      <c r="G107" s="18"/>
      <c r="H107" s="19"/>
    </row>
    <row r="108" spans="1:8" ht="12.75">
      <c r="A108" s="18"/>
      <c r="B108" s="18"/>
      <c r="C108" s="18"/>
      <c r="D108" s="18"/>
      <c r="E108" s="19"/>
      <c r="F108" s="18"/>
      <c r="G108" s="18"/>
      <c r="H108" s="19"/>
    </row>
    <row r="109" spans="1:8" ht="12.75">
      <c r="A109" s="18"/>
      <c r="B109" s="18"/>
      <c r="C109" s="18"/>
      <c r="D109" s="18"/>
      <c r="E109" s="19"/>
      <c r="F109" s="18"/>
      <c r="G109" s="18"/>
      <c r="H109" s="19"/>
    </row>
    <row r="110" spans="1:8" ht="12.75">
      <c r="A110" s="18"/>
      <c r="B110" s="18"/>
      <c r="C110" s="18"/>
      <c r="D110" s="18"/>
      <c r="E110" s="19"/>
      <c r="F110" s="18"/>
      <c r="G110" s="18"/>
      <c r="H110" s="19"/>
    </row>
    <row r="111" spans="1:8" ht="12.75">
      <c r="A111" s="18"/>
      <c r="B111" s="18"/>
      <c r="C111" s="18"/>
      <c r="D111" s="18"/>
      <c r="E111" s="19"/>
      <c r="F111" s="18"/>
      <c r="G111" s="18"/>
      <c r="H111" s="19"/>
    </row>
    <row r="112" spans="1:8" ht="12.75">
      <c r="A112" s="18"/>
      <c r="B112" s="18"/>
      <c r="C112" s="18"/>
      <c r="D112" s="18"/>
      <c r="E112" s="19"/>
      <c r="F112" s="18"/>
      <c r="G112" s="18"/>
      <c r="H112" s="19"/>
    </row>
    <row r="113" spans="1:8" ht="12.75">
      <c r="A113" s="18"/>
      <c r="B113" s="18"/>
      <c r="C113" s="18"/>
      <c r="D113" s="18"/>
      <c r="E113" s="19"/>
      <c r="F113" s="18"/>
      <c r="G113" s="18"/>
      <c r="H113" s="19"/>
    </row>
    <row r="114" spans="1:8" ht="12.75">
      <c r="A114" s="18"/>
      <c r="B114" s="18"/>
      <c r="C114" s="18"/>
      <c r="D114" s="18"/>
      <c r="E114" s="19"/>
      <c r="F114" s="18"/>
      <c r="G114" s="18"/>
      <c r="H114" s="19"/>
    </row>
    <row r="115" spans="1:8" ht="12.75">
      <c r="A115" s="18"/>
      <c r="B115" s="18"/>
      <c r="C115" s="18"/>
      <c r="D115" s="18"/>
      <c r="E115" s="19"/>
      <c r="F115" s="18"/>
      <c r="G115" s="18"/>
      <c r="H115" s="19"/>
    </row>
    <row r="116" spans="1:8" ht="12.75">
      <c r="A116" s="18"/>
      <c r="B116" s="18"/>
      <c r="C116" s="18"/>
      <c r="D116" s="18"/>
      <c r="E116" s="19"/>
      <c r="F116" s="18"/>
      <c r="G116" s="18"/>
      <c r="H116" s="19"/>
    </row>
    <row r="117" spans="1:8" ht="12.75">
      <c r="A117" s="18"/>
      <c r="B117" s="18"/>
      <c r="C117" s="18"/>
      <c r="D117" s="18"/>
      <c r="E117" s="19"/>
      <c r="F117" s="18"/>
      <c r="G117" s="18"/>
      <c r="H117" s="19"/>
    </row>
    <row r="118" spans="1:8" ht="12.75">
      <c r="A118" s="18"/>
      <c r="B118" s="18"/>
      <c r="C118" s="18"/>
      <c r="D118" s="18"/>
      <c r="E118" s="19"/>
      <c r="F118" s="18"/>
      <c r="G118" s="18"/>
      <c r="H118" s="19"/>
    </row>
    <row r="119" spans="1:8" ht="12.75">
      <c r="A119" s="18"/>
      <c r="B119" s="18"/>
      <c r="C119" s="18"/>
      <c r="D119" s="18"/>
      <c r="E119" s="19"/>
      <c r="F119" s="18"/>
      <c r="G119" s="18"/>
      <c r="H119" s="19"/>
    </row>
    <row r="120" spans="1:8" ht="12.75">
      <c r="A120" s="18"/>
      <c r="B120" s="18"/>
      <c r="C120" s="18"/>
      <c r="D120" s="18"/>
      <c r="E120" s="19"/>
      <c r="F120" s="18"/>
      <c r="G120" s="18"/>
      <c r="H120" s="19"/>
    </row>
    <row r="121" spans="1:8" ht="12.75">
      <c r="A121" s="18"/>
      <c r="B121" s="18"/>
      <c r="C121" s="18"/>
      <c r="D121" s="18"/>
      <c r="E121" s="19"/>
      <c r="F121" s="18"/>
      <c r="G121" s="18"/>
      <c r="H121" s="19"/>
    </row>
    <row r="122" spans="1:8" ht="12.75">
      <c r="A122" s="18"/>
      <c r="B122" s="18"/>
      <c r="C122" s="18"/>
      <c r="D122" s="18"/>
      <c r="E122" s="19"/>
      <c r="F122" s="18"/>
      <c r="G122" s="18"/>
      <c r="H122" s="19"/>
    </row>
    <row r="123" spans="1:8" ht="12.75">
      <c r="A123" s="18"/>
      <c r="B123" s="18"/>
      <c r="C123" s="18"/>
      <c r="D123" s="18"/>
      <c r="E123" s="19"/>
      <c r="F123" s="18"/>
      <c r="G123" s="18"/>
      <c r="H123" s="19"/>
    </row>
    <row r="124" spans="1:8" ht="12.75">
      <c r="A124" s="18"/>
      <c r="B124" s="18"/>
      <c r="C124" s="18"/>
      <c r="D124" s="18"/>
      <c r="E124" s="19"/>
      <c r="F124" s="18"/>
      <c r="G124" s="18"/>
      <c r="H124" s="19"/>
    </row>
    <row r="125" spans="1:8" ht="12.75">
      <c r="A125" s="18"/>
      <c r="B125" s="18"/>
      <c r="C125" s="18"/>
      <c r="D125" s="18"/>
      <c r="E125" s="19"/>
      <c r="F125" s="18"/>
      <c r="G125" s="18"/>
      <c r="H125" s="19"/>
    </row>
    <row r="126" spans="1:8" ht="12.75">
      <c r="A126" s="18"/>
      <c r="B126" s="18"/>
      <c r="C126" s="18"/>
      <c r="D126" s="18"/>
      <c r="E126" s="19"/>
      <c r="F126" s="18"/>
      <c r="G126" s="18"/>
      <c r="H126" s="19"/>
    </row>
    <row r="127" spans="1:8" ht="12.75">
      <c r="A127" s="18"/>
      <c r="B127" s="18"/>
      <c r="C127" s="18"/>
      <c r="D127" s="18"/>
      <c r="E127" s="19"/>
      <c r="F127" s="18"/>
      <c r="G127" s="18"/>
      <c r="H127" s="19"/>
    </row>
    <row r="128" spans="1:8" ht="12.75">
      <c r="A128" s="18"/>
      <c r="B128" s="18"/>
      <c r="C128" s="18"/>
      <c r="D128" s="18"/>
      <c r="E128" s="19"/>
      <c r="F128" s="18"/>
      <c r="G128" s="18"/>
      <c r="H128" s="19"/>
    </row>
    <row r="129" spans="1:8" ht="12.75">
      <c r="A129" s="18"/>
      <c r="B129" s="18"/>
      <c r="C129" s="18"/>
      <c r="D129" s="18"/>
      <c r="E129" s="19"/>
      <c r="F129" s="18"/>
      <c r="G129" s="18"/>
      <c r="H129" s="19"/>
    </row>
    <row r="130" spans="1:8" ht="12.75">
      <c r="A130" s="18"/>
      <c r="B130" s="18"/>
      <c r="C130" s="18"/>
      <c r="D130" s="18"/>
      <c r="E130" s="19"/>
      <c r="F130" s="18"/>
      <c r="G130" s="18"/>
      <c r="H130" s="19"/>
    </row>
    <row r="131" spans="1:8" ht="12.75">
      <c r="A131" s="18"/>
      <c r="B131" s="18"/>
      <c r="C131" s="18"/>
      <c r="D131" s="18"/>
      <c r="E131" s="19"/>
      <c r="F131" s="18"/>
      <c r="G131" s="18"/>
      <c r="H131" s="19"/>
    </row>
    <row r="132" spans="1:8" ht="12.75">
      <c r="A132" s="18"/>
      <c r="B132" s="18"/>
      <c r="C132" s="18"/>
      <c r="D132" s="18"/>
      <c r="E132" s="19"/>
      <c r="F132" s="18"/>
      <c r="G132" s="18"/>
      <c r="H132" s="19"/>
    </row>
    <row r="133" spans="1:8" ht="12.75">
      <c r="A133" s="18"/>
      <c r="B133" s="18"/>
      <c r="C133" s="18"/>
      <c r="D133" s="18"/>
      <c r="E133" s="19"/>
      <c r="F133" s="18"/>
      <c r="G133" s="18"/>
      <c r="H133" s="19"/>
    </row>
    <row r="134" spans="1:8" ht="12.75">
      <c r="A134" s="18"/>
      <c r="B134" s="18"/>
      <c r="C134" s="18"/>
      <c r="D134" s="18"/>
      <c r="E134" s="19"/>
      <c r="F134" s="18"/>
      <c r="G134" s="18"/>
      <c r="H134" s="19"/>
    </row>
    <row r="135" spans="1:8" ht="12.75">
      <c r="A135" s="18"/>
      <c r="B135" s="18"/>
      <c r="C135" s="18"/>
      <c r="D135" s="18"/>
      <c r="E135" s="19"/>
      <c r="F135" s="18"/>
      <c r="G135" s="18"/>
      <c r="H135" s="19"/>
    </row>
    <row r="136" spans="1:8" ht="12.75">
      <c r="A136" s="18"/>
      <c r="B136" s="18"/>
      <c r="C136" s="18"/>
      <c r="D136" s="18"/>
      <c r="E136" s="19"/>
      <c r="F136" s="18"/>
      <c r="G136" s="18"/>
      <c r="H136" s="19"/>
    </row>
    <row r="137" spans="1:8" ht="12.75">
      <c r="A137" s="18"/>
      <c r="B137" s="18"/>
      <c r="C137" s="18"/>
      <c r="D137" s="18"/>
      <c r="E137" s="19"/>
      <c r="F137" s="18"/>
      <c r="G137" s="18"/>
      <c r="H137" s="19"/>
    </row>
    <row r="138" spans="1:8" ht="12.75">
      <c r="A138" s="18"/>
      <c r="B138" s="18"/>
      <c r="C138" s="18"/>
      <c r="D138" s="18"/>
      <c r="E138" s="19"/>
      <c r="F138" s="18"/>
      <c r="G138" s="18"/>
      <c r="H138" s="19"/>
    </row>
    <row r="139" spans="1:8" ht="12.75">
      <c r="A139" s="18"/>
      <c r="B139" s="18"/>
      <c r="C139" s="18"/>
      <c r="D139" s="18"/>
      <c r="E139" s="19"/>
      <c r="F139" s="18"/>
      <c r="G139" s="18"/>
      <c r="H139" s="19"/>
    </row>
    <row r="140" spans="1:8" ht="12.75">
      <c r="A140" s="18"/>
      <c r="B140" s="18"/>
      <c r="C140" s="18"/>
      <c r="D140" s="18"/>
      <c r="E140" s="19"/>
      <c r="F140" s="18"/>
      <c r="G140" s="18"/>
      <c r="H140" s="19"/>
    </row>
    <row r="141" spans="1:8" ht="12.75">
      <c r="A141" s="18"/>
      <c r="B141" s="18"/>
      <c r="C141" s="18"/>
      <c r="D141" s="18"/>
      <c r="E141" s="19"/>
      <c r="F141" s="18"/>
      <c r="G141" s="18"/>
      <c r="H141" s="19"/>
    </row>
    <row r="142" spans="1:8" ht="12.75">
      <c r="A142" s="18"/>
      <c r="B142" s="18"/>
      <c r="C142" s="18"/>
      <c r="D142" s="18"/>
      <c r="E142" s="19"/>
      <c r="F142" s="18"/>
      <c r="G142" s="18"/>
      <c r="H142" s="19"/>
    </row>
    <row r="143" spans="1:8" ht="12.75">
      <c r="A143" s="18"/>
      <c r="B143" s="18"/>
      <c r="C143" s="18"/>
      <c r="D143" s="18"/>
      <c r="E143" s="19"/>
      <c r="F143" s="18"/>
      <c r="G143" s="18"/>
      <c r="H143" s="19"/>
    </row>
    <row r="144" spans="1:8" ht="12.75">
      <c r="A144" s="18"/>
      <c r="B144" s="18"/>
      <c r="C144" s="18"/>
      <c r="D144" s="18"/>
      <c r="E144" s="19"/>
      <c r="F144" s="18"/>
      <c r="G144" s="18"/>
      <c r="H144" s="19"/>
    </row>
    <row r="145" spans="1:8" ht="12.75">
      <c r="A145" s="18"/>
      <c r="B145" s="18"/>
      <c r="C145" s="18"/>
      <c r="D145" s="18"/>
      <c r="E145" s="19"/>
      <c r="F145" s="18"/>
      <c r="G145" s="18"/>
      <c r="H145" s="19"/>
    </row>
    <row r="146" spans="1:8" ht="12.75">
      <c r="A146" s="18"/>
      <c r="B146" s="18"/>
      <c r="C146" s="18"/>
      <c r="D146" s="18"/>
      <c r="E146" s="19"/>
      <c r="F146" s="18"/>
      <c r="G146" s="18"/>
      <c r="H146" s="19"/>
    </row>
    <row r="147" spans="1:8" ht="12.75">
      <c r="A147" s="18"/>
      <c r="B147" s="18"/>
      <c r="C147" s="18"/>
      <c r="D147" s="18"/>
      <c r="E147" s="19"/>
      <c r="F147" s="18"/>
      <c r="G147" s="18"/>
      <c r="H147" s="19"/>
    </row>
    <row r="148" spans="1:8" ht="12.75">
      <c r="A148" s="18"/>
      <c r="B148" s="18"/>
      <c r="C148" s="18"/>
      <c r="D148" s="18"/>
      <c r="E148" s="19"/>
      <c r="F148" s="18"/>
      <c r="G148" s="18"/>
      <c r="H148" s="19"/>
    </row>
    <row r="149" spans="1:8" ht="12.75">
      <c r="A149" s="18"/>
      <c r="B149" s="18"/>
      <c r="C149" s="18"/>
      <c r="D149" s="18"/>
      <c r="E149" s="19"/>
      <c r="F149" s="18"/>
      <c r="G149" s="18"/>
      <c r="H149" s="19"/>
    </row>
    <row r="150" spans="1:8" ht="12.75">
      <c r="A150" s="18"/>
      <c r="B150" s="18"/>
      <c r="C150" s="18"/>
      <c r="D150" s="18"/>
      <c r="E150" s="19"/>
      <c r="F150" s="18"/>
      <c r="G150" s="18"/>
      <c r="H150" s="19"/>
    </row>
    <row r="151" spans="1:8" ht="12.75">
      <c r="A151" s="18"/>
      <c r="B151" s="18"/>
      <c r="C151" s="18"/>
      <c r="D151" s="18"/>
      <c r="E151" s="19"/>
      <c r="F151" s="18"/>
      <c r="G151" s="18"/>
      <c r="H151" s="19"/>
    </row>
    <row r="152" spans="1:8" ht="12.75">
      <c r="A152" s="18"/>
      <c r="B152" s="18"/>
      <c r="C152" s="18"/>
      <c r="D152" s="18"/>
      <c r="E152" s="19"/>
      <c r="F152" s="18"/>
      <c r="G152" s="18"/>
      <c r="H152" s="19"/>
    </row>
    <row r="153" spans="1:8" ht="12.75">
      <c r="A153" s="18"/>
      <c r="B153" s="18"/>
      <c r="C153" s="18"/>
      <c r="D153" s="18"/>
      <c r="E153" s="19"/>
      <c r="F153" s="18"/>
      <c r="G153" s="18"/>
      <c r="H153" s="19"/>
    </row>
    <row r="154" spans="1:8" ht="12.75">
      <c r="A154" s="18"/>
      <c r="B154" s="18"/>
      <c r="C154" s="18"/>
      <c r="D154" s="18"/>
      <c r="E154" s="19"/>
      <c r="F154" s="18"/>
      <c r="G154" s="18"/>
      <c r="H154" s="19"/>
    </row>
    <row r="155" spans="1:8" ht="12.75">
      <c r="A155" s="18"/>
      <c r="B155" s="18"/>
      <c r="C155" s="18"/>
      <c r="D155" s="18"/>
      <c r="E155" s="19"/>
      <c r="F155" s="18"/>
      <c r="G155" s="18"/>
      <c r="H155" s="19"/>
    </row>
    <row r="156" spans="1:8" ht="12.75">
      <c r="A156" s="18"/>
      <c r="B156" s="18"/>
      <c r="C156" s="18"/>
      <c r="D156" s="18"/>
      <c r="E156" s="19"/>
      <c r="F156" s="18"/>
      <c r="G156" s="18"/>
      <c r="H156" s="19"/>
    </row>
    <row r="157" spans="1:8" ht="12.75">
      <c r="A157" s="18"/>
      <c r="B157" s="18"/>
      <c r="C157" s="18"/>
      <c r="D157" s="18"/>
      <c r="E157" s="19"/>
      <c r="F157" s="18"/>
      <c r="G157" s="18"/>
      <c r="H157" s="19"/>
    </row>
    <row r="158" spans="1:8" ht="12.75">
      <c r="A158" s="18"/>
      <c r="B158" s="18"/>
      <c r="C158" s="18"/>
      <c r="D158" s="18"/>
      <c r="E158" s="19"/>
      <c r="F158" s="18"/>
      <c r="G158" s="18"/>
      <c r="H158" s="19"/>
    </row>
    <row r="159" spans="1:8" ht="12.75">
      <c r="A159" s="18"/>
      <c r="B159" s="18"/>
      <c r="C159" s="18"/>
      <c r="D159" s="18"/>
      <c r="E159" s="19"/>
      <c r="F159" s="18"/>
      <c r="G159" s="18"/>
      <c r="H159" s="19"/>
    </row>
    <row r="160" spans="1:8" ht="12.75">
      <c r="A160" s="18"/>
      <c r="B160" s="18"/>
      <c r="C160" s="18"/>
      <c r="D160" s="18"/>
      <c r="E160" s="19"/>
      <c r="F160" s="18"/>
      <c r="G160" s="18"/>
      <c r="H160" s="19"/>
    </row>
    <row r="161" spans="1:8" ht="12.75">
      <c r="A161" s="18"/>
      <c r="B161" s="18"/>
      <c r="C161" s="18"/>
      <c r="D161" s="18"/>
      <c r="E161" s="19"/>
      <c r="F161" s="18"/>
      <c r="G161" s="18"/>
      <c r="H161" s="19"/>
    </row>
    <row r="162" spans="1:8" ht="12.75">
      <c r="A162" s="18"/>
      <c r="B162" s="18"/>
      <c r="C162" s="18"/>
      <c r="D162" s="18"/>
      <c r="E162" s="19"/>
      <c r="F162" s="18"/>
      <c r="G162" s="18"/>
      <c r="H162" s="19"/>
    </row>
    <row r="163" spans="1:8" ht="12.75">
      <c r="A163" s="18"/>
      <c r="B163" s="18"/>
      <c r="C163" s="18"/>
      <c r="D163" s="18"/>
      <c r="E163" s="19"/>
      <c r="F163" s="18"/>
      <c r="G163" s="18"/>
      <c r="H163" s="19"/>
    </row>
    <row r="164" spans="1:8" ht="12.75">
      <c r="A164" s="18"/>
      <c r="B164" s="18"/>
      <c r="C164" s="18"/>
      <c r="D164" s="18"/>
      <c r="E164" s="19"/>
      <c r="F164" s="18"/>
      <c r="G164" s="18"/>
      <c r="H164" s="19"/>
    </row>
    <row r="165" spans="1:8" ht="12.75">
      <c r="A165" s="18"/>
      <c r="B165" s="18"/>
      <c r="C165" s="18"/>
      <c r="D165" s="18"/>
      <c r="E165" s="19"/>
      <c r="F165" s="18"/>
      <c r="G165" s="18"/>
      <c r="H165" s="19"/>
    </row>
    <row r="166" spans="1:8" ht="12.75">
      <c r="A166" s="18"/>
      <c r="B166" s="18"/>
      <c r="C166" s="18"/>
      <c r="D166" s="18"/>
      <c r="E166" s="19"/>
      <c r="F166" s="18"/>
      <c r="G166" s="18"/>
      <c r="H166" s="19"/>
    </row>
    <row r="167" spans="1:8" ht="12.75">
      <c r="A167" s="18"/>
      <c r="B167" s="18"/>
      <c r="C167" s="18"/>
      <c r="D167" s="18"/>
      <c r="E167" s="19"/>
      <c r="F167" s="18"/>
      <c r="G167" s="18"/>
      <c r="H167" s="19"/>
    </row>
    <row r="168" spans="1:8" ht="12.75">
      <c r="A168" s="18"/>
      <c r="B168" s="18"/>
      <c r="C168" s="18"/>
      <c r="D168" s="18"/>
      <c r="E168" s="19"/>
      <c r="F168" s="18"/>
      <c r="G168" s="18"/>
      <c r="H168" s="19"/>
    </row>
    <row r="169" spans="1:8" ht="12.75">
      <c r="A169" s="18"/>
      <c r="B169" s="18"/>
      <c r="C169" s="18"/>
      <c r="D169" s="18"/>
      <c r="E169" s="19"/>
      <c r="F169" s="18"/>
      <c r="G169" s="18"/>
      <c r="H169" s="19"/>
    </row>
    <row r="170" spans="1:8" ht="12.75">
      <c r="A170" s="18"/>
      <c r="B170" s="18"/>
      <c r="C170" s="18"/>
      <c r="D170" s="18"/>
      <c r="E170" s="19"/>
      <c r="F170" s="18"/>
      <c r="G170" s="18"/>
      <c r="H170" s="19"/>
    </row>
    <row r="171" spans="1:8" ht="12.75">
      <c r="A171" s="18"/>
      <c r="B171" s="18"/>
      <c r="C171" s="18"/>
      <c r="D171" s="18"/>
      <c r="E171" s="19"/>
      <c r="F171" s="18"/>
      <c r="G171" s="18"/>
      <c r="H171" s="19"/>
    </row>
    <row r="172" spans="1:8" ht="12.75">
      <c r="A172" s="18"/>
      <c r="B172" s="18"/>
      <c r="C172" s="18"/>
      <c r="D172" s="18"/>
      <c r="E172" s="19"/>
      <c r="F172" s="18"/>
      <c r="G172" s="18"/>
      <c r="H172" s="19"/>
    </row>
    <row r="173" spans="1:8" ht="12.75">
      <c r="A173" s="18"/>
      <c r="B173" s="18"/>
      <c r="C173" s="18"/>
      <c r="D173" s="18"/>
      <c r="E173" s="19"/>
      <c r="F173" s="18"/>
      <c r="G173" s="18"/>
      <c r="H173" s="19"/>
    </row>
    <row r="174" spans="1:8" ht="12.75">
      <c r="A174" s="18"/>
      <c r="B174" s="18"/>
      <c r="C174" s="18"/>
      <c r="D174" s="18"/>
      <c r="E174" s="19"/>
      <c r="F174" s="18"/>
      <c r="G174" s="18"/>
      <c r="H174" s="19"/>
    </row>
    <row r="175" spans="1:8" ht="12.75">
      <c r="A175" s="18"/>
      <c r="B175" s="18"/>
      <c r="C175" s="18"/>
      <c r="D175" s="18"/>
      <c r="E175" s="19"/>
      <c r="F175" s="18"/>
      <c r="G175" s="18"/>
      <c r="H175" s="19"/>
    </row>
    <row r="176" spans="1:8" ht="12.75">
      <c r="A176" s="18"/>
      <c r="B176" s="18"/>
      <c r="C176" s="18"/>
      <c r="D176" s="18"/>
      <c r="E176" s="19"/>
      <c r="F176" s="18"/>
      <c r="G176" s="18"/>
      <c r="H176" s="19"/>
    </row>
    <row r="177" spans="1:8" ht="12.75">
      <c r="A177" s="18"/>
      <c r="B177" s="18"/>
      <c r="C177" s="18"/>
      <c r="D177" s="18"/>
      <c r="E177" s="19"/>
      <c r="F177" s="18"/>
      <c r="G177" s="18"/>
      <c r="H177" s="19"/>
    </row>
    <row r="178" spans="1:8" ht="12.75">
      <c r="A178" s="18"/>
      <c r="B178" s="18"/>
      <c r="C178" s="18"/>
      <c r="D178" s="18"/>
      <c r="E178" s="19"/>
      <c r="F178" s="18"/>
      <c r="G178" s="18"/>
      <c r="H178" s="19"/>
    </row>
    <row r="179" spans="1:8" ht="12.75">
      <c r="A179" s="18"/>
      <c r="B179" s="18"/>
      <c r="C179" s="18"/>
      <c r="D179" s="18"/>
      <c r="E179" s="19"/>
      <c r="F179" s="18"/>
      <c r="G179" s="18"/>
      <c r="H179" s="19"/>
    </row>
    <row r="180" spans="1:8" ht="12.75">
      <c r="A180" s="18"/>
      <c r="B180" s="18"/>
      <c r="C180" s="18"/>
      <c r="D180" s="18"/>
      <c r="E180" s="19"/>
      <c r="F180" s="18"/>
      <c r="G180" s="18"/>
      <c r="H180" s="19"/>
    </row>
    <row r="181" spans="1:8" ht="12.75">
      <c r="A181" s="18"/>
      <c r="B181" s="18"/>
      <c r="C181" s="18"/>
      <c r="D181" s="18"/>
      <c r="E181" s="19"/>
      <c r="F181" s="18"/>
      <c r="G181" s="18"/>
      <c r="H181" s="19"/>
    </row>
    <row r="182" spans="1:8" ht="12.75">
      <c r="A182" s="18"/>
      <c r="B182" s="18"/>
      <c r="C182" s="18"/>
      <c r="D182" s="18"/>
      <c r="E182" s="19"/>
      <c r="F182" s="18"/>
      <c r="G182" s="18"/>
      <c r="H182" s="19"/>
    </row>
    <row r="183" spans="1:8" ht="12.75">
      <c r="A183" s="18"/>
      <c r="B183" s="18"/>
      <c r="C183" s="18"/>
      <c r="D183" s="18"/>
      <c r="E183" s="19"/>
      <c r="F183" s="18"/>
      <c r="G183" s="18"/>
      <c r="H183" s="19"/>
    </row>
    <row r="184" spans="1:8" ht="12.75">
      <c r="A184" s="18"/>
      <c r="B184" s="18"/>
      <c r="C184" s="18"/>
      <c r="D184" s="18"/>
      <c r="E184" s="19"/>
      <c r="F184" s="18"/>
      <c r="G184" s="18"/>
      <c r="H184" s="19"/>
    </row>
    <row r="185" spans="1:8" ht="12.75">
      <c r="A185" s="18"/>
      <c r="B185" s="18"/>
      <c r="C185" s="18"/>
      <c r="D185" s="18"/>
      <c r="E185" s="19"/>
      <c r="F185" s="18"/>
      <c r="G185" s="18"/>
      <c r="H185" s="19"/>
    </row>
    <row r="186" spans="1:8" ht="12.75">
      <c r="A186" s="18"/>
      <c r="B186" s="18"/>
      <c r="C186" s="18"/>
      <c r="D186" s="18"/>
      <c r="E186" s="19"/>
      <c r="F186" s="18"/>
      <c r="G186" s="18"/>
      <c r="H186" s="19"/>
    </row>
    <row r="187" spans="1:8" ht="12.75">
      <c r="A187" s="18"/>
      <c r="B187" s="18"/>
      <c r="C187" s="18"/>
      <c r="D187" s="18"/>
      <c r="E187" s="19"/>
      <c r="F187" s="18"/>
      <c r="G187" s="18"/>
      <c r="H187" s="19"/>
    </row>
    <row r="188" spans="1:8" ht="12.75">
      <c r="A188" s="18"/>
      <c r="B188" s="18"/>
      <c r="C188" s="18"/>
      <c r="D188" s="18"/>
      <c r="E188" s="19"/>
      <c r="F188" s="18"/>
      <c r="G188" s="18"/>
      <c r="H188" s="19"/>
    </row>
    <row r="189" spans="1:8" ht="12.75">
      <c r="A189" s="18"/>
      <c r="B189" s="18"/>
      <c r="C189" s="18"/>
      <c r="D189" s="18"/>
      <c r="E189" s="19"/>
      <c r="F189" s="18"/>
      <c r="G189" s="18"/>
      <c r="H189" s="19"/>
    </row>
    <row r="190" spans="1:8" ht="12.75">
      <c r="A190" s="18"/>
      <c r="B190" s="18"/>
      <c r="C190" s="18"/>
      <c r="D190" s="18"/>
      <c r="E190" s="19"/>
      <c r="F190" s="18"/>
      <c r="G190" s="18"/>
      <c r="H190" s="19"/>
    </row>
    <row r="191" spans="1:8" ht="12.75">
      <c r="A191" s="18"/>
      <c r="B191" s="18"/>
      <c r="C191" s="18"/>
      <c r="D191" s="18"/>
      <c r="E191" s="19"/>
      <c r="F191" s="18"/>
      <c r="G191" s="18"/>
      <c r="H191" s="19"/>
    </row>
    <row r="192" spans="1:8" ht="12.75">
      <c r="A192" s="18"/>
      <c r="B192" s="18"/>
      <c r="C192" s="18"/>
      <c r="D192" s="18"/>
      <c r="E192" s="19"/>
      <c r="F192" s="18"/>
      <c r="G192" s="18"/>
      <c r="H192" s="19"/>
    </row>
    <row r="193" spans="1:8" ht="12.75">
      <c r="A193" s="18"/>
      <c r="B193" s="18"/>
      <c r="C193" s="18"/>
      <c r="D193" s="18"/>
      <c r="E193" s="19"/>
      <c r="F193" s="18"/>
      <c r="G193" s="18"/>
      <c r="H193" s="19"/>
    </row>
    <row r="194" spans="1:8" ht="12.75">
      <c r="A194" s="18"/>
      <c r="B194" s="18"/>
      <c r="C194" s="18"/>
      <c r="D194" s="18"/>
      <c r="E194" s="19"/>
      <c r="F194" s="18"/>
      <c r="G194" s="18"/>
      <c r="H194" s="19"/>
    </row>
    <row r="195" spans="1:8" ht="12.75">
      <c r="A195" s="18"/>
      <c r="B195" s="18"/>
      <c r="C195" s="18"/>
      <c r="D195" s="18"/>
      <c r="E195" s="19"/>
      <c r="F195" s="18"/>
      <c r="G195" s="18"/>
      <c r="H195" s="19"/>
    </row>
    <row r="196" spans="1:8" ht="12.75">
      <c r="A196" s="18"/>
      <c r="B196" s="18"/>
      <c r="C196" s="18"/>
      <c r="D196" s="18"/>
      <c r="E196" s="19"/>
      <c r="F196" s="18"/>
      <c r="G196" s="18"/>
      <c r="H196" s="19"/>
    </row>
    <row r="197" spans="1:8" ht="12.75">
      <c r="A197" s="18"/>
      <c r="B197" s="18"/>
      <c r="C197" s="18"/>
      <c r="D197" s="18"/>
      <c r="E197" s="19"/>
      <c r="F197" s="18"/>
      <c r="G197" s="18"/>
      <c r="H197" s="19"/>
    </row>
    <row r="198" spans="1:8" ht="12.75">
      <c r="A198" s="18"/>
      <c r="B198" s="18"/>
      <c r="C198" s="18"/>
      <c r="D198" s="18"/>
      <c r="E198" s="19"/>
      <c r="F198" s="18"/>
      <c r="G198" s="18"/>
      <c r="H198" s="19"/>
    </row>
    <row r="199" spans="1:8" ht="12.75">
      <c r="A199" s="18"/>
      <c r="B199" s="18"/>
      <c r="C199" s="18"/>
      <c r="D199" s="18"/>
      <c r="E199" s="19"/>
      <c r="F199" s="18"/>
      <c r="G199" s="18"/>
      <c r="H199" s="19"/>
    </row>
    <row r="200" spans="1:8" ht="12.75">
      <c r="A200" s="18"/>
      <c r="B200" s="18"/>
      <c r="C200" s="18"/>
      <c r="D200" s="18"/>
      <c r="E200" s="19"/>
      <c r="F200" s="18"/>
      <c r="G200" s="18"/>
      <c r="H200" s="19"/>
    </row>
    <row r="201" spans="1:8" ht="12.75">
      <c r="A201" s="18"/>
      <c r="B201" s="18"/>
      <c r="C201" s="18"/>
      <c r="D201" s="18"/>
      <c r="E201" s="19"/>
      <c r="F201" s="18"/>
      <c r="G201" s="18"/>
      <c r="H201" s="19"/>
    </row>
    <row r="202" spans="1:8" ht="12.75">
      <c r="A202" s="18"/>
      <c r="B202" s="18"/>
      <c r="C202" s="18"/>
      <c r="D202" s="18"/>
      <c r="E202" s="19"/>
      <c r="F202" s="18"/>
      <c r="G202" s="18"/>
      <c r="H202" s="19"/>
    </row>
    <row r="203" spans="1:8" ht="12.75">
      <c r="A203" s="18"/>
      <c r="B203" s="18"/>
      <c r="C203" s="18"/>
      <c r="D203" s="18"/>
      <c r="E203" s="19"/>
      <c r="F203" s="18"/>
      <c r="G203" s="18"/>
      <c r="H203" s="19"/>
    </row>
    <row r="204" spans="1:8" ht="12.75">
      <c r="A204" s="18"/>
      <c r="B204" s="18"/>
      <c r="C204" s="18"/>
      <c r="D204" s="18"/>
      <c r="E204" s="19"/>
      <c r="F204" s="18"/>
      <c r="G204" s="18"/>
      <c r="H204" s="19"/>
    </row>
    <row r="205" spans="1:8" ht="12.75">
      <c r="A205" s="18"/>
      <c r="B205" s="18"/>
      <c r="C205" s="18"/>
      <c r="D205" s="18"/>
      <c r="E205" s="19"/>
      <c r="F205" s="18"/>
      <c r="G205" s="18"/>
      <c r="H205" s="19"/>
    </row>
    <row r="206" spans="1:8" ht="12.75">
      <c r="A206" s="18"/>
      <c r="B206" s="18"/>
      <c r="C206" s="18"/>
      <c r="D206" s="18"/>
      <c r="E206" s="19"/>
      <c r="F206" s="18"/>
      <c r="G206" s="18"/>
      <c r="H206" s="19"/>
    </row>
    <row r="207" spans="1:8" ht="12.75">
      <c r="A207" s="18"/>
      <c r="B207" s="18"/>
      <c r="C207" s="18"/>
      <c r="D207" s="18"/>
      <c r="E207" s="19"/>
      <c r="F207" s="18"/>
      <c r="G207" s="18"/>
      <c r="H207" s="19"/>
    </row>
    <row r="208" spans="1:8" ht="12.75">
      <c r="A208" s="18"/>
      <c r="B208" s="18"/>
      <c r="C208" s="18"/>
      <c r="D208" s="18"/>
      <c r="E208" s="19"/>
      <c r="F208" s="18"/>
      <c r="G208" s="18"/>
      <c r="H208" s="19"/>
    </row>
    <row r="209" spans="1:8" ht="12.75">
      <c r="A209" s="18"/>
      <c r="B209" s="18"/>
      <c r="C209" s="18"/>
      <c r="D209" s="18"/>
      <c r="E209" s="19"/>
      <c r="F209" s="18"/>
      <c r="G209" s="18"/>
      <c r="H209" s="19"/>
    </row>
    <row r="210" spans="1:8" ht="12.75">
      <c r="A210" s="18"/>
      <c r="B210" s="18"/>
      <c r="C210" s="18"/>
      <c r="D210" s="18"/>
      <c r="E210" s="19"/>
      <c r="F210" s="18"/>
      <c r="G210" s="18"/>
      <c r="H210" s="19"/>
    </row>
    <row r="211" spans="1:8" ht="12.75">
      <c r="A211" s="18"/>
      <c r="B211" s="18"/>
      <c r="C211" s="18"/>
      <c r="D211" s="18"/>
      <c r="E211" s="19"/>
      <c r="F211" s="18"/>
      <c r="G211" s="18"/>
      <c r="H211" s="19"/>
    </row>
    <row r="212" spans="1:8" ht="12.75">
      <c r="A212" s="18"/>
      <c r="B212" s="18"/>
      <c r="C212" s="18"/>
      <c r="D212" s="18"/>
      <c r="E212" s="19"/>
      <c r="F212" s="18"/>
      <c r="G212" s="18"/>
      <c r="H212" s="19"/>
    </row>
    <row r="213" spans="1:8" ht="12.75">
      <c r="A213" s="18"/>
      <c r="B213" s="18"/>
      <c r="C213" s="18"/>
      <c r="D213" s="18"/>
      <c r="E213" s="19"/>
      <c r="F213" s="18"/>
      <c r="G213" s="18"/>
      <c r="H213" s="19"/>
    </row>
    <row r="214" spans="1:8" ht="12.75">
      <c r="A214" s="18"/>
      <c r="B214" s="18"/>
      <c r="C214" s="18"/>
      <c r="D214" s="18"/>
      <c r="E214" s="19"/>
      <c r="F214" s="18"/>
      <c r="G214" s="18"/>
      <c r="H214" s="19"/>
    </row>
    <row r="215" spans="1:8" ht="12.75">
      <c r="A215" s="18"/>
      <c r="B215" s="18"/>
      <c r="C215" s="18"/>
      <c r="D215" s="18"/>
      <c r="E215" s="19"/>
      <c r="F215" s="18"/>
      <c r="G215" s="18"/>
      <c r="H215" s="19"/>
    </row>
    <row r="216" spans="1:8" ht="12.75">
      <c r="A216" s="18"/>
      <c r="B216" s="18"/>
      <c r="C216" s="18"/>
      <c r="D216" s="18"/>
      <c r="E216" s="19"/>
      <c r="F216" s="18"/>
      <c r="G216" s="18"/>
      <c r="H216" s="19"/>
    </row>
    <row r="217" spans="1:8" ht="12.75">
      <c r="A217" s="18"/>
      <c r="B217" s="18"/>
      <c r="C217" s="18"/>
      <c r="D217" s="18"/>
      <c r="E217" s="19"/>
      <c r="F217" s="18"/>
      <c r="G217" s="18"/>
      <c r="H217" s="19"/>
    </row>
    <row r="218" spans="1:8" ht="12.75">
      <c r="A218" s="18"/>
      <c r="B218" s="18"/>
      <c r="C218" s="18"/>
      <c r="D218" s="18"/>
      <c r="E218" s="19"/>
      <c r="F218" s="18"/>
      <c r="G218" s="18"/>
      <c r="H218" s="19"/>
    </row>
    <row r="219" spans="1:8" ht="12.75">
      <c r="A219" s="18"/>
      <c r="B219" s="18"/>
      <c r="C219" s="18"/>
      <c r="D219" s="18"/>
      <c r="E219" s="19"/>
      <c r="F219" s="18"/>
      <c r="G219" s="18"/>
      <c r="H219" s="19"/>
    </row>
    <row r="220" spans="1:8" ht="12.75">
      <c r="A220" s="18"/>
      <c r="B220" s="18"/>
      <c r="C220" s="18"/>
      <c r="D220" s="18"/>
      <c r="E220" s="19"/>
      <c r="F220" s="18"/>
      <c r="G220" s="18"/>
      <c r="H220" s="19"/>
    </row>
    <row r="221" spans="1:8" ht="12.75">
      <c r="A221" s="18"/>
      <c r="B221" s="18"/>
      <c r="C221" s="18"/>
      <c r="D221" s="18"/>
      <c r="E221" s="19"/>
      <c r="F221" s="18"/>
      <c r="G221" s="18"/>
      <c r="H221" s="19"/>
    </row>
    <row r="222" spans="1:8" ht="12.75">
      <c r="A222" s="18"/>
      <c r="B222" s="18"/>
      <c r="C222" s="18"/>
      <c r="D222" s="18"/>
      <c r="E222" s="19"/>
      <c r="F222" s="18"/>
      <c r="G222" s="18"/>
      <c r="H222" s="19"/>
    </row>
    <row r="223" spans="1:8" ht="12.75">
      <c r="A223" s="18"/>
      <c r="B223" s="18"/>
      <c r="C223" s="18"/>
      <c r="D223" s="18"/>
      <c r="E223" s="19"/>
      <c r="F223" s="18"/>
      <c r="G223" s="18"/>
      <c r="H223" s="19"/>
    </row>
    <row r="224" spans="1:8" ht="12.75">
      <c r="A224" s="18"/>
      <c r="B224" s="18"/>
      <c r="C224" s="18"/>
      <c r="D224" s="18"/>
      <c r="E224" s="19"/>
      <c r="F224" s="18"/>
      <c r="G224" s="18"/>
      <c r="H224" s="19"/>
    </row>
    <row r="225" spans="1:8" ht="12.75">
      <c r="A225" s="18"/>
      <c r="B225" s="18"/>
      <c r="C225" s="18"/>
      <c r="D225" s="18"/>
      <c r="E225" s="19"/>
      <c r="F225" s="18"/>
      <c r="G225" s="18"/>
      <c r="H225" s="19"/>
    </row>
    <row r="226" spans="1:8" ht="12.75">
      <c r="A226" s="18"/>
      <c r="B226" s="18"/>
      <c r="C226" s="18"/>
      <c r="D226" s="18"/>
      <c r="E226" s="19"/>
      <c r="F226" s="18"/>
      <c r="G226" s="18"/>
      <c r="H226" s="19"/>
    </row>
    <row r="227" spans="1:8" ht="12.75">
      <c r="A227" s="18"/>
      <c r="B227" s="18"/>
      <c r="C227" s="18"/>
      <c r="D227" s="18"/>
      <c r="E227" s="19"/>
      <c r="F227" s="18"/>
      <c r="G227" s="18"/>
      <c r="H227" s="19"/>
    </row>
    <row r="228" spans="1:8" ht="12.75">
      <c r="A228" s="18"/>
      <c r="B228" s="18"/>
      <c r="C228" s="18"/>
      <c r="D228" s="18"/>
      <c r="E228" s="19"/>
      <c r="F228" s="18"/>
      <c r="G228" s="18"/>
      <c r="H228" s="19"/>
    </row>
    <row r="229" spans="1:8" ht="12.75">
      <c r="A229" s="18"/>
      <c r="B229" s="18"/>
      <c r="C229" s="18"/>
      <c r="D229" s="18"/>
      <c r="E229" s="19"/>
      <c r="F229" s="18"/>
      <c r="G229" s="18"/>
      <c r="H229" s="19"/>
    </row>
    <row r="230" spans="1:8" ht="12.75">
      <c r="A230" s="18"/>
      <c r="B230" s="18"/>
      <c r="C230" s="18"/>
      <c r="D230" s="18"/>
      <c r="E230" s="19"/>
      <c r="F230" s="18"/>
      <c r="G230" s="18"/>
      <c r="H230" s="19"/>
    </row>
    <row r="231" spans="1:8" ht="12.75">
      <c r="A231" s="18"/>
      <c r="B231" s="18"/>
      <c r="C231" s="18"/>
      <c r="D231" s="18"/>
      <c r="E231" s="19"/>
      <c r="F231" s="18"/>
      <c r="G231" s="18"/>
      <c r="H231" s="19"/>
    </row>
    <row r="232" spans="1:8" ht="12.75">
      <c r="A232" s="18"/>
      <c r="B232" s="18"/>
      <c r="C232" s="18"/>
      <c r="D232" s="18"/>
      <c r="E232" s="19"/>
      <c r="F232" s="18"/>
      <c r="G232" s="18"/>
      <c r="H232" s="19"/>
    </row>
    <row r="233" spans="1:8" ht="12.75">
      <c r="A233" s="18"/>
      <c r="B233" s="18"/>
      <c r="C233" s="18"/>
      <c r="D233" s="18"/>
      <c r="E233" s="19"/>
      <c r="F233" s="18"/>
      <c r="G233" s="18"/>
      <c r="H233" s="19"/>
    </row>
    <row r="234" spans="1:8" ht="12.75">
      <c r="A234" s="18"/>
      <c r="B234" s="18"/>
      <c r="C234" s="18"/>
      <c r="D234" s="18"/>
      <c r="E234" s="19"/>
      <c r="F234" s="18"/>
      <c r="G234" s="18"/>
      <c r="H234" s="19"/>
    </row>
    <row r="235" spans="1:8" ht="12.75">
      <c r="A235" s="18"/>
      <c r="B235" s="18"/>
      <c r="C235" s="18"/>
      <c r="D235" s="18"/>
      <c r="E235" s="19"/>
      <c r="F235" s="18"/>
      <c r="G235" s="18"/>
      <c r="H235" s="19"/>
    </row>
    <row r="236" spans="1:8" ht="12.75">
      <c r="A236" s="18"/>
      <c r="B236" s="18"/>
      <c r="C236" s="18"/>
      <c r="D236" s="18"/>
      <c r="E236" s="19"/>
      <c r="F236" s="18"/>
      <c r="G236" s="18"/>
      <c r="H236" s="19"/>
    </row>
    <row r="237" spans="1:8" ht="12.75">
      <c r="A237" s="18"/>
      <c r="B237" s="18"/>
      <c r="C237" s="18"/>
      <c r="D237" s="18"/>
      <c r="E237" s="19"/>
      <c r="F237" s="18"/>
      <c r="G237" s="18"/>
      <c r="H237" s="19"/>
    </row>
    <row r="238" spans="1:8" ht="12.75">
      <c r="A238" s="18"/>
      <c r="B238" s="18"/>
      <c r="C238" s="18"/>
      <c r="D238" s="18"/>
      <c r="E238" s="19"/>
      <c r="F238" s="18"/>
      <c r="G238" s="18"/>
      <c r="H238" s="19"/>
    </row>
    <row r="239" spans="1:8" ht="12.75">
      <c r="A239" s="18"/>
      <c r="B239" s="18"/>
      <c r="C239" s="18"/>
      <c r="D239" s="18"/>
      <c r="E239" s="19"/>
      <c r="F239" s="18"/>
      <c r="G239" s="18"/>
      <c r="H239" s="19"/>
    </row>
    <row r="240" spans="1:8" ht="12.75">
      <c r="A240" s="18"/>
      <c r="B240" s="18"/>
      <c r="C240" s="18"/>
      <c r="D240" s="18"/>
      <c r="E240" s="19"/>
      <c r="F240" s="18"/>
      <c r="G240" s="18"/>
      <c r="H240" s="19"/>
    </row>
    <row r="241" spans="1:8" ht="12.75">
      <c r="A241" s="18"/>
      <c r="B241" s="18"/>
      <c r="C241" s="18"/>
      <c r="D241" s="18"/>
      <c r="E241" s="19"/>
      <c r="F241" s="18"/>
      <c r="G241" s="18"/>
      <c r="H241" s="19"/>
    </row>
    <row r="242" spans="1:8" ht="12.75">
      <c r="A242" s="18"/>
      <c r="B242" s="18"/>
      <c r="C242" s="18"/>
      <c r="D242" s="18"/>
      <c r="E242" s="19"/>
      <c r="F242" s="18"/>
      <c r="G242" s="18"/>
      <c r="H242" s="19"/>
    </row>
    <row r="243" spans="1:8" ht="12.75">
      <c r="A243" s="18"/>
      <c r="B243" s="18"/>
      <c r="C243" s="18"/>
      <c r="D243" s="18"/>
      <c r="E243" s="19"/>
      <c r="F243" s="18"/>
      <c r="G243" s="18"/>
      <c r="H243" s="19"/>
    </row>
    <row r="244" spans="1:8" ht="12.75">
      <c r="A244" s="18"/>
      <c r="B244" s="18"/>
      <c r="C244" s="18"/>
      <c r="D244" s="18"/>
      <c r="E244" s="19"/>
      <c r="F244" s="18"/>
      <c r="G244" s="18"/>
      <c r="H244" s="19"/>
    </row>
    <row r="245" spans="1:8" ht="12.75">
      <c r="A245" s="18"/>
      <c r="B245" s="18"/>
      <c r="C245" s="18"/>
      <c r="D245" s="18"/>
      <c r="E245" s="19"/>
      <c r="F245" s="18"/>
      <c r="G245" s="18"/>
      <c r="H245" s="19"/>
    </row>
    <row r="246" spans="1:8" ht="12.75">
      <c r="A246" s="18"/>
      <c r="B246" s="18"/>
      <c r="C246" s="18"/>
      <c r="D246" s="18"/>
      <c r="E246" s="19"/>
      <c r="F246" s="18"/>
      <c r="G246" s="18"/>
      <c r="H246" s="19"/>
    </row>
    <row r="247" spans="1:8" ht="12.75">
      <c r="A247" s="18"/>
      <c r="B247" s="18"/>
      <c r="C247" s="18"/>
      <c r="D247" s="18"/>
      <c r="E247" s="19"/>
      <c r="F247" s="18"/>
      <c r="G247" s="18"/>
      <c r="H247" s="19"/>
    </row>
    <row r="248" spans="1:8" ht="12.75">
      <c r="A248" s="18"/>
      <c r="B248" s="18"/>
      <c r="C248" s="18"/>
      <c r="D248" s="18"/>
      <c r="E248" s="19"/>
      <c r="F248" s="18"/>
      <c r="G248" s="18"/>
      <c r="H248" s="19"/>
    </row>
    <row r="249" spans="1:8" ht="12.75">
      <c r="A249" s="18"/>
      <c r="B249" s="18"/>
      <c r="C249" s="18"/>
      <c r="D249" s="18"/>
      <c r="E249" s="19"/>
      <c r="F249" s="18"/>
      <c r="G249" s="18"/>
      <c r="H249" s="19"/>
    </row>
    <row r="250" spans="1:8" ht="12.75">
      <c r="A250" s="18"/>
      <c r="B250" s="18"/>
      <c r="C250" s="18"/>
      <c r="D250" s="18"/>
      <c r="E250" s="19"/>
      <c r="F250" s="18"/>
      <c r="G250" s="18"/>
      <c r="H250" s="19"/>
    </row>
    <row r="251" spans="1:8" ht="12.75">
      <c r="A251" s="18"/>
      <c r="B251" s="18"/>
      <c r="C251" s="18"/>
      <c r="D251" s="18"/>
      <c r="E251" s="19"/>
      <c r="F251" s="18"/>
      <c r="G251" s="18"/>
      <c r="H251" s="19"/>
    </row>
    <row r="252" spans="1:8" ht="12.75">
      <c r="A252" s="18"/>
      <c r="B252" s="18"/>
      <c r="C252" s="18"/>
      <c r="D252" s="18"/>
      <c r="E252" s="19"/>
      <c r="F252" s="18"/>
      <c r="G252" s="18"/>
      <c r="H252" s="19"/>
    </row>
    <row r="253" spans="1:8" ht="12.75">
      <c r="A253" s="18"/>
      <c r="B253" s="18"/>
      <c r="C253" s="18"/>
      <c r="D253" s="18"/>
      <c r="E253" s="19"/>
      <c r="F253" s="18"/>
      <c r="G253" s="18"/>
      <c r="H253" s="19"/>
    </row>
    <row r="254" spans="1:8" ht="12.75">
      <c r="A254" s="18"/>
      <c r="B254" s="18"/>
      <c r="C254" s="18"/>
      <c r="D254" s="18"/>
      <c r="E254" s="19"/>
      <c r="F254" s="18"/>
      <c r="G254" s="18"/>
      <c r="H254" s="19"/>
    </row>
    <row r="255" spans="1:8" ht="12.75">
      <c r="A255" s="18"/>
      <c r="B255" s="18"/>
      <c r="C255" s="18"/>
      <c r="D255" s="18"/>
      <c r="E255" s="19"/>
      <c r="F255" s="18"/>
      <c r="G255" s="18"/>
      <c r="H255" s="19"/>
    </row>
    <row r="256" spans="1:8" ht="12.75">
      <c r="A256" s="18"/>
      <c r="B256" s="18"/>
      <c r="C256" s="18"/>
      <c r="D256" s="18"/>
      <c r="E256" s="19"/>
      <c r="F256" s="18"/>
      <c r="G256" s="18"/>
      <c r="H256" s="19"/>
    </row>
    <row r="257" spans="1:8" ht="12.75">
      <c r="A257" s="18"/>
      <c r="B257" s="18"/>
      <c r="C257" s="18"/>
      <c r="D257" s="18"/>
      <c r="E257" s="19"/>
      <c r="F257" s="18"/>
      <c r="G257" s="18"/>
      <c r="H257" s="19"/>
    </row>
    <row r="258" spans="1:8" ht="12.75">
      <c r="A258" s="18"/>
      <c r="B258" s="18"/>
      <c r="C258" s="18"/>
      <c r="D258" s="18"/>
      <c r="E258" s="19"/>
      <c r="F258" s="18"/>
      <c r="G258" s="18"/>
      <c r="H258" s="19"/>
    </row>
    <row r="259" spans="1:8" ht="12.75">
      <c r="A259" s="18"/>
      <c r="B259" s="18"/>
      <c r="C259" s="18"/>
      <c r="D259" s="18"/>
      <c r="E259" s="19"/>
      <c r="F259" s="18"/>
      <c r="G259" s="18"/>
      <c r="H259" s="19"/>
    </row>
    <row r="260" spans="1:8" ht="12.75">
      <c r="A260" s="18"/>
      <c r="B260" s="18"/>
      <c r="C260" s="18"/>
      <c r="D260" s="18"/>
      <c r="E260" s="19"/>
      <c r="F260" s="18"/>
      <c r="G260" s="18"/>
      <c r="H260" s="19"/>
    </row>
    <row r="261" spans="1:8" ht="12.75">
      <c r="A261" s="18"/>
      <c r="B261" s="18"/>
      <c r="C261" s="18"/>
      <c r="D261" s="18"/>
      <c r="E261" s="19"/>
      <c r="F261" s="18"/>
      <c r="G261" s="18"/>
      <c r="H261" s="19"/>
    </row>
    <row r="262" spans="1:8" ht="12.75">
      <c r="A262" s="18"/>
      <c r="B262" s="18"/>
      <c r="C262" s="18"/>
      <c r="D262" s="18"/>
      <c r="E262" s="19"/>
      <c r="F262" s="18"/>
      <c r="G262" s="18"/>
      <c r="H262" s="19"/>
    </row>
    <row r="263" spans="1:8" ht="12.75">
      <c r="A263" s="18"/>
      <c r="B263" s="18"/>
      <c r="C263" s="18"/>
      <c r="D263" s="18"/>
      <c r="E263" s="19"/>
      <c r="F263" s="18"/>
      <c r="G263" s="18"/>
      <c r="H263" s="19"/>
    </row>
    <row r="264" spans="1:8" ht="12.75">
      <c r="A264" s="18"/>
      <c r="B264" s="18"/>
      <c r="C264" s="18"/>
      <c r="D264" s="18"/>
      <c r="E264" s="19"/>
      <c r="F264" s="18"/>
      <c r="G264" s="18"/>
      <c r="H264" s="19"/>
    </row>
    <row r="265" spans="1:8" ht="12.75">
      <c r="A265" s="18"/>
      <c r="B265" s="18"/>
      <c r="C265" s="18"/>
      <c r="D265" s="18"/>
      <c r="E265" s="19"/>
      <c r="F265" s="18"/>
      <c r="G265" s="18"/>
      <c r="H265" s="19"/>
    </row>
    <row r="266" spans="1:8" ht="12.75">
      <c r="A266" s="18"/>
      <c r="B266" s="18"/>
      <c r="C266" s="18"/>
      <c r="D266" s="18"/>
      <c r="E266" s="19"/>
      <c r="F266" s="18"/>
      <c r="G266" s="18"/>
      <c r="H266" s="19"/>
    </row>
    <row r="267" spans="1:8" ht="12.75">
      <c r="A267" s="18"/>
      <c r="B267" s="18"/>
      <c r="C267" s="18"/>
      <c r="D267" s="18"/>
      <c r="E267" s="19"/>
      <c r="F267" s="18"/>
      <c r="G267" s="18"/>
      <c r="H267" s="19"/>
    </row>
    <row r="268" spans="1:8" ht="12.75">
      <c r="A268" s="18"/>
      <c r="B268" s="18"/>
      <c r="C268" s="18"/>
      <c r="D268" s="18"/>
      <c r="E268" s="19"/>
      <c r="F268" s="18"/>
      <c r="G268" s="18"/>
      <c r="H268" s="19"/>
    </row>
    <row r="269" spans="1:8" ht="12.75">
      <c r="A269" s="18"/>
      <c r="B269" s="18"/>
      <c r="C269" s="18"/>
      <c r="D269" s="18"/>
      <c r="E269" s="19"/>
      <c r="F269" s="18"/>
      <c r="G269" s="18"/>
      <c r="H269" s="19"/>
    </row>
    <row r="270" spans="1:8" ht="12.75">
      <c r="A270" s="18"/>
      <c r="B270" s="18"/>
      <c r="C270" s="18"/>
      <c r="D270" s="18"/>
      <c r="E270" s="19"/>
      <c r="F270" s="18"/>
      <c r="G270" s="18"/>
      <c r="H270" s="19"/>
    </row>
    <row r="271" spans="1:8" ht="12.75">
      <c r="A271" s="18"/>
      <c r="B271" s="18"/>
      <c r="C271" s="18"/>
      <c r="D271" s="18"/>
      <c r="E271" s="19"/>
      <c r="F271" s="18"/>
      <c r="G271" s="18"/>
      <c r="H271" s="19"/>
    </row>
    <row r="272" spans="1:8" ht="12.75">
      <c r="A272" s="18"/>
      <c r="B272" s="18"/>
      <c r="C272" s="18"/>
      <c r="D272" s="18"/>
      <c r="E272" s="19"/>
      <c r="F272" s="18"/>
      <c r="G272" s="18"/>
      <c r="H272" s="19"/>
    </row>
    <row r="273" spans="1:8" ht="12.75">
      <c r="A273" s="18"/>
      <c r="B273" s="18"/>
      <c r="C273" s="18"/>
      <c r="D273" s="18"/>
      <c r="E273" s="19"/>
      <c r="F273" s="18"/>
      <c r="G273" s="18"/>
      <c r="H273" s="19"/>
    </row>
    <row r="274" spans="1:8" ht="12.75">
      <c r="A274" s="18"/>
      <c r="B274" s="18"/>
      <c r="C274" s="18"/>
      <c r="D274" s="18"/>
      <c r="E274" s="19"/>
      <c r="F274" s="18"/>
      <c r="G274" s="18"/>
      <c r="H274" s="19"/>
    </row>
    <row r="275" spans="1:8" ht="12.75">
      <c r="A275" s="18"/>
      <c r="B275" s="18"/>
      <c r="C275" s="18"/>
      <c r="D275" s="18"/>
      <c r="E275" s="19"/>
      <c r="F275" s="18"/>
      <c r="G275" s="18"/>
      <c r="H275" s="19"/>
    </row>
    <row r="276" spans="1:8" ht="12.75">
      <c r="A276" s="18"/>
      <c r="B276" s="18"/>
      <c r="C276" s="18"/>
      <c r="D276" s="18"/>
      <c r="E276" s="19"/>
      <c r="F276" s="18"/>
      <c r="G276" s="18"/>
      <c r="H276" s="19"/>
    </row>
    <row r="277" spans="1:8" ht="12.75">
      <c r="A277" s="18"/>
      <c r="B277" s="18"/>
      <c r="C277" s="18"/>
      <c r="D277" s="18"/>
      <c r="E277" s="19"/>
      <c r="F277" s="18"/>
      <c r="G277" s="18"/>
      <c r="H277" s="19"/>
    </row>
    <row r="278" spans="1:8" ht="12.75">
      <c r="A278" s="18"/>
      <c r="B278" s="18"/>
      <c r="C278" s="18"/>
      <c r="D278" s="18"/>
      <c r="E278" s="19"/>
      <c r="F278" s="18"/>
      <c r="G278" s="18"/>
      <c r="H278" s="19"/>
    </row>
    <row r="279" spans="1:8" ht="12.75">
      <c r="A279" s="18"/>
      <c r="B279" s="18"/>
      <c r="C279" s="18"/>
      <c r="D279" s="18"/>
      <c r="E279" s="19"/>
      <c r="F279" s="18"/>
      <c r="G279" s="18"/>
      <c r="H279" s="19"/>
    </row>
    <row r="280" spans="1:8" ht="12.75">
      <c r="A280" s="18"/>
      <c r="B280" s="18"/>
      <c r="C280" s="18"/>
      <c r="D280" s="18"/>
      <c r="E280" s="19"/>
      <c r="F280" s="18"/>
      <c r="G280" s="18"/>
      <c r="H280" s="19"/>
    </row>
    <row r="281" spans="1:8" ht="12.75">
      <c r="A281" s="18"/>
      <c r="B281" s="18"/>
      <c r="C281" s="18"/>
      <c r="D281" s="18"/>
      <c r="E281" s="19"/>
      <c r="F281" s="18"/>
      <c r="G281" s="18"/>
      <c r="H281" s="19"/>
    </row>
    <row r="282" spans="1:8" ht="12.75">
      <c r="A282" s="18"/>
      <c r="B282" s="18"/>
      <c r="C282" s="18"/>
      <c r="D282" s="18"/>
      <c r="E282" s="19"/>
      <c r="F282" s="18"/>
      <c r="G282" s="18"/>
      <c r="H282" s="19"/>
    </row>
    <row r="283" spans="1:8" ht="12.75">
      <c r="A283" s="18"/>
      <c r="B283" s="18"/>
      <c r="C283" s="18"/>
      <c r="D283" s="18"/>
      <c r="E283" s="19"/>
      <c r="F283" s="18"/>
      <c r="G283" s="18"/>
      <c r="H283" s="19"/>
    </row>
    <row r="284" spans="1:8" ht="12.75">
      <c r="A284" s="18"/>
      <c r="B284" s="18"/>
      <c r="C284" s="18"/>
      <c r="D284" s="18"/>
      <c r="E284" s="19"/>
      <c r="F284" s="18"/>
      <c r="G284" s="18"/>
      <c r="H284" s="19"/>
    </row>
    <row r="285" spans="1:8" ht="12.75">
      <c r="A285" s="18"/>
      <c r="B285" s="18"/>
      <c r="C285" s="18"/>
      <c r="D285" s="18"/>
      <c r="E285" s="19"/>
      <c r="F285" s="18"/>
      <c r="G285" s="18"/>
      <c r="H285" s="19"/>
    </row>
    <row r="286" spans="1:8" ht="12.75">
      <c r="A286" s="18"/>
      <c r="B286" s="18"/>
      <c r="C286" s="18"/>
      <c r="D286" s="18"/>
      <c r="E286" s="19"/>
      <c r="F286" s="18"/>
      <c r="G286" s="18"/>
      <c r="H286" s="19"/>
    </row>
    <row r="287" spans="1:8" ht="12.75">
      <c r="A287" s="18"/>
      <c r="B287" s="18"/>
      <c r="C287" s="18"/>
      <c r="D287" s="18"/>
      <c r="E287" s="19"/>
      <c r="F287" s="18"/>
      <c r="G287" s="18"/>
      <c r="H287" s="19"/>
    </row>
    <row r="288" spans="1:8" ht="12.75">
      <c r="A288" s="18"/>
      <c r="B288" s="18"/>
      <c r="C288" s="18"/>
      <c r="D288" s="18"/>
      <c r="E288" s="19"/>
      <c r="F288" s="18"/>
      <c r="G288" s="18"/>
      <c r="H288" s="19"/>
    </row>
    <row r="289" spans="1:8" ht="12.75">
      <c r="A289" s="18"/>
      <c r="B289" s="18"/>
      <c r="C289" s="18"/>
      <c r="D289" s="18"/>
      <c r="E289" s="19"/>
      <c r="F289" s="18"/>
      <c r="G289" s="18"/>
      <c r="H289" s="19"/>
    </row>
    <row r="290" spans="1:8" ht="12.75">
      <c r="A290" s="18"/>
      <c r="B290" s="18"/>
      <c r="C290" s="18"/>
      <c r="D290" s="18"/>
      <c r="E290" s="19"/>
      <c r="F290" s="18"/>
      <c r="G290" s="18"/>
      <c r="H290" s="19"/>
    </row>
    <row r="291" spans="1:8" ht="12.75">
      <c r="A291" s="18"/>
      <c r="B291" s="18"/>
      <c r="C291" s="18"/>
      <c r="D291" s="18"/>
      <c r="E291" s="19"/>
      <c r="F291" s="18"/>
      <c r="G291" s="18"/>
      <c r="H291" s="19"/>
    </row>
    <row r="292" spans="1:8" ht="12.75">
      <c r="A292" s="18"/>
      <c r="B292" s="18"/>
      <c r="C292" s="18"/>
      <c r="D292" s="18"/>
      <c r="E292" s="19"/>
      <c r="F292" s="18"/>
      <c r="G292" s="18"/>
      <c r="H292" s="19"/>
    </row>
    <row r="293" spans="1:8" ht="12.75">
      <c r="A293" s="18"/>
      <c r="B293" s="18"/>
      <c r="C293" s="18"/>
      <c r="D293" s="18"/>
      <c r="E293" s="19"/>
      <c r="F293" s="18"/>
      <c r="G293" s="18"/>
      <c r="H293" s="19"/>
    </row>
    <row r="294" spans="1:8" ht="12.75">
      <c r="A294" s="18"/>
      <c r="B294" s="18"/>
      <c r="C294" s="18"/>
      <c r="D294" s="18"/>
      <c r="E294" s="19"/>
      <c r="F294" s="18"/>
      <c r="G294" s="18"/>
      <c r="H294" s="19"/>
    </row>
    <row r="295" spans="1:8" ht="12.75">
      <c r="A295" s="18"/>
      <c r="B295" s="18"/>
      <c r="C295" s="18"/>
      <c r="D295" s="18"/>
      <c r="E295" s="19"/>
      <c r="F295" s="18"/>
      <c r="G295" s="18"/>
      <c r="H295" s="19"/>
    </row>
    <row r="296" spans="1:8" ht="12.75">
      <c r="A296" s="18"/>
      <c r="B296" s="18"/>
      <c r="C296" s="18"/>
      <c r="D296" s="18"/>
      <c r="E296" s="19"/>
      <c r="F296" s="18"/>
      <c r="G296" s="18"/>
      <c r="H296" s="19"/>
    </row>
    <row r="297" spans="1:8" ht="12.75">
      <c r="A297" s="18"/>
      <c r="B297" s="18"/>
      <c r="C297" s="18"/>
      <c r="D297" s="18"/>
      <c r="E297" s="19"/>
      <c r="F297" s="18"/>
      <c r="G297" s="18"/>
      <c r="H297" s="19"/>
    </row>
    <row r="298" spans="1:8" ht="12.75">
      <c r="A298" s="18"/>
      <c r="B298" s="18"/>
      <c r="C298" s="18"/>
      <c r="D298" s="18"/>
      <c r="E298" s="19"/>
      <c r="F298" s="18"/>
      <c r="G298" s="18"/>
      <c r="H298" s="19"/>
    </row>
    <row r="299" spans="1:8" ht="12.75">
      <c r="A299" s="18"/>
      <c r="B299" s="18"/>
      <c r="C299" s="18"/>
      <c r="D299" s="18"/>
      <c r="E299" s="19"/>
      <c r="F299" s="18"/>
      <c r="G299" s="18"/>
      <c r="H299" s="19"/>
    </row>
    <row r="300" spans="1:8" ht="12.75">
      <c r="A300" s="18"/>
      <c r="B300" s="18"/>
      <c r="C300" s="18"/>
      <c r="D300" s="18"/>
      <c r="E300" s="19"/>
      <c r="F300" s="18"/>
      <c r="G300" s="18"/>
      <c r="H300" s="19"/>
    </row>
    <row r="301" spans="1:8" ht="12.75">
      <c r="A301" s="18"/>
      <c r="B301" s="18"/>
      <c r="C301" s="18"/>
      <c r="D301" s="18"/>
      <c r="E301" s="19"/>
      <c r="F301" s="18"/>
      <c r="G301" s="18"/>
      <c r="H301" s="19"/>
    </row>
    <row r="302" spans="1:8" ht="12.75">
      <c r="A302" s="18"/>
      <c r="B302" s="18"/>
      <c r="C302" s="18"/>
      <c r="D302" s="18"/>
      <c r="E302" s="19"/>
      <c r="F302" s="18"/>
      <c r="G302" s="18"/>
      <c r="H302" s="19"/>
    </row>
    <row r="303" spans="1:8" ht="12.75">
      <c r="A303" s="18"/>
      <c r="B303" s="18"/>
      <c r="C303" s="18"/>
      <c r="D303" s="18"/>
      <c r="E303" s="19"/>
      <c r="F303" s="18"/>
      <c r="G303" s="18"/>
      <c r="H303" s="19"/>
    </row>
    <row r="304" spans="1:8" ht="12.75">
      <c r="A304" s="18"/>
      <c r="B304" s="18"/>
      <c r="C304" s="18"/>
      <c r="D304" s="18"/>
      <c r="E304" s="19"/>
      <c r="F304" s="18"/>
      <c r="G304" s="18"/>
      <c r="H304" s="19"/>
    </row>
    <row r="305" spans="1:8" ht="12.75">
      <c r="A305" s="18"/>
      <c r="B305" s="18"/>
      <c r="C305" s="18"/>
      <c r="D305" s="18"/>
      <c r="E305" s="19"/>
      <c r="F305" s="18"/>
      <c r="G305" s="18"/>
      <c r="H305" s="19"/>
    </row>
    <row r="306" spans="1:8" ht="12.75">
      <c r="A306" s="18"/>
      <c r="B306" s="18"/>
      <c r="C306" s="18"/>
      <c r="D306" s="18"/>
      <c r="E306" s="19"/>
      <c r="F306" s="18"/>
      <c r="G306" s="18"/>
      <c r="H306" s="19"/>
    </row>
    <row r="307" spans="1:8" ht="12.75">
      <c r="A307" s="18"/>
      <c r="B307" s="18"/>
      <c r="C307" s="18"/>
      <c r="D307" s="18"/>
      <c r="E307" s="19"/>
      <c r="F307" s="18"/>
      <c r="G307" s="18"/>
      <c r="H307" s="19"/>
    </row>
    <row r="308" spans="1:8" ht="12.75">
      <c r="A308" s="18"/>
      <c r="B308" s="18"/>
      <c r="C308" s="18"/>
      <c r="D308" s="18"/>
      <c r="E308" s="19"/>
      <c r="F308" s="18"/>
      <c r="G308" s="18"/>
      <c r="H308" s="19"/>
    </row>
    <row r="309" spans="1:8" ht="12.75">
      <c r="A309" s="18"/>
      <c r="B309" s="18"/>
      <c r="C309" s="18"/>
      <c r="D309" s="18"/>
      <c r="E309" s="19"/>
      <c r="F309" s="18"/>
      <c r="G309" s="18"/>
      <c r="H309" s="19"/>
    </row>
    <row r="310" spans="1:8" ht="12.75">
      <c r="A310" s="18"/>
      <c r="B310" s="18"/>
      <c r="C310" s="18"/>
      <c r="D310" s="18"/>
      <c r="E310" s="19"/>
      <c r="F310" s="18"/>
      <c r="G310" s="18"/>
      <c r="H310" s="19"/>
    </row>
    <row r="311" spans="1:8" ht="12.75">
      <c r="A311" s="18"/>
      <c r="B311" s="18"/>
      <c r="C311" s="18"/>
      <c r="D311" s="18"/>
      <c r="E311" s="19"/>
      <c r="F311" s="18"/>
      <c r="G311" s="18"/>
      <c r="H311" s="19"/>
    </row>
    <row r="312" spans="1:8" ht="12.75">
      <c r="A312" s="18"/>
      <c r="B312" s="18"/>
      <c r="C312" s="18"/>
      <c r="D312" s="18"/>
      <c r="E312" s="19"/>
      <c r="F312" s="18"/>
      <c r="G312" s="18"/>
      <c r="H312" s="19"/>
    </row>
    <row r="313" spans="1:8" ht="12.75">
      <c r="A313" s="18"/>
      <c r="B313" s="18"/>
      <c r="C313" s="18"/>
      <c r="D313" s="18"/>
      <c r="E313" s="19"/>
      <c r="F313" s="18"/>
      <c r="G313" s="18"/>
      <c r="H313" s="19"/>
    </row>
    <row r="314" spans="1:8" ht="12.75">
      <c r="A314" s="18"/>
      <c r="B314" s="18"/>
      <c r="C314" s="18"/>
      <c r="D314" s="18"/>
      <c r="E314" s="19"/>
      <c r="F314" s="18"/>
      <c r="G314" s="18"/>
      <c r="H314" s="19"/>
    </row>
    <row r="315" spans="1:8" ht="12.75">
      <c r="A315" s="18"/>
      <c r="B315" s="18"/>
      <c r="C315" s="18"/>
      <c r="D315" s="18"/>
      <c r="E315" s="19"/>
      <c r="F315" s="18"/>
      <c r="G315" s="18"/>
      <c r="H315" s="19"/>
    </row>
    <row r="316" spans="1:8" ht="12.75">
      <c r="A316" s="18"/>
      <c r="B316" s="18"/>
      <c r="C316" s="18"/>
      <c r="D316" s="18"/>
      <c r="E316" s="19"/>
      <c r="F316" s="18"/>
      <c r="G316" s="18"/>
      <c r="H316" s="19"/>
    </row>
    <row r="317" spans="1:8" ht="12.75">
      <c r="A317" s="18"/>
      <c r="B317" s="18"/>
      <c r="C317" s="18"/>
      <c r="D317" s="18"/>
      <c r="E317" s="19"/>
      <c r="F317" s="18"/>
      <c r="G317" s="18"/>
      <c r="H317" s="19"/>
    </row>
    <row r="318" spans="1:8" ht="12.75">
      <c r="A318" s="18"/>
      <c r="B318" s="18"/>
      <c r="C318" s="18"/>
      <c r="D318" s="18"/>
      <c r="E318" s="19"/>
      <c r="F318" s="18"/>
      <c r="G318" s="18"/>
      <c r="H318" s="19"/>
    </row>
    <row r="319" spans="1:8" ht="12.75">
      <c r="A319" s="18"/>
      <c r="B319" s="18"/>
      <c r="C319" s="18"/>
      <c r="D319" s="18"/>
      <c r="E319" s="19"/>
      <c r="F319" s="18"/>
      <c r="G319" s="18"/>
      <c r="H319" s="19"/>
    </row>
    <row r="320" spans="1:8" ht="12.75">
      <c r="A320" s="18"/>
      <c r="B320" s="18"/>
      <c r="C320" s="18"/>
      <c r="D320" s="18"/>
      <c r="E320" s="19"/>
      <c r="F320" s="18"/>
      <c r="G320" s="18"/>
      <c r="H320" s="19"/>
    </row>
    <row r="321" spans="1:8" ht="12.75">
      <c r="A321" s="18"/>
      <c r="B321" s="18"/>
      <c r="C321" s="18"/>
      <c r="D321" s="18"/>
      <c r="E321" s="19"/>
      <c r="F321" s="18"/>
      <c r="G321" s="18"/>
      <c r="H321" s="19"/>
    </row>
    <row r="322" spans="1:8" ht="12.75">
      <c r="A322" s="18"/>
      <c r="B322" s="18"/>
      <c r="C322" s="18"/>
      <c r="D322" s="18"/>
      <c r="E322" s="19"/>
      <c r="F322" s="18"/>
      <c r="G322" s="18"/>
      <c r="H322" s="19"/>
    </row>
    <row r="323" spans="1:8" ht="12.75">
      <c r="A323" s="18"/>
      <c r="B323" s="18"/>
      <c r="C323" s="18"/>
      <c r="D323" s="18"/>
      <c r="E323" s="19"/>
      <c r="F323" s="18"/>
      <c r="G323" s="18"/>
      <c r="H323" s="19"/>
    </row>
    <row r="324" spans="1:8" ht="12.75">
      <c r="A324" s="18"/>
      <c r="B324" s="18"/>
      <c r="C324" s="18"/>
      <c r="D324" s="18"/>
      <c r="E324" s="19"/>
      <c r="F324" s="18"/>
      <c r="G324" s="18"/>
      <c r="H324" s="19"/>
    </row>
    <row r="325" spans="1:8" ht="12.75">
      <c r="A325" s="18"/>
      <c r="B325" s="18"/>
      <c r="C325" s="18"/>
      <c r="D325" s="18"/>
      <c r="E325" s="19"/>
      <c r="F325" s="18"/>
      <c r="G325" s="18"/>
      <c r="H325" s="19"/>
    </row>
    <row r="326" spans="1:8" ht="12.75">
      <c r="A326" s="18"/>
      <c r="B326" s="18"/>
      <c r="C326" s="18"/>
      <c r="D326" s="18"/>
      <c r="E326" s="19"/>
      <c r="F326" s="18"/>
      <c r="G326" s="18"/>
      <c r="H326" s="19"/>
    </row>
    <row r="327" spans="1:8" ht="12.75">
      <c r="A327" s="18"/>
      <c r="B327" s="18"/>
      <c r="C327" s="18"/>
      <c r="D327" s="18"/>
      <c r="E327" s="19"/>
      <c r="F327" s="18"/>
      <c r="G327" s="18"/>
      <c r="H327" s="19"/>
    </row>
    <row r="328" spans="1:8" ht="12.75">
      <c r="A328" s="18"/>
      <c r="B328" s="18"/>
      <c r="C328" s="18"/>
      <c r="D328" s="18"/>
      <c r="E328" s="19"/>
      <c r="F328" s="18"/>
      <c r="G328" s="18"/>
      <c r="H328" s="19"/>
    </row>
    <row r="329" spans="1:8" ht="12.75">
      <c r="A329" s="18"/>
      <c r="B329" s="18"/>
      <c r="C329" s="18"/>
      <c r="D329" s="18"/>
      <c r="E329" s="19"/>
      <c r="F329" s="18"/>
      <c r="G329" s="18"/>
      <c r="H329" s="19"/>
    </row>
    <row r="330" spans="1:8" ht="12.75">
      <c r="A330" s="18"/>
      <c r="B330" s="18"/>
      <c r="C330" s="18"/>
      <c r="D330" s="18"/>
      <c r="E330" s="19"/>
      <c r="F330" s="18"/>
      <c r="G330" s="18"/>
      <c r="H330" s="19"/>
    </row>
    <row r="331" spans="1:8" ht="12.75">
      <c r="A331" s="18"/>
      <c r="B331" s="18"/>
      <c r="C331" s="18"/>
      <c r="D331" s="18"/>
      <c r="E331" s="19"/>
      <c r="F331" s="18"/>
      <c r="G331" s="18"/>
      <c r="H331" s="19"/>
    </row>
    <row r="332" spans="1:8" ht="12.75">
      <c r="A332" s="18"/>
      <c r="B332" s="18"/>
      <c r="C332" s="18"/>
      <c r="D332" s="18"/>
      <c r="E332" s="19"/>
      <c r="F332" s="18"/>
      <c r="G332" s="18"/>
      <c r="H332" s="19"/>
    </row>
    <row r="333" spans="1:8" ht="12.75">
      <c r="A333" s="18"/>
      <c r="B333" s="18"/>
      <c r="C333" s="18"/>
      <c r="D333" s="18"/>
      <c r="E333" s="19"/>
      <c r="F333" s="18"/>
      <c r="G333" s="18"/>
      <c r="H333" s="19"/>
    </row>
    <row r="334" spans="1:8" ht="12.75">
      <c r="A334" s="18"/>
      <c r="B334" s="18"/>
      <c r="C334" s="18"/>
      <c r="D334" s="18"/>
      <c r="E334" s="19"/>
      <c r="F334" s="18"/>
      <c r="G334" s="18"/>
      <c r="H334" s="19"/>
    </row>
    <row r="335" spans="1:8" ht="12.75">
      <c r="B335" s="18"/>
    </row>
    <row r="336" spans="1:8" ht="12.75"/>
    <row r="337" ht="12.75"/>
    <row r="338" ht="12.75"/>
    <row r="339" ht="12.75"/>
    <row r="340" ht="12.75"/>
  </sheetData>
  <autoFilter ref="A2:H2" xr:uid="{D5C25034-9971-4A61-864F-C938F31EB1B8}"/>
  <mergeCells count="4">
    <mergeCell ref="G40:H40"/>
    <mergeCell ref="F1:H1"/>
    <mergeCell ref="A1:B1"/>
    <mergeCell ref="C1:E1"/>
  </mergeCells>
  <conditionalFormatting sqref="E2 H2 H58:H92 E58:E92 E4:E39 H4:H39">
    <cfRule type="cellIs" dxfId="40" priority="1" stopIfTrue="1" operator="lessThanOrEqual">
      <formula>-0.1</formula>
    </cfRule>
    <cfRule type="expression" dxfId="39" priority="2">
      <formula>AND(ISNUMBER(E2), E2&gt;=0.1)</formula>
    </cfRule>
  </conditionalFormatting>
  <pageMargins left="0.4" right="0.7" top="0.25" bottom="0.25" header="0.3" footer="0.3"/>
  <pageSetup fitToHeight="9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332"/>
  <sheetViews>
    <sheetView workbookViewId="0">
      <pane xSplit="1" ySplit="3" topLeftCell="B4" activePane="bottomRight" state="frozen"/>
      <selection pane="bottomRight" activeCell="D22" sqref="D22"/>
      <selection pane="bottomLeft" activeCell="A4" sqref="A4"/>
      <selection pane="topRight" activeCell="B1" sqref="B1"/>
    </sheetView>
  </sheetViews>
  <sheetFormatPr defaultRowHeight="13.15"/>
  <cols>
    <col min="1" max="1" width="35.85546875" customWidth="1"/>
    <col min="2" max="2" width="10.85546875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212" t="str" cm="1">
        <f t="array" ref="A1">portfolio</f>
        <v>Wells Fargo</v>
      </c>
      <c r="B1" s="213"/>
      <c r="C1" s="214" t="s">
        <v>28</v>
      </c>
      <c r="D1" s="215"/>
      <c r="E1" s="216"/>
      <c r="F1" s="217" t="s">
        <v>29</v>
      </c>
      <c r="G1" s="218"/>
      <c r="H1" s="219"/>
    </row>
    <row r="2" spans="1:8" ht="19.5" customHeight="1">
      <c r="A2" s="41" t="s">
        <v>2</v>
      </c>
      <c r="B2" s="4">
        <f ca="1">SUM(B4:B90)</f>
        <v>4616998.6637969585</v>
      </c>
      <c r="C2" s="4">
        <f ca="1">SUM(C4:C90)</f>
        <v>4690989.5784</v>
      </c>
      <c r="D2" s="4">
        <f ca="1">B2-C2</f>
        <v>-73990.914603041485</v>
      </c>
      <c r="E2" s="5">
        <f ca="1">IFERROR(D2/C2, 0)</f>
        <v>-1.5772986353186115E-2</v>
      </c>
      <c r="F2" s="4">
        <f ca="1">SUM(F4:F90)</f>
        <v>4770063.21</v>
      </c>
      <c r="G2" s="6">
        <f ca="1">B2-F2</f>
        <v>-153064.54620304145</v>
      </c>
      <c r="H2" s="5">
        <f ca="1">IFERROR(G2/F2, 0)</f>
        <v>-3.2088578172749509E-2</v>
      </c>
    </row>
    <row r="3" spans="1:8" ht="14.25" customHeight="1">
      <c r="A3" s="7" t="s">
        <v>30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43">
        <f ca="1">SUM(SUMIF(_xlfn.ANCHORARRAY(Jan!$B$4), $A4, Jan!C$4:C$65), SUMIF(_xlfn.ANCHORARRAY(Feb!$B$4), $A4, Feb!C$4:C$76), SUMIF(_xlfn.ANCHORARRAY(Mar!$B$4), $A4, Mar!C$4:C$65))</f>
        <v>323914.5878086678</v>
      </c>
      <c r="C4" s="11">
        <f ca="1">SUM(SUMIF(_xlfn.ANCHORARRAY(Jan!$B$4), $A4, Jan!D$4:D$65), SUMIF(_xlfn.ANCHORARRAY(Feb!$B$4), $A4, Feb!D$4:D$76), SUMIF(_xlfn.ANCHORARRAY(Mar!$B$4), $A4, Mar!D$4:D$65))</f>
        <v>315455.56300000002</v>
      </c>
      <c r="D4" s="11">
        <f ca="1">IF(AND(ISNUMBER(B4),ISNUMBER(C4)), B4-C4, "")</f>
        <v>8459.0248086677748</v>
      </c>
      <c r="E4" s="12">
        <f ca="1">IFERROR(D4/C4, "")</f>
        <v>2.681526592278791E-2</v>
      </c>
      <c r="F4" s="13">
        <f ca="1">SUM(SUMIF(_xlfn.ANCHORARRAY(Jan!$B$4), $A4, Jan!G$4:G$65), SUMIF(_xlfn.ANCHORARRAY(Feb!$B$4), $A4, Feb!G$4:G$76), SUMIF(_xlfn.ANCHORARRAY(Mar!$B$4), $A4, Mar!G$4:G$65))</f>
        <v>335472.125</v>
      </c>
      <c r="G4" s="13">
        <f ca="1">IF(AND(ISNUMBER(B4),ISNUMBER(F4)), B4-F4, "")</f>
        <v>-11557.537191332201</v>
      </c>
      <c r="H4" s="14">
        <f ca="1">IFERROR(G4/F4, "")</f>
        <v>-3.445155746198645E-2</v>
      </c>
    </row>
    <row r="5" spans="1:8" ht="14.45">
      <c r="A5" s="9" t="str">
        <v>CO</v>
      </c>
      <c r="B5" s="10">
        <f ca="1">SUM(SUMIF(_xlfn.ANCHORARRAY(Jan!$B$4), $A5, Jan!C$4:C$65), SUMIF(_xlfn.ANCHORARRAY(Feb!$B$4), $A5, Feb!C$4:C$76), SUMIF(_xlfn.ANCHORARRAY(Mar!$B$4), $A5, Mar!C$4:C$65))</f>
        <v>54979.615432540406</v>
      </c>
      <c r="C5" s="15">
        <f ca="1">SUM(SUMIF(_xlfn.ANCHORARRAY(Jan!$B$4), $A5, Jan!D$4:D$65), SUMIF(_xlfn.ANCHORARRAY(Feb!$B$4), $A5, Feb!D$4:D$76), SUMIF(_xlfn.ANCHORARRAY(Mar!$B$4), $A5, Mar!D$4:D$65))</f>
        <v>0</v>
      </c>
      <c r="D5" s="15">
        <f t="shared" ref="D5:D6" ca="1" si="0">IF(AND(ISNUMBER(B5),ISNUMBER(C5)), B5-C5, "")</f>
        <v>54979.615432540406</v>
      </c>
      <c r="E5" s="16" t="str">
        <f ca="1">IFERROR(D5/C5, "")</f>
        <v/>
      </c>
      <c r="F5" s="15">
        <f ca="1">SUM(SUMIF(_xlfn.ANCHORARRAY(Jan!$B$4), $A5, Jan!G$4:G$65), SUMIF(_xlfn.ANCHORARRAY(Feb!$B$4), $A5, Feb!G$4:G$76), SUMIF(_xlfn.ANCHORARRAY(Mar!$B$4), $A5, Mar!G$4:G$65))</f>
        <v>55712.069000000003</v>
      </c>
      <c r="G5" s="15">
        <f ca="1">IF(AND(ISNUMBER(B5),ISNUMBER(F5)), B5-F5, "")</f>
        <v>-732.45356745959725</v>
      </c>
      <c r="H5" s="16">
        <f ca="1">IFERROR(G5/F5, "")</f>
        <v>-1.3147125579909753E-2</v>
      </c>
    </row>
    <row r="6" spans="1:8" ht="14.45">
      <c r="A6" s="8" t="str">
        <v>CT</v>
      </c>
      <c r="B6" s="21">
        <f ca="1">SUM(SUMIF(_xlfn.ANCHORARRAY(Jan!$B$4), $A6, Jan!C$4:C$65), SUMIF(_xlfn.ANCHORARRAY(Feb!$B$4), $A6, Feb!C$4:C$76), SUMIF(_xlfn.ANCHORARRAY(Mar!$B$4), $A6, Mar!C$4:C$65))</f>
        <v>1851.4828751490736</v>
      </c>
      <c r="C6" s="11">
        <f ca="1">SUM(SUMIF(_xlfn.ANCHORARRAY(Jan!$B$4), $A6, Jan!D$4:D$65), SUMIF(_xlfn.ANCHORARRAY(Feb!$B$4), $A6, Feb!D$4:D$76), SUMIF(_xlfn.ANCHORARRAY(Mar!$B$4), $A6, Mar!D$4:D$65))</f>
        <v>5169.1617999999999</v>
      </c>
      <c r="D6" s="11">
        <f t="shared" ca="1" si="0"/>
        <v>-3317.6789248509263</v>
      </c>
      <c r="E6" s="12">
        <f t="shared" ref="E6:E12" ca="1" si="1">IFERROR(D6/C6, "")</f>
        <v>-0.64182145059783702</v>
      </c>
      <c r="F6" s="13">
        <f ca="1">SUM(SUMIF(_xlfn.ANCHORARRAY(Jan!$B$4), $A6, Jan!G$4:G$65), SUMIF(_xlfn.ANCHORARRAY(Feb!$B$4), $A6, Feb!G$4:G$76), SUMIF(_xlfn.ANCHORARRAY(Mar!$B$4), $A6, Mar!G$4:G$65))</f>
        <v>2893.9708000000001</v>
      </c>
      <c r="G6" s="13">
        <f t="shared" ref="G6:G12" ca="1" si="2">IF(AND(ISNUMBER(B6),ISNUMBER(F6)), B6-F6, "")</f>
        <v>-1042.4879248509264</v>
      </c>
      <c r="H6" s="14">
        <f t="shared" ref="H6:H12" ca="1" si="3">IFERROR(G6/F6, "")</f>
        <v>-0.36022752021234161</v>
      </c>
    </row>
    <row r="7" spans="1:8" ht="14.45">
      <c r="A7" s="9" t="str">
        <v>FL</v>
      </c>
      <c r="B7" s="10">
        <f ca="1">SUM(SUMIF(_xlfn.ANCHORARRAY(Jan!$B$4), $A7, Jan!C$4:C$65), SUMIF(_xlfn.ANCHORARRAY(Feb!$B$4), $A7, Feb!C$4:C$76), SUMIF(_xlfn.ANCHORARRAY(Mar!$B$4), $A7, Mar!C$4:C$65))</f>
        <v>6794.6115978956095</v>
      </c>
      <c r="C7" s="15">
        <f ca="1">SUM(SUMIF(_xlfn.ANCHORARRAY(Jan!$B$4), $A7, Jan!D$4:D$65), SUMIF(_xlfn.ANCHORARRAY(Feb!$B$4), $A7, Feb!D$4:D$76), SUMIF(_xlfn.ANCHORARRAY(Mar!$B$4), $A7, Mar!D$4:D$65))</f>
        <v>10102.5</v>
      </c>
      <c r="D7" s="15">
        <f t="shared" ref="D7:D12" ca="1" si="4">IF(AND(ISNUMBER(B7),ISNUMBER(C7)), B7-C7, "")</f>
        <v>-3307.8884021043905</v>
      </c>
      <c r="E7" s="16">
        <f t="shared" ca="1" si="1"/>
        <v>-0.32743265549164963</v>
      </c>
      <c r="F7" s="15">
        <f ca="1">SUM(SUMIF(_xlfn.ANCHORARRAY(Jan!$B$4), $A7, Jan!G$4:G$65), SUMIF(_xlfn.ANCHORARRAY(Feb!$B$4), $A7, Feb!G$4:G$76), SUMIF(_xlfn.ANCHORARRAY(Mar!$B$4), $A7, Mar!G$4:G$65))</f>
        <v>12194</v>
      </c>
      <c r="G7" s="15">
        <f t="shared" ca="1" si="2"/>
        <v>-5399.3884021043905</v>
      </c>
      <c r="H7" s="16">
        <f t="shared" ca="1" si="3"/>
        <v>-0.44279058570644503</v>
      </c>
    </row>
    <row r="8" spans="1:8" ht="12.75" customHeight="1">
      <c r="A8" s="8" t="str">
        <v>IA</v>
      </c>
      <c r="B8" s="21">
        <f ca="1">SUM(SUMIF(_xlfn.ANCHORARRAY(Jan!$B$4), $A8, Jan!C$4:C$65), SUMIF(_xlfn.ANCHORARRAY(Feb!$B$4), $A8, Feb!C$4:C$76), SUMIF(_xlfn.ANCHORARRAY(Mar!$B$4), $A8, Mar!C$4:C$65))</f>
        <v>613482</v>
      </c>
      <c r="C8" s="11">
        <f ca="1">SUM(SUMIF(_xlfn.ANCHORARRAY(Jan!$B$4), $A8, Jan!D$4:D$65), SUMIF(_xlfn.ANCHORARRAY(Feb!$B$4), $A8, Feb!D$4:D$76), SUMIF(_xlfn.ANCHORARRAY(Mar!$B$4), $A8, Mar!D$4:D$65))</f>
        <v>684039.11</v>
      </c>
      <c r="D8" s="11">
        <f t="shared" ca="1" si="4"/>
        <v>-70557.109999999986</v>
      </c>
      <c r="E8" s="12">
        <f t="shared" ca="1" si="1"/>
        <v>-0.10314777176995038</v>
      </c>
      <c r="F8" s="13">
        <f ca="1">SUM(SUMIF(_xlfn.ANCHORARRAY(Jan!$B$4), $A8, Jan!G$4:G$65), SUMIF(_xlfn.ANCHORARRAY(Feb!$B$4), $A8, Feb!G$4:G$76), SUMIF(_xlfn.ANCHORARRAY(Mar!$B$4), $A8, Mar!G$4:G$65))</f>
        <v>584111.82000000007</v>
      </c>
      <c r="G8" s="13">
        <f t="shared" ca="1" si="2"/>
        <v>29370.179999999935</v>
      </c>
      <c r="H8" s="14">
        <f t="shared" ca="1" si="3"/>
        <v>5.0281776526966929E-2</v>
      </c>
    </row>
    <row r="9" spans="1:8" ht="14.45">
      <c r="A9" s="9" t="str">
        <v>NC</v>
      </c>
      <c r="B9" s="10">
        <f ca="1">SUM(SUMIF(_xlfn.ANCHORARRAY(Jan!$B$4), $A9, Jan!C$4:C$65), SUMIF(_xlfn.ANCHORARRAY(Feb!$B$4), $A9, Feb!C$4:C$76), SUMIF(_xlfn.ANCHORARRAY(Mar!$B$4), $A9, Mar!C$4:C$65))</f>
        <v>815835</v>
      </c>
      <c r="C9" s="15">
        <f ca="1">SUM(SUMIF(_xlfn.ANCHORARRAY(Jan!$B$4), $A9, Jan!D$4:D$65), SUMIF(_xlfn.ANCHORARRAY(Feb!$B$4), $A9, Feb!D$4:D$76), SUMIF(_xlfn.ANCHORARRAY(Mar!$B$4), $A9, Mar!D$4:D$65))</f>
        <v>857584.95</v>
      </c>
      <c r="D9" s="15">
        <f t="shared" ca="1" si="4"/>
        <v>-41749.949999999953</v>
      </c>
      <c r="E9" s="16">
        <f t="shared" ca="1" si="1"/>
        <v>-4.8683165440344955E-2</v>
      </c>
      <c r="F9" s="15">
        <f ca="1">SUM(SUMIF(_xlfn.ANCHORARRAY(Jan!$B$4), $A9, Jan!G$4:G$65), SUMIF(_xlfn.ANCHORARRAY(Feb!$B$4), $A9, Feb!G$4:G$76), SUMIF(_xlfn.ANCHORARRAY(Mar!$B$4), $A9, Mar!G$4:G$65))</f>
        <v>817328.01600000006</v>
      </c>
      <c r="G9" s="15">
        <f t="shared" ca="1" si="2"/>
        <v>-1493.0160000000615</v>
      </c>
      <c r="H9" s="16">
        <f t="shared" ca="1" si="3"/>
        <v>-1.8267035642640461E-3</v>
      </c>
    </row>
    <row r="10" spans="1:8" ht="14.45">
      <c r="A10" s="8" t="str">
        <v>NJ</v>
      </c>
      <c r="B10" s="21">
        <f ca="1">SUM(SUMIF(_xlfn.ANCHORARRAY(Jan!$B$4), $A10, Jan!C$4:C$65), SUMIF(_xlfn.ANCHORARRAY(Feb!$B$4), $A10, Feb!C$4:C$76), SUMIF(_xlfn.ANCHORARRAY(Mar!$B$4), $A10, Mar!C$4:C$65))</f>
        <v>170714.77633903886</v>
      </c>
      <c r="C10" s="11">
        <f ca="1">SUM(SUMIF(_xlfn.ANCHORARRAY(Jan!$B$4), $A10, Jan!D$4:D$65), SUMIF(_xlfn.ANCHORARRAY(Feb!$B$4), $A10, Feb!D$4:D$76), SUMIF(_xlfn.ANCHORARRAY(Mar!$B$4), $A10, Mar!D$4:D$65))</f>
        <v>178700.01459999999</v>
      </c>
      <c r="D10" s="11">
        <f t="shared" ca="1" si="4"/>
        <v>-7985.2382609611377</v>
      </c>
      <c r="E10" s="12">
        <f t="shared" ca="1" si="1"/>
        <v>-4.4685157294671748E-2</v>
      </c>
      <c r="F10" s="13">
        <f ca="1">SUM(SUMIF(_xlfn.ANCHORARRAY(Jan!$B$4), $A10, Jan!G$4:G$65), SUMIF(_xlfn.ANCHORARRAY(Feb!$B$4), $A10, Feb!G$4:G$76), SUMIF(_xlfn.ANCHORARRAY(Mar!$B$4), $A10, Mar!G$4:G$65))</f>
        <v>163692.15919999999</v>
      </c>
      <c r="G10" s="13">
        <f t="shared" ca="1" si="2"/>
        <v>7022.6171390388627</v>
      </c>
      <c r="H10" s="14">
        <f t="shared" ca="1" si="3"/>
        <v>4.2901365424953493E-2</v>
      </c>
    </row>
    <row r="11" spans="1:8" ht="14.45">
      <c r="A11" s="9" t="str">
        <v>TX</v>
      </c>
      <c r="B11" s="10">
        <f ca="1">SUM(SUMIF(_xlfn.ANCHORARRAY(Jan!$B$4), $A11, Jan!C$4:C$65), SUMIF(_xlfn.ANCHORARRAY(Feb!$B$4), $A11, Feb!C$4:C$76), SUMIF(_xlfn.ANCHORARRAY(Mar!$B$4), $A11, Mar!C$4:C$65))</f>
        <v>1715281.3789220001</v>
      </c>
      <c r="C11" s="15">
        <f ca="1">SUM(SUMIF(_xlfn.ANCHORARRAY(Jan!$B$4), $A11, Jan!D$4:D$65), SUMIF(_xlfn.ANCHORARRAY(Feb!$B$4), $A11, Feb!D$4:D$76), SUMIF(_xlfn.ANCHORARRAY(Mar!$B$4), $A11, Mar!D$4:D$65))</f>
        <v>1848663.6469999999</v>
      </c>
      <c r="D11" s="15">
        <f t="shared" ca="1" si="4"/>
        <v>-133382.26807799982</v>
      </c>
      <c r="E11" s="16">
        <f t="shared" ca="1" si="1"/>
        <v>-7.2150641515806163E-2</v>
      </c>
      <c r="F11" s="15">
        <f ca="1">SUM(SUMIF(_xlfn.ANCHORARRAY(Jan!$B$4), $A11, Jan!G$4:G$65), SUMIF(_xlfn.ANCHORARRAY(Feb!$B$4), $A11, Feb!G$4:G$76), SUMIF(_xlfn.ANCHORARRAY(Mar!$B$4), $A11, Mar!G$4:G$65))</f>
        <v>1849858.4899999998</v>
      </c>
      <c r="G11" s="15">
        <f t="shared" ca="1" si="2"/>
        <v>-134577.1110779997</v>
      </c>
      <c r="H11" s="16">
        <f t="shared" ca="1" si="3"/>
        <v>-7.2749949147731682E-2</v>
      </c>
    </row>
    <row r="12" spans="1:8" ht="14.45">
      <c r="A12" s="8" t="str">
        <v>AZ</v>
      </c>
      <c r="B12" s="21">
        <f ca="1">SUM(SUMIF(_xlfn.ANCHORARRAY(Jan!$B$4), $A12, Jan!C$4:C$65), SUMIF(_xlfn.ANCHORARRAY(Feb!$B$4), $A12, Feb!C$4:C$76), SUMIF(_xlfn.ANCHORARRAY(Mar!$B$4), $A12, Mar!C$4:C$65))</f>
        <v>914145.21082166641</v>
      </c>
      <c r="C12" s="11">
        <f ca="1">SUM(SUMIF(_xlfn.ANCHORARRAY(Jan!$B$4), $A12, Jan!D$4:D$65), SUMIF(_xlfn.ANCHORARRAY(Feb!$B$4), $A12, Feb!D$4:D$76), SUMIF(_xlfn.ANCHORARRAY(Mar!$B$4), $A12, Mar!D$4:D$65))</f>
        <v>791274.63199999998</v>
      </c>
      <c r="D12" s="11">
        <f t="shared" ca="1" si="4"/>
        <v>122870.57882166642</v>
      </c>
      <c r="E12" s="12">
        <f t="shared" ca="1" si="1"/>
        <v>0.15528183749692917</v>
      </c>
      <c r="F12" s="13">
        <f ca="1">SUM(SUMIF(_xlfn.ANCHORARRAY(Jan!$B$4), $A12, Jan!G$4:G$65), SUMIF(_xlfn.ANCHORARRAY(Feb!$B$4), $A12, Feb!G$4:G$76), SUMIF(_xlfn.ANCHORARRAY(Mar!$B$4), $A12, Mar!G$4:G$65))</f>
        <v>948800.56</v>
      </c>
      <c r="G12" s="13">
        <f t="shared" ca="1" si="2"/>
        <v>-34655.34917833365</v>
      </c>
      <c r="H12" s="14">
        <f t="shared" ca="1" si="3"/>
        <v>-3.6525430780029948E-2</v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9"/>
      <c r="F23" s="18"/>
      <c r="G23" s="18"/>
      <c r="H23" s="19"/>
    </row>
    <row r="24" spans="1:8" ht="13.9">
      <c r="A24" s="18"/>
      <c r="B24" s="18"/>
      <c r="C24" s="18"/>
      <c r="D24" s="18"/>
      <c r="E24" s="19"/>
      <c r="F24" s="18"/>
      <c r="G24" s="18"/>
      <c r="H24" s="19"/>
    </row>
    <row r="25" spans="1:8" ht="13.9">
      <c r="A25" s="18"/>
      <c r="B25" s="18"/>
      <c r="C25" s="18"/>
      <c r="D25" s="18"/>
      <c r="E25" s="19"/>
      <c r="F25" s="18"/>
      <c r="G25" s="18"/>
      <c r="H25" s="19"/>
    </row>
    <row r="26" spans="1:8" ht="13.9">
      <c r="A26" s="18"/>
      <c r="B26" s="18"/>
      <c r="C26" s="18"/>
      <c r="D26" s="18"/>
      <c r="E26" s="19"/>
      <c r="F26" s="18"/>
      <c r="G26" s="18"/>
      <c r="H26" s="19"/>
    </row>
    <row r="27" spans="1:8" ht="13.9">
      <c r="A27" s="18"/>
      <c r="B27" s="18"/>
      <c r="C27" s="18"/>
      <c r="D27" s="18"/>
      <c r="E27" s="19"/>
      <c r="F27" s="18"/>
      <c r="G27" s="18"/>
      <c r="H27" s="19"/>
    </row>
    <row r="28" spans="1:8" ht="13.9">
      <c r="A28" s="18"/>
      <c r="B28" s="18"/>
      <c r="C28" s="18"/>
      <c r="D28" s="18"/>
      <c r="E28" s="19"/>
      <c r="F28" s="18"/>
      <c r="G28" s="18"/>
      <c r="H28" s="19"/>
    </row>
    <row r="29" spans="1:8" ht="13.9">
      <c r="A29" s="18"/>
      <c r="B29" s="18"/>
      <c r="C29" s="18"/>
      <c r="D29" s="18"/>
      <c r="E29" s="19"/>
      <c r="F29" s="18"/>
      <c r="G29" s="18"/>
      <c r="H29" s="19"/>
    </row>
    <row r="30" spans="1:8" ht="13.9">
      <c r="A30" s="18"/>
      <c r="B30" s="18"/>
      <c r="C30" s="18"/>
      <c r="D30" s="18"/>
      <c r="E30" s="19"/>
      <c r="F30" s="18"/>
      <c r="G30" s="18"/>
      <c r="H30" s="19"/>
    </row>
    <row r="31" spans="1:8" ht="13.9">
      <c r="A31" s="18"/>
      <c r="B31" s="18"/>
      <c r="C31" s="18"/>
      <c r="D31" s="18"/>
      <c r="E31" s="19"/>
      <c r="F31" s="18"/>
      <c r="G31" s="18"/>
      <c r="H31" s="19"/>
    </row>
    <row r="32" spans="1:8" ht="13.9">
      <c r="A32" s="18"/>
      <c r="B32" s="18"/>
      <c r="C32" s="18"/>
      <c r="D32" s="18"/>
      <c r="E32" s="19"/>
      <c r="F32" s="18"/>
      <c r="G32" s="18"/>
      <c r="H32" s="19"/>
    </row>
    <row r="33" spans="1:8" ht="13.9">
      <c r="A33" s="18"/>
      <c r="B33" s="18"/>
      <c r="C33" s="18"/>
      <c r="D33" s="18"/>
      <c r="E33" s="19"/>
      <c r="F33" s="18"/>
      <c r="G33" s="18"/>
      <c r="H33" s="19"/>
    </row>
    <row r="34" spans="1:8" ht="13.9">
      <c r="A34" s="18"/>
      <c r="B34" s="18"/>
      <c r="C34" s="18"/>
      <c r="D34" s="18"/>
      <c r="E34" s="19"/>
      <c r="F34" s="18"/>
      <c r="G34" s="18"/>
      <c r="H34" s="19"/>
    </row>
    <row r="35" spans="1:8" ht="13.9">
      <c r="A35" s="18"/>
      <c r="B35" s="18"/>
      <c r="C35" s="18"/>
      <c r="D35" s="18"/>
      <c r="E35" s="19"/>
      <c r="F35" s="18"/>
      <c r="G35" s="18"/>
      <c r="H35" s="19"/>
    </row>
    <row r="36" spans="1:8" ht="13.9">
      <c r="A36" s="18"/>
      <c r="B36" s="18"/>
      <c r="C36" s="18"/>
      <c r="D36" s="18"/>
      <c r="E36" s="19"/>
      <c r="F36" s="18"/>
      <c r="G36" s="18"/>
      <c r="H36" s="19"/>
    </row>
    <row r="37" spans="1:8" ht="13.9">
      <c r="A37" s="18"/>
      <c r="B37" s="18"/>
      <c r="C37" s="18"/>
      <c r="D37" s="18"/>
      <c r="E37" s="19"/>
      <c r="F37" s="18"/>
      <c r="G37" s="18"/>
      <c r="H37" s="19"/>
    </row>
    <row r="38" spans="1:8" ht="13.9">
      <c r="A38" s="18"/>
      <c r="B38" s="18"/>
      <c r="C38" s="18"/>
      <c r="D38" s="18"/>
      <c r="E38" s="19"/>
      <c r="F38" s="18"/>
      <c r="G38" s="18"/>
      <c r="H38" s="19"/>
    </row>
    <row r="39" spans="1:8" ht="13.9">
      <c r="A39" s="18"/>
      <c r="B39" s="18"/>
      <c r="C39" s="18"/>
      <c r="D39" s="18"/>
      <c r="E39" s="19"/>
      <c r="F39" s="18"/>
      <c r="G39" s="18"/>
      <c r="H39" s="19"/>
    </row>
    <row r="40" spans="1:8" ht="13.9">
      <c r="A40" s="18"/>
      <c r="B40" s="18"/>
      <c r="C40" s="18"/>
      <c r="D40" s="18"/>
      <c r="E40" s="19"/>
      <c r="F40" s="18"/>
      <c r="G40" s="18"/>
      <c r="H40" s="19"/>
    </row>
    <row r="41" spans="1:8" ht="13.9">
      <c r="A41" s="18"/>
      <c r="B41" s="18"/>
      <c r="C41" s="18"/>
      <c r="D41" s="18"/>
      <c r="E41" s="19"/>
      <c r="F41" s="18"/>
      <c r="G41" s="18"/>
      <c r="H41" s="19"/>
    </row>
    <row r="42" spans="1:8" ht="13.9">
      <c r="A42" s="18"/>
      <c r="B42" s="18"/>
      <c r="C42" s="18"/>
      <c r="D42" s="18"/>
      <c r="E42" s="19"/>
      <c r="F42" s="18"/>
      <c r="G42" s="18"/>
      <c r="H42" s="19"/>
    </row>
    <row r="43" spans="1:8" ht="13.9">
      <c r="A43" s="18"/>
      <c r="B43" s="18"/>
      <c r="C43" s="18"/>
      <c r="D43" s="18"/>
      <c r="E43" s="19"/>
      <c r="F43" s="18"/>
      <c r="G43" s="18"/>
      <c r="H43" s="19"/>
    </row>
    <row r="44" spans="1:8" ht="13.9">
      <c r="A44" s="18"/>
      <c r="B44" s="18"/>
      <c r="C44" s="18"/>
      <c r="D44" s="18"/>
      <c r="E44" s="19"/>
      <c r="F44" s="18"/>
      <c r="G44" s="18"/>
      <c r="H44" s="19"/>
    </row>
    <row r="45" spans="1:8" ht="13.9">
      <c r="A45" s="18"/>
      <c r="B45" s="18"/>
      <c r="C45" s="18"/>
      <c r="D45" s="18"/>
      <c r="E45" s="19"/>
      <c r="F45" s="18"/>
      <c r="G45" s="18"/>
      <c r="H45" s="19"/>
    </row>
    <row r="46" spans="1:8" ht="13.9">
      <c r="A46" s="18"/>
      <c r="B46" s="18"/>
      <c r="C46" s="18"/>
      <c r="D46" s="18"/>
      <c r="E46" s="19"/>
      <c r="F46" s="18"/>
      <c r="G46" s="18"/>
      <c r="H46" s="19"/>
    </row>
    <row r="47" spans="1:8" ht="13.9">
      <c r="A47" s="18"/>
      <c r="B47" s="18"/>
      <c r="C47" s="18"/>
      <c r="D47" s="18"/>
      <c r="E47" s="19"/>
      <c r="F47" s="18"/>
      <c r="G47" s="18"/>
      <c r="H47" s="19"/>
    </row>
    <row r="48" spans="1:8" ht="13.9">
      <c r="A48" s="18"/>
      <c r="B48" s="18"/>
      <c r="C48" s="18"/>
      <c r="D48" s="18"/>
      <c r="E48" s="19"/>
      <c r="F48" s="18"/>
      <c r="G48" s="18"/>
      <c r="H48" s="19"/>
    </row>
    <row r="49" spans="1:8" ht="13.9">
      <c r="A49" s="18"/>
      <c r="B49" s="18"/>
      <c r="C49" s="18"/>
      <c r="D49" s="18"/>
      <c r="E49" s="19"/>
      <c r="F49" s="18"/>
      <c r="G49" s="18"/>
      <c r="H49" s="19"/>
    </row>
    <row r="50" spans="1:8" ht="13.9">
      <c r="A50" s="18"/>
      <c r="B50" s="18"/>
      <c r="C50" s="18"/>
      <c r="D50" s="18"/>
      <c r="E50" s="19"/>
      <c r="F50" s="18"/>
      <c r="G50" s="18"/>
      <c r="H50" s="19"/>
    </row>
    <row r="51" spans="1:8" ht="13.9">
      <c r="A51" s="18"/>
      <c r="B51" s="18"/>
      <c r="C51" s="18"/>
      <c r="D51" s="18"/>
      <c r="E51" s="19"/>
      <c r="F51" s="18"/>
      <c r="G51" s="18"/>
      <c r="H51" s="19"/>
    </row>
    <row r="52" spans="1:8" ht="13.9">
      <c r="A52" s="18"/>
      <c r="B52" s="18"/>
      <c r="C52" s="18"/>
      <c r="D52" s="18"/>
      <c r="E52" s="19"/>
      <c r="F52" s="18"/>
      <c r="G52" s="18"/>
      <c r="H52" s="19"/>
    </row>
    <row r="53" spans="1:8" ht="13.9">
      <c r="A53" s="18"/>
      <c r="B53" s="18"/>
      <c r="C53" s="18"/>
      <c r="D53" s="18"/>
      <c r="E53" s="19"/>
      <c r="F53" s="18"/>
      <c r="G53" s="18"/>
      <c r="H53" s="19"/>
    </row>
    <row r="54" spans="1:8" ht="13.9">
      <c r="A54" s="18"/>
      <c r="B54" s="18"/>
      <c r="C54" s="18"/>
      <c r="D54" s="18"/>
      <c r="E54" s="19"/>
      <c r="F54" s="18"/>
      <c r="G54" s="18"/>
      <c r="H54" s="19"/>
    </row>
    <row r="55" spans="1:8" ht="13.9">
      <c r="A55" s="18"/>
      <c r="B55" s="18"/>
      <c r="C55" s="18"/>
      <c r="D55" s="18"/>
      <c r="E55" s="19"/>
      <c r="F55" s="18"/>
      <c r="G55" s="18"/>
      <c r="H55" s="19"/>
    </row>
    <row r="56" spans="1:8" ht="13.9">
      <c r="A56" s="18"/>
      <c r="B56" s="18"/>
      <c r="C56" s="18"/>
      <c r="D56" s="18"/>
      <c r="E56" s="19"/>
      <c r="F56" s="18"/>
      <c r="G56" s="18"/>
      <c r="H56" s="19"/>
    </row>
    <row r="57" spans="1:8" ht="13.9">
      <c r="A57" s="18"/>
      <c r="B57" s="18"/>
      <c r="C57" s="18"/>
      <c r="D57" s="18"/>
      <c r="E57" s="19"/>
      <c r="F57" s="18"/>
      <c r="G57" s="18"/>
      <c r="H57" s="19"/>
    </row>
    <row r="58" spans="1:8" ht="13.9">
      <c r="A58" s="18"/>
      <c r="B58" s="18"/>
      <c r="C58" s="18"/>
      <c r="D58" s="18"/>
      <c r="E58" s="19"/>
      <c r="F58" s="18"/>
      <c r="G58" s="18"/>
      <c r="H58" s="19"/>
    </row>
    <row r="59" spans="1:8" ht="13.9">
      <c r="A59" s="18"/>
      <c r="B59" s="18"/>
      <c r="C59" s="18"/>
      <c r="D59" s="18"/>
      <c r="E59" s="19"/>
      <c r="F59" s="18"/>
      <c r="G59" s="18"/>
      <c r="H59" s="19"/>
    </row>
    <row r="60" spans="1:8" ht="13.9">
      <c r="A60" s="18"/>
      <c r="B60" s="18"/>
      <c r="C60" s="18"/>
      <c r="D60" s="18"/>
      <c r="E60" s="19"/>
      <c r="F60" s="18"/>
      <c r="G60" s="18"/>
      <c r="H60" s="19"/>
    </row>
    <row r="61" spans="1:8" ht="13.9">
      <c r="A61" s="18"/>
      <c r="B61" s="18"/>
      <c r="C61" s="18"/>
      <c r="D61" s="18"/>
      <c r="E61" s="19"/>
      <c r="F61" s="18"/>
      <c r="G61" s="18"/>
      <c r="H61" s="19"/>
    </row>
    <row r="62" spans="1:8" ht="13.9">
      <c r="A62" s="18"/>
      <c r="B62" s="18"/>
      <c r="C62" s="18"/>
      <c r="D62" s="18"/>
      <c r="E62" s="19"/>
      <c r="F62" s="18"/>
      <c r="G62" s="18"/>
      <c r="H62" s="19"/>
    </row>
    <row r="63" spans="1:8" ht="13.9">
      <c r="A63" s="18"/>
      <c r="B63" s="18"/>
      <c r="C63" s="18"/>
      <c r="D63" s="18"/>
      <c r="E63" s="19"/>
      <c r="F63" s="18"/>
      <c r="G63" s="18"/>
      <c r="H63" s="19"/>
    </row>
    <row r="64" spans="1:8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8" priority="1" stopIfTrue="1" operator="lessThanOrEqual">
      <formula>-0.1</formula>
    </cfRule>
    <cfRule type="expression" dxfId="37" priority="2">
      <formula>AND(ISNUMBER(E2), E2&gt;=0.1)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H337"/>
  <sheetViews>
    <sheetView workbookViewId="0">
      <pane xSplit="1" ySplit="3" topLeftCell="B4" activePane="bottomRight" state="frozen"/>
      <selection pane="bottomRight" activeCell="D37" sqref="C37:D37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3" width="11.85546875" customWidth="1"/>
    <col min="4" max="5" width="13.140625" customWidth="1"/>
    <col min="6" max="6" width="13.140625" style="1" customWidth="1"/>
    <col min="7" max="8" width="13.140625" customWidth="1"/>
  </cols>
  <sheetData>
    <row r="1" spans="1:8" ht="19.5" customHeight="1">
      <c r="A1" s="212" t="str" cm="1">
        <f t="array" ref="A1">portfolio</f>
        <v>Wells Fargo</v>
      </c>
      <c r="B1" s="213"/>
      <c r="C1" s="214" t="s">
        <v>31</v>
      </c>
      <c r="D1" s="215"/>
      <c r="E1" s="216"/>
      <c r="F1" s="217" t="s">
        <v>32</v>
      </c>
      <c r="G1" s="218"/>
      <c r="H1" s="219"/>
    </row>
    <row r="2" spans="1:8" ht="19.5" customHeight="1">
      <c r="A2" s="41" t="s">
        <v>2</v>
      </c>
      <c r="B2" s="4">
        <f ca="1">SUM(B4:B85)</f>
        <v>6574334.0871601496</v>
      </c>
      <c r="C2" s="4">
        <f ca="1">SUM(C4:C85)</f>
        <v>6120289.486234</v>
      </c>
      <c r="D2" s="4">
        <f ca="1">B2-C2</f>
        <v>454044.60092614964</v>
      </c>
      <c r="E2" s="5">
        <f ca="1">IFERROR(D2/C2, 0)</f>
        <v>7.4186785109986206E-2</v>
      </c>
      <c r="F2" s="4">
        <f ca="1">SUM(F4:F85)</f>
        <v>6888363.1764000002</v>
      </c>
      <c r="G2" s="6">
        <f ca="1">B2-F2</f>
        <v>-314029.08923985064</v>
      </c>
      <c r="H2" s="5">
        <f ca="1">IFERROR(G2/F2, 0)</f>
        <v>-4.5588346781095343E-2</v>
      </c>
    </row>
    <row r="3" spans="1:8" ht="14.25" customHeight="1">
      <c r="A3" s="7" t="s">
        <v>30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SUM(SUMIF(_xlfn.ANCHORARRAY(Apr!$B$4), $A4, Apr!C$4:C$78), SUMIF(_xlfn.ANCHORARRAY(May!$B$4), $A4, May!C$4:C$65), SUMIF(_xlfn.ANCHORARRAY(Jun!$B$4), $A4, Jun!C$4:C$65))</f>
        <v>454466.31208064861</v>
      </c>
      <c r="C4" s="11">
        <f ca="1">SUM(SUMIF(_xlfn.ANCHORARRAY(Apr!$B$4), $A4, Apr!D$4:D$78), SUMIF(_xlfn.ANCHORARRAY(May!$B$4), $A4, May!D$4:D$65), SUMIF(_xlfn.ANCHORARRAY(Jun!$B$4), $A4, Jun!D$4:D$65))</f>
        <v>384952.97499999998</v>
      </c>
      <c r="D4" s="11">
        <f ca="1">IF(AND(ISNUMBER(B4),ISNUMBER(C4)), B4-C4, "")</f>
        <v>69513.337080648635</v>
      </c>
      <c r="E4" s="12">
        <f ca="1">IFERROR(D4/C4, "")</f>
        <v>0.18057617837775805</v>
      </c>
      <c r="F4" s="13">
        <f ca="1">SUM(SUMIF(_xlfn.ANCHORARRAY(Apr!$B$4), $A4, Apr!G$4:G$78), SUMIF(_xlfn.ANCHORARRAY(May!$B$4), $A4, May!G$4:G$65), SUMIF(_xlfn.ANCHORARRAY(Jun!$B$4), $A4, Jun!G$4:G$65))</f>
        <v>468977.56099999999</v>
      </c>
      <c r="G4" s="13">
        <f ca="1">IF(AND(ISNUMBER(B4),ISNUMBER(F4)), B4-F4, "")</f>
        <v>-14511.248919351376</v>
      </c>
      <c r="H4" s="14">
        <f ca="1">IFERROR(G4/F4, "")</f>
        <v>-3.0942309667031972E-2</v>
      </c>
    </row>
    <row r="5" spans="1:8" ht="14.45">
      <c r="A5" s="9" t="str">
        <v>CO</v>
      </c>
      <c r="B5" s="10">
        <f ca="1">SUM(SUMIF(_xlfn.ANCHORARRAY(Apr!$B$4), $A5, Apr!C$4:C$78), SUMIF(_xlfn.ANCHORARRAY(May!$B$4), $A5, May!C$4:C$65), SUMIF(_xlfn.ANCHORARRAY(Jun!$B$4), $A5, Jun!C$4:C$65))</f>
        <v>86879.912330585212</v>
      </c>
      <c r="C5" s="15">
        <f ca="1">SUM(SUMIF(_xlfn.ANCHORARRAY(Apr!$B$4), $A5, Apr!D$4:D$78), SUMIF(_xlfn.ANCHORARRAY(May!$B$4), $A5, May!D$4:D$65), SUMIF(_xlfn.ANCHORARRAY(Jun!$B$4), $A5, Jun!D$4:D$65))</f>
        <v>0</v>
      </c>
      <c r="D5" s="15">
        <f t="shared" ref="D5:D12" ca="1" si="0">IF(AND(ISNUMBER(B5),ISNUMBER(C5)), B5-C5, "")</f>
        <v>86879.912330585212</v>
      </c>
      <c r="E5" s="16" t="str">
        <f ca="1">IFERROR(D5/C5, "")</f>
        <v/>
      </c>
      <c r="F5" s="15">
        <f ca="1">SUM(SUMIF(_xlfn.ANCHORARRAY(Apr!$B$4), $A5, Apr!G$4:G$78), SUMIF(_xlfn.ANCHORARRAY(May!$B$4), $A5, May!G$4:G$65), SUMIF(_xlfn.ANCHORARRAY(Jun!$B$4), $A5, Jun!G$4:G$65))</f>
        <v>91826.591000000015</v>
      </c>
      <c r="G5" s="15">
        <f ca="1">IF(AND(ISNUMBER(B5),ISNUMBER(F5)), B5-F5, "")</f>
        <v>-4946.6786694148032</v>
      </c>
      <c r="H5" s="16">
        <f ca="1">IFERROR(G5/F5, "")</f>
        <v>-5.3869784509530602E-2</v>
      </c>
    </row>
    <row r="6" spans="1:8" ht="14.45">
      <c r="A6" s="8" t="str">
        <v>CT</v>
      </c>
      <c r="B6" s="21">
        <f ca="1">SUM(SUMIF(_xlfn.ANCHORARRAY(Apr!$B$4), $A6, Apr!C$4:C$78), SUMIF(_xlfn.ANCHORARRAY(May!$B$4), $A6, May!C$4:C$65), SUMIF(_xlfn.ANCHORARRAY(Jun!$B$4), $A6, Jun!C$4:C$65))</f>
        <v>4925.5769000503496</v>
      </c>
      <c r="C6" s="11">
        <f ca="1">SUM(SUMIF(_xlfn.ANCHORARRAY(Apr!$B$4), $A6, Apr!D$4:D$78), SUMIF(_xlfn.ANCHORARRAY(May!$B$4), $A6, May!D$4:D$65), SUMIF(_xlfn.ANCHORARRAY(Jun!$B$4), $A6, Jun!D$4:D$65))</f>
        <v>5258.8701339999998</v>
      </c>
      <c r="D6" s="11">
        <f t="shared" ca="1" si="0"/>
        <v>-333.29323394965013</v>
      </c>
      <c r="E6" s="12">
        <f t="shared" ref="E6:E12" ca="1" si="1">IFERROR(D6/C6, "")</f>
        <v>-6.337734636092654E-2</v>
      </c>
      <c r="F6" s="13">
        <f ca="1">SUM(SUMIF(_xlfn.ANCHORARRAY(Apr!$B$4), $A6, Apr!G$4:G$78), SUMIF(_xlfn.ANCHORARRAY(May!$B$4), $A6, May!G$4:G$65), SUMIF(_xlfn.ANCHORARRAY(Jun!$B$4), $A6, Jun!G$4:G$65))</f>
        <v>6002.8584000000001</v>
      </c>
      <c r="G6" s="13">
        <f t="shared" ref="G6:G12" ca="1" si="2">IF(AND(ISNUMBER(B6),ISNUMBER(F6)), B6-F6, "")</f>
        <v>-1077.2814999496504</v>
      </c>
      <c r="H6" s="14">
        <f t="shared" ref="H6:H12" ca="1" si="3">IFERROR(G6/F6, "")</f>
        <v>-0.17946142123719766</v>
      </c>
    </row>
    <row r="7" spans="1:8" ht="14.45">
      <c r="A7" s="9" t="str">
        <v>FL</v>
      </c>
      <c r="B7" s="10">
        <f ca="1">SUM(SUMIF(_xlfn.ANCHORARRAY(Apr!$B$4), $A7, Apr!C$4:C$78), SUMIF(_xlfn.ANCHORARRAY(May!$B$4), $A7, May!C$4:C$65), SUMIF(_xlfn.ANCHORARRAY(Jun!$B$4), $A7, Jun!C$4:C$65))</f>
        <v>2624.6015821695328</v>
      </c>
      <c r="C7" s="15">
        <f ca="1">SUM(SUMIF(_xlfn.ANCHORARRAY(Apr!$B$4), $A7, Apr!D$4:D$78), SUMIF(_xlfn.ANCHORARRAY(May!$B$4), $A7, May!D$4:D$65), SUMIF(_xlfn.ANCHORARRAY(Jun!$B$4), $A7, Jun!D$4:D$65))</f>
        <v>13156.326999999999</v>
      </c>
      <c r="D7" s="15">
        <f t="shared" ca="1" si="0"/>
        <v>-10531.725417830467</v>
      </c>
      <c r="E7" s="16">
        <f t="shared" ca="1" si="1"/>
        <v>-0.80050651050482913</v>
      </c>
      <c r="F7" s="15">
        <f ca="1">SUM(SUMIF(_xlfn.ANCHORARRAY(Apr!$B$4), $A7, Apr!G$4:G$78), SUMIF(_xlfn.ANCHORARRAY(May!$B$4), $A7, May!G$4:G$65), SUMIF(_xlfn.ANCHORARRAY(Jun!$B$4), $A7, Jun!G$4:G$65))</f>
        <v>16185</v>
      </c>
      <c r="G7" s="15">
        <f t="shared" ca="1" si="2"/>
        <v>-13560.398417830467</v>
      </c>
      <c r="H7" s="16">
        <f t="shared" ca="1" si="3"/>
        <v>-0.83783740610630009</v>
      </c>
    </row>
    <row r="8" spans="1:8" ht="14.45">
      <c r="A8" s="8" t="str">
        <v>IA</v>
      </c>
      <c r="B8" s="21">
        <f ca="1">SUM(SUMIF(_xlfn.ANCHORARRAY(Apr!$B$4), $A8, Apr!C$4:C$78), SUMIF(_xlfn.ANCHORARRAY(May!$B$4), $A8, May!C$4:C$65), SUMIF(_xlfn.ANCHORARRAY(Jun!$B$4), $A8, Jun!C$4:C$65))</f>
        <v>832180</v>
      </c>
      <c r="C8" s="11">
        <f ca="1">SUM(SUMIF(_xlfn.ANCHORARRAY(Apr!$B$4), $A8, Apr!D$4:D$78), SUMIF(_xlfn.ANCHORARRAY(May!$B$4), $A8, May!D$4:D$65), SUMIF(_xlfn.ANCHORARRAY(Jun!$B$4), $A8, Jun!D$4:D$65))</f>
        <v>787358.66999999993</v>
      </c>
      <c r="D8" s="11">
        <f t="shared" ca="1" si="0"/>
        <v>44821.330000000075</v>
      </c>
      <c r="E8" s="12">
        <f t="shared" ca="1" si="1"/>
        <v>5.6926190956911774E-2</v>
      </c>
      <c r="F8" s="13">
        <f ca="1">SUM(SUMIF(_xlfn.ANCHORARRAY(Apr!$B$4), $A8, Apr!G$4:G$78), SUMIF(_xlfn.ANCHORARRAY(May!$B$4), $A8, May!G$4:G$65), SUMIF(_xlfn.ANCHORARRAY(Jun!$B$4), $A8, Jun!G$4:G$65))</f>
        <v>856428.44000000006</v>
      </c>
      <c r="G8" s="13">
        <f t="shared" ca="1" si="2"/>
        <v>-24248.440000000061</v>
      </c>
      <c r="H8" s="14">
        <f t="shared" ca="1" si="3"/>
        <v>-2.8313445546016731E-2</v>
      </c>
    </row>
    <row r="9" spans="1:8" ht="14.45">
      <c r="A9" s="9" t="str">
        <v>NC</v>
      </c>
      <c r="B9" s="10">
        <f ca="1">SUM(SUMIF(_xlfn.ANCHORARRAY(Apr!$B$4), $A9, Apr!C$4:C$78), SUMIF(_xlfn.ANCHORARRAY(May!$B$4), $A9, May!C$4:C$65), SUMIF(_xlfn.ANCHORARRAY(Jun!$B$4), $A9, Jun!C$4:C$65))</f>
        <v>1111185.5</v>
      </c>
      <c r="C9" s="15">
        <f ca="1">SUM(SUMIF(_xlfn.ANCHORARRAY(Apr!$B$4), $A9, Apr!D$4:D$78), SUMIF(_xlfn.ANCHORARRAY(May!$B$4), $A9, May!D$4:D$65), SUMIF(_xlfn.ANCHORARRAY(Jun!$B$4), $A9, Jun!D$4:D$65))</f>
        <v>1158864.9369999999</v>
      </c>
      <c r="D9" s="15">
        <f t="shared" ca="1" si="0"/>
        <v>-47679.436999999918</v>
      </c>
      <c r="E9" s="16">
        <f t="shared" ca="1" si="1"/>
        <v>-4.1143221679853036E-2</v>
      </c>
      <c r="F9" s="15">
        <f ca="1">SUM(SUMIF(_xlfn.ANCHORARRAY(Apr!$B$4), $A9, Apr!G$4:G$78), SUMIF(_xlfn.ANCHORARRAY(May!$B$4), $A9, May!G$4:G$65), SUMIF(_xlfn.ANCHORARRAY(Jun!$B$4), $A9, Jun!G$4:G$65))</f>
        <v>1153402.0249999999</v>
      </c>
      <c r="G9" s="15">
        <f t="shared" ca="1" si="2"/>
        <v>-42216.524999999907</v>
      </c>
      <c r="H9" s="16">
        <f t="shared" ca="1" si="3"/>
        <v>-3.6601743438069573E-2</v>
      </c>
    </row>
    <row r="10" spans="1:8" ht="14.45">
      <c r="A10" s="8" t="str">
        <v>NJ</v>
      </c>
      <c r="B10" s="21">
        <f ca="1">SUM(SUMIF(_xlfn.ANCHORARRAY(Apr!$B$4), $A10, Apr!C$4:C$78), SUMIF(_xlfn.ANCHORARRAY(May!$B$4), $A10, May!C$4:C$65), SUMIF(_xlfn.ANCHORARRAY(Jun!$B$4), $A10, Jun!C$4:C$65))</f>
        <v>247241.28966096113</v>
      </c>
      <c r="C10" s="11">
        <f ca="1">SUM(SUMIF(_xlfn.ANCHORARRAY(Apr!$B$4), $A10, Apr!D$4:D$78), SUMIF(_xlfn.ANCHORARRAY(May!$B$4), $A10, May!D$4:D$65), SUMIF(_xlfn.ANCHORARRAY(Jun!$B$4), $A10, Jun!D$4:D$65))</f>
        <v>248115.66310000001</v>
      </c>
      <c r="D10" s="11">
        <f t="shared" ca="1" si="0"/>
        <v>-874.37343903887086</v>
      </c>
      <c r="E10" s="12">
        <f t="shared" ca="1" si="1"/>
        <v>-3.5240557896035174E-3</v>
      </c>
      <c r="F10" s="13">
        <f ca="1">SUM(SUMIF(_xlfn.ANCHORARRAY(Apr!$B$4), $A10, Apr!G$4:G$78), SUMIF(_xlfn.ANCHORARRAY(May!$B$4), $A10, May!G$4:G$65), SUMIF(_xlfn.ANCHORARRAY(Jun!$B$4), $A10, Jun!G$4:G$65))</f>
        <v>297563.63199999998</v>
      </c>
      <c r="G10" s="13">
        <f t="shared" ca="1" si="2"/>
        <v>-50322.342339038849</v>
      </c>
      <c r="H10" s="14">
        <f t="shared" ca="1" si="3"/>
        <v>-0.16911455879473489</v>
      </c>
    </row>
    <row r="11" spans="1:8" ht="14.45">
      <c r="A11" s="9" t="str">
        <v>TX</v>
      </c>
      <c r="B11" s="10">
        <f ca="1">SUM(SUMIF(_xlfn.ANCHORARRAY(Apr!$B$4), $A11, Apr!C$4:C$78), SUMIF(_xlfn.ANCHORARRAY(May!$B$4), $A11, May!C$4:C$65), SUMIF(_xlfn.ANCHORARRAY(Jun!$B$4), $A11, Jun!C$4:C$65))</f>
        <v>2239246.9729999998</v>
      </c>
      <c r="C11" s="15">
        <f ca="1">SUM(SUMIF(_xlfn.ANCHORARRAY(Apr!$B$4), $A11, Apr!D$4:D$78), SUMIF(_xlfn.ANCHORARRAY(May!$B$4), $A11, May!D$4:D$65), SUMIF(_xlfn.ANCHORARRAY(Jun!$B$4), $A11, Jun!D$4:D$65))</f>
        <v>2042211.1329999999</v>
      </c>
      <c r="D11" s="15">
        <f t="shared" ca="1" si="0"/>
        <v>197035.83999999985</v>
      </c>
      <c r="E11" s="16">
        <f t="shared" ca="1" si="1"/>
        <v>9.6481620737496915E-2</v>
      </c>
      <c r="F11" s="15">
        <f ca="1">SUM(SUMIF(_xlfn.ANCHORARRAY(Apr!$B$4), $A11, Apr!G$4:G$78), SUMIF(_xlfn.ANCHORARRAY(May!$B$4), $A11, May!G$4:G$65), SUMIF(_xlfn.ANCHORARRAY(Jun!$B$4), $A11, Jun!G$4:G$65))</f>
        <v>2473075.5690000001</v>
      </c>
      <c r="G11" s="15">
        <f t="shared" ca="1" si="2"/>
        <v>-233828.59600000037</v>
      </c>
      <c r="H11" s="16">
        <f t="shared" ca="1" si="3"/>
        <v>-9.4549717336195299E-2</v>
      </c>
    </row>
    <row r="12" spans="1:8" ht="14.45">
      <c r="A12" s="8" t="str">
        <v>AZ</v>
      </c>
      <c r="B12" s="21">
        <f ca="1">SUM(SUMIF(_xlfn.ANCHORARRAY(Apr!$B$4), $A12, Apr!C$4:C$78), SUMIF(_xlfn.ANCHORARRAY(May!$B$4), $A12, May!C$4:C$65), SUMIF(_xlfn.ANCHORARRAY(Jun!$B$4), $A12, Jun!C$4:C$65))</f>
        <v>1595583.9216057339</v>
      </c>
      <c r="C12" s="11">
        <f ca="1">SUM(SUMIF(_xlfn.ANCHORARRAY(Apr!$B$4), $A12, Apr!D$4:D$78), SUMIF(_xlfn.ANCHORARRAY(May!$B$4), $A12, May!D$4:D$65), SUMIF(_xlfn.ANCHORARRAY(Jun!$B$4), $A12, Jun!D$4:D$65))</f>
        <v>1480370.9110000001</v>
      </c>
      <c r="D12" s="11">
        <f t="shared" ca="1" si="0"/>
        <v>115213.01060573384</v>
      </c>
      <c r="E12" s="12">
        <f t="shared" ca="1" si="1"/>
        <v>7.7827124100882744E-2</v>
      </c>
      <c r="F12" s="13">
        <f ca="1">SUM(SUMIF(_xlfn.ANCHORARRAY(Apr!$B$4), $A12, Apr!G$4:G$78), SUMIF(_xlfn.ANCHORARRAY(May!$B$4), $A12, May!G$4:G$65), SUMIF(_xlfn.ANCHORARRAY(Jun!$B$4), $A12, Jun!G$4:G$65))</f>
        <v>1524901.5</v>
      </c>
      <c r="G12" s="13">
        <f t="shared" ca="1" si="2"/>
        <v>70682.421605733922</v>
      </c>
      <c r="H12" s="14">
        <f t="shared" ca="1" si="3"/>
        <v>4.6352122813003938E-2</v>
      </c>
    </row>
    <row r="13" spans="1:8" ht="12.75" customHeight="1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8"/>
      <c r="F23" s="18"/>
      <c r="G23" s="18"/>
      <c r="H23" s="18"/>
    </row>
    <row r="24" spans="1:8" ht="13.9">
      <c r="A24" s="18"/>
      <c r="B24" s="18"/>
      <c r="C24" s="18"/>
      <c r="D24" s="18"/>
      <c r="E24" s="18"/>
      <c r="F24" s="18"/>
      <c r="G24" s="18"/>
      <c r="H24" s="18"/>
    </row>
    <row r="25" spans="1:8" ht="13.9">
      <c r="A25" s="18"/>
      <c r="B25" s="18"/>
      <c r="C25" s="18"/>
      <c r="D25" s="18"/>
      <c r="E25" s="18"/>
      <c r="F25" s="18"/>
      <c r="G25" s="18"/>
      <c r="H25" s="18"/>
    </row>
    <row r="26" spans="1:8" ht="13.9">
      <c r="A26" s="18"/>
      <c r="B26" s="18"/>
      <c r="C26" s="18"/>
      <c r="D26" s="18"/>
      <c r="E26" s="18"/>
      <c r="F26" s="18"/>
      <c r="G26" s="18"/>
      <c r="H26" s="18"/>
    </row>
    <row r="27" spans="1:8" ht="13.9">
      <c r="A27" s="18"/>
      <c r="B27" s="18"/>
      <c r="C27" s="18"/>
      <c r="D27" s="18"/>
      <c r="E27" s="18"/>
      <c r="F27" s="18"/>
      <c r="G27" s="18"/>
      <c r="H27" s="18"/>
    </row>
    <row r="28" spans="1:8" ht="13.9">
      <c r="A28" s="18"/>
      <c r="B28" s="18"/>
      <c r="C28" s="18"/>
      <c r="D28" s="18"/>
      <c r="E28" s="18"/>
      <c r="F28" s="19"/>
      <c r="G28" s="18"/>
      <c r="H28" s="18"/>
    </row>
    <row r="29" spans="1:8" ht="13.9">
      <c r="A29" s="18"/>
      <c r="B29" s="18"/>
      <c r="C29" s="18"/>
      <c r="D29" s="18"/>
      <c r="E29" s="18"/>
      <c r="F29" s="19"/>
      <c r="G29" s="18"/>
      <c r="H29" s="18"/>
    </row>
    <row r="30" spans="1:8" ht="13.9">
      <c r="A30" s="18"/>
      <c r="B30" s="18"/>
      <c r="C30" s="18"/>
      <c r="D30" s="18"/>
      <c r="E30" s="18"/>
      <c r="F30" s="19"/>
      <c r="G30" s="18"/>
      <c r="H30" s="18"/>
    </row>
    <row r="31" spans="1:8" ht="13.9">
      <c r="A31" s="18"/>
      <c r="B31" s="18"/>
      <c r="C31" s="18"/>
      <c r="D31" s="18"/>
      <c r="E31" s="18"/>
      <c r="F31" s="19"/>
      <c r="G31" s="18"/>
      <c r="H31" s="18"/>
    </row>
    <row r="32" spans="1:8" ht="13.9">
      <c r="A32" s="18"/>
      <c r="B32" s="18"/>
      <c r="C32" s="18"/>
      <c r="D32" s="18"/>
      <c r="E32" s="18"/>
      <c r="F32" s="19"/>
      <c r="G32" s="18"/>
      <c r="H32" s="18"/>
    </row>
    <row r="33" spans="1:8" ht="13.9">
      <c r="A33" s="18"/>
      <c r="B33" s="18"/>
      <c r="C33" s="18"/>
      <c r="D33" s="18"/>
      <c r="E33" s="18"/>
      <c r="F33" s="19"/>
      <c r="G33" s="18"/>
      <c r="H33" s="18"/>
    </row>
    <row r="34" spans="1:8" ht="13.9">
      <c r="A34" s="18"/>
      <c r="B34" s="18"/>
      <c r="C34" s="18"/>
      <c r="D34" s="18"/>
      <c r="E34" s="18"/>
      <c r="F34" s="19"/>
      <c r="G34" s="18"/>
      <c r="H34" s="18"/>
    </row>
    <row r="35" spans="1:8" ht="13.9">
      <c r="A35" s="18"/>
      <c r="B35" s="18"/>
      <c r="C35" s="18"/>
      <c r="D35" s="18"/>
      <c r="E35" s="18"/>
      <c r="F35" s="19"/>
      <c r="G35" s="18"/>
      <c r="H35" s="18"/>
    </row>
    <row r="36" spans="1:8" ht="13.9">
      <c r="A36" s="18"/>
      <c r="B36" s="18"/>
      <c r="C36" s="18"/>
      <c r="D36" s="18"/>
      <c r="E36" s="18"/>
      <c r="F36" s="19"/>
      <c r="G36" s="18"/>
      <c r="H36" s="18"/>
    </row>
    <row r="37" spans="1:8" ht="13.9">
      <c r="A37" s="18"/>
      <c r="B37" s="18"/>
      <c r="C37" s="18"/>
      <c r="D37" s="18"/>
      <c r="E37" s="18"/>
      <c r="F37" s="19"/>
      <c r="G37" s="18"/>
      <c r="H37" s="18"/>
    </row>
    <row r="38" spans="1:8" ht="13.9">
      <c r="A38" s="18"/>
      <c r="B38" s="18"/>
      <c r="C38" s="18"/>
      <c r="D38" s="18"/>
      <c r="E38" s="18"/>
      <c r="F38" s="19"/>
      <c r="G38" s="18"/>
      <c r="H38" s="18"/>
    </row>
    <row r="39" spans="1:8" ht="13.9">
      <c r="A39" s="18"/>
      <c r="B39" s="18"/>
      <c r="C39" s="18"/>
      <c r="D39" s="18"/>
      <c r="E39" s="18"/>
      <c r="F39" s="19"/>
      <c r="G39" s="18"/>
      <c r="H39" s="18"/>
    </row>
    <row r="40" spans="1:8" ht="13.9">
      <c r="A40" s="18"/>
      <c r="B40" s="18"/>
      <c r="C40" s="18"/>
      <c r="D40" s="18"/>
      <c r="E40" s="18"/>
      <c r="F40" s="19"/>
      <c r="G40" s="18"/>
      <c r="H40" s="18"/>
    </row>
    <row r="41" spans="1:8" ht="13.9">
      <c r="A41" s="18"/>
      <c r="B41" s="18"/>
      <c r="C41" s="18"/>
      <c r="D41" s="18"/>
      <c r="E41" s="18"/>
      <c r="F41" s="19"/>
      <c r="G41" s="18"/>
      <c r="H41" s="18"/>
    </row>
    <row r="42" spans="1:8" ht="13.9">
      <c r="A42" s="18"/>
      <c r="B42" s="18"/>
      <c r="C42" s="18"/>
      <c r="D42" s="18"/>
      <c r="E42" s="18"/>
      <c r="F42" s="19"/>
      <c r="G42" s="18"/>
      <c r="H42" s="18"/>
    </row>
    <row r="43" spans="1:8" ht="13.9">
      <c r="A43" s="18"/>
      <c r="B43" s="18"/>
      <c r="C43" s="18"/>
      <c r="D43" s="18"/>
      <c r="E43" s="18"/>
      <c r="F43" s="19"/>
      <c r="G43" s="18"/>
      <c r="H43" s="18"/>
    </row>
    <row r="44" spans="1:8" ht="13.9">
      <c r="A44" s="18"/>
      <c r="B44" s="18"/>
      <c r="C44" s="18"/>
      <c r="D44" s="18"/>
      <c r="E44" s="18"/>
      <c r="F44" s="19"/>
      <c r="G44" s="18"/>
      <c r="H44" s="18"/>
    </row>
    <row r="45" spans="1:8" ht="13.9">
      <c r="A45" s="18"/>
      <c r="B45" s="18"/>
      <c r="C45" s="18"/>
      <c r="D45" s="18"/>
      <c r="E45" s="18"/>
      <c r="F45" s="19"/>
      <c r="G45" s="18"/>
      <c r="H45" s="18"/>
    </row>
    <row r="46" spans="1:8" ht="13.9">
      <c r="A46" s="18"/>
      <c r="B46" s="18"/>
      <c r="C46" s="18"/>
      <c r="D46" s="18"/>
      <c r="E46" s="18"/>
      <c r="F46" s="19"/>
      <c r="G46" s="18"/>
      <c r="H46" s="18"/>
    </row>
    <row r="47" spans="1:8" ht="13.9">
      <c r="A47" s="18"/>
      <c r="B47" s="18"/>
      <c r="C47" s="18"/>
      <c r="D47" s="18"/>
      <c r="E47" s="18"/>
      <c r="F47" s="19"/>
      <c r="G47" s="18"/>
      <c r="H47" s="18"/>
    </row>
    <row r="48" spans="1:8" ht="13.9">
      <c r="A48" s="18"/>
      <c r="B48" s="18"/>
      <c r="C48" s="18"/>
      <c r="D48" s="18"/>
      <c r="E48" s="18"/>
      <c r="F48" s="19"/>
      <c r="G48" s="18"/>
      <c r="H48" s="18"/>
    </row>
    <row r="49" spans="1:8" ht="13.9">
      <c r="A49" s="18"/>
      <c r="B49" s="18"/>
      <c r="C49" s="18"/>
      <c r="D49" s="18"/>
      <c r="E49" s="18"/>
      <c r="F49" s="19"/>
      <c r="G49" s="18"/>
      <c r="H49" s="18"/>
    </row>
    <row r="50" spans="1:8" ht="13.9">
      <c r="A50" s="18"/>
      <c r="B50" s="18"/>
      <c r="C50" s="18"/>
      <c r="D50" s="18"/>
      <c r="E50" s="18"/>
      <c r="F50" s="19"/>
      <c r="G50" s="18"/>
      <c r="H50" s="18"/>
    </row>
    <row r="51" spans="1:8" ht="13.9">
      <c r="A51" s="18"/>
      <c r="B51" s="18"/>
      <c r="C51" s="18"/>
      <c r="D51" s="18"/>
      <c r="E51" s="18"/>
      <c r="F51" s="19"/>
      <c r="G51" s="18"/>
      <c r="H51" s="18"/>
    </row>
    <row r="52" spans="1:8" ht="13.9">
      <c r="A52" s="18"/>
      <c r="B52" s="18"/>
      <c r="C52" s="18"/>
      <c r="D52" s="18"/>
      <c r="E52" s="18"/>
      <c r="F52" s="19"/>
      <c r="G52" s="18"/>
      <c r="H52" s="18"/>
    </row>
    <row r="53" spans="1:8" ht="13.9">
      <c r="A53" s="18"/>
      <c r="B53" s="18"/>
      <c r="C53" s="18"/>
      <c r="D53" s="18"/>
      <c r="E53" s="18"/>
      <c r="F53" s="19"/>
      <c r="G53" s="18"/>
      <c r="H53" s="18"/>
    </row>
    <row r="54" spans="1:8" ht="13.9">
      <c r="A54" s="18"/>
      <c r="B54" s="18"/>
      <c r="C54" s="18"/>
      <c r="D54" s="18"/>
      <c r="E54" s="18"/>
      <c r="F54" s="19"/>
      <c r="G54" s="18"/>
      <c r="H54" s="18"/>
    </row>
    <row r="55" spans="1:8" ht="13.9">
      <c r="A55" s="18"/>
      <c r="B55" s="18"/>
      <c r="C55" s="18"/>
      <c r="D55" s="18"/>
      <c r="E55" s="18"/>
      <c r="F55" s="19"/>
      <c r="G55" s="18"/>
      <c r="H55" s="18"/>
    </row>
    <row r="56" spans="1:8" ht="13.9">
      <c r="A56" s="18"/>
      <c r="B56" s="18"/>
      <c r="C56" s="18"/>
      <c r="D56" s="18"/>
      <c r="E56" s="18"/>
      <c r="F56" s="19"/>
      <c r="G56" s="18"/>
      <c r="H56" s="18"/>
    </row>
    <row r="57" spans="1:8" ht="13.9">
      <c r="A57" s="18"/>
      <c r="B57" s="18"/>
      <c r="C57" s="18"/>
      <c r="D57" s="18"/>
      <c r="E57" s="18"/>
      <c r="F57" s="19"/>
      <c r="G57" s="18"/>
      <c r="H57" s="18"/>
    </row>
    <row r="58" spans="1:8" ht="13.9">
      <c r="A58" s="18"/>
      <c r="B58" s="18"/>
      <c r="C58" s="18"/>
      <c r="D58" s="18"/>
      <c r="E58" s="18"/>
      <c r="F58" s="19"/>
      <c r="G58" s="18"/>
      <c r="H58" s="18"/>
    </row>
    <row r="59" spans="1:8" ht="13.9">
      <c r="A59" s="18"/>
      <c r="B59" s="18"/>
      <c r="C59" s="18"/>
      <c r="D59" s="18"/>
      <c r="E59" s="18"/>
      <c r="F59" s="19"/>
      <c r="G59" s="18"/>
      <c r="H59" s="18"/>
    </row>
    <row r="60" spans="1:8" ht="13.9">
      <c r="A60" s="18"/>
      <c r="B60" s="18"/>
      <c r="C60" s="18"/>
      <c r="D60" s="18"/>
      <c r="E60" s="18"/>
      <c r="F60" s="19"/>
      <c r="G60" s="18"/>
      <c r="H60" s="18"/>
    </row>
    <row r="61" spans="1:8" ht="13.9">
      <c r="A61" s="18"/>
      <c r="B61" s="18"/>
      <c r="C61" s="18"/>
      <c r="D61" s="18"/>
      <c r="E61" s="18"/>
      <c r="F61" s="19"/>
      <c r="G61" s="18"/>
      <c r="H61" s="18"/>
    </row>
    <row r="62" spans="1:8" ht="13.9">
      <c r="A62" s="18"/>
      <c r="B62" s="18"/>
      <c r="C62" s="18"/>
      <c r="D62" s="18"/>
      <c r="E62" s="18"/>
      <c r="F62" s="19"/>
      <c r="G62" s="18"/>
      <c r="H62" s="18"/>
    </row>
    <row r="63" spans="1:8" ht="13.9">
      <c r="A63" s="18"/>
      <c r="B63" s="18"/>
      <c r="C63" s="18"/>
      <c r="D63" s="18"/>
      <c r="E63" s="18"/>
      <c r="F63" s="19"/>
      <c r="G63" s="18"/>
      <c r="H63" s="18"/>
    </row>
    <row r="64" spans="1:8" ht="13.9">
      <c r="A64" s="18"/>
      <c r="B64" s="18"/>
      <c r="C64" s="18"/>
      <c r="D64" s="18"/>
      <c r="E64" s="18"/>
      <c r="F64" s="19"/>
      <c r="G64" s="18"/>
      <c r="H64" s="18"/>
    </row>
    <row r="65" spans="1:8" ht="13.9">
      <c r="A65" s="18"/>
      <c r="B65" s="18"/>
      <c r="C65" s="18"/>
      <c r="D65" s="18"/>
      <c r="E65" s="18"/>
      <c r="F65" s="19"/>
      <c r="G65" s="18"/>
      <c r="H65" s="18"/>
    </row>
    <row r="66" spans="1:8" ht="13.9">
      <c r="A66" s="18"/>
      <c r="B66" s="18"/>
      <c r="C66" s="18"/>
      <c r="D66" s="18"/>
      <c r="E66" s="18"/>
      <c r="F66" s="19"/>
      <c r="G66" s="18"/>
      <c r="H66" s="18"/>
    </row>
    <row r="67" spans="1:8" ht="13.9">
      <c r="A67" s="18"/>
      <c r="B67" s="18"/>
      <c r="C67" s="18"/>
      <c r="D67" s="18"/>
      <c r="E67" s="18"/>
      <c r="F67" s="19"/>
      <c r="G67" s="18"/>
      <c r="H67" s="18"/>
    </row>
    <row r="68" spans="1:8" ht="13.9">
      <c r="A68" s="18"/>
      <c r="B68" s="18"/>
      <c r="C68" s="18"/>
      <c r="D68" s="18"/>
      <c r="E68" s="18"/>
      <c r="F68" s="19"/>
      <c r="G68" s="18"/>
      <c r="H68" s="18"/>
    </row>
    <row r="69" spans="1:8" ht="13.9">
      <c r="A69" s="18"/>
      <c r="B69" s="18"/>
      <c r="C69" s="18"/>
      <c r="D69" s="18"/>
      <c r="E69" s="18"/>
      <c r="F69" s="19"/>
      <c r="G69" s="18"/>
      <c r="H69" s="18"/>
    </row>
    <row r="70" spans="1:8" ht="13.9">
      <c r="A70" s="18"/>
      <c r="B70" s="18"/>
      <c r="C70" s="18"/>
      <c r="D70" s="18"/>
      <c r="E70" s="18"/>
      <c r="F70" s="19"/>
      <c r="G70" s="18"/>
      <c r="H70" s="18"/>
    </row>
    <row r="71" spans="1:8" ht="13.9">
      <c r="A71" s="18"/>
      <c r="B71" s="18"/>
      <c r="C71" s="18"/>
      <c r="D71" s="18"/>
      <c r="E71" s="18"/>
      <c r="F71" s="19"/>
      <c r="G71" s="18"/>
      <c r="H71" s="18"/>
    </row>
    <row r="72" spans="1:8" ht="13.9">
      <c r="A72" s="18"/>
      <c r="B72" s="18"/>
      <c r="C72" s="18"/>
      <c r="D72" s="18"/>
      <c r="E72" s="18"/>
      <c r="F72" s="19"/>
      <c r="G72" s="18"/>
      <c r="H72" s="18"/>
    </row>
    <row r="73" spans="1:8" ht="13.9">
      <c r="A73" s="18"/>
      <c r="B73" s="18"/>
      <c r="C73" s="18"/>
      <c r="D73" s="18"/>
      <c r="E73" s="18"/>
      <c r="F73" s="19"/>
      <c r="G73" s="18"/>
      <c r="H73" s="18"/>
    </row>
    <row r="74" spans="1:8" ht="13.9">
      <c r="A74" s="18"/>
      <c r="B74" s="18"/>
      <c r="C74" s="18"/>
      <c r="D74" s="18"/>
      <c r="E74" s="18"/>
      <c r="F74" s="19"/>
      <c r="G74" s="18"/>
      <c r="H74" s="18"/>
    </row>
    <row r="75" spans="1:8" ht="13.9">
      <c r="A75" s="18"/>
      <c r="B75" s="18"/>
      <c r="C75" s="18"/>
      <c r="D75" s="18"/>
      <c r="E75" s="18"/>
      <c r="F75" s="19"/>
      <c r="G75" s="18"/>
      <c r="H75" s="18"/>
    </row>
    <row r="76" spans="1:8" ht="13.9">
      <c r="A76" s="18"/>
      <c r="B76" s="18"/>
      <c r="C76" s="18"/>
      <c r="D76" s="18"/>
      <c r="E76" s="18"/>
      <c r="F76" s="19"/>
      <c r="G76" s="18"/>
      <c r="H76" s="18"/>
    </row>
    <row r="77" spans="1:8" ht="13.9">
      <c r="A77" s="18"/>
      <c r="B77" s="18"/>
      <c r="C77" s="18"/>
      <c r="D77" s="18"/>
      <c r="E77" s="18"/>
      <c r="F77" s="19"/>
      <c r="G77" s="18"/>
      <c r="H77" s="18"/>
    </row>
    <row r="78" spans="1:8" ht="13.9">
      <c r="A78" s="18"/>
      <c r="B78" s="18"/>
      <c r="C78" s="18"/>
      <c r="D78" s="18"/>
      <c r="E78" s="18"/>
      <c r="F78" s="19"/>
      <c r="G78" s="18"/>
      <c r="H78" s="18"/>
    </row>
    <row r="79" spans="1:8" ht="13.9">
      <c r="A79" s="18"/>
      <c r="B79" s="18"/>
      <c r="C79" s="18"/>
      <c r="D79" s="18"/>
      <c r="E79" s="18"/>
      <c r="F79" s="19"/>
      <c r="G79" s="18"/>
      <c r="H79" s="18"/>
    </row>
    <row r="80" spans="1:8" ht="13.9">
      <c r="A80" s="18"/>
      <c r="B80" s="18"/>
      <c r="C80" s="18"/>
      <c r="D80" s="18"/>
      <c r="E80" s="18"/>
      <c r="F80" s="19"/>
      <c r="G80" s="18"/>
      <c r="H80" s="18"/>
    </row>
    <row r="81" spans="1:8" ht="13.9">
      <c r="A81" s="18"/>
      <c r="B81" s="18"/>
      <c r="C81" s="18"/>
      <c r="D81" s="18"/>
      <c r="E81" s="18"/>
      <c r="F81" s="19"/>
      <c r="G81" s="18"/>
      <c r="H81" s="18"/>
    </row>
    <row r="82" spans="1:8" ht="13.9">
      <c r="A82" s="18"/>
      <c r="B82" s="18"/>
      <c r="C82" s="18"/>
      <c r="D82" s="18"/>
      <c r="E82" s="18"/>
      <c r="F82" s="19"/>
      <c r="G82" s="18"/>
      <c r="H82" s="18"/>
    </row>
    <row r="83" spans="1:8" ht="13.9">
      <c r="A83" s="18"/>
      <c r="B83" s="18"/>
      <c r="C83" s="18"/>
      <c r="D83" s="18"/>
      <c r="E83" s="18"/>
      <c r="F83" s="19"/>
      <c r="G83" s="18"/>
      <c r="H83" s="18"/>
    </row>
    <row r="84" spans="1:8" ht="13.9">
      <c r="A84" s="18"/>
      <c r="B84" s="18"/>
      <c r="C84" s="18"/>
      <c r="D84" s="18"/>
      <c r="E84" s="18"/>
      <c r="F84" s="19"/>
      <c r="G84" s="18"/>
      <c r="H84" s="18"/>
    </row>
    <row r="85" spans="1:8" ht="13.9">
      <c r="A85" s="18"/>
      <c r="B85" s="18"/>
      <c r="C85" s="18"/>
      <c r="D85" s="18"/>
      <c r="E85" s="18"/>
      <c r="F85" s="19"/>
      <c r="G85" s="18"/>
      <c r="H85" s="18"/>
    </row>
    <row r="86" spans="1:8" ht="13.9">
      <c r="A86" s="18"/>
      <c r="B86" s="18"/>
      <c r="C86" s="18"/>
      <c r="D86" s="18"/>
      <c r="E86" s="18"/>
      <c r="F86" s="19"/>
      <c r="G86" s="18"/>
      <c r="H86" s="18"/>
    </row>
    <row r="87" spans="1:8" ht="13.9">
      <c r="A87" s="18"/>
      <c r="B87" s="18"/>
      <c r="C87" s="18"/>
      <c r="D87" s="18"/>
      <c r="E87" s="18"/>
      <c r="F87" s="19"/>
      <c r="G87" s="18"/>
      <c r="H87" s="18"/>
    </row>
    <row r="88" spans="1:8" ht="13.9">
      <c r="A88" s="18"/>
      <c r="B88" s="18"/>
      <c r="C88" s="18"/>
      <c r="D88" s="18"/>
      <c r="E88" s="18"/>
      <c r="F88" s="19"/>
      <c r="G88" s="18"/>
      <c r="H88" s="18"/>
    </row>
    <row r="89" spans="1:8" ht="13.9">
      <c r="A89" s="18"/>
      <c r="B89" s="18"/>
      <c r="C89" s="18"/>
      <c r="D89" s="18"/>
      <c r="E89" s="18"/>
      <c r="F89" s="19"/>
      <c r="G89" s="18"/>
      <c r="H89" s="18"/>
    </row>
    <row r="90" spans="1:8" ht="13.9">
      <c r="A90" s="18"/>
      <c r="B90" s="18"/>
      <c r="C90" s="18"/>
      <c r="D90" s="18"/>
      <c r="E90" s="18"/>
      <c r="F90" s="19"/>
      <c r="G90" s="18"/>
      <c r="H90" s="18"/>
    </row>
    <row r="91" spans="1:8" ht="13.9">
      <c r="A91" s="18"/>
      <c r="B91" s="18"/>
      <c r="C91" s="18"/>
      <c r="D91" s="18"/>
      <c r="E91" s="18"/>
      <c r="F91" s="19"/>
      <c r="G91" s="18"/>
      <c r="H91" s="18"/>
    </row>
    <row r="92" spans="1:8" ht="13.9">
      <c r="A92" s="18"/>
      <c r="B92" s="18"/>
      <c r="C92" s="18"/>
      <c r="D92" s="18"/>
      <c r="E92" s="18"/>
      <c r="F92" s="19"/>
      <c r="G92" s="18"/>
      <c r="H92" s="18"/>
    </row>
    <row r="93" spans="1:8" ht="13.9">
      <c r="A93" s="18"/>
      <c r="B93" s="18"/>
      <c r="C93" s="18"/>
      <c r="D93" s="18"/>
      <c r="E93" s="18"/>
      <c r="F93" s="19"/>
      <c r="G93" s="18"/>
      <c r="H93" s="18"/>
    </row>
    <row r="94" spans="1:8" ht="13.9">
      <c r="A94" s="18"/>
      <c r="B94" s="18"/>
      <c r="C94" s="18"/>
      <c r="D94" s="18"/>
      <c r="E94" s="18"/>
      <c r="F94" s="19"/>
      <c r="G94" s="18"/>
      <c r="H94" s="18"/>
    </row>
    <row r="95" spans="1:8" ht="13.9">
      <c r="A95" s="18"/>
      <c r="B95" s="18"/>
      <c r="C95" s="18"/>
      <c r="D95" s="18"/>
      <c r="E95" s="18"/>
      <c r="F95" s="19"/>
      <c r="G95" s="18"/>
      <c r="H95" s="18"/>
    </row>
    <row r="96" spans="1:8" ht="13.9">
      <c r="A96" s="18"/>
      <c r="B96" s="18"/>
      <c r="C96" s="18"/>
      <c r="D96" s="18"/>
      <c r="E96" s="18"/>
      <c r="F96" s="19"/>
      <c r="G96" s="18"/>
      <c r="H96" s="18"/>
    </row>
    <row r="97" spans="1:8" ht="13.9">
      <c r="A97" s="18"/>
      <c r="B97" s="18"/>
      <c r="C97" s="18"/>
      <c r="D97" s="18"/>
      <c r="E97" s="18"/>
      <c r="F97" s="19"/>
      <c r="G97" s="18"/>
      <c r="H97" s="18"/>
    </row>
    <row r="98" spans="1:8" ht="13.9">
      <c r="A98" s="18"/>
      <c r="B98" s="18"/>
      <c r="C98" s="18"/>
      <c r="D98" s="18"/>
      <c r="E98" s="18"/>
      <c r="F98" s="19"/>
      <c r="G98" s="18"/>
      <c r="H98" s="18"/>
    </row>
    <row r="99" spans="1:8" ht="13.9">
      <c r="A99" s="18"/>
      <c r="B99" s="18"/>
      <c r="C99" s="18"/>
      <c r="D99" s="18"/>
      <c r="E99" s="18"/>
      <c r="F99" s="19"/>
      <c r="G99" s="18"/>
      <c r="H99" s="18"/>
    </row>
    <row r="100" spans="1:8" ht="13.9">
      <c r="A100" s="18"/>
      <c r="B100" s="18"/>
      <c r="C100" s="18"/>
      <c r="D100" s="18"/>
      <c r="E100" s="18"/>
      <c r="F100" s="19"/>
      <c r="G100" s="18"/>
      <c r="H100" s="18"/>
    </row>
    <row r="101" spans="1:8" ht="13.9">
      <c r="A101" s="18"/>
      <c r="B101" s="18"/>
      <c r="C101" s="18"/>
      <c r="D101" s="18"/>
      <c r="E101" s="18"/>
      <c r="F101" s="19"/>
      <c r="G101" s="18"/>
      <c r="H101" s="18"/>
    </row>
    <row r="102" spans="1:8" ht="13.9">
      <c r="A102" s="18"/>
      <c r="B102" s="18"/>
      <c r="C102" s="18"/>
      <c r="D102" s="18"/>
      <c r="E102" s="18"/>
      <c r="F102" s="19"/>
      <c r="G102" s="18"/>
      <c r="H102" s="18"/>
    </row>
    <row r="103" spans="1:8" ht="13.9">
      <c r="A103" s="18"/>
      <c r="B103" s="18"/>
      <c r="C103" s="18"/>
      <c r="D103" s="18"/>
      <c r="E103" s="18"/>
      <c r="F103" s="19"/>
      <c r="G103" s="18"/>
      <c r="H103" s="18"/>
    </row>
    <row r="104" spans="1:8" ht="13.9">
      <c r="A104" s="18"/>
      <c r="B104" s="18"/>
      <c r="C104" s="18"/>
      <c r="D104" s="18"/>
      <c r="E104" s="18"/>
      <c r="F104" s="19"/>
      <c r="G104" s="18"/>
      <c r="H104" s="18"/>
    </row>
    <row r="105" spans="1:8" ht="13.9">
      <c r="A105" s="18"/>
      <c r="B105" s="18"/>
      <c r="C105" s="18"/>
      <c r="D105" s="18"/>
      <c r="E105" s="18"/>
      <c r="F105" s="19"/>
      <c r="G105" s="18"/>
      <c r="H105" s="18"/>
    </row>
    <row r="106" spans="1:8" ht="13.9">
      <c r="A106" s="18"/>
      <c r="B106" s="18"/>
      <c r="C106" s="18"/>
      <c r="D106" s="18"/>
      <c r="E106" s="18"/>
      <c r="F106" s="19"/>
      <c r="G106" s="18"/>
      <c r="H106" s="18"/>
    </row>
    <row r="107" spans="1:8" ht="13.9">
      <c r="A107" s="18"/>
      <c r="B107" s="18"/>
      <c r="C107" s="18"/>
      <c r="D107" s="18"/>
      <c r="E107" s="18"/>
      <c r="F107" s="19"/>
      <c r="G107" s="18"/>
      <c r="H107" s="18"/>
    </row>
    <row r="108" spans="1:8" ht="13.9">
      <c r="A108" s="18"/>
      <c r="B108" s="18"/>
      <c r="C108" s="18"/>
      <c r="D108" s="18"/>
      <c r="E108" s="18"/>
      <c r="F108" s="19"/>
      <c r="G108" s="18"/>
      <c r="H108" s="18"/>
    </row>
    <row r="109" spans="1:8" ht="13.9">
      <c r="A109" s="18"/>
      <c r="B109" s="18"/>
      <c r="C109" s="18"/>
      <c r="D109" s="18"/>
      <c r="E109" s="18"/>
      <c r="F109" s="19"/>
      <c r="G109" s="18"/>
      <c r="H109" s="18"/>
    </row>
    <row r="110" spans="1:8" ht="13.9">
      <c r="A110" s="18"/>
      <c r="B110" s="18"/>
      <c r="C110" s="18"/>
      <c r="D110" s="18"/>
      <c r="E110" s="18"/>
      <c r="F110" s="19"/>
      <c r="G110" s="18"/>
      <c r="H110" s="18"/>
    </row>
    <row r="111" spans="1:8" ht="13.9">
      <c r="A111" s="18"/>
      <c r="B111" s="18"/>
      <c r="C111" s="18"/>
      <c r="D111" s="18"/>
      <c r="E111" s="18"/>
      <c r="F111" s="19"/>
      <c r="G111" s="18"/>
      <c r="H111" s="18"/>
    </row>
    <row r="112" spans="1:8" ht="13.9">
      <c r="A112" s="18"/>
      <c r="B112" s="18"/>
      <c r="C112" s="18"/>
      <c r="D112" s="18"/>
      <c r="E112" s="18"/>
      <c r="F112" s="19"/>
      <c r="G112" s="18"/>
      <c r="H112" s="18"/>
    </row>
    <row r="113" spans="1:8" ht="13.9">
      <c r="A113" s="18"/>
      <c r="B113" s="18"/>
      <c r="C113" s="18"/>
      <c r="D113" s="18"/>
      <c r="E113" s="18"/>
      <c r="F113" s="19"/>
      <c r="G113" s="18"/>
      <c r="H113" s="18"/>
    </row>
    <row r="114" spans="1:8" ht="13.9">
      <c r="A114" s="18"/>
      <c r="B114" s="18"/>
      <c r="C114" s="18"/>
      <c r="D114" s="18"/>
      <c r="E114" s="18"/>
      <c r="F114" s="19"/>
      <c r="G114" s="18"/>
      <c r="H114" s="18"/>
    </row>
    <row r="115" spans="1:8" ht="13.9">
      <c r="A115" s="18"/>
      <c r="B115" s="18"/>
      <c r="C115" s="18"/>
      <c r="D115" s="18"/>
      <c r="E115" s="18"/>
      <c r="F115" s="19"/>
      <c r="G115" s="18"/>
      <c r="H115" s="18"/>
    </row>
    <row r="116" spans="1:8" ht="13.9">
      <c r="A116" s="18"/>
      <c r="B116" s="18"/>
      <c r="C116" s="18"/>
      <c r="D116" s="18"/>
      <c r="E116" s="18"/>
      <c r="F116" s="19"/>
      <c r="G116" s="18"/>
      <c r="H116" s="18"/>
    </row>
    <row r="117" spans="1:8" ht="13.9">
      <c r="A117" s="18"/>
      <c r="B117" s="18"/>
      <c r="C117" s="18"/>
      <c r="D117" s="18"/>
      <c r="E117" s="18"/>
      <c r="F117" s="19"/>
      <c r="G117" s="18"/>
      <c r="H117" s="18"/>
    </row>
    <row r="118" spans="1:8" ht="13.9">
      <c r="A118" s="18"/>
      <c r="B118" s="18"/>
      <c r="C118" s="18"/>
      <c r="D118" s="18"/>
      <c r="E118" s="18"/>
      <c r="F118" s="19"/>
      <c r="G118" s="18"/>
      <c r="H118" s="18"/>
    </row>
    <row r="119" spans="1:8" ht="13.9">
      <c r="A119" s="18"/>
      <c r="B119" s="18"/>
      <c r="C119" s="18"/>
      <c r="D119" s="18"/>
      <c r="E119" s="18"/>
      <c r="F119" s="19"/>
      <c r="G119" s="18"/>
      <c r="H119" s="18"/>
    </row>
    <row r="120" spans="1:8" ht="13.9">
      <c r="A120" s="18"/>
      <c r="B120" s="18"/>
      <c r="C120" s="18"/>
      <c r="D120" s="18"/>
      <c r="E120" s="18"/>
      <c r="F120" s="19"/>
      <c r="G120" s="18"/>
      <c r="H120" s="18"/>
    </row>
    <row r="121" spans="1:8" ht="13.9">
      <c r="A121" s="18"/>
      <c r="B121" s="18"/>
      <c r="C121" s="18"/>
      <c r="D121" s="18"/>
      <c r="E121" s="18"/>
      <c r="F121" s="19"/>
      <c r="G121" s="18"/>
      <c r="H121" s="18"/>
    </row>
    <row r="122" spans="1:8" ht="13.9">
      <c r="A122" s="18"/>
      <c r="B122" s="18"/>
      <c r="C122" s="18"/>
      <c r="D122" s="18"/>
      <c r="E122" s="18"/>
      <c r="F122" s="19"/>
      <c r="G122" s="18"/>
      <c r="H122" s="18"/>
    </row>
    <row r="123" spans="1:8" ht="13.9">
      <c r="A123" s="18"/>
      <c r="B123" s="18"/>
      <c r="C123" s="18"/>
      <c r="D123" s="18"/>
      <c r="E123" s="18"/>
      <c r="F123" s="19"/>
      <c r="G123" s="18"/>
      <c r="H123" s="18"/>
    </row>
    <row r="124" spans="1:8" ht="13.9">
      <c r="A124" s="18"/>
      <c r="B124" s="18"/>
      <c r="C124" s="18"/>
      <c r="D124" s="18"/>
      <c r="E124" s="18"/>
      <c r="F124" s="19"/>
      <c r="G124" s="18"/>
      <c r="H124" s="18"/>
    </row>
    <row r="125" spans="1:8" ht="13.9">
      <c r="A125" s="18"/>
      <c r="B125" s="18"/>
      <c r="C125" s="18"/>
      <c r="D125" s="18"/>
      <c r="E125" s="18"/>
      <c r="F125" s="19"/>
      <c r="G125" s="18"/>
      <c r="H125" s="18"/>
    </row>
    <row r="126" spans="1:8" ht="13.9">
      <c r="A126" s="18"/>
      <c r="B126" s="18"/>
      <c r="C126" s="18"/>
      <c r="D126" s="18"/>
      <c r="E126" s="18"/>
      <c r="F126" s="19"/>
      <c r="G126" s="18"/>
      <c r="H126" s="18"/>
    </row>
    <row r="127" spans="1:8" ht="13.9">
      <c r="A127" s="18"/>
      <c r="B127" s="18"/>
      <c r="C127" s="18"/>
      <c r="D127" s="18"/>
      <c r="E127" s="18"/>
      <c r="F127" s="19"/>
      <c r="G127" s="18"/>
      <c r="H127" s="18"/>
    </row>
    <row r="128" spans="1:8" ht="13.9">
      <c r="A128" s="18"/>
      <c r="B128" s="18"/>
      <c r="C128" s="18"/>
      <c r="D128" s="18"/>
      <c r="E128" s="18"/>
      <c r="F128" s="19"/>
      <c r="G128" s="18"/>
      <c r="H128" s="18"/>
    </row>
    <row r="129" spans="1:8" ht="13.9">
      <c r="A129" s="18"/>
      <c r="B129" s="18"/>
      <c r="C129" s="18"/>
      <c r="D129" s="18"/>
      <c r="E129" s="18"/>
      <c r="F129" s="19"/>
      <c r="G129" s="18"/>
      <c r="H129" s="18"/>
    </row>
    <row r="130" spans="1:8" ht="13.9">
      <c r="A130" s="18"/>
      <c r="B130" s="18"/>
      <c r="C130" s="18"/>
      <c r="D130" s="18"/>
      <c r="E130" s="18"/>
      <c r="F130" s="19"/>
      <c r="G130" s="18"/>
      <c r="H130" s="18"/>
    </row>
    <row r="131" spans="1:8" ht="13.9">
      <c r="A131" s="18"/>
      <c r="B131" s="18"/>
      <c r="C131" s="18"/>
      <c r="D131" s="18"/>
      <c r="E131" s="18"/>
      <c r="F131" s="19"/>
      <c r="G131" s="18"/>
      <c r="H131" s="18"/>
    </row>
    <row r="132" spans="1:8" ht="13.9">
      <c r="A132" s="18"/>
      <c r="B132" s="18"/>
      <c r="C132" s="18"/>
      <c r="D132" s="18"/>
      <c r="E132" s="18"/>
      <c r="F132" s="19"/>
      <c r="G132" s="18"/>
      <c r="H132" s="18"/>
    </row>
    <row r="133" spans="1:8" ht="13.9">
      <c r="A133" s="18"/>
      <c r="B133" s="18"/>
      <c r="C133" s="18"/>
      <c r="D133" s="18"/>
      <c r="E133" s="18"/>
      <c r="F133" s="19"/>
      <c r="G133" s="18"/>
      <c r="H133" s="18"/>
    </row>
    <row r="134" spans="1:8" ht="13.9">
      <c r="A134" s="18"/>
      <c r="B134" s="18"/>
      <c r="C134" s="18"/>
      <c r="D134" s="18"/>
      <c r="E134" s="18"/>
      <c r="F134" s="19"/>
      <c r="G134" s="18"/>
      <c r="H134" s="18"/>
    </row>
    <row r="135" spans="1:8" ht="13.9">
      <c r="A135" s="18"/>
      <c r="B135" s="18"/>
      <c r="C135" s="18"/>
      <c r="D135" s="18"/>
      <c r="E135" s="18"/>
      <c r="F135" s="19"/>
      <c r="G135" s="18"/>
      <c r="H135" s="18"/>
    </row>
    <row r="136" spans="1:8" ht="13.9">
      <c r="A136" s="18"/>
      <c r="B136" s="18"/>
      <c r="C136" s="18"/>
      <c r="D136" s="18"/>
      <c r="E136" s="18"/>
      <c r="F136" s="19"/>
      <c r="G136" s="18"/>
      <c r="H136" s="18"/>
    </row>
    <row r="137" spans="1:8" ht="13.9">
      <c r="A137" s="18"/>
      <c r="B137" s="18"/>
      <c r="C137" s="18"/>
      <c r="D137" s="18"/>
      <c r="E137" s="18"/>
      <c r="F137" s="19"/>
      <c r="G137" s="18"/>
      <c r="H137" s="18"/>
    </row>
    <row r="138" spans="1:8" ht="13.9">
      <c r="A138" s="18"/>
      <c r="B138" s="18"/>
      <c r="C138" s="18"/>
      <c r="D138" s="18"/>
      <c r="E138" s="18"/>
      <c r="F138" s="19"/>
      <c r="G138" s="18"/>
      <c r="H138" s="18"/>
    </row>
    <row r="139" spans="1:8" ht="13.9">
      <c r="A139" s="18"/>
      <c r="B139" s="18"/>
      <c r="C139" s="18"/>
      <c r="D139" s="18"/>
      <c r="E139" s="18"/>
      <c r="F139" s="19"/>
      <c r="G139" s="18"/>
      <c r="H139" s="18"/>
    </row>
    <row r="140" spans="1:8" ht="13.9">
      <c r="A140" s="18"/>
      <c r="B140" s="18"/>
      <c r="C140" s="18"/>
      <c r="D140" s="18"/>
      <c r="E140" s="18"/>
      <c r="F140" s="19"/>
      <c r="G140" s="18"/>
      <c r="H140" s="18"/>
    </row>
    <row r="141" spans="1:8" ht="13.9">
      <c r="A141" s="18"/>
      <c r="B141" s="18"/>
      <c r="C141" s="18"/>
      <c r="D141" s="18"/>
      <c r="E141" s="18"/>
      <c r="F141" s="19"/>
      <c r="G141" s="18"/>
      <c r="H141" s="18"/>
    </row>
    <row r="142" spans="1:8" ht="13.9">
      <c r="A142" s="18"/>
      <c r="B142" s="18"/>
      <c r="C142" s="18"/>
      <c r="D142" s="18"/>
      <c r="E142" s="18"/>
      <c r="F142" s="19"/>
      <c r="G142" s="18"/>
      <c r="H142" s="18"/>
    </row>
    <row r="143" spans="1:8" ht="13.9">
      <c r="A143" s="18"/>
      <c r="B143" s="18"/>
      <c r="C143" s="18"/>
      <c r="D143" s="18"/>
      <c r="E143" s="18"/>
      <c r="F143" s="19"/>
      <c r="G143" s="18"/>
      <c r="H143" s="18"/>
    </row>
    <row r="144" spans="1:8" ht="13.9">
      <c r="A144" s="18"/>
      <c r="B144" s="18"/>
      <c r="C144" s="18"/>
      <c r="D144" s="18"/>
      <c r="E144" s="18"/>
      <c r="F144" s="19"/>
      <c r="G144" s="18"/>
      <c r="H144" s="18"/>
    </row>
    <row r="145" spans="1:8" ht="13.9">
      <c r="A145" s="18"/>
      <c r="B145" s="18"/>
      <c r="C145" s="18"/>
      <c r="D145" s="18"/>
      <c r="E145" s="18"/>
      <c r="F145" s="19"/>
      <c r="G145" s="18"/>
      <c r="H145" s="18"/>
    </row>
    <row r="146" spans="1:8" ht="13.9">
      <c r="A146" s="18"/>
      <c r="B146" s="18"/>
      <c r="C146" s="18"/>
      <c r="D146" s="18"/>
      <c r="E146" s="18"/>
      <c r="F146" s="19"/>
      <c r="G146" s="18"/>
      <c r="H146" s="18"/>
    </row>
    <row r="147" spans="1:8" ht="13.9">
      <c r="A147" s="18"/>
      <c r="B147" s="18"/>
      <c r="C147" s="18"/>
      <c r="D147" s="18"/>
      <c r="E147" s="18"/>
      <c r="F147" s="19"/>
      <c r="G147" s="18"/>
      <c r="H147" s="18"/>
    </row>
    <row r="148" spans="1:8" ht="13.9">
      <c r="A148" s="18"/>
      <c r="B148" s="18"/>
      <c r="C148" s="18"/>
      <c r="D148" s="18"/>
      <c r="E148" s="18"/>
      <c r="F148" s="19"/>
      <c r="G148" s="18"/>
      <c r="H148" s="18"/>
    </row>
    <row r="149" spans="1:8" ht="13.9">
      <c r="A149" s="18"/>
      <c r="B149" s="18"/>
      <c r="C149" s="18"/>
      <c r="D149" s="18"/>
      <c r="E149" s="18"/>
      <c r="F149" s="19"/>
      <c r="G149" s="18"/>
      <c r="H149" s="18"/>
    </row>
    <row r="150" spans="1:8" ht="13.9">
      <c r="A150" s="18"/>
      <c r="B150" s="18"/>
      <c r="C150" s="18"/>
      <c r="D150" s="18"/>
      <c r="E150" s="18"/>
      <c r="F150" s="19"/>
      <c r="G150" s="18"/>
      <c r="H150" s="18"/>
    </row>
    <row r="151" spans="1:8" ht="13.9">
      <c r="A151" s="18"/>
      <c r="B151" s="18"/>
      <c r="C151" s="18"/>
      <c r="D151" s="18"/>
      <c r="E151" s="18"/>
      <c r="F151" s="19"/>
      <c r="G151" s="18"/>
      <c r="H151" s="18"/>
    </row>
    <row r="152" spans="1:8" ht="13.9">
      <c r="A152" s="18"/>
      <c r="B152" s="18"/>
      <c r="C152" s="18"/>
      <c r="D152" s="18"/>
      <c r="E152" s="18"/>
      <c r="F152" s="19"/>
      <c r="G152" s="18"/>
      <c r="H152" s="18"/>
    </row>
    <row r="153" spans="1:8" ht="13.9">
      <c r="A153" s="18"/>
      <c r="B153" s="18"/>
      <c r="C153" s="18"/>
      <c r="D153" s="18"/>
      <c r="E153" s="18"/>
      <c r="F153" s="19"/>
      <c r="G153" s="18"/>
      <c r="H153" s="18"/>
    </row>
    <row r="154" spans="1:8" ht="13.9">
      <c r="A154" s="18"/>
      <c r="B154" s="18"/>
      <c r="C154" s="18"/>
      <c r="D154" s="18"/>
      <c r="E154" s="18"/>
      <c r="F154" s="19"/>
      <c r="G154" s="18"/>
      <c r="H154" s="18"/>
    </row>
    <row r="155" spans="1:8" ht="13.9">
      <c r="A155" s="18"/>
      <c r="B155" s="18"/>
      <c r="C155" s="18"/>
      <c r="D155" s="18"/>
      <c r="E155" s="18"/>
      <c r="F155" s="19"/>
      <c r="G155" s="18"/>
      <c r="H155" s="18"/>
    </row>
    <row r="156" spans="1:8" ht="13.9">
      <c r="A156" s="18"/>
      <c r="B156" s="18"/>
      <c r="C156" s="18"/>
      <c r="D156" s="18"/>
      <c r="E156" s="18"/>
      <c r="F156" s="19"/>
      <c r="G156" s="18"/>
      <c r="H156" s="18"/>
    </row>
    <row r="157" spans="1:8" ht="13.9">
      <c r="A157" s="18"/>
      <c r="B157" s="18"/>
      <c r="C157" s="18"/>
      <c r="D157" s="18"/>
      <c r="E157" s="18"/>
      <c r="F157" s="19"/>
      <c r="G157" s="18"/>
      <c r="H157" s="18"/>
    </row>
    <row r="158" spans="1:8" ht="13.9">
      <c r="A158" s="18"/>
      <c r="B158" s="18"/>
      <c r="C158" s="18"/>
      <c r="D158" s="18"/>
      <c r="E158" s="18"/>
      <c r="F158" s="19"/>
      <c r="G158" s="18"/>
      <c r="H158" s="18"/>
    </row>
    <row r="159" spans="1:8" ht="13.9">
      <c r="A159" s="18"/>
      <c r="B159" s="18"/>
      <c r="C159" s="18"/>
      <c r="D159" s="18"/>
      <c r="E159" s="18"/>
      <c r="F159" s="19"/>
      <c r="G159" s="18"/>
      <c r="H159" s="18"/>
    </row>
    <row r="160" spans="1:8" ht="13.9">
      <c r="A160" s="18"/>
      <c r="B160" s="18"/>
      <c r="C160" s="18"/>
      <c r="D160" s="18"/>
      <c r="E160" s="18"/>
      <c r="F160" s="19"/>
      <c r="G160" s="18"/>
      <c r="H160" s="18"/>
    </row>
    <row r="161" spans="1:8" ht="13.9">
      <c r="A161" s="18"/>
      <c r="B161" s="18"/>
      <c r="C161" s="18"/>
      <c r="D161" s="18"/>
      <c r="E161" s="18"/>
      <c r="F161" s="19"/>
      <c r="G161" s="18"/>
      <c r="H161" s="18"/>
    </row>
    <row r="162" spans="1:8" ht="13.9">
      <c r="A162" s="18"/>
      <c r="B162" s="18"/>
      <c r="C162" s="18"/>
      <c r="D162" s="18"/>
      <c r="E162" s="18"/>
      <c r="F162" s="19"/>
      <c r="G162" s="18"/>
      <c r="H162" s="18"/>
    </row>
    <row r="163" spans="1:8" ht="13.9">
      <c r="A163" s="18"/>
      <c r="B163" s="18"/>
      <c r="C163" s="18"/>
      <c r="D163" s="18"/>
      <c r="E163" s="18"/>
      <c r="F163" s="19"/>
      <c r="G163" s="18"/>
      <c r="H163" s="18"/>
    </row>
    <row r="164" spans="1:8" ht="13.9">
      <c r="A164" s="18"/>
      <c r="B164" s="18"/>
      <c r="C164" s="18"/>
      <c r="D164" s="18"/>
      <c r="E164" s="18"/>
      <c r="F164" s="19"/>
      <c r="G164" s="18"/>
      <c r="H164" s="18"/>
    </row>
    <row r="165" spans="1:8" ht="13.9">
      <c r="A165" s="18"/>
      <c r="B165" s="18"/>
      <c r="C165" s="18"/>
      <c r="D165" s="18"/>
      <c r="E165" s="18"/>
      <c r="F165" s="19"/>
      <c r="G165" s="18"/>
      <c r="H165" s="18"/>
    </row>
    <row r="166" spans="1:8" ht="13.9">
      <c r="A166" s="18"/>
      <c r="B166" s="18"/>
      <c r="C166" s="18"/>
      <c r="D166" s="18"/>
      <c r="E166" s="18"/>
      <c r="F166" s="19"/>
      <c r="G166" s="18"/>
      <c r="H166" s="18"/>
    </row>
    <row r="167" spans="1:8" ht="13.9">
      <c r="A167" s="18"/>
      <c r="B167" s="18"/>
      <c r="C167" s="18"/>
      <c r="D167" s="18"/>
      <c r="E167" s="18"/>
      <c r="F167" s="19"/>
      <c r="G167" s="18"/>
      <c r="H167" s="18"/>
    </row>
    <row r="168" spans="1:8" ht="13.9">
      <c r="A168" s="18"/>
      <c r="B168" s="18"/>
      <c r="C168" s="18"/>
      <c r="D168" s="18"/>
      <c r="E168" s="18"/>
      <c r="F168" s="19"/>
      <c r="G168" s="18"/>
      <c r="H168" s="18"/>
    </row>
    <row r="169" spans="1:8" ht="13.9">
      <c r="A169" s="18"/>
      <c r="B169" s="18"/>
      <c r="C169" s="18"/>
      <c r="D169" s="18"/>
      <c r="E169" s="18"/>
      <c r="F169" s="19"/>
      <c r="G169" s="18"/>
      <c r="H169" s="18"/>
    </row>
    <row r="170" spans="1:8" ht="13.9">
      <c r="A170" s="18"/>
      <c r="B170" s="18"/>
      <c r="C170" s="18"/>
      <c r="D170" s="18"/>
      <c r="E170" s="18"/>
      <c r="F170" s="19"/>
      <c r="G170" s="18"/>
      <c r="H170" s="18"/>
    </row>
    <row r="171" spans="1:8" ht="13.9">
      <c r="A171" s="18"/>
      <c r="B171" s="18"/>
      <c r="C171" s="18"/>
      <c r="D171" s="18"/>
      <c r="E171" s="18"/>
      <c r="F171" s="19"/>
      <c r="G171" s="18"/>
      <c r="H171" s="18"/>
    </row>
    <row r="172" spans="1:8" ht="13.9">
      <c r="A172" s="18"/>
      <c r="B172" s="18"/>
      <c r="C172" s="18"/>
      <c r="D172" s="18"/>
      <c r="E172" s="18"/>
      <c r="F172" s="19"/>
      <c r="G172" s="18"/>
      <c r="H172" s="18"/>
    </row>
    <row r="173" spans="1:8" ht="13.9">
      <c r="A173" s="18"/>
      <c r="B173" s="18"/>
      <c r="C173" s="18"/>
      <c r="D173" s="18"/>
      <c r="E173" s="18"/>
      <c r="F173" s="19"/>
      <c r="G173" s="18"/>
      <c r="H173" s="18"/>
    </row>
    <row r="174" spans="1:8" ht="13.9">
      <c r="A174" s="18"/>
      <c r="B174" s="18"/>
      <c r="C174" s="18"/>
      <c r="D174" s="18"/>
      <c r="E174" s="18"/>
      <c r="F174" s="19"/>
      <c r="G174" s="18"/>
      <c r="H174" s="18"/>
    </row>
    <row r="175" spans="1:8" ht="13.9">
      <c r="A175" s="18"/>
      <c r="B175" s="18"/>
      <c r="C175" s="18"/>
      <c r="D175" s="18"/>
      <c r="E175" s="18"/>
      <c r="F175" s="19"/>
      <c r="G175" s="18"/>
      <c r="H175" s="18"/>
    </row>
    <row r="176" spans="1:8" ht="13.9">
      <c r="A176" s="18"/>
      <c r="B176" s="18"/>
      <c r="C176" s="18"/>
      <c r="D176" s="18"/>
      <c r="E176" s="18"/>
      <c r="F176" s="19"/>
      <c r="G176" s="18"/>
      <c r="H176" s="18"/>
    </row>
    <row r="177" spans="1:8" ht="13.9">
      <c r="A177" s="18"/>
      <c r="B177" s="18"/>
      <c r="C177" s="18"/>
      <c r="D177" s="18"/>
      <c r="E177" s="18"/>
      <c r="F177" s="19"/>
      <c r="G177" s="18"/>
      <c r="H177" s="18"/>
    </row>
    <row r="178" spans="1:8" ht="13.9">
      <c r="A178" s="18"/>
      <c r="B178" s="18"/>
      <c r="C178" s="18"/>
      <c r="D178" s="18"/>
      <c r="E178" s="18"/>
      <c r="F178" s="19"/>
      <c r="G178" s="18"/>
      <c r="H178" s="18"/>
    </row>
    <row r="179" spans="1:8" ht="13.9">
      <c r="A179" s="18"/>
      <c r="B179" s="18"/>
      <c r="C179" s="18"/>
      <c r="D179" s="18"/>
      <c r="E179" s="18"/>
      <c r="F179" s="19"/>
      <c r="G179" s="18"/>
      <c r="H179" s="18"/>
    </row>
    <row r="180" spans="1:8" ht="13.9">
      <c r="A180" s="18"/>
      <c r="B180" s="18"/>
      <c r="C180" s="18"/>
      <c r="D180" s="18"/>
      <c r="E180" s="18"/>
      <c r="F180" s="19"/>
      <c r="G180" s="18"/>
      <c r="H180" s="18"/>
    </row>
    <row r="181" spans="1:8" ht="13.9">
      <c r="A181" s="18"/>
      <c r="B181" s="18"/>
      <c r="C181" s="18"/>
      <c r="D181" s="18"/>
      <c r="E181" s="18"/>
      <c r="F181" s="19"/>
      <c r="G181" s="18"/>
      <c r="H181" s="18"/>
    </row>
    <row r="182" spans="1:8" ht="13.9">
      <c r="A182" s="18"/>
      <c r="B182" s="18"/>
      <c r="C182" s="18"/>
      <c r="D182" s="18"/>
      <c r="E182" s="18"/>
      <c r="F182" s="19"/>
      <c r="G182" s="18"/>
      <c r="H182" s="18"/>
    </row>
    <row r="183" spans="1:8" ht="13.9">
      <c r="A183" s="18"/>
      <c r="B183" s="18"/>
      <c r="C183" s="18"/>
      <c r="D183" s="18"/>
      <c r="E183" s="18"/>
      <c r="F183" s="19"/>
      <c r="G183" s="18"/>
      <c r="H183" s="18"/>
    </row>
    <row r="184" spans="1:8" ht="13.9">
      <c r="A184" s="18"/>
      <c r="B184" s="18"/>
      <c r="C184" s="18"/>
      <c r="D184" s="18"/>
      <c r="E184" s="18"/>
      <c r="F184" s="19"/>
      <c r="G184" s="18"/>
      <c r="H184" s="18"/>
    </row>
    <row r="185" spans="1:8" ht="13.9">
      <c r="A185" s="18"/>
      <c r="B185" s="18"/>
      <c r="C185" s="18"/>
      <c r="D185" s="18"/>
      <c r="E185" s="18"/>
      <c r="F185" s="19"/>
      <c r="G185" s="18"/>
      <c r="H185" s="18"/>
    </row>
    <row r="186" spans="1:8" ht="13.9">
      <c r="A186" s="18"/>
      <c r="B186" s="18"/>
      <c r="C186" s="18"/>
      <c r="D186" s="18"/>
      <c r="E186" s="18"/>
      <c r="F186" s="19"/>
      <c r="G186" s="18"/>
      <c r="H186" s="18"/>
    </row>
    <row r="187" spans="1:8" ht="13.9">
      <c r="A187" s="18"/>
      <c r="B187" s="18"/>
      <c r="C187" s="18"/>
      <c r="D187" s="18"/>
      <c r="E187" s="18"/>
      <c r="F187" s="19"/>
      <c r="G187" s="18"/>
      <c r="H187" s="18"/>
    </row>
    <row r="188" spans="1:8" ht="13.9">
      <c r="A188" s="18"/>
      <c r="B188" s="18"/>
      <c r="C188" s="18"/>
      <c r="D188" s="18"/>
      <c r="E188" s="18"/>
      <c r="F188" s="19"/>
      <c r="G188" s="18"/>
      <c r="H188" s="18"/>
    </row>
    <row r="189" spans="1:8" ht="13.9">
      <c r="A189" s="18"/>
      <c r="B189" s="18"/>
      <c r="C189" s="18"/>
      <c r="D189" s="18"/>
      <c r="E189" s="18"/>
      <c r="F189" s="19"/>
      <c r="G189" s="18"/>
      <c r="H189" s="18"/>
    </row>
    <row r="190" spans="1:8" ht="13.9">
      <c r="A190" s="18"/>
      <c r="B190" s="18"/>
      <c r="C190" s="18"/>
      <c r="D190" s="18"/>
      <c r="E190" s="18"/>
      <c r="F190" s="19"/>
      <c r="G190" s="18"/>
      <c r="H190" s="18"/>
    </row>
    <row r="191" spans="1:8" ht="13.9">
      <c r="A191" s="18"/>
      <c r="B191" s="18"/>
      <c r="C191" s="18"/>
      <c r="D191" s="18"/>
      <c r="E191" s="18"/>
      <c r="F191" s="19"/>
      <c r="G191" s="18"/>
      <c r="H191" s="18"/>
    </row>
    <row r="192" spans="1:8" ht="13.9">
      <c r="A192" s="18"/>
      <c r="B192" s="18"/>
      <c r="C192" s="18"/>
      <c r="D192" s="18"/>
      <c r="E192" s="18"/>
      <c r="F192" s="19"/>
      <c r="G192" s="18"/>
      <c r="H192" s="18"/>
    </row>
    <row r="193" spans="1:8" ht="13.9">
      <c r="A193" s="18"/>
      <c r="B193" s="18"/>
      <c r="C193" s="18"/>
      <c r="D193" s="18"/>
      <c r="E193" s="18"/>
      <c r="F193" s="19"/>
      <c r="G193" s="18"/>
      <c r="H193" s="18"/>
    </row>
    <row r="194" spans="1:8" ht="13.9">
      <c r="A194" s="18"/>
      <c r="B194" s="18"/>
      <c r="C194" s="18"/>
      <c r="D194" s="18"/>
      <c r="E194" s="18"/>
      <c r="F194" s="19"/>
      <c r="G194" s="18"/>
      <c r="H194" s="18"/>
    </row>
    <row r="195" spans="1:8" ht="13.9">
      <c r="A195" s="18"/>
      <c r="B195" s="18"/>
      <c r="C195" s="18"/>
      <c r="D195" s="18"/>
      <c r="E195" s="18"/>
      <c r="F195" s="19"/>
      <c r="G195" s="18"/>
      <c r="H195" s="18"/>
    </row>
    <row r="196" spans="1:8" ht="13.9">
      <c r="A196" s="18"/>
      <c r="B196" s="18"/>
      <c r="C196" s="18"/>
      <c r="D196" s="18"/>
      <c r="E196" s="18"/>
      <c r="F196" s="19"/>
      <c r="G196" s="18"/>
      <c r="H196" s="18"/>
    </row>
    <row r="197" spans="1:8" ht="13.9">
      <c r="A197" s="18"/>
      <c r="B197" s="18"/>
      <c r="C197" s="18"/>
      <c r="D197" s="18"/>
      <c r="E197" s="18"/>
      <c r="F197" s="19"/>
      <c r="G197" s="18"/>
      <c r="H197" s="18"/>
    </row>
    <row r="198" spans="1:8" ht="13.9">
      <c r="A198" s="18"/>
      <c r="B198" s="18"/>
      <c r="C198" s="18"/>
      <c r="D198" s="18"/>
      <c r="E198" s="18"/>
      <c r="F198" s="19"/>
      <c r="G198" s="18"/>
      <c r="H198" s="18"/>
    </row>
    <row r="199" spans="1:8" ht="13.9">
      <c r="A199" s="18"/>
      <c r="B199" s="18"/>
      <c r="C199" s="18"/>
      <c r="D199" s="18"/>
      <c r="E199" s="18"/>
      <c r="F199" s="19"/>
      <c r="G199" s="18"/>
      <c r="H199" s="18"/>
    </row>
    <row r="200" spans="1:8" ht="13.9">
      <c r="A200" s="18"/>
      <c r="B200" s="18"/>
      <c r="C200" s="18"/>
      <c r="D200" s="18"/>
      <c r="E200" s="18"/>
      <c r="F200" s="19"/>
      <c r="G200" s="18"/>
      <c r="H200" s="18"/>
    </row>
    <row r="201" spans="1:8" ht="13.9">
      <c r="A201" s="18"/>
      <c r="B201" s="18"/>
      <c r="C201" s="18"/>
      <c r="D201" s="18"/>
      <c r="E201" s="18"/>
      <c r="F201" s="19"/>
      <c r="G201" s="18"/>
      <c r="H201" s="18"/>
    </row>
    <row r="202" spans="1:8" ht="13.9">
      <c r="A202" s="18"/>
      <c r="B202" s="18"/>
      <c r="C202" s="18"/>
      <c r="D202" s="18"/>
      <c r="E202" s="18"/>
      <c r="F202" s="19"/>
      <c r="G202" s="18"/>
      <c r="H202" s="18"/>
    </row>
    <row r="203" spans="1:8" ht="13.9">
      <c r="A203" s="18"/>
      <c r="B203" s="18"/>
      <c r="C203" s="18"/>
      <c r="D203" s="18"/>
      <c r="E203" s="18"/>
      <c r="F203" s="19"/>
      <c r="G203" s="18"/>
      <c r="H203" s="18"/>
    </row>
    <row r="204" spans="1:8" ht="13.9">
      <c r="A204" s="18"/>
      <c r="B204" s="18"/>
      <c r="C204" s="18"/>
      <c r="D204" s="18"/>
      <c r="E204" s="18"/>
      <c r="F204" s="19"/>
      <c r="G204" s="18"/>
      <c r="H204" s="18"/>
    </row>
    <row r="205" spans="1:8" ht="13.9">
      <c r="A205" s="18"/>
      <c r="B205" s="18"/>
      <c r="C205" s="18"/>
      <c r="D205" s="18"/>
      <c r="E205" s="18"/>
      <c r="F205" s="19"/>
      <c r="G205" s="18"/>
      <c r="H205" s="18"/>
    </row>
    <row r="206" spans="1:8" ht="13.9">
      <c r="A206" s="18"/>
      <c r="B206" s="18"/>
      <c r="C206" s="18"/>
      <c r="D206" s="18"/>
      <c r="E206" s="18"/>
      <c r="F206" s="19"/>
      <c r="G206" s="18"/>
      <c r="H206" s="18"/>
    </row>
    <row r="207" spans="1:8" ht="13.9">
      <c r="A207" s="18"/>
      <c r="B207" s="18"/>
      <c r="C207" s="18"/>
      <c r="D207" s="18"/>
      <c r="E207" s="18"/>
      <c r="F207" s="19"/>
      <c r="G207" s="18"/>
      <c r="H207" s="18"/>
    </row>
    <row r="208" spans="1:8" ht="13.9">
      <c r="A208" s="18"/>
      <c r="B208" s="18"/>
      <c r="C208" s="18"/>
      <c r="D208" s="18"/>
      <c r="E208" s="18"/>
      <c r="F208" s="19"/>
      <c r="G208" s="18"/>
      <c r="H208" s="18"/>
    </row>
    <row r="209" spans="1:8" ht="13.9">
      <c r="A209" s="18"/>
      <c r="B209" s="18"/>
      <c r="C209" s="18"/>
      <c r="D209" s="18"/>
      <c r="E209" s="18"/>
      <c r="F209" s="19"/>
      <c r="G209" s="18"/>
      <c r="H209" s="18"/>
    </row>
    <row r="210" spans="1:8" ht="13.9">
      <c r="A210" s="18"/>
      <c r="B210" s="18"/>
      <c r="C210" s="18"/>
      <c r="D210" s="18"/>
      <c r="E210" s="18"/>
      <c r="F210" s="19"/>
      <c r="G210" s="18"/>
      <c r="H210" s="18"/>
    </row>
    <row r="211" spans="1:8" ht="13.9">
      <c r="A211" s="18"/>
      <c r="B211" s="18"/>
      <c r="C211" s="18"/>
      <c r="D211" s="18"/>
      <c r="E211" s="18"/>
      <c r="F211" s="19"/>
      <c r="G211" s="18"/>
      <c r="H211" s="18"/>
    </row>
    <row r="212" spans="1:8" ht="13.9">
      <c r="A212" s="18"/>
      <c r="B212" s="18"/>
      <c r="C212" s="18"/>
      <c r="D212" s="18"/>
      <c r="E212" s="18"/>
      <c r="F212" s="19"/>
      <c r="G212" s="18"/>
      <c r="H212" s="18"/>
    </row>
    <row r="213" spans="1:8" ht="13.9">
      <c r="A213" s="18"/>
      <c r="B213" s="18"/>
      <c r="C213" s="18"/>
      <c r="D213" s="18"/>
      <c r="E213" s="18"/>
      <c r="F213" s="19"/>
      <c r="G213" s="18"/>
      <c r="H213" s="18"/>
    </row>
    <row r="214" spans="1:8" ht="13.9">
      <c r="A214" s="18"/>
      <c r="B214" s="18"/>
      <c r="C214" s="18"/>
      <c r="D214" s="18"/>
      <c r="E214" s="18"/>
      <c r="F214" s="19"/>
      <c r="G214" s="18"/>
      <c r="H214" s="18"/>
    </row>
    <row r="215" spans="1:8" ht="13.9">
      <c r="A215" s="18"/>
      <c r="B215" s="18"/>
      <c r="C215" s="18"/>
      <c r="D215" s="18"/>
      <c r="E215" s="18"/>
      <c r="F215" s="19"/>
      <c r="G215" s="18"/>
      <c r="H215" s="18"/>
    </row>
    <row r="216" spans="1:8" ht="13.9">
      <c r="A216" s="18"/>
      <c r="B216" s="18"/>
      <c r="C216" s="18"/>
      <c r="D216" s="18"/>
      <c r="E216" s="18"/>
      <c r="F216" s="19"/>
      <c r="G216" s="18"/>
      <c r="H216" s="18"/>
    </row>
    <row r="217" spans="1:8" ht="13.9">
      <c r="A217" s="18"/>
      <c r="B217" s="18"/>
      <c r="C217" s="18"/>
      <c r="D217" s="18"/>
      <c r="E217" s="18"/>
      <c r="F217" s="19"/>
      <c r="G217" s="18"/>
      <c r="H217" s="18"/>
    </row>
    <row r="218" spans="1:8" ht="13.9">
      <c r="A218" s="18"/>
      <c r="B218" s="18"/>
      <c r="C218" s="18"/>
      <c r="D218" s="18"/>
      <c r="E218" s="18"/>
      <c r="F218" s="19"/>
      <c r="G218" s="18"/>
      <c r="H218" s="18"/>
    </row>
    <row r="219" spans="1:8" ht="13.9">
      <c r="A219" s="18"/>
      <c r="B219" s="18"/>
      <c r="C219" s="18"/>
      <c r="D219" s="18"/>
      <c r="E219" s="18"/>
      <c r="F219" s="19"/>
      <c r="G219" s="18"/>
      <c r="H219" s="18"/>
    </row>
    <row r="220" spans="1:8" ht="13.9">
      <c r="A220" s="18"/>
      <c r="B220" s="18"/>
      <c r="C220" s="18"/>
      <c r="D220" s="18"/>
      <c r="E220" s="18"/>
      <c r="F220" s="19"/>
      <c r="G220" s="18"/>
      <c r="H220" s="18"/>
    </row>
    <row r="221" spans="1:8" ht="13.9">
      <c r="A221" s="18"/>
      <c r="B221" s="18"/>
      <c r="C221" s="18"/>
      <c r="D221" s="18"/>
      <c r="E221" s="18"/>
      <c r="F221" s="19"/>
      <c r="G221" s="18"/>
      <c r="H221" s="18"/>
    </row>
    <row r="222" spans="1:8" ht="13.9">
      <c r="A222" s="18"/>
      <c r="B222" s="18"/>
      <c r="C222" s="18"/>
      <c r="D222" s="18"/>
      <c r="E222" s="18"/>
      <c r="F222" s="19"/>
      <c r="G222" s="18"/>
      <c r="H222" s="18"/>
    </row>
    <row r="223" spans="1:8" ht="13.9">
      <c r="A223" s="18"/>
      <c r="B223" s="18"/>
      <c r="C223" s="18"/>
      <c r="D223" s="18"/>
      <c r="E223" s="18"/>
      <c r="F223" s="19"/>
      <c r="G223" s="18"/>
      <c r="H223" s="18"/>
    </row>
    <row r="224" spans="1:8" ht="13.9">
      <c r="A224" s="18"/>
      <c r="B224" s="18"/>
      <c r="C224" s="18"/>
      <c r="D224" s="18"/>
      <c r="E224" s="18"/>
      <c r="F224" s="19"/>
      <c r="G224" s="18"/>
      <c r="H224" s="18"/>
    </row>
    <row r="225" spans="1:8" ht="13.9">
      <c r="A225" s="18"/>
      <c r="B225" s="18"/>
      <c r="C225" s="18"/>
      <c r="D225" s="18"/>
      <c r="E225" s="18"/>
      <c r="F225" s="19"/>
      <c r="G225" s="18"/>
      <c r="H225" s="18"/>
    </row>
    <row r="226" spans="1:8" ht="13.9">
      <c r="A226" s="18"/>
      <c r="B226" s="18"/>
      <c r="C226" s="18"/>
      <c r="D226" s="18"/>
      <c r="E226" s="18"/>
      <c r="F226" s="19"/>
      <c r="G226" s="18"/>
      <c r="H226" s="18"/>
    </row>
    <row r="227" spans="1:8" ht="13.9">
      <c r="A227" s="18"/>
      <c r="B227" s="18"/>
      <c r="C227" s="18"/>
      <c r="D227" s="18"/>
      <c r="E227" s="18"/>
      <c r="F227" s="19"/>
      <c r="G227" s="18"/>
      <c r="H227" s="18"/>
    </row>
    <row r="228" spans="1:8" ht="13.9">
      <c r="A228" s="18"/>
      <c r="B228" s="18"/>
      <c r="C228" s="18"/>
      <c r="D228" s="18"/>
      <c r="E228" s="18"/>
      <c r="F228" s="19"/>
      <c r="G228" s="18"/>
      <c r="H228" s="18"/>
    </row>
    <row r="229" spans="1:8" ht="13.9">
      <c r="A229" s="18"/>
      <c r="B229" s="18"/>
      <c r="C229" s="18"/>
      <c r="D229" s="18"/>
      <c r="E229" s="18"/>
      <c r="F229" s="19"/>
      <c r="G229" s="18"/>
      <c r="H229" s="18"/>
    </row>
    <row r="230" spans="1:8" ht="13.9">
      <c r="A230" s="18"/>
      <c r="B230" s="18"/>
      <c r="C230" s="18"/>
      <c r="D230" s="18"/>
      <c r="E230" s="18"/>
      <c r="F230" s="19"/>
      <c r="G230" s="18"/>
      <c r="H230" s="18"/>
    </row>
    <row r="231" spans="1:8" ht="13.9">
      <c r="A231" s="18"/>
      <c r="B231" s="18"/>
      <c r="C231" s="18"/>
      <c r="D231" s="18"/>
      <c r="E231" s="18"/>
      <c r="F231" s="19"/>
      <c r="G231" s="18"/>
      <c r="H231" s="18"/>
    </row>
    <row r="232" spans="1:8" ht="13.9">
      <c r="A232" s="18"/>
      <c r="B232" s="18"/>
      <c r="C232" s="18"/>
      <c r="D232" s="18"/>
      <c r="E232" s="18"/>
      <c r="F232" s="19"/>
      <c r="G232" s="18"/>
      <c r="H232" s="18"/>
    </row>
    <row r="233" spans="1:8" ht="13.9">
      <c r="A233" s="18"/>
      <c r="B233" s="18"/>
      <c r="C233" s="18"/>
      <c r="D233" s="18"/>
      <c r="E233" s="18"/>
      <c r="F233" s="19"/>
      <c r="G233" s="18"/>
      <c r="H233" s="18"/>
    </row>
    <row r="234" spans="1:8" ht="13.9">
      <c r="A234" s="18"/>
      <c r="B234" s="18"/>
      <c r="C234" s="18"/>
      <c r="D234" s="18"/>
      <c r="E234" s="18"/>
      <c r="F234" s="19"/>
      <c r="G234" s="18"/>
      <c r="H234" s="18"/>
    </row>
    <row r="235" spans="1:8" ht="13.9">
      <c r="A235" s="18"/>
      <c r="B235" s="18"/>
      <c r="C235" s="18"/>
      <c r="D235" s="18"/>
      <c r="E235" s="18"/>
      <c r="F235" s="19"/>
      <c r="G235" s="18"/>
      <c r="H235" s="18"/>
    </row>
    <row r="236" spans="1:8" ht="13.9">
      <c r="A236" s="18"/>
      <c r="B236" s="18"/>
      <c r="C236" s="18"/>
      <c r="D236" s="18"/>
      <c r="E236" s="18"/>
      <c r="F236" s="19"/>
      <c r="G236" s="18"/>
      <c r="H236" s="18"/>
    </row>
    <row r="237" spans="1:8" ht="13.9">
      <c r="A237" s="18"/>
      <c r="B237" s="18"/>
      <c r="C237" s="18"/>
      <c r="D237" s="18"/>
      <c r="E237" s="18"/>
      <c r="F237" s="19"/>
      <c r="G237" s="18"/>
      <c r="H237" s="18"/>
    </row>
    <row r="238" spans="1:8" ht="13.9">
      <c r="A238" s="18"/>
      <c r="B238" s="18"/>
      <c r="C238" s="18"/>
      <c r="D238" s="18"/>
      <c r="E238" s="18"/>
      <c r="F238" s="19"/>
      <c r="G238" s="18"/>
      <c r="H238" s="18"/>
    </row>
    <row r="239" spans="1:8" ht="13.9">
      <c r="A239" s="18"/>
      <c r="B239" s="18"/>
      <c r="C239" s="18"/>
      <c r="D239" s="18"/>
      <c r="E239" s="18"/>
      <c r="F239" s="19"/>
      <c r="G239" s="18"/>
      <c r="H239" s="18"/>
    </row>
    <row r="240" spans="1:8" ht="13.9">
      <c r="A240" s="18"/>
      <c r="B240" s="18"/>
      <c r="C240" s="18"/>
      <c r="D240" s="18"/>
      <c r="E240" s="18"/>
      <c r="F240" s="19"/>
      <c r="G240" s="18"/>
      <c r="H240" s="18"/>
    </row>
    <row r="241" spans="1:8" ht="13.9">
      <c r="A241" s="18"/>
      <c r="B241" s="18"/>
      <c r="C241" s="18"/>
      <c r="D241" s="18"/>
      <c r="E241" s="18"/>
      <c r="F241" s="19"/>
      <c r="G241" s="18"/>
      <c r="H241" s="18"/>
    </row>
    <row r="242" spans="1:8" ht="13.9">
      <c r="A242" s="18"/>
      <c r="B242" s="18"/>
      <c r="C242" s="18"/>
      <c r="D242" s="18"/>
      <c r="E242" s="18"/>
      <c r="F242" s="19"/>
      <c r="G242" s="18"/>
      <c r="H242" s="18"/>
    </row>
    <row r="243" spans="1:8" ht="13.9">
      <c r="A243" s="18"/>
      <c r="B243" s="18"/>
      <c r="C243" s="18"/>
      <c r="D243" s="18"/>
      <c r="E243" s="18"/>
      <c r="F243" s="19"/>
      <c r="G243" s="18"/>
      <c r="H243" s="18"/>
    </row>
    <row r="244" spans="1:8" ht="13.9">
      <c r="A244" s="18"/>
      <c r="B244" s="18"/>
      <c r="C244" s="18"/>
      <c r="D244" s="18"/>
      <c r="E244" s="18"/>
      <c r="F244" s="19"/>
      <c r="G244" s="18"/>
      <c r="H244" s="18"/>
    </row>
    <row r="245" spans="1:8" ht="13.9">
      <c r="A245" s="18"/>
      <c r="B245" s="18"/>
      <c r="C245" s="18"/>
      <c r="D245" s="18"/>
      <c r="E245" s="18"/>
      <c r="F245" s="19"/>
      <c r="G245" s="18"/>
      <c r="H245" s="18"/>
    </row>
    <row r="246" spans="1:8" ht="13.9">
      <c r="A246" s="18"/>
      <c r="B246" s="18"/>
      <c r="C246" s="18"/>
      <c r="D246" s="18"/>
      <c r="E246" s="18"/>
      <c r="F246" s="19"/>
      <c r="G246" s="18"/>
      <c r="H246" s="18"/>
    </row>
    <row r="247" spans="1:8" ht="13.9">
      <c r="A247" s="18"/>
      <c r="B247" s="18"/>
      <c r="C247" s="18"/>
      <c r="D247" s="18"/>
      <c r="E247" s="18"/>
      <c r="F247" s="19"/>
      <c r="G247" s="18"/>
      <c r="H247" s="18"/>
    </row>
    <row r="248" spans="1:8" ht="13.9">
      <c r="A248" s="18"/>
      <c r="B248" s="18"/>
      <c r="C248" s="18"/>
      <c r="D248" s="18"/>
      <c r="E248" s="18"/>
      <c r="F248" s="19"/>
      <c r="G248" s="18"/>
      <c r="H248" s="18"/>
    </row>
    <row r="249" spans="1:8" ht="13.9">
      <c r="A249" s="18"/>
      <c r="B249" s="18"/>
      <c r="C249" s="18"/>
      <c r="D249" s="18"/>
      <c r="E249" s="18"/>
      <c r="F249" s="19"/>
      <c r="G249" s="18"/>
      <c r="H249" s="18"/>
    </row>
    <row r="250" spans="1:8" ht="13.9">
      <c r="A250" s="18"/>
      <c r="B250" s="18"/>
      <c r="C250" s="18"/>
      <c r="D250" s="18"/>
      <c r="E250" s="18"/>
      <c r="F250" s="19"/>
      <c r="G250" s="18"/>
      <c r="H250" s="18"/>
    </row>
    <row r="251" spans="1:8" ht="13.9">
      <c r="A251" s="18"/>
      <c r="B251" s="18"/>
      <c r="C251" s="18"/>
      <c r="D251" s="18"/>
      <c r="E251" s="18"/>
      <c r="F251" s="19"/>
      <c r="G251" s="18"/>
      <c r="H251" s="18"/>
    </row>
    <row r="252" spans="1:8" ht="13.9">
      <c r="A252" s="18"/>
      <c r="B252" s="18"/>
      <c r="C252" s="18"/>
      <c r="D252" s="18"/>
      <c r="E252" s="18"/>
      <c r="F252" s="19"/>
      <c r="G252" s="18"/>
      <c r="H252" s="18"/>
    </row>
    <row r="253" spans="1:8" ht="13.9">
      <c r="A253" s="18"/>
      <c r="B253" s="18"/>
      <c r="C253" s="18"/>
      <c r="D253" s="18"/>
      <c r="E253" s="18"/>
      <c r="F253" s="19"/>
      <c r="G253" s="18"/>
      <c r="H253" s="18"/>
    </row>
    <row r="254" spans="1:8" ht="13.9">
      <c r="A254" s="18"/>
      <c r="B254" s="18"/>
      <c r="C254" s="18"/>
      <c r="D254" s="18"/>
      <c r="E254" s="18"/>
      <c r="F254" s="19"/>
      <c r="G254" s="18"/>
      <c r="H254" s="18"/>
    </row>
    <row r="255" spans="1:8" ht="13.9">
      <c r="A255" s="18"/>
      <c r="B255" s="18"/>
      <c r="C255" s="18"/>
      <c r="D255" s="18"/>
      <c r="E255" s="18"/>
      <c r="F255" s="19"/>
      <c r="G255" s="18"/>
      <c r="H255" s="18"/>
    </row>
    <row r="256" spans="1:8" ht="13.9">
      <c r="A256" s="18"/>
      <c r="B256" s="18"/>
      <c r="C256" s="18"/>
      <c r="D256" s="18"/>
      <c r="E256" s="18"/>
      <c r="F256" s="19"/>
      <c r="G256" s="18"/>
      <c r="H256" s="18"/>
    </row>
    <row r="257" spans="1:8" ht="13.9">
      <c r="A257" s="18"/>
      <c r="B257" s="18"/>
      <c r="C257" s="18"/>
      <c r="D257" s="18"/>
      <c r="E257" s="18"/>
      <c r="F257" s="19"/>
      <c r="G257" s="18"/>
      <c r="H257" s="18"/>
    </row>
    <row r="258" spans="1:8" ht="13.9">
      <c r="A258" s="18"/>
      <c r="B258" s="18"/>
      <c r="C258" s="18"/>
      <c r="D258" s="18"/>
      <c r="E258" s="18"/>
      <c r="F258" s="19"/>
      <c r="G258" s="18"/>
      <c r="H258" s="18"/>
    </row>
    <row r="259" spans="1:8" ht="13.9">
      <c r="A259" s="18"/>
      <c r="B259" s="18"/>
      <c r="C259" s="18"/>
      <c r="D259" s="18"/>
      <c r="E259" s="18"/>
      <c r="F259" s="19"/>
      <c r="G259" s="18"/>
      <c r="H259" s="18"/>
    </row>
    <row r="260" spans="1:8" ht="13.9">
      <c r="A260" s="18"/>
      <c r="B260" s="18"/>
      <c r="C260" s="18"/>
      <c r="D260" s="18"/>
      <c r="E260" s="18"/>
      <c r="F260" s="19"/>
      <c r="G260" s="18"/>
      <c r="H260" s="18"/>
    </row>
    <row r="261" spans="1:8" ht="13.9">
      <c r="A261" s="18"/>
      <c r="B261" s="18"/>
      <c r="C261" s="18"/>
      <c r="D261" s="18"/>
      <c r="E261" s="18"/>
      <c r="F261" s="19"/>
      <c r="G261" s="18"/>
      <c r="H261" s="18"/>
    </row>
    <row r="262" spans="1:8" ht="13.9">
      <c r="A262" s="18"/>
      <c r="B262" s="18"/>
      <c r="C262" s="18"/>
      <c r="D262" s="18"/>
      <c r="E262" s="18"/>
      <c r="F262" s="19"/>
      <c r="G262" s="18"/>
      <c r="H262" s="18"/>
    </row>
    <row r="263" spans="1:8" ht="13.9">
      <c r="A263" s="18"/>
      <c r="B263" s="18"/>
      <c r="C263" s="18"/>
      <c r="D263" s="18"/>
      <c r="E263" s="18"/>
      <c r="F263" s="19"/>
      <c r="G263" s="18"/>
      <c r="H263" s="18"/>
    </row>
    <row r="264" spans="1:8" ht="13.9">
      <c r="A264" s="18"/>
      <c r="B264" s="18"/>
      <c r="C264" s="18"/>
      <c r="D264" s="18"/>
      <c r="E264" s="18"/>
      <c r="F264" s="19"/>
      <c r="G264" s="18"/>
      <c r="H264" s="18"/>
    </row>
    <row r="265" spans="1:8" ht="13.9">
      <c r="A265" s="18"/>
      <c r="B265" s="18"/>
      <c r="C265" s="18"/>
      <c r="D265" s="18"/>
      <c r="E265" s="18"/>
      <c r="F265" s="19"/>
      <c r="G265" s="18"/>
      <c r="H265" s="18"/>
    </row>
    <row r="266" spans="1:8" ht="13.9">
      <c r="A266" s="18"/>
      <c r="B266" s="18"/>
      <c r="C266" s="18"/>
      <c r="D266" s="18"/>
      <c r="E266" s="18"/>
      <c r="F266" s="19"/>
      <c r="G266" s="18"/>
      <c r="H266" s="18"/>
    </row>
    <row r="267" spans="1:8" ht="13.9">
      <c r="A267" s="18"/>
      <c r="B267" s="18"/>
      <c r="C267" s="18"/>
      <c r="D267" s="18"/>
      <c r="E267" s="18"/>
      <c r="F267" s="19"/>
      <c r="G267" s="18"/>
      <c r="H267" s="18"/>
    </row>
    <row r="268" spans="1:8" ht="13.9">
      <c r="A268" s="18"/>
      <c r="B268" s="18"/>
      <c r="C268" s="18"/>
      <c r="D268" s="18"/>
      <c r="E268" s="18"/>
      <c r="F268" s="19"/>
      <c r="G268" s="18"/>
      <c r="H268" s="18"/>
    </row>
    <row r="269" spans="1:8" ht="13.9">
      <c r="A269" s="18"/>
      <c r="B269" s="18"/>
      <c r="C269" s="18"/>
      <c r="D269" s="18"/>
      <c r="E269" s="18"/>
      <c r="F269" s="19"/>
      <c r="G269" s="18"/>
      <c r="H269" s="18"/>
    </row>
    <row r="270" spans="1:8" ht="13.9">
      <c r="A270" s="18"/>
      <c r="B270" s="18"/>
      <c r="C270" s="18"/>
      <c r="D270" s="18"/>
      <c r="E270" s="18"/>
      <c r="F270" s="19"/>
      <c r="G270" s="18"/>
      <c r="H270" s="18"/>
    </row>
    <row r="271" spans="1:8" ht="13.9">
      <c r="A271" s="18"/>
      <c r="B271" s="18"/>
      <c r="C271" s="18"/>
      <c r="D271" s="18"/>
      <c r="E271" s="18"/>
      <c r="F271" s="19"/>
      <c r="G271" s="18"/>
      <c r="H271" s="18"/>
    </row>
    <row r="272" spans="1:8" ht="13.9">
      <c r="A272" s="18"/>
      <c r="B272" s="18"/>
      <c r="C272" s="18"/>
      <c r="D272" s="18"/>
      <c r="E272" s="18"/>
      <c r="F272" s="19"/>
      <c r="G272" s="18"/>
      <c r="H272" s="18"/>
    </row>
    <row r="273" spans="1:8" ht="13.9">
      <c r="A273" s="18"/>
      <c r="B273" s="18"/>
      <c r="C273" s="18"/>
      <c r="D273" s="18"/>
      <c r="E273" s="18"/>
      <c r="F273" s="19"/>
      <c r="G273" s="18"/>
      <c r="H273" s="18"/>
    </row>
    <row r="274" spans="1:8" ht="13.9">
      <c r="A274" s="18"/>
      <c r="B274" s="18"/>
      <c r="C274" s="18"/>
      <c r="D274" s="18"/>
      <c r="E274" s="18"/>
      <c r="F274" s="19"/>
      <c r="G274" s="18"/>
      <c r="H274" s="18"/>
    </row>
    <row r="275" spans="1:8" ht="13.9">
      <c r="A275" s="18"/>
      <c r="B275" s="18"/>
      <c r="C275" s="18"/>
      <c r="D275" s="18"/>
      <c r="E275" s="18"/>
      <c r="F275" s="19"/>
      <c r="G275" s="18"/>
      <c r="H275" s="18"/>
    </row>
    <row r="276" spans="1:8" ht="13.9">
      <c r="A276" s="18"/>
      <c r="B276" s="18"/>
      <c r="C276" s="18"/>
      <c r="D276" s="18"/>
      <c r="E276" s="18"/>
      <c r="F276" s="19"/>
      <c r="G276" s="18"/>
      <c r="H276" s="18"/>
    </row>
    <row r="277" spans="1:8" ht="13.9">
      <c r="A277" s="18"/>
      <c r="B277" s="18"/>
      <c r="C277" s="18"/>
      <c r="D277" s="18"/>
      <c r="E277" s="18"/>
      <c r="F277" s="19"/>
      <c r="G277" s="18"/>
      <c r="H277" s="18"/>
    </row>
    <row r="278" spans="1:8" ht="13.9">
      <c r="A278" s="18"/>
      <c r="B278" s="18"/>
      <c r="C278" s="18"/>
      <c r="D278" s="18"/>
      <c r="E278" s="18"/>
      <c r="F278" s="19"/>
      <c r="G278" s="18"/>
      <c r="H278" s="18"/>
    </row>
    <row r="279" spans="1:8" ht="13.9">
      <c r="A279" s="18"/>
      <c r="B279" s="18"/>
      <c r="C279" s="18"/>
      <c r="D279" s="18"/>
      <c r="E279" s="18"/>
      <c r="F279" s="19"/>
      <c r="G279" s="18"/>
      <c r="H279" s="18"/>
    </row>
    <row r="280" spans="1:8" ht="13.9">
      <c r="A280" s="18"/>
      <c r="B280" s="18"/>
      <c r="C280" s="18"/>
      <c r="D280" s="18"/>
      <c r="E280" s="18"/>
      <c r="F280" s="19"/>
      <c r="G280" s="18"/>
      <c r="H280" s="18"/>
    </row>
    <row r="281" spans="1:8" ht="13.9">
      <c r="A281" s="18"/>
      <c r="B281" s="18"/>
      <c r="C281" s="18"/>
      <c r="D281" s="18"/>
      <c r="E281" s="18"/>
      <c r="F281" s="19"/>
      <c r="G281" s="18"/>
      <c r="H281" s="18"/>
    </row>
    <row r="282" spans="1:8" ht="13.9">
      <c r="A282" s="18"/>
      <c r="B282" s="18"/>
      <c r="C282" s="18"/>
      <c r="D282" s="18"/>
      <c r="E282" s="18"/>
      <c r="F282" s="19"/>
      <c r="G282" s="18"/>
      <c r="H282" s="18"/>
    </row>
    <row r="283" spans="1:8" ht="13.9">
      <c r="A283" s="18"/>
      <c r="B283" s="18"/>
      <c r="C283" s="18"/>
      <c r="D283" s="18"/>
      <c r="E283" s="18"/>
      <c r="F283" s="19"/>
      <c r="G283" s="18"/>
      <c r="H283" s="18"/>
    </row>
    <row r="284" spans="1:8" ht="13.9">
      <c r="A284" s="18"/>
      <c r="B284" s="18"/>
      <c r="C284" s="18"/>
      <c r="D284" s="18"/>
      <c r="E284" s="18"/>
      <c r="F284" s="19"/>
      <c r="G284" s="18"/>
      <c r="H284" s="18"/>
    </row>
    <row r="285" spans="1:8" ht="13.9">
      <c r="A285" s="18"/>
      <c r="B285" s="18"/>
      <c r="C285" s="18"/>
      <c r="D285" s="18"/>
      <c r="E285" s="18"/>
      <c r="F285" s="19"/>
      <c r="G285" s="18"/>
      <c r="H285" s="18"/>
    </row>
    <row r="286" spans="1:8" ht="13.9">
      <c r="A286" s="18"/>
      <c r="B286" s="18"/>
      <c r="C286" s="18"/>
      <c r="D286" s="18"/>
      <c r="E286" s="18"/>
      <c r="F286" s="19"/>
      <c r="G286" s="18"/>
      <c r="H286" s="18"/>
    </row>
    <row r="287" spans="1:8" ht="13.9">
      <c r="A287" s="18"/>
      <c r="B287" s="18"/>
      <c r="C287" s="18"/>
      <c r="D287" s="18"/>
      <c r="E287" s="18"/>
      <c r="F287" s="19"/>
      <c r="G287" s="18"/>
      <c r="H287" s="18"/>
    </row>
    <row r="288" spans="1:8" ht="13.9">
      <c r="A288" s="18"/>
      <c r="B288" s="18"/>
      <c r="C288" s="18"/>
      <c r="D288" s="18"/>
      <c r="E288" s="18"/>
      <c r="F288" s="19"/>
      <c r="G288" s="18"/>
      <c r="H288" s="18"/>
    </row>
    <row r="289" spans="1:8" ht="13.9">
      <c r="A289" s="18"/>
      <c r="B289" s="18"/>
      <c r="C289" s="18"/>
      <c r="D289" s="18"/>
      <c r="E289" s="18"/>
      <c r="F289" s="19"/>
      <c r="G289" s="18"/>
      <c r="H289" s="18"/>
    </row>
    <row r="290" spans="1:8" ht="13.9">
      <c r="A290" s="18"/>
      <c r="B290" s="18"/>
      <c r="C290" s="18"/>
      <c r="D290" s="18"/>
      <c r="E290" s="18"/>
      <c r="F290" s="19"/>
      <c r="G290" s="18"/>
      <c r="H290" s="18"/>
    </row>
    <row r="291" spans="1:8" ht="13.9">
      <c r="A291" s="18"/>
      <c r="B291" s="18"/>
      <c r="C291" s="18"/>
      <c r="D291" s="18"/>
      <c r="E291" s="18"/>
      <c r="F291" s="19"/>
      <c r="G291" s="18"/>
      <c r="H291" s="18"/>
    </row>
    <row r="292" spans="1:8" ht="13.9">
      <c r="A292" s="18"/>
      <c r="B292" s="18"/>
      <c r="C292" s="18"/>
      <c r="D292" s="18"/>
      <c r="E292" s="18"/>
      <c r="F292" s="19"/>
      <c r="G292" s="18"/>
      <c r="H292" s="18"/>
    </row>
    <row r="293" spans="1:8" ht="13.9">
      <c r="A293" s="18"/>
      <c r="B293" s="18"/>
      <c r="C293" s="18"/>
      <c r="D293" s="18"/>
      <c r="E293" s="18"/>
      <c r="F293" s="19"/>
      <c r="G293" s="18"/>
      <c r="H293" s="18"/>
    </row>
    <row r="294" spans="1:8" ht="13.9">
      <c r="A294" s="18"/>
      <c r="B294" s="18"/>
      <c r="C294" s="18"/>
      <c r="D294" s="18"/>
      <c r="E294" s="18"/>
      <c r="F294" s="19"/>
      <c r="G294" s="18"/>
      <c r="H294" s="18"/>
    </row>
    <row r="295" spans="1:8" ht="13.9">
      <c r="A295" s="18"/>
      <c r="B295" s="18"/>
      <c r="C295" s="18"/>
      <c r="D295" s="18"/>
      <c r="E295" s="18"/>
      <c r="F295" s="19"/>
      <c r="G295" s="18"/>
      <c r="H295" s="18"/>
    </row>
    <row r="296" spans="1:8" ht="13.9">
      <c r="A296" s="18"/>
      <c r="B296" s="18"/>
      <c r="C296" s="18"/>
      <c r="D296" s="18"/>
      <c r="E296" s="18"/>
      <c r="F296" s="19"/>
      <c r="G296" s="18"/>
      <c r="H296" s="18"/>
    </row>
    <row r="297" spans="1:8" ht="13.9">
      <c r="A297" s="18"/>
      <c r="B297" s="18"/>
      <c r="C297" s="18"/>
      <c r="D297" s="18"/>
      <c r="E297" s="18"/>
      <c r="F297" s="19"/>
      <c r="G297" s="18"/>
      <c r="H297" s="18"/>
    </row>
    <row r="298" spans="1:8" ht="13.9">
      <c r="A298" s="18"/>
      <c r="B298" s="18"/>
      <c r="C298" s="18"/>
      <c r="D298" s="18"/>
      <c r="E298" s="18"/>
      <c r="F298" s="19"/>
      <c r="G298" s="18"/>
      <c r="H298" s="18"/>
    </row>
    <row r="299" spans="1:8" ht="13.9">
      <c r="A299" s="18"/>
      <c r="B299" s="18"/>
      <c r="C299" s="18"/>
      <c r="D299" s="18"/>
      <c r="E299" s="18"/>
      <c r="F299" s="19"/>
      <c r="G299" s="18"/>
      <c r="H299" s="18"/>
    </row>
    <row r="300" spans="1:8" ht="13.9">
      <c r="A300" s="18"/>
      <c r="B300" s="18"/>
      <c r="C300" s="18"/>
      <c r="D300" s="18"/>
      <c r="E300" s="18"/>
      <c r="F300" s="19"/>
      <c r="G300" s="18"/>
      <c r="H300" s="18"/>
    </row>
    <row r="301" spans="1:8" ht="13.9">
      <c r="A301" s="18"/>
      <c r="B301" s="18"/>
      <c r="C301" s="18"/>
      <c r="D301" s="18"/>
      <c r="E301" s="18"/>
      <c r="F301" s="19"/>
      <c r="G301" s="18"/>
      <c r="H301" s="18"/>
    </row>
    <row r="302" spans="1:8" ht="13.9">
      <c r="A302" s="18"/>
      <c r="B302" s="18"/>
      <c r="C302" s="18"/>
      <c r="D302" s="18"/>
      <c r="E302" s="18"/>
      <c r="F302" s="19"/>
      <c r="G302" s="18"/>
      <c r="H302" s="18"/>
    </row>
    <row r="303" spans="1:8" ht="13.9">
      <c r="A303" s="18"/>
      <c r="B303" s="18"/>
      <c r="C303" s="18"/>
      <c r="D303" s="18"/>
      <c r="E303" s="18"/>
      <c r="F303" s="19"/>
      <c r="G303" s="18"/>
      <c r="H303" s="18"/>
    </row>
    <row r="304" spans="1:8" ht="13.9">
      <c r="A304" s="18"/>
      <c r="B304" s="18"/>
      <c r="C304" s="18"/>
      <c r="D304" s="18"/>
      <c r="E304" s="18"/>
      <c r="F304" s="19"/>
      <c r="G304" s="18"/>
      <c r="H304" s="18"/>
    </row>
    <row r="305" spans="1:8" ht="13.9">
      <c r="A305" s="18"/>
      <c r="B305" s="18"/>
      <c r="C305" s="18"/>
      <c r="D305" s="18"/>
      <c r="E305" s="18"/>
      <c r="F305" s="19"/>
      <c r="G305" s="18"/>
      <c r="H305" s="18"/>
    </row>
    <row r="306" spans="1:8" ht="13.9">
      <c r="A306" s="18"/>
      <c r="B306" s="18"/>
      <c r="C306" s="18"/>
      <c r="D306" s="18"/>
      <c r="E306" s="18"/>
      <c r="F306" s="19"/>
      <c r="G306" s="18"/>
      <c r="H306" s="18"/>
    </row>
    <row r="307" spans="1:8" ht="13.9">
      <c r="A307" s="18"/>
      <c r="B307" s="18"/>
      <c r="C307" s="18"/>
      <c r="D307" s="18"/>
      <c r="E307" s="18"/>
      <c r="F307" s="19"/>
      <c r="G307" s="18"/>
      <c r="H307" s="18"/>
    </row>
    <row r="308" spans="1:8" ht="13.9">
      <c r="A308" s="18"/>
      <c r="B308" s="18"/>
      <c r="C308" s="18"/>
      <c r="D308" s="18"/>
      <c r="E308" s="18"/>
      <c r="F308" s="19"/>
      <c r="G308" s="18"/>
      <c r="H308" s="18"/>
    </row>
    <row r="309" spans="1:8" ht="13.9">
      <c r="A309" s="18"/>
      <c r="B309" s="18"/>
      <c r="C309" s="18"/>
      <c r="D309" s="18"/>
      <c r="E309" s="18"/>
      <c r="F309" s="19"/>
      <c r="G309" s="18"/>
      <c r="H309" s="18"/>
    </row>
    <row r="310" spans="1:8" ht="13.9">
      <c r="A310" s="18"/>
      <c r="B310" s="18"/>
      <c r="C310" s="18"/>
      <c r="D310" s="18"/>
      <c r="E310" s="18"/>
      <c r="F310" s="19"/>
      <c r="G310" s="18"/>
      <c r="H310" s="18"/>
    </row>
    <row r="311" spans="1:8" ht="13.9">
      <c r="A311" s="18"/>
      <c r="B311" s="18"/>
      <c r="C311" s="18"/>
      <c r="D311" s="18"/>
      <c r="E311" s="18"/>
      <c r="F311" s="19"/>
      <c r="G311" s="18"/>
      <c r="H311" s="18"/>
    </row>
    <row r="312" spans="1:8" ht="13.9">
      <c r="A312" s="18"/>
      <c r="B312" s="18"/>
      <c r="C312" s="18"/>
      <c r="D312" s="18"/>
      <c r="E312" s="18"/>
      <c r="F312" s="19"/>
      <c r="G312" s="18"/>
      <c r="H312" s="18"/>
    </row>
    <row r="313" spans="1:8" ht="13.9">
      <c r="A313" s="18"/>
      <c r="B313" s="18"/>
      <c r="C313" s="18"/>
      <c r="D313" s="18"/>
      <c r="E313" s="18"/>
      <c r="F313" s="19"/>
      <c r="G313" s="18"/>
      <c r="H313" s="18"/>
    </row>
    <row r="314" spans="1:8" ht="13.9">
      <c r="A314" s="18"/>
      <c r="B314" s="18"/>
      <c r="C314" s="18"/>
      <c r="D314" s="18"/>
      <c r="E314" s="18"/>
      <c r="F314" s="19"/>
      <c r="G314" s="18"/>
      <c r="H314" s="18"/>
    </row>
    <row r="315" spans="1:8" ht="13.9">
      <c r="A315" s="18"/>
      <c r="B315" s="18"/>
      <c r="C315" s="18"/>
      <c r="D315" s="18"/>
      <c r="E315" s="18"/>
      <c r="F315" s="19"/>
      <c r="G315" s="18"/>
      <c r="H315" s="18"/>
    </row>
    <row r="316" spans="1:8" ht="13.9">
      <c r="A316" s="18"/>
      <c r="B316" s="18"/>
      <c r="C316" s="18"/>
      <c r="D316" s="18"/>
      <c r="E316" s="18"/>
      <c r="F316" s="19"/>
      <c r="G316" s="18"/>
      <c r="H316" s="18"/>
    </row>
    <row r="317" spans="1:8" ht="13.9">
      <c r="A317" s="18"/>
      <c r="B317" s="18"/>
      <c r="C317" s="18"/>
      <c r="D317" s="18"/>
      <c r="E317" s="18"/>
      <c r="F317" s="19"/>
      <c r="G317" s="18"/>
      <c r="H317" s="18"/>
    </row>
    <row r="318" spans="1:8" ht="13.9">
      <c r="A318" s="18"/>
      <c r="B318" s="18"/>
      <c r="C318" s="18"/>
      <c r="D318" s="18"/>
      <c r="E318" s="18"/>
      <c r="F318" s="19"/>
      <c r="G318" s="18"/>
      <c r="H318" s="18"/>
    </row>
    <row r="319" spans="1:8" ht="13.9">
      <c r="A319" s="18"/>
      <c r="B319" s="18"/>
      <c r="C319" s="18"/>
      <c r="D319" s="18"/>
      <c r="E319" s="18"/>
      <c r="F319" s="19"/>
      <c r="G319" s="18"/>
      <c r="H319" s="18"/>
    </row>
    <row r="320" spans="1:8" ht="13.9">
      <c r="A320" s="18"/>
      <c r="B320" s="18"/>
      <c r="C320" s="18"/>
      <c r="D320" s="18"/>
      <c r="E320" s="18"/>
      <c r="F320" s="19"/>
      <c r="G320" s="18"/>
      <c r="H320" s="18"/>
    </row>
    <row r="321" spans="1:8" ht="13.9">
      <c r="A321" s="18"/>
      <c r="B321" s="18"/>
      <c r="C321" s="18"/>
      <c r="D321" s="18"/>
      <c r="E321" s="18"/>
      <c r="F321" s="19"/>
      <c r="G321" s="18"/>
      <c r="H321" s="18"/>
    </row>
    <row r="322" spans="1:8" ht="13.9">
      <c r="A322" s="18"/>
      <c r="B322" s="18"/>
      <c r="C322" s="18"/>
      <c r="D322" s="18"/>
      <c r="E322" s="18"/>
      <c r="F322" s="19"/>
      <c r="G322" s="18"/>
      <c r="H322" s="18"/>
    </row>
    <row r="323" spans="1:8" ht="13.9">
      <c r="A323" s="18"/>
      <c r="B323" s="18"/>
      <c r="C323" s="18"/>
      <c r="D323" s="18"/>
      <c r="E323" s="18"/>
      <c r="F323" s="19"/>
      <c r="G323" s="18"/>
      <c r="H323" s="18"/>
    </row>
    <row r="324" spans="1:8" ht="13.9">
      <c r="A324" s="18"/>
      <c r="B324" s="18"/>
      <c r="C324" s="18"/>
      <c r="D324" s="18"/>
      <c r="E324" s="18"/>
      <c r="F324" s="19"/>
      <c r="G324" s="18"/>
      <c r="H324" s="18"/>
    </row>
    <row r="325" spans="1:8" ht="13.9">
      <c r="A325" s="18"/>
      <c r="B325" s="18"/>
      <c r="C325" s="18"/>
      <c r="D325" s="18"/>
      <c r="E325" s="18"/>
      <c r="F325" s="19"/>
      <c r="G325" s="18"/>
      <c r="H325" s="18"/>
    </row>
    <row r="326" spans="1:8" ht="13.9">
      <c r="A326" s="18"/>
      <c r="B326" s="18"/>
      <c r="C326" s="18"/>
      <c r="D326" s="18"/>
      <c r="E326" s="18"/>
      <c r="F326" s="19"/>
      <c r="G326" s="18"/>
      <c r="H326" s="18"/>
    </row>
    <row r="327" spans="1:8" ht="13.9">
      <c r="A327" s="18"/>
      <c r="B327" s="18"/>
      <c r="C327" s="18"/>
      <c r="D327" s="18"/>
      <c r="E327" s="18"/>
      <c r="F327" s="19"/>
      <c r="G327" s="18"/>
      <c r="H327" s="18"/>
    </row>
    <row r="328" spans="1:8" ht="13.9">
      <c r="A328" s="18"/>
      <c r="B328" s="18"/>
      <c r="C328" s="18"/>
      <c r="D328" s="18"/>
      <c r="E328" s="18"/>
      <c r="F328" s="19"/>
      <c r="G328" s="18"/>
      <c r="H328" s="18"/>
    </row>
    <row r="329" spans="1:8" ht="13.9">
      <c r="A329" s="18"/>
      <c r="B329" s="18"/>
      <c r="C329" s="18"/>
      <c r="D329" s="18"/>
      <c r="E329" s="18"/>
      <c r="F329" s="19"/>
      <c r="G329" s="18"/>
      <c r="H329" s="18"/>
    </row>
    <row r="330" spans="1:8" ht="13.9">
      <c r="A330" s="18"/>
      <c r="B330" s="18"/>
      <c r="C330" s="18"/>
      <c r="D330" s="18"/>
      <c r="E330" s="18"/>
      <c r="F330" s="19"/>
      <c r="G330" s="18"/>
      <c r="H330" s="18"/>
    </row>
    <row r="331" spans="1:8" ht="13.9">
      <c r="A331" s="18"/>
      <c r="B331" s="18"/>
      <c r="C331" s="18"/>
      <c r="D331" s="18"/>
      <c r="E331" s="18"/>
      <c r="F331" s="19"/>
      <c r="G331" s="18"/>
      <c r="H331" s="18"/>
    </row>
    <row r="332" spans="1:8" ht="13.9">
      <c r="A332" s="18"/>
      <c r="B332" s="18"/>
      <c r="C332" s="18"/>
      <c r="D332" s="18"/>
      <c r="E332" s="18"/>
      <c r="F332" s="19"/>
      <c r="G332" s="18"/>
      <c r="H332" s="18"/>
    </row>
    <row r="333" spans="1:8" ht="13.9">
      <c r="A333" s="18"/>
      <c r="B333" s="18"/>
      <c r="C333" s="18"/>
      <c r="D333" s="18"/>
      <c r="E333" s="18"/>
      <c r="F333" s="19"/>
      <c r="G333" s="18"/>
      <c r="H333" s="18"/>
    </row>
    <row r="334" spans="1:8" ht="13.9">
      <c r="A334" s="18"/>
      <c r="B334" s="18"/>
      <c r="C334" s="18"/>
      <c r="D334" s="18"/>
      <c r="E334" s="18"/>
      <c r="F334" s="19"/>
      <c r="G334" s="18"/>
      <c r="H334" s="18"/>
    </row>
    <row r="335" spans="1:8" ht="13.9">
      <c r="A335" s="18"/>
      <c r="B335" s="18"/>
      <c r="C335" s="18"/>
      <c r="D335" s="18"/>
      <c r="E335" s="18"/>
      <c r="F335" s="19"/>
      <c r="G335" s="18"/>
      <c r="H335" s="18"/>
    </row>
    <row r="336" spans="1:8" ht="13.9">
      <c r="A336" s="18"/>
      <c r="B336" s="18"/>
      <c r="C336" s="18"/>
      <c r="D336" s="18"/>
      <c r="E336" s="18"/>
      <c r="F336" s="19"/>
      <c r="G336" s="18"/>
      <c r="H336" s="18"/>
    </row>
    <row r="337" spans="1:8" ht="13.9">
      <c r="A337" s="18"/>
      <c r="B337" s="18"/>
      <c r="C337" s="18"/>
      <c r="D337" s="18"/>
      <c r="E337" s="18"/>
      <c r="F337" s="19"/>
      <c r="G337" s="18"/>
      <c r="H337" s="18"/>
    </row>
  </sheetData>
  <sortState xmlns:xlrd2="http://schemas.microsoft.com/office/spreadsheetml/2017/richdata2" ref="A3:H4">
    <sortCondition ref="A3:A4"/>
  </sortState>
  <mergeCells count="3">
    <mergeCell ref="A1:B1"/>
    <mergeCell ref="C1:E1"/>
    <mergeCell ref="F1:H1"/>
  </mergeCells>
  <conditionalFormatting sqref="E2 H2 E4:E12 H4:H12">
    <cfRule type="cellIs" dxfId="36" priority="1" stopIfTrue="1" operator="lessThanOrEqual">
      <formula>-0.1</formula>
    </cfRule>
    <cfRule type="expression" dxfId="35" priority="2">
      <formula>AND(ISNUMBER(E2), E2&gt;=0.1)</formula>
    </cfRule>
  </conditionalFormatting>
  <conditionalFormatting sqref="F13:F95">
    <cfRule type="cellIs" dxfId="34" priority="3" stopIfTrue="1" operator="lessThanOrEqual">
      <formula>-0.1</formula>
    </cfRule>
    <cfRule type="expression" dxfId="33" priority="4">
      <formula>AND(ISNUMBER(F13), F13&gt;=0.1)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H332"/>
  <sheetViews>
    <sheetView workbookViewId="0">
      <pane xSplit="1" ySplit="3" topLeftCell="B4" activePane="bottomRight" state="frozen"/>
      <selection pane="bottomRight" activeCell="G40" sqref="A36:G40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4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212" t="str" cm="1">
        <f t="array" ref="A1">portfolio</f>
        <v>Wells Fargo</v>
      </c>
      <c r="B1" s="213"/>
      <c r="C1" s="214" t="s">
        <v>33</v>
      </c>
      <c r="D1" s="215"/>
      <c r="E1" s="216"/>
      <c r="F1" s="217" t="s">
        <v>34</v>
      </c>
      <c r="G1" s="218"/>
      <c r="H1" s="219"/>
    </row>
    <row r="2" spans="1:8" ht="19.5" customHeight="1">
      <c r="A2" s="41" t="s">
        <v>2</v>
      </c>
      <c r="B2" s="4">
        <f ca="1">SUM(B4:B90)</f>
        <v>4241356.5213434445</v>
      </c>
      <c r="C2" s="4">
        <f ca="1">SUM(C4:C90)</f>
        <v>4087994.8451</v>
      </c>
      <c r="D2" s="4">
        <f ca="1">B2-C2</f>
        <v>153361.67624344444</v>
      </c>
      <c r="E2" s="5">
        <f ca="1">IFERROR(D2/C2, 0)</f>
        <v>3.7515134449660231E-2</v>
      </c>
      <c r="F2" s="4">
        <f ca="1">SUM(F4:F90)</f>
        <v>4572666.3151000002</v>
      </c>
      <c r="G2" s="6">
        <f ca="1">B2-F2</f>
        <v>-331309.79375655577</v>
      </c>
      <c r="H2" s="5">
        <f ca="1">IFERROR(G2/F2, 0)</f>
        <v>-7.2454399889730486E-2</v>
      </c>
    </row>
    <row r="3" spans="1:8" ht="14.25" customHeight="1">
      <c r="A3" s="7" t="s">
        <v>30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SUM(SUMIF(_xlfn.ANCHORARRAY(Jul!$B$4), $A4, Jul!C$4:C$65), SUMIF(_xlfn.ANCHORARRAY(Aug!$C$4), $A4, Aug!D$4:D$69), SUMIF(_xlfn.ANCHORARRAY(Sep!$B$4), $A4, Sep!C$4:C$69))</f>
        <v>281716.09084072092</v>
      </c>
      <c r="C4" s="11">
        <f ca="1">SUM(SUMIF(_xlfn.ANCHORARRAY(Jul!$B$4), $A4, Jul!D$4:D$65), SUMIF(_xlfn.ANCHORARRAY(Aug!$C$4), $A4, Aug!E$4:E$69), SUMIF(_xlfn.ANCHORARRAY(Sep!$B$4), $A4, Sep!D$4:D$69))</f>
        <v>245289.81899999999</v>
      </c>
      <c r="D4" s="11">
        <f ca="1">IF(AND(ISNUMBER(B4),ISNUMBER(C4)), B4-C4, "")</f>
        <v>36426.271840720932</v>
      </c>
      <c r="E4" s="12">
        <f ca="1">IFERROR(D4/C4, "")</f>
        <v>0.14850299123389599</v>
      </c>
      <c r="F4" s="13">
        <f ca="1">SUM(SUMIF(_xlfn.ANCHORARRAY(Jul!$B$4), $A4, Jul!G$4:G$65), SUMIF(_xlfn.ANCHORARRAY(Aug!$C$4), $A4, Aug!H$4:H$69), SUMIF(_xlfn.ANCHORARRAY(Sep!$B$4), $A4, Sep!G$4:G$69))</f>
        <v>304579.57200000004</v>
      </c>
      <c r="G4" s="13">
        <f ca="1">IF(AND(ISNUMBER(B4),ISNUMBER(F4)), B4-F4, "")</f>
        <v>-22863.481159279123</v>
      </c>
      <c r="H4" s="14">
        <f ca="1">IFERROR(G4/F4, "")</f>
        <v>-7.5065707818642274E-2</v>
      </c>
    </row>
    <row r="5" spans="1:8" ht="14.45">
      <c r="A5" s="9" t="str">
        <v>CO</v>
      </c>
      <c r="B5" s="10">
        <f ca="1">SUM(SUMIF(_xlfn.ANCHORARRAY(Jul!$B$4), $A5, Jul!C$4:C$65), SUMIF(_xlfn.ANCHORARRAY(Aug!$C$4), $A5, Aug!D$4:D$69), SUMIF(_xlfn.ANCHORARRAY(Sep!$B$4), $A5, Sep!C$4:C$69))</f>
        <v>52712.099856150133</v>
      </c>
      <c r="C5" s="15">
        <f ca="1">SUM(SUMIF(_xlfn.ANCHORARRAY(Jul!$B$4), $A5, Jul!D$4:D$65), SUMIF(_xlfn.ANCHORARRAY(Aug!$C$4), $A5, Aug!E$4:E$69), SUMIF(_xlfn.ANCHORARRAY(Sep!$B$4), $A5, Sep!D$4:D$69))</f>
        <v>22755.559999999998</v>
      </c>
      <c r="D5" s="15">
        <f t="shared" ref="D5:D11" ca="1" si="0">IF(AND(ISNUMBER(B5),ISNUMBER(C5)), B5-C5, "")</f>
        <v>29956.539856150135</v>
      </c>
      <c r="E5" s="16">
        <f ca="1">IFERROR(D5/C5, "")</f>
        <v>1.3164492482782291</v>
      </c>
      <c r="F5" s="15">
        <f ca="1">SUM(SUMIF(_xlfn.ANCHORARRAY(Jul!$B$4), $A5, Jul!G$4:G$65), SUMIF(_xlfn.ANCHORARRAY(Aug!$C$4), $A5, Aug!H$4:H$69), SUMIF(_xlfn.ANCHORARRAY(Sep!$B$4), $A5, Sep!G$4:G$69))</f>
        <v>59902.32</v>
      </c>
      <c r="G5" s="15">
        <f ca="1">IF(AND(ISNUMBER(B5),ISNUMBER(F5)), B5-F5, "")</f>
        <v>-7190.2201438498669</v>
      </c>
      <c r="H5" s="16">
        <f ca="1">IFERROR(G5/F5, "")</f>
        <v>-0.12003241516939356</v>
      </c>
    </row>
    <row r="6" spans="1:8" ht="14.45">
      <c r="A6" s="8" t="str">
        <v>CT</v>
      </c>
      <c r="B6" s="21">
        <f ca="1">SUM(SUMIF(_xlfn.ANCHORARRAY(Jul!$B$4), $A6, Jul!C$4:C$65), SUMIF(_xlfn.ANCHORARRAY(Aug!$C$4), $A6, Aug!D$4:D$69), SUMIF(_xlfn.ANCHORARRAY(Sep!$B$4), $A6, Sep!C$4:C$69))</f>
        <v>3788.7434661094148</v>
      </c>
      <c r="C6" s="11">
        <f ca="1">SUM(SUMIF(_xlfn.ANCHORARRAY(Jul!$B$4), $A6, Jul!D$4:D$65), SUMIF(_xlfn.ANCHORARRAY(Aug!$C$4), $A6, Aug!E$4:E$69), SUMIF(_xlfn.ANCHORARRAY(Sep!$B$4), $A6, Sep!D$4:D$69))</f>
        <v>2897.3579</v>
      </c>
      <c r="D6" s="11">
        <f t="shared" ca="1" si="0"/>
        <v>891.38556610941487</v>
      </c>
      <c r="E6" s="12">
        <f t="shared" ref="E6:E11" ca="1" si="1">IFERROR(D6/C6, "")</f>
        <v>0.30765462772459518</v>
      </c>
      <c r="F6" s="13">
        <f ca="1">SUM(SUMIF(_xlfn.ANCHORARRAY(Jul!$B$4), $A6, Jul!G$4:G$65), SUMIF(_xlfn.ANCHORARRAY(Aug!$C$4), $A6, Aug!H$4:H$69), SUMIF(_xlfn.ANCHORARRAY(Sep!$B$4), $A6, Sep!G$4:G$69))</f>
        <v>4252.0910999999996</v>
      </c>
      <c r="G6" s="13">
        <f t="shared" ref="G6:G11" ca="1" si="2">IF(AND(ISNUMBER(B6),ISNUMBER(F6)), B6-F6, "")</f>
        <v>-463.3476338905848</v>
      </c>
      <c r="H6" s="14">
        <f t="shared" ref="H6:H11" ca="1" si="3">IFERROR(G6/F6, "")</f>
        <v>-0.10896935719241407</v>
      </c>
    </row>
    <row r="7" spans="1:8" ht="14.45">
      <c r="A7" s="9" t="str">
        <v>FL</v>
      </c>
      <c r="B7" s="10">
        <f ca="1">SUM(SUMIF(_xlfn.ANCHORARRAY(Jul!$B$4), $A7, Jul!C$4:C$65), SUMIF(_xlfn.ANCHORARRAY(Aug!$C$4), $A7, Aug!D$4:D$69), SUMIF(_xlfn.ANCHORARRAY(Sep!$B$4), $A7, Sep!C$4:C$69))</f>
        <v>1586.1030453051731</v>
      </c>
      <c r="C7" s="15">
        <f ca="1">SUM(SUMIF(_xlfn.ANCHORARRAY(Jul!$B$4), $A7, Jul!D$4:D$65), SUMIF(_xlfn.ANCHORARRAY(Aug!$C$4), $A7, Aug!E$4:E$69), SUMIF(_xlfn.ANCHORARRAY(Sep!$B$4), $A7, Sep!D$4:D$69))</f>
        <v>9693.2939999999999</v>
      </c>
      <c r="D7" s="15">
        <f t="shared" ca="1" si="0"/>
        <v>-8107.1909546948264</v>
      </c>
      <c r="E7" s="16">
        <f t="shared" ca="1" si="1"/>
        <v>-0.83637109889525962</v>
      </c>
      <c r="F7" s="15">
        <f ca="1">SUM(SUMIF(_xlfn.ANCHORARRAY(Jul!$B$4), $A7, Jul!G$4:G$65), SUMIF(_xlfn.ANCHORARRAY(Aug!$C$4), $A7, Aug!H$4:H$69), SUMIF(_xlfn.ANCHORARRAY(Sep!$B$4), $A7, Sep!G$4:G$69))</f>
        <v>10892</v>
      </c>
      <c r="G7" s="15">
        <f t="shared" ca="1" si="2"/>
        <v>-9305.8969546948265</v>
      </c>
      <c r="H7" s="16">
        <f t="shared" ca="1" si="3"/>
        <v>-0.85437908140789809</v>
      </c>
    </row>
    <row r="8" spans="1:8" ht="12.75" customHeight="1">
      <c r="A8" s="8" t="str">
        <v>IA</v>
      </c>
      <c r="B8" s="21">
        <f ca="1">SUM(SUMIF(_xlfn.ANCHORARRAY(Jul!$B$4), $A8, Jul!C$4:C$65), SUMIF(_xlfn.ANCHORARRAY(Aug!$C$4), $A8, Aug!D$4:D$69), SUMIF(_xlfn.ANCHORARRAY(Sep!$B$4), $A8, Sep!C$4:C$69))</f>
        <v>563806</v>
      </c>
      <c r="C8" s="11">
        <f ca="1">SUM(SUMIF(_xlfn.ANCHORARRAY(Jul!$B$4), $A8, Jul!D$4:D$65), SUMIF(_xlfn.ANCHORARRAY(Aug!$C$4), $A8, Aug!E$4:E$69), SUMIF(_xlfn.ANCHORARRAY(Sep!$B$4), $A8, Sep!D$4:D$69))</f>
        <v>581682.26</v>
      </c>
      <c r="D8" s="11">
        <f t="shared" ca="1" si="0"/>
        <v>-17876.260000000009</v>
      </c>
      <c r="E8" s="12">
        <f t="shared" ca="1" si="1"/>
        <v>-3.0732001350703062E-2</v>
      </c>
      <c r="F8" s="13">
        <f ca="1">SUM(SUMIF(_xlfn.ANCHORARRAY(Jul!$B$4), $A8, Jul!G$4:G$65), SUMIF(_xlfn.ANCHORARRAY(Aug!$C$4), $A8, Aug!H$4:H$69), SUMIF(_xlfn.ANCHORARRAY(Sep!$B$4), $A8, Sep!G$4:G$69))</f>
        <v>600468.52</v>
      </c>
      <c r="G8" s="13">
        <f t="shared" ca="1" si="2"/>
        <v>-36662.520000000019</v>
      </c>
      <c r="H8" s="14">
        <f t="shared" ca="1" si="3"/>
        <v>-6.1056522996409568E-2</v>
      </c>
    </row>
    <row r="9" spans="1:8" ht="14.45">
      <c r="A9" s="9" t="str">
        <v>NC</v>
      </c>
      <c r="B9" s="10">
        <f ca="1">SUM(SUMIF(_xlfn.ANCHORARRAY(Jul!$B$4), $A9, Jul!C$4:C$65), SUMIF(_xlfn.ANCHORARRAY(Aug!$C$4), $A9, Aug!D$4:D$69), SUMIF(_xlfn.ANCHORARRAY(Sep!$B$4), $A9, Sep!C$4:C$69))</f>
        <v>553957.69999999995</v>
      </c>
      <c r="C9" s="15">
        <f ca="1">SUM(SUMIF(_xlfn.ANCHORARRAY(Jul!$B$4), $A9, Jul!D$4:D$65), SUMIF(_xlfn.ANCHORARRAY(Aug!$C$4), $A9, Aug!E$4:E$69), SUMIF(_xlfn.ANCHORARRAY(Sep!$B$4), $A9, Sep!D$4:D$69))</f>
        <v>578816.42099999997</v>
      </c>
      <c r="D9" s="15">
        <f t="shared" ca="1" si="0"/>
        <v>-24858.72100000002</v>
      </c>
      <c r="E9" s="16">
        <f t="shared" ca="1" si="1"/>
        <v>-4.2947504766800697E-2</v>
      </c>
      <c r="F9" s="15">
        <f ca="1">SUM(SUMIF(_xlfn.ANCHORARRAY(Jul!$B$4), $A9, Jul!G$4:G$65), SUMIF(_xlfn.ANCHORARRAY(Aug!$C$4), $A9, Aug!H$4:H$69), SUMIF(_xlfn.ANCHORARRAY(Sep!$B$4), $A9, Sep!G$4:G$69))</f>
        <v>586996</v>
      </c>
      <c r="G9" s="15">
        <f t="shared" ca="1" si="2"/>
        <v>-33038.300000000047</v>
      </c>
      <c r="H9" s="16">
        <f t="shared" ca="1" si="3"/>
        <v>-5.6283688474878954E-2</v>
      </c>
    </row>
    <row r="10" spans="1:8" ht="14.45">
      <c r="A10" s="8" t="str">
        <v>NJ</v>
      </c>
      <c r="B10" s="21">
        <f ca="1">SUM(SUMIF(_xlfn.ANCHORARRAY(Jul!$B$4), $A10, Jul!C$4:C$65), SUMIF(_xlfn.ANCHORARRAY(Aug!$C$4), $A10, Aug!D$4:D$69), SUMIF(_xlfn.ANCHORARRAY(Sep!$B$4), $A10, Sep!C$4:C$69))</f>
        <v>197333.49531311746</v>
      </c>
      <c r="C10" s="11">
        <f ca="1">SUM(SUMIF(_xlfn.ANCHORARRAY(Jul!$B$4), $A10, Jul!D$4:D$65), SUMIF(_xlfn.ANCHORARRAY(Aug!$C$4), $A10, Aug!E$4:E$69), SUMIF(_xlfn.ANCHORARRAY(Sep!$B$4), $A10, Sep!D$4:D$69))</f>
        <v>188416.36619999999</v>
      </c>
      <c r="D10" s="11">
        <f t="shared" ca="1" si="0"/>
        <v>8917.1291131174657</v>
      </c>
      <c r="E10" s="12">
        <f t="shared" ca="1" si="1"/>
        <v>4.7326722688474536E-2</v>
      </c>
      <c r="F10" s="13">
        <f ca="1">SUM(SUMIF(_xlfn.ANCHORARRAY(Jul!$B$4), $A10, Jul!G$4:G$65), SUMIF(_xlfn.ANCHORARRAY(Aug!$C$4), $A10, Aug!H$4:H$69), SUMIF(_xlfn.ANCHORARRAY(Sep!$B$4), $A10, Sep!G$4:G$69))</f>
        <v>211362.23200000002</v>
      </c>
      <c r="G10" s="13">
        <f t="shared" ca="1" si="2"/>
        <v>-14028.736686882563</v>
      </c>
      <c r="H10" s="14">
        <f t="shared" ca="1" si="3"/>
        <v>-6.6372958660289708E-2</v>
      </c>
    </row>
    <row r="11" spans="1:8" ht="14.45">
      <c r="A11" s="9" t="str">
        <v>TX</v>
      </c>
      <c r="B11" s="10">
        <f ca="1">SUM(SUMIF(_xlfn.ANCHORARRAY(Jul!$B$4), $A11, Jul!C$4:C$65), SUMIF(_xlfn.ANCHORARRAY(Aug!$C$4), $A11, Aug!D$4:D$69), SUMIF(_xlfn.ANCHORARRAY(Sep!$B$4), $A11, Sep!C$4:C$69))</f>
        <v>1555019.5158500001</v>
      </c>
      <c r="C11" s="15">
        <f ca="1">SUM(SUMIF(_xlfn.ANCHORARRAY(Jul!$B$4), $A11, Jul!D$4:D$65), SUMIF(_xlfn.ANCHORARRAY(Aug!$C$4), $A11, Aug!E$4:E$69), SUMIF(_xlfn.ANCHORARRAY(Sep!$B$4), $A11, Sep!D$4:D$69))</f>
        <v>1513474.4890000001</v>
      </c>
      <c r="D11" s="15">
        <f t="shared" ca="1" si="0"/>
        <v>41545.026850000024</v>
      </c>
      <c r="E11" s="16">
        <f t="shared" ca="1" si="1"/>
        <v>2.7450100515040807E-2</v>
      </c>
      <c r="F11" s="15">
        <f ca="1">SUM(SUMIF(_xlfn.ANCHORARRAY(Jul!$B$4), $A11, Jul!G$4:G$65), SUMIF(_xlfn.ANCHORARRAY(Aug!$C$4), $A11, Aug!H$4:H$69), SUMIF(_xlfn.ANCHORARRAY(Sep!$B$4), $A11, Sep!G$4:G$69))</f>
        <v>1832079.5</v>
      </c>
      <c r="G11" s="15">
        <f t="shared" ca="1" si="2"/>
        <v>-277059.98414999992</v>
      </c>
      <c r="H11" s="16">
        <f t="shared" ca="1" si="3"/>
        <v>-0.15122705327470773</v>
      </c>
    </row>
    <row r="12" spans="1:8" ht="14.45">
      <c r="A12" s="8" t="str">
        <v>AZ</v>
      </c>
      <c r="B12" s="57">
        <f ca="1">SUM(SUMIF(_xlfn.ANCHORARRAY(Jul!$B$4), $A12, Jul!C$4:C$65), SUMIF(_xlfn.ANCHORARRAY(Aug!$C$4), $A12, Aug!D$4:D$69), SUMIF(_xlfn.ANCHORARRAY(Sep!$B$4), $A12, Sep!C$4:C$69))</f>
        <v>1031436.7729720415</v>
      </c>
      <c r="C12" s="11">
        <f ca="1">SUM(SUMIF(_xlfn.ANCHORARRAY(Jul!$B$4), $A12, Jul!D$4:D$65), SUMIF(_xlfn.ANCHORARRAY(Aug!$C$4), $A12, Aug!E$4:E$69), SUMIF(_xlfn.ANCHORARRAY(Sep!$B$4), $A12, Sep!D$4:D$69))</f>
        <v>944969.27799999993</v>
      </c>
      <c r="D12" s="11">
        <f ca="1">IF(AND(ISNUMBER(B12),ISNUMBER(C12)), B12-C12, "")</f>
        <v>86467.494972041575</v>
      </c>
      <c r="E12" s="58">
        <f ca="1">IFERROR(D12/C12, "")</f>
        <v>9.1502969445787188E-2</v>
      </c>
      <c r="F12" s="74">
        <f ca="1">SUM(SUMIF(_xlfn.ANCHORARRAY(Jul!$B$4), $A12, Jul!G$4:G$65), SUMIF(_xlfn.ANCHORARRAY(Aug!$C$4), $A12, Aug!H$4:H$69), SUMIF(_xlfn.ANCHORARRAY(Sep!$B$4), $A12, Sep!G$4:G$69))</f>
        <v>962134.08000000007</v>
      </c>
      <c r="G12" s="74">
        <f ca="1">IF(AND(ISNUMBER(B12),ISNUMBER(F12)), B12-F12, "")</f>
        <v>69302.692972041434</v>
      </c>
      <c r="H12" s="75">
        <f ca="1">IFERROR(G12/F12, "")</f>
        <v>7.2030182084436123E-2</v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9"/>
      <c r="F23" s="18"/>
      <c r="G23" s="18"/>
      <c r="H23" s="19"/>
    </row>
    <row r="24" spans="1:8" ht="13.9">
      <c r="A24" s="18"/>
      <c r="B24" s="18"/>
      <c r="C24" s="18"/>
      <c r="D24" s="18"/>
      <c r="E24" s="19"/>
      <c r="F24" s="18"/>
      <c r="G24" s="18"/>
      <c r="H24" s="19"/>
    </row>
    <row r="25" spans="1:8" ht="13.9">
      <c r="A25" s="18"/>
      <c r="B25" s="18"/>
      <c r="C25" s="18"/>
      <c r="D25" s="18"/>
      <c r="E25" s="19"/>
      <c r="F25" s="18"/>
      <c r="G25" s="18"/>
      <c r="H25" s="19"/>
    </row>
    <row r="26" spans="1:8" ht="13.9">
      <c r="A26" s="18"/>
      <c r="B26" s="18"/>
      <c r="C26" s="18"/>
      <c r="D26" s="18"/>
      <c r="E26" s="19"/>
      <c r="F26" s="18"/>
      <c r="G26" s="18"/>
      <c r="H26" s="19"/>
    </row>
    <row r="27" spans="1:8" ht="13.9">
      <c r="A27" s="18"/>
      <c r="B27" s="18"/>
      <c r="C27" s="18"/>
      <c r="D27" s="18"/>
      <c r="E27" s="19"/>
      <c r="F27" s="18"/>
      <c r="G27" s="18"/>
      <c r="H27" s="19"/>
    </row>
    <row r="28" spans="1:8" ht="13.9">
      <c r="A28" s="18"/>
      <c r="B28" s="18"/>
      <c r="C28" s="18"/>
      <c r="D28" s="18"/>
      <c r="E28" s="19"/>
      <c r="F28" s="18"/>
      <c r="G28" s="18"/>
      <c r="H28" s="19"/>
    </row>
    <row r="29" spans="1:8" ht="13.9">
      <c r="A29" s="18"/>
      <c r="B29" s="18"/>
      <c r="C29" s="18"/>
      <c r="D29" s="18"/>
      <c r="E29" s="19"/>
      <c r="F29" s="18"/>
      <c r="G29" s="18"/>
      <c r="H29" s="19"/>
    </row>
    <row r="30" spans="1:8" ht="13.9">
      <c r="A30" s="18"/>
      <c r="B30" s="18"/>
      <c r="C30" s="18"/>
      <c r="D30" s="18"/>
      <c r="E30" s="19"/>
      <c r="F30" s="18"/>
      <c r="G30" s="18"/>
      <c r="H30" s="19"/>
    </row>
    <row r="31" spans="1:8" ht="13.9">
      <c r="A31" s="18"/>
      <c r="B31" s="18"/>
      <c r="C31" s="18"/>
      <c r="D31" s="18"/>
      <c r="E31" s="19"/>
      <c r="F31" s="18"/>
      <c r="G31" s="18"/>
      <c r="H31" s="19"/>
    </row>
    <row r="32" spans="1:8" ht="13.9">
      <c r="A32" s="18"/>
      <c r="B32" s="18"/>
      <c r="C32" s="18"/>
      <c r="D32" s="18"/>
      <c r="E32" s="19"/>
      <c r="F32" s="18"/>
      <c r="G32" s="18"/>
      <c r="H32" s="19"/>
    </row>
    <row r="33" spans="1:8" ht="13.9">
      <c r="A33" s="18"/>
      <c r="B33" s="18"/>
      <c r="C33" s="18"/>
      <c r="D33" s="18"/>
      <c r="E33" s="19"/>
      <c r="F33" s="18"/>
      <c r="G33" s="18"/>
      <c r="H33" s="19"/>
    </row>
    <row r="34" spans="1:8" ht="13.9">
      <c r="A34" s="18"/>
      <c r="B34" s="18"/>
      <c r="C34" s="18"/>
      <c r="D34" s="18"/>
      <c r="E34" s="19"/>
      <c r="F34" s="18"/>
      <c r="G34" s="18"/>
      <c r="H34" s="19"/>
    </row>
    <row r="35" spans="1:8" ht="13.9">
      <c r="A35" s="18"/>
      <c r="B35" s="18"/>
      <c r="C35" s="18"/>
      <c r="D35" s="18"/>
      <c r="E35" s="19"/>
      <c r="F35" s="18"/>
      <c r="G35" s="18"/>
      <c r="H35" s="19"/>
    </row>
    <row r="36" spans="1:8" ht="13.9">
      <c r="A36" s="18"/>
      <c r="B36" s="18"/>
      <c r="C36" s="18"/>
      <c r="D36" s="18"/>
      <c r="E36" s="19"/>
      <c r="F36" s="18"/>
      <c r="G36" s="18"/>
      <c r="H36" s="19"/>
    </row>
    <row r="37" spans="1:8" ht="13.9">
      <c r="A37" s="18"/>
      <c r="B37" s="18"/>
      <c r="C37" s="18"/>
      <c r="D37" s="18"/>
      <c r="E37" s="19"/>
      <c r="F37" s="18"/>
      <c r="G37" s="18"/>
      <c r="H37" s="19"/>
    </row>
    <row r="38" spans="1:8" ht="13.9">
      <c r="A38" s="18"/>
      <c r="B38" s="18"/>
      <c r="C38" s="18"/>
      <c r="D38" s="18"/>
      <c r="E38" s="19"/>
      <c r="F38" s="18"/>
      <c r="G38" s="18"/>
      <c r="H38" s="19"/>
    </row>
    <row r="39" spans="1:8" ht="13.9">
      <c r="A39" s="18"/>
      <c r="B39" s="18"/>
      <c r="C39" s="18"/>
      <c r="D39" s="18"/>
      <c r="E39" s="19"/>
      <c r="F39" s="18"/>
      <c r="G39" s="18"/>
      <c r="H39" s="19"/>
    </row>
    <row r="40" spans="1:8" ht="13.9">
      <c r="A40" s="18"/>
      <c r="B40" s="18"/>
      <c r="C40" s="18"/>
      <c r="D40" s="18"/>
      <c r="E40" s="19"/>
      <c r="F40" s="18"/>
      <c r="G40" s="18"/>
      <c r="H40" s="19"/>
    </row>
    <row r="41" spans="1:8" ht="13.9">
      <c r="A41" s="18"/>
      <c r="B41" s="18"/>
      <c r="C41" s="18"/>
      <c r="D41" s="18"/>
      <c r="E41" s="19"/>
      <c r="F41" s="18"/>
      <c r="G41" s="18"/>
      <c r="H41" s="19"/>
    </row>
    <row r="42" spans="1:8" ht="13.9">
      <c r="A42" s="18"/>
      <c r="B42" s="18"/>
      <c r="C42" s="18"/>
      <c r="D42" s="18"/>
      <c r="E42" s="19"/>
      <c r="F42" s="18"/>
      <c r="G42" s="18"/>
      <c r="H42" s="19"/>
    </row>
    <row r="43" spans="1:8" ht="13.9">
      <c r="A43" s="18"/>
      <c r="B43" s="18"/>
      <c r="C43" s="18"/>
      <c r="D43" s="18"/>
      <c r="E43" s="19"/>
      <c r="F43" s="18"/>
      <c r="G43" s="18"/>
      <c r="H43" s="19"/>
    </row>
    <row r="44" spans="1:8" ht="13.9">
      <c r="A44" s="18"/>
      <c r="B44" s="18"/>
      <c r="C44" s="18"/>
      <c r="D44" s="18"/>
      <c r="E44" s="19"/>
      <c r="F44" s="18"/>
      <c r="G44" s="18"/>
      <c r="H44" s="19"/>
    </row>
    <row r="45" spans="1:8" ht="13.9">
      <c r="A45" s="18"/>
      <c r="B45" s="18"/>
      <c r="C45" s="18"/>
      <c r="D45" s="18"/>
      <c r="E45" s="19"/>
      <c r="F45" s="18"/>
      <c r="G45" s="18"/>
      <c r="H45" s="19"/>
    </row>
    <row r="46" spans="1:8" ht="13.9">
      <c r="A46" s="18"/>
      <c r="B46" s="18"/>
      <c r="C46" s="18"/>
      <c r="D46" s="18"/>
      <c r="E46" s="19"/>
      <c r="F46" s="18"/>
      <c r="G46" s="18"/>
      <c r="H46" s="19"/>
    </row>
    <row r="47" spans="1:8" ht="13.9">
      <c r="A47" s="18"/>
      <c r="B47" s="18"/>
      <c r="C47" s="18"/>
      <c r="D47" s="18"/>
      <c r="E47" s="19"/>
      <c r="F47" s="18"/>
      <c r="G47" s="18"/>
      <c r="H47" s="19"/>
    </row>
    <row r="48" spans="1:8" ht="13.9">
      <c r="A48" s="18"/>
      <c r="B48" s="18"/>
      <c r="C48" s="18"/>
      <c r="D48" s="18"/>
      <c r="E48" s="19"/>
      <c r="F48" s="18"/>
      <c r="G48" s="18"/>
      <c r="H48" s="19"/>
    </row>
    <row r="49" spans="1:8" ht="13.9">
      <c r="A49" s="18"/>
      <c r="B49" s="18"/>
      <c r="C49" s="18"/>
      <c r="D49" s="18"/>
      <c r="E49" s="19"/>
      <c r="F49" s="18"/>
      <c r="G49" s="18"/>
      <c r="H49" s="19"/>
    </row>
    <row r="50" spans="1:8" ht="13.9">
      <c r="A50" s="18"/>
      <c r="B50" s="18"/>
      <c r="C50" s="18"/>
      <c r="D50" s="18"/>
      <c r="E50" s="19"/>
      <c r="F50" s="18"/>
      <c r="G50" s="18"/>
      <c r="H50" s="19"/>
    </row>
    <row r="51" spans="1:8" ht="13.9">
      <c r="A51" s="18"/>
      <c r="B51" s="18"/>
      <c r="C51" s="18"/>
      <c r="D51" s="18"/>
      <c r="E51" s="19"/>
      <c r="F51" s="18"/>
      <c r="G51" s="18"/>
      <c r="H51" s="19"/>
    </row>
    <row r="52" spans="1:8" ht="13.9">
      <c r="A52" s="18"/>
      <c r="B52" s="18"/>
      <c r="C52" s="18"/>
      <c r="D52" s="18"/>
      <c r="E52" s="19"/>
      <c r="F52" s="18"/>
      <c r="G52" s="18"/>
      <c r="H52" s="19"/>
    </row>
    <row r="53" spans="1:8" ht="13.9">
      <c r="A53" s="18"/>
      <c r="B53" s="18"/>
      <c r="C53" s="18"/>
      <c r="D53" s="18"/>
      <c r="E53" s="19"/>
      <c r="F53" s="18"/>
      <c r="G53" s="18"/>
      <c r="H53" s="19"/>
    </row>
    <row r="54" spans="1:8" ht="13.9">
      <c r="A54" s="18"/>
      <c r="B54" s="18"/>
      <c r="C54" s="18"/>
      <c r="D54" s="18"/>
      <c r="E54" s="19"/>
      <c r="F54" s="18"/>
      <c r="G54" s="18"/>
      <c r="H54" s="19"/>
    </row>
    <row r="55" spans="1:8" ht="13.9">
      <c r="A55" s="18"/>
      <c r="B55" s="18"/>
      <c r="C55" s="18"/>
      <c r="D55" s="18"/>
      <c r="E55" s="19"/>
      <c r="F55" s="18"/>
      <c r="G55" s="18"/>
      <c r="H55" s="19"/>
    </row>
    <row r="56" spans="1:8" ht="13.9">
      <c r="A56" s="18"/>
      <c r="B56" s="18"/>
      <c r="C56" s="18"/>
      <c r="D56" s="18"/>
      <c r="E56" s="19"/>
      <c r="F56" s="18"/>
      <c r="G56" s="18"/>
      <c r="H56" s="19"/>
    </row>
    <row r="57" spans="1:8" ht="13.9">
      <c r="A57" s="18"/>
      <c r="B57" s="18"/>
      <c r="C57" s="18"/>
      <c r="D57" s="18"/>
      <c r="E57" s="19"/>
      <c r="F57" s="18"/>
      <c r="G57" s="18"/>
      <c r="H57" s="19"/>
    </row>
    <row r="58" spans="1:8" ht="13.9">
      <c r="A58" s="18"/>
      <c r="B58" s="18"/>
      <c r="C58" s="18"/>
      <c r="D58" s="18"/>
      <c r="E58" s="19"/>
      <c r="F58" s="18"/>
      <c r="G58" s="18"/>
      <c r="H58" s="19"/>
    </row>
    <row r="59" spans="1:8" ht="13.9">
      <c r="A59" s="18"/>
      <c r="B59" s="18"/>
      <c r="C59" s="18"/>
      <c r="D59" s="18"/>
      <c r="E59" s="19"/>
      <c r="F59" s="18"/>
      <c r="G59" s="18"/>
      <c r="H59" s="19"/>
    </row>
    <row r="60" spans="1:8" ht="13.9">
      <c r="A60" s="18"/>
      <c r="B60" s="18"/>
      <c r="C60" s="18"/>
      <c r="D60" s="18"/>
      <c r="E60" s="19"/>
      <c r="F60" s="18"/>
      <c r="G60" s="18"/>
      <c r="H60" s="19"/>
    </row>
    <row r="61" spans="1:8" ht="13.9">
      <c r="A61" s="18"/>
      <c r="B61" s="18"/>
      <c r="C61" s="18"/>
      <c r="D61" s="18"/>
      <c r="E61" s="19"/>
      <c r="F61" s="18"/>
      <c r="G61" s="18"/>
      <c r="H61" s="19"/>
    </row>
    <row r="62" spans="1:8" ht="13.9">
      <c r="A62" s="18"/>
      <c r="B62" s="18"/>
      <c r="C62" s="18"/>
      <c r="D62" s="18"/>
      <c r="E62" s="19"/>
      <c r="F62" s="18"/>
      <c r="G62" s="18"/>
      <c r="H62" s="19"/>
    </row>
    <row r="63" spans="1:8" ht="13.9">
      <c r="A63" s="18"/>
      <c r="B63" s="18"/>
      <c r="C63" s="18"/>
      <c r="D63" s="18"/>
      <c r="E63" s="19"/>
      <c r="F63" s="18"/>
      <c r="G63" s="18"/>
      <c r="H63" s="19"/>
    </row>
    <row r="64" spans="1:8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2" priority="1" stopIfTrue="1" operator="lessThanOrEqual">
      <formula>-0.1</formula>
    </cfRule>
    <cfRule type="expression" dxfId="31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H332"/>
  <sheetViews>
    <sheetView workbookViewId="0">
      <pane xSplit="1" ySplit="3" topLeftCell="B4" activePane="bottomRight" state="frozen"/>
      <selection pane="bottomRight" activeCell="F20" sqref="F20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2.140625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212" t="str" cm="1">
        <f t="array" ref="A1">portfolio</f>
        <v>Wells Fargo</v>
      </c>
      <c r="B1" s="213"/>
      <c r="C1" s="214" t="s">
        <v>35</v>
      </c>
      <c r="D1" s="215"/>
      <c r="E1" s="216"/>
      <c r="F1" s="217" t="s">
        <v>36</v>
      </c>
      <c r="G1" s="218"/>
      <c r="H1" s="219"/>
    </row>
    <row r="2" spans="1:8" ht="19.5" customHeight="1">
      <c r="A2" s="41" t="s">
        <v>2</v>
      </c>
      <c r="B2" s="4">
        <f ca="1">SUM(B4:B90)</f>
        <v>0</v>
      </c>
      <c r="C2" s="4">
        <f ca="1">SUM(C4:C90)</f>
        <v>0</v>
      </c>
      <c r="D2" s="4">
        <f ca="1">B2-C2</f>
        <v>0</v>
      </c>
      <c r="E2" s="5">
        <f ca="1">IFERROR(D2/C2, 0)</f>
        <v>0</v>
      </c>
      <c r="F2" s="4">
        <f ca="1">SUM(F4:F90)</f>
        <v>0</v>
      </c>
      <c r="G2" s="6">
        <f ca="1">B2-F2</f>
        <v>0</v>
      </c>
      <c r="H2" s="5">
        <f ca="1">IFERROR(G2/F2, 0)</f>
        <v>0</v>
      </c>
    </row>
    <row r="3" spans="1:8" ht="14.25" customHeight="1">
      <c r="A3" s="7" t="s">
        <v>30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SUM(SUMIF(_xlfn.ANCHORARRAY(Oct!$B$4), $A4, Oct!C$4:C$69), SUMIF(_xlfn.ANCHORARRAY(Nov!$B$4), $A4, Nov!C$4:C$69), SUMIF(_xlfn.ANCHORARRAY(Dec!$B$4), $A4, Dec!C$4:C$69))</f>
        <v>0</v>
      </c>
      <c r="C4" s="11">
        <f ca="1">SUM(SUMIF(_xlfn.ANCHORARRAY(Oct!$B$4), $A4, Oct!D$4:D$69), SUMIF(_xlfn.ANCHORARRAY(Nov!$B$4), $A4, Nov!D$4:D$69), SUMIF(_xlfn.ANCHORARRAY(Dec!$B$4), $A4, Dec!D$4:D$69))</f>
        <v>0</v>
      </c>
      <c r="D4" s="11">
        <f ca="1">IF(AND(ISNUMBER(B4),ISNUMBER(C4)), B4-C4, "")</f>
        <v>0</v>
      </c>
      <c r="E4" s="12" t="str">
        <f ca="1">IFERROR(D4/C4, "")</f>
        <v/>
      </c>
      <c r="F4" s="13">
        <f ca="1">SUM(SUMIF(_xlfn.ANCHORARRAY(Oct!$B$4), $A4, Oct!G$4:G$69), SUMIF(_xlfn.ANCHORARRAY(Nov!$B$4), $A4, Nov!G$4:G$69), SUMIF(_xlfn.ANCHORARRAY(Dec!$B$4), $A4, Dec!G$4:G$69))</f>
        <v>0</v>
      </c>
      <c r="G4" s="13">
        <f ca="1">IF(AND(ISNUMBER(B4),ISNUMBER(F4)), B4-F4, "")</f>
        <v>0</v>
      </c>
      <c r="H4" s="14" t="str">
        <f ca="1">IFERROR(G4/F4, "")</f>
        <v/>
      </c>
    </row>
    <row r="5" spans="1:8" ht="14.45">
      <c r="A5" s="9" t="str">
        <v>CO</v>
      </c>
      <c r="B5" s="10">
        <f ca="1">SUM(SUMIF(_xlfn.ANCHORARRAY(Oct!$B$4), $A5, Oct!C$4:C$69), SUMIF(_xlfn.ANCHORARRAY(Nov!$B$4), $A5, Nov!C$4:C$69), SUMIF(_xlfn.ANCHORARRAY(Dec!$B$4), $A5, Dec!C$4:C$69))</f>
        <v>0</v>
      </c>
      <c r="C5" s="15">
        <f ca="1">SUM(SUMIF(_xlfn.ANCHORARRAY(Oct!$B$4), $A5, Oct!D$4:D$69), SUMIF(_xlfn.ANCHORARRAY(Nov!$B$4), $A5, Nov!D$4:D$69), SUMIF(_xlfn.ANCHORARRAY(Dec!$B$4), $A5, Dec!D$4:D$69))</f>
        <v>0</v>
      </c>
      <c r="D5" s="15">
        <f t="shared" ref="D5:D11" ca="1" si="0">IF(AND(ISNUMBER(B5),ISNUMBER(C5)), B5-C5, "")</f>
        <v>0</v>
      </c>
      <c r="E5" s="16" t="str">
        <f ca="1">IFERROR(D5/C5, "")</f>
        <v/>
      </c>
      <c r="F5" s="15">
        <f ca="1">SUM(SUMIF(_xlfn.ANCHORARRAY(Oct!$B$4), $A5, Oct!G$4:G$69), SUMIF(_xlfn.ANCHORARRAY(Nov!$B$4), $A5, Nov!G$4:G$69), SUMIF(_xlfn.ANCHORARRAY(Dec!$B$4), $A5, Dec!G$4:G$69))</f>
        <v>0</v>
      </c>
      <c r="G5" s="15">
        <f ca="1">IF(AND(ISNUMBER(B5),ISNUMBER(F5)), B5-F5, "")</f>
        <v>0</v>
      </c>
      <c r="H5" s="16" t="str">
        <f ca="1">IFERROR(G5/F5, "")</f>
        <v/>
      </c>
    </row>
    <row r="6" spans="1:8" ht="14.45">
      <c r="A6" s="8" t="str">
        <v>CT</v>
      </c>
      <c r="B6" s="21">
        <f ca="1">SUM(SUMIF(_xlfn.ANCHORARRAY(Oct!$B$4), $A6, Oct!C$4:C$69), SUMIF(_xlfn.ANCHORARRAY(Nov!$B$4), $A6, Nov!C$4:C$69), SUMIF(_xlfn.ANCHORARRAY(Dec!$B$4), $A6, Dec!C$4:C$69))</f>
        <v>0</v>
      </c>
      <c r="C6" s="11">
        <f ca="1">SUM(SUMIF(_xlfn.ANCHORARRAY(Oct!$B$4), $A6, Oct!D$4:D$69), SUMIF(_xlfn.ANCHORARRAY(Nov!$B$4), $A6, Nov!D$4:D$69), SUMIF(_xlfn.ANCHORARRAY(Dec!$B$4), $A6, Dec!D$4:D$69))</f>
        <v>0</v>
      </c>
      <c r="D6" s="11">
        <f t="shared" ca="1" si="0"/>
        <v>0</v>
      </c>
      <c r="E6" s="12" t="str">
        <f t="shared" ref="E6:E11" ca="1" si="1">IFERROR(D6/C6, "")</f>
        <v/>
      </c>
      <c r="F6" s="13">
        <f ca="1">SUM(SUMIF(_xlfn.ANCHORARRAY(Oct!$B$4), $A6, Oct!G$4:G$69), SUMIF(_xlfn.ANCHORARRAY(Nov!$B$4), $A6, Nov!G$4:G$69), SUMIF(_xlfn.ANCHORARRAY(Dec!$B$4), $A6, Dec!G$4:G$69))</f>
        <v>0</v>
      </c>
      <c r="G6" s="13">
        <f t="shared" ref="G6:G11" ca="1" si="2">IF(AND(ISNUMBER(B6),ISNUMBER(F6)), B6-F6, "")</f>
        <v>0</v>
      </c>
      <c r="H6" s="14" t="str">
        <f t="shared" ref="H6:H11" ca="1" si="3">IFERROR(G6/F6, "")</f>
        <v/>
      </c>
    </row>
    <row r="7" spans="1:8" ht="14.45">
      <c r="A7" s="9" t="str">
        <v>FL</v>
      </c>
      <c r="B7" s="10">
        <f ca="1">SUM(SUMIF(_xlfn.ANCHORARRAY(Oct!$B$4), $A7, Oct!C$4:C$69), SUMIF(_xlfn.ANCHORARRAY(Nov!$B$4), $A7, Nov!C$4:C$69), SUMIF(_xlfn.ANCHORARRAY(Dec!$B$4), $A7, Dec!C$4:C$69))</f>
        <v>0</v>
      </c>
      <c r="C7" s="15">
        <f ca="1">SUM(SUMIF(_xlfn.ANCHORARRAY(Oct!$B$4), $A7, Oct!D$4:D$69), SUMIF(_xlfn.ANCHORARRAY(Nov!$B$4), $A7, Nov!D$4:D$69), SUMIF(_xlfn.ANCHORARRAY(Dec!$B$4), $A7, Dec!D$4:D$69))</f>
        <v>0</v>
      </c>
      <c r="D7" s="15">
        <f t="shared" ca="1" si="0"/>
        <v>0</v>
      </c>
      <c r="E7" s="16" t="str">
        <f t="shared" ca="1" si="1"/>
        <v/>
      </c>
      <c r="F7" s="15">
        <f ca="1">SUM(SUMIF(_xlfn.ANCHORARRAY(Oct!$B$4), $A7, Oct!G$4:G$69), SUMIF(_xlfn.ANCHORARRAY(Nov!$B$4), $A7, Nov!G$4:G$69), SUMIF(_xlfn.ANCHORARRAY(Dec!$B$4), $A7, Dec!G$4:G$69))</f>
        <v>0</v>
      </c>
      <c r="G7" s="15">
        <f t="shared" ca="1" si="2"/>
        <v>0</v>
      </c>
      <c r="H7" s="16" t="str">
        <f t="shared" ca="1" si="3"/>
        <v/>
      </c>
    </row>
    <row r="8" spans="1:8" ht="12.75" customHeight="1">
      <c r="A8" s="8" t="str">
        <v>IA</v>
      </c>
      <c r="B8" s="21">
        <f ca="1">SUM(SUMIF(_xlfn.ANCHORARRAY(Oct!$B$4), $A8, Oct!C$4:C$69), SUMIF(_xlfn.ANCHORARRAY(Nov!$B$4), $A8, Nov!C$4:C$69), SUMIF(_xlfn.ANCHORARRAY(Dec!$B$4), $A8, Dec!C$4:C$69))</f>
        <v>0</v>
      </c>
      <c r="C8" s="11">
        <f ca="1">SUM(SUMIF(_xlfn.ANCHORARRAY(Oct!$B$4), $A8, Oct!D$4:D$69), SUMIF(_xlfn.ANCHORARRAY(Nov!$B$4), $A8, Nov!D$4:D$69), SUMIF(_xlfn.ANCHORARRAY(Dec!$B$4), $A8, Dec!D$4:D$69))</f>
        <v>0</v>
      </c>
      <c r="D8" s="11">
        <f t="shared" ca="1" si="0"/>
        <v>0</v>
      </c>
      <c r="E8" s="12" t="str">
        <f t="shared" ca="1" si="1"/>
        <v/>
      </c>
      <c r="F8" s="13">
        <f ca="1">SUM(SUMIF(_xlfn.ANCHORARRAY(Oct!$B$4), $A8, Oct!G$4:G$69), SUMIF(_xlfn.ANCHORARRAY(Nov!$B$4), $A8, Nov!G$4:G$69), SUMIF(_xlfn.ANCHORARRAY(Dec!$B$4), $A8, Dec!G$4:G$69))</f>
        <v>0</v>
      </c>
      <c r="G8" s="13">
        <f t="shared" ca="1" si="2"/>
        <v>0</v>
      </c>
      <c r="H8" s="14" t="str">
        <f t="shared" ca="1" si="3"/>
        <v/>
      </c>
    </row>
    <row r="9" spans="1:8" ht="14.45">
      <c r="A9" s="9" t="str">
        <v>NC</v>
      </c>
      <c r="B9" s="10">
        <f ca="1">SUM(SUMIF(_xlfn.ANCHORARRAY(Oct!$B$4), $A9, Oct!C$4:C$69), SUMIF(_xlfn.ANCHORARRAY(Nov!$B$4), $A9, Nov!C$4:C$69), SUMIF(_xlfn.ANCHORARRAY(Dec!$B$4), $A9, Dec!C$4:C$69))</f>
        <v>0</v>
      </c>
      <c r="C9" s="15">
        <f ca="1">SUM(SUMIF(_xlfn.ANCHORARRAY(Oct!$B$4), $A9, Oct!D$4:D$69), SUMIF(_xlfn.ANCHORARRAY(Nov!$B$4), $A9, Nov!D$4:D$69), SUMIF(_xlfn.ANCHORARRAY(Dec!$B$4), $A9, Dec!D$4:D$69))</f>
        <v>0</v>
      </c>
      <c r="D9" s="15">
        <f t="shared" ca="1" si="0"/>
        <v>0</v>
      </c>
      <c r="E9" s="16" t="str">
        <f t="shared" ca="1" si="1"/>
        <v/>
      </c>
      <c r="F9" s="15">
        <f ca="1">SUM(SUMIF(_xlfn.ANCHORARRAY(Oct!$B$4), $A9, Oct!G$4:G$69), SUMIF(_xlfn.ANCHORARRAY(Nov!$B$4), $A9, Nov!G$4:G$69), SUMIF(_xlfn.ANCHORARRAY(Dec!$B$4), $A9, Dec!G$4:G$69))</f>
        <v>0</v>
      </c>
      <c r="G9" s="15">
        <f t="shared" ca="1" si="2"/>
        <v>0</v>
      </c>
      <c r="H9" s="16" t="str">
        <f t="shared" ca="1" si="3"/>
        <v/>
      </c>
    </row>
    <row r="10" spans="1:8" ht="14.45">
      <c r="A10" s="8" t="str">
        <v>NJ</v>
      </c>
      <c r="B10" s="21">
        <f ca="1">SUM(SUMIF(_xlfn.ANCHORARRAY(Oct!$B$4), $A10, Oct!C$4:C$69), SUMIF(_xlfn.ANCHORARRAY(Nov!$B$4), $A10, Nov!C$4:C$69), SUMIF(_xlfn.ANCHORARRAY(Dec!$B$4), $A10, Dec!C$4:C$69))</f>
        <v>0</v>
      </c>
      <c r="C10" s="11">
        <f ca="1">SUM(SUMIF(_xlfn.ANCHORARRAY(Oct!$B$4), $A10, Oct!D$4:D$69), SUMIF(_xlfn.ANCHORARRAY(Nov!$B$4), $A10, Nov!D$4:D$69), SUMIF(_xlfn.ANCHORARRAY(Dec!$B$4), $A10, Dec!D$4:D$69))</f>
        <v>0</v>
      </c>
      <c r="D10" s="11">
        <f ca="1">IF(AND(ISNUMBER(B10),ISNUMBER(C10)), B10-C10, "")</f>
        <v>0</v>
      </c>
      <c r="E10" s="12" t="str">
        <f t="shared" ca="1" si="1"/>
        <v/>
      </c>
      <c r="F10" s="13">
        <f ca="1">SUM(SUMIF(_xlfn.ANCHORARRAY(Oct!$B$4), $A10, Oct!G$4:G$69), SUMIF(_xlfn.ANCHORARRAY(Nov!$B$4), $A10, Nov!G$4:G$69), SUMIF(_xlfn.ANCHORARRAY(Dec!$B$4), $A10, Dec!G$4:G$69))</f>
        <v>0</v>
      </c>
      <c r="G10" s="13">
        <f ca="1">IF(AND(ISNUMBER(B10),ISNUMBER(F10)), B10-F10, "")</f>
        <v>0</v>
      </c>
      <c r="H10" s="14" t="str">
        <f t="shared" ca="1" si="3"/>
        <v/>
      </c>
    </row>
    <row r="11" spans="1:8" ht="14.45">
      <c r="A11" s="9" t="str">
        <v>TX</v>
      </c>
      <c r="B11" s="72">
        <f ca="1">SUM(SUMIF(_xlfn.ANCHORARRAY(Oct!$B$4), $A11, Oct!C$4:C$69), SUMIF(_xlfn.ANCHORARRAY(Nov!$B$4), $A11, Nov!C$4:C$69), SUMIF(_xlfn.ANCHORARRAY(Dec!$B$4), $A11, Dec!C$4:C$69))</f>
        <v>0</v>
      </c>
      <c r="C11" s="15">
        <f ca="1">SUM(SUMIF(_xlfn.ANCHORARRAY(Oct!$B$4), $A11, Oct!D$4:D$69), SUMIF(_xlfn.ANCHORARRAY(Nov!$B$4), $A11, Nov!D$4:D$69), SUMIF(_xlfn.ANCHORARRAY(Dec!$B$4), $A11, Dec!D$4:D$69))</f>
        <v>0</v>
      </c>
      <c r="D11" s="15">
        <f t="shared" ca="1" si="0"/>
        <v>0</v>
      </c>
      <c r="E11" s="76" t="str">
        <f t="shared" ca="1" si="1"/>
        <v/>
      </c>
      <c r="F11" s="15">
        <f ca="1">SUM(SUMIF(_xlfn.ANCHORARRAY(Oct!$B$4), $A11, Oct!G$4:G$69), SUMIF(_xlfn.ANCHORARRAY(Nov!$B$4), $A11, Nov!G$4:G$69), SUMIF(_xlfn.ANCHORARRAY(Dec!$B$4), $A11, Dec!G$4:G$69))</f>
        <v>0</v>
      </c>
      <c r="G11" s="15">
        <f t="shared" ca="1" si="2"/>
        <v>0</v>
      </c>
      <c r="H11" s="76" t="str">
        <f t="shared" ca="1" si="3"/>
        <v/>
      </c>
    </row>
    <row r="12" spans="1:8" ht="12.75" customHeight="1">
      <c r="A12" s="8" t="str">
        <v>AZ</v>
      </c>
      <c r="B12" s="57">
        <f ca="1">SUM(SUMIF(_xlfn.ANCHORARRAY(Oct!$B$4), $A12, Oct!C$4:C$69), SUMIF(_xlfn.ANCHORARRAY(Nov!$B$4), $A12, Nov!C$4:C$69), SUMIF(_xlfn.ANCHORARRAY(Dec!$B$4), $A12, Dec!C$4:C$69))</f>
        <v>0</v>
      </c>
      <c r="C12" s="11">
        <f ca="1">SUM(SUMIF(_xlfn.ANCHORARRAY(Oct!$B$4), $A12, Oct!D$4:D$69), SUMIF(_xlfn.ANCHORARRAY(Nov!$B$4), $A12, Nov!D$4:D$69), SUMIF(_xlfn.ANCHORARRAY(Dec!$B$4), $A12, Dec!D$4:D$69))</f>
        <v>0</v>
      </c>
      <c r="D12" s="11">
        <f ca="1">IF(AND(ISNUMBER(B12),ISNUMBER(C12)), B12-C12, "")</f>
        <v>0</v>
      </c>
      <c r="E12" s="58" t="str">
        <f ca="1">IFERROR(D12/C12, "")</f>
        <v/>
      </c>
      <c r="F12" s="74">
        <f ca="1">SUM(SUMIF(_xlfn.ANCHORARRAY(Oct!$B$4), $A12, Oct!G$4:G$69), SUMIF(_xlfn.ANCHORARRAY(Nov!$B$4), $A12, Nov!G$4:G$69), SUMIF(_xlfn.ANCHORARRAY(Dec!$B$4), $A12, Dec!G$4:G$69))</f>
        <v>0</v>
      </c>
      <c r="G12" s="74">
        <f ca="1">IF(AND(ISNUMBER(B12),ISNUMBER(F12)), B12-F12, "")</f>
        <v>0</v>
      </c>
      <c r="H12" s="75" t="str">
        <f ca="1">IFERROR(G12/F12, "")</f>
        <v/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9"/>
      <c r="F23" s="18"/>
      <c r="G23" s="18"/>
      <c r="H23" s="19"/>
    </row>
    <row r="24" spans="1:8" ht="13.9">
      <c r="A24" s="18"/>
      <c r="B24" s="18"/>
      <c r="C24" s="18"/>
      <c r="D24" s="18"/>
      <c r="E24" s="19"/>
      <c r="F24" s="18"/>
      <c r="G24" s="18"/>
      <c r="H24" s="19"/>
    </row>
    <row r="25" spans="1:8" ht="13.9">
      <c r="A25" s="18"/>
      <c r="B25" s="18"/>
      <c r="C25" s="18"/>
      <c r="D25" s="18"/>
      <c r="E25" s="19"/>
      <c r="F25" s="18"/>
      <c r="G25" s="18"/>
      <c r="H25" s="19"/>
    </row>
    <row r="26" spans="1:8" ht="13.9">
      <c r="A26" s="18"/>
      <c r="B26" s="18"/>
      <c r="C26" s="18"/>
      <c r="D26" s="18"/>
      <c r="E26" s="19"/>
      <c r="F26" s="18"/>
      <c r="G26" s="18"/>
      <c r="H26" s="19"/>
    </row>
    <row r="27" spans="1:8" ht="13.9">
      <c r="A27" s="18"/>
      <c r="B27" s="18"/>
      <c r="C27" s="18"/>
      <c r="D27" s="18"/>
      <c r="E27" s="19"/>
      <c r="F27" s="18"/>
      <c r="G27" s="18"/>
      <c r="H27" s="19"/>
    </row>
    <row r="28" spans="1:8" ht="13.9">
      <c r="A28" s="18"/>
      <c r="B28" s="18"/>
      <c r="C28" s="18"/>
      <c r="D28" s="18"/>
      <c r="E28" s="19"/>
      <c r="F28" s="18"/>
      <c r="G28" s="18"/>
      <c r="H28" s="19"/>
    </row>
    <row r="29" spans="1:8" ht="13.9">
      <c r="A29" s="18"/>
      <c r="B29" s="18"/>
      <c r="C29" s="18"/>
      <c r="D29" s="18"/>
      <c r="E29" s="19"/>
      <c r="F29" s="18"/>
      <c r="G29" s="18"/>
      <c r="H29" s="19"/>
    </row>
    <row r="30" spans="1:8" ht="13.9">
      <c r="A30" s="18"/>
      <c r="B30" s="18"/>
      <c r="C30" s="18"/>
      <c r="D30" s="18"/>
      <c r="E30" s="19"/>
      <c r="F30" s="18"/>
      <c r="G30" s="18"/>
      <c r="H30" s="19"/>
    </row>
    <row r="31" spans="1:8" ht="13.9">
      <c r="A31" s="18"/>
      <c r="B31" s="18"/>
      <c r="C31" s="18"/>
      <c r="D31" s="18"/>
      <c r="E31" s="19"/>
      <c r="F31" s="18"/>
      <c r="G31" s="18"/>
      <c r="H31" s="19"/>
    </row>
    <row r="32" spans="1:8" ht="13.9">
      <c r="A32" s="18"/>
      <c r="B32" s="18"/>
      <c r="C32" s="18"/>
      <c r="D32" s="18"/>
      <c r="E32" s="19"/>
      <c r="F32" s="18"/>
      <c r="G32" s="18"/>
      <c r="H32" s="19"/>
    </row>
    <row r="33" spans="1:8" ht="13.9">
      <c r="A33" s="18"/>
      <c r="B33" s="18"/>
      <c r="C33" s="18"/>
      <c r="D33" s="18"/>
      <c r="E33" s="19"/>
      <c r="F33" s="18"/>
      <c r="G33" s="18"/>
      <c r="H33" s="19"/>
    </row>
    <row r="34" spans="1:8" ht="13.9">
      <c r="A34" s="18"/>
      <c r="B34" s="18"/>
      <c r="C34" s="18"/>
      <c r="D34" s="18"/>
      <c r="E34" s="19"/>
      <c r="F34" s="18"/>
      <c r="G34" s="18"/>
      <c r="H34" s="19"/>
    </row>
    <row r="35" spans="1:8" ht="13.9">
      <c r="A35" s="18"/>
      <c r="B35" s="18"/>
      <c r="C35" s="18"/>
      <c r="D35" s="18"/>
      <c r="E35" s="19"/>
      <c r="F35" s="18"/>
      <c r="G35" s="18"/>
      <c r="H35" s="19"/>
    </row>
    <row r="36" spans="1:8" ht="13.9">
      <c r="A36" s="18"/>
      <c r="B36" s="18"/>
      <c r="C36" s="18"/>
      <c r="D36" s="18"/>
      <c r="E36" s="19"/>
      <c r="F36" s="18"/>
      <c r="G36" s="18"/>
      <c r="H36" s="19"/>
    </row>
    <row r="37" spans="1:8" ht="13.9">
      <c r="A37" s="18"/>
      <c r="B37" s="18"/>
      <c r="C37" s="18"/>
      <c r="D37" s="18"/>
      <c r="E37" s="19"/>
      <c r="F37" s="18"/>
      <c r="G37" s="18"/>
      <c r="H37" s="19"/>
    </row>
    <row r="38" spans="1:8" ht="13.9">
      <c r="A38" s="18"/>
      <c r="B38" s="18"/>
      <c r="C38" s="18"/>
      <c r="D38" s="18"/>
      <c r="E38" s="19"/>
      <c r="F38" s="18"/>
      <c r="G38" s="18"/>
      <c r="H38" s="19"/>
    </row>
    <row r="39" spans="1:8" ht="13.9">
      <c r="A39" s="18"/>
      <c r="B39" s="18"/>
      <c r="C39" s="18"/>
      <c r="D39" s="18"/>
      <c r="E39" s="19"/>
      <c r="F39" s="18"/>
      <c r="G39" s="18"/>
      <c r="H39" s="19"/>
    </row>
    <row r="40" spans="1:8" ht="13.9">
      <c r="A40" s="18"/>
      <c r="B40" s="18"/>
      <c r="C40" s="18"/>
      <c r="D40" s="18"/>
      <c r="E40" s="19"/>
      <c r="F40" s="18"/>
      <c r="G40" s="18"/>
      <c r="H40" s="19"/>
    </row>
    <row r="41" spans="1:8" ht="13.9">
      <c r="A41" s="18"/>
      <c r="B41" s="18"/>
      <c r="C41" s="18"/>
      <c r="D41" s="18"/>
      <c r="E41" s="19"/>
      <c r="F41" s="18"/>
      <c r="G41" s="18"/>
      <c r="H41" s="19"/>
    </row>
    <row r="42" spans="1:8" ht="13.9">
      <c r="A42" s="18"/>
      <c r="B42" s="18"/>
      <c r="C42" s="18"/>
      <c r="D42" s="18"/>
      <c r="E42" s="19"/>
      <c r="F42" s="18"/>
      <c r="G42" s="18"/>
      <c r="H42" s="19"/>
    </row>
    <row r="43" spans="1:8" ht="13.9">
      <c r="A43" s="18"/>
      <c r="B43" s="18"/>
      <c r="C43" s="18"/>
      <c r="D43" s="18"/>
      <c r="E43" s="19"/>
      <c r="F43" s="18"/>
      <c r="G43" s="18"/>
      <c r="H43" s="19"/>
    </row>
    <row r="44" spans="1:8" ht="13.9">
      <c r="A44" s="18"/>
      <c r="B44" s="18"/>
      <c r="C44" s="18"/>
      <c r="D44" s="18"/>
      <c r="E44" s="19"/>
      <c r="F44" s="18"/>
      <c r="G44" s="18"/>
      <c r="H44" s="19"/>
    </row>
    <row r="45" spans="1:8" ht="13.9">
      <c r="A45" s="18"/>
      <c r="B45" s="18"/>
      <c r="C45" s="18"/>
      <c r="D45" s="18"/>
      <c r="E45" s="19"/>
      <c r="F45" s="18"/>
      <c r="G45" s="18"/>
      <c r="H45" s="19"/>
    </row>
    <row r="46" spans="1:8" ht="13.9">
      <c r="A46" s="18"/>
      <c r="B46" s="18"/>
      <c r="C46" s="18"/>
      <c r="D46" s="18"/>
      <c r="E46" s="19"/>
      <c r="F46" s="18"/>
      <c r="G46" s="18"/>
      <c r="H46" s="19"/>
    </row>
    <row r="47" spans="1:8" ht="13.9">
      <c r="A47" s="18"/>
      <c r="B47" s="18"/>
      <c r="C47" s="18"/>
      <c r="D47" s="18"/>
      <c r="E47" s="19"/>
      <c r="F47" s="18"/>
      <c r="G47" s="18"/>
      <c r="H47" s="19"/>
    </row>
    <row r="48" spans="1:8" ht="13.9">
      <c r="A48" s="18"/>
      <c r="B48" s="18"/>
      <c r="C48" s="18"/>
      <c r="D48" s="18"/>
      <c r="E48" s="19"/>
      <c r="F48" s="18"/>
      <c r="G48" s="18"/>
      <c r="H48" s="19"/>
    </row>
    <row r="49" spans="1:8" ht="13.9">
      <c r="A49" s="18"/>
      <c r="B49" s="18"/>
      <c r="C49" s="18"/>
      <c r="D49" s="18"/>
      <c r="E49" s="19"/>
      <c r="F49" s="18"/>
      <c r="G49" s="18"/>
      <c r="H49" s="19"/>
    </row>
    <row r="50" spans="1:8" ht="13.9">
      <c r="A50" s="18"/>
      <c r="B50" s="18"/>
      <c r="C50" s="18"/>
      <c r="D50" s="18"/>
      <c r="E50" s="19"/>
      <c r="F50" s="18"/>
      <c r="G50" s="18"/>
      <c r="H50" s="19"/>
    </row>
    <row r="51" spans="1:8" ht="13.9">
      <c r="A51" s="18"/>
      <c r="B51" s="18"/>
      <c r="C51" s="18"/>
      <c r="D51" s="18"/>
      <c r="E51" s="19"/>
      <c r="F51" s="18"/>
      <c r="G51" s="18"/>
      <c r="H51" s="19"/>
    </row>
    <row r="52" spans="1:8" ht="13.9">
      <c r="A52" s="18"/>
      <c r="B52" s="18"/>
      <c r="C52" s="18"/>
      <c r="D52" s="18"/>
      <c r="E52" s="19"/>
      <c r="F52" s="18"/>
      <c r="G52" s="18"/>
      <c r="H52" s="19"/>
    </row>
    <row r="53" spans="1:8" ht="13.9">
      <c r="A53" s="18"/>
      <c r="B53" s="18"/>
      <c r="C53" s="18"/>
      <c r="D53" s="18"/>
      <c r="E53" s="19"/>
      <c r="F53" s="18"/>
      <c r="G53" s="18"/>
      <c r="H53" s="19"/>
    </row>
    <row r="54" spans="1:8" ht="13.9">
      <c r="A54" s="18"/>
      <c r="B54" s="18"/>
      <c r="C54" s="18"/>
      <c r="D54" s="18"/>
      <c r="E54" s="19"/>
      <c r="F54" s="18"/>
      <c r="G54" s="18"/>
      <c r="H54" s="19"/>
    </row>
    <row r="55" spans="1:8" ht="13.9">
      <c r="A55" s="18"/>
      <c r="B55" s="18"/>
      <c r="C55" s="18"/>
      <c r="D55" s="18"/>
      <c r="E55" s="19"/>
      <c r="F55" s="18"/>
      <c r="G55" s="18"/>
      <c r="H55" s="19"/>
    </row>
    <row r="56" spans="1:8" ht="13.9">
      <c r="A56" s="18"/>
      <c r="B56" s="18"/>
      <c r="C56" s="18"/>
      <c r="D56" s="18"/>
      <c r="E56" s="19"/>
      <c r="F56" s="18"/>
      <c r="G56" s="18"/>
      <c r="H56" s="19"/>
    </row>
    <row r="57" spans="1:8" ht="13.9">
      <c r="A57" s="18"/>
      <c r="B57" s="18"/>
      <c r="C57" s="18"/>
      <c r="D57" s="18"/>
      <c r="E57" s="19"/>
      <c r="F57" s="18"/>
      <c r="G57" s="18"/>
      <c r="H57" s="19"/>
    </row>
    <row r="58" spans="1:8" ht="13.9">
      <c r="A58" s="18"/>
      <c r="B58" s="18"/>
      <c r="C58" s="18"/>
      <c r="D58" s="18"/>
      <c r="E58" s="19"/>
      <c r="F58" s="18"/>
      <c r="G58" s="18"/>
      <c r="H58" s="19"/>
    </row>
    <row r="59" spans="1:8" ht="13.9">
      <c r="A59" s="18"/>
      <c r="B59" s="18"/>
      <c r="C59" s="18"/>
      <c r="D59" s="18"/>
      <c r="E59" s="19"/>
      <c r="F59" s="18"/>
      <c r="G59" s="18"/>
      <c r="H59" s="19"/>
    </row>
    <row r="60" spans="1:8" ht="13.9">
      <c r="A60" s="18"/>
      <c r="B60" s="18"/>
      <c r="C60" s="18"/>
      <c r="D60" s="18"/>
      <c r="E60" s="19"/>
      <c r="F60" s="18"/>
      <c r="G60" s="18"/>
      <c r="H60" s="19"/>
    </row>
    <row r="61" spans="1:8" ht="13.9">
      <c r="A61" s="18"/>
      <c r="B61" s="18"/>
      <c r="C61" s="18"/>
      <c r="D61" s="18"/>
      <c r="E61" s="19"/>
      <c r="F61" s="18"/>
      <c r="G61" s="18"/>
      <c r="H61" s="19"/>
    </row>
    <row r="62" spans="1:8" ht="13.9">
      <c r="A62" s="18"/>
      <c r="B62" s="18"/>
      <c r="C62" s="18"/>
      <c r="D62" s="18"/>
      <c r="E62" s="19"/>
      <c r="F62" s="18"/>
      <c r="G62" s="18"/>
      <c r="H62" s="19"/>
    </row>
    <row r="63" spans="1:8" ht="13.9">
      <c r="A63" s="18"/>
      <c r="B63" s="18"/>
      <c r="C63" s="18"/>
      <c r="D63" s="18"/>
      <c r="E63" s="19"/>
      <c r="F63" s="18"/>
      <c r="G63" s="18"/>
      <c r="H63" s="19"/>
    </row>
    <row r="64" spans="1:8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0" priority="1" stopIfTrue="1" operator="lessThanOrEqual">
      <formula>-0.1</formula>
    </cfRule>
    <cfRule type="expression" dxfId="29" priority="2">
      <formula>AND(ISNUMBER(E2), E2&gt;=0.1)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292"/>
  <sheetViews>
    <sheetView zoomScale="80" zoomScaleNormal="80" workbookViewId="0">
      <pane xSplit="2" ySplit="3" topLeftCell="C4" activePane="bottomRight" state="frozen"/>
      <selection pane="bottomRight" activeCell="A95" sqref="A95"/>
      <selection pane="bottomLeft"/>
      <selection pane="topRight"/>
    </sheetView>
  </sheetViews>
  <sheetFormatPr defaultRowHeight="13.9"/>
  <cols>
    <col min="1" max="1" width="41.5703125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210" t="str" cm="1">
        <f t="array" ref="A1">portfolio</f>
        <v>Wells Fargo</v>
      </c>
      <c r="B1" s="210"/>
      <c r="C1" s="210"/>
      <c r="D1" s="211" t="s">
        <v>37</v>
      </c>
      <c r="E1" s="211"/>
      <c r="F1" s="211"/>
      <c r="G1" s="209" t="s">
        <v>38</v>
      </c>
      <c r="H1" s="209"/>
      <c r="I1" s="209"/>
      <c r="J1" s="3"/>
      <c r="K1" s="3"/>
    </row>
    <row r="2" spans="1:12" ht="19.5" customHeight="1">
      <c r="A2" s="220" t="s">
        <v>2</v>
      </c>
      <c r="B2" s="220"/>
      <c r="C2" s="4">
        <f>SUM(C4:C65)</f>
        <v>972233.76841400936</v>
      </c>
      <c r="D2" s="4">
        <f>SUM(D4:D65)</f>
        <v>1090495.0665000002</v>
      </c>
      <c r="E2" s="4">
        <f>C2-D2</f>
        <v>-118261.29808599083</v>
      </c>
      <c r="F2" s="5">
        <f>IFERROR(E2/D2, 0)</f>
        <v>-0.10844734810727437</v>
      </c>
      <c r="G2" s="4">
        <f>SUM(G4:G65)</f>
        <v>1037915.6683000001</v>
      </c>
      <c r="H2" s="6">
        <f>C2-G2</f>
        <v>-65681.899885990773</v>
      </c>
      <c r="I2" s="5">
        <f>IFERROR(H2/G2, 0)</f>
        <v>-6.3282501548098807E-2</v>
      </c>
      <c r="J2" s="23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2" ht="14.25" customHeight="1">
      <c r="A3" s="24" t="s">
        <v>3</v>
      </c>
      <c r="B3" s="7" t="s">
        <v>30</v>
      </c>
      <c r="C3" s="11" t="s">
        <v>4</v>
      </c>
      <c r="D3" s="32" t="s">
        <v>5</v>
      </c>
      <c r="E3" s="32" t="s">
        <v>6</v>
      </c>
      <c r="F3" s="33" t="s">
        <v>7</v>
      </c>
      <c r="G3" s="37" t="s">
        <v>8</v>
      </c>
      <c r="H3" s="35" t="s">
        <v>6</v>
      </c>
      <c r="I3" s="36" t="s">
        <v>7</v>
      </c>
      <c r="J3" s="22" t="s">
        <v>39</v>
      </c>
      <c r="K3" s="22" t="s">
        <v>40</v>
      </c>
    </row>
    <row r="4" spans="1:12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501.79999999999899</v>
      </c>
      <c r="D4" s="11">
        <v>0</v>
      </c>
      <c r="E4" s="11">
        <f>IF(AND(ISNUMBER(C4),ISNUMBER(D4)), C4-D4, "")</f>
        <v>501.79999999999899</v>
      </c>
      <c r="F4" s="12" t="str">
        <f>IFERROR(E4/D4, "")</f>
        <v/>
      </c>
      <c r="G4" s="13">
        <v>661</v>
      </c>
      <c r="H4" s="13">
        <f>IF(AND(ISNUMBER(C4),ISNUMBER(G4)), C4-G4, "")</f>
        <v>-159.20000000000101</v>
      </c>
      <c r="I4" s="14">
        <f>IFERROR(H4/G4, "")</f>
        <v>-0.24084720121028896</v>
      </c>
      <c r="J4" s="38" t="s">
        <v>41</v>
      </c>
      <c r="K4" s="38"/>
    </row>
    <row r="5" spans="1:12" ht="15.6">
      <c r="A5" s="27" t="str">
        <v>Otay Mesa</v>
      </c>
      <c r="B5" s="28" t="str">
        <v>CA</v>
      </c>
      <c r="C5" s="10">
        <v>39.49</v>
      </c>
      <c r="D5" s="15">
        <v>0</v>
      </c>
      <c r="E5" s="15">
        <f t="shared" ref="E5:E68" si="0">IF(AND(ISNUMBER(C5),ISNUMBER(D5)), C5-D5, "")</f>
        <v>39.49</v>
      </c>
      <c r="F5" s="16" t="str">
        <f>IFERROR(E5/D5, "")</f>
        <v/>
      </c>
      <c r="G5" s="17">
        <v>0</v>
      </c>
      <c r="H5" s="17">
        <f t="shared" ref="H5:H6" si="1">IF(AND(ISNUMBER(C5),ISNUMBER(G5)), C5-G5, "")</f>
        <v>39.49</v>
      </c>
      <c r="I5" s="16" t="str">
        <f t="shared" ref="I5:I6" si="2">IFERROR(H5/G5, "")</f>
        <v/>
      </c>
      <c r="J5" s="39" t="s">
        <v>42</v>
      </c>
      <c r="K5" s="39"/>
    </row>
    <row r="6" spans="1:12" ht="139.5" customHeight="1">
      <c r="A6" s="25" t="str">
        <v>San Leandro</v>
      </c>
      <c r="B6" s="26" t="str">
        <v>CA</v>
      </c>
      <c r="C6" s="21">
        <v>25601</v>
      </c>
      <c r="D6" s="11">
        <v>35709.120000000003</v>
      </c>
      <c r="E6" s="11">
        <f t="shared" si="0"/>
        <v>-10108.120000000003</v>
      </c>
      <c r="F6" s="12">
        <f t="shared" ref="F6:F69" si="3">IFERROR(E6/D6, "")</f>
        <v>-0.28306830299934588</v>
      </c>
      <c r="G6" s="13">
        <v>22352.73</v>
      </c>
      <c r="H6" s="13">
        <f t="shared" si="1"/>
        <v>3248.2700000000004</v>
      </c>
      <c r="I6" s="14">
        <f t="shared" si="2"/>
        <v>0.14531871498470211</v>
      </c>
      <c r="J6" s="60" t="s">
        <v>43</v>
      </c>
      <c r="K6" s="78" t="s">
        <v>44</v>
      </c>
      <c r="L6" s="79" t="s">
        <v>45</v>
      </c>
    </row>
    <row r="7" spans="1:12" ht="15.6">
      <c r="A7" s="27" t="str">
        <v>Van Nuys</v>
      </c>
      <c r="B7" s="28" t="str">
        <v>CA</v>
      </c>
      <c r="C7" s="10">
        <v>914</v>
      </c>
      <c r="D7" s="15">
        <v>0</v>
      </c>
      <c r="E7" s="15">
        <f t="shared" si="0"/>
        <v>914</v>
      </c>
      <c r="F7" s="16" t="str">
        <f t="shared" si="3"/>
        <v/>
      </c>
      <c r="G7" s="17">
        <v>1320.568</v>
      </c>
      <c r="H7" s="17">
        <f t="shared" ref="H7:H70" si="4">IF(AND(ISNUMBER(C7),ISNUMBER(G7)), C7-G7, "")</f>
        <v>-406.56799999999998</v>
      </c>
      <c r="I7" s="16">
        <f t="shared" ref="I7:I70" si="5">IFERROR(H7/G7, "")</f>
        <v>-0.30787358167091733</v>
      </c>
      <c r="J7" s="39"/>
      <c r="K7" s="39"/>
    </row>
    <row r="8" spans="1:12" ht="15.6">
      <c r="A8" s="25" t="str">
        <v>98th &amp; Grant</v>
      </c>
      <c r="B8" s="26" t="str">
        <v>CO</v>
      </c>
      <c r="C8" s="21">
        <v>468.10000000000599</v>
      </c>
      <c r="D8" s="11">
        <v>0</v>
      </c>
      <c r="E8" s="11">
        <f t="shared" si="0"/>
        <v>468.10000000000599</v>
      </c>
      <c r="F8" s="12" t="str">
        <f t="shared" si="3"/>
        <v/>
      </c>
      <c r="G8" s="13">
        <v>1170</v>
      </c>
      <c r="H8" s="13">
        <f t="shared" si="4"/>
        <v>-701.89999999999395</v>
      </c>
      <c r="I8" s="14">
        <f t="shared" si="5"/>
        <v>-0.59991452991452476</v>
      </c>
      <c r="J8" s="38"/>
      <c r="K8" s="38"/>
    </row>
    <row r="9" spans="1:12" ht="15.6">
      <c r="A9" s="27" t="str">
        <v>Arapahoe Crossings</v>
      </c>
      <c r="B9" s="28" t="str">
        <v>CO</v>
      </c>
      <c r="C9" s="10">
        <v>1869.10637973137</v>
      </c>
      <c r="D9" s="15">
        <v>0</v>
      </c>
      <c r="E9" s="15">
        <f t="shared" si="0"/>
        <v>1869.10637973137</v>
      </c>
      <c r="F9" s="16" t="str">
        <f t="shared" si="3"/>
        <v/>
      </c>
      <c r="G9" s="17">
        <v>2127.951</v>
      </c>
      <c r="H9" s="17">
        <f t="shared" si="4"/>
        <v>-258.84462026863002</v>
      </c>
      <c r="I9" s="16">
        <f t="shared" si="5"/>
        <v>-0.12164031045293337</v>
      </c>
      <c r="J9" s="39"/>
      <c r="K9" s="54"/>
    </row>
    <row r="10" spans="1:12" ht="15.6">
      <c r="A10" s="25" t="str">
        <v>Aurora City Center</v>
      </c>
      <c r="B10" s="26" t="str">
        <v>CO</v>
      </c>
      <c r="C10" s="21">
        <v>976.09999999999104</v>
      </c>
      <c r="D10" s="11">
        <v>0</v>
      </c>
      <c r="E10" s="11">
        <f t="shared" si="0"/>
        <v>976.09999999999104</v>
      </c>
      <c r="F10" s="12" t="str">
        <f t="shared" si="3"/>
        <v/>
      </c>
      <c r="G10" s="13">
        <v>1050</v>
      </c>
      <c r="H10" s="13">
        <f t="shared" si="4"/>
        <v>-73.900000000008959</v>
      </c>
      <c r="I10" s="14">
        <f t="shared" si="5"/>
        <v>-7.0380952380960912E-2</v>
      </c>
      <c r="J10" s="38"/>
      <c r="K10" s="38"/>
    </row>
    <row r="11" spans="1:12" ht="15.6">
      <c r="A11" s="27" t="str">
        <v>Dry Creek</v>
      </c>
      <c r="B11" s="28" t="str">
        <v>CO</v>
      </c>
      <c r="C11" s="10">
        <v>1116.8</v>
      </c>
      <c r="D11" s="15">
        <v>0</v>
      </c>
      <c r="E11" s="15">
        <f t="shared" si="0"/>
        <v>1116.8</v>
      </c>
      <c r="F11" s="16" t="str">
        <f t="shared" si="3"/>
        <v/>
      </c>
      <c r="G11" s="17">
        <v>1261</v>
      </c>
      <c r="H11" s="17">
        <f t="shared" si="4"/>
        <v>-144.20000000000005</v>
      </c>
      <c r="I11" s="16">
        <f t="shared" si="5"/>
        <v>-0.11435368754956388</v>
      </c>
      <c r="J11" s="39"/>
      <c r="K11" s="39"/>
    </row>
    <row r="12" spans="1:12" ht="15.6">
      <c r="A12" s="25" t="str">
        <v>Highlands Ranch S.</v>
      </c>
      <c r="B12" s="26" t="str">
        <v>CO</v>
      </c>
      <c r="C12" s="21">
        <v>875.29999999999598</v>
      </c>
      <c r="D12" s="11">
        <v>0</v>
      </c>
      <c r="E12" s="11">
        <f t="shared" si="0"/>
        <v>875.29999999999598</v>
      </c>
      <c r="F12" s="12" t="str">
        <f t="shared" si="3"/>
        <v/>
      </c>
      <c r="G12" s="13">
        <v>1109</v>
      </c>
      <c r="H12" s="13">
        <f t="shared" si="4"/>
        <v>-233.70000000000402</v>
      </c>
      <c r="I12" s="14">
        <f t="shared" si="5"/>
        <v>-0.21073038773670336</v>
      </c>
      <c r="J12" s="38" t="s">
        <v>41</v>
      </c>
      <c r="K12" s="38"/>
    </row>
    <row r="13" spans="1:12" ht="15.6">
      <c r="A13" s="27" t="str">
        <v>Lone Tree</v>
      </c>
      <c r="B13" s="28" t="str">
        <v>CO</v>
      </c>
      <c r="C13" s="10">
        <v>1474.8</v>
      </c>
      <c r="D13" s="15">
        <v>0</v>
      </c>
      <c r="E13" s="15">
        <f t="shared" si="0"/>
        <v>1474.8</v>
      </c>
      <c r="F13" s="16" t="str">
        <f t="shared" si="3"/>
        <v/>
      </c>
      <c r="G13" s="17">
        <v>2554</v>
      </c>
      <c r="H13" s="17">
        <f t="shared" si="4"/>
        <v>-1079.2</v>
      </c>
      <c r="I13" s="16">
        <f t="shared" si="5"/>
        <v>-0.42255285826155053</v>
      </c>
      <c r="J13" s="39" t="s">
        <v>41</v>
      </c>
      <c r="K13" s="39"/>
    </row>
    <row r="14" spans="1:12" ht="15.6">
      <c r="A14" s="25" t="str">
        <v>Meridian</v>
      </c>
      <c r="B14" s="26" t="str">
        <v>CO</v>
      </c>
      <c r="C14" s="21">
        <v>1503.5999999999899</v>
      </c>
      <c r="D14" s="11">
        <v>0</v>
      </c>
      <c r="E14" s="11">
        <f t="shared" si="0"/>
        <v>1503.5999999999899</v>
      </c>
      <c r="F14" s="12" t="str">
        <f t="shared" si="3"/>
        <v/>
      </c>
      <c r="G14" s="13">
        <v>1505</v>
      </c>
      <c r="H14" s="13">
        <f t="shared" si="4"/>
        <v>-1.4000000000100954</v>
      </c>
      <c r="I14" s="14">
        <f t="shared" si="5"/>
        <v>-9.3023255814624279E-4</v>
      </c>
      <c r="J14" s="38"/>
      <c r="K14" s="38"/>
    </row>
    <row r="15" spans="1:12" ht="15.6">
      <c r="A15" s="27" t="str">
        <v>Southglenn</v>
      </c>
      <c r="B15" s="28" t="str">
        <v>CO</v>
      </c>
      <c r="C15" s="10">
        <v>1413.4</v>
      </c>
      <c r="D15" s="15">
        <v>0</v>
      </c>
      <c r="E15" s="15">
        <f t="shared" si="0"/>
        <v>1413.4</v>
      </c>
      <c r="F15" s="16" t="str">
        <f t="shared" si="3"/>
        <v/>
      </c>
      <c r="G15" s="17"/>
      <c r="H15" s="17" t="str">
        <f t="shared" si="4"/>
        <v/>
      </c>
      <c r="I15" s="16" t="str">
        <f t="shared" si="5"/>
        <v/>
      </c>
      <c r="J15" s="39"/>
      <c r="K15" s="39"/>
    </row>
    <row r="16" spans="1:12" ht="15.6">
      <c r="A16" s="25" t="str">
        <v>Standley Lake</v>
      </c>
      <c r="B16" s="26" t="str">
        <v>CO</v>
      </c>
      <c r="C16" s="21">
        <v>1429.3999999999901</v>
      </c>
      <c r="D16" s="11">
        <v>0</v>
      </c>
      <c r="E16" s="11">
        <f t="shared" si="0"/>
        <v>1429.3999999999901</v>
      </c>
      <c r="F16" s="12" t="str">
        <f t="shared" si="3"/>
        <v/>
      </c>
      <c r="G16" s="13">
        <v>2142</v>
      </c>
      <c r="H16" s="13">
        <f t="shared" si="4"/>
        <v>-712.60000000000991</v>
      </c>
      <c r="I16" s="14">
        <f t="shared" si="5"/>
        <v>-0.33267973856209615</v>
      </c>
      <c r="J16" s="38" t="s">
        <v>41</v>
      </c>
      <c r="K16" s="38"/>
    </row>
    <row r="17" spans="1:12" ht="15.6">
      <c r="A17" s="27" t="str">
        <v>Havana Gardens</v>
      </c>
      <c r="B17" s="28" t="str">
        <v>CO</v>
      </c>
      <c r="C17" s="10">
        <v>1605.7</v>
      </c>
      <c r="D17" s="15">
        <v>0</v>
      </c>
      <c r="E17" s="15">
        <f t="shared" si="0"/>
        <v>1605.7</v>
      </c>
      <c r="F17" s="16" t="str">
        <f t="shared" si="3"/>
        <v/>
      </c>
      <c r="G17" s="17">
        <v>839</v>
      </c>
      <c r="H17" s="17">
        <f t="shared" si="4"/>
        <v>766.7</v>
      </c>
      <c r="I17" s="16">
        <f t="shared" si="5"/>
        <v>0.91382598331346843</v>
      </c>
      <c r="J17" s="39"/>
      <c r="K17" s="39"/>
    </row>
    <row r="18" spans="1:12" ht="15.6">
      <c r="A18" s="25" t="str">
        <v>East Hartford</v>
      </c>
      <c r="B18" s="26" t="str">
        <v>CT</v>
      </c>
      <c r="C18" s="21">
        <v>207.4</v>
      </c>
      <c r="D18" s="11">
        <v>701.66560000000004</v>
      </c>
      <c r="E18" s="11">
        <f t="shared" si="0"/>
        <v>-494.26560000000006</v>
      </c>
      <c r="F18" s="12">
        <f t="shared" si="3"/>
        <v>-0.7044176029151209</v>
      </c>
      <c r="G18" s="13">
        <v>271.07870000000003</v>
      </c>
      <c r="H18" s="13">
        <f t="shared" si="4"/>
        <v>-63.678700000000021</v>
      </c>
      <c r="I18" s="14">
        <f t="shared" si="5"/>
        <v>-0.234908533942357</v>
      </c>
      <c r="J18" s="38" t="s">
        <v>41</v>
      </c>
      <c r="K18" s="38"/>
    </row>
    <row r="19" spans="1:12" ht="72">
      <c r="A19" s="27" t="str">
        <v>Norwalk</v>
      </c>
      <c r="B19" s="28" t="str">
        <v>CT</v>
      </c>
      <c r="C19" s="10">
        <v>-47.866831723029499</v>
      </c>
      <c r="D19" s="15">
        <v>1301.297</v>
      </c>
      <c r="E19" s="15">
        <f t="shared" si="0"/>
        <v>-1349.1638317230295</v>
      </c>
      <c r="F19" s="16">
        <f t="shared" si="3"/>
        <v>-1.0367839407322306</v>
      </c>
      <c r="G19" s="17">
        <v>380.09949999999998</v>
      </c>
      <c r="H19" s="17">
        <f t="shared" si="4"/>
        <v>-427.9663317230295</v>
      </c>
      <c r="I19" s="16">
        <f t="shared" si="5"/>
        <v>-1.1259323722420826</v>
      </c>
      <c r="J19" s="39" t="s">
        <v>46</v>
      </c>
      <c r="K19" s="80" t="s">
        <v>47</v>
      </c>
      <c r="L19" s="79" t="s">
        <v>48</v>
      </c>
    </row>
    <row r="20" spans="1:12" ht="15.6">
      <c r="A20" s="25" t="str">
        <v>Hialeah Gardens</v>
      </c>
      <c r="B20" s="26" t="str">
        <v>FL</v>
      </c>
      <c r="C20" s="21">
        <v>2375.30647397041</v>
      </c>
      <c r="D20" s="11">
        <v>2836.864</v>
      </c>
      <c r="E20" s="11">
        <f t="shared" si="0"/>
        <v>-461.55752602959001</v>
      </c>
      <c r="F20" s="12">
        <f t="shared" si="3"/>
        <v>-0.16269991301295728</v>
      </c>
      <c r="G20" s="13">
        <v>3416</v>
      </c>
      <c r="H20" s="13">
        <f t="shared" si="4"/>
        <v>-1040.69352602959</v>
      </c>
      <c r="I20" s="14">
        <f t="shared" si="5"/>
        <v>-0.30465267155432962</v>
      </c>
      <c r="J20" s="38" t="s">
        <v>41</v>
      </c>
      <c r="K20" s="38"/>
    </row>
    <row r="21" spans="1:12" ht="15.6">
      <c r="A21" s="27" t="str">
        <v>W. Des Moines Campus EAST</v>
      </c>
      <c r="B21" s="28" t="str">
        <v>IA</v>
      </c>
      <c r="C21" s="10">
        <v>118781</v>
      </c>
      <c r="D21" s="15">
        <v>137811.70000000001</v>
      </c>
      <c r="E21" s="15">
        <f t="shared" si="0"/>
        <v>-19030.700000000012</v>
      </c>
      <c r="F21" s="16">
        <f t="shared" si="3"/>
        <v>-0.1380920487883105</v>
      </c>
      <c r="G21" s="17">
        <v>103900</v>
      </c>
      <c r="H21" s="17">
        <f t="shared" si="4"/>
        <v>14881</v>
      </c>
      <c r="I21" s="16">
        <f t="shared" si="5"/>
        <v>0.1432242540904716</v>
      </c>
      <c r="J21" s="39"/>
      <c r="K21" s="54"/>
    </row>
    <row r="22" spans="1:12" ht="15.6">
      <c r="A22" s="25" t="str">
        <v>W. Des Moines Campus SW</v>
      </c>
      <c r="B22" s="26" t="str">
        <v>IA</v>
      </c>
      <c r="C22" s="21">
        <v>62762.75</v>
      </c>
      <c r="D22" s="11">
        <v>76926.259999999995</v>
      </c>
      <c r="E22" s="11">
        <f t="shared" si="0"/>
        <v>-14163.509999999995</v>
      </c>
      <c r="F22" s="12">
        <f t="shared" si="3"/>
        <v>-0.18411801119669663</v>
      </c>
      <c r="G22" s="13">
        <v>54917.89</v>
      </c>
      <c r="H22" s="13">
        <f t="shared" si="4"/>
        <v>7844.8600000000006</v>
      </c>
      <c r="I22" s="14">
        <f t="shared" si="5"/>
        <v>0.14284707588000925</v>
      </c>
      <c r="J22" s="38" t="s">
        <v>41</v>
      </c>
      <c r="K22" s="38"/>
    </row>
    <row r="23" spans="1:12" ht="15.6">
      <c r="A23" s="27" t="str">
        <v>WF - CIC</v>
      </c>
      <c r="B23" s="28" t="str">
        <v>NC</v>
      </c>
      <c r="C23" s="10">
        <v>116508</v>
      </c>
      <c r="D23" s="15">
        <v>113752.8</v>
      </c>
      <c r="E23" s="15">
        <f t="shared" si="0"/>
        <v>2755.1999999999971</v>
      </c>
      <c r="F23" s="16">
        <f t="shared" si="3"/>
        <v>2.4220942253729113E-2</v>
      </c>
      <c r="G23" s="17">
        <v>106712</v>
      </c>
      <c r="H23" s="17">
        <f t="shared" si="4"/>
        <v>9796</v>
      </c>
      <c r="I23" s="16">
        <f t="shared" si="5"/>
        <v>9.1798485643601463E-2</v>
      </c>
      <c r="J23" s="39"/>
      <c r="K23" s="54"/>
    </row>
    <row r="24" spans="1:12" ht="15.6">
      <c r="A24" s="25" t="str">
        <v>Charlotte - Wells Fargo - DUC</v>
      </c>
      <c r="B24" s="26" t="str">
        <v>NC</v>
      </c>
      <c r="C24" s="21">
        <v>110087</v>
      </c>
      <c r="D24" s="11">
        <v>128961.2</v>
      </c>
      <c r="E24" s="11">
        <f t="shared" si="0"/>
        <v>-18874.199999999997</v>
      </c>
      <c r="F24" s="12">
        <f t="shared" si="3"/>
        <v>-0.14635564805538409</v>
      </c>
      <c r="G24" s="13">
        <v>129978</v>
      </c>
      <c r="H24" s="13">
        <f t="shared" si="4"/>
        <v>-19891</v>
      </c>
      <c r="I24" s="14">
        <f t="shared" si="5"/>
        <v>-0.15303359029989691</v>
      </c>
      <c r="J24" s="38" t="s">
        <v>41</v>
      </c>
      <c r="K24" s="38"/>
      <c r="L24" s="25"/>
    </row>
    <row r="25" spans="1:12" ht="15.6">
      <c r="A25" s="27" t="str">
        <v>East Windsor</v>
      </c>
      <c r="B25" s="28" t="str">
        <v>NJ</v>
      </c>
      <c r="C25" s="21">
        <v>394.60000000000201</v>
      </c>
      <c r="D25" s="11">
        <v>635.38720000000001</v>
      </c>
      <c r="E25" s="11">
        <f t="shared" si="0"/>
        <v>-240.78719999999799</v>
      </c>
      <c r="F25" s="12">
        <f t="shared" si="3"/>
        <v>-0.37896136403125213</v>
      </c>
      <c r="G25" s="13">
        <v>406.45699999999999</v>
      </c>
      <c r="H25" s="13">
        <f t="shared" si="4"/>
        <v>-11.856999999997981</v>
      </c>
      <c r="I25" s="14">
        <f t="shared" si="5"/>
        <v>-2.9171597487552145E-2</v>
      </c>
      <c r="J25" s="38" t="s">
        <v>41</v>
      </c>
      <c r="K25" s="38"/>
    </row>
    <row r="26" spans="1:12" ht="15.6">
      <c r="A26" s="25" t="str">
        <v>Burlington</v>
      </c>
      <c r="B26" s="26" t="str">
        <v>NJ</v>
      </c>
      <c r="C26" s="10">
        <v>1271.3</v>
      </c>
      <c r="D26" s="15">
        <v>1261</v>
      </c>
      <c r="E26" s="15">
        <f t="shared" si="0"/>
        <v>10.299999999999955</v>
      </c>
      <c r="F26" s="16">
        <f t="shared" si="3"/>
        <v>8.1681205392545239E-3</v>
      </c>
      <c r="G26" s="17">
        <v>1086.787</v>
      </c>
      <c r="H26" s="17">
        <f t="shared" si="4"/>
        <v>184.51299999999992</v>
      </c>
      <c r="I26" s="16">
        <f t="shared" si="5"/>
        <v>0.16977843864529105</v>
      </c>
      <c r="J26" s="39"/>
      <c r="K26" s="39"/>
    </row>
    <row r="27" spans="1:12" ht="15.6">
      <c r="A27" s="27" t="str">
        <v>Bayonne</v>
      </c>
      <c r="B27" s="28" t="str">
        <v>NJ</v>
      </c>
      <c r="C27" s="21">
        <v>1508.7</v>
      </c>
      <c r="D27" s="11">
        <v>1667.269</v>
      </c>
      <c r="E27" s="11">
        <f t="shared" si="0"/>
        <v>-158.56899999999996</v>
      </c>
      <c r="F27" s="12">
        <f t="shared" si="3"/>
        <v>-9.5107028319965134E-2</v>
      </c>
      <c r="G27" s="13">
        <v>2001.37</v>
      </c>
      <c r="H27" s="13">
        <f t="shared" si="4"/>
        <v>-492.66999999999985</v>
      </c>
      <c r="I27" s="14">
        <f t="shared" si="5"/>
        <v>-0.24616637603241773</v>
      </c>
      <c r="J27" s="38" t="s">
        <v>41</v>
      </c>
      <c r="K27" s="38"/>
    </row>
    <row r="28" spans="1:12" ht="15.6">
      <c r="A28" s="25" t="str">
        <v>Clifton</v>
      </c>
      <c r="B28" s="26" t="str">
        <v>NJ</v>
      </c>
      <c r="C28" s="10">
        <v>1389.4921875</v>
      </c>
      <c r="D28" s="15">
        <v>2166.0880000000002</v>
      </c>
      <c r="E28" s="15">
        <f t="shared" si="0"/>
        <v>-776.59581250000019</v>
      </c>
      <c r="F28" s="16">
        <f t="shared" si="3"/>
        <v>-0.35852459018285504</v>
      </c>
      <c r="G28" s="17">
        <v>2509.623</v>
      </c>
      <c r="H28" s="17">
        <f t="shared" si="4"/>
        <v>-1120.1308125</v>
      </c>
      <c r="I28" s="16">
        <f t="shared" si="5"/>
        <v>-0.44633429503156452</v>
      </c>
      <c r="J28" s="39" t="s">
        <v>41</v>
      </c>
      <c r="K28" s="39"/>
    </row>
    <row r="29" spans="1:12" ht="15.6">
      <c r="A29" s="27" t="str">
        <v>North Elizabeth</v>
      </c>
      <c r="B29" s="28" t="str">
        <v>NJ</v>
      </c>
      <c r="C29" s="21">
        <v>1257.79999999999</v>
      </c>
      <c r="D29" s="11">
        <v>1301.25</v>
      </c>
      <c r="E29" s="11">
        <f t="shared" si="0"/>
        <v>-43.45000000001005</v>
      </c>
      <c r="F29" s="12">
        <f t="shared" si="3"/>
        <v>-3.3390970220949126E-2</v>
      </c>
      <c r="G29" s="13">
        <v>1349.336</v>
      </c>
      <c r="H29" s="13">
        <f t="shared" si="4"/>
        <v>-91.536000000010063</v>
      </c>
      <c r="I29" s="14">
        <f t="shared" si="5"/>
        <v>-6.7837810597219717E-2</v>
      </c>
      <c r="J29" s="38" t="s">
        <v>49</v>
      </c>
      <c r="K29" s="38"/>
    </row>
    <row r="30" spans="1:12" ht="15.6">
      <c r="A30" s="25" t="str">
        <v>Haddon Westmont Plaza</v>
      </c>
      <c r="B30" s="26" t="str">
        <v>NJ</v>
      </c>
      <c r="C30" s="10">
        <v>744.80000000000302</v>
      </c>
      <c r="D30" s="15">
        <v>1160.9559999999999</v>
      </c>
      <c r="E30" s="15">
        <f t="shared" si="0"/>
        <v>-416.15599999999688</v>
      </c>
      <c r="F30" s="16">
        <f t="shared" si="3"/>
        <v>-0.35845975213530651</v>
      </c>
      <c r="G30" s="17">
        <v>961.447</v>
      </c>
      <c r="H30" s="17">
        <f t="shared" si="4"/>
        <v>-216.64699999999698</v>
      </c>
      <c r="I30" s="16">
        <f t="shared" si="5"/>
        <v>-0.2253343137999255</v>
      </c>
      <c r="J30" s="39" t="s">
        <v>41</v>
      </c>
      <c r="K30" s="39"/>
    </row>
    <row r="31" spans="1:12" ht="15.6">
      <c r="A31" s="27" t="str">
        <v>Parsippany</v>
      </c>
      <c r="B31" s="28" t="str">
        <v>NJ</v>
      </c>
      <c r="C31" s="21">
        <v>1080</v>
      </c>
      <c r="D31" s="11">
        <v>2126.3629999999998</v>
      </c>
      <c r="E31" s="11">
        <f t="shared" si="0"/>
        <v>-1046.3629999999998</v>
      </c>
      <c r="F31" s="12">
        <f t="shared" si="3"/>
        <v>-0.49209048502066671</v>
      </c>
      <c r="G31" s="13">
        <v>1075.335</v>
      </c>
      <c r="H31" s="13">
        <f t="shared" si="4"/>
        <v>4.6649999999999636</v>
      </c>
      <c r="I31" s="14">
        <f t="shared" si="5"/>
        <v>4.3381829848372494E-3</v>
      </c>
      <c r="J31" s="38" t="s">
        <v>41</v>
      </c>
      <c r="K31" s="38"/>
    </row>
    <row r="32" spans="1:12" ht="15.6">
      <c r="A32" s="25" t="str">
        <v>Clark</v>
      </c>
      <c r="B32" s="26" t="str">
        <v>NJ</v>
      </c>
      <c r="C32" s="10">
        <v>904.5</v>
      </c>
      <c r="D32" s="15">
        <v>1197.7260000000001</v>
      </c>
      <c r="E32" s="15">
        <f t="shared" si="0"/>
        <v>-293.22600000000011</v>
      </c>
      <c r="F32" s="16">
        <f t="shared" si="3"/>
        <v>-0.24481893187590492</v>
      </c>
      <c r="G32" s="17">
        <v>915.53340000000003</v>
      </c>
      <c r="H32" s="17">
        <f t="shared" si="4"/>
        <v>-11.033400000000029</v>
      </c>
      <c r="I32" s="16">
        <f t="shared" si="5"/>
        <v>-1.2051335319934835E-2</v>
      </c>
      <c r="J32" s="39" t="s">
        <v>41</v>
      </c>
      <c r="K32" s="39"/>
    </row>
    <row r="33" spans="1:11" ht="15.6">
      <c r="A33" s="27" t="str">
        <v>Closter</v>
      </c>
      <c r="B33" s="28" t="str">
        <v>NJ</v>
      </c>
      <c r="C33" s="21">
        <v>183.5</v>
      </c>
      <c r="D33" s="11">
        <v>273.63310000000001</v>
      </c>
      <c r="E33" s="11">
        <f t="shared" si="0"/>
        <v>-90.133100000000013</v>
      </c>
      <c r="F33" s="12">
        <f t="shared" si="3"/>
        <v>-0.32939399509781531</v>
      </c>
      <c r="G33" s="13">
        <v>462.303</v>
      </c>
      <c r="H33" s="13">
        <f t="shared" si="4"/>
        <v>-278.803</v>
      </c>
      <c r="I33" s="14">
        <f t="shared" si="5"/>
        <v>-0.60307417429694377</v>
      </c>
      <c r="J33" s="38" t="s">
        <v>41</v>
      </c>
      <c r="K33" s="38"/>
    </row>
    <row r="34" spans="1:11" ht="15.6">
      <c r="A34" s="25" t="str">
        <v>Holmdel</v>
      </c>
      <c r="B34" s="26" t="str">
        <v>NJ</v>
      </c>
      <c r="C34" s="10">
        <v>761.29999999999598</v>
      </c>
      <c r="D34" s="15">
        <v>3879.2510000000002</v>
      </c>
      <c r="E34" s="15">
        <f t="shared" si="0"/>
        <v>-3117.9510000000041</v>
      </c>
      <c r="F34" s="16">
        <f t="shared" si="3"/>
        <v>-0.80375077560075492</v>
      </c>
      <c r="G34" s="17">
        <v>803.59389999999996</v>
      </c>
      <c r="H34" s="17">
        <f t="shared" si="4"/>
        <v>-42.293900000003987</v>
      </c>
      <c r="I34" s="16">
        <f t="shared" si="5"/>
        <v>-5.2630937093977433E-2</v>
      </c>
      <c r="J34" s="39" t="s">
        <v>41</v>
      </c>
      <c r="K34" s="39"/>
    </row>
    <row r="35" spans="1:11" ht="15.6">
      <c r="A35" s="27" t="str">
        <v>Ellisburg Circle Center</v>
      </c>
      <c r="B35" s="28" t="str">
        <v>NJ</v>
      </c>
      <c r="C35" s="21">
        <v>357.10000000000599</v>
      </c>
      <c r="D35" s="11">
        <v>561.86900000000003</v>
      </c>
      <c r="E35" s="11">
        <f t="shared" si="0"/>
        <v>-204.76899999999404</v>
      </c>
      <c r="F35" s="12">
        <f t="shared" si="3"/>
        <v>-0.3644426013892812</v>
      </c>
      <c r="G35" s="13">
        <v>450.77730000000003</v>
      </c>
      <c r="H35" s="13">
        <f t="shared" si="4"/>
        <v>-93.677299999994034</v>
      </c>
      <c r="I35" s="14">
        <f t="shared" si="5"/>
        <v>-0.20781281577398425</v>
      </c>
      <c r="J35" s="38" t="s">
        <v>41</v>
      </c>
      <c r="K35" s="38"/>
    </row>
    <row r="36" spans="1:11" ht="15.6">
      <c r="A36" s="25" t="str">
        <v>Nutley</v>
      </c>
      <c r="B36" s="26" t="str">
        <v>NJ</v>
      </c>
      <c r="C36" s="10">
        <v>1173.7</v>
      </c>
      <c r="D36" s="15">
        <v>1685.373</v>
      </c>
      <c r="E36" s="15">
        <f t="shared" si="0"/>
        <v>-511.673</v>
      </c>
      <c r="F36" s="16">
        <f t="shared" si="3"/>
        <v>-0.30359629589414333</v>
      </c>
      <c r="G36" s="17">
        <v>1646.605</v>
      </c>
      <c r="H36" s="17">
        <f t="shared" si="4"/>
        <v>-472.90499999999997</v>
      </c>
      <c r="I36" s="16">
        <f t="shared" si="5"/>
        <v>-0.28720002672164846</v>
      </c>
      <c r="J36" s="39" t="s">
        <v>41</v>
      </c>
      <c r="K36" s="39"/>
    </row>
    <row r="37" spans="1:11" ht="15.6">
      <c r="A37" s="27" t="str">
        <v>Marlton</v>
      </c>
      <c r="B37" s="28" t="str">
        <v>NJ</v>
      </c>
      <c r="C37" s="21">
        <v>1398.5999999999899</v>
      </c>
      <c r="D37" s="11">
        <v>1470.6610000000001</v>
      </c>
      <c r="E37" s="11">
        <f t="shared" si="0"/>
        <v>-72.061000000010154</v>
      </c>
      <c r="F37" s="12">
        <f t="shared" si="3"/>
        <v>-4.8999055526739436E-2</v>
      </c>
      <c r="G37" s="13">
        <v>1600.1949999999999</v>
      </c>
      <c r="H37" s="13">
        <f t="shared" si="4"/>
        <v>-201.59500000001003</v>
      </c>
      <c r="I37" s="14">
        <f t="shared" si="5"/>
        <v>-0.12598152100213414</v>
      </c>
      <c r="J37" s="38"/>
      <c r="K37" s="38"/>
    </row>
    <row r="38" spans="1:11" ht="15.6">
      <c r="A38" s="25" t="str">
        <v>Middletown</v>
      </c>
      <c r="B38" s="26" t="str">
        <v>NJ</v>
      </c>
      <c r="C38" s="10">
        <v>1802.6000000000099</v>
      </c>
      <c r="D38" s="15">
        <v>1488.2429999999999</v>
      </c>
      <c r="E38" s="15">
        <f t="shared" si="0"/>
        <v>314.35700000000998</v>
      </c>
      <c r="F38" s="16">
        <f t="shared" si="3"/>
        <v>0.21122693001076437</v>
      </c>
      <c r="G38" s="17">
        <v>1620.8869999999999</v>
      </c>
      <c r="H38" s="17">
        <f t="shared" si="4"/>
        <v>181.71300000000997</v>
      </c>
      <c r="I38" s="16">
        <f t="shared" si="5"/>
        <v>0.1121071364012482</v>
      </c>
      <c r="J38" s="39"/>
      <c r="K38" s="39"/>
    </row>
    <row r="39" spans="1:11" ht="15.6">
      <c r="A39" s="27" t="str">
        <v>Whiting Crestwood</v>
      </c>
      <c r="B39" s="28" t="str">
        <v>NJ</v>
      </c>
      <c r="C39" s="21">
        <v>2646.8999999999901</v>
      </c>
      <c r="D39" s="11">
        <v>2942.6959999999999</v>
      </c>
      <c r="E39" s="11">
        <f t="shared" si="0"/>
        <v>-295.79600000000983</v>
      </c>
      <c r="F39" s="12">
        <f t="shared" si="3"/>
        <v>-0.10051870801469463</v>
      </c>
      <c r="G39" s="13">
        <v>2442.152</v>
      </c>
      <c r="H39" s="13">
        <f t="shared" si="4"/>
        <v>204.74799999999004</v>
      </c>
      <c r="I39" s="14">
        <f t="shared" si="5"/>
        <v>8.3839171353785533E-2</v>
      </c>
      <c r="J39" s="38"/>
      <c r="K39" s="38"/>
    </row>
    <row r="40" spans="1:11" ht="15.6">
      <c r="A40" s="25" t="str">
        <v>Barnegat</v>
      </c>
      <c r="B40" s="26" t="str">
        <v>NJ</v>
      </c>
      <c r="C40" s="10">
        <v>2473.5</v>
      </c>
      <c r="D40" s="15">
        <v>2067.944</v>
      </c>
      <c r="E40" s="15">
        <f t="shared" si="0"/>
        <v>405.55600000000004</v>
      </c>
      <c r="F40" s="16">
        <f t="shared" si="3"/>
        <v>0.19611556212353914</v>
      </c>
      <c r="G40" s="17">
        <v>2007.527</v>
      </c>
      <c r="H40" s="17">
        <f t="shared" si="4"/>
        <v>465.97299999999996</v>
      </c>
      <c r="I40" s="16">
        <f t="shared" si="5"/>
        <v>0.23211294293924811</v>
      </c>
      <c r="J40" s="39"/>
      <c r="K40" s="39"/>
    </row>
    <row r="41" spans="1:11" ht="15.6">
      <c r="A41" s="27" t="str">
        <v>Manchester</v>
      </c>
      <c r="B41" s="28" t="str">
        <v>NJ</v>
      </c>
      <c r="C41" s="21">
        <v>1525.8</v>
      </c>
      <c r="D41" s="11">
        <v>1804.835</v>
      </c>
      <c r="E41" s="11">
        <f t="shared" si="0"/>
        <v>-279.03500000000008</v>
      </c>
      <c r="F41" s="12">
        <f t="shared" si="3"/>
        <v>-0.15460416049112527</v>
      </c>
      <c r="G41" s="13">
        <v>2136.1849999999999</v>
      </c>
      <c r="H41" s="13">
        <f t="shared" si="4"/>
        <v>-610.38499999999999</v>
      </c>
      <c r="I41" s="14">
        <f t="shared" si="5"/>
        <v>-0.28573602005444287</v>
      </c>
      <c r="J41" s="38" t="s">
        <v>41</v>
      </c>
      <c r="K41" s="38"/>
    </row>
    <row r="42" spans="1:11" ht="15.6">
      <c r="A42" s="25" t="str">
        <v>West Deptford - Woodbury</v>
      </c>
      <c r="B42" s="26" t="str">
        <v>NJ</v>
      </c>
      <c r="C42" s="10">
        <v>2282.3000000000002</v>
      </c>
      <c r="D42" s="15">
        <v>2179.223</v>
      </c>
      <c r="E42" s="15">
        <f t="shared" si="0"/>
        <v>103.07700000000023</v>
      </c>
      <c r="F42" s="16">
        <f t="shared" si="3"/>
        <v>4.7299886243858578E-2</v>
      </c>
      <c r="G42" s="17">
        <v>1943.4659999999999</v>
      </c>
      <c r="H42" s="17">
        <f t="shared" si="4"/>
        <v>338.83400000000029</v>
      </c>
      <c r="I42" s="16">
        <f t="shared" si="5"/>
        <v>0.17434521622709134</v>
      </c>
      <c r="J42" s="39"/>
      <c r="K42" s="39"/>
    </row>
    <row r="43" spans="1:11" ht="15.6">
      <c r="A43" s="27" t="str">
        <v>Edison</v>
      </c>
      <c r="B43" s="28" t="str">
        <v>NJ</v>
      </c>
      <c r="C43" s="21">
        <v>1779.2</v>
      </c>
      <c r="D43" s="11">
        <v>1552.424</v>
      </c>
      <c r="E43" s="11">
        <f t="shared" si="0"/>
        <v>226.77600000000007</v>
      </c>
      <c r="F43" s="12">
        <f t="shared" si="3"/>
        <v>0.1460786486166151</v>
      </c>
      <c r="G43" s="13">
        <v>1463.914</v>
      </c>
      <c r="H43" s="13">
        <f t="shared" si="4"/>
        <v>315.28600000000006</v>
      </c>
      <c r="I43" s="14">
        <f t="shared" si="5"/>
        <v>0.21537194124791487</v>
      </c>
      <c r="J43" s="38"/>
      <c r="K43" s="38"/>
    </row>
    <row r="44" spans="1:11" ht="15.6">
      <c r="A44" s="25" t="str">
        <v>Flemington</v>
      </c>
      <c r="B44" s="26" t="str">
        <v>NJ</v>
      </c>
      <c r="C44" s="10">
        <v>1188.6000000000099</v>
      </c>
      <c r="D44" s="15">
        <v>1601.248</v>
      </c>
      <c r="E44" s="15">
        <f t="shared" si="0"/>
        <v>-412.64799999999013</v>
      </c>
      <c r="F44" s="16">
        <f t="shared" si="3"/>
        <v>-0.25770399088710189</v>
      </c>
      <c r="G44" s="17">
        <v>1235.328</v>
      </c>
      <c r="H44" s="17">
        <f t="shared" si="4"/>
        <v>-46.727999999990061</v>
      </c>
      <c r="I44" s="16">
        <f t="shared" si="5"/>
        <v>-3.7826391047551797E-2</v>
      </c>
      <c r="J44" s="39" t="s">
        <v>41</v>
      </c>
      <c r="K44" s="39"/>
    </row>
    <row r="45" spans="1:11" ht="15.6">
      <c r="A45" s="27" t="str">
        <v>Route 22</v>
      </c>
      <c r="B45" s="28" t="str">
        <v>NJ</v>
      </c>
      <c r="C45" s="21">
        <v>1568.99999999999</v>
      </c>
      <c r="D45" s="11">
        <v>1449.9580000000001</v>
      </c>
      <c r="E45" s="11">
        <f t="shared" si="0"/>
        <v>119.04199999998991</v>
      </c>
      <c r="F45" s="12">
        <f t="shared" si="3"/>
        <v>8.2100309112394909E-2</v>
      </c>
      <c r="G45" s="13">
        <v>1384.807</v>
      </c>
      <c r="H45" s="13">
        <f t="shared" si="4"/>
        <v>184.19299999998998</v>
      </c>
      <c r="I45" s="14">
        <f t="shared" si="5"/>
        <v>0.13300987068955455</v>
      </c>
      <c r="J45" s="38"/>
      <c r="K45" s="38"/>
    </row>
    <row r="46" spans="1:11" ht="15.6">
      <c r="A46" s="25" t="str">
        <v>Laurelton</v>
      </c>
      <c r="B46" s="26" t="str">
        <v>NJ</v>
      </c>
      <c r="C46" s="10">
        <v>830.90000000000896</v>
      </c>
      <c r="D46" s="15">
        <v>1039.606</v>
      </c>
      <c r="E46" s="15">
        <f t="shared" si="0"/>
        <v>-208.70599999999104</v>
      </c>
      <c r="F46" s="16">
        <f t="shared" si="3"/>
        <v>-0.20075490137608965</v>
      </c>
      <c r="G46" s="17">
        <v>1167.7719999999999</v>
      </c>
      <c r="H46" s="17">
        <f t="shared" si="4"/>
        <v>-336.87199999999098</v>
      </c>
      <c r="I46" s="16">
        <f t="shared" si="5"/>
        <v>-0.28847411994806432</v>
      </c>
      <c r="J46" s="39" t="s">
        <v>41</v>
      </c>
      <c r="K46" s="39"/>
    </row>
    <row r="47" spans="1:11" ht="15.6">
      <c r="A47" s="27" t="str">
        <v>Mahwah</v>
      </c>
      <c r="B47" s="28" t="str">
        <v>NJ</v>
      </c>
      <c r="C47" s="21">
        <v>807.30000000000302</v>
      </c>
      <c r="D47" s="11">
        <v>1393.127</v>
      </c>
      <c r="E47" s="11">
        <f t="shared" si="0"/>
        <v>-585.82699999999693</v>
      </c>
      <c r="F47" s="12">
        <f t="shared" si="3"/>
        <v>-0.42051227203262659</v>
      </c>
      <c r="G47" s="13">
        <v>1017.264</v>
      </c>
      <c r="H47" s="13">
        <f t="shared" si="4"/>
        <v>-209.96399999999699</v>
      </c>
      <c r="I47" s="14">
        <f t="shared" si="5"/>
        <v>-0.2064006983437898</v>
      </c>
      <c r="J47" s="38" t="s">
        <v>41</v>
      </c>
      <c r="K47" s="38"/>
    </row>
    <row r="48" spans="1:11" ht="15.6">
      <c r="A48" s="25" t="str">
        <v>Franklin Township WF</v>
      </c>
      <c r="B48" s="26" t="str">
        <v>NJ</v>
      </c>
      <c r="C48" s="10">
        <v>1186.5</v>
      </c>
      <c r="D48" s="15">
        <v>1355.258</v>
      </c>
      <c r="E48" s="15">
        <f t="shared" si="0"/>
        <v>-168.75800000000004</v>
      </c>
      <c r="F48" s="16">
        <f t="shared" si="3"/>
        <v>-0.12452093992435391</v>
      </c>
      <c r="G48" s="17">
        <v>1713.133</v>
      </c>
      <c r="H48" s="17">
        <f t="shared" si="4"/>
        <v>-526.63300000000004</v>
      </c>
      <c r="I48" s="16">
        <f t="shared" si="5"/>
        <v>-0.30740929046372933</v>
      </c>
      <c r="J48" s="39" t="s">
        <v>41</v>
      </c>
      <c r="K48" s="39"/>
    </row>
    <row r="49" spans="1:11" ht="15.6">
      <c r="A49" s="27" t="str">
        <v>Bordentown</v>
      </c>
      <c r="B49" s="28" t="str">
        <v>NJ</v>
      </c>
      <c r="C49" s="21">
        <v>1339.3999999999901</v>
      </c>
      <c r="D49" s="11">
        <v>1122.4870000000001</v>
      </c>
      <c r="E49" s="11">
        <f t="shared" si="0"/>
        <v>216.91299999999001</v>
      </c>
      <c r="F49" s="12">
        <f t="shared" si="3"/>
        <v>0.1932432179615354</v>
      </c>
      <c r="G49" s="13">
        <v>1121.857</v>
      </c>
      <c r="H49" s="13">
        <f t="shared" si="4"/>
        <v>217.54299999999012</v>
      </c>
      <c r="I49" s="14">
        <f t="shared" si="5"/>
        <v>0.19391330624133923</v>
      </c>
      <c r="J49" s="38"/>
      <c r="K49" s="38"/>
    </row>
    <row r="50" spans="1:11" ht="15.6">
      <c r="A50" s="25" t="str">
        <v>South Plainfield</v>
      </c>
      <c r="B50" s="26" t="str">
        <v>NJ</v>
      </c>
      <c r="C50" s="10">
        <v>770.69999999999698</v>
      </c>
      <c r="D50" s="15">
        <v>765.95060000000001</v>
      </c>
      <c r="E50" s="15">
        <f t="shared" si="0"/>
        <v>4.7493999999969674</v>
      </c>
      <c r="F50" s="16">
        <f t="shared" si="3"/>
        <v>6.2006609825711574E-3</v>
      </c>
      <c r="G50" s="17">
        <v>743.56569999999999</v>
      </c>
      <c r="H50" s="17">
        <f t="shared" si="4"/>
        <v>27.134299999996983</v>
      </c>
      <c r="I50" s="16">
        <f t="shared" si="5"/>
        <v>3.6492135126723814E-2</v>
      </c>
      <c r="J50" s="39"/>
      <c r="K50" s="39"/>
    </row>
    <row r="51" spans="1:11" ht="15.6">
      <c r="A51" s="27" t="str">
        <v>Somerset</v>
      </c>
      <c r="B51" s="28" t="str">
        <v>NJ</v>
      </c>
      <c r="C51" s="21">
        <v>1156</v>
      </c>
      <c r="D51" s="11">
        <v>2084.38</v>
      </c>
      <c r="E51" s="11">
        <f t="shared" si="0"/>
        <v>-928.38000000000011</v>
      </c>
      <c r="F51" s="12">
        <f t="shared" si="3"/>
        <v>-0.44539863172742017</v>
      </c>
      <c r="G51" s="13">
        <v>1055.8320000000001</v>
      </c>
      <c r="H51" s="13">
        <f t="shared" si="4"/>
        <v>100.16799999999989</v>
      </c>
      <c r="I51" s="14">
        <f t="shared" si="5"/>
        <v>9.4871153744156153E-2</v>
      </c>
      <c r="J51" s="38" t="s">
        <v>41</v>
      </c>
      <c r="K51" s="38"/>
    </row>
    <row r="52" spans="1:11" ht="15.6">
      <c r="A52" s="25" t="str">
        <v>Clinton Main Relo</v>
      </c>
      <c r="B52" s="26" t="str">
        <v>NJ</v>
      </c>
      <c r="C52" s="10">
        <v>988.296875</v>
      </c>
      <c r="D52" s="15">
        <v>1560.2739999999999</v>
      </c>
      <c r="E52" s="15">
        <f t="shared" si="0"/>
        <v>-571.97712499999989</v>
      </c>
      <c r="F52" s="16">
        <f t="shared" si="3"/>
        <v>-0.36658761538037543</v>
      </c>
      <c r="G52" s="17">
        <v>1074.4929999999999</v>
      </c>
      <c r="H52" s="17">
        <f t="shared" si="4"/>
        <v>-86.196124999999938</v>
      </c>
      <c r="I52" s="16">
        <f t="shared" si="5"/>
        <v>-8.0220275981323239E-2</v>
      </c>
      <c r="J52" s="39" t="s">
        <v>41</v>
      </c>
      <c r="K52" s="39"/>
    </row>
    <row r="53" spans="1:11" ht="28.9">
      <c r="A53" s="27" t="str">
        <v>North Brunswick</v>
      </c>
      <c r="B53" s="28" t="str">
        <v>NJ</v>
      </c>
      <c r="C53" s="21">
        <v>1330.3</v>
      </c>
      <c r="D53" s="11">
        <v>1367.2429999999999</v>
      </c>
      <c r="E53" s="11">
        <f t="shared" si="0"/>
        <v>-36.942999999999984</v>
      </c>
      <c r="F53" s="12">
        <f t="shared" si="3"/>
        <v>-2.702006885389063E-2</v>
      </c>
      <c r="G53" s="13">
        <v>1384.19</v>
      </c>
      <c r="H53" s="13">
        <f t="shared" si="4"/>
        <v>-53.8900000000001</v>
      </c>
      <c r="I53" s="14">
        <f t="shared" si="5"/>
        <v>-3.8932516489788321E-2</v>
      </c>
      <c r="J53" s="38" t="s">
        <v>50</v>
      </c>
      <c r="K53" s="78" t="s">
        <v>51</v>
      </c>
    </row>
    <row r="54" spans="1:11" ht="43.15">
      <c r="A54" s="25" t="str">
        <v>Cherry Hill</v>
      </c>
      <c r="B54" s="26" t="str">
        <v>NJ</v>
      </c>
      <c r="C54" s="10">
        <v>952.55378753063303</v>
      </c>
      <c r="D54" s="15">
        <v>1172.1020000000001</v>
      </c>
      <c r="E54" s="15">
        <f t="shared" si="0"/>
        <v>-219.54821246936706</v>
      </c>
      <c r="F54" s="16">
        <f t="shared" si="3"/>
        <v>-0.18731152448282407</v>
      </c>
      <c r="G54" s="17">
        <v>909.55790000000002</v>
      </c>
      <c r="H54" s="17">
        <f t="shared" si="4"/>
        <v>42.995887530633013</v>
      </c>
      <c r="I54" s="16">
        <f t="shared" si="5"/>
        <v>4.7271193544284551E-2</v>
      </c>
      <c r="J54" s="39" t="s">
        <v>52</v>
      </c>
      <c r="K54" s="80" t="s">
        <v>53</v>
      </c>
    </row>
    <row r="55" spans="1:11" ht="15.6">
      <c r="A55" s="27" t="str">
        <v>Hainesport</v>
      </c>
      <c r="B55" s="28" t="str">
        <v>NJ</v>
      </c>
      <c r="C55" s="21">
        <v>1266</v>
      </c>
      <c r="D55" s="11">
        <v>1241.4849999999999</v>
      </c>
      <c r="E55" s="11">
        <f t="shared" si="0"/>
        <v>24.5150000000001</v>
      </c>
      <c r="F55" s="12">
        <f t="shared" si="3"/>
        <v>1.9746513248247142E-2</v>
      </c>
      <c r="G55" s="13">
        <v>988.36789999999996</v>
      </c>
      <c r="H55" s="13">
        <f t="shared" si="4"/>
        <v>277.63210000000004</v>
      </c>
      <c r="I55" s="14">
        <f t="shared" si="5"/>
        <v>0.28089955167503927</v>
      </c>
      <c r="J55" s="38"/>
      <c r="K55" s="38"/>
    </row>
    <row r="56" spans="1:11" ht="15.6">
      <c r="A56" s="25" t="str">
        <v>San Antonio - Ops Ctr (Bldg 106)</v>
      </c>
      <c r="B56" s="26" t="str">
        <v>TX</v>
      </c>
      <c r="C56" s="10">
        <v>29278.75</v>
      </c>
      <c r="D56" s="15">
        <v>35496.120000000003</v>
      </c>
      <c r="E56" s="15">
        <f t="shared" si="0"/>
        <v>-6217.3700000000026</v>
      </c>
      <c r="F56" s="16">
        <f t="shared" si="3"/>
        <v>-0.17515632694502956</v>
      </c>
      <c r="G56" s="17">
        <v>34683.089999999997</v>
      </c>
      <c r="H56" s="17">
        <f t="shared" si="4"/>
        <v>-5404.3399999999965</v>
      </c>
      <c r="I56" s="16">
        <f t="shared" si="5"/>
        <v>-0.15582060306622036</v>
      </c>
      <c r="J56" s="39" t="s">
        <v>54</v>
      </c>
      <c r="K56" s="39"/>
    </row>
    <row r="57" spans="1:11" ht="15.6">
      <c r="A57" s="27" t="str">
        <v>San Antonio - Ops Ctr GM</v>
      </c>
      <c r="B57" s="28" t="str">
        <v>TX</v>
      </c>
      <c r="C57" s="21">
        <v>242775.1765</v>
      </c>
      <c r="D57" s="11">
        <v>278246.8</v>
      </c>
      <c r="E57" s="11">
        <f t="shared" si="0"/>
        <v>-35471.623499999987</v>
      </c>
      <c r="F57" s="12">
        <f t="shared" si="3"/>
        <v>-0.127482592791723</v>
      </c>
      <c r="G57" s="13">
        <v>286543</v>
      </c>
      <c r="H57" s="13">
        <f t="shared" si="4"/>
        <v>-43767.823499999999</v>
      </c>
      <c r="I57" s="14">
        <f t="shared" si="5"/>
        <v>-0.15274434727074121</v>
      </c>
      <c r="J57" s="38" t="s">
        <v>54</v>
      </c>
      <c r="K57" s="38"/>
    </row>
    <row r="58" spans="1:11" ht="15.6">
      <c r="A58" s="25" t="str">
        <v>San Antonio - Ctr (Bldg 201)</v>
      </c>
      <c r="B58" s="26" t="str">
        <v>TX</v>
      </c>
      <c r="C58" s="10">
        <v>30240.4375</v>
      </c>
      <c r="D58" s="15">
        <v>35142.93</v>
      </c>
      <c r="E58" s="15">
        <f t="shared" si="0"/>
        <v>-4902.4925000000003</v>
      </c>
      <c r="F58" s="16">
        <f t="shared" si="3"/>
        <v>-0.13950152989520226</v>
      </c>
      <c r="G58" s="17">
        <v>35425.629999999997</v>
      </c>
      <c r="H58" s="17">
        <f t="shared" si="4"/>
        <v>-5185.1924999999974</v>
      </c>
      <c r="I58" s="16">
        <f t="shared" si="5"/>
        <v>-0.14636839203706462</v>
      </c>
      <c r="J58" s="39" t="s">
        <v>54</v>
      </c>
      <c r="K58" s="39"/>
    </row>
    <row r="59" spans="1:11" ht="15.6">
      <c r="A59" s="27" t="str">
        <v>San Antonio - Ops Ctr (Bldg 203)</v>
      </c>
      <c r="B59" s="28" t="str">
        <v>TX</v>
      </c>
      <c r="C59" s="21">
        <v>32107.5625</v>
      </c>
      <c r="D59" s="11">
        <v>31334.81</v>
      </c>
      <c r="E59" s="11">
        <f t="shared" si="0"/>
        <v>772.75249999999869</v>
      </c>
      <c r="F59" s="12">
        <f t="shared" si="3"/>
        <v>2.4661151607429523E-2</v>
      </c>
      <c r="G59" s="13">
        <v>36478.639999999999</v>
      </c>
      <c r="H59" s="13">
        <f t="shared" si="4"/>
        <v>-4371.0774999999994</v>
      </c>
      <c r="I59" s="14">
        <f t="shared" si="5"/>
        <v>-0.11982567058421036</v>
      </c>
      <c r="J59" s="38" t="s">
        <v>54</v>
      </c>
      <c r="K59" s="38"/>
    </row>
    <row r="60" spans="1:11" ht="15.6">
      <c r="A60" s="25" t="str">
        <v>San Antonio - Ops Ctr (Bldg 205)</v>
      </c>
      <c r="B60" s="26" t="str">
        <v>TX</v>
      </c>
      <c r="C60" s="10">
        <v>27955.011930000001</v>
      </c>
      <c r="D60" s="15">
        <v>32091.94</v>
      </c>
      <c r="E60" s="15">
        <f t="shared" si="0"/>
        <v>-4136.9280699999981</v>
      </c>
      <c r="F60" s="16">
        <f t="shared" si="3"/>
        <v>-0.12890863157540486</v>
      </c>
      <c r="G60" s="17">
        <v>32995.300000000003</v>
      </c>
      <c r="H60" s="17">
        <f t="shared" si="4"/>
        <v>-5040.2880700000023</v>
      </c>
      <c r="I60" s="16">
        <f t="shared" si="5"/>
        <v>-0.15275775852924514</v>
      </c>
      <c r="J60" s="39" t="s">
        <v>54</v>
      </c>
      <c r="K60" s="39"/>
    </row>
    <row r="61" spans="1:11" ht="15.6">
      <c r="A61" s="27" t="str">
        <v>San Antonio - Ops Ctr (Bldg 307)</v>
      </c>
      <c r="B61" s="28" t="str">
        <v>TX</v>
      </c>
      <c r="C61" s="21">
        <v>29449.375</v>
      </c>
      <c r="D61" s="11">
        <v>34829.83</v>
      </c>
      <c r="E61" s="11">
        <f t="shared" si="0"/>
        <v>-5380.4550000000017</v>
      </c>
      <c r="F61" s="12">
        <f t="shared" si="3"/>
        <v>-0.15447835949816585</v>
      </c>
      <c r="G61" s="13">
        <v>34192.67</v>
      </c>
      <c r="H61" s="13">
        <f t="shared" si="4"/>
        <v>-4743.2949999999983</v>
      </c>
      <c r="I61" s="14">
        <f t="shared" si="5"/>
        <v>-0.13872256831654264</v>
      </c>
      <c r="J61" s="38" t="s">
        <v>54</v>
      </c>
      <c r="K61" s="38"/>
    </row>
    <row r="62" spans="1:11" ht="15.6">
      <c r="A62" s="25" t="str">
        <v>San Antonio - Ctr (Bldg 308)</v>
      </c>
      <c r="B62" s="26" t="str">
        <v>TX</v>
      </c>
      <c r="C62" s="10">
        <v>30173.854480000002</v>
      </c>
      <c r="D62" s="15">
        <v>34055.89</v>
      </c>
      <c r="E62" s="15">
        <f t="shared" si="0"/>
        <v>-3882.0355199999976</v>
      </c>
      <c r="F62" s="16">
        <f t="shared" si="3"/>
        <v>-0.11399013562705299</v>
      </c>
      <c r="G62" s="17">
        <v>33832.769999999997</v>
      </c>
      <c r="H62" s="17">
        <f t="shared" si="4"/>
        <v>-3658.915519999995</v>
      </c>
      <c r="I62" s="16">
        <f t="shared" si="5"/>
        <v>-0.10814708698105403</v>
      </c>
      <c r="J62" s="39" t="s">
        <v>54</v>
      </c>
      <c r="K62" s="39"/>
    </row>
    <row r="63" spans="1:11" ht="15.6">
      <c r="A63" s="27" t="str">
        <v>San Antonio - Ops Ctr (Bldg 104)</v>
      </c>
      <c r="B63" s="28" t="str">
        <v>TX</v>
      </c>
      <c r="C63" s="21">
        <v>7770.294922</v>
      </c>
      <c r="D63" s="11">
        <v>10657.28</v>
      </c>
      <c r="E63" s="11">
        <f t="shared" si="0"/>
        <v>-2886.9850780000006</v>
      </c>
      <c r="F63" s="12">
        <f t="shared" si="3"/>
        <v>-0.27089323711115787</v>
      </c>
      <c r="G63" s="13">
        <v>10100</v>
      </c>
      <c r="H63" s="13">
        <f t="shared" si="4"/>
        <v>-2329.705078</v>
      </c>
      <c r="I63" s="14">
        <f t="shared" si="5"/>
        <v>-0.23066386910891087</v>
      </c>
      <c r="J63" s="38" t="s">
        <v>54</v>
      </c>
      <c r="K63" s="38"/>
    </row>
    <row r="64" spans="1:11" ht="15.6">
      <c r="A64" s="25" t="str">
        <v>San Antonio - Ops Ctr (Bldg 102)</v>
      </c>
      <c r="B64" s="26" t="str">
        <v>TX</v>
      </c>
      <c r="C64" s="10">
        <v>32748.65796</v>
      </c>
      <c r="D64" s="15">
        <v>31328.42</v>
      </c>
      <c r="E64" s="15">
        <f t="shared" si="0"/>
        <v>1420.2379600000022</v>
      </c>
      <c r="F64" s="16">
        <f t="shared" si="3"/>
        <v>4.5333852138090665E-2</v>
      </c>
      <c r="G64" s="17">
        <v>37503.589999999997</v>
      </c>
      <c r="H64" s="17">
        <f t="shared" si="4"/>
        <v>-4754.9320399999961</v>
      </c>
      <c r="I64" s="16">
        <f t="shared" si="5"/>
        <v>-0.1267860500821387</v>
      </c>
      <c r="J64" s="39" t="s">
        <v>54</v>
      </c>
      <c r="K64" s="39"/>
    </row>
    <row r="65" spans="1:11" ht="15.6">
      <c r="A65" s="27" t="str">
        <v>Lodi - Lodi Vineyard</v>
      </c>
      <c r="B65" s="28" t="str">
        <v>CA</v>
      </c>
      <c r="C65" s="21">
        <v>20951.21875</v>
      </c>
      <c r="D65" s="11">
        <v>21734.83</v>
      </c>
      <c r="E65" s="11">
        <f t="shared" si="0"/>
        <v>-783.61125000000175</v>
      </c>
      <c r="F65" s="12">
        <f t="shared" si="3"/>
        <v>-3.6053249553826813E-2</v>
      </c>
      <c r="G65" s="13">
        <v>17814</v>
      </c>
      <c r="H65" s="13">
        <f t="shared" si="4"/>
        <v>3137.21875</v>
      </c>
      <c r="I65" s="14">
        <f t="shared" si="5"/>
        <v>0.17610973111036263</v>
      </c>
      <c r="J65" s="38"/>
      <c r="K65" s="38"/>
    </row>
    <row r="66" spans="1:11" ht="15.6">
      <c r="A66" s="25" t="str">
        <v>Arden Fair Mall</v>
      </c>
      <c r="B66" s="26" t="str">
        <v>CA</v>
      </c>
      <c r="C66" s="10">
        <v>10599.65625</v>
      </c>
      <c r="D66" s="15">
        <v>12935.16</v>
      </c>
      <c r="E66" s="15">
        <f t="shared" si="0"/>
        <v>-2335.5037499999999</v>
      </c>
      <c r="F66" s="16">
        <f t="shared" si="3"/>
        <v>-0.18055468583303183</v>
      </c>
      <c r="G66" s="17">
        <v>10608</v>
      </c>
      <c r="H66" s="17">
        <f t="shared" si="4"/>
        <v>-8.34375</v>
      </c>
      <c r="I66" s="16">
        <f t="shared" si="5"/>
        <v>-7.8655260180995478E-4</v>
      </c>
      <c r="J66" s="39"/>
      <c r="K66" s="39"/>
    </row>
    <row r="67" spans="1:11" ht="15.6">
      <c r="A67" s="27" t="str">
        <v>Modesto - Modesto Main</v>
      </c>
      <c r="B67" s="28" t="str">
        <v>CA</v>
      </c>
      <c r="C67" s="21">
        <v>7933.953125</v>
      </c>
      <c r="D67" s="11">
        <v>10825.7</v>
      </c>
      <c r="E67" s="11">
        <f t="shared" si="0"/>
        <v>-2891.7468750000007</v>
      </c>
      <c r="F67" s="12">
        <f t="shared" si="3"/>
        <v>-0.26711869671245281</v>
      </c>
      <c r="G67" s="13">
        <v>10268.68</v>
      </c>
      <c r="H67" s="13">
        <f t="shared" si="4"/>
        <v>-2334.7268750000003</v>
      </c>
      <c r="I67" s="14">
        <f t="shared" si="5"/>
        <v>-0.22736387490894644</v>
      </c>
      <c r="J67" s="38" t="s">
        <v>55</v>
      </c>
      <c r="K67" s="78" t="s">
        <v>56</v>
      </c>
    </row>
    <row r="68" spans="1:11" ht="15.6">
      <c r="A68" s="25" t="str">
        <v>Stevens Creek</v>
      </c>
      <c r="B68" s="26" t="str">
        <v>CA</v>
      </c>
      <c r="C68" s="10">
        <v>3096.2008642543701</v>
      </c>
      <c r="D68" s="15">
        <v>2594.087</v>
      </c>
      <c r="E68" s="15">
        <f t="shared" si="0"/>
        <v>502.11386425437013</v>
      </c>
      <c r="F68" s="16">
        <f t="shared" si="3"/>
        <v>0.1935609192191203</v>
      </c>
      <c r="G68" s="17">
        <v>2416</v>
      </c>
      <c r="H68" s="17">
        <f t="shared" si="4"/>
        <v>680.20086425437012</v>
      </c>
      <c r="I68" s="16">
        <f t="shared" si="5"/>
        <v>0.28154009282051745</v>
      </c>
      <c r="J68" s="54"/>
      <c r="K68" s="39"/>
    </row>
    <row r="69" spans="1:11" ht="15.6">
      <c r="A69" s="27" t="str">
        <v>Covina Main</v>
      </c>
      <c r="B69" s="28" t="str">
        <v>CA</v>
      </c>
      <c r="C69" s="21">
        <v>2141.6999999999998</v>
      </c>
      <c r="D69" s="11">
        <v>1912.7059999999999</v>
      </c>
      <c r="E69" s="11">
        <f t="shared" ref="E69:E83" si="6">IF(AND(ISNUMBER(C69),ISNUMBER(D69)), C69-D69, "")</f>
        <v>228.99399999999991</v>
      </c>
      <c r="F69" s="12">
        <f t="shared" si="3"/>
        <v>0.11972252923345246</v>
      </c>
      <c r="G69" s="13">
        <v>2134</v>
      </c>
      <c r="H69" s="13">
        <f t="shared" si="4"/>
        <v>7.6999999999998181</v>
      </c>
      <c r="I69" s="14">
        <f t="shared" si="5"/>
        <v>3.6082474226803271E-3</v>
      </c>
      <c r="J69" s="38"/>
      <c r="K69" s="38"/>
    </row>
    <row r="70" spans="1:11" ht="15.6">
      <c r="A70" s="25" t="str">
        <v>Old Ranch Town Center</v>
      </c>
      <c r="B70" s="26" t="str">
        <v>CA</v>
      </c>
      <c r="C70" s="10">
        <v>642.60620117187</v>
      </c>
      <c r="D70" s="15">
        <v>0</v>
      </c>
      <c r="E70" s="15">
        <f t="shared" si="6"/>
        <v>642.60620117187</v>
      </c>
      <c r="F70" s="16" t="str">
        <f t="shared" ref="F70:F83" si="7">IFERROR(E70/D70, "")</f>
        <v/>
      </c>
      <c r="G70" s="17">
        <v>910</v>
      </c>
      <c r="H70" s="17">
        <f t="shared" si="4"/>
        <v>-267.39379882813</v>
      </c>
      <c r="I70" s="16">
        <f t="shared" si="5"/>
        <v>-0.29383933937157142</v>
      </c>
      <c r="J70" s="39" t="s">
        <v>41</v>
      </c>
      <c r="K70" s="39"/>
    </row>
    <row r="71" spans="1:11" ht="15.6">
      <c r="A71" s="27" t="str">
        <v>Mountain Gate Plaza</v>
      </c>
      <c r="B71" s="28" t="str">
        <v>CA</v>
      </c>
      <c r="C71" s="21">
        <v>5252.3031909106203</v>
      </c>
      <c r="D71" s="11">
        <v>0</v>
      </c>
      <c r="E71" s="11">
        <f t="shared" si="6"/>
        <v>5252.3031909106203</v>
      </c>
      <c r="F71" s="12" t="str">
        <f t="shared" si="7"/>
        <v/>
      </c>
      <c r="G71" s="13">
        <v>6591</v>
      </c>
      <c r="H71" s="13">
        <f t="shared" ref="H71:H83" si="8">IF(AND(ISNUMBER(C71),ISNUMBER(G71)), C71-G71, "")</f>
        <v>-1338.6968090893797</v>
      </c>
      <c r="I71" s="14">
        <f t="shared" ref="I71:I83" si="9">IFERROR(H71/G71, "")</f>
        <v>-0.20310981779538456</v>
      </c>
      <c r="J71" s="38" t="s">
        <v>41</v>
      </c>
      <c r="K71" s="38"/>
    </row>
    <row r="72" spans="1:11" ht="28.9">
      <c r="A72" s="25" t="str">
        <v>Arcadia Main</v>
      </c>
      <c r="B72" s="26" t="str">
        <v>CA</v>
      </c>
      <c r="C72" s="10">
        <v>1679.0975195312501</v>
      </c>
      <c r="D72" s="15">
        <v>0</v>
      </c>
      <c r="E72" s="15">
        <f t="shared" si="6"/>
        <v>1679.0975195312501</v>
      </c>
      <c r="F72" s="16" t="str">
        <f t="shared" si="7"/>
        <v/>
      </c>
      <c r="G72" s="17">
        <v>3550</v>
      </c>
      <c r="H72" s="17">
        <f t="shared" si="8"/>
        <v>-1870.9024804687499</v>
      </c>
      <c r="I72" s="16">
        <f t="shared" si="9"/>
        <v>-0.52701478323063378</v>
      </c>
      <c r="J72" s="39" t="s">
        <v>57</v>
      </c>
      <c r="K72" s="81" t="s">
        <v>58</v>
      </c>
    </row>
    <row r="73" spans="1:11" ht="15.6">
      <c r="A73" s="27" t="str">
        <v>Fairfield</v>
      </c>
      <c r="B73" s="28" t="str">
        <v>CA</v>
      </c>
      <c r="C73" s="21">
        <v>2185.7230273437499</v>
      </c>
      <c r="D73" s="11">
        <v>2398.0520000000001</v>
      </c>
      <c r="E73" s="11">
        <f t="shared" si="6"/>
        <v>-212.32897265625024</v>
      </c>
      <c r="F73" s="12">
        <f t="shared" si="7"/>
        <v>-8.8542272084279339E-2</v>
      </c>
      <c r="G73" s="13">
        <v>2037</v>
      </c>
      <c r="H73" s="13">
        <f t="shared" si="8"/>
        <v>148.72302734374989</v>
      </c>
      <c r="I73" s="14">
        <f t="shared" si="9"/>
        <v>7.3010813619906675E-2</v>
      </c>
      <c r="J73" s="38"/>
      <c r="K73" s="38"/>
    </row>
    <row r="74" spans="1:11" ht="15.6">
      <c r="A74" s="25" t="str">
        <v>Los Gatos</v>
      </c>
      <c r="B74" s="26" t="str">
        <v>CA</v>
      </c>
      <c r="C74" s="10">
        <v>1247.8238378906201</v>
      </c>
      <c r="D74" s="15">
        <v>1112.865</v>
      </c>
      <c r="E74" s="15">
        <f t="shared" si="6"/>
        <v>134.95883789062009</v>
      </c>
      <c r="F74" s="16">
        <f t="shared" si="7"/>
        <v>0.12127152699619459</v>
      </c>
      <c r="G74" s="17">
        <v>0</v>
      </c>
      <c r="H74" s="17">
        <f t="shared" si="8"/>
        <v>1247.8238378906201</v>
      </c>
      <c r="I74" s="16" t="str">
        <f t="shared" si="9"/>
        <v/>
      </c>
      <c r="J74" s="39"/>
      <c r="K74" s="39"/>
    </row>
    <row r="75" spans="1:11" ht="15.6">
      <c r="A75" s="27" t="str">
        <v>San Marino</v>
      </c>
      <c r="B75" s="28" t="str">
        <v>CA</v>
      </c>
      <c r="C75" s="21">
        <v>2293.8000000000002</v>
      </c>
      <c r="D75" s="11">
        <v>2367.9079999999999</v>
      </c>
      <c r="E75" s="11">
        <f t="shared" si="6"/>
        <v>-74.10799999999972</v>
      </c>
      <c r="F75" s="12">
        <f t="shared" si="7"/>
        <v>-3.1296824032014642E-2</v>
      </c>
      <c r="G75" s="13">
        <v>2895.0030000000002</v>
      </c>
      <c r="H75" s="13">
        <f t="shared" si="8"/>
        <v>-601.20299999999997</v>
      </c>
      <c r="I75" s="14">
        <f t="shared" si="9"/>
        <v>-0.20766921485055453</v>
      </c>
      <c r="J75" s="38" t="s">
        <v>41</v>
      </c>
      <c r="K75" s="38"/>
    </row>
    <row r="76" spans="1:11" ht="15.6">
      <c r="A76" s="25" t="str">
        <v>Buenaventura</v>
      </c>
      <c r="B76" s="26" t="str">
        <v>CA</v>
      </c>
      <c r="C76" s="10">
        <v>3155.58984375</v>
      </c>
      <c r="D76" s="15">
        <v>2389.828</v>
      </c>
      <c r="E76" s="15">
        <f t="shared" si="6"/>
        <v>765.76184375000003</v>
      </c>
      <c r="F76" s="16">
        <f t="shared" si="7"/>
        <v>0.32042550499450173</v>
      </c>
      <c r="G76" s="17">
        <v>3932.1959999999999</v>
      </c>
      <c r="H76" s="17">
        <f t="shared" si="8"/>
        <v>-776.60615624999991</v>
      </c>
      <c r="I76" s="16">
        <f t="shared" si="9"/>
        <v>-0.19749935055373638</v>
      </c>
      <c r="J76" s="39" t="s">
        <v>41</v>
      </c>
      <c r="K76" s="39"/>
    </row>
    <row r="77" spans="1:11" ht="15.6">
      <c r="A77" s="27" t="str">
        <v>N Black Canyon Hwy, Phoenix - North</v>
      </c>
      <c r="B77" s="28" t="str">
        <v>AZ</v>
      </c>
      <c r="C77" s="21">
        <v>61065.25</v>
      </c>
      <c r="D77" s="11">
        <v>57626.77</v>
      </c>
      <c r="E77" s="11">
        <f t="shared" si="6"/>
        <v>3438.4800000000032</v>
      </c>
      <c r="F77" s="12">
        <f t="shared" si="7"/>
        <v>5.9668102168488765E-2</v>
      </c>
      <c r="G77" s="13">
        <v>57066</v>
      </c>
      <c r="H77" s="13">
        <f t="shared" si="8"/>
        <v>3999.25</v>
      </c>
      <c r="I77" s="14">
        <f t="shared" si="9"/>
        <v>7.0081134125398667E-2</v>
      </c>
      <c r="J77" s="38"/>
      <c r="K77" s="38"/>
    </row>
    <row r="78" spans="1:11" ht="15.6">
      <c r="A78" s="25" t="str">
        <v>N Black Canyon Hwy, Phoenix - South</v>
      </c>
      <c r="B78" s="26" t="str">
        <v>AZ</v>
      </c>
      <c r="C78" s="10">
        <v>65447.125</v>
      </c>
      <c r="D78" s="15">
        <v>63092.13</v>
      </c>
      <c r="E78" s="15">
        <f t="shared" si="6"/>
        <v>2354.9950000000026</v>
      </c>
      <c r="F78" s="16">
        <f t="shared" si="7"/>
        <v>3.7326287763624441E-2</v>
      </c>
      <c r="G78" s="17">
        <v>63382</v>
      </c>
      <c r="H78" s="17">
        <f t="shared" si="8"/>
        <v>2065.125</v>
      </c>
      <c r="I78" s="16">
        <f t="shared" si="9"/>
        <v>3.2582199993689061E-2</v>
      </c>
      <c r="J78" s="39"/>
      <c r="K78" s="39"/>
    </row>
    <row r="79" spans="1:11" ht="43.15">
      <c r="A79" s="27" t="str">
        <v xml:space="preserve"> Building 2222, Rose Garden Ln, Phoenix</v>
      </c>
      <c r="B79" s="28" t="str">
        <v>AZ</v>
      </c>
      <c r="C79" s="21">
        <v>38004.868345944</v>
      </c>
      <c r="D79" s="11">
        <v>39144.57</v>
      </c>
      <c r="E79" s="11">
        <f t="shared" si="6"/>
        <v>-1139.7016540559998</v>
      </c>
      <c r="F79" s="12">
        <f t="shared" si="7"/>
        <v>-2.9115191559289062E-2</v>
      </c>
      <c r="G79" s="13">
        <v>65567</v>
      </c>
      <c r="H79" s="13">
        <f t="shared" si="8"/>
        <v>-27562.131654056</v>
      </c>
      <c r="I79" s="14">
        <f t="shared" si="9"/>
        <v>-0.42036591050461358</v>
      </c>
      <c r="J79" s="38" t="s">
        <v>59</v>
      </c>
      <c r="K79" s="78" t="s">
        <v>60</v>
      </c>
    </row>
    <row r="80" spans="1:11" ht="15.6">
      <c r="A80" s="25" t="str">
        <v xml:space="preserve"> Building 2202, Rose Garden Ln, Phoenix</v>
      </c>
      <c r="B80" s="26" t="str">
        <v>AZ</v>
      </c>
      <c r="C80" s="10">
        <v>62409.375</v>
      </c>
      <c r="D80" s="15">
        <v>32577.96</v>
      </c>
      <c r="E80" s="15">
        <f t="shared" si="6"/>
        <v>29831.415000000001</v>
      </c>
      <c r="F80" s="16">
        <f t="shared" si="7"/>
        <v>0.91569315574087518</v>
      </c>
      <c r="G80" s="17">
        <v>50223.48</v>
      </c>
      <c r="H80" s="17">
        <f t="shared" si="8"/>
        <v>12185.894999999997</v>
      </c>
      <c r="I80" s="16">
        <f t="shared" si="9"/>
        <v>0.24263342564075599</v>
      </c>
      <c r="J80" s="39" t="s">
        <v>61</v>
      </c>
      <c r="K80" s="39"/>
    </row>
    <row r="81" spans="1:12" ht="15.6">
      <c r="A81" s="27" t="str">
        <v xml:space="preserve"> 99TH Ave &amp; BELL</v>
      </c>
      <c r="B81" s="28" t="str">
        <v>AZ</v>
      </c>
      <c r="C81" s="21">
        <v>10491.8975420876</v>
      </c>
      <c r="D81" s="11">
        <v>8207.9079999999994</v>
      </c>
      <c r="E81" s="11">
        <f t="shared" si="6"/>
        <v>2283.9895420876001</v>
      </c>
      <c r="F81" s="12">
        <f t="shared" si="7"/>
        <v>0.2782669520768995</v>
      </c>
      <c r="G81" s="13">
        <v>13506</v>
      </c>
      <c r="H81" s="13">
        <f t="shared" si="8"/>
        <v>-3014.1024579124005</v>
      </c>
      <c r="I81" s="14">
        <f t="shared" si="9"/>
        <v>-0.2231676631062047</v>
      </c>
      <c r="J81" s="38" t="s">
        <v>41</v>
      </c>
      <c r="K81" s="38"/>
      <c r="L81" s="77"/>
    </row>
    <row r="82" spans="1:12" ht="15.6">
      <c r="A82" s="25" t="str">
        <v>Rincon</v>
      </c>
      <c r="B82" s="26" t="str">
        <v>AZ</v>
      </c>
      <c r="C82" s="10">
        <v>5659.890625</v>
      </c>
      <c r="D82" s="15">
        <v>4142.009</v>
      </c>
      <c r="E82" s="15">
        <f t="shared" si="6"/>
        <v>1517.881625</v>
      </c>
      <c r="F82" s="16">
        <f t="shared" si="7"/>
        <v>0.36646024308493774</v>
      </c>
      <c r="G82" s="17">
        <v>4593</v>
      </c>
      <c r="H82" s="17">
        <f t="shared" si="8"/>
        <v>1066.890625</v>
      </c>
      <c r="I82" s="16">
        <f t="shared" si="9"/>
        <v>0.23228622360113216</v>
      </c>
      <c r="J82" s="39"/>
      <c r="K82" s="54"/>
    </row>
    <row r="83" spans="1:12" ht="15.6">
      <c r="A83" s="27" t="str">
        <v>Tucson Main Parking Garage</v>
      </c>
      <c r="B83" s="28" t="str">
        <v>AZ</v>
      </c>
      <c r="C83" s="21">
        <v>7710.8024797258304</v>
      </c>
      <c r="D83" s="11">
        <v>9304.9619999999995</v>
      </c>
      <c r="E83" s="11">
        <f t="shared" si="6"/>
        <v>-1594.1595202741692</v>
      </c>
      <c r="F83" s="12">
        <f t="shared" si="7"/>
        <v>-0.17132359275343298</v>
      </c>
      <c r="G83" s="13">
        <v>8400</v>
      </c>
      <c r="H83" s="13">
        <f t="shared" si="8"/>
        <v>-689.19752027416962</v>
      </c>
      <c r="I83" s="14">
        <f t="shared" si="9"/>
        <v>-8.2047323842163053E-2</v>
      </c>
      <c r="J83" s="38" t="s">
        <v>41</v>
      </c>
      <c r="K83" s="38"/>
    </row>
    <row r="84" spans="1:12" ht="14.45">
      <c r="A84" s="18" t="str">
        <v>BE 199502 - Westgate</v>
      </c>
      <c r="B84" s="30" t="str">
        <v>CA</v>
      </c>
      <c r="C84" s="18"/>
      <c r="D84" s="18"/>
      <c r="E84" s="18"/>
      <c r="F84" s="19"/>
      <c r="G84" s="18"/>
      <c r="H84" s="18"/>
      <c r="I84" s="19"/>
      <c r="J84" s="18"/>
      <c r="K84" s="18"/>
    </row>
    <row r="85" spans="1:12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2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2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2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2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2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2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2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2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2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2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2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</sheetData>
  <mergeCells count="4">
    <mergeCell ref="D1:F1"/>
    <mergeCell ref="A1:C1"/>
    <mergeCell ref="G1:I1"/>
    <mergeCell ref="A2:B2"/>
  </mergeCells>
  <conditionalFormatting sqref="F2 I2">
    <cfRule type="cellIs" dxfId="28" priority="10" stopIfTrue="1" operator="lessThanOrEqual">
      <formula>-0.1</formula>
    </cfRule>
    <cfRule type="expression" dxfId="27" priority="11">
      <formula>AND(ISNUMBER(F2), F2&gt;=0.1)</formula>
    </cfRule>
  </conditionalFormatting>
  <conditionalFormatting sqref="F4:F83 I4:I83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6" r:id="rId1" display="https://us3.assetplanner.com/service_request?ID=091496" xr:uid="{EE61D459-9ECC-471A-AD57-B61B38D2869F}"/>
    <hyperlink ref="L6" r:id="rId2" display="https://us3.assetplanner.com/service_request?ID=088261" xr:uid="{4C0271C8-F7FF-4F00-B5B2-F3E450111B04}"/>
    <hyperlink ref="K19" r:id="rId3" display="https://us3.assetplanner.com/service_request?ID=088667" xr:uid="{802923BF-C17F-4D49-A4E7-FA6DD5D64FFE}"/>
    <hyperlink ref="L19" r:id="rId4" display="https://us3.assetplanner.com/service_request?ID=077700" xr:uid="{EB39DED3-3F8B-4EDB-A5DE-DE1AA921AF3D}"/>
    <hyperlink ref="K53" r:id="rId5" display="https://us3.assetplanner.com/service_request?ID=090252" xr:uid="{E1D04816-D267-4BEF-B31A-1241580328EF}"/>
    <hyperlink ref="K54" r:id="rId6" display="https://us3.assetplanner.com/service_request?ID=077660" xr:uid="{EBB20D6F-C75A-4644-A5FB-9A482470E682}"/>
    <hyperlink ref="K67" r:id="rId7" display="https://us3.assetplanner.com/service_request?ID=091735" xr:uid="{DE433953-DE2A-4DD3-B0B8-7B9089AD959E}"/>
    <hyperlink ref="K72" r:id="rId8" display="https://us3.assetplanner.com/service_request?ID=096085" xr:uid="{C1F7CD65-BE11-4305-AC56-2283C1AFB8B9}"/>
    <hyperlink ref="K79" r:id="rId9" display="https://us3.assetplanner.com/service_request?ID=094853" xr:uid="{74AD84E3-BB51-451C-8554-2B68720CDFBF}"/>
  </hyperlinks>
  <pageMargins left="0.4" right="0.7" top="0.25" bottom="0.25" header="0.3" footer="0.3"/>
  <pageSetup fitToHeight="99" orientation="landscape"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39"/>
  <sheetViews>
    <sheetView zoomScale="70" zoomScaleNormal="70" workbookViewId="0">
      <pane xSplit="2" ySplit="3" topLeftCell="C4" activePane="bottomRight" state="frozen"/>
      <selection pane="bottomRight" activeCell="A71" sqref="A71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  <col min="12" max="12" width="29.5703125" customWidth="1"/>
  </cols>
  <sheetData>
    <row r="1" spans="1:14" ht="19.5" customHeight="1">
      <c r="A1" s="210" t="str" cm="1">
        <f t="array" ref="A1">portfolio</f>
        <v>Wells Fargo</v>
      </c>
      <c r="B1" s="210"/>
      <c r="C1" s="210"/>
      <c r="D1" s="211" t="s">
        <v>62</v>
      </c>
      <c r="E1" s="211"/>
      <c r="F1" s="211"/>
      <c r="G1" s="209" t="s">
        <v>63</v>
      </c>
      <c r="H1" s="209"/>
      <c r="I1" s="209"/>
      <c r="J1" s="3"/>
      <c r="K1" s="3"/>
    </row>
    <row r="2" spans="1:14" ht="19.5" customHeight="1">
      <c r="A2" s="220" t="s">
        <v>2</v>
      </c>
      <c r="B2" s="220"/>
      <c r="C2" s="4">
        <f>SUM(C4:C97)</f>
        <v>1283462.4554221299</v>
      </c>
      <c r="D2" s="4">
        <f>SUM(D4:D97)</f>
        <v>1301887.8950999998</v>
      </c>
      <c r="E2" s="4">
        <f>C2-D2</f>
        <v>-18425.439677869901</v>
      </c>
      <c r="F2" s="5">
        <f>IFERROR(E2/D2, 0)</f>
        <v>-1.4152861968545009E-2</v>
      </c>
      <c r="G2" s="4">
        <f>SUM(G4:G97)</f>
        <v>1468472.4357</v>
      </c>
      <c r="H2" s="6">
        <f>C2-G2</f>
        <v>-185009.98027787008</v>
      </c>
      <c r="I2" s="5">
        <f>IFERROR(H2/G2, 0)</f>
        <v>-0.12598805110678052</v>
      </c>
      <c r="J2" s="23" t="s">
        <v>64</v>
      </c>
      <c r="K2" s="3"/>
    </row>
    <row r="3" spans="1:14" ht="14.25" customHeight="1">
      <c r="A3" s="7" t="s">
        <v>3</v>
      </c>
      <c r="B3" s="7" t="s">
        <v>30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39</v>
      </c>
      <c r="K3" s="22" t="s">
        <v>40</v>
      </c>
    </row>
    <row r="4" spans="1:14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11">
        <v>715.30000000000302</v>
      </c>
      <c r="D4" s="11">
        <v>0</v>
      </c>
      <c r="E4" s="11">
        <f>IF(AND(ISNUMBER(C4),ISNUMBER(D4)), C4-D4, "")</f>
        <v>715.30000000000302</v>
      </c>
      <c r="F4" s="12" t="str">
        <f>IFERROR(E4/D4, "")</f>
        <v/>
      </c>
      <c r="G4" s="13">
        <v>734</v>
      </c>
      <c r="H4" s="13">
        <f>IF(AND(ISNUMBER(C4),ISNUMBER(G4)), C4-G4, "")</f>
        <v>-18.699999999996976</v>
      </c>
      <c r="I4" s="14">
        <f>IFERROR(H4/G4, "")</f>
        <v>-2.54768392370531E-2</v>
      </c>
      <c r="J4" s="59"/>
      <c r="K4" s="59"/>
    </row>
    <row r="5" spans="1:14" ht="15.6">
      <c r="A5" s="27" t="str">
        <v>Otay Mesa</v>
      </c>
      <c r="B5" s="28" t="str">
        <v>CA</v>
      </c>
      <c r="C5" s="10">
        <v>35.700000000000003</v>
      </c>
      <c r="D5" s="15">
        <v>0</v>
      </c>
      <c r="E5" s="15">
        <f>IF(AND(ISNUMBER(C5),ISNUMBER(D5)), C5-D5, "")</f>
        <v>35.700000000000003</v>
      </c>
      <c r="F5" s="16" t="str">
        <f>IFERROR(E5/D5, "")</f>
        <v/>
      </c>
      <c r="G5" s="17">
        <v>0</v>
      </c>
      <c r="H5" s="17">
        <f>IF(AND(ISNUMBER(C5),ISNUMBER(G5)), C5-G5, "")</f>
        <v>35.700000000000003</v>
      </c>
      <c r="I5" s="16" t="str">
        <f t="shared" ref="I5:I68" si="0">IFERROR(H5/G5, "")</f>
        <v/>
      </c>
      <c r="J5" s="39" t="s">
        <v>42</v>
      </c>
      <c r="K5" s="39"/>
    </row>
    <row r="6" spans="1:14" ht="230.45">
      <c r="A6" s="25" t="str">
        <v>San Leandro</v>
      </c>
      <c r="B6" s="26" t="str">
        <v>CA</v>
      </c>
      <c r="C6" s="21">
        <v>23817.5</v>
      </c>
      <c r="D6" s="11">
        <v>28486.74</v>
      </c>
      <c r="E6" s="11">
        <f t="shared" ref="E6:E70" si="1">IF(AND(ISNUMBER(C6),ISNUMBER(D6)), C6-D6, "")</f>
        <v>-4669.2400000000016</v>
      </c>
      <c r="F6" s="12">
        <f t="shared" ref="F6:F69" si="2">IFERROR(E6/D6, "")</f>
        <v>-0.16390924338832738</v>
      </c>
      <c r="G6" s="13">
        <v>25171.85</v>
      </c>
      <c r="H6" s="13">
        <f t="shared" ref="H6:H69" si="3">IF(AND(ISNUMBER(C6),ISNUMBER(G6)), C6-G6, "")</f>
        <v>-1354.3499999999985</v>
      </c>
      <c r="I6" s="14">
        <f t="shared" si="0"/>
        <v>-5.3804150271036841E-2</v>
      </c>
      <c r="J6" s="61" t="s">
        <v>65</v>
      </c>
      <c r="K6" s="83" t="s">
        <v>66</v>
      </c>
      <c r="L6" s="79" t="s">
        <v>45</v>
      </c>
      <c r="M6" s="79" t="s">
        <v>67</v>
      </c>
      <c r="N6" s="79" t="s">
        <v>68</v>
      </c>
    </row>
    <row r="7" spans="1:14" ht="15.6">
      <c r="A7" s="27" t="str">
        <v>Van Nuys</v>
      </c>
      <c r="B7" s="28" t="str">
        <v>CA</v>
      </c>
      <c r="C7" s="10">
        <v>1286.2</v>
      </c>
      <c r="D7" s="15">
        <v>0</v>
      </c>
      <c r="E7" s="15">
        <f t="shared" si="1"/>
        <v>1286.2</v>
      </c>
      <c r="F7" s="16" t="str">
        <f t="shared" si="2"/>
        <v/>
      </c>
      <c r="G7" s="17">
        <v>1479.1980000000001</v>
      </c>
      <c r="H7" s="17">
        <f t="shared" si="3"/>
        <v>-192.99800000000005</v>
      </c>
      <c r="I7" s="16">
        <f t="shared" si="0"/>
        <v>-0.13047475726711369</v>
      </c>
      <c r="J7" s="56" t="s">
        <v>49</v>
      </c>
      <c r="K7" s="82"/>
    </row>
    <row r="8" spans="1:14" ht="15.6">
      <c r="A8" s="25" t="str">
        <v>98th &amp; Grant</v>
      </c>
      <c r="B8" s="26" t="str">
        <v>CO</v>
      </c>
      <c r="C8" s="21">
        <v>685.79999999999598</v>
      </c>
      <c r="D8" s="11">
        <v>0</v>
      </c>
      <c r="E8" s="11">
        <f t="shared" si="1"/>
        <v>685.79999999999598</v>
      </c>
      <c r="F8" s="12" t="str">
        <f t="shared" si="2"/>
        <v/>
      </c>
      <c r="G8" s="13">
        <v>1280</v>
      </c>
      <c r="H8" s="13">
        <f t="shared" si="3"/>
        <v>-594.20000000000402</v>
      </c>
      <c r="I8" s="14">
        <f t="shared" si="0"/>
        <v>-0.46421875000000312</v>
      </c>
      <c r="J8" s="61" t="s">
        <v>49</v>
      </c>
      <c r="K8" s="61"/>
    </row>
    <row r="9" spans="1:14" ht="15.6">
      <c r="A9" s="27" t="str">
        <v>Arapahoe Crossings</v>
      </c>
      <c r="B9" s="28" t="str">
        <v>CO</v>
      </c>
      <c r="C9" s="10">
        <v>2273.6040076213399</v>
      </c>
      <c r="D9" s="15">
        <v>0</v>
      </c>
      <c r="E9" s="15">
        <f t="shared" si="1"/>
        <v>2273.6040076213399</v>
      </c>
      <c r="F9" s="16" t="str">
        <f t="shared" si="2"/>
        <v/>
      </c>
      <c r="G9" s="17">
        <v>2351.1790000000001</v>
      </c>
      <c r="H9" s="17">
        <f t="shared" si="3"/>
        <v>-77.574992378660227</v>
      </c>
      <c r="I9" s="16">
        <f t="shared" si="0"/>
        <v>-3.2994081853682862E-2</v>
      </c>
      <c r="J9" s="56"/>
      <c r="K9" s="82"/>
    </row>
    <row r="10" spans="1:14" ht="15.6">
      <c r="A10" s="25" t="str">
        <v>Aurora City Center</v>
      </c>
      <c r="B10" s="26" t="str">
        <v>CO</v>
      </c>
      <c r="C10" s="21">
        <v>1251.80000000001</v>
      </c>
      <c r="D10" s="11">
        <v>0</v>
      </c>
      <c r="E10" s="11">
        <f t="shared" si="1"/>
        <v>1251.80000000001</v>
      </c>
      <c r="F10" s="12" t="str">
        <f t="shared" si="2"/>
        <v/>
      </c>
      <c r="G10" s="13">
        <v>1140</v>
      </c>
      <c r="H10" s="13">
        <f t="shared" si="3"/>
        <v>111.80000000000996</v>
      </c>
      <c r="I10" s="14">
        <f t="shared" si="0"/>
        <v>9.8070175438605231E-2</v>
      </c>
      <c r="J10" s="61"/>
      <c r="K10" s="61"/>
    </row>
    <row r="11" spans="1:14" ht="15.6">
      <c r="A11" s="27" t="str">
        <v>Dry Creek</v>
      </c>
      <c r="B11" s="28" t="str">
        <v>CO</v>
      </c>
      <c r="C11" s="10">
        <v>1268.3</v>
      </c>
      <c r="D11" s="15">
        <v>0</v>
      </c>
      <c r="E11" s="15">
        <f t="shared" si="1"/>
        <v>1268.3</v>
      </c>
      <c r="F11" s="16" t="str">
        <f t="shared" si="2"/>
        <v/>
      </c>
      <c r="G11" s="17">
        <v>1386</v>
      </c>
      <c r="H11" s="17">
        <f t="shared" si="3"/>
        <v>-117.70000000000005</v>
      </c>
      <c r="I11" s="16">
        <f t="shared" si="0"/>
        <v>-8.4920634920634952E-2</v>
      </c>
      <c r="J11" s="56"/>
      <c r="K11" s="56"/>
    </row>
    <row r="12" spans="1:14" ht="15.6">
      <c r="A12" s="25" t="str">
        <v>Highlands Ranch S.</v>
      </c>
      <c r="B12" s="26" t="str">
        <v>CO</v>
      </c>
      <c r="C12" s="21">
        <v>1187.5999999999899</v>
      </c>
      <c r="D12" s="11">
        <v>0</v>
      </c>
      <c r="E12" s="11">
        <f t="shared" si="1"/>
        <v>1187.5999999999899</v>
      </c>
      <c r="F12" s="12" t="str">
        <f t="shared" si="2"/>
        <v/>
      </c>
      <c r="G12" s="13">
        <v>1265</v>
      </c>
      <c r="H12" s="13">
        <f t="shared" si="3"/>
        <v>-77.400000000010095</v>
      </c>
      <c r="I12" s="14">
        <f t="shared" si="0"/>
        <v>-6.118577075099612E-2</v>
      </c>
      <c r="J12" s="61"/>
      <c r="K12" s="61"/>
    </row>
    <row r="13" spans="1:14" ht="15.6">
      <c r="A13" s="27" t="str">
        <v>Lone Tree</v>
      </c>
      <c r="B13" s="28" t="str">
        <v>CO</v>
      </c>
      <c r="C13" s="10">
        <v>1907.1000000000099</v>
      </c>
      <c r="D13" s="15">
        <v>0</v>
      </c>
      <c r="E13" s="15">
        <f t="shared" si="1"/>
        <v>1907.1000000000099</v>
      </c>
      <c r="F13" s="16" t="str">
        <f t="shared" si="2"/>
        <v/>
      </c>
      <c r="G13" s="17">
        <v>2891</v>
      </c>
      <c r="H13" s="17">
        <f t="shared" si="3"/>
        <v>-983.89999999999009</v>
      </c>
      <c r="I13" s="16">
        <f t="shared" si="0"/>
        <v>-0.34033206502939817</v>
      </c>
      <c r="J13" s="138" t="s">
        <v>49</v>
      </c>
      <c r="K13" s="56"/>
    </row>
    <row r="14" spans="1:14" ht="15.6">
      <c r="A14" s="25" t="str">
        <v>Meridian</v>
      </c>
      <c r="B14" s="26" t="str">
        <v>CO</v>
      </c>
      <c r="C14" s="21">
        <v>2004.1000000000099</v>
      </c>
      <c r="D14" s="11">
        <v>0</v>
      </c>
      <c r="E14" s="11">
        <f t="shared" si="1"/>
        <v>2004.1000000000099</v>
      </c>
      <c r="F14" s="12" t="str">
        <f t="shared" si="2"/>
        <v/>
      </c>
      <c r="G14" s="13">
        <v>1699</v>
      </c>
      <c r="H14" s="13">
        <f t="shared" si="3"/>
        <v>305.10000000000991</v>
      </c>
      <c r="I14" s="14">
        <f t="shared" si="0"/>
        <v>0.17957622130665682</v>
      </c>
      <c r="J14" s="61"/>
      <c r="K14" s="61"/>
      <c r="L14" s="50"/>
    </row>
    <row r="15" spans="1:14" ht="15.6">
      <c r="A15" s="27" t="str">
        <v>Southglenn</v>
      </c>
      <c r="B15" s="28" t="str">
        <v>CO</v>
      </c>
      <c r="C15" s="10">
        <v>1877.4</v>
      </c>
      <c r="D15" s="15">
        <v>0</v>
      </c>
      <c r="E15" s="15">
        <f t="shared" si="1"/>
        <v>1877.4</v>
      </c>
      <c r="F15" s="16" t="str">
        <f t="shared" si="2"/>
        <v/>
      </c>
      <c r="G15" s="17"/>
      <c r="H15" s="17" t="str">
        <f t="shared" si="3"/>
        <v/>
      </c>
      <c r="I15" s="16" t="str">
        <f t="shared" si="0"/>
        <v/>
      </c>
      <c r="J15" s="56"/>
      <c r="K15" s="82"/>
    </row>
    <row r="16" spans="1:14" ht="15.6">
      <c r="A16" s="25" t="str">
        <v>Standley Lake</v>
      </c>
      <c r="B16" s="26" t="str">
        <v>CO</v>
      </c>
      <c r="C16" s="21">
        <v>1987</v>
      </c>
      <c r="D16" s="11">
        <v>0</v>
      </c>
      <c r="E16" s="11">
        <f t="shared" si="1"/>
        <v>1987</v>
      </c>
      <c r="F16" s="12" t="str">
        <f t="shared" si="2"/>
        <v/>
      </c>
      <c r="G16" s="13">
        <v>2371</v>
      </c>
      <c r="H16" s="13">
        <f t="shared" si="3"/>
        <v>-384</v>
      </c>
      <c r="I16" s="14">
        <f t="shared" si="0"/>
        <v>-0.16195698017714044</v>
      </c>
      <c r="J16" s="61" t="s">
        <v>49</v>
      </c>
      <c r="K16" s="61"/>
    </row>
    <row r="17" spans="1:12" ht="15.6">
      <c r="A17" s="27" t="str">
        <v>Havana Gardens</v>
      </c>
      <c r="B17" s="28" t="str">
        <v>CO</v>
      </c>
      <c r="C17" s="10">
        <v>2177</v>
      </c>
      <c r="D17" s="15">
        <v>0</v>
      </c>
      <c r="E17" s="15">
        <f t="shared" si="1"/>
        <v>2177</v>
      </c>
      <c r="F17" s="16" t="str">
        <f t="shared" si="2"/>
        <v/>
      </c>
      <c r="G17" s="17">
        <v>926</v>
      </c>
      <c r="H17" s="17">
        <f>IF(AND(ISNUMBER(C17),ISNUMBER(G17)), C17-G17, "")</f>
        <v>1251</v>
      </c>
      <c r="I17" s="16">
        <f t="shared" si="0"/>
        <v>1.3509719222462202</v>
      </c>
      <c r="J17" s="56" t="s">
        <v>49</v>
      </c>
      <c r="K17" s="82"/>
    </row>
    <row r="18" spans="1:12" ht="24.75" customHeight="1">
      <c r="A18" s="25" t="str">
        <v>East Hartford</v>
      </c>
      <c r="B18" s="26" t="str">
        <v>CT</v>
      </c>
      <c r="C18" s="21">
        <v>203.1</v>
      </c>
      <c r="D18" s="11">
        <v>980.19349999999997</v>
      </c>
      <c r="E18" s="11">
        <f t="shared" si="1"/>
        <v>-777.09349999999995</v>
      </c>
      <c r="F18" s="12">
        <f t="shared" si="2"/>
        <v>-0.7927960142563687</v>
      </c>
      <c r="G18" s="13">
        <v>429.02539999999999</v>
      </c>
      <c r="H18" s="13">
        <f>IF(AND(ISNUMBER(C18),ISNUMBER(G18)), C18-G18, "")</f>
        <v>-225.9254</v>
      </c>
      <c r="I18" s="14">
        <f t="shared" si="0"/>
        <v>-0.52660145529845082</v>
      </c>
      <c r="J18" s="59" t="s">
        <v>49</v>
      </c>
      <c r="K18" s="61"/>
    </row>
    <row r="19" spans="1:12" ht="72">
      <c r="A19" s="27" t="str">
        <v>Norwalk</v>
      </c>
      <c r="B19" s="28" t="str">
        <v>CT</v>
      </c>
      <c r="C19" s="10">
        <v>219.84970687210401</v>
      </c>
      <c r="D19" s="15">
        <v>426.50240000000002</v>
      </c>
      <c r="E19" s="15">
        <f t="shared" si="1"/>
        <v>-206.65269312789601</v>
      </c>
      <c r="F19" s="16">
        <f t="shared" si="2"/>
        <v>-0.48452879310385122</v>
      </c>
      <c r="G19" s="17">
        <v>487.93049999999999</v>
      </c>
      <c r="H19" s="17">
        <f>IF(AND(ISNUMBER(C19),ISNUMBER(G19)), C19-G19, "")</f>
        <v>-268.08079312789596</v>
      </c>
      <c r="I19" s="16">
        <f t="shared" si="0"/>
        <v>-0.54942413546170199</v>
      </c>
      <c r="J19" s="56" t="s">
        <v>46</v>
      </c>
      <c r="K19" s="81" t="s">
        <v>47</v>
      </c>
      <c r="L19" s="79" t="s">
        <v>48</v>
      </c>
    </row>
    <row r="20" spans="1:12" ht="15.6">
      <c r="A20" s="25" t="str">
        <v>Hialeah Gardens</v>
      </c>
      <c r="B20" s="26" t="str">
        <v>FL</v>
      </c>
      <c r="C20" s="21">
        <v>2564.7028305530498</v>
      </c>
      <c r="D20" s="11">
        <v>3093.6089999999999</v>
      </c>
      <c r="E20" s="11">
        <f t="shared" si="1"/>
        <v>-528.90616944695012</v>
      </c>
      <c r="F20" s="12">
        <f t="shared" si="2"/>
        <v>-0.17096736188928535</v>
      </c>
      <c r="G20" s="13">
        <v>3739</v>
      </c>
      <c r="H20" s="13">
        <f t="shared" si="3"/>
        <v>-1174.2971694469502</v>
      </c>
      <c r="I20" s="14">
        <f t="shared" si="0"/>
        <v>-0.31406717556751812</v>
      </c>
      <c r="J20" s="59" t="s">
        <v>49</v>
      </c>
      <c r="K20" s="59"/>
    </row>
    <row r="21" spans="1:12" ht="15.6">
      <c r="A21" s="27" t="str">
        <v>W. Des Moines Campus EAST</v>
      </c>
      <c r="B21" s="28" t="str">
        <v>IA</v>
      </c>
      <c r="C21" s="10">
        <v>116148</v>
      </c>
      <c r="D21" s="15">
        <v>129057.3</v>
      </c>
      <c r="E21" s="15">
        <f t="shared" si="1"/>
        <v>-12909.300000000003</v>
      </c>
      <c r="F21" s="16">
        <f t="shared" si="2"/>
        <v>-0.10002766213147185</v>
      </c>
      <c r="G21" s="17">
        <v>124800</v>
      </c>
      <c r="H21" s="17">
        <f t="shared" si="3"/>
        <v>-8652</v>
      </c>
      <c r="I21" s="16">
        <f t="shared" si="0"/>
        <v>-6.9326923076923078E-2</v>
      </c>
      <c r="J21" s="49"/>
      <c r="K21" s="49"/>
    </row>
    <row r="22" spans="1:12" ht="15.6">
      <c r="A22" s="25" t="str">
        <v>W. Des Moines Campus SW</v>
      </c>
      <c r="B22" s="26" t="str">
        <v>IA</v>
      </c>
      <c r="C22" s="21">
        <v>49019.25</v>
      </c>
      <c r="D22" s="11">
        <v>70697.89</v>
      </c>
      <c r="E22" s="11">
        <f t="shared" si="1"/>
        <v>-21678.639999999999</v>
      </c>
      <c r="F22" s="12">
        <f t="shared" si="2"/>
        <v>-0.30663772285141749</v>
      </c>
      <c r="G22" s="13">
        <v>62858.07</v>
      </c>
      <c r="H22" s="13">
        <f t="shared" si="3"/>
        <v>-13838.82</v>
      </c>
      <c r="I22" s="14">
        <f t="shared" si="0"/>
        <v>-0.22015979809752351</v>
      </c>
      <c r="J22" s="59" t="s">
        <v>49</v>
      </c>
      <c r="K22" s="59"/>
    </row>
    <row r="23" spans="1:12" ht="15.6">
      <c r="A23" s="27" t="str">
        <v>WF - CIC</v>
      </c>
      <c r="B23" s="28" t="str">
        <v>NC</v>
      </c>
      <c r="C23" s="10">
        <v>121252</v>
      </c>
      <c r="D23" s="15">
        <v>120285.927</v>
      </c>
      <c r="E23" s="15">
        <f t="shared" si="1"/>
        <v>966.07300000000396</v>
      </c>
      <c r="F23" s="16">
        <f t="shared" si="2"/>
        <v>8.0314715452956022E-3</v>
      </c>
      <c r="G23" s="17">
        <v>116371</v>
      </c>
      <c r="H23" s="17">
        <f t="shared" si="3"/>
        <v>4881</v>
      </c>
      <c r="I23" s="16">
        <f t="shared" si="0"/>
        <v>4.1943439516718084E-2</v>
      </c>
      <c r="J23" s="39"/>
      <c r="K23" s="40"/>
    </row>
    <row r="24" spans="1:12" ht="15.6">
      <c r="A24" s="25" t="str">
        <v>Charlotte - Wells Fargo - DUC</v>
      </c>
      <c r="B24" s="26" t="str">
        <v>NC</v>
      </c>
      <c r="C24" s="21">
        <v>115950</v>
      </c>
      <c r="D24" s="11">
        <v>130575.523</v>
      </c>
      <c r="E24" s="11">
        <f t="shared" si="1"/>
        <v>-14625.523000000001</v>
      </c>
      <c r="F24" s="12">
        <f t="shared" si="2"/>
        <v>-0.1120081517881418</v>
      </c>
      <c r="G24" s="13">
        <v>128348.516</v>
      </c>
      <c r="H24" s="13">
        <f t="shared" si="3"/>
        <v>-12398.516000000003</v>
      </c>
      <c r="I24" s="14">
        <f t="shared" si="0"/>
        <v>-9.660038453424738E-2</v>
      </c>
      <c r="J24" s="59"/>
      <c r="K24" s="59"/>
    </row>
    <row r="25" spans="1:12" ht="15.6">
      <c r="A25" s="27" t="str">
        <v>East Windsor</v>
      </c>
      <c r="B25" s="28" t="str">
        <v>NJ</v>
      </c>
      <c r="C25" s="10">
        <v>572.19999999999698</v>
      </c>
      <c r="D25" s="15">
        <v>628.52</v>
      </c>
      <c r="E25" s="15">
        <f t="shared" si="1"/>
        <v>-56.320000000003006</v>
      </c>
      <c r="F25" s="16">
        <f t="shared" si="2"/>
        <v>-8.9607331508946425E-2</v>
      </c>
      <c r="G25" s="17">
        <v>479.25749999999999</v>
      </c>
      <c r="H25" s="17">
        <f t="shared" si="3"/>
        <v>92.942499999996983</v>
      </c>
      <c r="I25" s="16">
        <f t="shared" si="0"/>
        <v>0.19393019410232909</v>
      </c>
      <c r="J25" s="39"/>
      <c r="K25" s="40"/>
    </row>
    <row r="26" spans="1:12" ht="15.6">
      <c r="A26" s="25" t="str">
        <v>Burlington</v>
      </c>
      <c r="B26" s="26" t="str">
        <v>NJ</v>
      </c>
      <c r="C26" s="21">
        <v>1564</v>
      </c>
      <c r="D26" s="11">
        <v>1361.461</v>
      </c>
      <c r="E26" s="11">
        <f t="shared" si="1"/>
        <v>202.53899999999999</v>
      </c>
      <c r="F26" s="12">
        <f t="shared" si="2"/>
        <v>0.14876592131541042</v>
      </c>
      <c r="G26" s="13">
        <v>1358.153</v>
      </c>
      <c r="H26" s="13">
        <f>IF(AND(ISNUMBER(C26),ISNUMBER(G26)), C26-G26, "")</f>
        <v>205.84699999999998</v>
      </c>
      <c r="I26" s="14">
        <f t="shared" si="0"/>
        <v>0.15156392541930105</v>
      </c>
      <c r="J26" s="59"/>
      <c r="K26" s="59"/>
    </row>
    <row r="27" spans="1:12" ht="15.6">
      <c r="A27" s="27" t="str">
        <v>Bayonne</v>
      </c>
      <c r="B27" s="28" t="str">
        <v>NJ</v>
      </c>
      <c r="C27" s="10">
        <v>1883.79999999999</v>
      </c>
      <c r="D27" s="15">
        <v>1981.854</v>
      </c>
      <c r="E27" s="15">
        <f t="shared" si="1"/>
        <v>-98.054000000010092</v>
      </c>
      <c r="F27" s="16">
        <f t="shared" si="2"/>
        <v>-4.947589479346616E-2</v>
      </c>
      <c r="G27" s="17">
        <v>2310.944</v>
      </c>
      <c r="H27" s="17">
        <f t="shared" si="3"/>
        <v>-427.14400000001001</v>
      </c>
      <c r="I27" s="16">
        <f t="shared" si="0"/>
        <v>-0.18483528809006622</v>
      </c>
      <c r="J27" s="138" t="s">
        <v>49</v>
      </c>
      <c r="K27" s="40"/>
    </row>
    <row r="28" spans="1:12" ht="15.6">
      <c r="A28" s="25" t="str">
        <v>Clifton</v>
      </c>
      <c r="B28" s="26" t="str">
        <v>NJ</v>
      </c>
      <c r="C28" s="21">
        <v>2260.65625</v>
      </c>
      <c r="D28" s="11">
        <v>2567.895</v>
      </c>
      <c r="E28" s="11">
        <f t="shared" si="1"/>
        <v>-307.23874999999998</v>
      </c>
      <c r="F28" s="12">
        <f t="shared" si="2"/>
        <v>-0.11964614986204654</v>
      </c>
      <c r="G28" s="13">
        <v>3023.0810000000001</v>
      </c>
      <c r="H28" s="13">
        <f t="shared" si="3"/>
        <v>-762.42475000000013</v>
      </c>
      <c r="I28" s="14">
        <f t="shared" si="0"/>
        <v>-0.25220123112811071</v>
      </c>
      <c r="J28" s="59" t="s">
        <v>49</v>
      </c>
      <c r="K28" s="59"/>
    </row>
    <row r="29" spans="1:12" ht="15.6">
      <c r="A29" s="27" t="str">
        <v>North Elizabeth</v>
      </c>
      <c r="B29" s="28" t="str">
        <v>NJ</v>
      </c>
      <c r="C29" s="10">
        <v>1699.20000000001</v>
      </c>
      <c r="D29" s="15">
        <v>1480.1469999999999</v>
      </c>
      <c r="E29" s="15">
        <f t="shared" si="1"/>
        <v>219.05300000001012</v>
      </c>
      <c r="F29" s="16">
        <f t="shared" si="2"/>
        <v>0.14799408437135644</v>
      </c>
      <c r="G29" s="17">
        <v>1907.788</v>
      </c>
      <c r="H29" s="17">
        <f t="shared" si="3"/>
        <v>-208.58799999998996</v>
      </c>
      <c r="I29" s="16">
        <f t="shared" si="0"/>
        <v>-0.10933499948631083</v>
      </c>
      <c r="J29" s="39" t="s">
        <v>49</v>
      </c>
      <c r="K29" s="40"/>
    </row>
    <row r="30" spans="1:12" ht="15.6">
      <c r="A30" s="25" t="str">
        <v>Haddon Westmont Plaza</v>
      </c>
      <c r="B30" s="26" t="str">
        <v>NJ</v>
      </c>
      <c r="C30" s="21">
        <v>1316.3999999999901</v>
      </c>
      <c r="D30" s="11">
        <v>1300.732</v>
      </c>
      <c r="E30" s="11">
        <f t="shared" si="1"/>
        <v>15.667999999990116</v>
      </c>
      <c r="F30" s="12">
        <f t="shared" si="2"/>
        <v>1.2045525135070187E-2</v>
      </c>
      <c r="G30" s="13">
        <v>1317.854</v>
      </c>
      <c r="H30" s="13">
        <f t="shared" si="3"/>
        <v>-1.4540000000099553</v>
      </c>
      <c r="I30" s="14">
        <f t="shared" si="0"/>
        <v>-1.1033088642671762E-3</v>
      </c>
      <c r="J30" s="59"/>
      <c r="K30" s="59"/>
    </row>
    <row r="31" spans="1:12" ht="15.6">
      <c r="A31" s="27" t="str">
        <v>Parsippany</v>
      </c>
      <c r="B31" s="28" t="str">
        <v>NJ</v>
      </c>
      <c r="C31" s="10">
        <v>1672.0999999999899</v>
      </c>
      <c r="D31" s="15">
        <v>1810.192</v>
      </c>
      <c r="E31" s="15">
        <f t="shared" si="1"/>
        <v>-138.0920000000101</v>
      </c>
      <c r="F31" s="16">
        <f t="shared" si="2"/>
        <v>-7.6285830453349759E-2</v>
      </c>
      <c r="G31" s="17">
        <v>1720.7909999999999</v>
      </c>
      <c r="H31" s="17">
        <f t="shared" si="3"/>
        <v>-48.691000000010035</v>
      </c>
      <c r="I31" s="16">
        <f t="shared" si="0"/>
        <v>-2.8295708194667472E-2</v>
      </c>
      <c r="J31" s="39"/>
      <c r="K31" s="40"/>
    </row>
    <row r="32" spans="1:12" ht="15.6">
      <c r="A32" s="25" t="str">
        <v>Clark</v>
      </c>
      <c r="B32" s="26" t="str">
        <v>NJ</v>
      </c>
      <c r="C32" s="21">
        <v>1390</v>
      </c>
      <c r="D32" s="11">
        <v>1359.914</v>
      </c>
      <c r="E32" s="11">
        <f t="shared" si="1"/>
        <v>30.086000000000013</v>
      </c>
      <c r="F32" s="12">
        <f t="shared" si="2"/>
        <v>2.2123457806890741E-2</v>
      </c>
      <c r="G32" s="13">
        <v>1373.2080000000001</v>
      </c>
      <c r="H32" s="13">
        <f t="shared" si="3"/>
        <v>16.791999999999916</v>
      </c>
      <c r="I32" s="14">
        <f t="shared" si="0"/>
        <v>1.2228300446836834E-2</v>
      </c>
      <c r="J32" s="59"/>
      <c r="K32" s="59"/>
    </row>
    <row r="33" spans="1:11" ht="15.6">
      <c r="A33" s="27" t="str">
        <v>Closter</v>
      </c>
      <c r="B33" s="28" t="str">
        <v>NJ</v>
      </c>
      <c r="C33" s="10">
        <v>355.00000000000398</v>
      </c>
      <c r="D33" s="15">
        <v>417.41399999999999</v>
      </c>
      <c r="E33" s="15">
        <f t="shared" si="1"/>
        <v>-62.413999999996008</v>
      </c>
      <c r="F33" s="16">
        <f t="shared" si="2"/>
        <v>-0.14952541122242188</v>
      </c>
      <c r="G33" s="17">
        <v>766.56449999999995</v>
      </c>
      <c r="H33" s="17">
        <f t="shared" si="3"/>
        <v>-411.56449999999597</v>
      </c>
      <c r="I33" s="16">
        <f t="shared" si="0"/>
        <v>-0.53689480793853095</v>
      </c>
      <c r="J33" s="138" t="s">
        <v>49</v>
      </c>
      <c r="K33" s="40"/>
    </row>
    <row r="34" spans="1:11" ht="15.6">
      <c r="A34" s="25" t="str">
        <v>Holmdel</v>
      </c>
      <c r="B34" s="26" t="str">
        <v>NJ</v>
      </c>
      <c r="C34" s="21">
        <v>1229.7</v>
      </c>
      <c r="D34" s="11">
        <v>4382.009</v>
      </c>
      <c r="E34" s="11">
        <f t="shared" si="1"/>
        <v>-3152.3090000000002</v>
      </c>
      <c r="F34" s="12">
        <f t="shared" si="2"/>
        <v>-0.71937529110506171</v>
      </c>
      <c r="G34" s="13">
        <v>996.42679999999996</v>
      </c>
      <c r="H34" s="13">
        <f t="shared" si="3"/>
        <v>233.27320000000009</v>
      </c>
      <c r="I34" s="14">
        <f t="shared" si="0"/>
        <v>0.23410972085455761</v>
      </c>
      <c r="J34" s="59" t="s">
        <v>49</v>
      </c>
      <c r="K34" s="59"/>
    </row>
    <row r="35" spans="1:11" ht="15.6">
      <c r="A35" s="27" t="str">
        <v>Ellisburg Circle Center</v>
      </c>
      <c r="B35" s="28" t="str">
        <v>NJ</v>
      </c>
      <c r="C35" s="10">
        <v>599.70000000000095</v>
      </c>
      <c r="D35" s="15">
        <v>614.25</v>
      </c>
      <c r="E35" s="15">
        <f t="shared" si="1"/>
        <v>-14.549999999999045</v>
      </c>
      <c r="F35" s="16">
        <f t="shared" si="2"/>
        <v>-2.3687423687422132E-2</v>
      </c>
      <c r="G35" s="17">
        <v>612.28380000000004</v>
      </c>
      <c r="H35" s="17">
        <f t="shared" si="3"/>
        <v>-12.583799999999087</v>
      </c>
      <c r="I35" s="16">
        <f t="shared" si="0"/>
        <v>-2.055223411104309E-2</v>
      </c>
      <c r="J35" s="39"/>
      <c r="K35" s="40"/>
    </row>
    <row r="36" spans="1:11" ht="15.6">
      <c r="A36" s="25" t="str">
        <v>Nutley</v>
      </c>
      <c r="B36" s="26" t="str">
        <v>NJ</v>
      </c>
      <c r="C36" s="21">
        <v>1890.80000000002</v>
      </c>
      <c r="D36" s="11">
        <v>1981.634</v>
      </c>
      <c r="E36" s="11">
        <f t="shared" si="1"/>
        <v>-90.833999999980051</v>
      </c>
      <c r="F36" s="12">
        <f t="shared" si="2"/>
        <v>-4.5837929708503207E-2</v>
      </c>
      <c r="G36" s="13">
        <v>2487.5830000000001</v>
      </c>
      <c r="H36" s="13">
        <f t="shared" si="3"/>
        <v>-596.78299999998012</v>
      </c>
      <c r="I36" s="14">
        <f t="shared" si="0"/>
        <v>-0.23990475895677857</v>
      </c>
      <c r="J36" s="59" t="s">
        <v>49</v>
      </c>
      <c r="K36" s="59"/>
    </row>
    <row r="37" spans="1:11" ht="15.6">
      <c r="A37" s="27" t="str">
        <v>Marlton</v>
      </c>
      <c r="B37" s="28" t="str">
        <v>NJ</v>
      </c>
      <c r="C37" s="10">
        <v>2317.3000000000002</v>
      </c>
      <c r="D37" s="15">
        <v>1706.001</v>
      </c>
      <c r="E37" s="15">
        <f t="shared" si="1"/>
        <v>611.29900000000021</v>
      </c>
      <c r="F37" s="16">
        <f t="shared" si="2"/>
        <v>0.35832276768888188</v>
      </c>
      <c r="G37" s="17">
        <v>2205.2420000000002</v>
      </c>
      <c r="H37" s="17">
        <f t="shared" si="3"/>
        <v>112.05799999999999</v>
      </c>
      <c r="I37" s="16">
        <f t="shared" si="0"/>
        <v>5.0814377741762576E-2</v>
      </c>
      <c r="J37" s="39" t="s">
        <v>49</v>
      </c>
      <c r="K37" s="40"/>
    </row>
    <row r="38" spans="1:11" ht="15.6">
      <c r="A38" s="25" t="str">
        <v>Middletown</v>
      </c>
      <c r="B38" s="26" t="str">
        <v>NJ</v>
      </c>
      <c r="C38" s="21">
        <v>2083.6999999999998</v>
      </c>
      <c r="D38" s="11">
        <v>1649.62</v>
      </c>
      <c r="E38" s="11">
        <f t="shared" si="1"/>
        <v>434.07999999999993</v>
      </c>
      <c r="F38" s="12">
        <f t="shared" si="2"/>
        <v>0.26313938967762268</v>
      </c>
      <c r="G38" s="13">
        <v>1900.9010000000001</v>
      </c>
      <c r="H38" s="13">
        <f t="shared" si="3"/>
        <v>182.79899999999975</v>
      </c>
      <c r="I38" s="14">
        <f t="shared" si="0"/>
        <v>9.6164397830291917E-2</v>
      </c>
      <c r="J38" s="59" t="s">
        <v>49</v>
      </c>
      <c r="K38" s="59"/>
    </row>
    <row r="39" spans="1:11" ht="15.6">
      <c r="A39" s="27" t="str">
        <v>Whiting Crestwood</v>
      </c>
      <c r="B39" s="28" t="str">
        <v>NJ</v>
      </c>
      <c r="C39" s="10">
        <v>2872.8999999999901</v>
      </c>
      <c r="D39" s="15">
        <v>2823.5039999999999</v>
      </c>
      <c r="E39" s="15">
        <f t="shared" si="1"/>
        <v>49.395999999990181</v>
      </c>
      <c r="F39" s="16">
        <f t="shared" si="2"/>
        <v>1.7494574117830251E-2</v>
      </c>
      <c r="G39" s="17">
        <v>2952.8009999999999</v>
      </c>
      <c r="H39" s="17">
        <f t="shared" si="3"/>
        <v>-79.901000000009844</v>
      </c>
      <c r="I39" s="16">
        <f t="shared" si="0"/>
        <v>-2.7059392082300786E-2</v>
      </c>
      <c r="J39" s="39"/>
      <c r="K39" s="40"/>
    </row>
    <row r="40" spans="1:11" ht="15.6">
      <c r="A40" s="25" t="str">
        <v>Barnegat</v>
      </c>
      <c r="B40" s="26" t="str">
        <v>NJ</v>
      </c>
      <c r="C40" s="21">
        <v>3220.9850000000201</v>
      </c>
      <c r="D40" s="11">
        <v>2723.4549999999999</v>
      </c>
      <c r="E40" s="11">
        <f t="shared" si="1"/>
        <v>497.53000000002021</v>
      </c>
      <c r="F40" s="12">
        <f t="shared" si="2"/>
        <v>0.18268339296959935</v>
      </c>
      <c r="G40" s="13">
        <v>2730.7310000000002</v>
      </c>
      <c r="H40" s="13">
        <f t="shared" si="3"/>
        <v>490.25400000001991</v>
      </c>
      <c r="I40" s="14">
        <f t="shared" si="0"/>
        <v>0.17953214725288572</v>
      </c>
      <c r="J40" s="59" t="s">
        <v>49</v>
      </c>
      <c r="K40" s="59"/>
    </row>
    <row r="41" spans="1:11" ht="15.6">
      <c r="A41" s="27" t="str">
        <v>Manchester</v>
      </c>
      <c r="B41" s="28" t="str">
        <v>NJ</v>
      </c>
      <c r="C41" s="10">
        <v>1477.79999999999</v>
      </c>
      <c r="D41" s="15">
        <v>1829.171</v>
      </c>
      <c r="E41" s="15">
        <f t="shared" si="1"/>
        <v>-351.3710000000101</v>
      </c>
      <c r="F41" s="16">
        <f t="shared" si="2"/>
        <v>-0.19209303012130091</v>
      </c>
      <c r="G41" s="17">
        <v>2366.9430000000002</v>
      </c>
      <c r="H41" s="17">
        <f t="shared" si="3"/>
        <v>-889.14300000001026</v>
      </c>
      <c r="I41" s="16">
        <f t="shared" si="0"/>
        <v>-0.37565036420395853</v>
      </c>
      <c r="J41" s="138" t="s">
        <v>49</v>
      </c>
      <c r="K41" s="40"/>
    </row>
    <row r="42" spans="1:11" ht="28.9">
      <c r="A42" s="25" t="str">
        <v>West Deptford - Woodbury</v>
      </c>
      <c r="B42" s="26" t="str">
        <v>NJ</v>
      </c>
      <c r="C42" s="21">
        <v>2429.6999999999998</v>
      </c>
      <c r="D42" s="11">
        <v>2314.7629999999999</v>
      </c>
      <c r="E42" s="11">
        <f t="shared" si="1"/>
        <v>114.9369999999999</v>
      </c>
      <c r="F42" s="12">
        <f t="shared" si="2"/>
        <v>4.9653895452795777E-2</v>
      </c>
      <c r="G42" s="13">
        <v>2342.3919999999998</v>
      </c>
      <c r="H42" s="13">
        <f t="shared" si="3"/>
        <v>87.307999999999993</v>
      </c>
      <c r="I42" s="14">
        <f t="shared" si="0"/>
        <v>3.7273009812191983E-2</v>
      </c>
      <c r="J42" s="61" t="s">
        <v>69</v>
      </c>
      <c r="K42" s="83" t="s">
        <v>70</v>
      </c>
    </row>
    <row r="43" spans="1:11" ht="15.6">
      <c r="A43" s="27" t="str">
        <v>Edison</v>
      </c>
      <c r="B43" s="28" t="str">
        <v>NJ</v>
      </c>
      <c r="C43" s="10">
        <v>2143.00000000001</v>
      </c>
      <c r="D43" s="15">
        <v>1706.395</v>
      </c>
      <c r="E43" s="15">
        <f t="shared" si="1"/>
        <v>436.60500000001002</v>
      </c>
      <c r="F43" s="16">
        <f t="shared" si="2"/>
        <v>0.25586397053437804</v>
      </c>
      <c r="G43" s="17">
        <v>2079.5700000000002</v>
      </c>
      <c r="H43" s="17">
        <f t="shared" si="3"/>
        <v>63.430000000009841</v>
      </c>
      <c r="I43" s="16">
        <f t="shared" si="0"/>
        <v>3.0501497905821798E-2</v>
      </c>
      <c r="J43" s="56" t="s">
        <v>49</v>
      </c>
      <c r="K43" s="82"/>
    </row>
    <row r="44" spans="1:11" ht="15.6">
      <c r="A44" s="25" t="str">
        <v>Flemington</v>
      </c>
      <c r="B44" s="26" t="str">
        <v>NJ</v>
      </c>
      <c r="C44" s="21">
        <v>1790.79999999999</v>
      </c>
      <c r="D44" s="11">
        <v>1627.633</v>
      </c>
      <c r="E44" s="11">
        <f t="shared" si="1"/>
        <v>163.16699999998991</v>
      </c>
      <c r="F44" s="12">
        <f t="shared" si="2"/>
        <v>0.10024802888611248</v>
      </c>
      <c r="G44" s="13">
        <v>1846.7840000000001</v>
      </c>
      <c r="H44" s="13">
        <f t="shared" si="3"/>
        <v>-55.984000000010155</v>
      </c>
      <c r="I44" s="14">
        <f t="shared" si="0"/>
        <v>-3.0314319378990803E-2</v>
      </c>
      <c r="J44" s="61"/>
      <c r="K44" s="61"/>
    </row>
    <row r="45" spans="1:11" ht="15.6">
      <c r="A45" s="27" t="str">
        <v>Route 22</v>
      </c>
      <c r="B45" s="28" t="str">
        <v>NJ</v>
      </c>
      <c r="C45" s="10">
        <v>1869.8999999999901</v>
      </c>
      <c r="D45" s="15">
        <v>2004.3009999999999</v>
      </c>
      <c r="E45" s="15">
        <f t="shared" si="1"/>
        <v>-134.40100000000984</v>
      </c>
      <c r="F45" s="16">
        <f t="shared" si="2"/>
        <v>-6.705629543666837E-2</v>
      </c>
      <c r="G45" s="17">
        <v>1907.7360000000001</v>
      </c>
      <c r="H45" s="17">
        <f t="shared" si="3"/>
        <v>-37.836000000010017</v>
      </c>
      <c r="I45" s="16">
        <f t="shared" si="0"/>
        <v>-1.9832932858639778E-2</v>
      </c>
      <c r="J45" s="56"/>
      <c r="K45" s="82"/>
    </row>
    <row r="46" spans="1:11" ht="15.6">
      <c r="A46" s="25" t="str">
        <v>Laurelton</v>
      </c>
      <c r="B46" s="26" t="str">
        <v>NJ</v>
      </c>
      <c r="C46" s="21">
        <v>1086.7</v>
      </c>
      <c r="D46" s="11">
        <v>1514.0160000000001</v>
      </c>
      <c r="E46" s="11">
        <f t="shared" si="1"/>
        <v>-427.31600000000003</v>
      </c>
      <c r="F46" s="12">
        <f t="shared" si="2"/>
        <v>-0.28224008200705936</v>
      </c>
      <c r="G46" s="13">
        <v>1506.5429999999999</v>
      </c>
      <c r="H46" s="13">
        <f t="shared" si="3"/>
        <v>-419.84299999999985</v>
      </c>
      <c r="I46" s="14">
        <f t="shared" si="0"/>
        <v>-0.27867973234086241</v>
      </c>
      <c r="J46" s="61" t="s">
        <v>49</v>
      </c>
      <c r="K46" s="61"/>
    </row>
    <row r="47" spans="1:11" ht="15.6">
      <c r="A47" s="27" t="str">
        <v>Mahwah</v>
      </c>
      <c r="B47" s="28" t="str">
        <v>NJ</v>
      </c>
      <c r="C47" s="10">
        <v>1287.8999999999901</v>
      </c>
      <c r="D47" s="15">
        <v>1575.6659999999999</v>
      </c>
      <c r="E47" s="15">
        <f t="shared" si="1"/>
        <v>-287.76600000000985</v>
      </c>
      <c r="F47" s="16">
        <f t="shared" si="2"/>
        <v>-0.18263134446006316</v>
      </c>
      <c r="G47" s="17">
        <v>1464.1579999999999</v>
      </c>
      <c r="H47" s="17">
        <f t="shared" si="3"/>
        <v>-176.25800000000982</v>
      </c>
      <c r="I47" s="16">
        <f t="shared" si="0"/>
        <v>-0.12038181671650862</v>
      </c>
      <c r="J47" s="56" t="s">
        <v>49</v>
      </c>
      <c r="K47" s="82"/>
    </row>
    <row r="48" spans="1:11" ht="15.6">
      <c r="A48" s="25" t="str">
        <v>Franklin Township WF</v>
      </c>
      <c r="B48" s="26" t="str">
        <v>NJ</v>
      </c>
      <c r="C48" s="21">
        <v>1622</v>
      </c>
      <c r="D48" s="11">
        <v>1491.568</v>
      </c>
      <c r="E48" s="11">
        <f t="shared" si="1"/>
        <v>130.43200000000002</v>
      </c>
      <c r="F48" s="12">
        <f t="shared" si="2"/>
        <v>8.7446231080312811E-2</v>
      </c>
      <c r="G48" s="13">
        <v>2145.6759999999999</v>
      </c>
      <c r="H48" s="13">
        <f t="shared" si="3"/>
        <v>-523.67599999999993</v>
      </c>
      <c r="I48" s="14">
        <f t="shared" si="0"/>
        <v>-0.24406107911912142</v>
      </c>
      <c r="J48" s="61" t="s">
        <v>49</v>
      </c>
      <c r="K48" s="61"/>
    </row>
    <row r="49" spans="1:11" ht="15.6">
      <c r="A49" s="27" t="str">
        <v>Bordentown</v>
      </c>
      <c r="B49" s="28" t="str">
        <v>NJ</v>
      </c>
      <c r="C49" s="10">
        <v>1431.8</v>
      </c>
      <c r="D49" s="15">
        <v>1136.6489999999999</v>
      </c>
      <c r="E49" s="15">
        <f t="shared" si="1"/>
        <v>295.15100000000007</v>
      </c>
      <c r="F49" s="16">
        <f t="shared" si="2"/>
        <v>0.25966767225414361</v>
      </c>
      <c r="G49" s="17">
        <v>1253.191</v>
      </c>
      <c r="H49" s="17">
        <f t="shared" si="3"/>
        <v>178.60899999999992</v>
      </c>
      <c r="I49" s="16">
        <f t="shared" si="0"/>
        <v>0.14252336635038068</v>
      </c>
      <c r="J49" s="56" t="s">
        <v>49</v>
      </c>
      <c r="K49" s="82"/>
    </row>
    <row r="50" spans="1:11" ht="15.6">
      <c r="A50" s="25" t="str">
        <v>South Plainfield</v>
      </c>
      <c r="B50" s="26" t="str">
        <v>NJ</v>
      </c>
      <c r="C50" s="21">
        <v>1015.3</v>
      </c>
      <c r="D50" s="11">
        <v>852.28219999999999</v>
      </c>
      <c r="E50" s="11">
        <f t="shared" si="1"/>
        <v>163.01779999999997</v>
      </c>
      <c r="F50" s="12">
        <f t="shared" si="2"/>
        <v>0.19127209274111318</v>
      </c>
      <c r="G50" s="13">
        <v>939.15219999999999</v>
      </c>
      <c r="H50" s="13">
        <f t="shared" si="3"/>
        <v>76.147799999999961</v>
      </c>
      <c r="I50" s="14">
        <f t="shared" si="0"/>
        <v>8.1081426418422878E-2</v>
      </c>
      <c r="J50" s="61"/>
      <c r="K50" s="61"/>
    </row>
    <row r="51" spans="1:11" ht="15.6">
      <c r="A51" s="27" t="str">
        <v>Somerset</v>
      </c>
      <c r="B51" s="28" t="str">
        <v>NJ</v>
      </c>
      <c r="C51" s="10">
        <v>1472.4</v>
      </c>
      <c r="D51" s="15">
        <v>2123.8879999999999</v>
      </c>
      <c r="E51" s="15">
        <f t="shared" si="1"/>
        <v>-651.48799999999983</v>
      </c>
      <c r="F51" s="16">
        <f t="shared" si="2"/>
        <v>-0.30674310509782055</v>
      </c>
      <c r="G51" s="17">
        <v>1440.229</v>
      </c>
      <c r="H51" s="17">
        <f t="shared" si="3"/>
        <v>32.171000000000049</v>
      </c>
      <c r="I51" s="16">
        <f t="shared" si="0"/>
        <v>2.2337419951966007E-2</v>
      </c>
      <c r="J51" s="56" t="s">
        <v>49</v>
      </c>
      <c r="K51" s="82"/>
    </row>
    <row r="52" spans="1:11" ht="15.6">
      <c r="A52" s="25" t="str">
        <v>Clinton Main Relo</v>
      </c>
      <c r="B52" s="26" t="str">
        <v>NJ</v>
      </c>
      <c r="C52" s="21">
        <v>1600.289</v>
      </c>
      <c r="D52" s="11"/>
      <c r="E52" s="11" t="str">
        <f t="shared" si="1"/>
        <v/>
      </c>
      <c r="F52" s="12" t="str">
        <f t="shared" si="2"/>
        <v/>
      </c>
      <c r="G52" s="13"/>
      <c r="H52" s="13" t="str">
        <f t="shared" si="3"/>
        <v/>
      </c>
      <c r="I52" s="14" t="str">
        <f t="shared" si="0"/>
        <v/>
      </c>
      <c r="J52" s="61"/>
      <c r="K52" s="83" t="s">
        <v>51</v>
      </c>
    </row>
    <row r="53" spans="1:11" ht="72">
      <c r="A53" s="27" t="str">
        <v>North Brunswick</v>
      </c>
      <c r="B53" s="28" t="str">
        <v>NJ</v>
      </c>
      <c r="C53" s="10">
        <v>1727.8999999999901</v>
      </c>
      <c r="D53" s="15">
        <v>1525.51</v>
      </c>
      <c r="E53" s="15">
        <f t="shared" si="1"/>
        <v>202.3899999999901</v>
      </c>
      <c r="F53" s="16">
        <f t="shared" si="2"/>
        <v>0.13267038564151667</v>
      </c>
      <c r="G53" s="17">
        <v>1842.835</v>
      </c>
      <c r="H53" s="17">
        <f t="shared" si="3"/>
        <v>-114.93500000000995</v>
      </c>
      <c r="I53" s="16">
        <f t="shared" si="0"/>
        <v>-6.2368578847270616E-2</v>
      </c>
      <c r="J53" s="56" t="s">
        <v>71</v>
      </c>
      <c r="K53" s="84" t="s">
        <v>72</v>
      </c>
    </row>
    <row r="54" spans="1:11" ht="43.15">
      <c r="A54" s="25" t="str">
        <v>Cherry Hill</v>
      </c>
      <c r="B54" s="26" t="str">
        <v>NJ</v>
      </c>
      <c r="C54" s="21">
        <v>1142.46574371937</v>
      </c>
      <c r="D54" s="11">
        <v>1225.7829999999999</v>
      </c>
      <c r="E54" s="11">
        <f t="shared" si="1"/>
        <v>-83.317256280629863</v>
      </c>
      <c r="F54" s="12">
        <f t="shared" si="2"/>
        <v>-6.7970641035672602E-2</v>
      </c>
      <c r="G54" s="13">
        <v>1191.8710000000001</v>
      </c>
      <c r="H54" s="13">
        <f t="shared" si="3"/>
        <v>-49.405256280630056</v>
      </c>
      <c r="I54" s="14">
        <f t="shared" si="0"/>
        <v>-4.1451848631798287E-2</v>
      </c>
      <c r="J54" s="61" t="s">
        <v>52</v>
      </c>
      <c r="K54" s="83" t="s">
        <v>53</v>
      </c>
    </row>
    <row r="55" spans="1:11" ht="15.6">
      <c r="A55" s="27" t="str">
        <v>Hainesport</v>
      </c>
      <c r="B55" s="28" t="str">
        <v>NJ</v>
      </c>
      <c r="C55" s="51">
        <v>1390.6</v>
      </c>
      <c r="D55" s="15">
        <v>1335.8219999999999</v>
      </c>
      <c r="E55" s="15">
        <f t="shared" si="1"/>
        <v>54.77800000000002</v>
      </c>
      <c r="F55" s="16">
        <f t="shared" si="2"/>
        <v>4.100696050821144E-2</v>
      </c>
      <c r="G55" s="17">
        <v>1156.046</v>
      </c>
      <c r="H55" s="17">
        <f t="shared" si="3"/>
        <v>234.55399999999986</v>
      </c>
      <c r="I55" s="16">
        <f t="shared" si="0"/>
        <v>0.20289331047380454</v>
      </c>
      <c r="J55" s="39"/>
      <c r="K55" s="39"/>
    </row>
    <row r="56" spans="1:11" ht="15.6">
      <c r="A56" s="25" t="str">
        <v>San Antonio - Ops Ctr (Bldg 106)</v>
      </c>
      <c r="B56" s="26" t="str">
        <v>TX</v>
      </c>
      <c r="C56" s="52">
        <v>32009.125</v>
      </c>
      <c r="D56" s="11">
        <v>36207.881000000001</v>
      </c>
      <c r="E56" s="11">
        <f t="shared" si="1"/>
        <v>-4198.7560000000012</v>
      </c>
      <c r="F56" s="12">
        <f>IFERROR(E56/D56, "")</f>
        <v>-0.11596248893990789</v>
      </c>
      <c r="G56" s="13">
        <v>37510.75</v>
      </c>
      <c r="H56" s="13">
        <f t="shared" si="3"/>
        <v>-5501.625</v>
      </c>
      <c r="I56" s="14">
        <f t="shared" si="0"/>
        <v>-0.14666795518617995</v>
      </c>
      <c r="J56" s="59" t="s">
        <v>54</v>
      </c>
      <c r="K56" s="59"/>
    </row>
    <row r="57" spans="1:11" ht="15.6">
      <c r="A57" s="27" t="str">
        <v>San Antonio - Ops Ctr GM</v>
      </c>
      <c r="B57" s="28" t="str">
        <v>TX</v>
      </c>
      <c r="C57" s="10">
        <v>239670.5</v>
      </c>
      <c r="D57" s="15">
        <v>272681.18699999998</v>
      </c>
      <c r="E57" s="15">
        <f t="shared" si="1"/>
        <v>-33010.686999999976</v>
      </c>
      <c r="F57" s="16">
        <f t="shared" si="2"/>
        <v>-0.12105964244610677</v>
      </c>
      <c r="G57" s="17">
        <v>304922</v>
      </c>
      <c r="H57" s="17">
        <f t="shared" si="3"/>
        <v>-65251.5</v>
      </c>
      <c r="I57" s="16">
        <f t="shared" si="0"/>
        <v>-0.21399407061478018</v>
      </c>
      <c r="J57" s="39" t="s">
        <v>54</v>
      </c>
      <c r="K57" s="39"/>
    </row>
    <row r="58" spans="1:11" ht="15.6">
      <c r="A58" s="25" t="str">
        <v>San Antonio - Ctr (Bldg 201)</v>
      </c>
      <c r="B58" s="26" t="str">
        <v>TX</v>
      </c>
      <c r="C58" s="21">
        <v>32332.25</v>
      </c>
      <c r="D58" s="11">
        <v>35889.978000000003</v>
      </c>
      <c r="E58" s="11">
        <f t="shared" si="1"/>
        <v>-3557.7280000000028</v>
      </c>
      <c r="F58" s="12">
        <f t="shared" si="2"/>
        <v>-9.9128731703318471E-2</v>
      </c>
      <c r="G58" s="13">
        <v>37271.57</v>
      </c>
      <c r="H58" s="13">
        <f t="shared" si="3"/>
        <v>-4939.32</v>
      </c>
      <c r="I58" s="14">
        <f t="shared" si="0"/>
        <v>-0.13252245612406452</v>
      </c>
      <c r="J58" s="59" t="s">
        <v>54</v>
      </c>
      <c r="K58" s="59"/>
    </row>
    <row r="59" spans="1:11" ht="15.6">
      <c r="A59" s="27" t="str">
        <v>San Antonio - Ops Ctr (Bldg 203)</v>
      </c>
      <c r="B59" s="28" t="str">
        <v>TX</v>
      </c>
      <c r="C59" s="10">
        <v>33951.5</v>
      </c>
      <c r="D59" s="15">
        <v>33073.794000000002</v>
      </c>
      <c r="E59" s="15">
        <f t="shared" si="1"/>
        <v>877.70599999999831</v>
      </c>
      <c r="F59" s="16">
        <f t="shared" si="2"/>
        <v>2.6537808151069642E-2</v>
      </c>
      <c r="G59" s="17">
        <v>38422.97</v>
      </c>
      <c r="H59" s="17">
        <f t="shared" si="3"/>
        <v>-4471.4700000000012</v>
      </c>
      <c r="I59" s="16">
        <f t="shared" si="0"/>
        <v>-0.116374918440714</v>
      </c>
      <c r="J59" s="39" t="s">
        <v>54</v>
      </c>
      <c r="K59" s="39"/>
    </row>
    <row r="60" spans="1:11" ht="28.9">
      <c r="A60" s="25" t="str">
        <v>San Antonio - Ops Ctr (Bldg 205)</v>
      </c>
      <c r="B60" s="26" t="str">
        <v>TX</v>
      </c>
      <c r="C60" s="21">
        <v>30207.425999999999</v>
      </c>
      <c r="D60" s="11">
        <v>32733.752</v>
      </c>
      <c r="E60" s="11">
        <f t="shared" si="1"/>
        <v>-2526.3260000000009</v>
      </c>
      <c r="F60" s="12">
        <f t="shared" si="2"/>
        <v>-7.7178014912558782E-2</v>
      </c>
      <c r="G60" s="13">
        <v>35606.25</v>
      </c>
      <c r="H60" s="13">
        <f t="shared" si="3"/>
        <v>-5398.8240000000005</v>
      </c>
      <c r="I60" s="14">
        <f t="shared" si="0"/>
        <v>-0.15162573986308586</v>
      </c>
      <c r="J60" s="59" t="s">
        <v>73</v>
      </c>
      <c r="K60" s="83" t="s">
        <v>74</v>
      </c>
    </row>
    <row r="61" spans="1:11" ht="15.6">
      <c r="A61" s="27" t="str">
        <v>San Antonio - Ops Ctr (Bldg 307)</v>
      </c>
      <c r="B61" s="28" t="str">
        <v>TX</v>
      </c>
      <c r="C61" s="10">
        <v>31864.312999999998</v>
      </c>
      <c r="D61" s="15">
        <v>35565.089</v>
      </c>
      <c r="E61" s="15">
        <f t="shared" si="1"/>
        <v>-3700.7760000000017</v>
      </c>
      <c r="F61" s="16">
        <f t="shared" si="2"/>
        <v>-0.10405642454599233</v>
      </c>
      <c r="G61" s="17">
        <v>36605.449999999997</v>
      </c>
      <c r="H61" s="17">
        <f t="shared" si="3"/>
        <v>-4741.1369999999988</v>
      </c>
      <c r="I61" s="16">
        <f t="shared" si="0"/>
        <v>-0.12951997585059052</v>
      </c>
      <c r="J61" s="59" t="s">
        <v>54</v>
      </c>
      <c r="K61" s="81"/>
    </row>
    <row r="62" spans="1:11" ht="15.6">
      <c r="A62" s="25" t="str">
        <v>San Antonio - Ctr (Bldg 308)</v>
      </c>
      <c r="B62" s="26" t="str">
        <v>TX</v>
      </c>
      <c r="C62" s="21">
        <v>31694.27</v>
      </c>
      <c r="D62" s="11">
        <v>34762.345999999998</v>
      </c>
      <c r="E62" s="11">
        <f t="shared" si="1"/>
        <v>-3068.0759999999973</v>
      </c>
      <c r="F62" s="12">
        <f t="shared" si="2"/>
        <v>-8.8258600268232693E-2</v>
      </c>
      <c r="G62" s="13">
        <v>35498.53</v>
      </c>
      <c r="H62" s="13">
        <f t="shared" si="3"/>
        <v>-3804.2599999999984</v>
      </c>
      <c r="I62" s="14">
        <f t="shared" si="0"/>
        <v>-0.10716669112777343</v>
      </c>
      <c r="J62" s="39" t="s">
        <v>54</v>
      </c>
      <c r="K62" s="61"/>
    </row>
    <row r="63" spans="1:11" ht="15.6">
      <c r="A63" s="27" t="str">
        <v>San Antonio - Ops Ctr (Bldg 104)</v>
      </c>
      <c r="B63" s="28" t="str">
        <v>TX</v>
      </c>
      <c r="C63" s="10">
        <v>8831.2659999999996</v>
      </c>
      <c r="D63" s="15">
        <v>10883.53</v>
      </c>
      <c r="E63" s="15">
        <f t="shared" si="1"/>
        <v>-2052.264000000001</v>
      </c>
      <c r="F63" s="16">
        <f t="shared" si="2"/>
        <v>-0.18856602591254867</v>
      </c>
      <c r="G63" s="17">
        <v>10911.07</v>
      </c>
      <c r="H63" s="17">
        <f t="shared" si="3"/>
        <v>-2079.8040000000001</v>
      </c>
      <c r="I63" s="16">
        <f t="shared" si="0"/>
        <v>-0.1906141194218349</v>
      </c>
      <c r="J63" s="59" t="s">
        <v>54</v>
      </c>
      <c r="K63" s="49"/>
    </row>
    <row r="64" spans="1:11" ht="15.6">
      <c r="A64" s="25" t="str">
        <v>San Antonio - Ops Ctr (Bldg 102)</v>
      </c>
      <c r="B64" s="26" t="str">
        <v>TX</v>
      </c>
      <c r="C64" s="21">
        <v>34984.404999999999</v>
      </c>
      <c r="D64" s="11">
        <v>32568.2</v>
      </c>
      <c r="E64" s="11">
        <f t="shared" si="1"/>
        <v>2416.2049999999981</v>
      </c>
      <c r="F64" s="12">
        <f t="shared" si="2"/>
        <v>7.4189086286623088E-2</v>
      </c>
      <c r="G64" s="13">
        <v>39742.42</v>
      </c>
      <c r="H64" s="13">
        <f t="shared" si="3"/>
        <v>-4758.0149999999994</v>
      </c>
      <c r="I64" s="14">
        <f t="shared" si="0"/>
        <v>-0.11972132044299265</v>
      </c>
      <c r="J64" s="39" t="s">
        <v>54</v>
      </c>
      <c r="K64" s="61"/>
    </row>
    <row r="65" spans="1:12" ht="15.6">
      <c r="A65" s="27" t="str">
        <v>Lodi - Lodi Vineyard</v>
      </c>
      <c r="B65" s="28" t="str">
        <v>CA</v>
      </c>
      <c r="C65" s="10">
        <v>23034.09375</v>
      </c>
      <c r="D65" s="15">
        <v>24426.93</v>
      </c>
      <c r="E65" s="15">
        <f t="shared" si="1"/>
        <v>-1392.8362500000003</v>
      </c>
      <c r="F65" s="16">
        <f t="shared" si="2"/>
        <v>-5.7020519975289577E-2</v>
      </c>
      <c r="G65" s="17">
        <v>21975</v>
      </c>
      <c r="H65" s="17">
        <f t="shared" si="3"/>
        <v>1059.09375</v>
      </c>
      <c r="I65" s="16">
        <f t="shared" si="0"/>
        <v>4.8195392491467579E-2</v>
      </c>
      <c r="J65" s="61"/>
      <c r="K65" s="61"/>
    </row>
    <row r="66" spans="1:12" ht="15.6">
      <c r="A66" s="25" t="str">
        <v>Arden Fair Mall</v>
      </c>
      <c r="B66" s="26" t="str">
        <v>CA</v>
      </c>
      <c r="C66" s="21">
        <v>11150.046875</v>
      </c>
      <c r="D66" s="11">
        <v>12201.88</v>
      </c>
      <c r="E66" s="11">
        <f t="shared" si="1"/>
        <v>-1051.8331249999992</v>
      </c>
      <c r="F66" s="12">
        <f t="shared" si="2"/>
        <v>-8.6202546246971712E-2</v>
      </c>
      <c r="G66" s="13">
        <v>12337</v>
      </c>
      <c r="H66" s="13">
        <f t="shared" si="3"/>
        <v>-1186.953125</v>
      </c>
      <c r="I66" s="14">
        <f t="shared" si="0"/>
        <v>-9.6210839345059571E-2</v>
      </c>
      <c r="J66" s="61"/>
      <c r="K66" s="61"/>
    </row>
    <row r="67" spans="1:12" ht="43.15">
      <c r="A67" s="27" t="str">
        <v>Modesto - Modesto Main</v>
      </c>
      <c r="B67" s="28" t="str">
        <v>CA</v>
      </c>
      <c r="C67" s="10">
        <v>8051.203125</v>
      </c>
      <c r="D67" s="15">
        <v>9829.3469999999998</v>
      </c>
      <c r="E67" s="15">
        <f t="shared" si="1"/>
        <v>-1778.1438749999998</v>
      </c>
      <c r="F67" s="16">
        <f t="shared" si="2"/>
        <v>-0.18090152631705847</v>
      </c>
      <c r="G67" s="17">
        <v>12423.09</v>
      </c>
      <c r="H67" s="17">
        <f t="shared" si="3"/>
        <v>-4371.8868750000001</v>
      </c>
      <c r="I67" s="16">
        <f t="shared" si="0"/>
        <v>-0.35191622011914908</v>
      </c>
      <c r="J67" s="49" t="s">
        <v>75</v>
      </c>
      <c r="K67" s="81" t="s">
        <v>76</v>
      </c>
      <c r="L67" s="79" t="s">
        <v>77</v>
      </c>
    </row>
    <row r="68" spans="1:12" ht="72">
      <c r="A68" s="25" t="str">
        <v>Stevens Creek</v>
      </c>
      <c r="B68" s="26" t="str">
        <v>CA</v>
      </c>
      <c r="C68" s="21">
        <v>2693.9403423772601</v>
      </c>
      <c r="D68" s="11">
        <v>2447.7719999999999</v>
      </c>
      <c r="E68" s="11">
        <f t="shared" si="1"/>
        <v>246.16834237726016</v>
      </c>
      <c r="F68" s="12">
        <f t="shared" si="2"/>
        <v>0.10056833004759437</v>
      </c>
      <c r="G68" s="13">
        <v>2894</v>
      </c>
      <c r="H68" s="13">
        <f t="shared" si="3"/>
        <v>-200.05965762273991</v>
      </c>
      <c r="I68" s="14">
        <f t="shared" si="0"/>
        <v>-6.912911458975117E-2</v>
      </c>
      <c r="J68" s="61" t="s">
        <v>78</v>
      </c>
      <c r="K68" s="83" t="s">
        <v>79</v>
      </c>
      <c r="L68" s="79" t="s">
        <v>80</v>
      </c>
    </row>
    <row r="69" spans="1:12" ht="15.6">
      <c r="A69" s="27" t="str">
        <v>Covina Main</v>
      </c>
      <c r="B69" s="28" t="str">
        <v>CA</v>
      </c>
      <c r="C69" s="10">
        <v>2712.1</v>
      </c>
      <c r="D69" s="15">
        <v>2191.4169999999999</v>
      </c>
      <c r="E69" s="15">
        <f t="shared" si="1"/>
        <v>520.68299999999999</v>
      </c>
      <c r="F69" s="16">
        <f t="shared" si="2"/>
        <v>0.23760105904079415</v>
      </c>
      <c r="G69" s="17">
        <v>2174</v>
      </c>
      <c r="H69" s="17">
        <f t="shared" si="3"/>
        <v>538.09999999999991</v>
      </c>
      <c r="I69" s="16">
        <f t="shared" ref="I69:I83" si="4">IFERROR(H69/G69, "")</f>
        <v>0.24751609935602573</v>
      </c>
      <c r="J69" s="39"/>
      <c r="K69" s="54"/>
    </row>
    <row r="70" spans="1:12" ht="15.6">
      <c r="A70" s="25" t="str">
        <v>Old Ranch Town Center</v>
      </c>
      <c r="B70" s="26" t="str">
        <v>CA</v>
      </c>
      <c r="C70" s="21">
        <v>861.578125</v>
      </c>
      <c r="D70" s="11">
        <v>0</v>
      </c>
      <c r="E70" s="11">
        <f t="shared" si="1"/>
        <v>861.578125</v>
      </c>
      <c r="F70" s="12" t="str">
        <f t="shared" ref="F70:F83" si="5">IFERROR(E70/D70, "")</f>
        <v/>
      </c>
      <c r="G70" s="13">
        <v>990</v>
      </c>
      <c r="H70" s="13">
        <f t="shared" ref="H70:H83" si="6">IF(AND(ISNUMBER(C70),ISNUMBER(G70)), C70-G70, "")</f>
        <v>-128.421875</v>
      </c>
      <c r="I70" s="14">
        <f t="shared" si="4"/>
        <v>-0.12971906565656566</v>
      </c>
      <c r="J70" s="59" t="s">
        <v>49</v>
      </c>
      <c r="K70" s="59"/>
    </row>
    <row r="71" spans="1:12" ht="15.6">
      <c r="A71" s="27" t="str">
        <v>Mountain Gate Plaza</v>
      </c>
      <c r="B71" s="28" t="str">
        <v>CA</v>
      </c>
      <c r="C71" s="10">
        <v>6050.2033266129001</v>
      </c>
      <c r="D71" s="15">
        <v>0</v>
      </c>
      <c r="E71" s="15">
        <f t="shared" ref="E71:E83" si="7">IF(AND(ISNUMBER(C71),ISNUMBER(D71)), C71-D71, "")</f>
        <v>6050.2033266129001</v>
      </c>
      <c r="F71" s="16" t="str">
        <f t="shared" si="5"/>
        <v/>
      </c>
      <c r="G71" s="17">
        <v>6590</v>
      </c>
      <c r="H71" s="17">
        <f t="shared" si="6"/>
        <v>-539.79667338709987</v>
      </c>
      <c r="I71" s="16">
        <f t="shared" si="4"/>
        <v>-8.191148306329285E-2</v>
      </c>
      <c r="J71" s="39"/>
      <c r="K71" s="39"/>
    </row>
    <row r="72" spans="1:12" ht="15.6">
      <c r="A72" s="25" t="str">
        <v>Arcadia Main</v>
      </c>
      <c r="B72" s="26" t="str">
        <v>CA</v>
      </c>
      <c r="C72" s="21">
        <v>2375.0660924384902</v>
      </c>
      <c r="D72" s="11">
        <v>0</v>
      </c>
      <c r="E72" s="11">
        <f t="shared" si="7"/>
        <v>2375.0660924384902</v>
      </c>
      <c r="F72" s="12" t="str">
        <f t="shared" si="5"/>
        <v/>
      </c>
      <c r="G72" s="13">
        <v>3533</v>
      </c>
      <c r="H72" s="13">
        <f t="shared" si="6"/>
        <v>-1157.9339075615098</v>
      </c>
      <c r="I72" s="14">
        <f t="shared" si="4"/>
        <v>-0.32774806327809508</v>
      </c>
      <c r="J72" s="61" t="s">
        <v>81</v>
      </c>
      <c r="K72" s="83" t="s">
        <v>58</v>
      </c>
    </row>
    <row r="73" spans="1:12" ht="15.6">
      <c r="A73" s="27" t="str">
        <v>Fairfield</v>
      </c>
      <c r="B73" s="28" t="str">
        <v>CA</v>
      </c>
      <c r="C73" s="10">
        <v>2178.30078125</v>
      </c>
      <c r="D73" s="15">
        <v>2211.0230000000001</v>
      </c>
      <c r="E73" s="15">
        <f t="shared" si="7"/>
        <v>-32.722218750000138</v>
      </c>
      <c r="F73" s="16">
        <f t="shared" si="5"/>
        <v>-1.4799583156756007E-2</v>
      </c>
      <c r="G73" s="17">
        <v>2330</v>
      </c>
      <c r="H73" s="17">
        <f t="shared" si="6"/>
        <v>-151.69921875</v>
      </c>
      <c r="I73" s="16">
        <f t="shared" si="4"/>
        <v>-6.5106960836909866E-2</v>
      </c>
      <c r="J73" s="56"/>
      <c r="K73" s="56"/>
    </row>
    <row r="74" spans="1:12" ht="15.6">
      <c r="A74" s="25" t="str">
        <v>Los Gatos</v>
      </c>
      <c r="B74" s="26" t="str">
        <v>CA</v>
      </c>
      <c r="C74" s="21">
        <v>1179.9864550781299</v>
      </c>
      <c r="D74" s="11">
        <v>1107.98</v>
      </c>
      <c r="E74" s="11">
        <f t="shared" si="7"/>
        <v>72.006455078129875</v>
      </c>
      <c r="F74" s="12">
        <f t="shared" si="5"/>
        <v>6.4988948426984133E-2</v>
      </c>
      <c r="G74" s="13">
        <v>0</v>
      </c>
      <c r="H74" s="13">
        <f t="shared" si="6"/>
        <v>1179.9864550781299</v>
      </c>
      <c r="I74" s="14" t="str">
        <f t="shared" si="4"/>
        <v/>
      </c>
      <c r="J74" s="61"/>
      <c r="K74" s="61"/>
    </row>
    <row r="75" spans="1:12" ht="15.6">
      <c r="A75" s="27" t="str">
        <v>San Marino</v>
      </c>
      <c r="B75" s="28" t="str">
        <v>CA</v>
      </c>
      <c r="C75" s="10">
        <v>2791.6000000000099</v>
      </c>
      <c r="D75" s="15">
        <v>2686.4059999999999</v>
      </c>
      <c r="E75" s="15">
        <f t="shared" si="7"/>
        <v>105.19400000000996</v>
      </c>
      <c r="F75" s="16">
        <f t="shared" si="5"/>
        <v>3.9157893482969428E-2</v>
      </c>
      <c r="G75" s="17">
        <v>3237</v>
      </c>
      <c r="H75" s="17">
        <f t="shared" si="6"/>
        <v>-445.39999999999009</v>
      </c>
      <c r="I75" s="16">
        <f t="shared" si="4"/>
        <v>-0.13759654000617549</v>
      </c>
      <c r="J75" s="56" t="s">
        <v>49</v>
      </c>
      <c r="K75" s="56"/>
    </row>
    <row r="76" spans="1:12" ht="15.6">
      <c r="A76" s="25" t="str">
        <v>Buenaventura</v>
      </c>
      <c r="B76" s="26" t="str">
        <v>CA</v>
      </c>
      <c r="C76" s="21">
        <v>3679.578125</v>
      </c>
      <c r="D76" s="11">
        <v>2669.4169999999999</v>
      </c>
      <c r="E76" s="11">
        <f t="shared" si="7"/>
        <v>1010.1611250000001</v>
      </c>
      <c r="F76" s="12">
        <f t="shared" si="5"/>
        <v>0.37842012881464382</v>
      </c>
      <c r="G76" s="13">
        <v>3947.2910000000002</v>
      </c>
      <c r="H76" s="13">
        <f t="shared" si="6"/>
        <v>-267.71287500000017</v>
      </c>
      <c r="I76" s="14">
        <f t="shared" si="4"/>
        <v>-6.7821925214026565E-2</v>
      </c>
      <c r="J76" s="61"/>
      <c r="K76" s="61"/>
    </row>
    <row r="77" spans="1:12" ht="15.6">
      <c r="A77" s="27" t="str">
        <v>N Black Canyon Hwy, Phoenix - North</v>
      </c>
      <c r="B77" s="28" t="str">
        <v>AZ</v>
      </c>
      <c r="C77" s="10">
        <v>63307.75</v>
      </c>
      <c r="D77" s="15">
        <v>60957.79</v>
      </c>
      <c r="E77" s="15">
        <f t="shared" si="7"/>
        <v>2349.9599999999991</v>
      </c>
      <c r="F77" s="16">
        <f t="shared" si="5"/>
        <v>3.855061018452275E-2</v>
      </c>
      <c r="G77" s="17">
        <v>61016</v>
      </c>
      <c r="H77" s="17">
        <f t="shared" si="6"/>
        <v>2291.75</v>
      </c>
      <c r="I77" s="16">
        <f t="shared" si="4"/>
        <v>3.7559820374983614E-2</v>
      </c>
      <c r="J77" s="56"/>
      <c r="K77" s="56"/>
    </row>
    <row r="78" spans="1:12" ht="28.9">
      <c r="A78" s="25" t="str">
        <v>N Black Canyon Hwy, Phoenix - South</v>
      </c>
      <c r="B78" s="26" t="str">
        <v>AZ</v>
      </c>
      <c r="C78" s="21">
        <v>68221.875</v>
      </c>
      <c r="D78" s="11">
        <v>66699.73</v>
      </c>
      <c r="E78" s="11">
        <f t="shared" si="7"/>
        <v>1522.1450000000041</v>
      </c>
      <c r="F78" s="12">
        <f t="shared" si="5"/>
        <v>2.2820856995972909E-2</v>
      </c>
      <c r="G78" s="13">
        <v>67660</v>
      </c>
      <c r="H78" s="13">
        <f t="shared" si="6"/>
        <v>561.875</v>
      </c>
      <c r="I78" s="14">
        <f t="shared" si="4"/>
        <v>8.3043895950339931E-3</v>
      </c>
      <c r="J78" s="61" t="s">
        <v>82</v>
      </c>
      <c r="K78" s="83" t="s">
        <v>83</v>
      </c>
    </row>
    <row r="79" spans="1:12" ht="43.15">
      <c r="A79" s="27" t="str">
        <v xml:space="preserve"> Building 2222, Rose Garden Ln, Phoenix</v>
      </c>
      <c r="B79" s="28" t="str">
        <v>AZ</v>
      </c>
      <c r="C79" s="10">
        <v>13324.124099516501</v>
      </c>
      <c r="D79" s="15">
        <v>15182.7</v>
      </c>
      <c r="E79" s="15">
        <f t="shared" si="7"/>
        <v>-1858.5759004834999</v>
      </c>
      <c r="F79" s="16">
        <f t="shared" si="5"/>
        <v>-0.12241405682016374</v>
      </c>
      <c r="G79" s="17">
        <v>73696</v>
      </c>
      <c r="H79" s="17">
        <f t="shared" si="6"/>
        <v>-60371.875900483501</v>
      </c>
      <c r="I79" s="16">
        <f t="shared" si="4"/>
        <v>-0.81920152926187995</v>
      </c>
      <c r="J79" s="56" t="s">
        <v>84</v>
      </c>
      <c r="K79" s="84" t="s">
        <v>85</v>
      </c>
    </row>
    <row r="80" spans="1:12" ht="57.6">
      <c r="A80" s="25" t="str">
        <v xml:space="preserve"> Building 2202, Rose Garden Ln, Phoenix</v>
      </c>
      <c r="B80" s="26" t="str">
        <v>AZ</v>
      </c>
      <c r="C80" s="21">
        <v>69359.75</v>
      </c>
      <c r="D80" s="11">
        <v>13434.24</v>
      </c>
      <c r="E80" s="11">
        <f t="shared" si="7"/>
        <v>55925.51</v>
      </c>
      <c r="F80" s="12">
        <f t="shared" si="5"/>
        <v>4.1629083595350389</v>
      </c>
      <c r="G80" s="13">
        <v>57348.54</v>
      </c>
      <c r="H80" s="13">
        <f t="shared" si="6"/>
        <v>12011.21</v>
      </c>
      <c r="I80" s="14">
        <f t="shared" si="4"/>
        <v>0.20944229792074914</v>
      </c>
      <c r="J80" s="61" t="s">
        <v>86</v>
      </c>
      <c r="K80" s="83" t="s">
        <v>87</v>
      </c>
    </row>
    <row r="81" spans="1:11" ht="15.6">
      <c r="A81" s="27" t="str">
        <v xml:space="preserve"> 99TH Ave &amp; BELL</v>
      </c>
      <c r="B81" s="28" t="str">
        <v>AZ</v>
      </c>
      <c r="C81" s="10">
        <v>13291.3970985909</v>
      </c>
      <c r="D81" s="15">
        <v>11366.34</v>
      </c>
      <c r="E81" s="15">
        <f t="shared" si="7"/>
        <v>1925.0570985908998</v>
      </c>
      <c r="F81" s="16">
        <f t="shared" si="5"/>
        <v>0.16936472941957567</v>
      </c>
      <c r="G81" s="17">
        <v>14489</v>
      </c>
      <c r="H81" s="17">
        <f t="shared" si="6"/>
        <v>-1197.6029014091</v>
      </c>
      <c r="I81" s="16">
        <f t="shared" si="4"/>
        <v>-8.2656008103326656E-2</v>
      </c>
      <c r="J81" s="39"/>
      <c r="K81" s="39"/>
    </row>
    <row r="82" spans="1:11" ht="15.6">
      <c r="A82" s="25" t="str">
        <v>Rincon</v>
      </c>
      <c r="B82" s="26" t="str">
        <v>AZ</v>
      </c>
      <c r="C82" s="21">
        <v>6553.3046875</v>
      </c>
      <c r="D82" s="11">
        <v>4885.4920000000002</v>
      </c>
      <c r="E82" s="11">
        <f t="shared" si="7"/>
        <v>1667.8126874999998</v>
      </c>
      <c r="F82" s="12">
        <f t="shared" si="5"/>
        <v>0.34138070177988211</v>
      </c>
      <c r="G82" s="13">
        <v>5215</v>
      </c>
      <c r="H82" s="13">
        <f t="shared" si="6"/>
        <v>1338.3046875</v>
      </c>
      <c r="I82" s="14">
        <f t="shared" si="4"/>
        <v>0.25662601869606905</v>
      </c>
      <c r="J82" s="61" t="s">
        <v>49</v>
      </c>
      <c r="K82" s="59"/>
    </row>
    <row r="83" spans="1:11" ht="43.15">
      <c r="A83" s="27" t="str">
        <v>Tucson Main Parking Garage</v>
      </c>
      <c r="B83" s="28" t="str">
        <v>AZ</v>
      </c>
      <c r="C83" s="10">
        <v>8853.2000000000098</v>
      </c>
      <c r="D83" s="15">
        <v>10567.94</v>
      </c>
      <c r="E83" s="15">
        <f t="shared" si="7"/>
        <v>-1714.7399999999907</v>
      </c>
      <c r="F83" s="16">
        <f t="shared" si="5"/>
        <v>-0.16225868049969916</v>
      </c>
      <c r="G83" s="17">
        <v>8772</v>
      </c>
      <c r="H83" s="17">
        <f t="shared" si="6"/>
        <v>81.200000000009823</v>
      </c>
      <c r="I83" s="16">
        <f t="shared" si="4"/>
        <v>9.256725946193551E-3</v>
      </c>
      <c r="J83" s="139" t="s">
        <v>88</v>
      </c>
      <c r="K83" s="81" t="s">
        <v>89</v>
      </c>
    </row>
    <row r="84" spans="1:11" ht="14.45">
      <c r="A84" s="18" t="str">
        <v>BE 199502 - Westgate</v>
      </c>
      <c r="B84" s="30" t="str">
        <v>CA</v>
      </c>
      <c r="C84" s="18"/>
      <c r="D84" s="18"/>
      <c r="E84" s="18"/>
      <c r="F84" s="19"/>
      <c r="G84" s="18"/>
      <c r="H84" s="18"/>
      <c r="I84" s="19"/>
      <c r="J84" s="18"/>
      <c r="K84" s="18"/>
    </row>
    <row r="85" spans="1:11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4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4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4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4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4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4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45">
      <c r="C339" s="18"/>
      <c r="D339" s="18"/>
      <c r="E339" s="18"/>
      <c r="F339" s="19"/>
      <c r="G339" s="18"/>
      <c r="H339" s="18"/>
      <c r="I339" s="19"/>
      <c r="J339" s="18"/>
      <c r="K339" s="18"/>
    </row>
  </sheetData>
  <mergeCells count="4">
    <mergeCell ref="G1:I1"/>
    <mergeCell ref="A1:C1"/>
    <mergeCell ref="D1:F1"/>
    <mergeCell ref="A2:B2"/>
  </mergeCells>
  <phoneticPr fontId="5" type="noConversion"/>
  <conditionalFormatting sqref="F2 I2 F4:F97 I4:I97">
    <cfRule type="cellIs" dxfId="24" priority="9" stopIfTrue="1" operator="lessThanOrEqual">
      <formula>-0.1</formula>
    </cfRule>
    <cfRule type="expression" dxfId="23" priority="10">
      <formula>AND(ISNUMBER(F2), F2&gt;=0.1)</formula>
    </cfRule>
  </conditionalFormatting>
  <hyperlinks>
    <hyperlink ref="K6" r:id="rId1" display="https://us3.assetplanner.com/service_request?ID=091496" xr:uid="{15648FEE-1AF1-49BD-A150-DB4B663A18A7}"/>
    <hyperlink ref="L6" r:id="rId2" display="https://us3.assetplanner.com/service_request?ID=088261" xr:uid="{89323349-52E6-484D-BD0C-CD4BECE72A8E}"/>
    <hyperlink ref="M6" r:id="rId3" display="https://us3.assetplanner.com/service_request?ID=097801" xr:uid="{ADE7FC25-B388-40D6-AB08-130C811EB358}"/>
    <hyperlink ref="N6" r:id="rId4" display="https://us3.assetplanner.com/service_request?ID=097144" xr:uid="{C9DC5D72-A4F1-4234-9840-BFEE481B616A}"/>
    <hyperlink ref="K19" r:id="rId5" display="https://us3.assetplanner.com/service_request?ID=088667" xr:uid="{3669AEA4-296E-48B2-8BE5-019A8F80B964}"/>
    <hyperlink ref="L19" r:id="rId6" display="https://us3.assetplanner.com/service_request?ID=077700" xr:uid="{FEDF5BB1-293B-4448-BDC9-784128395DCB}"/>
    <hyperlink ref="K42" r:id="rId7" display="https://us3.assetplanner.com/service_request?ID=096618" xr:uid="{FCC2776A-1317-4737-B45D-355DE60292A1}"/>
    <hyperlink ref="K52" r:id="rId8" display="https://us3.assetplanner.com/service_request?ID=090252" xr:uid="{A005B532-CFA1-4181-BA14-DFF78C209DE6}"/>
    <hyperlink ref="K53" r:id="rId9" display="https://us3.assetplanner.com/service_request?ID=090252" xr:uid="{6A153B54-FAEE-44D7-AC3C-C977E58F2ACC}"/>
    <hyperlink ref="K54" r:id="rId10" display="https://us3.assetplanner.com/service_request?ID=077660" xr:uid="{ADB85832-2C57-41DA-88E2-6CE86E55143F}"/>
    <hyperlink ref="K67" r:id="rId11" display="https://us3.assetplanner.com/service_request?ID=091735" xr:uid="{03BFDBB6-8E01-423C-A5D4-C0F9ED3DB4EC}"/>
    <hyperlink ref="L67" r:id="rId12" display="https://us3.assetplanner.com/service_request?ID=096229" xr:uid="{A84998A5-808E-41AB-926D-F663D8C506C3}"/>
    <hyperlink ref="K68" r:id="rId13" display="https://us3.assetplanner.com/service_request?ID=091107" xr:uid="{50CEE715-4D18-40E2-BE46-A95997891915}"/>
    <hyperlink ref="L68" r:id="rId14" display="https://us3.assetplanner.com/service_request?ID=097627" xr:uid="{74E294A7-89F9-4B45-AB04-3851AF43A9D2}"/>
    <hyperlink ref="K72" r:id="rId15" display="https://us3.assetplanner.com/service_request?ID=096085" xr:uid="{CFF7F0EE-06B8-41DD-AE5D-FEFC08A2675F}"/>
    <hyperlink ref="K78" r:id="rId16" display="https://us3.assetplanner.com/service_request?ID=097838" xr:uid="{E1A80F42-0C4C-45C4-BF3E-892EF92A120D}"/>
    <hyperlink ref="K79" r:id="rId17" display="https://us3.assetplanner.com/service_request?ID=096213" xr:uid="{28BDD7FC-5CB8-4BD7-9A5C-A7EB2587F862}"/>
    <hyperlink ref="K80" r:id="rId18" display="https://us3.assetplanner.com/service_request?ID=096533" xr:uid="{08277A1C-1F60-4D7E-84E3-301C76C91624}"/>
    <hyperlink ref="K83" r:id="rId19" xr:uid="{6B947AA6-AAE6-4607-B8B1-38E78BF3472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8"/>
  <sheetViews>
    <sheetView zoomScale="70" zoomScaleNormal="70" workbookViewId="0">
      <pane xSplit="2" ySplit="3" topLeftCell="J15" activePane="bottomRight" state="frozen"/>
      <selection pane="bottomRight" activeCell="J15" sqref="J15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3" ht="19.5" customHeight="1">
      <c r="A1" s="210" t="str" cm="1">
        <f t="array" ref="A1">portfolio</f>
        <v>Wells Fargo</v>
      </c>
      <c r="B1" s="210"/>
      <c r="C1" s="210"/>
      <c r="D1" s="211" t="s">
        <v>90</v>
      </c>
      <c r="E1" s="211"/>
      <c r="F1" s="211"/>
      <c r="G1" s="209" t="s">
        <v>91</v>
      </c>
      <c r="H1" s="209"/>
      <c r="I1" s="209"/>
      <c r="J1" s="3"/>
      <c r="K1" s="3"/>
    </row>
    <row r="2" spans="1:13" ht="19.5" customHeight="1">
      <c r="A2" s="220" t="s">
        <v>2</v>
      </c>
      <c r="B2" s="220"/>
      <c r="C2" s="4">
        <f>SUM(C4:C86)</f>
        <v>2070284.7771082094</v>
      </c>
      <c r="D2" s="4">
        <f>SUM(D4:D86)</f>
        <v>2047974.0018</v>
      </c>
      <c r="E2" s="4">
        <f>C2-D2</f>
        <v>22310.775308209471</v>
      </c>
      <c r="F2" s="5">
        <f>IFERROR(E2/D2, 0)</f>
        <v>1.0894071550029513E-2</v>
      </c>
      <c r="G2" s="4">
        <f>SUM(G4:G86)</f>
        <v>1955595.7470000002</v>
      </c>
      <c r="H2" s="6">
        <f>C2-G2</f>
        <v>114689.03010820923</v>
      </c>
      <c r="I2" s="5">
        <f>IFERROR(H2/G2, 0)</f>
        <v>5.8646594156358235E-2</v>
      </c>
      <c r="J2" s="23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3"/>
    </row>
    <row r="3" spans="1:13" ht="14.25" customHeight="1">
      <c r="A3" s="7" t="s">
        <v>3</v>
      </c>
      <c r="B3" s="7" t="s">
        <v>30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39</v>
      </c>
      <c r="K3" s="22" t="s">
        <v>40</v>
      </c>
    </row>
    <row r="4" spans="1:13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1011.1</v>
      </c>
      <c r="D4" s="11">
        <v>0</v>
      </c>
      <c r="E4" s="11">
        <f>IF(AND(ISNUMBER(C4),ISNUMBER(D4)), C4-D4, "")</f>
        <v>1011.1</v>
      </c>
      <c r="F4" s="12" t="str">
        <f>IFERROR(E4/D4, "")</f>
        <v/>
      </c>
      <c r="G4" s="13">
        <v>1060</v>
      </c>
      <c r="H4" s="13">
        <f>IF(AND(ISNUMBER(C4),ISNUMBER(G4)), C4-G4, "")</f>
        <v>-48.899999999999977</v>
      </c>
      <c r="I4" s="14">
        <f>IFERROR(H4/G4, "")</f>
        <v>-4.6132075471698092E-2</v>
      </c>
      <c r="J4" s="38"/>
      <c r="K4" s="38"/>
      <c r="L4" s="63"/>
      <c r="M4" s="63"/>
    </row>
    <row r="5" spans="1:13" ht="15.6">
      <c r="A5" s="27" t="str">
        <v>Otay Mesa</v>
      </c>
      <c r="B5" s="28" t="str">
        <v>CA</v>
      </c>
      <c r="C5" s="72">
        <v>39.700000000000003</v>
      </c>
      <c r="D5" s="15">
        <v>0</v>
      </c>
      <c r="E5" s="15">
        <f t="shared" ref="E5:E68" si="0">IF(AND(ISNUMBER(C5),ISNUMBER(D5)), C5-D5, "")</f>
        <v>39.700000000000003</v>
      </c>
      <c r="F5" s="16" t="str">
        <f>IFERROR(E5/D5, "")</f>
        <v/>
      </c>
      <c r="G5" s="17">
        <v>0</v>
      </c>
      <c r="H5" s="17">
        <f t="shared" ref="H5:H68" si="1">IF(AND(ISNUMBER(C5),ISNUMBER(G5)), C5-G5, "")</f>
        <v>39.700000000000003</v>
      </c>
      <c r="I5" s="16" t="str">
        <f t="shared" ref="I5:I68" si="2">IFERROR(H5/G5, "")</f>
        <v/>
      </c>
      <c r="J5" s="39" t="s">
        <v>42</v>
      </c>
      <c r="K5" s="39"/>
      <c r="L5" s="63"/>
      <c r="M5" s="63"/>
    </row>
    <row r="6" spans="1:13" ht="149.25" customHeight="1">
      <c r="A6" s="25" t="str">
        <v>San Leandro</v>
      </c>
      <c r="B6" s="26" t="str">
        <v>CA</v>
      </c>
      <c r="C6" s="21">
        <v>38680.5</v>
      </c>
      <c r="D6" s="11">
        <v>42926.35</v>
      </c>
      <c r="E6" s="11">
        <f t="shared" si="0"/>
        <v>-4245.8499999999985</v>
      </c>
      <c r="F6" s="12">
        <f t="shared" ref="F6:F69" si="3">IFERROR(E6/D6, "")</f>
        <v>-9.891010999071663E-2</v>
      </c>
      <c r="G6" s="13">
        <v>37122.589999999997</v>
      </c>
      <c r="H6" s="13">
        <f t="shared" si="1"/>
        <v>1557.9100000000035</v>
      </c>
      <c r="I6" s="14">
        <f t="shared" si="2"/>
        <v>4.1966630022312656E-2</v>
      </c>
      <c r="J6" s="38" t="s">
        <v>92</v>
      </c>
      <c r="K6" s="78" t="s">
        <v>93</v>
      </c>
      <c r="L6" s="86" t="s">
        <v>67</v>
      </c>
      <c r="M6" s="63"/>
    </row>
    <row r="7" spans="1:13" ht="28.9">
      <c r="A7" s="27" t="str">
        <v>Van Nuys</v>
      </c>
      <c r="B7" s="28" t="str">
        <v>CA</v>
      </c>
      <c r="C7" s="10">
        <v>1659.7</v>
      </c>
      <c r="D7" s="15">
        <v>0</v>
      </c>
      <c r="E7" s="15">
        <f t="shared" si="0"/>
        <v>1659.7</v>
      </c>
      <c r="F7" s="16" t="str">
        <f t="shared" si="3"/>
        <v/>
      </c>
      <c r="G7" s="17">
        <v>2116.1410000000001</v>
      </c>
      <c r="H7" s="17">
        <f t="shared" si="1"/>
        <v>-456.44100000000003</v>
      </c>
      <c r="I7" s="16">
        <f t="shared" si="2"/>
        <v>-0.2156949844079388</v>
      </c>
      <c r="J7" s="49" t="s">
        <v>94</v>
      </c>
      <c r="K7" s="39"/>
      <c r="L7" s="63"/>
      <c r="M7" s="63"/>
    </row>
    <row r="8" spans="1:13" ht="43.15">
      <c r="A8" s="25" t="str">
        <v>98th &amp; Grant</v>
      </c>
      <c r="B8" s="26" t="str">
        <v>CO</v>
      </c>
      <c r="C8" s="21">
        <v>1113.3</v>
      </c>
      <c r="D8" s="11">
        <v>0</v>
      </c>
      <c r="E8" s="11">
        <f t="shared" si="0"/>
        <v>1113.3</v>
      </c>
      <c r="F8" s="12" t="str">
        <f t="shared" si="3"/>
        <v/>
      </c>
      <c r="G8" s="13">
        <v>1984</v>
      </c>
      <c r="H8" s="13">
        <f t="shared" si="1"/>
        <v>-870.7</v>
      </c>
      <c r="I8" s="14">
        <f t="shared" si="2"/>
        <v>-0.43886088709677423</v>
      </c>
      <c r="J8" s="38" t="s">
        <v>95</v>
      </c>
      <c r="K8" s="38"/>
      <c r="L8" s="63"/>
      <c r="M8" s="63"/>
    </row>
    <row r="9" spans="1:13" ht="43.15">
      <c r="A9" s="27" t="str">
        <v>Arapahoe Crossings</v>
      </c>
      <c r="B9" s="28" t="str">
        <v>CO</v>
      </c>
      <c r="C9" s="10">
        <v>2757.2050451877299</v>
      </c>
      <c r="D9" s="15">
        <v>0</v>
      </c>
      <c r="E9" s="15">
        <f t="shared" si="0"/>
        <v>2757.2050451877299</v>
      </c>
      <c r="F9" s="16" t="str">
        <f t="shared" si="3"/>
        <v/>
      </c>
      <c r="G9" s="17">
        <v>3646.9389999999999</v>
      </c>
      <c r="H9" s="17">
        <f t="shared" si="1"/>
        <v>-889.73395481226999</v>
      </c>
      <c r="I9" s="16">
        <f t="shared" si="2"/>
        <v>-0.24396732569759735</v>
      </c>
      <c r="J9" s="39" t="s">
        <v>95</v>
      </c>
      <c r="K9" s="39"/>
      <c r="L9" s="63"/>
      <c r="M9" s="63"/>
    </row>
    <row r="10" spans="1:13" ht="15.6">
      <c r="A10" s="25" t="str">
        <v>Aurora City Center</v>
      </c>
      <c r="B10" s="26" t="str">
        <v>CO</v>
      </c>
      <c r="C10" s="21">
        <v>1940.9</v>
      </c>
      <c r="D10" s="11">
        <v>0</v>
      </c>
      <c r="E10" s="11">
        <f t="shared" si="0"/>
        <v>1940.9</v>
      </c>
      <c r="F10" s="12" t="str">
        <f t="shared" si="3"/>
        <v/>
      </c>
      <c r="G10" s="13">
        <v>1727</v>
      </c>
      <c r="H10" s="13">
        <f t="shared" si="1"/>
        <v>213.90000000000009</v>
      </c>
      <c r="I10" s="14">
        <f t="shared" si="2"/>
        <v>0.12385639837869143</v>
      </c>
      <c r="J10" s="38"/>
      <c r="K10" s="38"/>
      <c r="L10" s="63"/>
      <c r="M10" s="63"/>
    </row>
    <row r="11" spans="1:13" ht="15.6">
      <c r="A11" s="27" t="str">
        <v>Dry Creek</v>
      </c>
      <c r="B11" s="28" t="str">
        <v>CO</v>
      </c>
      <c r="C11" s="10">
        <v>2338</v>
      </c>
      <c r="D11" s="15">
        <v>0</v>
      </c>
      <c r="E11" s="15">
        <f t="shared" si="0"/>
        <v>2338</v>
      </c>
      <c r="F11" s="16" t="str">
        <f t="shared" si="3"/>
        <v/>
      </c>
      <c r="G11" s="17">
        <v>2153</v>
      </c>
      <c r="H11" s="17">
        <f t="shared" si="1"/>
        <v>185</v>
      </c>
      <c r="I11" s="16">
        <f t="shared" si="2"/>
        <v>8.5926614026939158E-2</v>
      </c>
      <c r="J11" s="39"/>
      <c r="K11" s="39"/>
      <c r="L11" s="63"/>
      <c r="M11" s="63"/>
    </row>
    <row r="12" spans="1:13" ht="15.6">
      <c r="A12" s="25" t="str">
        <v>Highlands Ranch S.</v>
      </c>
      <c r="B12" s="26" t="str">
        <v>CO</v>
      </c>
      <c r="C12" s="21">
        <v>1852.4</v>
      </c>
      <c r="D12" s="11">
        <v>0</v>
      </c>
      <c r="E12" s="11">
        <f t="shared" si="0"/>
        <v>1852.4</v>
      </c>
      <c r="F12" s="12" t="str">
        <f t="shared" si="3"/>
        <v/>
      </c>
      <c r="G12" s="13">
        <v>2006</v>
      </c>
      <c r="H12" s="13">
        <f t="shared" si="1"/>
        <v>-153.59999999999991</v>
      </c>
      <c r="I12" s="14">
        <f t="shared" si="2"/>
        <v>-7.6570289132602151E-2</v>
      </c>
      <c r="J12" s="38"/>
      <c r="K12" s="38"/>
      <c r="L12" s="63"/>
      <c r="M12" s="63"/>
    </row>
    <row r="13" spans="1:13" ht="43.15">
      <c r="A13" s="27" t="str">
        <v>Lone Tree</v>
      </c>
      <c r="B13" s="28" t="str">
        <v>CO</v>
      </c>
      <c r="C13" s="10">
        <v>2867.6999999999798</v>
      </c>
      <c r="D13" s="15">
        <v>0</v>
      </c>
      <c r="E13" s="15">
        <f t="shared" si="0"/>
        <v>2867.6999999999798</v>
      </c>
      <c r="F13" s="16" t="str">
        <f t="shared" si="3"/>
        <v/>
      </c>
      <c r="G13" s="17">
        <v>4580</v>
      </c>
      <c r="H13" s="17">
        <f t="shared" si="1"/>
        <v>-1712.3000000000202</v>
      </c>
      <c r="I13" s="16">
        <f t="shared" si="2"/>
        <v>-0.37386462882096511</v>
      </c>
      <c r="J13" s="39" t="s">
        <v>95</v>
      </c>
      <c r="K13" s="39"/>
      <c r="L13" s="63"/>
      <c r="M13" s="63"/>
    </row>
    <row r="14" spans="1:13" ht="15.6">
      <c r="A14" s="25" t="str">
        <v>Meridian</v>
      </c>
      <c r="B14" s="26" t="str">
        <v>CO</v>
      </c>
      <c r="C14" s="21">
        <v>2936.8999999999901</v>
      </c>
      <c r="D14" s="11">
        <v>0</v>
      </c>
      <c r="E14" s="11">
        <f t="shared" si="0"/>
        <v>2936.8999999999901</v>
      </c>
      <c r="F14" s="12" t="str">
        <f t="shared" si="3"/>
        <v/>
      </c>
      <c r="G14" s="13">
        <v>2667</v>
      </c>
      <c r="H14" s="13">
        <f t="shared" si="1"/>
        <v>269.89999999999009</v>
      </c>
      <c r="I14" s="14">
        <f t="shared" si="2"/>
        <v>0.10119985001874394</v>
      </c>
      <c r="J14" s="38"/>
      <c r="K14" s="38"/>
      <c r="L14" s="63"/>
      <c r="M14" s="63"/>
    </row>
    <row r="15" spans="1:13" ht="15.6">
      <c r="A15" s="27" t="str">
        <v>Southglenn</v>
      </c>
      <c r="B15" s="28" t="str">
        <v>CO</v>
      </c>
      <c r="C15" s="10">
        <v>3091.8</v>
      </c>
      <c r="D15" s="15">
        <v>0</v>
      </c>
      <c r="E15" s="15">
        <f t="shared" si="0"/>
        <v>3091.8</v>
      </c>
      <c r="F15" s="16" t="str">
        <f t="shared" si="3"/>
        <v/>
      </c>
      <c r="G15" s="17">
        <v>2762</v>
      </c>
      <c r="H15" s="17">
        <f t="shared" si="1"/>
        <v>329.80000000000018</v>
      </c>
      <c r="I15" s="16">
        <f t="shared" si="2"/>
        <v>0.11940622737147001</v>
      </c>
      <c r="J15" s="39"/>
      <c r="K15" s="39"/>
      <c r="L15" s="63"/>
      <c r="M15" s="63"/>
    </row>
    <row r="16" spans="1:13" ht="43.15">
      <c r="A16" s="25" t="str">
        <v>Standley Lake</v>
      </c>
      <c r="B16" s="26" t="str">
        <v>CO</v>
      </c>
      <c r="C16" s="21">
        <v>3175.1000000000099</v>
      </c>
      <c r="D16" s="11">
        <v>0</v>
      </c>
      <c r="E16" s="11">
        <f t="shared" si="0"/>
        <v>3175.1000000000099</v>
      </c>
      <c r="F16" s="12" t="str">
        <f t="shared" si="3"/>
        <v/>
      </c>
      <c r="G16" s="13">
        <v>3683</v>
      </c>
      <c r="H16" s="13">
        <f t="shared" si="1"/>
        <v>-507.89999999999009</v>
      </c>
      <c r="I16" s="14">
        <f t="shared" si="2"/>
        <v>-0.13790388270431445</v>
      </c>
      <c r="J16" s="38" t="s">
        <v>95</v>
      </c>
      <c r="K16" s="38"/>
      <c r="L16" s="63"/>
      <c r="M16" s="63"/>
    </row>
    <row r="17" spans="1:13" ht="15.6">
      <c r="A17" s="27" t="str">
        <v>Havana Gardens</v>
      </c>
      <c r="B17" s="28" t="str">
        <v>CO</v>
      </c>
      <c r="C17" s="10">
        <v>3554.3</v>
      </c>
      <c r="D17" s="15">
        <v>0</v>
      </c>
      <c r="E17" s="15">
        <f t="shared" si="0"/>
        <v>3554.3</v>
      </c>
      <c r="F17" s="16" t="str">
        <f t="shared" si="3"/>
        <v/>
      </c>
      <c r="G17" s="17">
        <v>1436</v>
      </c>
      <c r="H17" s="17">
        <f t="shared" si="1"/>
        <v>2118.3000000000002</v>
      </c>
      <c r="I17" s="16">
        <f t="shared" si="2"/>
        <v>1.4751392757660169</v>
      </c>
      <c r="J17" s="39"/>
      <c r="K17" s="53"/>
      <c r="L17" s="63"/>
      <c r="M17" s="63"/>
    </row>
    <row r="18" spans="1:13" ht="36.75" customHeight="1">
      <c r="A18" s="25" t="str">
        <v>East Hartford</v>
      </c>
      <c r="B18" s="26" t="str">
        <v>CT</v>
      </c>
      <c r="C18" s="57">
        <v>614.9</v>
      </c>
      <c r="D18" s="11">
        <v>1498.1990000000001</v>
      </c>
      <c r="E18" s="11">
        <f t="shared" si="0"/>
        <v>-883.29900000000009</v>
      </c>
      <c r="F18" s="12">
        <f t="shared" si="3"/>
        <v>-0.58957388170730329</v>
      </c>
      <c r="G18" s="13">
        <v>595.69420000000002</v>
      </c>
      <c r="H18" s="13">
        <f t="shared" si="1"/>
        <v>19.205799999999954</v>
      </c>
      <c r="I18" s="14">
        <f t="shared" si="2"/>
        <v>3.2241039110335393E-2</v>
      </c>
      <c r="J18" s="38" t="s">
        <v>96</v>
      </c>
      <c r="K18" s="38"/>
      <c r="L18" s="63"/>
      <c r="M18" s="63"/>
    </row>
    <row r="19" spans="1:13" ht="72">
      <c r="A19" s="27" t="str">
        <v>Norwalk</v>
      </c>
      <c r="B19" s="28" t="str">
        <v>CT</v>
      </c>
      <c r="C19" s="10">
        <v>654.099999999999</v>
      </c>
      <c r="D19" s="15">
        <v>261.30430000000001</v>
      </c>
      <c r="E19" s="15">
        <f t="shared" si="0"/>
        <v>392.79569999999899</v>
      </c>
      <c r="F19" s="16">
        <f t="shared" si="3"/>
        <v>1.5032117726344303</v>
      </c>
      <c r="G19" s="17">
        <v>730.14250000000004</v>
      </c>
      <c r="H19" s="17">
        <f t="shared" si="1"/>
        <v>-76.042500000001041</v>
      </c>
      <c r="I19" s="16">
        <f t="shared" si="2"/>
        <v>-0.10414747806079093</v>
      </c>
      <c r="J19" s="39" t="s">
        <v>97</v>
      </c>
      <c r="K19" s="81" t="s">
        <v>98</v>
      </c>
      <c r="L19" s="86" t="s">
        <v>48</v>
      </c>
      <c r="M19" s="63"/>
    </row>
    <row r="20" spans="1:13" ht="28.9">
      <c r="A20" s="25" t="str">
        <v>Hialeah Gardens</v>
      </c>
      <c r="B20" s="26" t="str">
        <v>FL</v>
      </c>
      <c r="C20" s="21">
        <v>1854.6022933721499</v>
      </c>
      <c r="D20" s="11">
        <v>4172.027</v>
      </c>
      <c r="E20" s="11">
        <f t="shared" si="0"/>
        <v>-2317.4247066278504</v>
      </c>
      <c r="F20" s="12">
        <f t="shared" si="3"/>
        <v>-0.55546733197744169</v>
      </c>
      <c r="G20" s="13">
        <v>5039</v>
      </c>
      <c r="H20" s="13">
        <f t="shared" si="1"/>
        <v>-3184.3977066278503</v>
      </c>
      <c r="I20" s="14">
        <f t="shared" si="2"/>
        <v>-0.63195032876123247</v>
      </c>
      <c r="J20" s="38" t="s">
        <v>99</v>
      </c>
      <c r="K20" s="78" t="s">
        <v>100</v>
      </c>
      <c r="L20" s="63"/>
      <c r="M20" s="63"/>
    </row>
    <row r="21" spans="1:13" ht="15.6">
      <c r="A21" s="27" t="str">
        <v>W. Des Moines Campus EAST</v>
      </c>
      <c r="B21" s="28" t="str">
        <v>IA</v>
      </c>
      <c r="C21" s="10">
        <v>178354</v>
      </c>
      <c r="D21" s="15">
        <v>177207.8</v>
      </c>
      <c r="E21" s="15">
        <f t="shared" si="0"/>
        <v>1146.2000000000116</v>
      </c>
      <c r="F21" s="16">
        <f t="shared" si="3"/>
        <v>6.4681125774374024E-3</v>
      </c>
      <c r="G21" s="17">
        <v>159000</v>
      </c>
      <c r="H21" s="17">
        <f t="shared" si="1"/>
        <v>19354</v>
      </c>
      <c r="I21" s="16">
        <f t="shared" si="2"/>
        <v>0.12172327044025157</v>
      </c>
      <c r="J21" s="39"/>
      <c r="K21" s="39"/>
      <c r="L21" s="63"/>
      <c r="M21" s="63"/>
    </row>
    <row r="22" spans="1:13" ht="15.6">
      <c r="A22" s="25" t="str">
        <v>W. Des Moines Campus SW</v>
      </c>
      <c r="B22" s="26" t="str">
        <v>IA</v>
      </c>
      <c r="C22" s="21">
        <v>88417</v>
      </c>
      <c r="D22" s="11">
        <v>92338.16</v>
      </c>
      <c r="E22" s="11">
        <f t="shared" si="0"/>
        <v>-3921.1600000000035</v>
      </c>
      <c r="F22" s="12">
        <f t="shared" si="3"/>
        <v>-4.2465216980715266E-2</v>
      </c>
      <c r="G22" s="13">
        <v>78635.86</v>
      </c>
      <c r="H22" s="13">
        <f t="shared" si="1"/>
        <v>9781.14</v>
      </c>
      <c r="I22" s="14">
        <f t="shared" si="2"/>
        <v>0.12438523594706027</v>
      </c>
      <c r="J22" s="38"/>
      <c r="K22" s="38"/>
      <c r="L22" s="63"/>
      <c r="M22" s="63"/>
    </row>
    <row r="23" spans="1:13" ht="15.6">
      <c r="A23" s="27" t="str">
        <v>WF - CIC</v>
      </c>
      <c r="B23" s="28" t="str">
        <v>NC</v>
      </c>
      <c r="C23" s="10">
        <v>178134</v>
      </c>
      <c r="D23" s="15">
        <v>175835.9</v>
      </c>
      <c r="E23" s="15">
        <f t="shared" si="0"/>
        <v>2298.1000000000058</v>
      </c>
      <c r="F23" s="16">
        <f t="shared" si="3"/>
        <v>1.3069572254585132E-2</v>
      </c>
      <c r="G23" s="17">
        <v>171329</v>
      </c>
      <c r="H23" s="17">
        <f t="shared" si="1"/>
        <v>6805</v>
      </c>
      <c r="I23" s="16">
        <f t="shared" si="2"/>
        <v>3.97189033963894E-2</v>
      </c>
      <c r="J23" s="39"/>
      <c r="K23" s="39"/>
      <c r="L23" s="63"/>
      <c r="M23" s="63"/>
    </row>
    <row r="24" spans="1:13" ht="15.6">
      <c r="A24" s="25" t="str">
        <v>Charlotte - Wells Fargo - DUC</v>
      </c>
      <c r="B24" s="26" t="str">
        <v>NC</v>
      </c>
      <c r="C24" s="21">
        <v>173904</v>
      </c>
      <c r="D24" s="11">
        <v>188173.6</v>
      </c>
      <c r="E24" s="11">
        <f t="shared" si="0"/>
        <v>-14269.600000000006</v>
      </c>
      <c r="F24" s="12">
        <f t="shared" si="3"/>
        <v>-7.5832103972076875E-2</v>
      </c>
      <c r="G24" s="13">
        <v>164589.5</v>
      </c>
      <c r="H24" s="13">
        <f t="shared" si="1"/>
        <v>9314.5</v>
      </c>
      <c r="I24" s="14">
        <f t="shared" si="2"/>
        <v>5.659230995901926E-2</v>
      </c>
      <c r="J24" s="38"/>
      <c r="K24" s="38"/>
      <c r="L24" s="63"/>
      <c r="M24" s="63"/>
    </row>
    <row r="25" spans="1:13" ht="15.6">
      <c r="A25" s="27" t="str">
        <v>East Windsor</v>
      </c>
      <c r="B25" s="28" t="str">
        <v>NJ</v>
      </c>
      <c r="C25" s="10">
        <v>939.80000000000302</v>
      </c>
      <c r="D25" s="15">
        <v>939.9828</v>
      </c>
      <c r="E25" s="15">
        <f t="shared" si="0"/>
        <v>-0.18279999999697338</v>
      </c>
      <c r="F25" s="16">
        <f t="shared" si="3"/>
        <v>-1.9447164352047014E-4</v>
      </c>
      <c r="G25" s="17">
        <v>754.09699999999998</v>
      </c>
      <c r="H25" s="17">
        <f t="shared" si="1"/>
        <v>185.70300000000304</v>
      </c>
      <c r="I25" s="16">
        <f t="shared" si="2"/>
        <v>0.24625877042343763</v>
      </c>
      <c r="J25" s="39"/>
      <c r="K25" s="54"/>
      <c r="L25" s="63"/>
      <c r="M25" s="63"/>
    </row>
    <row r="26" spans="1:13" ht="15.6">
      <c r="A26" s="25" t="str">
        <v>Burlington</v>
      </c>
      <c r="B26" s="26" t="str">
        <v>NJ</v>
      </c>
      <c r="C26" s="21">
        <v>2514.8000000000002</v>
      </c>
      <c r="D26" s="11">
        <v>2271.587</v>
      </c>
      <c r="E26" s="11">
        <f t="shared" si="0"/>
        <v>243.21300000000019</v>
      </c>
      <c r="F26" s="12">
        <f t="shared" si="3"/>
        <v>0.1070674378749307</v>
      </c>
      <c r="G26" s="13">
        <v>1965.07</v>
      </c>
      <c r="H26" s="13">
        <f t="shared" si="1"/>
        <v>549.73000000000025</v>
      </c>
      <c r="I26" s="14">
        <f t="shared" si="2"/>
        <v>0.2797508485702801</v>
      </c>
      <c r="J26" s="38"/>
      <c r="K26" s="38"/>
      <c r="L26" s="63"/>
      <c r="M26" s="63"/>
    </row>
    <row r="27" spans="1:13" ht="15.6">
      <c r="A27" s="27" t="str">
        <v>Bayonne</v>
      </c>
      <c r="B27" s="28" t="str">
        <v>NJ</v>
      </c>
      <c r="C27" s="10">
        <v>3042.3000000000202</v>
      </c>
      <c r="D27" s="15">
        <v>2939.3870000000002</v>
      </c>
      <c r="E27" s="15">
        <f t="shared" si="0"/>
        <v>102.91300000002002</v>
      </c>
      <c r="F27" s="16">
        <f t="shared" si="3"/>
        <v>3.5011721831803712E-2</v>
      </c>
      <c r="G27" s="17">
        <v>3068.5819999999999</v>
      </c>
      <c r="H27" s="17">
        <f t="shared" si="1"/>
        <v>-26.281999999979689</v>
      </c>
      <c r="I27" s="16">
        <f t="shared" si="2"/>
        <v>-8.5648680726080288E-3</v>
      </c>
      <c r="J27" s="39"/>
      <c r="K27" s="39"/>
      <c r="L27" s="63"/>
      <c r="M27" s="63"/>
    </row>
    <row r="28" spans="1:13" ht="15.6">
      <c r="A28" s="25" t="str">
        <v>Clifton</v>
      </c>
      <c r="B28" s="26" t="str">
        <v>NJ</v>
      </c>
      <c r="C28" s="21">
        <v>3721.6171875</v>
      </c>
      <c r="D28" s="11">
        <v>3688.134</v>
      </c>
      <c r="E28" s="11">
        <f t="shared" si="0"/>
        <v>33.483187499999985</v>
      </c>
      <c r="F28" s="12">
        <f t="shared" si="3"/>
        <v>9.0786255325863933E-3</v>
      </c>
      <c r="G28" s="13">
        <v>3861.3960000000002</v>
      </c>
      <c r="H28" s="13">
        <f t="shared" si="1"/>
        <v>-139.77881250000019</v>
      </c>
      <c r="I28" s="14">
        <f t="shared" si="2"/>
        <v>-3.6199035918616007E-2</v>
      </c>
      <c r="J28" s="38"/>
      <c r="K28" s="38"/>
      <c r="L28" s="63"/>
      <c r="M28" s="63"/>
    </row>
    <row r="29" spans="1:13" ht="15.6">
      <c r="A29" s="27" t="str">
        <v>North Elizabeth</v>
      </c>
      <c r="B29" s="28" t="str">
        <v>NJ</v>
      </c>
      <c r="C29" s="10">
        <v>3123.7</v>
      </c>
      <c r="D29" s="15">
        <v>2304.2359999999999</v>
      </c>
      <c r="E29" s="15">
        <f t="shared" si="0"/>
        <v>819.46399999999994</v>
      </c>
      <c r="F29" s="16">
        <f t="shared" si="3"/>
        <v>0.35563371113028353</v>
      </c>
      <c r="G29" s="17">
        <v>2666.9209999999998</v>
      </c>
      <c r="H29" s="17">
        <f t="shared" si="1"/>
        <v>456.779</v>
      </c>
      <c r="I29" s="16">
        <f t="shared" si="2"/>
        <v>0.17127578957156961</v>
      </c>
      <c r="J29" s="39"/>
      <c r="K29" s="39"/>
      <c r="L29" s="63"/>
      <c r="M29" s="63"/>
    </row>
    <row r="30" spans="1:13" ht="15.6">
      <c r="A30" s="25" t="str">
        <v>Haddon Westmont Plaza</v>
      </c>
      <c r="B30" s="26" t="str">
        <v>NJ</v>
      </c>
      <c r="C30" s="21">
        <v>2326.9000000000101</v>
      </c>
      <c r="D30" s="11">
        <v>2205.759</v>
      </c>
      <c r="E30" s="11">
        <f t="shared" si="0"/>
        <v>121.14100000001008</v>
      </c>
      <c r="F30" s="12">
        <f t="shared" si="3"/>
        <v>5.4920324477882705E-2</v>
      </c>
      <c r="G30" s="13">
        <v>1891.779</v>
      </c>
      <c r="H30" s="13">
        <f t="shared" si="1"/>
        <v>435.1210000000101</v>
      </c>
      <c r="I30" s="14">
        <f t="shared" si="2"/>
        <v>0.23000625337315306</v>
      </c>
      <c r="J30" s="38"/>
      <c r="K30" s="38"/>
      <c r="L30" s="63"/>
      <c r="M30" s="63"/>
    </row>
    <row r="31" spans="1:13" ht="15.6">
      <c r="A31" s="27" t="str">
        <v>Parsippany</v>
      </c>
      <c r="B31" s="28" t="str">
        <v>NJ</v>
      </c>
      <c r="C31" s="10">
        <v>2752.8</v>
      </c>
      <c r="D31" s="15">
        <v>2604.5210000000002</v>
      </c>
      <c r="E31" s="15">
        <f t="shared" si="0"/>
        <v>148.279</v>
      </c>
      <c r="F31" s="16">
        <f t="shared" si="3"/>
        <v>5.6931389687393572E-2</v>
      </c>
      <c r="G31" s="17">
        <v>2192.3029999999999</v>
      </c>
      <c r="H31" s="17">
        <f t="shared" si="1"/>
        <v>560.4970000000003</v>
      </c>
      <c r="I31" s="16">
        <f t="shared" si="2"/>
        <v>0.2556658454602308</v>
      </c>
      <c r="J31" s="39"/>
      <c r="K31" s="39"/>
      <c r="L31" s="63"/>
      <c r="M31" s="63"/>
    </row>
    <row r="32" spans="1:13" ht="15.6">
      <c r="A32" s="25" t="str">
        <v>Clark</v>
      </c>
      <c r="B32" s="26" t="str">
        <v>NJ</v>
      </c>
      <c r="C32" s="21">
        <v>2314.5</v>
      </c>
      <c r="D32" s="11">
        <v>2107</v>
      </c>
      <c r="E32" s="11">
        <f t="shared" si="0"/>
        <v>207.5</v>
      </c>
      <c r="F32" s="12">
        <f t="shared" si="3"/>
        <v>9.8481252966302807E-2</v>
      </c>
      <c r="G32" s="13">
        <v>1833.5239999999999</v>
      </c>
      <c r="H32" s="13">
        <f t="shared" si="1"/>
        <v>480.97600000000011</v>
      </c>
      <c r="I32" s="14">
        <f t="shared" si="2"/>
        <v>0.26232326383510668</v>
      </c>
      <c r="J32" s="38"/>
      <c r="K32" s="38"/>
      <c r="L32" s="63"/>
      <c r="M32" s="63"/>
    </row>
    <row r="33" spans="1:13" ht="28.9">
      <c r="A33" s="27" t="str">
        <v>Closter</v>
      </c>
      <c r="B33" s="28" t="str">
        <v>NJ</v>
      </c>
      <c r="C33" s="10">
        <v>844.79999999999905</v>
      </c>
      <c r="D33" s="15">
        <v>817.74069999999995</v>
      </c>
      <c r="E33" s="15">
        <f t="shared" si="0"/>
        <v>27.059299999999098</v>
      </c>
      <c r="F33" s="16">
        <f t="shared" si="3"/>
        <v>3.3090318239020144E-2</v>
      </c>
      <c r="G33" s="17">
        <v>1036.1389999999999</v>
      </c>
      <c r="H33" s="17">
        <f t="shared" si="1"/>
        <v>-191.33900000000085</v>
      </c>
      <c r="I33" s="16">
        <f t="shared" si="2"/>
        <v>-0.18466537790779119</v>
      </c>
      <c r="J33" s="39" t="s">
        <v>94</v>
      </c>
      <c r="K33" s="39"/>
      <c r="L33" s="63"/>
      <c r="M33" s="63"/>
    </row>
    <row r="34" spans="1:13" ht="28.9">
      <c r="A34" s="25" t="str">
        <v>Holmdel</v>
      </c>
      <c r="B34" s="26" t="str">
        <v>NJ</v>
      </c>
      <c r="C34" s="21">
        <v>2025.49999999999</v>
      </c>
      <c r="D34" s="11">
        <v>5442.5029999999997</v>
      </c>
      <c r="E34" s="11">
        <f t="shared" si="0"/>
        <v>-3417.0030000000097</v>
      </c>
      <c r="F34" s="12">
        <f t="shared" si="3"/>
        <v>-0.62783667735231563</v>
      </c>
      <c r="G34" s="13">
        <v>1588.153</v>
      </c>
      <c r="H34" s="13">
        <f t="shared" si="1"/>
        <v>437.34699999998998</v>
      </c>
      <c r="I34" s="14">
        <f t="shared" si="2"/>
        <v>0.27538089843987951</v>
      </c>
      <c r="J34" s="38" t="s">
        <v>101</v>
      </c>
      <c r="K34" s="38"/>
      <c r="L34" s="63"/>
      <c r="M34" s="63"/>
    </row>
    <row r="35" spans="1:13" ht="15.6">
      <c r="A35" s="27" t="str">
        <v>Ellisburg Circle Center</v>
      </c>
      <c r="B35" s="28" t="str">
        <v>NJ</v>
      </c>
      <c r="C35" s="10">
        <v>1050.7</v>
      </c>
      <c r="D35" s="15">
        <v>1015.474</v>
      </c>
      <c r="E35" s="15">
        <f t="shared" si="0"/>
        <v>35.225999999999999</v>
      </c>
      <c r="F35" s="16">
        <f t="shared" si="3"/>
        <v>3.4689219024810085E-2</v>
      </c>
      <c r="G35" s="17">
        <v>869.28629999999998</v>
      </c>
      <c r="H35" s="17">
        <f t="shared" si="1"/>
        <v>181.41370000000006</v>
      </c>
      <c r="I35" s="16">
        <f t="shared" si="2"/>
        <v>0.20869269422513625</v>
      </c>
      <c r="J35" s="39"/>
      <c r="K35" s="39"/>
      <c r="L35" s="63"/>
      <c r="M35" s="63"/>
    </row>
    <row r="36" spans="1:13" ht="15.6">
      <c r="A36" s="25" t="str">
        <v>Nutley</v>
      </c>
      <c r="B36" s="26" t="str">
        <v>NJ</v>
      </c>
      <c r="C36" s="21">
        <v>3196.8999999999901</v>
      </c>
      <c r="D36" s="11">
        <v>2931.4479999999999</v>
      </c>
      <c r="E36" s="11">
        <f t="shared" si="0"/>
        <v>265.45199999999022</v>
      </c>
      <c r="F36" s="12">
        <f t="shared" si="3"/>
        <v>9.0553201011919784E-2</v>
      </c>
      <c r="G36" s="13">
        <v>3119.1219999999998</v>
      </c>
      <c r="H36" s="13">
        <f t="shared" si="1"/>
        <v>77.777999999990243</v>
      </c>
      <c r="I36" s="14">
        <f t="shared" si="2"/>
        <v>2.4935863361545411E-2</v>
      </c>
      <c r="J36" s="38"/>
      <c r="K36" s="38"/>
      <c r="L36" s="63"/>
      <c r="M36" s="63"/>
    </row>
    <row r="37" spans="1:13" ht="15.6">
      <c r="A37" s="27" t="str">
        <v>Marlton</v>
      </c>
      <c r="B37" s="28" t="str">
        <v>NJ</v>
      </c>
      <c r="C37" s="10">
        <v>3884.1999999999798</v>
      </c>
      <c r="D37" s="15">
        <v>3144.942</v>
      </c>
      <c r="E37" s="15">
        <f t="shared" si="0"/>
        <v>739.2579999999798</v>
      </c>
      <c r="F37" s="16">
        <f t="shared" si="3"/>
        <v>0.23506252261567298</v>
      </c>
      <c r="G37" s="17">
        <v>3125.9279999999999</v>
      </c>
      <c r="H37" s="17">
        <f t="shared" si="1"/>
        <v>758.27199999997993</v>
      </c>
      <c r="I37" s="16">
        <f t="shared" si="2"/>
        <v>0.24257500492653061</v>
      </c>
      <c r="J37" s="39"/>
      <c r="K37" s="39"/>
      <c r="L37" s="63"/>
      <c r="M37" s="63"/>
    </row>
    <row r="38" spans="1:13" ht="15.6">
      <c r="A38" s="25" t="str">
        <v>Middletown</v>
      </c>
      <c r="B38" s="26" t="str">
        <v>NJ</v>
      </c>
      <c r="C38" s="21">
        <v>3205.3</v>
      </c>
      <c r="D38" s="11">
        <v>2593.5540000000001</v>
      </c>
      <c r="E38" s="11">
        <f t="shared" si="0"/>
        <v>611.74600000000009</v>
      </c>
      <c r="F38" s="12">
        <f t="shared" si="3"/>
        <v>0.2358717034617363</v>
      </c>
      <c r="G38" s="13">
        <v>2618.8879999999999</v>
      </c>
      <c r="H38" s="13">
        <f t="shared" si="1"/>
        <v>586.41200000000026</v>
      </c>
      <c r="I38" s="14">
        <f t="shared" si="2"/>
        <v>0.2239164103237711</v>
      </c>
      <c r="J38" s="38"/>
      <c r="K38" s="38"/>
      <c r="L38" s="63"/>
      <c r="M38" s="63"/>
    </row>
    <row r="39" spans="1:13" ht="15.6">
      <c r="A39" s="27" t="str">
        <v>Whiting Crestwood</v>
      </c>
      <c r="B39" s="28" t="str">
        <v>NJ</v>
      </c>
      <c r="C39" s="10">
        <v>4260.8</v>
      </c>
      <c r="D39" s="15">
        <v>4143.5219999999999</v>
      </c>
      <c r="E39" s="15">
        <f t="shared" si="0"/>
        <v>117.27800000000025</v>
      </c>
      <c r="F39" s="16">
        <f t="shared" si="3"/>
        <v>2.8303940464175222E-2</v>
      </c>
      <c r="G39" s="17">
        <v>3746.99</v>
      </c>
      <c r="H39" s="17">
        <f t="shared" si="1"/>
        <v>513.8100000000004</v>
      </c>
      <c r="I39" s="16">
        <f t="shared" si="2"/>
        <v>0.13712606652272902</v>
      </c>
      <c r="J39" s="39"/>
      <c r="K39" s="39"/>
      <c r="L39" s="63"/>
      <c r="M39" s="63"/>
    </row>
    <row r="40" spans="1:13" ht="15.6">
      <c r="A40" s="25" t="str">
        <v>Barnegat</v>
      </c>
      <c r="B40" s="26" t="str">
        <v>NJ</v>
      </c>
      <c r="C40" s="21">
        <v>5279.9203077889097</v>
      </c>
      <c r="D40" s="11">
        <v>4551.4840000000004</v>
      </c>
      <c r="E40" s="11">
        <f t="shared" si="0"/>
        <v>728.43630778890929</v>
      </c>
      <c r="F40" s="12">
        <f t="shared" si="3"/>
        <v>0.16004369295572812</v>
      </c>
      <c r="G40" s="13">
        <v>4382.0640000000003</v>
      </c>
      <c r="H40" s="13">
        <f t="shared" si="1"/>
        <v>897.85630778890936</v>
      </c>
      <c r="I40" s="14">
        <f t="shared" si="2"/>
        <v>0.20489347206907732</v>
      </c>
      <c r="J40" s="38"/>
      <c r="K40" s="38"/>
      <c r="L40" s="63"/>
      <c r="M40" s="63"/>
    </row>
    <row r="41" spans="1:13" ht="28.9">
      <c r="A41" s="27" t="str">
        <v>Manchester</v>
      </c>
      <c r="B41" s="28" t="str">
        <v>NJ</v>
      </c>
      <c r="C41" s="10">
        <v>2410.3999999999901</v>
      </c>
      <c r="D41" s="15">
        <v>2672.9450000000002</v>
      </c>
      <c r="E41" s="15">
        <f t="shared" si="0"/>
        <v>-262.54500000001008</v>
      </c>
      <c r="F41" s="16">
        <f t="shared" si="3"/>
        <v>-9.8223120939641501E-2</v>
      </c>
      <c r="G41" s="17">
        <v>3157.3389999999999</v>
      </c>
      <c r="H41" s="17">
        <f t="shared" si="1"/>
        <v>-746.93900000000986</v>
      </c>
      <c r="I41" s="16">
        <f t="shared" si="2"/>
        <v>-0.23657231611810131</v>
      </c>
      <c r="J41" s="39" t="s">
        <v>94</v>
      </c>
      <c r="K41" s="39"/>
      <c r="L41" s="63"/>
      <c r="M41" s="63"/>
    </row>
    <row r="42" spans="1:13" ht="15.6">
      <c r="A42" s="25" t="str">
        <v>West Deptford - Woodbury</v>
      </c>
      <c r="B42" s="26" t="str">
        <v>NJ</v>
      </c>
      <c r="C42" s="21">
        <v>3757</v>
      </c>
      <c r="D42" s="11">
        <v>3632.567</v>
      </c>
      <c r="E42" s="11">
        <f t="shared" si="0"/>
        <v>124.43299999999999</v>
      </c>
      <c r="F42" s="12">
        <f t="shared" si="3"/>
        <v>3.4254839621678003E-2</v>
      </c>
      <c r="G42" s="13">
        <v>2957.6219999999998</v>
      </c>
      <c r="H42" s="13">
        <f t="shared" si="1"/>
        <v>799.37800000000016</v>
      </c>
      <c r="I42" s="14">
        <f t="shared" si="2"/>
        <v>0.27027727005006058</v>
      </c>
      <c r="J42" s="38"/>
      <c r="K42" s="38"/>
      <c r="L42" s="63"/>
      <c r="M42" s="63"/>
    </row>
    <row r="43" spans="1:13" ht="15.6">
      <c r="A43" s="27" t="str">
        <v>Edison</v>
      </c>
      <c r="B43" s="28" t="str">
        <v>NJ</v>
      </c>
      <c r="C43" s="10">
        <v>3228</v>
      </c>
      <c r="D43" s="15">
        <v>2730.11</v>
      </c>
      <c r="E43" s="15">
        <f t="shared" si="0"/>
        <v>497.88999999999987</v>
      </c>
      <c r="F43" s="16">
        <f t="shared" si="3"/>
        <v>0.18236994113790281</v>
      </c>
      <c r="G43" s="17">
        <v>2486.837</v>
      </c>
      <c r="H43" s="17">
        <f t="shared" si="1"/>
        <v>741.16300000000001</v>
      </c>
      <c r="I43" s="16">
        <f t="shared" si="2"/>
        <v>0.29803441077963694</v>
      </c>
      <c r="J43" s="39"/>
      <c r="K43" s="39"/>
      <c r="L43" s="63"/>
      <c r="M43" s="63"/>
    </row>
    <row r="44" spans="1:13" ht="15.6">
      <c r="A44" s="25" t="str">
        <v>Flemington</v>
      </c>
      <c r="B44" s="26" t="str">
        <v>NJ</v>
      </c>
      <c r="C44" s="21">
        <v>2843.4000000000201</v>
      </c>
      <c r="D44" s="11">
        <v>2391.2150000000001</v>
      </c>
      <c r="E44" s="11">
        <f t="shared" si="0"/>
        <v>452.18500000001995</v>
      </c>
      <c r="F44" s="12">
        <f t="shared" si="3"/>
        <v>0.18910261101574719</v>
      </c>
      <c r="G44" s="13">
        <v>2324.8330000000001</v>
      </c>
      <c r="H44" s="13">
        <f t="shared" si="1"/>
        <v>518.56700000002002</v>
      </c>
      <c r="I44" s="14">
        <f t="shared" si="2"/>
        <v>0.22305559151991564</v>
      </c>
      <c r="J44" s="38"/>
      <c r="K44" s="38"/>
      <c r="L44" s="63"/>
      <c r="M44" s="63"/>
    </row>
    <row r="45" spans="1:13" ht="15.6">
      <c r="A45" s="27" t="str">
        <v>Route 22</v>
      </c>
      <c r="B45" s="28" t="str">
        <v>NJ</v>
      </c>
      <c r="C45" s="10">
        <v>2824.6999999999798</v>
      </c>
      <c r="D45" s="15">
        <v>2664.357</v>
      </c>
      <c r="E45" s="15">
        <f t="shared" si="0"/>
        <v>160.34299999997984</v>
      </c>
      <c r="F45" s="16">
        <f t="shared" si="3"/>
        <v>6.0180749051264464E-2</v>
      </c>
      <c r="G45" s="17">
        <v>2325.8539999999998</v>
      </c>
      <c r="H45" s="17">
        <f t="shared" si="1"/>
        <v>498.84599999997999</v>
      </c>
      <c r="I45" s="16">
        <f t="shared" si="2"/>
        <v>0.21447863881394966</v>
      </c>
      <c r="J45" s="39"/>
      <c r="K45" s="39"/>
      <c r="L45" s="63"/>
      <c r="M45" s="63"/>
    </row>
    <row r="46" spans="1:13" ht="28.9">
      <c r="A46" s="25" t="str">
        <v>Laurelton</v>
      </c>
      <c r="B46" s="26" t="str">
        <v>NJ</v>
      </c>
      <c r="C46" s="21">
        <v>1726</v>
      </c>
      <c r="D46" s="11">
        <v>2453.3890000000001</v>
      </c>
      <c r="E46" s="11">
        <f t="shared" si="0"/>
        <v>-727.38900000000012</v>
      </c>
      <c r="F46" s="12">
        <f t="shared" si="3"/>
        <v>-0.29648335424997835</v>
      </c>
      <c r="G46" s="13">
        <v>2154.748</v>
      </c>
      <c r="H46" s="13">
        <f t="shared" si="1"/>
        <v>-428.74800000000005</v>
      </c>
      <c r="I46" s="14">
        <f t="shared" si="2"/>
        <v>-0.19897825639007441</v>
      </c>
      <c r="J46" s="38" t="s">
        <v>102</v>
      </c>
      <c r="K46" s="38"/>
      <c r="L46" s="63"/>
      <c r="M46" s="63"/>
    </row>
    <row r="47" spans="1:13" ht="28.9">
      <c r="A47" s="27" t="str">
        <v>Mahwah</v>
      </c>
      <c r="B47" s="28" t="str">
        <v>NJ</v>
      </c>
      <c r="C47" s="10">
        <v>2166.5</v>
      </c>
      <c r="D47" s="15">
        <v>1804.046</v>
      </c>
      <c r="E47" s="15">
        <f t="shared" si="0"/>
        <v>362.45399999999995</v>
      </c>
      <c r="F47" s="16">
        <f t="shared" si="3"/>
        <v>0.20091172841490734</v>
      </c>
      <c r="G47" s="17">
        <v>1894.991</v>
      </c>
      <c r="H47" s="17">
        <f t="shared" si="1"/>
        <v>271.50900000000001</v>
      </c>
      <c r="I47" s="16">
        <f t="shared" si="2"/>
        <v>0.14327719762257446</v>
      </c>
      <c r="J47" s="39" t="s">
        <v>103</v>
      </c>
      <c r="K47" s="39"/>
      <c r="L47" s="63"/>
      <c r="M47" s="63"/>
    </row>
    <row r="48" spans="1:13" ht="15.6">
      <c r="A48" s="25" t="str">
        <v>Franklin Township WF</v>
      </c>
      <c r="B48" s="26" t="str">
        <v>NJ</v>
      </c>
      <c r="C48" s="21">
        <v>2673</v>
      </c>
      <c r="D48" s="11">
        <v>2388.1329999999998</v>
      </c>
      <c r="E48" s="11">
        <f t="shared" si="0"/>
        <v>284.86700000000019</v>
      </c>
      <c r="F48" s="12">
        <f t="shared" si="3"/>
        <v>0.11928439496460215</v>
      </c>
      <c r="G48" s="13">
        <v>2728.558</v>
      </c>
      <c r="H48" s="13">
        <f t="shared" si="1"/>
        <v>-55.557999999999993</v>
      </c>
      <c r="I48" s="14">
        <f t="shared" si="2"/>
        <v>-2.0361670889898618E-2</v>
      </c>
      <c r="J48" s="38"/>
      <c r="K48" s="38"/>
      <c r="L48" s="63"/>
      <c r="M48" s="63"/>
    </row>
    <row r="49" spans="1:13" ht="15.6">
      <c r="A49" s="27" t="str">
        <v>Bordentown</v>
      </c>
      <c r="B49" s="28" t="str">
        <v>NJ</v>
      </c>
      <c r="C49" s="10">
        <v>2242.8000000000002</v>
      </c>
      <c r="D49" s="15">
        <v>1823.829</v>
      </c>
      <c r="E49" s="15">
        <f t="shared" si="0"/>
        <v>418.97100000000023</v>
      </c>
      <c r="F49" s="16">
        <f t="shared" si="3"/>
        <v>0.22972054945940668</v>
      </c>
      <c r="G49" s="17">
        <v>1707.972</v>
      </c>
      <c r="H49" s="17">
        <f t="shared" si="1"/>
        <v>534.8280000000002</v>
      </c>
      <c r="I49" s="16">
        <f t="shared" si="2"/>
        <v>0.31313628092263818</v>
      </c>
      <c r="J49" s="39"/>
      <c r="K49" s="39"/>
      <c r="L49" s="63"/>
      <c r="M49" s="63"/>
    </row>
    <row r="50" spans="1:13" ht="15.6">
      <c r="A50" s="25" t="str">
        <v>South Plainfield</v>
      </c>
      <c r="B50" s="26" t="str">
        <v>NJ</v>
      </c>
      <c r="C50" s="21">
        <v>1548</v>
      </c>
      <c r="D50" s="11">
        <v>1343.0540000000001</v>
      </c>
      <c r="E50" s="11">
        <f t="shared" si="0"/>
        <v>204.94599999999991</v>
      </c>
      <c r="F50" s="12">
        <f t="shared" si="3"/>
        <v>0.15259699163250315</v>
      </c>
      <c r="G50" s="13">
        <v>1221.2159999999999</v>
      </c>
      <c r="H50" s="13">
        <f t="shared" si="1"/>
        <v>326.78400000000011</v>
      </c>
      <c r="I50" s="14">
        <f t="shared" si="2"/>
        <v>0.26758902601996709</v>
      </c>
      <c r="J50" s="38"/>
      <c r="K50" s="38"/>
      <c r="L50" s="63"/>
      <c r="M50" s="63"/>
    </row>
    <row r="51" spans="1:13" ht="28.9">
      <c r="A51" s="27" t="str">
        <v>Somerset</v>
      </c>
      <c r="B51" s="28" t="str">
        <v>NJ</v>
      </c>
      <c r="C51" s="10">
        <v>2368.49999999999</v>
      </c>
      <c r="D51" s="15">
        <v>3126.4639999999999</v>
      </c>
      <c r="E51" s="15">
        <f t="shared" si="0"/>
        <v>-757.96400000000995</v>
      </c>
      <c r="F51" s="16">
        <f t="shared" si="3"/>
        <v>-0.24243490409613222</v>
      </c>
      <c r="G51" s="17">
        <v>1883.2570000000001</v>
      </c>
      <c r="H51" s="17">
        <f t="shared" si="1"/>
        <v>485.24299999998993</v>
      </c>
      <c r="I51" s="16">
        <f t="shared" si="2"/>
        <v>0.25766159371768693</v>
      </c>
      <c r="J51" s="39" t="s">
        <v>104</v>
      </c>
      <c r="K51" s="39"/>
      <c r="L51" s="63"/>
      <c r="M51" s="63"/>
    </row>
    <row r="52" spans="1:13" ht="15.6">
      <c r="A52" s="25" t="str">
        <v>Clinton Main Relo</v>
      </c>
      <c r="B52" s="26" t="str">
        <v>NJ</v>
      </c>
      <c r="C52" s="21">
        <v>2710.578125</v>
      </c>
      <c r="D52" s="11">
        <v>2698</v>
      </c>
      <c r="E52" s="11">
        <f t="shared" si="0"/>
        <v>12.578125</v>
      </c>
      <c r="F52" s="12">
        <f t="shared" si="3"/>
        <v>4.662018161601186E-3</v>
      </c>
      <c r="G52" s="13">
        <v>2152.154</v>
      </c>
      <c r="H52" s="13">
        <f t="shared" si="1"/>
        <v>558.424125</v>
      </c>
      <c r="I52" s="14">
        <f t="shared" si="2"/>
        <v>0.25947219622759338</v>
      </c>
      <c r="J52" s="38"/>
      <c r="K52" s="38"/>
      <c r="L52" s="63"/>
      <c r="M52" s="63"/>
    </row>
    <row r="53" spans="1:13" ht="15.6">
      <c r="A53" s="27" t="str">
        <v>North Brunswick</v>
      </c>
      <c r="B53" s="28" t="str">
        <v>NJ</v>
      </c>
      <c r="C53" s="10">
        <v>2795.3999999999901</v>
      </c>
      <c r="D53" s="15">
        <v>2440.35</v>
      </c>
      <c r="E53" s="15">
        <f t="shared" si="0"/>
        <v>355.04999999999018</v>
      </c>
      <c r="F53" s="16">
        <f t="shared" si="3"/>
        <v>0.14549142541028548</v>
      </c>
      <c r="G53" s="17">
        <v>2416.194</v>
      </c>
      <c r="H53" s="17">
        <f t="shared" si="1"/>
        <v>379.20599999999013</v>
      </c>
      <c r="I53" s="16">
        <f t="shared" si="2"/>
        <v>0.15694352357467575</v>
      </c>
      <c r="J53" s="39"/>
      <c r="K53" s="39"/>
      <c r="L53" s="63"/>
      <c r="M53" s="63"/>
    </row>
    <row r="54" spans="1:13" ht="57.6">
      <c r="A54" s="25" t="str">
        <v>Cherry Hill</v>
      </c>
      <c r="B54" s="26" t="str">
        <v>NJ</v>
      </c>
      <c r="C54" s="21">
        <v>1992.921875</v>
      </c>
      <c r="D54" s="11">
        <v>1969.461</v>
      </c>
      <c r="E54" s="11">
        <f t="shared" si="0"/>
        <v>23.460874999999987</v>
      </c>
      <c r="F54" s="12">
        <f t="shared" si="3"/>
        <v>1.1912332866708194E-2</v>
      </c>
      <c r="G54" s="13">
        <v>1649.27</v>
      </c>
      <c r="H54" s="13">
        <f t="shared" si="1"/>
        <v>343.65187500000002</v>
      </c>
      <c r="I54" s="14">
        <f t="shared" si="2"/>
        <v>0.20836604982810578</v>
      </c>
      <c r="J54" s="38" t="s">
        <v>105</v>
      </c>
      <c r="K54" s="78" t="s">
        <v>53</v>
      </c>
      <c r="L54" s="63"/>
      <c r="M54" s="63"/>
    </row>
    <row r="55" spans="1:13" ht="15.6">
      <c r="A55" s="27" t="str">
        <v>Hainesport</v>
      </c>
      <c r="B55" s="28" t="str">
        <v>NJ</v>
      </c>
      <c r="C55" s="10">
        <v>2204.8000000000002</v>
      </c>
      <c r="D55" s="15">
        <v>2233.4609999999998</v>
      </c>
      <c r="E55" s="15">
        <f t="shared" si="0"/>
        <v>-28.660999999999603</v>
      </c>
      <c r="F55" s="16">
        <f t="shared" si="3"/>
        <v>-1.283255001990167E-2</v>
      </c>
      <c r="G55" s="17">
        <v>1604.675</v>
      </c>
      <c r="H55" s="17">
        <f t="shared" si="1"/>
        <v>600.12500000000023</v>
      </c>
      <c r="I55" s="16">
        <f t="shared" si="2"/>
        <v>0.37398538644896956</v>
      </c>
      <c r="J55" s="39"/>
      <c r="K55" s="39"/>
      <c r="L55" s="63"/>
      <c r="M55" s="63"/>
    </row>
    <row r="56" spans="1:13" ht="15.6">
      <c r="A56" s="25" t="str">
        <v>San Antonio - Ops Ctr (Bldg 106)</v>
      </c>
      <c r="B56" s="26" t="str">
        <v>TX</v>
      </c>
      <c r="C56" s="21">
        <v>52376.8125</v>
      </c>
      <c r="D56" s="11">
        <v>52442.49</v>
      </c>
      <c r="E56" s="11">
        <f t="shared" si="0"/>
        <v>-65.677499999997963</v>
      </c>
      <c r="F56" s="12">
        <f t="shared" si="3"/>
        <v>-1.2523718839436871E-3</v>
      </c>
      <c r="G56" s="13">
        <v>50658.68</v>
      </c>
      <c r="H56" s="13">
        <f t="shared" si="1"/>
        <v>1718.1324999999997</v>
      </c>
      <c r="I56" s="14">
        <f t="shared" si="2"/>
        <v>3.391585607836603E-2</v>
      </c>
      <c r="J56" s="38"/>
      <c r="K56" s="38"/>
      <c r="L56" s="63"/>
      <c r="M56" s="63"/>
    </row>
    <row r="57" spans="1:13" ht="15.6">
      <c r="A57" s="27" t="str">
        <v>San Antonio - Ops Ctr GM</v>
      </c>
      <c r="B57" s="28" t="str">
        <v>TX</v>
      </c>
      <c r="C57" s="10">
        <v>392241.75</v>
      </c>
      <c r="D57" s="15">
        <v>429672.3</v>
      </c>
      <c r="E57" s="15">
        <f t="shared" si="0"/>
        <v>-37430.549999999988</v>
      </c>
      <c r="F57" s="16">
        <f t="shared" si="3"/>
        <v>-8.7114179806331446E-2</v>
      </c>
      <c r="G57" s="17">
        <v>366154</v>
      </c>
      <c r="H57" s="17">
        <f t="shared" si="1"/>
        <v>26087.75</v>
      </c>
      <c r="I57" s="16">
        <f t="shared" si="2"/>
        <v>7.1248026786543364E-2</v>
      </c>
      <c r="J57" s="39"/>
      <c r="K57" s="39"/>
      <c r="L57" s="63"/>
      <c r="M57" s="63"/>
    </row>
    <row r="58" spans="1:13" ht="15.6">
      <c r="A58" s="25" t="str">
        <v>San Antonio - Ctr (Bldg 201)</v>
      </c>
      <c r="B58" s="26" t="str">
        <v>TX</v>
      </c>
      <c r="C58" s="21">
        <v>53578.875</v>
      </c>
      <c r="D58" s="11">
        <v>52003.89</v>
      </c>
      <c r="E58" s="11">
        <f t="shared" si="0"/>
        <v>1574.9850000000006</v>
      </c>
      <c r="F58" s="12">
        <f t="shared" si="3"/>
        <v>3.0285907458076706E-2</v>
      </c>
      <c r="G58" s="13">
        <v>50695.24</v>
      </c>
      <c r="H58" s="13">
        <f t="shared" si="1"/>
        <v>2883.635000000002</v>
      </c>
      <c r="I58" s="14">
        <f t="shared" si="2"/>
        <v>5.6881770359505195E-2</v>
      </c>
      <c r="J58" s="38"/>
      <c r="K58" s="38"/>
      <c r="L58" s="63"/>
      <c r="M58" s="63"/>
    </row>
    <row r="59" spans="1:13" ht="15.6">
      <c r="A59" s="27" t="str">
        <v>San Antonio - Ops Ctr (Bldg 203)</v>
      </c>
      <c r="B59" s="28" t="str">
        <v>TX</v>
      </c>
      <c r="C59" s="10">
        <v>54983.5</v>
      </c>
      <c r="D59" s="15">
        <v>53458.879999999997</v>
      </c>
      <c r="E59" s="15">
        <f t="shared" si="0"/>
        <v>1524.6200000000026</v>
      </c>
      <c r="F59" s="16">
        <f t="shared" si="3"/>
        <v>2.8519490120256966E-2</v>
      </c>
      <c r="G59" s="17">
        <v>51279.11</v>
      </c>
      <c r="H59" s="17">
        <f t="shared" si="1"/>
        <v>3704.3899999999994</v>
      </c>
      <c r="I59" s="16">
        <f t="shared" si="2"/>
        <v>7.2239748310764351E-2</v>
      </c>
      <c r="J59" s="39"/>
      <c r="K59" s="39"/>
      <c r="L59" s="63"/>
      <c r="M59" s="63"/>
    </row>
    <row r="60" spans="1:13" ht="15.6">
      <c r="A60" s="25" t="str">
        <v>San Antonio - Ops Ctr (Bldg 205)</v>
      </c>
      <c r="B60" s="26" t="str">
        <v>TX</v>
      </c>
      <c r="C60" s="21">
        <v>48894.375</v>
      </c>
      <c r="D60" s="11">
        <v>47420.04</v>
      </c>
      <c r="E60" s="11">
        <f t="shared" si="0"/>
        <v>1474.3349999999991</v>
      </c>
      <c r="F60" s="12">
        <f t="shared" si="3"/>
        <v>3.1090969134568405E-2</v>
      </c>
      <c r="G60" s="13">
        <v>47943.82</v>
      </c>
      <c r="H60" s="13">
        <f t="shared" si="1"/>
        <v>950.55500000000029</v>
      </c>
      <c r="I60" s="14">
        <f t="shared" si="2"/>
        <v>1.9826434355877363E-2</v>
      </c>
      <c r="J60" s="38"/>
      <c r="K60" s="38"/>
      <c r="L60" s="63"/>
      <c r="M60" s="63"/>
    </row>
    <row r="61" spans="1:13" ht="15.6">
      <c r="A61" s="27" t="str">
        <v>San Antonio - Ops Ctr (Bldg 307)</v>
      </c>
      <c r="B61" s="28" t="str">
        <v>TX</v>
      </c>
      <c r="C61" s="10">
        <v>52224.0625</v>
      </c>
      <c r="D61" s="15">
        <v>51530.86</v>
      </c>
      <c r="E61" s="15">
        <f t="shared" si="0"/>
        <v>693.20249999999942</v>
      </c>
      <c r="F61" s="16">
        <f t="shared" si="3"/>
        <v>1.3452181857628602E-2</v>
      </c>
      <c r="G61" s="17">
        <v>49099.71</v>
      </c>
      <c r="H61" s="17">
        <f t="shared" si="1"/>
        <v>3124.3525000000009</v>
      </c>
      <c r="I61" s="16">
        <f t="shared" si="2"/>
        <v>6.3632809643885901E-2</v>
      </c>
      <c r="J61" s="39"/>
      <c r="K61" s="39"/>
      <c r="L61" s="63"/>
      <c r="M61" s="63"/>
    </row>
    <row r="62" spans="1:13" ht="15.6">
      <c r="A62" s="25" t="str">
        <v>San Antonio - Ctr (Bldg 308)</v>
      </c>
      <c r="B62" s="26" t="str">
        <v>TX</v>
      </c>
      <c r="C62" s="21">
        <v>51650.1875</v>
      </c>
      <c r="D62" s="11">
        <v>50368.51</v>
      </c>
      <c r="E62" s="11">
        <f t="shared" si="0"/>
        <v>1281.677499999998</v>
      </c>
      <c r="F62" s="12">
        <f t="shared" si="3"/>
        <v>2.5446007833068676E-2</v>
      </c>
      <c r="G62" s="13">
        <v>47704.74</v>
      </c>
      <c r="H62" s="13">
        <f t="shared" si="1"/>
        <v>3945.447500000002</v>
      </c>
      <c r="I62" s="14">
        <f t="shared" si="2"/>
        <v>8.270556552661229E-2</v>
      </c>
      <c r="J62" s="38"/>
      <c r="K62" s="38"/>
      <c r="L62" s="63"/>
      <c r="M62" s="63"/>
    </row>
    <row r="63" spans="1:13" ht="15.6">
      <c r="A63" s="27" t="str">
        <v>San Antonio - Ops Ctr (Bldg 104)</v>
      </c>
      <c r="B63" s="28" t="str">
        <v>TX</v>
      </c>
      <c r="C63" s="10">
        <v>14427.70313</v>
      </c>
      <c r="D63" s="15">
        <v>15770.85</v>
      </c>
      <c r="E63" s="15">
        <f t="shared" si="0"/>
        <v>-1343.1468700000005</v>
      </c>
      <c r="F63" s="16">
        <f t="shared" si="3"/>
        <v>-8.5166422228351704E-2</v>
      </c>
      <c r="G63" s="17">
        <v>14698.6</v>
      </c>
      <c r="H63" s="17">
        <f t="shared" si="1"/>
        <v>-270.89687000000049</v>
      </c>
      <c r="I63" s="16">
        <f t="shared" si="2"/>
        <v>-1.8430113752330186E-2</v>
      </c>
      <c r="J63" s="39"/>
      <c r="K63" s="39"/>
      <c r="L63" s="63"/>
      <c r="M63" s="63"/>
    </row>
    <row r="64" spans="1:13" ht="28.9">
      <c r="A64" s="25" t="str">
        <v>San Antonio - Ops Ctr (Bldg 102)</v>
      </c>
      <c r="B64" s="26" t="str">
        <v>TX</v>
      </c>
      <c r="C64" s="21">
        <v>56859.9375</v>
      </c>
      <c r="D64" s="11">
        <v>48446.05</v>
      </c>
      <c r="E64" s="11">
        <f t="shared" si="0"/>
        <v>8413.8874999999971</v>
      </c>
      <c r="F64" s="12">
        <f t="shared" si="3"/>
        <v>0.17367540800539974</v>
      </c>
      <c r="G64" s="13">
        <v>53378.89</v>
      </c>
      <c r="H64" s="13">
        <f t="shared" si="1"/>
        <v>3481.0475000000006</v>
      </c>
      <c r="I64" s="14">
        <f t="shared" si="2"/>
        <v>6.5213935696302433E-2</v>
      </c>
      <c r="J64" s="38" t="s">
        <v>106</v>
      </c>
      <c r="K64" s="78" t="s">
        <v>107</v>
      </c>
      <c r="L64" s="63"/>
      <c r="M64" s="63"/>
    </row>
    <row r="65" spans="1:13" ht="15.6">
      <c r="A65" s="27" t="str">
        <v>Lodi - Lodi Vineyard</v>
      </c>
      <c r="B65" s="28" t="str">
        <v>CA</v>
      </c>
      <c r="C65" s="10">
        <v>35355.625</v>
      </c>
      <c r="D65" s="15">
        <v>38012.720000000001</v>
      </c>
      <c r="E65" s="15">
        <f t="shared" si="0"/>
        <v>-2657.0950000000012</v>
      </c>
      <c r="F65" s="16">
        <f t="shared" si="3"/>
        <v>-6.990015447460747E-2</v>
      </c>
      <c r="G65" s="17">
        <v>32370</v>
      </c>
      <c r="H65" s="17">
        <f t="shared" si="1"/>
        <v>2985.625</v>
      </c>
      <c r="I65" s="16">
        <f t="shared" si="2"/>
        <v>9.2234321902996602E-2</v>
      </c>
      <c r="J65" s="39"/>
      <c r="K65" s="39"/>
      <c r="L65" s="63"/>
      <c r="M65" s="63"/>
    </row>
    <row r="66" spans="1:13" ht="15.6">
      <c r="A66" s="25" t="str">
        <v>Arden Fair Mall</v>
      </c>
      <c r="B66" s="26" t="str">
        <v>CA</v>
      </c>
      <c r="C66" s="21">
        <v>16843.046875</v>
      </c>
      <c r="D66" s="11">
        <v>17634.400000000001</v>
      </c>
      <c r="E66" s="11">
        <f t="shared" si="0"/>
        <v>-791.35312500000146</v>
      </c>
      <c r="F66" s="12">
        <f t="shared" si="3"/>
        <v>-4.487553446672421E-2</v>
      </c>
      <c r="G66" s="13">
        <v>19350</v>
      </c>
      <c r="H66" s="13">
        <f t="shared" si="1"/>
        <v>-2506.953125</v>
      </c>
      <c r="I66" s="14">
        <f t="shared" si="2"/>
        <v>-0.12955830103359173</v>
      </c>
      <c r="J66" s="38" t="s">
        <v>108</v>
      </c>
      <c r="K66" s="78" t="s">
        <v>109</v>
      </c>
      <c r="L66" s="63"/>
      <c r="M66" s="63"/>
    </row>
    <row r="67" spans="1:13" ht="28.9">
      <c r="A67" s="27" t="str">
        <v>Modesto - Modesto Main</v>
      </c>
      <c r="B67" s="28" t="str">
        <v>CA</v>
      </c>
      <c r="C67" s="10">
        <v>13610.08390625</v>
      </c>
      <c r="D67" s="15">
        <v>15389.38</v>
      </c>
      <c r="E67" s="15">
        <f t="shared" si="0"/>
        <v>-1779.2960937499993</v>
      </c>
      <c r="F67" s="16">
        <f t="shared" si="3"/>
        <v>-0.1156184390631721</v>
      </c>
      <c r="G67" s="17">
        <v>18601.349999999999</v>
      </c>
      <c r="H67" s="17">
        <f t="shared" si="1"/>
        <v>-4991.2660937499986</v>
      </c>
      <c r="I67" s="16">
        <f t="shared" si="2"/>
        <v>-0.26832816401766535</v>
      </c>
      <c r="J67" s="39" t="s">
        <v>110</v>
      </c>
      <c r="K67" s="85" t="s">
        <v>111</v>
      </c>
      <c r="L67" s="63"/>
      <c r="M67" s="63"/>
    </row>
    <row r="68" spans="1:13" ht="15.6">
      <c r="A68" s="25" t="str">
        <v>Stevens Creek</v>
      </c>
      <c r="B68" s="26" t="str">
        <v>CA</v>
      </c>
      <c r="C68" s="21">
        <v>4575.0457556839301</v>
      </c>
      <c r="D68" s="11">
        <v>4274.8689999999997</v>
      </c>
      <c r="E68" s="11">
        <f t="shared" si="0"/>
        <v>300.17675568393042</v>
      </c>
      <c r="F68" s="12">
        <f t="shared" si="3"/>
        <v>7.0218936693482406E-2</v>
      </c>
      <c r="G68" s="13">
        <v>4937</v>
      </c>
      <c r="H68" s="13">
        <f t="shared" si="1"/>
        <v>-361.95424431606989</v>
      </c>
      <c r="I68" s="14">
        <f t="shared" si="2"/>
        <v>-7.3314612986848271E-2</v>
      </c>
      <c r="J68" s="38"/>
      <c r="K68" s="38"/>
      <c r="L68" s="63"/>
      <c r="M68" s="63"/>
    </row>
    <row r="69" spans="1:13" ht="15.6">
      <c r="A69" s="27" t="str">
        <v>Covina Main</v>
      </c>
      <c r="B69" s="28" t="str">
        <v>CA</v>
      </c>
      <c r="C69" s="10">
        <v>3455.8</v>
      </c>
      <c r="D69" s="15">
        <v>2873.5880000000002</v>
      </c>
      <c r="E69" s="15">
        <f t="shared" ref="E69:E84" si="4">IF(AND(ISNUMBER(C69),ISNUMBER(D69)), C69-D69, "")</f>
        <v>582.21199999999999</v>
      </c>
      <c r="F69" s="16">
        <f t="shared" si="3"/>
        <v>0.20260802870836039</v>
      </c>
      <c r="G69" s="17">
        <v>3109</v>
      </c>
      <c r="H69" s="17">
        <f t="shared" ref="H69:H84" si="5">IF(AND(ISNUMBER(C69),ISNUMBER(G69)), C69-G69, "")</f>
        <v>346.80000000000018</v>
      </c>
      <c r="I69" s="16">
        <f t="shared" ref="I69:I84" si="6">IFERROR(H69/G69, "")</f>
        <v>0.11154712126085564</v>
      </c>
      <c r="J69" s="39"/>
      <c r="K69" s="39"/>
      <c r="L69" s="63"/>
      <c r="M69" s="63"/>
    </row>
    <row r="70" spans="1:13" ht="15.6">
      <c r="A70" s="25" t="str">
        <v>Old Ranch Town Center</v>
      </c>
      <c r="B70" s="26" t="str">
        <v>CA</v>
      </c>
      <c r="C70" s="21">
        <v>1245.9931640625</v>
      </c>
      <c r="D70" s="11">
        <v>0</v>
      </c>
      <c r="E70" s="11">
        <f t="shared" si="4"/>
        <v>1245.9931640625</v>
      </c>
      <c r="F70" s="12" t="str">
        <f t="shared" ref="F70:F84" si="7">IFERROR(E70/D70, "")</f>
        <v/>
      </c>
      <c r="G70" s="13">
        <v>1294</v>
      </c>
      <c r="H70" s="13">
        <f t="shared" si="5"/>
        <v>-48.0068359375</v>
      </c>
      <c r="I70" s="14">
        <f t="shared" si="6"/>
        <v>-3.70995640938949E-2</v>
      </c>
      <c r="J70" s="38"/>
      <c r="K70" s="38"/>
      <c r="L70" s="63"/>
      <c r="M70" s="63"/>
    </row>
    <row r="71" spans="1:13" ht="43.15">
      <c r="A71" s="27" t="str">
        <v>Mountain Gate Plaza</v>
      </c>
      <c r="B71" s="28" t="str">
        <v>CA</v>
      </c>
      <c r="C71" s="10">
        <v>8124.8</v>
      </c>
      <c r="D71" s="15">
        <v>0</v>
      </c>
      <c r="E71" s="15">
        <f t="shared" si="4"/>
        <v>8124.8</v>
      </c>
      <c r="F71" s="16" t="str">
        <f t="shared" si="7"/>
        <v/>
      </c>
      <c r="G71" s="17">
        <v>9526</v>
      </c>
      <c r="H71" s="17">
        <f t="shared" si="5"/>
        <v>-1401.1999999999998</v>
      </c>
      <c r="I71" s="16">
        <f t="shared" si="6"/>
        <v>-0.1470921688011757</v>
      </c>
      <c r="J71" s="39" t="s">
        <v>112</v>
      </c>
      <c r="K71" s="39"/>
      <c r="L71" s="63"/>
      <c r="M71" s="63"/>
    </row>
    <row r="72" spans="1:13" ht="43.15">
      <c r="A72" s="25" t="str">
        <v>Arcadia Main</v>
      </c>
      <c r="B72" s="26" t="str">
        <v>CA</v>
      </c>
      <c r="C72" s="21">
        <v>3899.9489046796498</v>
      </c>
      <c r="D72" s="11">
        <v>0</v>
      </c>
      <c r="E72" s="11">
        <f t="shared" si="4"/>
        <v>3899.9489046796498</v>
      </c>
      <c r="F72" s="12" t="str">
        <f t="shared" si="7"/>
        <v/>
      </c>
      <c r="G72" s="13">
        <v>4681</v>
      </c>
      <c r="H72" s="13">
        <f t="shared" si="5"/>
        <v>-781.05109532035021</v>
      </c>
      <c r="I72" s="14">
        <f t="shared" si="6"/>
        <v>-0.16685560677640465</v>
      </c>
      <c r="J72" s="38" t="s">
        <v>112</v>
      </c>
      <c r="K72" s="38"/>
      <c r="L72" s="63"/>
      <c r="M72" s="63"/>
    </row>
    <row r="73" spans="1:13" ht="15.6">
      <c r="A73" s="27" t="str">
        <v>Fairfield</v>
      </c>
      <c r="B73" s="28" t="str">
        <v>CA</v>
      </c>
      <c r="C73" s="10">
        <v>3354.1356110074598</v>
      </c>
      <c r="D73" s="15">
        <v>3359.502</v>
      </c>
      <c r="E73" s="15">
        <f t="shared" si="4"/>
        <v>-5.3663889925401236</v>
      </c>
      <c r="F73" s="16">
        <f t="shared" si="7"/>
        <v>-1.5973763351056567E-3</v>
      </c>
      <c r="G73" s="17">
        <v>3588</v>
      </c>
      <c r="H73" s="17">
        <f t="shared" si="5"/>
        <v>-233.86438899254017</v>
      </c>
      <c r="I73" s="16">
        <f t="shared" si="6"/>
        <v>-6.5179595594353448E-2</v>
      </c>
      <c r="J73" s="39"/>
      <c r="K73" s="39"/>
      <c r="L73" s="63"/>
      <c r="M73" s="63"/>
    </row>
    <row r="74" spans="1:13" ht="15.6">
      <c r="A74" s="25" t="str">
        <v>Los Gatos</v>
      </c>
      <c r="B74" s="26" t="str">
        <v>CA</v>
      </c>
      <c r="C74" s="21">
        <v>1727.534140625</v>
      </c>
      <c r="D74" s="11">
        <v>1680.7090000000001</v>
      </c>
      <c r="E74" s="11">
        <f t="shared" si="4"/>
        <v>46.825140624999904</v>
      </c>
      <c r="F74" s="12">
        <f t="shared" si="7"/>
        <v>2.7860349783930413E-2</v>
      </c>
      <c r="G74" s="13">
        <v>0</v>
      </c>
      <c r="H74" s="13">
        <f t="shared" si="5"/>
        <v>1727.534140625</v>
      </c>
      <c r="I74" s="14" t="str">
        <f t="shared" si="6"/>
        <v/>
      </c>
      <c r="J74" s="38"/>
      <c r="K74" s="38"/>
      <c r="L74" s="63"/>
      <c r="M74" s="63"/>
    </row>
    <row r="75" spans="1:13" ht="28.9">
      <c r="A75" s="27" t="str">
        <v>San Marino</v>
      </c>
      <c r="B75" s="28" t="str">
        <v>CA</v>
      </c>
      <c r="C75" s="10">
        <v>2913.3</v>
      </c>
      <c r="D75" s="15">
        <v>3623.3069999999998</v>
      </c>
      <c r="E75" s="15">
        <f t="shared" si="4"/>
        <v>-710.00699999999961</v>
      </c>
      <c r="F75" s="16">
        <f t="shared" si="7"/>
        <v>-0.19595551798398525</v>
      </c>
      <c r="G75" s="17">
        <v>4867.4380000000001</v>
      </c>
      <c r="H75" s="17">
        <f t="shared" si="5"/>
        <v>-1954.1379999999999</v>
      </c>
      <c r="I75" s="16">
        <f t="shared" si="6"/>
        <v>-0.40147157498462227</v>
      </c>
      <c r="J75" s="39" t="s">
        <v>113</v>
      </c>
      <c r="K75" s="39"/>
      <c r="L75" s="63"/>
      <c r="M75" s="63"/>
    </row>
    <row r="76" spans="1:13" ht="28.9">
      <c r="A76" s="25" t="str">
        <v>Buenaventura</v>
      </c>
      <c r="B76" s="26" t="str">
        <v>CA</v>
      </c>
      <c r="C76" s="21">
        <v>4847.71484375</v>
      </c>
      <c r="D76" s="11">
        <v>3441.57</v>
      </c>
      <c r="E76" s="11">
        <f t="shared" si="4"/>
        <v>1406.1448437499998</v>
      </c>
      <c r="F76" s="12">
        <f t="shared" si="7"/>
        <v>0.4085765635305979</v>
      </c>
      <c r="G76" s="13">
        <v>5544</v>
      </c>
      <c r="H76" s="13">
        <f t="shared" si="5"/>
        <v>-696.28515625</v>
      </c>
      <c r="I76" s="14">
        <f t="shared" si="6"/>
        <v>-0.1255925606511544</v>
      </c>
      <c r="J76" s="38" t="s">
        <v>114</v>
      </c>
      <c r="K76" s="38"/>
      <c r="L76" s="63"/>
      <c r="M76" s="63"/>
    </row>
    <row r="77" spans="1:13" ht="15.6">
      <c r="A77" s="27" t="str">
        <v>N Black Canyon Hwy, Phoenix - North</v>
      </c>
      <c r="B77" s="28" t="str">
        <v>AZ</v>
      </c>
      <c r="C77" s="10">
        <v>85410.875</v>
      </c>
      <c r="D77" s="15">
        <v>77197.31</v>
      </c>
      <c r="E77" s="15">
        <f t="shared" si="4"/>
        <v>8213.5650000000023</v>
      </c>
      <c r="F77" s="16">
        <f t="shared" si="7"/>
        <v>0.10639703637341771</v>
      </c>
      <c r="G77" s="17">
        <v>80919</v>
      </c>
      <c r="H77" s="17">
        <f t="shared" si="5"/>
        <v>4491.875</v>
      </c>
      <c r="I77" s="16">
        <f t="shared" si="6"/>
        <v>5.55107576712515E-2</v>
      </c>
      <c r="J77" s="39"/>
      <c r="K77" s="39"/>
      <c r="L77" s="63"/>
      <c r="M77" s="63"/>
    </row>
    <row r="78" spans="1:13" ht="28.9">
      <c r="A78" s="25" t="str">
        <v>N Black Canyon Hwy, Phoenix - South</v>
      </c>
      <c r="B78" s="26" t="str">
        <v>AZ</v>
      </c>
      <c r="C78" s="21">
        <v>90956.625</v>
      </c>
      <c r="D78" s="11">
        <v>84695.48</v>
      </c>
      <c r="E78" s="11">
        <f t="shared" si="4"/>
        <v>6261.1450000000041</v>
      </c>
      <c r="F78" s="12">
        <f t="shared" si="7"/>
        <v>7.3925373585461751E-2</v>
      </c>
      <c r="G78" s="13">
        <v>89640</v>
      </c>
      <c r="H78" s="13">
        <f t="shared" si="5"/>
        <v>1316.625</v>
      </c>
      <c r="I78" s="14">
        <f t="shared" si="6"/>
        <v>1.4687918340026774E-2</v>
      </c>
      <c r="J78" s="38" t="s">
        <v>115</v>
      </c>
      <c r="K78" s="78" t="s">
        <v>83</v>
      </c>
      <c r="L78" s="63"/>
      <c r="M78" s="63"/>
    </row>
    <row r="79" spans="1:13" ht="15.6">
      <c r="A79" s="27" t="str">
        <v xml:space="preserve"> Building 2222, Rose Garden Ln, Phoenix</v>
      </c>
      <c r="B79" s="28" t="str">
        <v>AZ</v>
      </c>
      <c r="C79" s="10">
        <v>104419.75</v>
      </c>
      <c r="D79" s="15">
        <v>103295.7</v>
      </c>
      <c r="E79" s="15">
        <f t="shared" si="4"/>
        <v>1124.0500000000029</v>
      </c>
      <c r="F79" s="16">
        <f t="shared" si="7"/>
        <v>1.0881866331318758E-2</v>
      </c>
      <c r="G79" s="17">
        <v>104525</v>
      </c>
      <c r="H79" s="17">
        <f t="shared" si="5"/>
        <v>-105.25</v>
      </c>
      <c r="I79" s="16">
        <f t="shared" si="6"/>
        <v>-1.0069361396795025E-3</v>
      </c>
      <c r="J79" s="39"/>
      <c r="K79" s="39"/>
      <c r="L79" s="63"/>
      <c r="M79" s="63"/>
    </row>
    <row r="80" spans="1:13" ht="15.6">
      <c r="A80" s="25" t="str">
        <v xml:space="preserve"> Building 2202, Rose Garden Ln, Phoenix</v>
      </c>
      <c r="B80" s="26" t="str">
        <v>AZ</v>
      </c>
      <c r="C80" s="21">
        <v>104380.125</v>
      </c>
      <c r="D80" s="11">
        <v>94117.18</v>
      </c>
      <c r="E80" s="11">
        <f t="shared" si="4"/>
        <v>10262.945000000007</v>
      </c>
      <c r="F80" s="12">
        <f t="shared" si="7"/>
        <v>0.10904433175749643</v>
      </c>
      <c r="G80" s="13">
        <v>84590.54</v>
      </c>
      <c r="H80" s="13">
        <f t="shared" si="5"/>
        <v>19789.585000000006</v>
      </c>
      <c r="I80" s="14">
        <f t="shared" si="6"/>
        <v>0.23394560431934833</v>
      </c>
      <c r="J80" s="38"/>
      <c r="K80" s="38"/>
      <c r="L80" s="63"/>
      <c r="M80" s="63"/>
    </row>
    <row r="81" spans="1:13" ht="43.15">
      <c r="A81" s="27" t="str">
        <v xml:space="preserve"> 99TH Ave &amp; BELL</v>
      </c>
      <c r="B81" s="28" t="str">
        <v>AZ</v>
      </c>
      <c r="C81" s="10">
        <v>18692.099999999999</v>
      </c>
      <c r="D81" s="15">
        <v>18682.68</v>
      </c>
      <c r="E81" s="15">
        <f t="shared" si="4"/>
        <v>9.4199999999982538</v>
      </c>
      <c r="F81" s="16">
        <f t="shared" si="7"/>
        <v>5.0421031672106219E-4</v>
      </c>
      <c r="G81" s="17">
        <v>19248</v>
      </c>
      <c r="H81" s="17">
        <f t="shared" si="5"/>
        <v>-555.90000000000146</v>
      </c>
      <c r="I81" s="16">
        <f t="shared" si="6"/>
        <v>-2.8880922693266909E-2</v>
      </c>
      <c r="J81" s="39" t="s">
        <v>116</v>
      </c>
      <c r="K81" s="39"/>
      <c r="L81" s="63"/>
      <c r="M81" s="63"/>
    </row>
    <row r="82" spans="1:13" ht="15.6">
      <c r="A82" s="25" t="str">
        <v>Rincon</v>
      </c>
      <c r="B82" s="26" t="str">
        <v>AZ</v>
      </c>
      <c r="C82" s="21">
        <v>8415.0234375</v>
      </c>
      <c r="D82" s="11">
        <v>6682.0460000000003</v>
      </c>
      <c r="E82" s="11">
        <f t="shared" si="4"/>
        <v>1732.9774374999997</v>
      </c>
      <c r="F82" s="12">
        <f t="shared" si="7"/>
        <v>0.25934832497411714</v>
      </c>
      <c r="G82" s="13">
        <v>7610</v>
      </c>
      <c r="H82" s="13">
        <f t="shared" si="5"/>
        <v>805.0234375</v>
      </c>
      <c r="I82" s="14">
        <f t="shared" si="6"/>
        <v>0.10578494579500657</v>
      </c>
      <c r="J82" s="38"/>
      <c r="K82" s="38"/>
      <c r="L82" s="63"/>
      <c r="M82" s="63"/>
    </row>
    <row r="83" spans="1:13" ht="72">
      <c r="A83" s="27" t="str">
        <v>Tucson Main Parking Garage</v>
      </c>
      <c r="B83" s="28" t="str">
        <v>AZ</v>
      </c>
      <c r="C83" s="10">
        <v>8170.1025058015703</v>
      </c>
      <c r="D83" s="15">
        <v>9413.6949999999997</v>
      </c>
      <c r="E83" s="15">
        <f t="shared" si="4"/>
        <v>-1243.5924941984294</v>
      </c>
      <c r="F83" s="16">
        <f t="shared" si="7"/>
        <v>-0.13210460867899687</v>
      </c>
      <c r="G83" s="17">
        <v>11334</v>
      </c>
      <c r="H83" s="17">
        <f t="shared" si="5"/>
        <v>-3163.8974941984297</v>
      </c>
      <c r="I83" s="16">
        <f t="shared" si="6"/>
        <v>-0.2791510053113137</v>
      </c>
      <c r="J83" s="39" t="s">
        <v>117</v>
      </c>
      <c r="K83" s="85" t="s">
        <v>118</v>
      </c>
      <c r="L83" s="63"/>
      <c r="M83" s="63"/>
    </row>
    <row r="84" spans="1:13" ht="15.6">
      <c r="A84" s="25" t="str">
        <v>BE 199502 - Westgate</v>
      </c>
      <c r="B84" s="26" t="str">
        <v>CA</v>
      </c>
      <c r="C84" s="21">
        <v>1722.2</v>
      </c>
      <c r="D84" s="11">
        <v>0</v>
      </c>
      <c r="E84" s="11">
        <f t="shared" si="4"/>
        <v>1722.2</v>
      </c>
      <c r="F84" s="12" t="str">
        <f t="shared" si="7"/>
        <v/>
      </c>
      <c r="G84" s="13">
        <v>0</v>
      </c>
      <c r="H84" s="13">
        <f t="shared" si="5"/>
        <v>1722.2</v>
      </c>
      <c r="I84" s="14" t="str">
        <f t="shared" si="6"/>
        <v/>
      </c>
      <c r="J84" s="38"/>
      <c r="K84" s="38"/>
      <c r="L84" s="63"/>
      <c r="M84" s="63"/>
    </row>
    <row r="85" spans="1:13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3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3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3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3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3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3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3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3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3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3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3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C328" s="18"/>
      <c r="D328" s="18"/>
      <c r="E328" s="18"/>
      <c r="F328" s="19"/>
      <c r="G328" s="18"/>
      <c r="H328" s="18"/>
      <c r="I328" s="19"/>
      <c r="J328" s="18"/>
      <c r="K328" s="18"/>
    </row>
  </sheetData>
  <mergeCells count="4">
    <mergeCell ref="G1:I1"/>
    <mergeCell ref="A1:C1"/>
    <mergeCell ref="D1:F1"/>
    <mergeCell ref="A2:B2"/>
  </mergeCells>
  <conditionalFormatting sqref="F2 I2 F4:F86 I4:I86">
    <cfRule type="cellIs" dxfId="22" priority="11" stopIfTrue="1" operator="lessThanOrEqual">
      <formula>-0.1</formula>
    </cfRule>
    <cfRule type="expression" dxfId="21" priority="12">
      <formula>AND(ISNUMBER(F2), F2&gt;=0.1)</formula>
    </cfRule>
  </conditionalFormatting>
  <hyperlinks>
    <hyperlink ref="K6" r:id="rId1" display="https://us3.assetplanner.com/service_request?ID=091496" xr:uid="{668598A2-8231-4BE5-B948-15D0F5830638}"/>
    <hyperlink ref="L6" r:id="rId2" display="https://us3.assetplanner.com/service_request?ID=097801" xr:uid="{7D5C017B-8D2E-4A82-8B28-40F90772E708}"/>
    <hyperlink ref="K19" r:id="rId3" display="https://us3.assetplanner.com/service_request?ID=088667" xr:uid="{F3C3D94B-FF54-4D67-BC29-74133AEAEDAF}"/>
    <hyperlink ref="L19" r:id="rId4" display="https://us3.assetplanner.com/service_request?ID=077700" xr:uid="{6E239D9A-691D-4111-BB59-5259EC7DEDB6}"/>
    <hyperlink ref="K20" r:id="rId5" display="https://us3.assetplanner.com/service_request?ID=098782" xr:uid="{6C3E0510-EB12-4EFD-ADE5-32352A1FEB1C}"/>
    <hyperlink ref="K54" r:id="rId6" display="https://us3.assetplanner.com/service_request?ID=077660" xr:uid="{7552254D-3D29-40B8-8398-223192786B06}"/>
    <hyperlink ref="K64" r:id="rId7" display="https://us3.assetplanner.com/service_request?ID=099238" xr:uid="{C9D81ED9-0AEB-461B-9CC6-71B31F5E2975}"/>
    <hyperlink ref="K66" r:id="rId8" display="https://us3.assetplanner.com/service_request?ID=098213" xr:uid="{463BE5F1-C588-422C-A935-9F6F60129BA7}"/>
    <hyperlink ref="K67" r:id="rId9" display="https://us3.assetplanner.com/service_request?ID=098649" xr:uid="{406F2A49-170B-4CAA-ADF6-A52A95809D83}"/>
    <hyperlink ref="K78" r:id="rId10" display="https://us3.assetplanner.com/service_request?ID=097838" xr:uid="{817A1701-6C98-4EF0-839A-D2A285B4A306}"/>
    <hyperlink ref="K83" r:id="rId11" display="https://us3.assetplanner.com/service_request?ID=098897" xr:uid="{F3D89E92-C838-4556-B94E-F5CEFE17B9CA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O341"/>
  <sheetViews>
    <sheetView zoomScale="70" zoomScaleNormal="70" workbookViewId="0">
      <pane xSplit="2" ySplit="3" topLeftCell="C64" activePane="bottomRight" state="frozen"/>
      <selection pane="bottomRight" activeCell="J72" sqref="J72"/>
      <selection pane="bottomLeft" activeCell="H74" sqref="H74"/>
      <selection pane="topRight" activeCell="H74" sqref="H74"/>
    </sheetView>
  </sheetViews>
  <sheetFormatPr defaultRowHeight="13.9"/>
  <cols>
    <col min="1" max="1" width="29.85546875" customWidth="1"/>
    <col min="2" max="2" width="8.42578125" style="31" customWidth="1"/>
    <col min="3" max="3" width="13.85546875" bestFit="1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5" ht="19.5" customHeight="1">
      <c r="A1" s="210" t="str" cm="1">
        <f t="array" ref="A1">portfolio</f>
        <v>Wells Fargo</v>
      </c>
      <c r="B1" s="210"/>
      <c r="C1" s="210"/>
      <c r="D1" s="211" t="s">
        <v>119</v>
      </c>
      <c r="E1" s="211"/>
      <c r="F1" s="211"/>
      <c r="G1" s="209" t="s">
        <v>120</v>
      </c>
      <c r="H1" s="209"/>
      <c r="I1" s="209"/>
      <c r="J1" s="3"/>
      <c r="K1" s="3"/>
    </row>
    <row r="2" spans="1:15" ht="19.5" customHeight="1">
      <c r="A2" s="220" t="s">
        <v>2</v>
      </c>
      <c r="B2" s="220"/>
      <c r="C2" s="4">
        <f>SUM(C4:C99)</f>
        <v>2067960.5462074804</v>
      </c>
      <c r="D2" s="4">
        <f>SUM(D4:D99)</f>
        <v>1996225.9756000002</v>
      </c>
      <c r="E2" s="4">
        <f>C2-D2</f>
        <v>71734.570607480127</v>
      </c>
      <c r="F2" s="5">
        <f>IFERROR(E2/D2, 0)</f>
        <v>3.5935095266916892E-2</v>
      </c>
      <c r="G2" s="4">
        <f>SUM(G4:G99)</f>
        <v>2191014.8305999995</v>
      </c>
      <c r="H2" s="6">
        <f>C2-G2</f>
        <v>-123054.28439251916</v>
      </c>
      <c r="I2" s="5">
        <f>IFERROR(H2/G2, 0)</f>
        <v>-5.6163145348870729E-2</v>
      </c>
      <c r="J2" s="23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3"/>
    </row>
    <row r="3" spans="1:15" ht="14.25" customHeight="1">
      <c r="A3" s="7" t="s">
        <v>3</v>
      </c>
      <c r="B3" s="7" t="s">
        <v>30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39</v>
      </c>
      <c r="K3" s="22" t="s">
        <v>40</v>
      </c>
    </row>
    <row r="4" spans="1:15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1178.7</v>
      </c>
      <c r="D4" s="11" t="s">
        <v>121</v>
      </c>
      <c r="E4" s="11" t="str">
        <f>IF(AND(ISNUMBER(C4),ISNUMBER(D4)), C4-D4, "")</f>
        <v/>
      </c>
      <c r="F4" s="12" t="str">
        <f>IFERROR(E4/D4, "")</f>
        <v/>
      </c>
      <c r="G4" s="13">
        <v>1189</v>
      </c>
      <c r="H4" s="13">
        <f>IF(AND(ISNUMBER(C4),ISNUMBER(G4)), C4-G4, "")</f>
        <v>-10.299999999999955</v>
      </c>
      <c r="I4" s="14">
        <f>IFERROR(H4/G4, "")</f>
        <v>-8.6627417998317528E-3</v>
      </c>
      <c r="J4" s="38"/>
      <c r="K4" s="38"/>
      <c r="L4" s="63"/>
      <c r="M4" s="63"/>
      <c r="N4" s="63"/>
      <c r="O4" s="63"/>
    </row>
    <row r="5" spans="1:15" ht="15.6">
      <c r="A5" s="27" t="str">
        <v>Otay Mesa</v>
      </c>
      <c r="B5" s="28" t="str">
        <v>CA</v>
      </c>
      <c r="C5" s="10">
        <v>38.200000000000003</v>
      </c>
      <c r="D5" s="15" t="s">
        <v>121</v>
      </c>
      <c r="E5" s="15" t="str">
        <f t="shared" ref="E5:E68" si="0">IF(AND(ISNUMBER(C5),ISNUMBER(D5)), C5-D5, "")</f>
        <v/>
      </c>
      <c r="F5" s="16" t="str">
        <f>IFERROR(E5/D5, "")</f>
        <v/>
      </c>
      <c r="G5" s="17"/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39" t="s">
        <v>42</v>
      </c>
      <c r="K5" s="39"/>
      <c r="L5" s="63"/>
      <c r="M5" s="63"/>
      <c r="N5" s="63"/>
      <c r="O5" s="63"/>
    </row>
    <row r="6" spans="1:15" ht="158.44999999999999">
      <c r="A6" s="25" t="str">
        <v>San Leandro</v>
      </c>
      <c r="B6" s="26" t="str">
        <v>CA</v>
      </c>
      <c r="C6" s="21">
        <v>10927.75</v>
      </c>
      <c r="D6" s="11">
        <v>11196.35</v>
      </c>
      <c r="E6" s="11">
        <f t="shared" si="0"/>
        <v>-268.60000000000036</v>
      </c>
      <c r="F6" s="12">
        <f t="shared" ref="F6:F69" si="3">IFERROR(E6/D6, "")</f>
        <v>-2.3989961014080512E-2</v>
      </c>
      <c r="G6" s="13">
        <v>44719.21</v>
      </c>
      <c r="H6" s="13">
        <f t="shared" si="1"/>
        <v>-33791.46</v>
      </c>
      <c r="I6" s="14">
        <f t="shared" si="2"/>
        <v>-0.75563633615173431</v>
      </c>
      <c r="J6" s="38" t="s">
        <v>122</v>
      </c>
      <c r="K6" s="78" t="s">
        <v>123</v>
      </c>
      <c r="L6" s="86" t="s">
        <v>124</v>
      </c>
      <c r="M6" s="86" t="s">
        <v>125</v>
      </c>
      <c r="N6" s="63"/>
      <c r="O6" s="63"/>
    </row>
    <row r="7" spans="1:15" ht="28.9">
      <c r="A7" s="27" t="str">
        <v>Van Nuys</v>
      </c>
      <c r="B7" s="28" t="str">
        <v>CA</v>
      </c>
      <c r="C7" s="10">
        <v>1914.7</v>
      </c>
      <c r="D7" s="15" t="s">
        <v>121</v>
      </c>
      <c r="E7" s="15" t="str">
        <f t="shared" si="0"/>
        <v/>
      </c>
      <c r="F7" s="16" t="str">
        <f t="shared" si="3"/>
        <v/>
      </c>
      <c r="G7" s="17">
        <v>2371.125</v>
      </c>
      <c r="H7" s="17">
        <f t="shared" si="1"/>
        <v>-456.42499999999995</v>
      </c>
      <c r="I7" s="16">
        <f t="shared" si="2"/>
        <v>-0.19249301491907847</v>
      </c>
      <c r="J7" s="49" t="s">
        <v>94</v>
      </c>
      <c r="K7" s="40"/>
      <c r="L7" s="63"/>
      <c r="M7" s="63"/>
      <c r="N7" s="63"/>
      <c r="O7" s="63"/>
    </row>
    <row r="8" spans="1:15" ht="43.15">
      <c r="A8" s="25" t="str">
        <v>98th &amp; Grant</v>
      </c>
      <c r="B8" s="26" t="str">
        <v>CO</v>
      </c>
      <c r="C8" s="21">
        <v>1132.0999999999999</v>
      </c>
      <c r="D8" s="11" t="s">
        <v>121</v>
      </c>
      <c r="E8" s="11" t="str">
        <f t="shared" si="0"/>
        <v/>
      </c>
      <c r="F8" s="12" t="str">
        <f t="shared" si="3"/>
        <v/>
      </c>
      <c r="G8" s="13">
        <v>2136</v>
      </c>
      <c r="H8" s="13">
        <f t="shared" si="1"/>
        <v>-1003.9000000000001</v>
      </c>
      <c r="I8" s="14">
        <f t="shared" si="2"/>
        <v>-0.46999063670411989</v>
      </c>
      <c r="J8" s="38" t="s">
        <v>95</v>
      </c>
      <c r="K8" s="38"/>
      <c r="L8" s="63"/>
      <c r="M8" s="63"/>
      <c r="N8" s="63"/>
      <c r="O8" s="63"/>
    </row>
    <row r="9" spans="1:15" ht="43.15">
      <c r="A9" s="27" t="str">
        <v>Arapahoe Crossings</v>
      </c>
      <c r="B9" s="28" t="str">
        <v>CO</v>
      </c>
      <c r="C9" s="10">
        <v>2890.2074882629099</v>
      </c>
      <c r="D9" s="15" t="s">
        <v>121</v>
      </c>
      <c r="E9" s="15" t="str">
        <f t="shared" si="0"/>
        <v/>
      </c>
      <c r="F9" s="16" t="str">
        <f t="shared" si="3"/>
        <v/>
      </c>
      <c r="G9" s="17">
        <v>3938.0459999999998</v>
      </c>
      <c r="H9" s="17">
        <f t="shared" si="1"/>
        <v>-1047.8385117370899</v>
      </c>
      <c r="I9" s="16">
        <f t="shared" si="2"/>
        <v>-0.26608082072608852</v>
      </c>
      <c r="J9" s="39" t="s">
        <v>112</v>
      </c>
      <c r="K9" s="40"/>
      <c r="L9" s="63"/>
      <c r="M9" s="63"/>
      <c r="N9" s="63"/>
      <c r="O9" s="63"/>
    </row>
    <row r="10" spans="1:15" ht="15.6">
      <c r="A10" s="25" t="str">
        <v>Aurora City Center</v>
      </c>
      <c r="B10" s="26" t="str">
        <v>CO</v>
      </c>
      <c r="C10" s="21">
        <v>1927.8999999999901</v>
      </c>
      <c r="D10" s="11" t="s">
        <v>121</v>
      </c>
      <c r="E10" s="11" t="str">
        <f t="shared" si="0"/>
        <v/>
      </c>
      <c r="F10" s="12" t="str">
        <f t="shared" si="3"/>
        <v/>
      </c>
      <c r="G10" s="13">
        <v>1830</v>
      </c>
      <c r="H10" s="13">
        <f t="shared" si="1"/>
        <v>97.899999999990087</v>
      </c>
      <c r="I10" s="14">
        <f t="shared" si="2"/>
        <v>5.3497267759557425E-2</v>
      </c>
      <c r="J10" s="38"/>
      <c r="K10" s="38"/>
      <c r="L10" s="63"/>
      <c r="M10" s="63"/>
      <c r="N10" s="63"/>
      <c r="O10" s="63"/>
    </row>
    <row r="11" spans="1:15" ht="15.6">
      <c r="A11" s="27" t="str">
        <v>Dry Creek</v>
      </c>
      <c r="B11" s="28" t="str">
        <v>CO</v>
      </c>
      <c r="C11" s="10">
        <v>2238.5</v>
      </c>
      <c r="D11" s="15" t="s">
        <v>121</v>
      </c>
      <c r="E11" s="15" t="str">
        <f t="shared" si="0"/>
        <v/>
      </c>
      <c r="F11" s="16" t="str">
        <f t="shared" si="3"/>
        <v/>
      </c>
      <c r="G11" s="17">
        <v>2326</v>
      </c>
      <c r="H11" s="17">
        <f t="shared" si="1"/>
        <v>-87.5</v>
      </c>
      <c r="I11" s="16">
        <f t="shared" si="2"/>
        <v>-3.761822871883061E-2</v>
      </c>
      <c r="J11" s="39"/>
      <c r="K11" s="40"/>
      <c r="L11" s="63"/>
      <c r="M11" s="63"/>
      <c r="N11" s="63"/>
      <c r="O11" s="63"/>
    </row>
    <row r="12" spans="1:15" ht="43.15">
      <c r="A12" s="25" t="str">
        <v>Highlands Ranch S.</v>
      </c>
      <c r="B12" s="26" t="str">
        <v>CO</v>
      </c>
      <c r="C12" s="21">
        <v>1893.2</v>
      </c>
      <c r="D12" s="11" t="s">
        <v>121</v>
      </c>
      <c r="E12" s="11" t="str">
        <f t="shared" si="0"/>
        <v/>
      </c>
      <c r="F12" s="12" t="str">
        <f t="shared" si="3"/>
        <v/>
      </c>
      <c r="G12" s="13">
        <v>2208</v>
      </c>
      <c r="H12" s="13">
        <f t="shared" si="1"/>
        <v>-314.79999999999995</v>
      </c>
      <c r="I12" s="14">
        <f t="shared" si="2"/>
        <v>-0.14257246376811591</v>
      </c>
      <c r="J12" s="38" t="s">
        <v>112</v>
      </c>
      <c r="K12" s="38"/>
      <c r="L12" s="63"/>
      <c r="M12" s="63"/>
      <c r="N12" s="63"/>
      <c r="O12" s="63"/>
    </row>
    <row r="13" spans="1:15" ht="45.75" customHeight="1">
      <c r="A13" s="27" t="str">
        <v>Lone Tree</v>
      </c>
      <c r="B13" s="28" t="str">
        <v>CO</v>
      </c>
      <c r="C13" s="10">
        <v>2930</v>
      </c>
      <c r="D13" s="15" t="s">
        <v>121</v>
      </c>
      <c r="E13" s="15" t="str">
        <f t="shared" si="0"/>
        <v/>
      </c>
      <c r="F13" s="16" t="str">
        <f t="shared" si="3"/>
        <v/>
      </c>
      <c r="G13" s="17">
        <v>5022</v>
      </c>
      <c r="H13" s="17">
        <f t="shared" si="1"/>
        <v>-2092</v>
      </c>
      <c r="I13" s="16">
        <f t="shared" si="2"/>
        <v>-0.41656710473914776</v>
      </c>
      <c r="J13" s="39" t="s">
        <v>126</v>
      </c>
      <c r="K13" s="81" t="s">
        <v>127</v>
      </c>
      <c r="L13" s="86" t="s">
        <v>128</v>
      </c>
      <c r="M13" s="63"/>
      <c r="N13" s="63"/>
      <c r="O13" s="63"/>
    </row>
    <row r="14" spans="1:15" ht="15.6">
      <c r="A14" s="25" t="str">
        <v>Meridian</v>
      </c>
      <c r="B14" s="26" t="str">
        <v>CO</v>
      </c>
      <c r="C14" s="21">
        <v>3210.6000000000099</v>
      </c>
      <c r="D14" s="11" t="s">
        <v>121</v>
      </c>
      <c r="E14" s="11" t="str">
        <f t="shared" si="0"/>
        <v/>
      </c>
      <c r="F14" s="12" t="str">
        <f t="shared" si="3"/>
        <v/>
      </c>
      <c r="G14" s="13">
        <v>2914</v>
      </c>
      <c r="H14" s="13">
        <f t="shared" si="1"/>
        <v>296.60000000000991</v>
      </c>
      <c r="I14" s="14">
        <f t="shared" si="2"/>
        <v>0.10178448867536373</v>
      </c>
      <c r="J14" s="38"/>
      <c r="K14" s="38"/>
      <c r="L14" s="63"/>
      <c r="M14" s="63"/>
      <c r="N14" s="63"/>
      <c r="O14" s="63"/>
    </row>
    <row r="15" spans="1:15" ht="15.6">
      <c r="A15" s="27" t="str">
        <v>Southglenn</v>
      </c>
      <c r="B15" s="28" t="str">
        <v>CO</v>
      </c>
      <c r="C15" s="10">
        <v>3124.9</v>
      </c>
      <c r="D15" s="15" t="s">
        <v>121</v>
      </c>
      <c r="E15" s="15" t="str">
        <f t="shared" si="0"/>
        <v/>
      </c>
      <c r="F15" s="16" t="str">
        <f t="shared" si="3"/>
        <v/>
      </c>
      <c r="G15" s="17">
        <v>2987</v>
      </c>
      <c r="H15" s="17">
        <f t="shared" si="1"/>
        <v>137.90000000000009</v>
      </c>
      <c r="I15" s="16">
        <f t="shared" si="2"/>
        <v>4.6166722464010747E-2</v>
      </c>
      <c r="J15" s="39"/>
      <c r="K15" s="40"/>
      <c r="L15" s="63"/>
      <c r="M15" s="63"/>
      <c r="N15" s="63"/>
      <c r="O15" s="63"/>
    </row>
    <row r="16" spans="1:15" ht="43.15">
      <c r="A16" s="25" t="str">
        <v>Standley Lake</v>
      </c>
      <c r="B16" s="26" t="str">
        <v>CO</v>
      </c>
      <c r="C16" s="21">
        <v>3214.8</v>
      </c>
      <c r="D16" s="11" t="s">
        <v>121</v>
      </c>
      <c r="E16" s="11" t="str">
        <f t="shared" si="0"/>
        <v/>
      </c>
      <c r="F16" s="12" t="str">
        <f t="shared" si="3"/>
        <v/>
      </c>
      <c r="G16" s="13">
        <v>3982</v>
      </c>
      <c r="H16" s="13">
        <f t="shared" si="1"/>
        <v>-767.19999999999982</v>
      </c>
      <c r="I16" s="14">
        <f t="shared" si="2"/>
        <v>-0.19266700150678046</v>
      </c>
      <c r="J16" s="38" t="s">
        <v>95</v>
      </c>
      <c r="K16" s="38"/>
      <c r="L16" s="63"/>
      <c r="M16" s="63"/>
      <c r="N16" s="63"/>
      <c r="O16" s="63"/>
    </row>
    <row r="17" spans="1:15" ht="15.6">
      <c r="A17" s="27" t="str">
        <v>Havana Gardens</v>
      </c>
      <c r="B17" s="28" t="str">
        <v>CO</v>
      </c>
      <c r="C17" s="10">
        <v>3616.7</v>
      </c>
      <c r="D17" s="15" t="s">
        <v>121</v>
      </c>
      <c r="E17" s="15" t="str">
        <f t="shared" si="0"/>
        <v/>
      </c>
      <c r="F17" s="16" t="str">
        <f t="shared" si="3"/>
        <v/>
      </c>
      <c r="G17" s="17">
        <v>1550</v>
      </c>
      <c r="H17" s="17">
        <f t="shared" si="1"/>
        <v>2066.6999999999998</v>
      </c>
      <c r="I17" s="16">
        <f t="shared" si="2"/>
        <v>1.3333548387096772</v>
      </c>
      <c r="J17" s="39"/>
      <c r="K17" s="40"/>
      <c r="L17" s="63"/>
      <c r="M17" s="63"/>
      <c r="N17" s="63"/>
      <c r="O17" s="63"/>
    </row>
    <row r="18" spans="1:15" ht="12.75" customHeight="1">
      <c r="A18" s="25" t="str">
        <v>East Hartford</v>
      </c>
      <c r="B18" s="26" t="str">
        <v>CT</v>
      </c>
      <c r="C18" s="21">
        <v>723.20000000000095</v>
      </c>
      <c r="D18" s="11">
        <v>1739.4179999999999</v>
      </c>
      <c r="E18" s="11">
        <f t="shared" si="0"/>
        <v>-1016.2179999999989</v>
      </c>
      <c r="F18" s="12">
        <f t="shared" si="3"/>
        <v>-0.58422874777655454</v>
      </c>
      <c r="G18" s="13">
        <v>796.53700000000003</v>
      </c>
      <c r="H18" s="13">
        <f t="shared" si="1"/>
        <v>-73.33699999999908</v>
      </c>
      <c r="I18" s="14">
        <f t="shared" si="2"/>
        <v>-9.2069797134344142E-2</v>
      </c>
      <c r="J18" s="38" t="s">
        <v>129</v>
      </c>
      <c r="K18" s="38"/>
      <c r="L18" s="63"/>
      <c r="M18" s="63"/>
      <c r="N18" s="63"/>
      <c r="O18" s="63"/>
    </row>
    <row r="19" spans="1:15" ht="15.6">
      <c r="A19" s="27" t="str">
        <v>Norwalk</v>
      </c>
      <c r="B19" s="28" t="str">
        <v>CT</v>
      </c>
      <c r="C19" s="10">
        <v>899.51166303291404</v>
      </c>
      <c r="D19" s="15">
        <v>95.759100000000004</v>
      </c>
      <c r="E19" s="15">
        <f t="shared" si="0"/>
        <v>803.75256303291405</v>
      </c>
      <c r="F19" s="16">
        <f t="shared" si="3"/>
        <v>8.3934849328462153</v>
      </c>
      <c r="G19" s="17">
        <v>988.80460000000005</v>
      </c>
      <c r="H19" s="17">
        <f t="shared" si="1"/>
        <v>-89.292936967086007</v>
      </c>
      <c r="I19" s="16">
        <f t="shared" si="2"/>
        <v>-9.0303925535020771E-2</v>
      </c>
      <c r="J19" s="39" t="s">
        <v>130</v>
      </c>
      <c r="K19" s="85" t="s">
        <v>131</v>
      </c>
      <c r="L19" s="63"/>
      <c r="M19" s="63"/>
      <c r="N19" s="63"/>
      <c r="O19" s="63"/>
    </row>
    <row r="20" spans="1:15" ht="15.6">
      <c r="A20" s="25" t="str">
        <v>Hialeah Gardens</v>
      </c>
      <c r="B20" s="26" t="str">
        <v>FL</v>
      </c>
      <c r="C20" s="21">
        <v>911.89999997615803</v>
      </c>
      <c r="D20" s="11">
        <v>4622.7569999999996</v>
      </c>
      <c r="E20" s="11">
        <f t="shared" si="0"/>
        <v>-3710.8570000238415</v>
      </c>
      <c r="F20" s="12">
        <f t="shared" si="3"/>
        <v>-0.80273676510009973</v>
      </c>
      <c r="G20" s="13">
        <v>5532</v>
      </c>
      <c r="H20" s="13">
        <f t="shared" si="1"/>
        <v>-4620.1000000238419</v>
      </c>
      <c r="I20" s="14">
        <f t="shared" si="2"/>
        <v>-0.83515907448008708</v>
      </c>
      <c r="J20" s="38" t="s">
        <v>132</v>
      </c>
      <c r="K20" s="78" t="s">
        <v>100</v>
      </c>
      <c r="L20" s="63"/>
      <c r="M20" s="63"/>
      <c r="N20" s="63"/>
      <c r="O20" s="63"/>
    </row>
    <row r="21" spans="1:15" ht="15.6">
      <c r="A21" s="27" t="str">
        <v>W. Des Moines Campus EAST</v>
      </c>
      <c r="B21" s="28" t="str">
        <v>IA</v>
      </c>
      <c r="C21" s="10">
        <v>171303.5</v>
      </c>
      <c r="D21" s="15">
        <v>165349.4</v>
      </c>
      <c r="E21" s="15">
        <f t="shared" si="0"/>
        <v>5954.1000000000058</v>
      </c>
      <c r="F21" s="16">
        <f t="shared" si="3"/>
        <v>3.6009202331547654E-2</v>
      </c>
      <c r="G21" s="17">
        <v>177300</v>
      </c>
      <c r="H21" s="17">
        <f t="shared" si="1"/>
        <v>-5996.5</v>
      </c>
      <c r="I21" s="16">
        <f t="shared" si="2"/>
        <v>-3.3821206993795823E-2</v>
      </c>
      <c r="J21" s="39"/>
      <c r="K21" s="40"/>
      <c r="L21" s="63"/>
      <c r="M21" s="63"/>
      <c r="N21" s="63"/>
      <c r="O21" s="63"/>
    </row>
    <row r="22" spans="1:15" ht="15.6">
      <c r="A22" s="25" t="str">
        <v>W. Des Moines Campus SW</v>
      </c>
      <c r="B22" s="26" t="str">
        <v>IA</v>
      </c>
      <c r="C22" s="21">
        <v>85146.5</v>
      </c>
      <c r="D22" s="11">
        <v>83403.95</v>
      </c>
      <c r="E22" s="11">
        <f t="shared" si="0"/>
        <v>1742.5500000000029</v>
      </c>
      <c r="F22" s="12">
        <f t="shared" si="3"/>
        <v>2.0892895360471571E-2</v>
      </c>
      <c r="G22" s="13">
        <v>87570.38</v>
      </c>
      <c r="H22" s="13">
        <f t="shared" si="1"/>
        <v>-2423.8800000000047</v>
      </c>
      <c r="I22" s="14">
        <f t="shared" si="2"/>
        <v>-2.7679222129674493E-2</v>
      </c>
      <c r="J22" s="38"/>
      <c r="K22" s="38"/>
      <c r="L22" s="63"/>
      <c r="M22" s="63"/>
      <c r="N22" s="63"/>
      <c r="O22" s="63"/>
    </row>
    <row r="23" spans="1:15" ht="15.6">
      <c r="A23" s="27" t="str">
        <v>WF - CIC</v>
      </c>
      <c r="B23" s="28" t="str">
        <v>NC</v>
      </c>
      <c r="C23" s="10">
        <v>181200</v>
      </c>
      <c r="D23" s="15">
        <v>181100.23699999999</v>
      </c>
      <c r="E23" s="15">
        <f t="shared" si="0"/>
        <v>99.763000000006286</v>
      </c>
      <c r="F23" s="16">
        <f t="shared" si="3"/>
        <v>5.5087172525349201E-4</v>
      </c>
      <c r="G23" s="17">
        <v>194273</v>
      </c>
      <c r="H23" s="17">
        <f t="shared" si="1"/>
        <v>-13073</v>
      </c>
      <c r="I23" s="16">
        <f t="shared" si="2"/>
        <v>-6.729190366134255E-2</v>
      </c>
      <c r="J23" s="39"/>
      <c r="K23" s="40"/>
      <c r="L23" s="63"/>
      <c r="M23" s="63"/>
      <c r="N23" s="63"/>
      <c r="O23" s="63"/>
    </row>
    <row r="24" spans="1:15" ht="15.6">
      <c r="A24" s="25" t="str">
        <v>Charlotte - Wells Fargo - DUC</v>
      </c>
      <c r="B24" s="26" t="str">
        <v>NC</v>
      </c>
      <c r="C24" s="57">
        <v>182298</v>
      </c>
      <c r="D24" s="11">
        <v>197107.99600000001</v>
      </c>
      <c r="E24" s="11">
        <f t="shared" si="0"/>
        <v>-14809.996000000014</v>
      </c>
      <c r="F24" s="12">
        <f t="shared" si="3"/>
        <v>-7.5136454636776956E-2</v>
      </c>
      <c r="G24" s="13">
        <v>175059</v>
      </c>
      <c r="H24" s="13">
        <f t="shared" si="1"/>
        <v>7239</v>
      </c>
      <c r="I24" s="14">
        <f t="shared" si="2"/>
        <v>4.1351772830874163E-2</v>
      </c>
      <c r="J24" s="38"/>
      <c r="K24" s="38"/>
      <c r="L24" s="63"/>
      <c r="M24" s="63"/>
      <c r="N24" s="63"/>
      <c r="O24" s="63"/>
    </row>
    <row r="25" spans="1:15" ht="28.9">
      <c r="A25" s="27" t="str">
        <v>East Windsor</v>
      </c>
      <c r="B25" s="28" t="str">
        <v>NJ</v>
      </c>
      <c r="C25" s="10">
        <v>950.60000000000196</v>
      </c>
      <c r="D25" s="15">
        <v>827.86</v>
      </c>
      <c r="E25" s="15">
        <f t="shared" si="0"/>
        <v>122.74000000000194</v>
      </c>
      <c r="F25" s="16">
        <f t="shared" si="3"/>
        <v>0.14826178339332971</v>
      </c>
      <c r="G25" s="17">
        <v>1082.876</v>
      </c>
      <c r="H25" s="17">
        <f t="shared" si="1"/>
        <v>-132.27599999999802</v>
      </c>
      <c r="I25" s="16">
        <f t="shared" si="2"/>
        <v>-0.1221524902204851</v>
      </c>
      <c r="J25" s="39" t="s">
        <v>94</v>
      </c>
      <c r="K25" s="55"/>
      <c r="L25" s="63"/>
      <c r="M25" s="63"/>
      <c r="N25" s="63"/>
      <c r="O25" s="63"/>
    </row>
    <row r="26" spans="1:15" ht="28.9">
      <c r="A26" s="25" t="str">
        <v>Burlington</v>
      </c>
      <c r="B26" s="26" t="str">
        <v>NJ</v>
      </c>
      <c r="C26" s="21">
        <v>2418.5</v>
      </c>
      <c r="D26" s="11">
        <v>2340.0749999999998</v>
      </c>
      <c r="E26" s="11">
        <f t="shared" si="0"/>
        <v>78.425000000000182</v>
      </c>
      <c r="F26" s="12">
        <f t="shared" si="3"/>
        <v>3.3513883102037408E-2</v>
      </c>
      <c r="G26" s="13">
        <v>2737.7249999999999</v>
      </c>
      <c r="H26" s="13">
        <f t="shared" si="1"/>
        <v>-319.22499999999991</v>
      </c>
      <c r="I26" s="14">
        <f t="shared" si="2"/>
        <v>-0.11660228839638748</v>
      </c>
      <c r="J26" s="38" t="s">
        <v>94</v>
      </c>
      <c r="K26" s="38"/>
      <c r="L26" s="63"/>
      <c r="M26" s="63"/>
      <c r="N26" s="63"/>
      <c r="O26" s="63"/>
    </row>
    <row r="27" spans="1:15" ht="15.6">
      <c r="A27" s="27" t="str">
        <v>Bayonne</v>
      </c>
      <c r="B27" s="28" t="str">
        <v>NJ</v>
      </c>
      <c r="C27" s="10">
        <v>3164</v>
      </c>
      <c r="D27" s="15">
        <v>3018.93</v>
      </c>
      <c r="E27" s="15">
        <f t="shared" si="0"/>
        <v>145.07000000000016</v>
      </c>
      <c r="F27" s="16">
        <f t="shared" si="3"/>
        <v>4.8053449400946753E-2</v>
      </c>
      <c r="G27" s="17">
        <v>3301.63</v>
      </c>
      <c r="H27" s="17">
        <f t="shared" si="1"/>
        <v>-137.63000000000011</v>
      </c>
      <c r="I27" s="16">
        <f t="shared" si="2"/>
        <v>-4.168547051002084E-2</v>
      </c>
      <c r="J27" s="39"/>
      <c r="K27" s="40"/>
      <c r="L27" s="63"/>
      <c r="M27" s="63"/>
      <c r="N27" s="63"/>
      <c r="O27" s="63"/>
    </row>
    <row r="28" spans="1:15" ht="28.9">
      <c r="A28" s="25" t="str">
        <v>Clifton</v>
      </c>
      <c r="B28" s="26" t="str">
        <v>NJ</v>
      </c>
      <c r="C28" s="21">
        <v>3850.2265625</v>
      </c>
      <c r="D28" s="11">
        <v>3905.98</v>
      </c>
      <c r="E28" s="11">
        <f t="shared" si="0"/>
        <v>-55.753437500000018</v>
      </c>
      <c r="F28" s="12">
        <f t="shared" si="3"/>
        <v>-1.4273866609660065E-2</v>
      </c>
      <c r="G28" s="13">
        <v>4379.7709999999997</v>
      </c>
      <c r="H28" s="13">
        <f t="shared" si="1"/>
        <v>-529.54443749999973</v>
      </c>
      <c r="I28" s="14">
        <f t="shared" si="2"/>
        <v>-0.12090687789384416</v>
      </c>
      <c r="J28" s="38" t="s">
        <v>94</v>
      </c>
      <c r="K28" s="38"/>
      <c r="L28" s="63"/>
      <c r="M28" s="63"/>
      <c r="N28" s="63"/>
      <c r="O28" s="63"/>
    </row>
    <row r="29" spans="1:15" ht="15.6">
      <c r="A29" s="27" t="str">
        <v>North Elizabeth</v>
      </c>
      <c r="B29" s="28" t="str">
        <v>NJ</v>
      </c>
      <c r="C29" s="10">
        <v>3379.8999999999901</v>
      </c>
      <c r="D29" s="15">
        <v>2552.0340000000001</v>
      </c>
      <c r="E29" s="15">
        <f t="shared" si="0"/>
        <v>827.86599999998998</v>
      </c>
      <c r="F29" s="16">
        <f t="shared" si="3"/>
        <v>0.3243945809499364</v>
      </c>
      <c r="G29" s="17">
        <v>3644.03</v>
      </c>
      <c r="H29" s="17">
        <f t="shared" si="1"/>
        <v>-264.13000000001011</v>
      </c>
      <c r="I29" s="16">
        <f t="shared" si="2"/>
        <v>-7.2482937846288342E-2</v>
      </c>
      <c r="J29" s="39"/>
      <c r="K29" s="40"/>
      <c r="L29" s="63"/>
      <c r="M29" s="63"/>
      <c r="N29" s="63"/>
      <c r="O29" s="63"/>
    </row>
    <row r="30" spans="1:15" ht="28.9">
      <c r="A30" s="25" t="str">
        <v>Haddon Westmont Plaza</v>
      </c>
      <c r="B30" s="26" t="str">
        <v>NJ</v>
      </c>
      <c r="C30" s="21">
        <v>2352.4000000000101</v>
      </c>
      <c r="D30" s="11">
        <v>2273.3539999999998</v>
      </c>
      <c r="E30" s="11">
        <f t="shared" si="0"/>
        <v>79.046000000010281</v>
      </c>
      <c r="F30" s="12">
        <f t="shared" si="3"/>
        <v>3.477065164510687E-2</v>
      </c>
      <c r="G30" s="13">
        <v>2652.288</v>
      </c>
      <c r="H30" s="13">
        <f t="shared" si="1"/>
        <v>-299.88799999998992</v>
      </c>
      <c r="I30" s="14">
        <f t="shared" si="2"/>
        <v>-0.11306766082717636</v>
      </c>
      <c r="J30" s="38" t="s">
        <v>94</v>
      </c>
      <c r="K30" s="38"/>
      <c r="L30" s="63"/>
      <c r="M30" s="63"/>
      <c r="N30" s="63"/>
      <c r="O30" s="63"/>
    </row>
    <row r="31" spans="1:15" ht="15.6">
      <c r="A31" s="27" t="str">
        <v>Parsippany</v>
      </c>
      <c r="B31" s="28" t="str">
        <v>NJ</v>
      </c>
      <c r="C31" s="10">
        <v>2855.2</v>
      </c>
      <c r="D31" s="15">
        <v>2683.2260000000001</v>
      </c>
      <c r="E31" s="15">
        <f t="shared" si="0"/>
        <v>171.97399999999971</v>
      </c>
      <c r="F31" s="16">
        <f t="shared" si="3"/>
        <v>6.4092253131118923E-2</v>
      </c>
      <c r="G31" s="17">
        <v>3019.0459999999998</v>
      </c>
      <c r="H31" s="17">
        <f t="shared" si="1"/>
        <v>-163.846</v>
      </c>
      <c r="I31" s="16">
        <f t="shared" si="2"/>
        <v>-5.4270786201998912E-2</v>
      </c>
      <c r="J31" s="39"/>
      <c r="K31" s="40"/>
      <c r="L31" s="63"/>
      <c r="M31" s="63"/>
      <c r="N31" s="63"/>
      <c r="O31" s="63"/>
    </row>
    <row r="32" spans="1:15" ht="15.6">
      <c r="A32" s="25" t="str">
        <v>Clark</v>
      </c>
      <c r="B32" s="26" t="str">
        <v>NJ</v>
      </c>
      <c r="C32" s="21">
        <v>2377.00000000001</v>
      </c>
      <c r="D32" s="11">
        <v>2258.2220000000002</v>
      </c>
      <c r="E32" s="11">
        <f t="shared" si="0"/>
        <v>118.7780000000098</v>
      </c>
      <c r="F32" s="12">
        <f t="shared" si="3"/>
        <v>5.2598017378278038E-2</v>
      </c>
      <c r="G32" s="13">
        <v>2524.6979999999999</v>
      </c>
      <c r="H32" s="13">
        <f t="shared" si="1"/>
        <v>-147.69799999998986</v>
      </c>
      <c r="I32" s="14">
        <f t="shared" si="2"/>
        <v>-5.850125440745383E-2</v>
      </c>
      <c r="J32" s="38"/>
      <c r="K32" s="38"/>
      <c r="L32" s="63"/>
      <c r="M32" s="63"/>
      <c r="N32" s="63"/>
      <c r="O32" s="63"/>
    </row>
    <row r="33" spans="1:15" ht="28.9">
      <c r="A33" s="27" t="str">
        <v>Closter</v>
      </c>
      <c r="B33" s="28" t="str">
        <v>NJ</v>
      </c>
      <c r="C33" s="10">
        <v>1232.4000000000001</v>
      </c>
      <c r="D33" s="15">
        <v>999.45849999999996</v>
      </c>
      <c r="E33" s="15">
        <f t="shared" si="0"/>
        <v>232.94150000000013</v>
      </c>
      <c r="F33" s="16">
        <f t="shared" si="3"/>
        <v>0.23306770616288736</v>
      </c>
      <c r="G33" s="17">
        <v>1502.3530000000001</v>
      </c>
      <c r="H33" s="17">
        <f t="shared" si="1"/>
        <v>-269.95299999999997</v>
      </c>
      <c r="I33" s="16">
        <f t="shared" si="2"/>
        <v>-0.17968679797624124</v>
      </c>
      <c r="J33" s="39" t="s">
        <v>94</v>
      </c>
      <c r="K33" s="40"/>
      <c r="L33" s="63"/>
      <c r="M33" s="63"/>
      <c r="N33" s="63"/>
      <c r="O33" s="63"/>
    </row>
    <row r="34" spans="1:15" ht="18" customHeight="1">
      <c r="A34" s="25" t="str">
        <v>Holmdel</v>
      </c>
      <c r="B34" s="26" t="str">
        <v>NJ</v>
      </c>
      <c r="C34" s="21">
        <v>2005.7</v>
      </c>
      <c r="D34" s="11">
        <v>5818.5110000000004</v>
      </c>
      <c r="E34" s="11">
        <f t="shared" si="0"/>
        <v>-3812.8110000000006</v>
      </c>
      <c r="F34" s="12">
        <f t="shared" si="3"/>
        <v>-0.65528981555590426</v>
      </c>
      <c r="G34" s="13">
        <v>2179.335</v>
      </c>
      <c r="H34" s="13">
        <f t="shared" si="1"/>
        <v>-173.63499999999999</v>
      </c>
      <c r="I34" s="14">
        <f t="shared" si="2"/>
        <v>-7.9673386606464808E-2</v>
      </c>
      <c r="J34" s="38" t="s">
        <v>133</v>
      </c>
      <c r="K34" s="78" t="s">
        <v>134</v>
      </c>
      <c r="L34" s="63"/>
      <c r="M34" s="63"/>
      <c r="N34" s="63"/>
      <c r="O34" s="63"/>
    </row>
    <row r="35" spans="1:15" ht="28.9">
      <c r="A35" s="27" t="str">
        <v>Ellisburg Circle Center</v>
      </c>
      <c r="B35" s="28" t="str">
        <v>NJ</v>
      </c>
      <c r="C35" s="10">
        <v>1046.4000000000001</v>
      </c>
      <c r="D35" s="15">
        <v>1034.7570000000001</v>
      </c>
      <c r="E35" s="15">
        <f t="shared" si="0"/>
        <v>11.643000000000029</v>
      </c>
      <c r="F35" s="16">
        <f t="shared" si="3"/>
        <v>1.1251917116772371E-2</v>
      </c>
      <c r="G35" s="17">
        <v>1215.6949999999999</v>
      </c>
      <c r="H35" s="17">
        <f t="shared" si="1"/>
        <v>-169.29499999999985</v>
      </c>
      <c r="I35" s="16">
        <f t="shared" si="2"/>
        <v>-0.13925779081101744</v>
      </c>
      <c r="J35" s="39" t="s">
        <v>94</v>
      </c>
      <c r="K35" s="40"/>
      <c r="L35" s="63"/>
      <c r="M35" s="63"/>
      <c r="N35" s="63"/>
      <c r="O35" s="63"/>
    </row>
    <row r="36" spans="1:15" ht="15.6">
      <c r="A36" s="25" t="str">
        <v>Nutley</v>
      </c>
      <c r="B36" s="26" t="str">
        <v>NJ</v>
      </c>
      <c r="C36" s="21">
        <v>4065.1000000000099</v>
      </c>
      <c r="D36" s="11">
        <v>3304.7689999999998</v>
      </c>
      <c r="E36" s="11">
        <f t="shared" si="0"/>
        <v>760.33100000001014</v>
      </c>
      <c r="F36" s="12">
        <f t="shared" si="3"/>
        <v>0.23007084610150064</v>
      </c>
      <c r="G36" s="13">
        <v>4263.0870000000004</v>
      </c>
      <c r="H36" s="13">
        <f t="shared" si="1"/>
        <v>-197.98699999999053</v>
      </c>
      <c r="I36" s="14">
        <f t="shared" si="2"/>
        <v>-4.6442167377768857E-2</v>
      </c>
      <c r="J36" s="38"/>
      <c r="K36" s="38"/>
      <c r="L36" s="63"/>
      <c r="M36" s="63"/>
      <c r="N36" s="63"/>
      <c r="O36" s="63"/>
    </row>
    <row r="37" spans="1:15" ht="15.6">
      <c r="A37" s="27" t="str">
        <v>Marlton</v>
      </c>
      <c r="B37" s="28" t="str">
        <v>NJ</v>
      </c>
      <c r="C37" s="10">
        <v>3781.9000000000101</v>
      </c>
      <c r="D37" s="15">
        <v>3337.4940000000001</v>
      </c>
      <c r="E37" s="15">
        <f t="shared" si="0"/>
        <v>444.40600000000995</v>
      </c>
      <c r="F37" s="16">
        <f t="shared" si="3"/>
        <v>0.13315559518609171</v>
      </c>
      <c r="G37" s="17">
        <v>4176.6289999999999</v>
      </c>
      <c r="H37" s="17">
        <f t="shared" si="1"/>
        <v>-394.72899999998981</v>
      </c>
      <c r="I37" s="16">
        <f t="shared" si="2"/>
        <v>-9.4508992778623582E-2</v>
      </c>
      <c r="J37" s="39"/>
      <c r="K37" s="40"/>
      <c r="L37" s="63"/>
      <c r="M37" s="63"/>
      <c r="N37" s="63"/>
      <c r="O37" s="63"/>
    </row>
    <row r="38" spans="1:15" ht="15.6">
      <c r="A38" s="25" t="str">
        <v>Middletown</v>
      </c>
      <c r="B38" s="26" t="str">
        <v>NJ</v>
      </c>
      <c r="C38" s="21">
        <v>2971.6000000000099</v>
      </c>
      <c r="D38" s="11">
        <v>2413.9029999999998</v>
      </c>
      <c r="E38" s="11">
        <f t="shared" si="0"/>
        <v>557.69700000001012</v>
      </c>
      <c r="F38" s="12">
        <f t="shared" si="3"/>
        <v>0.23103538128914466</v>
      </c>
      <c r="G38" s="13">
        <v>3483.8049999999998</v>
      </c>
      <c r="H38" s="13">
        <f t="shared" si="1"/>
        <v>-512.20499999998992</v>
      </c>
      <c r="I38" s="14">
        <f t="shared" si="2"/>
        <v>-0.14702458949338151</v>
      </c>
      <c r="J38" s="38" t="s">
        <v>135</v>
      </c>
      <c r="K38" s="78" t="s">
        <v>136</v>
      </c>
      <c r="L38" s="63"/>
      <c r="M38" s="63"/>
      <c r="N38" s="63"/>
      <c r="O38" s="63"/>
    </row>
    <row r="39" spans="1:15" ht="28.9">
      <c r="A39" s="27" t="str">
        <v>Whiting Crestwood</v>
      </c>
      <c r="B39" s="28" t="str">
        <v>NJ</v>
      </c>
      <c r="C39" s="10">
        <v>3892.6000000000099</v>
      </c>
      <c r="D39" s="15">
        <v>3672.1669999999999</v>
      </c>
      <c r="E39" s="15">
        <f t="shared" si="0"/>
        <v>220.43300000001</v>
      </c>
      <c r="F39" s="16">
        <f t="shared" si="3"/>
        <v>6.0028043386918403E-2</v>
      </c>
      <c r="G39" s="17">
        <v>4680.268</v>
      </c>
      <c r="H39" s="17">
        <f t="shared" si="1"/>
        <v>-787.66799999999012</v>
      </c>
      <c r="I39" s="16">
        <f t="shared" si="2"/>
        <v>-0.1682954907710392</v>
      </c>
      <c r="J39" s="39" t="s">
        <v>94</v>
      </c>
      <c r="K39" s="40"/>
      <c r="L39" s="63"/>
      <c r="M39" s="63"/>
      <c r="N39" s="63"/>
      <c r="O39" s="63"/>
    </row>
    <row r="40" spans="1:15" ht="28.9">
      <c r="A40" s="25" t="str">
        <v>Barnegat</v>
      </c>
      <c r="B40" s="26" t="str">
        <v>NJ</v>
      </c>
      <c r="C40" s="21">
        <v>5388.5009422110697</v>
      </c>
      <c r="D40" s="11">
        <v>4836.0559999999996</v>
      </c>
      <c r="E40" s="11">
        <f t="shared" si="0"/>
        <v>552.44494221107016</v>
      </c>
      <c r="F40" s="12">
        <f t="shared" si="3"/>
        <v>0.11423460402672554</v>
      </c>
      <c r="G40" s="13">
        <v>6060.4260000000004</v>
      </c>
      <c r="H40" s="13">
        <f t="shared" si="1"/>
        <v>-671.92505778893064</v>
      </c>
      <c r="I40" s="14">
        <f t="shared" si="2"/>
        <v>-0.1108709285104596</v>
      </c>
      <c r="J40" s="38" t="s">
        <v>137</v>
      </c>
      <c r="K40" s="78" t="s">
        <v>138</v>
      </c>
      <c r="L40" s="63"/>
      <c r="M40" s="63"/>
      <c r="N40" s="63"/>
      <c r="O40" s="63"/>
    </row>
    <row r="41" spans="1:15" ht="15.6">
      <c r="A41" s="27" t="str">
        <v>Manchester</v>
      </c>
      <c r="B41" s="28" t="str">
        <v>NJ</v>
      </c>
      <c r="C41" s="10">
        <v>2211.1999999999998</v>
      </c>
      <c r="D41" s="15">
        <v>2485.739</v>
      </c>
      <c r="E41" s="15">
        <f t="shared" si="0"/>
        <v>-274.53900000000021</v>
      </c>
      <c r="F41" s="16">
        <f t="shared" si="3"/>
        <v>-0.1104456260291206</v>
      </c>
      <c r="G41" s="17">
        <v>3945.98</v>
      </c>
      <c r="H41" s="17">
        <f t="shared" si="1"/>
        <v>-1734.7800000000002</v>
      </c>
      <c r="I41" s="16">
        <f t="shared" si="2"/>
        <v>-0.43963223331086326</v>
      </c>
      <c r="J41" s="39" t="s">
        <v>139</v>
      </c>
      <c r="K41" s="40"/>
      <c r="L41" s="63"/>
      <c r="M41" s="63"/>
      <c r="N41" s="63"/>
      <c r="O41" s="63"/>
    </row>
    <row r="42" spans="1:15" ht="15.6">
      <c r="A42" s="25" t="str">
        <v>West Deptford - Woodbury</v>
      </c>
      <c r="B42" s="26" t="str">
        <v>NJ</v>
      </c>
      <c r="C42" s="21">
        <v>3415</v>
      </c>
      <c r="D42" s="11">
        <v>3542.4839999999999</v>
      </c>
      <c r="E42" s="11">
        <f t="shared" si="0"/>
        <v>-127.48399999999992</v>
      </c>
      <c r="F42" s="12">
        <f t="shared" si="3"/>
        <v>-3.5987177359163777E-2</v>
      </c>
      <c r="G42" s="13">
        <v>3774.8980000000001</v>
      </c>
      <c r="H42" s="13">
        <f t="shared" si="1"/>
        <v>-359.89800000000014</v>
      </c>
      <c r="I42" s="14">
        <f t="shared" si="2"/>
        <v>-9.5339794611669013E-2</v>
      </c>
      <c r="J42" s="38"/>
      <c r="K42" s="38"/>
      <c r="L42" s="63"/>
      <c r="M42" s="63"/>
      <c r="N42" s="63"/>
      <c r="O42" s="63"/>
    </row>
    <row r="43" spans="1:15" ht="15.6">
      <c r="A43" s="27" t="str">
        <v>Edison</v>
      </c>
      <c r="B43" s="28" t="str">
        <v>NJ</v>
      </c>
      <c r="C43" s="10">
        <v>3046.8</v>
      </c>
      <c r="D43" s="15">
        <v>2910.4119999999998</v>
      </c>
      <c r="E43" s="15">
        <f t="shared" si="0"/>
        <v>136.38800000000037</v>
      </c>
      <c r="F43" s="16">
        <f t="shared" si="3"/>
        <v>4.6862093751675153E-2</v>
      </c>
      <c r="G43" s="17">
        <v>3309.4459999999999</v>
      </c>
      <c r="H43" s="17">
        <f t="shared" si="1"/>
        <v>-262.64599999999973</v>
      </c>
      <c r="I43" s="16">
        <f t="shared" si="2"/>
        <v>-7.9362527746335718E-2</v>
      </c>
      <c r="J43" s="49"/>
      <c r="K43" s="49"/>
      <c r="L43" s="63"/>
      <c r="M43" s="63"/>
      <c r="N43" s="63"/>
      <c r="O43" s="63"/>
    </row>
    <row r="44" spans="1:15" ht="28.9">
      <c r="A44" s="25" t="str">
        <v>Flemington</v>
      </c>
      <c r="B44" s="26" t="str">
        <v>NJ</v>
      </c>
      <c r="C44" s="21">
        <v>2898.1000000000099</v>
      </c>
      <c r="D44" s="11">
        <v>2720.4340000000002</v>
      </c>
      <c r="E44" s="11">
        <f t="shared" si="0"/>
        <v>177.66600000000972</v>
      </c>
      <c r="F44" s="12">
        <f t="shared" si="3"/>
        <v>6.5307961891378247E-2</v>
      </c>
      <c r="G44" s="13">
        <v>3283.9059999999999</v>
      </c>
      <c r="H44" s="13">
        <f t="shared" si="1"/>
        <v>-385.80599999999004</v>
      </c>
      <c r="I44" s="14">
        <f t="shared" si="2"/>
        <v>-0.11748387438617001</v>
      </c>
      <c r="J44" s="60" t="s">
        <v>94</v>
      </c>
      <c r="K44" s="60"/>
      <c r="L44" s="63"/>
      <c r="M44" s="63"/>
      <c r="N44" s="63"/>
      <c r="O44" s="63"/>
    </row>
    <row r="45" spans="1:15" ht="57" customHeight="1">
      <c r="A45" s="27" t="str">
        <v>Route 22</v>
      </c>
      <c r="B45" s="28" t="str">
        <v>NJ</v>
      </c>
      <c r="C45" s="10">
        <v>2799.1999999999798</v>
      </c>
      <c r="D45" s="15">
        <v>2986.5639999999999</v>
      </c>
      <c r="E45" s="15">
        <f t="shared" si="0"/>
        <v>-187.36400000002004</v>
      </c>
      <c r="F45" s="16">
        <f t="shared" si="3"/>
        <v>-6.2735638680443503E-2</v>
      </c>
      <c r="G45" s="17">
        <v>3173.0459999999998</v>
      </c>
      <c r="H45" s="17">
        <f t="shared" si="1"/>
        <v>-373.84600000002001</v>
      </c>
      <c r="I45" s="16">
        <f t="shared" si="2"/>
        <v>-0.11781928153579244</v>
      </c>
      <c r="J45" s="49" t="s">
        <v>140</v>
      </c>
      <c r="K45" s="81" t="s">
        <v>141</v>
      </c>
      <c r="L45" s="63"/>
      <c r="M45" s="63"/>
      <c r="N45" s="63"/>
      <c r="O45" s="63"/>
    </row>
    <row r="46" spans="1:15" ht="39.75" customHeight="1">
      <c r="A46" s="25" t="str">
        <v>Laurelton</v>
      </c>
      <c r="B46" s="26" t="str">
        <v>NJ</v>
      </c>
      <c r="C46" s="21">
        <v>1171.70000000001</v>
      </c>
      <c r="D46" s="11">
        <v>1737.4680000000001</v>
      </c>
      <c r="E46" s="11">
        <f t="shared" si="0"/>
        <v>-565.76799999999002</v>
      </c>
      <c r="F46" s="12">
        <f t="shared" si="3"/>
        <v>-0.32562786767870833</v>
      </c>
      <c r="G46" s="13">
        <v>2844.59</v>
      </c>
      <c r="H46" s="13">
        <f t="shared" si="1"/>
        <v>-1672.8899999999901</v>
      </c>
      <c r="I46" s="14">
        <f t="shared" si="2"/>
        <v>-0.58809529668598637</v>
      </c>
      <c r="J46" s="60" t="s">
        <v>142</v>
      </c>
      <c r="K46" s="87" t="s">
        <v>143</v>
      </c>
      <c r="L46" s="63"/>
      <c r="M46" s="63"/>
      <c r="N46" s="63"/>
      <c r="O46" s="63"/>
    </row>
    <row r="47" spans="1:15" ht="28.9">
      <c r="A47" s="27" t="str">
        <v>Mahwah</v>
      </c>
      <c r="B47" s="28" t="str">
        <v>NJ</v>
      </c>
      <c r="C47" s="10">
        <v>2350.99999999999</v>
      </c>
      <c r="D47" s="15">
        <v>1143.74</v>
      </c>
      <c r="E47" s="15">
        <f t="shared" si="0"/>
        <v>1207.25999999999</v>
      </c>
      <c r="F47" s="16">
        <f t="shared" si="3"/>
        <v>1.0555370975921012</v>
      </c>
      <c r="G47" s="17">
        <v>2592.1990000000001</v>
      </c>
      <c r="H47" s="17">
        <f t="shared" si="1"/>
        <v>-241.19900000001007</v>
      </c>
      <c r="I47" s="16">
        <f t="shared" si="2"/>
        <v>-9.304802601961118E-2</v>
      </c>
      <c r="J47" s="49" t="s">
        <v>144</v>
      </c>
      <c r="K47" s="81" t="s">
        <v>145</v>
      </c>
      <c r="L47" s="63"/>
      <c r="M47" s="63"/>
      <c r="N47" s="63"/>
      <c r="O47" s="63"/>
    </row>
    <row r="48" spans="1:15" ht="28.9">
      <c r="A48" s="25" t="str">
        <v>Franklin Township WF</v>
      </c>
      <c r="B48" s="26" t="str">
        <v>NJ</v>
      </c>
      <c r="C48" s="21">
        <v>2616.2000000000098</v>
      </c>
      <c r="D48" s="11">
        <v>2522.4319999999998</v>
      </c>
      <c r="E48" s="11">
        <f t="shared" si="0"/>
        <v>93.768000000010034</v>
      </c>
      <c r="F48" s="12">
        <f t="shared" si="3"/>
        <v>3.7173648288639713E-2</v>
      </c>
      <c r="G48" s="13">
        <v>3131.7840000000001</v>
      </c>
      <c r="H48" s="13">
        <f t="shared" si="1"/>
        <v>-515.58399999999028</v>
      </c>
      <c r="I48" s="14">
        <f t="shared" si="2"/>
        <v>-0.1646294891346243</v>
      </c>
      <c r="J48" s="61" t="s">
        <v>94</v>
      </c>
      <c r="K48" s="60"/>
      <c r="L48" s="63"/>
      <c r="M48" s="63"/>
      <c r="N48" s="63"/>
      <c r="O48" s="63"/>
    </row>
    <row r="49" spans="1:15" ht="28.9">
      <c r="A49" s="27" t="str">
        <v>Bordentown</v>
      </c>
      <c r="B49" s="28" t="str">
        <v>NJ</v>
      </c>
      <c r="C49" s="10">
        <v>2019.1000000000099</v>
      </c>
      <c r="D49" s="15">
        <v>1809.1189999999999</v>
      </c>
      <c r="E49" s="15">
        <f t="shared" si="0"/>
        <v>209.98100000001</v>
      </c>
      <c r="F49" s="16">
        <f t="shared" si="3"/>
        <v>0.1160680972340736</v>
      </c>
      <c r="G49" s="17">
        <v>2244.8760000000002</v>
      </c>
      <c r="H49" s="17">
        <f t="shared" si="1"/>
        <v>-225.77599999999029</v>
      </c>
      <c r="I49" s="16">
        <f t="shared" si="2"/>
        <v>-0.10057392925043088</v>
      </c>
      <c r="J49" s="49" t="s">
        <v>94</v>
      </c>
      <c r="K49" s="49"/>
      <c r="L49" s="63"/>
      <c r="M49" s="63"/>
      <c r="N49" s="63"/>
      <c r="O49" s="63"/>
    </row>
    <row r="50" spans="1:15" ht="15.6">
      <c r="A50" s="25" t="str">
        <v>South Plainfield</v>
      </c>
      <c r="B50" s="26" t="str">
        <v>NJ</v>
      </c>
      <c r="C50" s="21">
        <v>1501.3</v>
      </c>
      <c r="D50" s="11">
        <v>1442.1189999999999</v>
      </c>
      <c r="E50" s="11">
        <f t="shared" si="0"/>
        <v>59.18100000000004</v>
      </c>
      <c r="F50" s="12">
        <f t="shared" si="3"/>
        <v>4.1037528803101575E-2</v>
      </c>
      <c r="G50" s="13">
        <v>1587.5940000000001</v>
      </c>
      <c r="H50" s="13">
        <f t="shared" si="1"/>
        <v>-86.294000000000096</v>
      </c>
      <c r="I50" s="14">
        <f t="shared" si="2"/>
        <v>-5.4355206683824764E-2</v>
      </c>
      <c r="J50" s="38"/>
      <c r="K50" s="38"/>
      <c r="L50" s="63"/>
      <c r="M50" s="63"/>
      <c r="N50" s="63"/>
      <c r="O50" s="63"/>
    </row>
    <row r="51" spans="1:15" ht="28.9">
      <c r="A51" s="27" t="str">
        <v>Somerset</v>
      </c>
      <c r="B51" s="28" t="str">
        <v>NJ</v>
      </c>
      <c r="C51" s="10">
        <v>2356.7000000000098</v>
      </c>
      <c r="D51" s="15">
        <v>2363.8409999999999</v>
      </c>
      <c r="E51" s="15">
        <f t="shared" si="0"/>
        <v>-7.140999999990072</v>
      </c>
      <c r="F51" s="16">
        <f t="shared" si="3"/>
        <v>-3.0209307647976629E-3</v>
      </c>
      <c r="G51" s="17">
        <v>2651.527</v>
      </c>
      <c r="H51" s="17">
        <f t="shared" si="1"/>
        <v>-294.82699999999022</v>
      </c>
      <c r="I51" s="16">
        <f t="shared" si="2"/>
        <v>-0.11119140027613908</v>
      </c>
      <c r="J51" s="39" t="s">
        <v>94</v>
      </c>
      <c r="K51" s="40"/>
      <c r="L51" s="63"/>
      <c r="M51" s="63"/>
      <c r="N51" s="63"/>
      <c r="O51" s="63"/>
    </row>
    <row r="52" spans="1:15" ht="15.6">
      <c r="A52" s="25" t="str">
        <v>Clinton Main Relo</v>
      </c>
      <c r="B52" s="26" t="str">
        <v>NJ</v>
      </c>
      <c r="C52" s="21">
        <v>2804.0160000000001</v>
      </c>
      <c r="D52" s="11">
        <v>2794.3649999999998</v>
      </c>
      <c r="E52" s="11">
        <f t="shared" si="0"/>
        <v>9.6510000000002947</v>
      </c>
      <c r="F52" s="12">
        <f t="shared" si="3"/>
        <v>3.4537363587077191E-3</v>
      </c>
      <c r="G52" s="13">
        <v>3050</v>
      </c>
      <c r="H52" s="13">
        <f t="shared" si="1"/>
        <v>-245.98399999999992</v>
      </c>
      <c r="I52" s="14">
        <f t="shared" si="2"/>
        <v>-8.0650491803278657E-2</v>
      </c>
      <c r="J52" s="38"/>
      <c r="K52" s="38"/>
      <c r="L52" s="63"/>
      <c r="M52" s="63"/>
      <c r="N52" s="63"/>
      <c r="O52" s="63"/>
    </row>
    <row r="53" spans="1:15" ht="28.9">
      <c r="A53" s="27" t="str">
        <v>North Brunswick</v>
      </c>
      <c r="B53" s="28" t="str">
        <v>NJ</v>
      </c>
      <c r="C53" s="10">
        <v>2819.1000000000099</v>
      </c>
      <c r="D53" s="15">
        <v>2556.078</v>
      </c>
      <c r="E53" s="15">
        <f t="shared" si="0"/>
        <v>263.02200000000994</v>
      </c>
      <c r="F53" s="16">
        <f t="shared" si="3"/>
        <v>0.10290061570891418</v>
      </c>
      <c r="G53" s="17">
        <v>3314.221</v>
      </c>
      <c r="H53" s="17">
        <f t="shared" si="1"/>
        <v>-495.12099999999009</v>
      </c>
      <c r="I53" s="16">
        <f t="shared" si="2"/>
        <v>-0.14939287392119902</v>
      </c>
      <c r="J53" s="39" t="s">
        <v>94</v>
      </c>
      <c r="K53" s="40"/>
      <c r="L53" s="63"/>
      <c r="M53" s="63"/>
      <c r="N53" s="63"/>
      <c r="O53" s="63"/>
    </row>
    <row r="54" spans="1:15" ht="28.9">
      <c r="A54" s="25" t="str">
        <v>Cherry Hill</v>
      </c>
      <c r="B54" s="26" t="str">
        <v>NJ</v>
      </c>
      <c r="C54" s="21">
        <v>1939.5078125</v>
      </c>
      <c r="D54" s="11">
        <v>1866.1410000000001</v>
      </c>
      <c r="E54" s="11">
        <f t="shared" si="0"/>
        <v>73.366812499999924</v>
      </c>
      <c r="F54" s="12">
        <f t="shared" si="3"/>
        <v>3.9314720859784935E-2</v>
      </c>
      <c r="G54" s="13">
        <v>2159.3789999999999</v>
      </c>
      <c r="H54" s="13">
        <f t="shared" si="1"/>
        <v>-219.87118749999991</v>
      </c>
      <c r="I54" s="14">
        <f t="shared" si="2"/>
        <v>-0.1018214901135928</v>
      </c>
      <c r="J54" s="38" t="s">
        <v>94</v>
      </c>
      <c r="K54" s="38"/>
      <c r="L54" s="63"/>
      <c r="M54" s="63"/>
      <c r="N54" s="63"/>
      <c r="O54" s="63"/>
    </row>
    <row r="55" spans="1:15" ht="15.6">
      <c r="A55" s="27" t="str">
        <v>Hainesport</v>
      </c>
      <c r="B55" s="28" t="str">
        <v>NJ</v>
      </c>
      <c r="C55" s="10">
        <v>2018.8999999999901</v>
      </c>
      <c r="D55" s="15">
        <v>2197.3090000000002</v>
      </c>
      <c r="E55" s="15">
        <f t="shared" si="0"/>
        <v>-178.40900000001011</v>
      </c>
      <c r="F55" s="16">
        <f t="shared" si="3"/>
        <v>-8.1194315410354254E-2</v>
      </c>
      <c r="G55" s="17">
        <v>2178.6010000000001</v>
      </c>
      <c r="H55" s="17">
        <f t="shared" si="1"/>
        <v>-159.70100000001003</v>
      </c>
      <c r="I55" s="16">
        <f t="shared" si="2"/>
        <v>-7.330438203232717E-2</v>
      </c>
      <c r="J55" s="39"/>
      <c r="K55" s="40"/>
      <c r="L55" s="63"/>
      <c r="M55" s="63"/>
      <c r="N55" s="63"/>
      <c r="O55" s="63"/>
    </row>
    <row r="56" spans="1:15" ht="15.6">
      <c r="A56" s="25" t="str">
        <v>San Antonio - Ops Ctr (Bldg 106)</v>
      </c>
      <c r="B56" s="26" t="str">
        <v>TX</v>
      </c>
      <c r="C56" s="21">
        <v>50921.375</v>
      </c>
      <c r="D56" s="11">
        <v>43776.03</v>
      </c>
      <c r="E56" s="11">
        <f t="shared" si="0"/>
        <v>7145.3450000000012</v>
      </c>
      <c r="F56" s="12">
        <f t="shared" si="3"/>
        <v>0.16322505718312055</v>
      </c>
      <c r="G56" s="13">
        <v>53476.866999999998</v>
      </c>
      <c r="H56" s="13">
        <f t="shared" si="1"/>
        <v>-2555.4919999999984</v>
      </c>
      <c r="I56" s="14">
        <f t="shared" si="2"/>
        <v>-4.7786868292041089E-2</v>
      </c>
      <c r="J56" s="38"/>
      <c r="K56" s="38"/>
      <c r="L56" s="63"/>
      <c r="M56" s="63"/>
      <c r="N56" s="63"/>
      <c r="O56" s="63"/>
    </row>
    <row r="57" spans="1:15" ht="28.9">
      <c r="A57" s="27" t="str">
        <v>San Antonio - Ops Ctr GM</v>
      </c>
      <c r="B57" s="28" t="str">
        <v>TX</v>
      </c>
      <c r="C57" s="10">
        <v>343832.5</v>
      </c>
      <c r="D57" s="15">
        <v>381732.217</v>
      </c>
      <c r="E57" s="15">
        <f t="shared" si="0"/>
        <v>-37899.717000000004</v>
      </c>
      <c r="F57" s="16">
        <f t="shared" si="3"/>
        <v>-9.9283516853386267E-2</v>
      </c>
      <c r="G57" s="17">
        <v>398948</v>
      </c>
      <c r="H57" s="17">
        <f t="shared" si="1"/>
        <v>-55115.5</v>
      </c>
      <c r="I57" s="16">
        <f t="shared" si="2"/>
        <v>-0.13815208999669129</v>
      </c>
      <c r="J57" s="39" t="s">
        <v>94</v>
      </c>
      <c r="K57" s="55"/>
      <c r="L57" s="63"/>
      <c r="M57" s="63"/>
      <c r="N57" s="63"/>
      <c r="O57" s="63"/>
    </row>
    <row r="58" spans="1:15" ht="15.6">
      <c r="A58" s="25" t="str">
        <v>San Antonio - Ctr (Bldg 201)</v>
      </c>
      <c r="B58" s="26" t="str">
        <v>TX</v>
      </c>
      <c r="C58" s="21">
        <v>50362.063000000002</v>
      </c>
      <c r="D58" s="11">
        <v>43402.646000000001</v>
      </c>
      <c r="E58" s="11">
        <f t="shared" si="0"/>
        <v>6959.4170000000013</v>
      </c>
      <c r="F58" s="12">
        <f t="shared" si="3"/>
        <v>0.1603454545144552</v>
      </c>
      <c r="G58" s="13">
        <v>51796.959000000003</v>
      </c>
      <c r="H58" s="13">
        <f t="shared" si="1"/>
        <v>-1434.8960000000006</v>
      </c>
      <c r="I58" s="14">
        <f t="shared" si="2"/>
        <v>-2.770232128878455E-2</v>
      </c>
      <c r="J58" s="38"/>
      <c r="K58" s="38"/>
      <c r="L58" s="63"/>
      <c r="M58" s="63"/>
      <c r="N58" s="63"/>
      <c r="O58" s="63"/>
    </row>
    <row r="59" spans="1:15" ht="15.6">
      <c r="A59" s="27" t="str">
        <v>San Antonio - Ops Ctr (Bldg 203)</v>
      </c>
      <c r="B59" s="28" t="str">
        <v>TX</v>
      </c>
      <c r="C59" s="10">
        <v>50898.563000000002</v>
      </c>
      <c r="D59" s="15">
        <v>49204.072</v>
      </c>
      <c r="E59" s="15">
        <f t="shared" si="0"/>
        <v>1694.4910000000018</v>
      </c>
      <c r="F59" s="16">
        <f t="shared" si="3"/>
        <v>3.4438023747302905E-2</v>
      </c>
      <c r="G59" s="17">
        <v>52755.654000000002</v>
      </c>
      <c r="H59" s="17">
        <f t="shared" si="1"/>
        <v>-1857.0910000000003</v>
      </c>
      <c r="I59" s="16">
        <f t="shared" si="2"/>
        <v>-3.5201743494640406E-2</v>
      </c>
      <c r="J59" s="39"/>
      <c r="K59" s="40"/>
      <c r="L59" s="63"/>
      <c r="M59" s="63"/>
      <c r="N59" s="63"/>
      <c r="O59" s="63"/>
    </row>
    <row r="60" spans="1:15" ht="15.6">
      <c r="A60" s="25" t="str">
        <v>San Antonio - Ops Ctr (Bldg 205)</v>
      </c>
      <c r="B60" s="26" t="str">
        <v>TX</v>
      </c>
      <c r="C60" s="21">
        <v>46936.928999999996</v>
      </c>
      <c r="D60" s="11">
        <v>39580.127</v>
      </c>
      <c r="E60" s="11">
        <f t="shared" si="0"/>
        <v>7356.801999999996</v>
      </c>
      <c r="F60" s="12">
        <f t="shared" si="3"/>
        <v>0.18587110647724794</v>
      </c>
      <c r="G60" s="13">
        <v>50476.89</v>
      </c>
      <c r="H60" s="13">
        <f t="shared" si="1"/>
        <v>-3539.961000000003</v>
      </c>
      <c r="I60" s="14">
        <f t="shared" si="2"/>
        <v>-7.013033092965916E-2</v>
      </c>
      <c r="J60" s="38"/>
      <c r="K60" s="38"/>
      <c r="L60" s="63"/>
      <c r="M60" s="63"/>
      <c r="N60" s="63"/>
      <c r="O60" s="63"/>
    </row>
    <row r="61" spans="1:15" ht="15.6">
      <c r="A61" s="27" t="str">
        <v>San Antonio - Ops Ctr (Bldg 307)</v>
      </c>
      <c r="B61" s="28" t="str">
        <v>TX</v>
      </c>
      <c r="C61" s="10">
        <v>46442.938000000002</v>
      </c>
      <c r="D61" s="15">
        <v>43015.008999999998</v>
      </c>
      <c r="E61" s="15">
        <f t="shared" si="0"/>
        <v>3427.9290000000037</v>
      </c>
      <c r="F61" s="16">
        <f t="shared" si="3"/>
        <v>7.9691463042585994E-2</v>
      </c>
      <c r="G61" s="17">
        <v>51302.79</v>
      </c>
      <c r="H61" s="17">
        <f t="shared" si="1"/>
        <v>-4859.851999999999</v>
      </c>
      <c r="I61" s="16">
        <f t="shared" si="2"/>
        <v>-9.4728805197534072E-2</v>
      </c>
      <c r="J61" s="56"/>
      <c r="K61" s="55"/>
      <c r="L61" s="63"/>
      <c r="M61" s="63"/>
      <c r="N61" s="63"/>
      <c r="O61" s="63"/>
    </row>
    <row r="62" spans="1:15" ht="15.6">
      <c r="A62" s="25" t="str">
        <v>San Antonio - Ctr (Bldg 308)</v>
      </c>
      <c r="B62" s="26" t="str">
        <v>TX</v>
      </c>
      <c r="C62" s="21">
        <v>47781</v>
      </c>
      <c r="D62" s="11">
        <v>42038.879999999997</v>
      </c>
      <c r="E62" s="11">
        <f t="shared" si="0"/>
        <v>5742.1200000000026</v>
      </c>
      <c r="F62" s="12">
        <f t="shared" si="3"/>
        <v>0.13659069889587933</v>
      </c>
      <c r="G62" s="13">
        <v>48875.47</v>
      </c>
      <c r="H62" s="13">
        <f t="shared" si="1"/>
        <v>-1094.4700000000012</v>
      </c>
      <c r="I62" s="14">
        <f t="shared" si="2"/>
        <v>-2.2393032742191555E-2</v>
      </c>
      <c r="J62" s="38"/>
      <c r="K62" s="38"/>
      <c r="L62" s="63"/>
      <c r="M62" s="63"/>
      <c r="N62" s="63"/>
      <c r="O62" s="63"/>
    </row>
    <row r="63" spans="1:15" ht="28.9">
      <c r="A63" s="27" t="str">
        <v>San Antonio - Ops Ctr (Bldg 104)</v>
      </c>
      <c r="B63" s="28" t="str">
        <v>TX</v>
      </c>
      <c r="C63" s="10">
        <v>13775.526</v>
      </c>
      <c r="D63" s="15">
        <v>13173.689</v>
      </c>
      <c r="E63" s="15">
        <f t="shared" si="0"/>
        <v>601.83699999999953</v>
      </c>
      <c r="F63" s="16">
        <f t="shared" si="3"/>
        <v>4.5684773642371515E-2</v>
      </c>
      <c r="G63" s="17">
        <v>15480.73</v>
      </c>
      <c r="H63" s="17">
        <f t="shared" si="1"/>
        <v>-1705.2039999999997</v>
      </c>
      <c r="I63" s="16">
        <f t="shared" si="2"/>
        <v>-0.11015010274063301</v>
      </c>
      <c r="J63" s="39" t="s">
        <v>94</v>
      </c>
      <c r="K63" s="55"/>
      <c r="L63" s="63"/>
      <c r="M63" s="63"/>
      <c r="N63" s="63"/>
      <c r="O63" s="63"/>
    </row>
    <row r="64" spans="1:15" ht="86.45">
      <c r="A64" s="25" t="str">
        <v>San Antonio - Ops Ctr (Bldg 102)</v>
      </c>
      <c r="B64" s="26" t="str">
        <v>TX</v>
      </c>
      <c r="C64" s="21">
        <v>47893.688000000002</v>
      </c>
      <c r="D64" s="11">
        <v>41440.58</v>
      </c>
      <c r="E64" s="11">
        <f t="shared" si="0"/>
        <v>6453.1080000000002</v>
      </c>
      <c r="F64" s="12">
        <f t="shared" si="3"/>
        <v>0.15571953867441043</v>
      </c>
      <c r="G64" s="13">
        <v>55228.81</v>
      </c>
      <c r="H64" s="13">
        <f t="shared" si="1"/>
        <v>-7335.1219999999958</v>
      </c>
      <c r="I64" s="14">
        <f t="shared" si="2"/>
        <v>-0.13281332695743392</v>
      </c>
      <c r="J64" s="38" t="s">
        <v>146</v>
      </c>
      <c r="K64" s="78" t="s">
        <v>107</v>
      </c>
      <c r="L64" s="63"/>
      <c r="M64" s="63"/>
      <c r="N64" s="63"/>
      <c r="O64" s="63"/>
    </row>
    <row r="65" spans="1:15" ht="15.6">
      <c r="A65" s="27" t="str">
        <v>Lodi - Lodi Vineyard</v>
      </c>
      <c r="B65" s="28" t="str">
        <v>CA</v>
      </c>
      <c r="C65" s="10">
        <v>46039.71875</v>
      </c>
      <c r="D65" s="15">
        <v>49502.01</v>
      </c>
      <c r="E65" s="15">
        <f t="shared" si="0"/>
        <v>-3462.291250000002</v>
      </c>
      <c r="F65" s="16">
        <f t="shared" si="3"/>
        <v>-6.9942437690914003E-2</v>
      </c>
      <c r="G65" s="17">
        <v>36362</v>
      </c>
      <c r="H65" s="17">
        <f t="shared" si="1"/>
        <v>9677.71875</v>
      </c>
      <c r="I65" s="16">
        <f t="shared" si="2"/>
        <v>0.26614924234090537</v>
      </c>
      <c r="K65" s="39"/>
      <c r="L65" s="63"/>
      <c r="M65" s="63"/>
      <c r="N65" s="63"/>
      <c r="O65" s="63"/>
    </row>
    <row r="66" spans="1:15" ht="15.6">
      <c r="A66" s="25" t="str">
        <v>Arden Fair Mall</v>
      </c>
      <c r="B66" s="26" t="str">
        <v>CA</v>
      </c>
      <c r="C66" s="21">
        <v>22643.859375</v>
      </c>
      <c r="D66" s="11">
        <v>22916.560000000001</v>
      </c>
      <c r="E66" s="11">
        <f t="shared" si="0"/>
        <v>-272.70062500000131</v>
      </c>
      <c r="F66" s="12">
        <f t="shared" si="3"/>
        <v>-1.1899719024146787E-2</v>
      </c>
      <c r="G66" s="13">
        <v>23272</v>
      </c>
      <c r="H66" s="13">
        <f t="shared" si="1"/>
        <v>-628.140625</v>
      </c>
      <c r="I66" s="14">
        <f t="shared" si="2"/>
        <v>-2.6991260957373669E-2</v>
      </c>
      <c r="J66" s="38"/>
      <c r="K66" s="38"/>
      <c r="L66" s="63"/>
      <c r="M66" s="63"/>
      <c r="N66" s="63"/>
      <c r="O66" s="63"/>
    </row>
    <row r="67" spans="1:15" ht="28.9">
      <c r="A67" s="27" t="str">
        <v>Modesto - Modesto Main</v>
      </c>
      <c r="B67" s="28" t="str">
        <v>CA</v>
      </c>
      <c r="C67" s="10">
        <v>17813.40625</v>
      </c>
      <c r="D67" s="15">
        <v>19239.150000000001</v>
      </c>
      <c r="E67" s="15">
        <f t="shared" si="0"/>
        <v>-1425.7437500000015</v>
      </c>
      <c r="F67" s="16">
        <f t="shared" si="3"/>
        <v>-7.4106379439840192E-2</v>
      </c>
      <c r="G67" s="17">
        <v>21715.17</v>
      </c>
      <c r="H67" s="17">
        <f t="shared" si="1"/>
        <v>-3901.7637499999983</v>
      </c>
      <c r="I67" s="16">
        <f t="shared" si="2"/>
        <v>-0.17967917128901126</v>
      </c>
      <c r="J67" s="39" t="s">
        <v>94</v>
      </c>
      <c r="K67" s="39"/>
      <c r="L67" s="63"/>
      <c r="M67" s="63"/>
      <c r="N67" s="63"/>
      <c r="O67" s="63"/>
    </row>
    <row r="68" spans="1:15" ht="15.6">
      <c r="A68" s="25" t="str">
        <v>Stevens Creek</v>
      </c>
      <c r="B68" s="26" t="str">
        <v>CA</v>
      </c>
      <c r="C68" s="21">
        <v>5770.64325734258</v>
      </c>
      <c r="D68" s="11">
        <v>5580.4830000000002</v>
      </c>
      <c r="E68" s="11">
        <f t="shared" si="0"/>
        <v>190.16025734257983</v>
      </c>
      <c r="F68" s="12">
        <f t="shared" si="3"/>
        <v>3.4075949580453846E-2</v>
      </c>
      <c r="G68" s="13">
        <v>5993</v>
      </c>
      <c r="H68" s="13">
        <f t="shared" si="1"/>
        <v>-222.35674265742</v>
      </c>
      <c r="I68" s="14">
        <f t="shared" si="2"/>
        <v>-3.7102743643821122E-2</v>
      </c>
      <c r="J68" s="38"/>
      <c r="K68" s="38"/>
      <c r="L68" s="63"/>
      <c r="M68" s="63"/>
      <c r="N68" s="63"/>
      <c r="O68" s="63"/>
    </row>
    <row r="69" spans="1:15" ht="15.6">
      <c r="A69" s="27" t="str">
        <v>Covina Main</v>
      </c>
      <c r="B69" s="28" t="str">
        <v>CA</v>
      </c>
      <c r="C69" s="10">
        <v>3922</v>
      </c>
      <c r="D69" s="15">
        <v>3411.2089999999998</v>
      </c>
      <c r="E69" s="15">
        <f t="shared" ref="E69:E70" si="4">IF(AND(ISNUMBER(C69),ISNUMBER(D69)), C69-D69, "")</f>
        <v>510.79100000000017</v>
      </c>
      <c r="F69" s="16">
        <f t="shared" si="3"/>
        <v>0.14973899283216016</v>
      </c>
      <c r="G69" s="17">
        <v>3350</v>
      </c>
      <c r="H69" s="17">
        <f t="shared" ref="H69:H70" si="5">IF(AND(ISNUMBER(C69),ISNUMBER(G69)), C69-G69, "")</f>
        <v>572</v>
      </c>
      <c r="I69" s="16">
        <f t="shared" ref="I69:I70" si="6">IFERROR(H69/G69, "")</f>
        <v>0.17074626865671641</v>
      </c>
      <c r="J69" s="39"/>
      <c r="K69" s="39"/>
      <c r="L69" s="63"/>
      <c r="M69" s="63"/>
      <c r="N69" s="63"/>
      <c r="O69" s="63"/>
    </row>
    <row r="70" spans="1:15" ht="15.6">
      <c r="A70" s="25" t="str">
        <v>Old Ranch Town Center</v>
      </c>
      <c r="B70" s="26" t="str">
        <v>CA</v>
      </c>
      <c r="C70" s="21">
        <v>1396.8203125</v>
      </c>
      <c r="D70" s="11" t="s">
        <v>121</v>
      </c>
      <c r="E70" s="11" t="str">
        <f t="shared" si="4"/>
        <v/>
      </c>
      <c r="F70" s="12" t="str">
        <f t="shared" ref="F70:F84" si="7">IFERROR(E70/D70, "")</f>
        <v/>
      </c>
      <c r="G70" s="13">
        <v>1468</v>
      </c>
      <c r="H70" s="13">
        <f t="shared" si="5"/>
        <v>-71.1796875</v>
      </c>
      <c r="I70" s="14">
        <f t="shared" si="6"/>
        <v>-4.848752554495913E-2</v>
      </c>
      <c r="J70" s="38"/>
      <c r="K70" s="38"/>
      <c r="L70" s="63"/>
      <c r="M70" s="63"/>
      <c r="N70" s="63"/>
      <c r="O70" s="63"/>
    </row>
    <row r="71" spans="1:15" ht="15.6">
      <c r="A71" s="27" t="str">
        <v>Mountain Gate Plaza</v>
      </c>
      <c r="B71" s="28" t="str">
        <v>CA</v>
      </c>
      <c r="C71" s="10">
        <v>9495.5</v>
      </c>
      <c r="D71" s="15" t="s">
        <v>121</v>
      </c>
      <c r="E71" s="15" t="str">
        <f t="shared" ref="E71:E84" si="8">IF(AND(ISNUMBER(C71),ISNUMBER(D71)), C71-D71, "")</f>
        <v/>
      </c>
      <c r="F71" s="16" t="str">
        <f t="shared" si="7"/>
        <v/>
      </c>
      <c r="G71" s="17">
        <v>9942</v>
      </c>
      <c r="H71" s="17">
        <f t="shared" ref="H71:H84" si="9">IF(AND(ISNUMBER(C71),ISNUMBER(G71)), C71-G71, "")</f>
        <v>-446.5</v>
      </c>
      <c r="I71" s="16">
        <f t="shared" ref="I71:I84" si="10">IFERROR(H71/G71, "")</f>
        <v>-4.491048078857373E-2</v>
      </c>
      <c r="J71" s="39"/>
      <c r="K71" s="39"/>
      <c r="L71" s="63"/>
      <c r="M71" s="63"/>
      <c r="N71" s="63"/>
      <c r="O71" s="63"/>
    </row>
    <row r="72" spans="1:15" ht="43.15">
      <c r="A72" s="25" t="str">
        <v>Arcadia Main</v>
      </c>
      <c r="B72" s="26" t="str">
        <v>CA</v>
      </c>
      <c r="C72" s="21">
        <v>3914.4593945312499</v>
      </c>
      <c r="D72" s="11" t="s">
        <v>121</v>
      </c>
      <c r="E72" s="11" t="str">
        <f t="shared" si="8"/>
        <v/>
      </c>
      <c r="F72" s="12" t="str">
        <f t="shared" si="7"/>
        <v/>
      </c>
      <c r="G72" s="13">
        <v>5021</v>
      </c>
      <c r="H72" s="13">
        <f t="shared" si="9"/>
        <v>-1106.5406054687501</v>
      </c>
      <c r="I72" s="14">
        <f t="shared" si="10"/>
        <v>-0.22038251453271263</v>
      </c>
      <c r="J72" s="38" t="s">
        <v>112</v>
      </c>
      <c r="K72" s="38"/>
      <c r="L72" s="63"/>
      <c r="M72" s="63"/>
      <c r="N72" s="63"/>
      <c r="O72" s="63"/>
    </row>
    <row r="73" spans="1:15" ht="15.6">
      <c r="A73" s="27" t="str">
        <v>Fairfield</v>
      </c>
      <c r="B73" s="28" t="str">
        <v>CA</v>
      </c>
      <c r="C73" s="10">
        <v>4272.1207421874997</v>
      </c>
      <c r="D73" s="15">
        <v>4180.9849999999997</v>
      </c>
      <c r="E73" s="15">
        <f t="shared" si="8"/>
        <v>91.1357421875</v>
      </c>
      <c r="F73" s="16">
        <f t="shared" si="7"/>
        <v>2.1797672602867506E-2</v>
      </c>
      <c r="G73" s="17">
        <v>4343</v>
      </c>
      <c r="H73" s="17">
        <f t="shared" si="9"/>
        <v>-70.879257812500327</v>
      </c>
      <c r="I73" s="16">
        <f t="shared" si="10"/>
        <v>-1.6320344879691532E-2</v>
      </c>
      <c r="J73" s="39"/>
      <c r="K73" s="39"/>
      <c r="L73" s="63"/>
      <c r="M73" s="63"/>
      <c r="N73" s="63"/>
      <c r="O73" s="63"/>
    </row>
    <row r="74" spans="1:15" ht="15.6">
      <c r="A74" s="25" t="str">
        <v>Los Gatos</v>
      </c>
      <c r="B74" s="26" t="str">
        <v>CA</v>
      </c>
      <c r="C74" s="21">
        <v>2202.1373632812501</v>
      </c>
      <c r="D74" s="11">
        <v>2210.1779999999999</v>
      </c>
      <c r="E74" s="11">
        <f t="shared" si="8"/>
        <v>-8.0406367187497381</v>
      </c>
      <c r="F74" s="12">
        <f t="shared" si="7"/>
        <v>-3.6380041420870802E-3</v>
      </c>
      <c r="G74" s="13">
        <v>0</v>
      </c>
      <c r="H74" s="13">
        <f t="shared" si="9"/>
        <v>2202.1373632812501</v>
      </c>
      <c r="I74" s="14" t="str">
        <f t="shared" si="10"/>
        <v/>
      </c>
      <c r="J74" s="38"/>
      <c r="K74" s="38"/>
      <c r="L74" s="63"/>
      <c r="M74" s="63"/>
      <c r="N74" s="63"/>
      <c r="O74" s="63"/>
    </row>
    <row r="75" spans="1:15" ht="15.6">
      <c r="A75" s="27" t="str">
        <v>San Marino</v>
      </c>
      <c r="B75" s="28" t="str">
        <v>CA</v>
      </c>
      <c r="C75" s="10">
        <v>3742</v>
      </c>
      <c r="D75" s="15">
        <v>4308.5159999999996</v>
      </c>
      <c r="E75" s="15">
        <f t="shared" si="8"/>
        <v>-566.51599999999962</v>
      </c>
      <c r="F75" s="16">
        <f t="shared" si="7"/>
        <v>-0.1314875005686412</v>
      </c>
      <c r="G75" s="17">
        <v>5485.241</v>
      </c>
      <c r="H75" s="17">
        <f t="shared" si="9"/>
        <v>-1743.241</v>
      </c>
      <c r="I75" s="16">
        <f t="shared" si="10"/>
        <v>-0.31780572631175186</v>
      </c>
      <c r="J75" s="39" t="s">
        <v>147</v>
      </c>
      <c r="K75" s="85" t="s">
        <v>148</v>
      </c>
      <c r="L75" s="63"/>
      <c r="M75" s="63"/>
      <c r="N75" s="63"/>
      <c r="O75" s="63"/>
    </row>
    <row r="76" spans="1:15" ht="15.6">
      <c r="A76" s="25" t="str">
        <v>Buenaventura</v>
      </c>
      <c r="B76" s="26" t="str">
        <v>CA</v>
      </c>
      <c r="C76" s="21">
        <v>5513.73046875</v>
      </c>
      <c r="D76" s="11">
        <v>3923.2269999999999</v>
      </c>
      <c r="E76" s="11">
        <f t="shared" si="8"/>
        <v>1590.5034687500001</v>
      </c>
      <c r="F76" s="12">
        <f t="shared" si="7"/>
        <v>0.40540694401572996</v>
      </c>
      <c r="G76" s="13">
        <v>5950.6379999999999</v>
      </c>
      <c r="H76" s="13">
        <f t="shared" si="9"/>
        <v>-436.90753124999992</v>
      </c>
      <c r="I76" s="14">
        <f t="shared" si="10"/>
        <v>-7.342196437592069E-2</v>
      </c>
      <c r="J76" s="38"/>
      <c r="K76" s="38"/>
      <c r="L76" s="63"/>
      <c r="M76" s="63"/>
      <c r="N76" s="63"/>
      <c r="O76" s="63"/>
    </row>
    <row r="77" spans="1:15" ht="15.6">
      <c r="A77" s="27" t="str">
        <v>N Black Canyon Hwy, Phoenix - North</v>
      </c>
      <c r="B77" s="28" t="str">
        <v>AZ</v>
      </c>
      <c r="C77" s="10">
        <v>96811.875</v>
      </c>
      <c r="D77" s="15">
        <v>84016.8</v>
      </c>
      <c r="E77" s="15">
        <f t="shared" si="8"/>
        <v>12795.074999999997</v>
      </c>
      <c r="F77" s="16">
        <f t="shared" si="7"/>
        <v>0.15229186305596021</v>
      </c>
      <c r="G77" s="17">
        <v>95505</v>
      </c>
      <c r="H77" s="17">
        <f t="shared" si="9"/>
        <v>1306.875</v>
      </c>
      <c r="I77" s="16">
        <f t="shared" si="10"/>
        <v>1.3683838542484686E-2</v>
      </c>
      <c r="J77" s="39"/>
      <c r="K77" s="39"/>
      <c r="L77" s="63"/>
      <c r="M77" s="63"/>
      <c r="N77" s="63"/>
      <c r="O77" s="63"/>
    </row>
    <row r="78" spans="1:15" ht="15.6">
      <c r="A78" s="25" t="str">
        <v>N Black Canyon Hwy, Phoenix - South</v>
      </c>
      <c r="B78" s="26" t="str">
        <v>AZ</v>
      </c>
      <c r="C78" s="21">
        <v>102327.25</v>
      </c>
      <c r="D78" s="11">
        <v>92222.399999999994</v>
      </c>
      <c r="E78" s="11">
        <f t="shared" si="8"/>
        <v>10104.850000000006</v>
      </c>
      <c r="F78" s="12">
        <f t="shared" si="7"/>
        <v>0.10957045143045514</v>
      </c>
      <c r="G78" s="13">
        <v>105383</v>
      </c>
      <c r="H78" s="13">
        <f t="shared" si="9"/>
        <v>-3055.75</v>
      </c>
      <c r="I78" s="14">
        <f t="shared" si="10"/>
        <v>-2.8996612356831746E-2</v>
      </c>
      <c r="J78" s="38" t="s">
        <v>149</v>
      </c>
      <c r="K78" s="78" t="s">
        <v>83</v>
      </c>
      <c r="L78" s="63"/>
      <c r="M78" s="63"/>
      <c r="N78" s="63"/>
      <c r="O78" s="63"/>
    </row>
    <row r="79" spans="1:15" ht="15.6">
      <c r="A79" s="27" t="str">
        <v xml:space="preserve"> Building 2222, Rose Garden Ln, Phoenix</v>
      </c>
      <c r="B79" s="28" t="str">
        <v>AZ</v>
      </c>
      <c r="C79" s="10">
        <v>127172.625</v>
      </c>
      <c r="D79" s="15">
        <v>122284.6</v>
      </c>
      <c r="E79" s="15">
        <f t="shared" si="8"/>
        <v>4888.0249999999942</v>
      </c>
      <c r="F79" s="16">
        <f t="shared" si="7"/>
        <v>3.9972531291757048E-2</v>
      </c>
      <c r="G79" s="17">
        <v>129398</v>
      </c>
      <c r="H79" s="17">
        <f t="shared" si="9"/>
        <v>-2225.375</v>
      </c>
      <c r="I79" s="16">
        <f t="shared" si="10"/>
        <v>-1.7197908777569978E-2</v>
      </c>
      <c r="J79" s="39"/>
      <c r="K79" s="39"/>
      <c r="L79" s="63"/>
      <c r="M79" s="63"/>
      <c r="N79" s="63"/>
      <c r="O79" s="63"/>
    </row>
    <row r="80" spans="1:15" ht="15.6">
      <c r="A80" s="25" t="str">
        <v xml:space="preserve"> Building 2202, Rose Garden Ln, Phoenix</v>
      </c>
      <c r="B80" s="26" t="str">
        <v>AZ</v>
      </c>
      <c r="C80" s="21">
        <v>127272.625</v>
      </c>
      <c r="D80" s="11">
        <v>117897.2</v>
      </c>
      <c r="E80" s="11">
        <f t="shared" si="8"/>
        <v>9375.4250000000029</v>
      </c>
      <c r="F80" s="12">
        <f t="shared" si="7"/>
        <v>7.9522032753958555E-2</v>
      </c>
      <c r="G80" s="13">
        <v>100842.3</v>
      </c>
      <c r="H80" s="13">
        <f t="shared" si="9"/>
        <v>26430.324999999997</v>
      </c>
      <c r="I80" s="14">
        <f t="shared" si="10"/>
        <v>0.26209561860449432</v>
      </c>
      <c r="J80" s="38"/>
      <c r="K80" s="38"/>
      <c r="L80" s="63"/>
      <c r="M80" s="63"/>
      <c r="N80" s="63"/>
      <c r="O80" s="63"/>
    </row>
    <row r="81" spans="1:15" ht="15.6">
      <c r="A81" s="27" t="str">
        <v xml:space="preserve"> 99TH Ave &amp; BELL</v>
      </c>
      <c r="B81" s="28" t="str">
        <v>AZ</v>
      </c>
      <c r="C81" s="10">
        <v>22918.593601645902</v>
      </c>
      <c r="D81" s="15">
        <v>22548.12</v>
      </c>
      <c r="E81" s="15">
        <f t="shared" si="8"/>
        <v>370.47360164590282</v>
      </c>
      <c r="F81" s="16">
        <f t="shared" si="7"/>
        <v>1.6430354355303361E-2</v>
      </c>
      <c r="G81" s="17">
        <v>22764</v>
      </c>
      <c r="H81" s="17">
        <f t="shared" si="9"/>
        <v>154.5936016459018</v>
      </c>
      <c r="I81" s="16">
        <f t="shared" si="10"/>
        <v>6.791143983741952E-3</v>
      </c>
      <c r="J81" s="39"/>
      <c r="K81" s="39"/>
      <c r="L81" s="63"/>
      <c r="M81" s="63"/>
      <c r="N81" s="63"/>
      <c r="O81" s="63"/>
    </row>
    <row r="82" spans="1:15" ht="15.6">
      <c r="A82" s="25" t="str">
        <v>Rincon</v>
      </c>
      <c r="B82" s="26" t="str">
        <v>AZ</v>
      </c>
      <c r="C82" s="21">
        <v>9308.2812499999909</v>
      </c>
      <c r="D82" s="11">
        <v>7690.6689999999999</v>
      </c>
      <c r="E82" s="11">
        <f t="shared" si="8"/>
        <v>1617.612249999991</v>
      </c>
      <c r="F82" s="12">
        <f t="shared" si="7"/>
        <v>0.21033440003723877</v>
      </c>
      <c r="G82" s="13">
        <v>8846</v>
      </c>
      <c r="H82" s="13">
        <f t="shared" si="9"/>
        <v>462.28124999999091</v>
      </c>
      <c r="I82" s="14">
        <f t="shared" si="10"/>
        <v>5.2258789283290856E-2</v>
      </c>
      <c r="J82" s="38"/>
      <c r="K82" s="38"/>
      <c r="L82" s="63"/>
      <c r="M82" s="63"/>
      <c r="N82" s="63"/>
      <c r="O82" s="63"/>
    </row>
    <row r="83" spans="1:15" ht="86.45">
      <c r="A83" s="27" t="str">
        <v>Tucson Main Parking Garage</v>
      </c>
      <c r="B83" s="28" t="str">
        <v>AZ</v>
      </c>
      <c r="C83" s="10">
        <v>10133.297973758599</v>
      </c>
      <c r="D83" s="15">
        <v>11959.71</v>
      </c>
      <c r="E83" s="15">
        <f t="shared" si="8"/>
        <v>-1826.4120262413999</v>
      </c>
      <c r="F83" s="16">
        <f t="shared" si="7"/>
        <v>-0.15271373856401199</v>
      </c>
      <c r="G83" s="17">
        <v>12075</v>
      </c>
      <c r="H83" s="17">
        <f t="shared" si="9"/>
        <v>-1941.7020262414007</v>
      </c>
      <c r="I83" s="16">
        <f t="shared" si="10"/>
        <v>-0.16080348043407044</v>
      </c>
      <c r="J83" s="39" t="s">
        <v>150</v>
      </c>
      <c r="K83" s="81" t="s">
        <v>151</v>
      </c>
      <c r="L83" s="86" t="s">
        <v>152</v>
      </c>
      <c r="M83" s="86" t="s">
        <v>153</v>
      </c>
      <c r="N83" s="63"/>
      <c r="O83" s="63"/>
    </row>
    <row r="84" spans="1:15" ht="15.6">
      <c r="A84" s="25" t="str">
        <v>BE 199502 - Westgate</v>
      </c>
      <c r="B84" s="26" t="str">
        <v>CA</v>
      </c>
      <c r="C84" s="21">
        <v>2024.3</v>
      </c>
      <c r="D84" s="11" t="s">
        <v>121</v>
      </c>
      <c r="E84" s="11" t="str">
        <f t="shared" si="8"/>
        <v/>
      </c>
      <c r="F84" s="12" t="str">
        <f t="shared" si="7"/>
        <v/>
      </c>
      <c r="G84" s="13">
        <v>2119.5</v>
      </c>
      <c r="H84" s="13">
        <f t="shared" si="9"/>
        <v>-95.200000000000045</v>
      </c>
      <c r="I84" s="14">
        <f t="shared" si="10"/>
        <v>-4.4916253833451304E-2</v>
      </c>
      <c r="J84" s="38"/>
      <c r="K84" s="38"/>
      <c r="L84" s="88"/>
      <c r="M84" s="63"/>
      <c r="N84" s="63"/>
      <c r="O84" s="63"/>
    </row>
    <row r="85" spans="1:15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  <c r="L85" s="63"/>
      <c r="M85" s="63"/>
      <c r="N85" s="63"/>
      <c r="O85" s="63"/>
    </row>
    <row r="86" spans="1:15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5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5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5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5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5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5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5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5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5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5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4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4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4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4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4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4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4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4.4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4.45">
      <c r="C341" s="18"/>
      <c r="D341" s="18"/>
      <c r="E341" s="18"/>
      <c r="F341" s="19"/>
      <c r="G341" s="18"/>
      <c r="H341" s="18"/>
      <c r="I341" s="19"/>
      <c r="J341" s="18"/>
      <c r="K341" s="18"/>
    </row>
  </sheetData>
  <mergeCells count="4">
    <mergeCell ref="G1:I1"/>
    <mergeCell ref="A1:C1"/>
    <mergeCell ref="D1:F1"/>
    <mergeCell ref="A2:B2"/>
  </mergeCells>
  <conditionalFormatting sqref="F2 I2 F4:F99 I4:I99">
    <cfRule type="cellIs" dxfId="20" priority="11" stopIfTrue="1" operator="lessThanOrEqual">
      <formula>-0.1</formula>
    </cfRule>
    <cfRule type="expression" dxfId="19" priority="12">
      <formula>AND(ISNUMBER(F2), F2&gt;=0.1)</formula>
    </cfRule>
  </conditionalFormatting>
  <hyperlinks>
    <hyperlink ref="K6" r:id="rId1" display="https://us3.assetplanner.com/service_request?ID=097801" xr:uid="{234B4227-53E4-460B-9110-290A3399402C}"/>
    <hyperlink ref="L6" r:id="rId2" display="https://us3.assetplanner.com/service_request?ID=099548" xr:uid="{4C8F5B02-6EC2-4824-B88F-EE497C8FFDC1}"/>
    <hyperlink ref="M6" r:id="rId3" display="https://us3.assetplanner.com/service_request?ID=091496" xr:uid="{4FF4A648-6C64-45AB-8101-0F6BCC5906E7}"/>
    <hyperlink ref="K13" r:id="rId4" display="https://us3.assetplanner.com/service_request?ID=084532" xr:uid="{F23F828C-3C02-4EAE-A659-A45D50E70716}"/>
    <hyperlink ref="L13" r:id="rId5" display="https://us3.assetplanner.com/service_request?ID=088671" xr:uid="{2D5CD94E-3539-4591-A9E1-FA00197B63C8}"/>
    <hyperlink ref="K19" r:id="rId6" display="https://us3.assetplanner.com/service_request?ID=088667" xr:uid="{06F50CE1-01C2-4D3D-AB47-4C1D9907DF15}"/>
    <hyperlink ref="K20" r:id="rId7" display="https://us3.assetplanner.com/service_request?ID=098782" xr:uid="{1B626E31-956B-458F-A2BF-C46DD9C1A737}"/>
    <hyperlink ref="K34" r:id="rId8" display="https://us3.assetplanner.com/service_request?ID=100979" xr:uid="{5E55EAAC-7B44-4DEC-9461-51CF1EDCDBA7}"/>
    <hyperlink ref="K38" r:id="rId9" display="https://us3.assetplanner.com/service_request?ID=100592" xr:uid="{2A41219A-0C54-4C69-86A6-2AB01152E822}"/>
    <hyperlink ref="K40" r:id="rId10" display="https://us3.assetplanner.com/service_request?ID=100186" xr:uid="{1E22F9D9-A594-48C7-93AF-78CEBD61B376}"/>
    <hyperlink ref="K45" r:id="rId11" display="https://us3.assetplanner.com/service_request?ID=100412" xr:uid="{4EC66025-4055-4A9A-98AB-6CAFADA2F812}"/>
    <hyperlink ref="K46" r:id="rId12" display="https://us3.assetplanner.com/service_request?ID=100432" xr:uid="{06E0E715-0F61-49A3-A168-FA6C9BE69851}"/>
    <hyperlink ref="K47" r:id="rId13" display="https://us3.assetplanner.com/service_request?ID=100593" xr:uid="{A93401A0-E590-44BB-8D26-8A5DD33CF3BF}"/>
    <hyperlink ref="K64" r:id="rId14" display="https://us3.assetplanner.com/service_request?ID=099238" xr:uid="{D3A0A3F2-1BF5-4D16-9AAB-9FEEB23FF14B}"/>
    <hyperlink ref="K75" r:id="rId15" display="https://us3.assetplanner.com/service_request?ID=100421" xr:uid="{A81DA916-E4A5-46BC-A833-B0084F166C6D}"/>
    <hyperlink ref="K78" r:id="rId16" display="https://us3.assetplanner.com/service_request?ID=097838" xr:uid="{CAEA16C5-0A17-4E39-9EC4-E11DFDDE1076}"/>
    <hyperlink ref="K83" r:id="rId17" display="https://us3.assetplanner.com/service_request?ID=100039" xr:uid="{31B53311-41AD-4478-AA04-0F04946BEBC2}"/>
    <hyperlink ref="L83" r:id="rId18" display="https://us3.assetplanner.com/service_request?ID=098897" xr:uid="{599B477D-7B61-4FAF-A3D0-9DC45F27B034}"/>
    <hyperlink ref="M83" r:id="rId19" display="https://us3.assetplanner.com/service_request?ID=099589" xr:uid="{9076C9CE-7002-47C2-A4FC-A08074970343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O329"/>
  <sheetViews>
    <sheetView zoomScale="85" zoomScaleNormal="85" workbookViewId="0">
      <pane xSplit="2" ySplit="3" topLeftCell="C78" activePane="bottomRight" state="frozen"/>
      <selection pane="bottomRight" activeCell="J57" sqref="J57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11.5703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5" ht="19.5" customHeight="1">
      <c r="A1" s="210" t="str" cm="1">
        <f t="array" ref="A1">portfolio</f>
        <v>Wells Fargo</v>
      </c>
      <c r="B1" s="210"/>
      <c r="C1" s="210"/>
      <c r="D1" s="211" t="s">
        <v>154</v>
      </c>
      <c r="E1" s="211"/>
      <c r="F1" s="211"/>
      <c r="G1" s="209" t="s">
        <v>155</v>
      </c>
      <c r="H1" s="209"/>
      <c r="I1" s="209"/>
      <c r="J1" s="3"/>
      <c r="K1" s="3"/>
    </row>
    <row r="2" spans="1:15" ht="19.5" customHeight="1">
      <c r="A2" s="220" t="s">
        <v>2</v>
      </c>
      <c r="B2" s="220"/>
      <c r="C2" s="4">
        <f>SUM(C4:C87)</f>
        <v>2214599.6722525288</v>
      </c>
      <c r="D2" s="4">
        <f>SUM(D4:D87)</f>
        <v>2048063.146861</v>
      </c>
      <c r="E2" s="4">
        <f>C2-D2</f>
        <v>166536.52539152885</v>
      </c>
      <c r="F2" s="5">
        <f>IFERROR(E2/D2, 0)</f>
        <v>8.1314155594652437E-2</v>
      </c>
      <c r="G2" s="4">
        <f>SUM(G4:G87)</f>
        <v>2329514.0979999998</v>
      </c>
      <c r="H2" s="6">
        <f>C2-G2</f>
        <v>-114914.42574747093</v>
      </c>
      <c r="I2" s="5">
        <f>IFERROR(H2/G2, 0)</f>
        <v>-4.932978334242772E-2</v>
      </c>
      <c r="J2" s="23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3"/>
    </row>
    <row r="3" spans="1:15" ht="14.25" customHeight="1">
      <c r="A3" s="7" t="s">
        <v>3</v>
      </c>
      <c r="B3" s="7" t="s">
        <v>30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39</v>
      </c>
      <c r="K3" s="22" t="s">
        <v>40</v>
      </c>
    </row>
    <row r="4" spans="1:15" ht="28.9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1195.5</v>
      </c>
      <c r="D4" s="11" t="s">
        <v>121</v>
      </c>
      <c r="E4" s="11" t="str">
        <f>IF(AND(ISNUMBER(C4),ISNUMBER(D4)), C4-D4, "")</f>
        <v/>
      </c>
      <c r="F4" s="12" t="str">
        <f>IFERROR(E4/D4, "")</f>
        <v/>
      </c>
      <c r="G4" s="13">
        <v>1376</v>
      </c>
      <c r="H4" s="13">
        <f>IF(AND(ISNUMBER(C4),ISNUMBER(G4)), C4-G4, "")</f>
        <v>-180.5</v>
      </c>
      <c r="I4" s="14">
        <f>IFERROR(H4/G4, "")</f>
        <v>-0.13117732558139536</v>
      </c>
      <c r="J4" s="60" t="s">
        <v>94</v>
      </c>
      <c r="K4" s="38"/>
      <c r="L4" s="63"/>
      <c r="M4" s="63"/>
      <c r="N4" s="63"/>
      <c r="O4" s="63"/>
    </row>
    <row r="5" spans="1:15" ht="15.6">
      <c r="A5" s="27" t="str">
        <v>Otay Mesa</v>
      </c>
      <c r="B5" s="28" t="str">
        <v>CA</v>
      </c>
      <c r="C5" s="10">
        <v>39.39</v>
      </c>
      <c r="D5" s="15" t="s">
        <v>121</v>
      </c>
      <c r="E5" s="15" t="str">
        <f t="shared" ref="E5:E68" si="0">IF(AND(ISNUMBER(C5),ISNUMBER(D5)), C5-D5, "")</f>
        <v/>
      </c>
      <c r="F5" s="16" t="str">
        <f>IFERROR(E5/D5, "")</f>
        <v/>
      </c>
      <c r="G5" s="90" t="s">
        <v>121</v>
      </c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56" t="s">
        <v>42</v>
      </c>
      <c r="K5" s="54"/>
      <c r="L5" s="63"/>
      <c r="M5" s="63"/>
      <c r="N5" s="63"/>
      <c r="O5" s="63"/>
    </row>
    <row r="6" spans="1:15" ht="28.9">
      <c r="A6" s="25" t="str">
        <v>San Leandro</v>
      </c>
      <c r="B6" s="26" t="str">
        <v>CA</v>
      </c>
      <c r="C6" s="21">
        <v>0</v>
      </c>
      <c r="D6" s="11">
        <v>0</v>
      </c>
      <c r="E6" s="11">
        <f t="shared" si="0"/>
        <v>0</v>
      </c>
      <c r="F6" s="12" t="str">
        <f t="shared" ref="F6:F69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0" t="s">
        <v>156</v>
      </c>
      <c r="K6" s="78" t="s">
        <v>157</v>
      </c>
      <c r="L6" s="63"/>
      <c r="M6" s="63"/>
      <c r="N6" s="63"/>
      <c r="O6" s="63"/>
    </row>
    <row r="7" spans="1:15" ht="28.9">
      <c r="A7" s="27" t="str">
        <v>Van Nuys</v>
      </c>
      <c r="B7" s="28" t="str">
        <v>CA</v>
      </c>
      <c r="C7" s="10">
        <v>2061.3000000000002</v>
      </c>
      <c r="D7" s="15" t="s">
        <v>121</v>
      </c>
      <c r="E7" s="15" t="str">
        <f t="shared" si="0"/>
        <v/>
      </c>
      <c r="F7" s="16" t="str">
        <f>IFERROR(E7/D7, "")</f>
        <v/>
      </c>
      <c r="G7" s="17">
        <v>2794.8009999999999</v>
      </c>
      <c r="H7" s="17">
        <f t="shared" si="1"/>
        <v>-733.50099999999975</v>
      </c>
      <c r="I7" s="16">
        <f t="shared" si="2"/>
        <v>-0.26245195990698433</v>
      </c>
      <c r="J7" s="56" t="s">
        <v>94</v>
      </c>
      <c r="K7" s="54"/>
      <c r="L7" s="63"/>
      <c r="M7" s="63"/>
      <c r="N7" s="63"/>
      <c r="O7" s="63"/>
    </row>
    <row r="8" spans="1:15" ht="43.15">
      <c r="A8" s="25" t="str">
        <v>98th &amp; Grant</v>
      </c>
      <c r="B8" s="26" t="str">
        <v>CO</v>
      </c>
      <c r="C8" s="21">
        <v>1300</v>
      </c>
      <c r="D8" s="11" t="s">
        <v>121</v>
      </c>
      <c r="E8" s="11" t="str">
        <f t="shared" si="0"/>
        <v/>
      </c>
      <c r="F8" s="12" t="str">
        <f t="shared" si="3"/>
        <v/>
      </c>
      <c r="G8" s="13">
        <v>2339</v>
      </c>
      <c r="H8" s="13">
        <f t="shared" si="1"/>
        <v>-1039</v>
      </c>
      <c r="I8" s="14">
        <f t="shared" si="2"/>
        <v>-0.44420692603676787</v>
      </c>
      <c r="J8" s="60" t="s">
        <v>95</v>
      </c>
      <c r="K8" s="38"/>
      <c r="L8" s="63"/>
      <c r="M8" s="63"/>
      <c r="N8" s="63"/>
      <c r="O8" s="63"/>
    </row>
    <row r="9" spans="1:15" ht="43.15">
      <c r="A9" s="27" t="str">
        <v>Arapahoe Crossings</v>
      </c>
      <c r="B9" s="28" t="str">
        <v>CO</v>
      </c>
      <c r="C9" s="10">
        <v>3269.7051820435599</v>
      </c>
      <c r="D9" s="15" t="s">
        <v>121</v>
      </c>
      <c r="E9" s="15" t="str">
        <f t="shared" si="0"/>
        <v/>
      </c>
      <c r="F9" s="16" t="str">
        <f t="shared" si="3"/>
        <v/>
      </c>
      <c r="G9" s="17">
        <v>4306.5879999999997</v>
      </c>
      <c r="H9" s="17">
        <f t="shared" si="1"/>
        <v>-1036.8828179564398</v>
      </c>
      <c r="I9" s="16">
        <f t="shared" si="2"/>
        <v>-0.24076666213634548</v>
      </c>
      <c r="J9" s="56" t="s">
        <v>158</v>
      </c>
      <c r="K9" s="54" t="s">
        <v>159</v>
      </c>
      <c r="L9" s="63"/>
      <c r="M9" s="63"/>
      <c r="N9" s="63"/>
      <c r="O9" s="63"/>
    </row>
    <row r="10" spans="1:15" ht="15.6">
      <c r="A10" s="25" t="str">
        <v>Aurora City Center</v>
      </c>
      <c r="B10" s="26" t="str">
        <v>CO</v>
      </c>
      <c r="C10" s="21">
        <v>2109.8000000000002</v>
      </c>
      <c r="D10" s="11" t="s">
        <v>121</v>
      </c>
      <c r="E10" s="11" t="str">
        <f t="shared" si="0"/>
        <v/>
      </c>
      <c r="F10" s="12" t="str">
        <f t="shared" si="3"/>
        <v/>
      </c>
      <c r="G10" s="13">
        <v>1972</v>
      </c>
      <c r="H10" s="13">
        <f t="shared" si="1"/>
        <v>137.80000000000018</v>
      </c>
      <c r="I10" s="14">
        <f t="shared" si="2"/>
        <v>6.9878296146044711E-2</v>
      </c>
      <c r="J10" s="60"/>
      <c r="K10" s="38"/>
      <c r="L10" s="63"/>
      <c r="M10" s="63"/>
      <c r="N10" s="63"/>
      <c r="O10" s="63"/>
    </row>
    <row r="11" spans="1:15" ht="15.6">
      <c r="A11" s="27" t="str">
        <v>Dry Creek</v>
      </c>
      <c r="B11" s="28" t="str">
        <v>CO</v>
      </c>
      <c r="C11" s="10">
        <v>2695.8</v>
      </c>
      <c r="D11" s="15" t="s">
        <v>121</v>
      </c>
      <c r="E11" s="15" t="str">
        <f t="shared" si="0"/>
        <v/>
      </c>
      <c r="F11" s="16" t="str">
        <f t="shared" si="3"/>
        <v/>
      </c>
      <c r="G11" s="17">
        <v>2551</v>
      </c>
      <c r="H11" s="17">
        <f t="shared" si="1"/>
        <v>144.80000000000018</v>
      </c>
      <c r="I11" s="16">
        <f t="shared" si="2"/>
        <v>5.676205409643284E-2</v>
      </c>
      <c r="J11" s="56"/>
      <c r="K11" s="54"/>
      <c r="L11" s="63"/>
      <c r="M11" s="63"/>
      <c r="N11" s="63"/>
      <c r="O11" s="63"/>
    </row>
    <row r="12" spans="1:15" ht="28.9">
      <c r="A12" s="25" t="str">
        <v>Highlands Ranch S.</v>
      </c>
      <c r="B12" s="26" t="str">
        <v>CO</v>
      </c>
      <c r="C12" s="21">
        <v>1924.8</v>
      </c>
      <c r="D12" s="11" t="s">
        <v>121</v>
      </c>
      <c r="E12" s="11" t="str">
        <f t="shared" si="0"/>
        <v/>
      </c>
      <c r="F12" s="12" t="str">
        <f t="shared" si="3"/>
        <v/>
      </c>
      <c r="G12" s="13">
        <v>2417</v>
      </c>
      <c r="H12" s="13">
        <f t="shared" si="1"/>
        <v>-492.20000000000005</v>
      </c>
      <c r="I12" s="14">
        <f t="shared" si="2"/>
        <v>-0.20364087712039722</v>
      </c>
      <c r="J12" s="60" t="s">
        <v>160</v>
      </c>
      <c r="K12" s="38" t="s">
        <v>161</v>
      </c>
      <c r="L12" s="63"/>
      <c r="M12" s="63"/>
      <c r="N12" s="63"/>
      <c r="O12" s="63"/>
    </row>
    <row r="13" spans="1:15" ht="28.9">
      <c r="A13" s="27" t="str">
        <v>Lone Tree</v>
      </c>
      <c r="B13" s="28" t="str">
        <v>CO</v>
      </c>
      <c r="C13" s="10">
        <v>3676.6000000000099</v>
      </c>
      <c r="D13" s="15" t="s">
        <v>121</v>
      </c>
      <c r="E13" s="15" t="str">
        <f t="shared" si="0"/>
        <v/>
      </c>
      <c r="F13" s="16" t="str">
        <f t="shared" si="3"/>
        <v/>
      </c>
      <c r="G13" s="17">
        <v>5500</v>
      </c>
      <c r="H13" s="17">
        <f t="shared" si="1"/>
        <v>-1823.3999999999901</v>
      </c>
      <c r="I13" s="16">
        <f t="shared" si="2"/>
        <v>-0.33152727272727095</v>
      </c>
      <c r="J13" s="89" t="s">
        <v>162</v>
      </c>
      <c r="K13" s="80" t="s">
        <v>163</v>
      </c>
      <c r="L13" s="63"/>
      <c r="M13" s="63"/>
      <c r="N13" s="63"/>
      <c r="O13" s="63"/>
    </row>
    <row r="14" spans="1:15" ht="15.6">
      <c r="A14" s="25" t="str">
        <v>Meridian</v>
      </c>
      <c r="B14" s="26" t="str">
        <v>CO</v>
      </c>
      <c r="C14" s="21">
        <v>3650.3999999999901</v>
      </c>
      <c r="D14" s="11" t="s">
        <v>121</v>
      </c>
      <c r="E14" s="11" t="str">
        <f t="shared" si="0"/>
        <v/>
      </c>
      <c r="F14" s="12" t="str">
        <f t="shared" si="3"/>
        <v/>
      </c>
      <c r="G14" s="13">
        <v>3150</v>
      </c>
      <c r="H14" s="13">
        <f t="shared" si="1"/>
        <v>500.39999999999009</v>
      </c>
      <c r="I14" s="14">
        <f t="shared" si="2"/>
        <v>0.1588571428571397</v>
      </c>
      <c r="J14" s="60"/>
      <c r="K14" s="38"/>
      <c r="L14" s="63"/>
      <c r="M14" s="63"/>
      <c r="N14" s="63"/>
      <c r="O14" s="63"/>
    </row>
    <row r="15" spans="1:15" ht="15.6">
      <c r="A15" s="27" t="str">
        <v>Southglenn</v>
      </c>
      <c r="B15" s="28" t="str">
        <v>CO</v>
      </c>
      <c r="C15" s="10">
        <v>3662.6</v>
      </c>
      <c r="D15" s="15" t="s">
        <v>121</v>
      </c>
      <c r="E15" s="15" t="str">
        <f t="shared" si="0"/>
        <v/>
      </c>
      <c r="F15" s="16" t="str">
        <f t="shared" si="3"/>
        <v/>
      </c>
      <c r="G15" s="17">
        <v>3267</v>
      </c>
      <c r="H15" s="17">
        <f t="shared" si="1"/>
        <v>395.59999999999991</v>
      </c>
      <c r="I15" s="16">
        <f t="shared" si="2"/>
        <v>0.12108968472604834</v>
      </c>
      <c r="J15" s="56"/>
      <c r="K15" s="54"/>
      <c r="L15" s="63"/>
      <c r="M15" s="63"/>
      <c r="N15" s="63"/>
      <c r="O15" s="63"/>
    </row>
    <row r="16" spans="1:15" ht="15.6">
      <c r="A16" s="25" t="str">
        <v>Standley Lake</v>
      </c>
      <c r="B16" s="26" t="str">
        <v>CO</v>
      </c>
      <c r="C16" s="21">
        <v>4329.0999999999904</v>
      </c>
      <c r="D16" s="11" t="s">
        <v>121</v>
      </c>
      <c r="E16" s="11" t="str">
        <f t="shared" si="0"/>
        <v/>
      </c>
      <c r="F16" s="12" t="str">
        <f t="shared" si="3"/>
        <v/>
      </c>
      <c r="G16" s="13">
        <v>4357</v>
      </c>
      <c r="H16" s="13">
        <f t="shared" si="1"/>
        <v>-27.900000000009641</v>
      </c>
      <c r="I16" s="14">
        <f t="shared" si="2"/>
        <v>-6.4034886389739819E-3</v>
      </c>
      <c r="J16" s="59"/>
      <c r="K16" s="38"/>
      <c r="L16" s="63"/>
      <c r="M16" s="63"/>
      <c r="N16" s="63"/>
      <c r="O16" s="63"/>
    </row>
    <row r="17" spans="1:15" ht="15.6">
      <c r="A17" s="27" t="str">
        <v>Havana Gardens</v>
      </c>
      <c r="B17" s="28" t="str">
        <v>CO</v>
      </c>
      <c r="C17" s="10">
        <v>4143.99999999999</v>
      </c>
      <c r="D17" s="15" t="s">
        <v>121</v>
      </c>
      <c r="E17" s="15" t="str">
        <f t="shared" si="0"/>
        <v/>
      </c>
      <c r="F17" s="16" t="str">
        <f t="shared" si="3"/>
        <v/>
      </c>
      <c r="G17" s="17">
        <v>1695</v>
      </c>
      <c r="H17" s="17">
        <f t="shared" si="1"/>
        <v>2448.99999999999</v>
      </c>
      <c r="I17" s="16">
        <f t="shared" si="2"/>
        <v>1.4448377581120886</v>
      </c>
      <c r="J17" s="54"/>
      <c r="K17" s="54"/>
      <c r="L17" s="63"/>
      <c r="M17" s="63"/>
      <c r="N17" s="63"/>
      <c r="O17" s="63"/>
    </row>
    <row r="18" spans="1:15" ht="12.75" customHeight="1">
      <c r="A18" s="25" t="str">
        <v>East Hartford</v>
      </c>
      <c r="B18" s="26" t="str">
        <v>CT</v>
      </c>
      <c r="C18" s="21">
        <v>711.599999999999</v>
      </c>
      <c r="D18" s="11">
        <v>1655.8050000000001</v>
      </c>
      <c r="E18" s="11">
        <f t="shared" si="0"/>
        <v>-944.20500000000106</v>
      </c>
      <c r="F18" s="12">
        <f t="shared" si="3"/>
        <v>-0.57023924918695201</v>
      </c>
      <c r="G18" s="13">
        <v>1047.231</v>
      </c>
      <c r="H18" s="13">
        <f t="shared" si="1"/>
        <v>-335.63100000000099</v>
      </c>
      <c r="I18" s="14">
        <f t="shared" si="2"/>
        <v>-0.32049375925655466</v>
      </c>
      <c r="J18" s="38" t="s">
        <v>164</v>
      </c>
      <c r="K18" s="38"/>
      <c r="L18" s="63"/>
      <c r="M18" s="63"/>
      <c r="N18" s="63"/>
      <c r="O18" s="63"/>
    </row>
    <row r="19" spans="1:15" ht="72">
      <c r="A19" s="27" t="str">
        <v>Norwalk</v>
      </c>
      <c r="B19" s="28" t="str">
        <v>CT</v>
      </c>
      <c r="C19" s="10">
        <v>843.92148148148397</v>
      </c>
      <c r="D19" s="15">
        <v>1.652061</v>
      </c>
      <c r="E19" s="15">
        <f t="shared" si="0"/>
        <v>842.26942048148396</v>
      </c>
      <c r="F19" s="16">
        <f t="shared" si="3"/>
        <v>509.82949205960551</v>
      </c>
      <c r="G19" s="17">
        <v>1235.4970000000001</v>
      </c>
      <c r="H19" s="17">
        <f t="shared" si="1"/>
        <v>-391.57551851851611</v>
      </c>
      <c r="I19" s="16">
        <f t="shared" si="2"/>
        <v>-0.31693765223105852</v>
      </c>
      <c r="J19" s="89" t="s">
        <v>165</v>
      </c>
      <c r="K19" s="80" t="s">
        <v>166</v>
      </c>
      <c r="L19" s="86" t="s">
        <v>167</v>
      </c>
      <c r="M19" s="63"/>
      <c r="N19" s="63"/>
      <c r="O19" s="63"/>
    </row>
    <row r="20" spans="1:15" ht="37.5" customHeight="1">
      <c r="A20" s="25" t="str">
        <v>Hialeah Gardens</v>
      </c>
      <c r="B20" s="26" t="str">
        <v>FL</v>
      </c>
      <c r="C20" s="21">
        <v>956.60000002384197</v>
      </c>
      <c r="D20" s="11">
        <v>4534.93</v>
      </c>
      <c r="E20" s="11">
        <f t="shared" si="0"/>
        <v>-3578.3299999761584</v>
      </c>
      <c r="F20" s="12">
        <f t="shared" si="3"/>
        <v>-0.7890595885661208</v>
      </c>
      <c r="G20" s="13">
        <v>5552</v>
      </c>
      <c r="H20" s="13">
        <f t="shared" si="1"/>
        <v>-4595.3999999761581</v>
      </c>
      <c r="I20" s="14">
        <f t="shared" si="2"/>
        <v>-0.82770172910233397</v>
      </c>
      <c r="J20" s="38" t="s">
        <v>168</v>
      </c>
      <c r="K20" s="78" t="s">
        <v>100</v>
      </c>
      <c r="L20" s="63"/>
      <c r="M20" s="63"/>
      <c r="N20" s="63"/>
      <c r="O20" s="63"/>
    </row>
    <row r="21" spans="1:15" ht="28.9">
      <c r="A21" s="27" t="str">
        <v>W. Des Moines Campus EAST</v>
      </c>
      <c r="B21" s="28" t="str">
        <v>IA</v>
      </c>
      <c r="C21" s="10">
        <v>196672.5</v>
      </c>
      <c r="D21" s="15">
        <v>184996.3</v>
      </c>
      <c r="E21" s="15">
        <f t="shared" si="0"/>
        <v>11676.200000000012</v>
      </c>
      <c r="F21" s="16">
        <f t="shared" si="3"/>
        <v>6.3115856911732895E-2</v>
      </c>
      <c r="G21" s="17">
        <v>192800</v>
      </c>
      <c r="H21" s="17">
        <f t="shared" si="1"/>
        <v>3872.5</v>
      </c>
      <c r="I21" s="16">
        <f t="shared" si="2"/>
        <v>2.0085580912863072E-2</v>
      </c>
      <c r="J21" s="54" t="s">
        <v>169</v>
      </c>
      <c r="K21" s="80" t="s">
        <v>170</v>
      </c>
      <c r="L21" s="63"/>
      <c r="M21" s="63"/>
      <c r="N21" s="63"/>
      <c r="O21" s="63"/>
    </row>
    <row r="22" spans="1:15" ht="28.9">
      <c r="A22" s="25" t="str">
        <v>W. Des Moines Campus SW</v>
      </c>
      <c r="B22" s="26" t="str">
        <v>IA</v>
      </c>
      <c r="C22" s="21">
        <v>97840.5</v>
      </c>
      <c r="D22" s="11">
        <v>90857.18</v>
      </c>
      <c r="E22" s="11">
        <f t="shared" si="0"/>
        <v>6983.320000000007</v>
      </c>
      <c r="F22" s="12">
        <f t="shared" si="3"/>
        <v>7.6860408830650567E-2</v>
      </c>
      <c r="G22" s="13">
        <v>94940.66</v>
      </c>
      <c r="H22" s="13">
        <f t="shared" si="1"/>
        <v>2899.8399999999965</v>
      </c>
      <c r="I22" s="14">
        <f t="shared" si="2"/>
        <v>3.0543710144842015E-2</v>
      </c>
      <c r="J22" s="38" t="s">
        <v>171</v>
      </c>
      <c r="K22" s="78" t="s">
        <v>172</v>
      </c>
      <c r="L22" s="63"/>
      <c r="M22" s="63"/>
      <c r="N22" s="63"/>
      <c r="O22" s="63"/>
    </row>
    <row r="23" spans="1:15" ht="28.9">
      <c r="A23" s="27" t="str">
        <v>WF - CIC</v>
      </c>
      <c r="B23" s="28" t="str">
        <v>NC</v>
      </c>
      <c r="C23" s="10">
        <v>169288</v>
      </c>
      <c r="D23" s="15">
        <v>171249.16800000001</v>
      </c>
      <c r="E23" s="15">
        <f t="shared" si="0"/>
        <v>-1961.1680000000051</v>
      </c>
      <c r="F23" s="16">
        <f t="shared" si="3"/>
        <v>-1.1452131551377843E-2</v>
      </c>
      <c r="G23" s="17">
        <v>206726.93599999999</v>
      </c>
      <c r="H23" s="17">
        <f t="shared" si="1"/>
        <v>-37438.935999999987</v>
      </c>
      <c r="I23" s="16">
        <f t="shared" si="2"/>
        <v>-0.18110332753154137</v>
      </c>
      <c r="J23" s="54" t="s">
        <v>173</v>
      </c>
      <c r="K23" s="80" t="s">
        <v>174</v>
      </c>
      <c r="L23" s="63"/>
      <c r="M23" s="63"/>
      <c r="N23" s="63"/>
      <c r="O23" s="63"/>
    </row>
    <row r="24" spans="1:15" ht="15.6">
      <c r="A24" s="25" t="str">
        <v>Charlotte - Wells Fargo - DUC</v>
      </c>
      <c r="B24" s="26" t="str">
        <v>NC</v>
      </c>
      <c r="C24" s="21">
        <v>170113</v>
      </c>
      <c r="D24" s="11">
        <v>186468.484</v>
      </c>
      <c r="E24" s="11">
        <f t="shared" si="0"/>
        <v>-16355.483999999997</v>
      </c>
      <c r="F24" s="12">
        <f t="shared" si="3"/>
        <v>-8.7711787263739419E-2</v>
      </c>
      <c r="G24" s="13">
        <v>184494.08900000001</v>
      </c>
      <c r="H24" s="13">
        <f t="shared" si="1"/>
        <v>-14381.089000000007</v>
      </c>
      <c r="I24" s="14">
        <f t="shared" si="2"/>
        <v>-7.7948779161157875E-2</v>
      </c>
      <c r="J24" s="60"/>
      <c r="K24" s="38"/>
      <c r="L24" s="63"/>
      <c r="M24" s="63"/>
      <c r="N24" s="63"/>
      <c r="O24" s="63"/>
    </row>
    <row r="25" spans="1:15" ht="28.9">
      <c r="A25" s="27" t="str">
        <v>East Windsor</v>
      </c>
      <c r="B25" s="28" t="str">
        <v>NJ</v>
      </c>
      <c r="C25" s="10">
        <v>976.099999999999</v>
      </c>
      <c r="D25" s="15">
        <v>780.77800000000002</v>
      </c>
      <c r="E25" s="15">
        <f t="shared" si="0"/>
        <v>195.32199999999898</v>
      </c>
      <c r="F25" s="16">
        <f t="shared" si="3"/>
        <v>0.25016329865851622</v>
      </c>
      <c r="G25" s="17">
        <v>1295.173</v>
      </c>
      <c r="H25" s="17">
        <f t="shared" si="1"/>
        <v>-319.073000000001</v>
      </c>
      <c r="I25" s="16">
        <f t="shared" si="2"/>
        <v>-0.24635550617562366</v>
      </c>
      <c r="J25" s="56" t="s">
        <v>94</v>
      </c>
      <c r="K25" s="54"/>
      <c r="L25" s="63"/>
      <c r="M25" s="63"/>
      <c r="N25" s="63"/>
      <c r="O25" s="63"/>
    </row>
    <row r="26" spans="1:15" ht="28.9">
      <c r="A26" s="25" t="str">
        <v>Burlington</v>
      </c>
      <c r="B26" s="26" t="str">
        <v>NJ</v>
      </c>
      <c r="C26" s="21">
        <v>2446.8000000000002</v>
      </c>
      <c r="D26" s="11">
        <v>2403.4740000000002</v>
      </c>
      <c r="E26" s="11">
        <f t="shared" si="0"/>
        <v>43.326000000000022</v>
      </c>
      <c r="F26" s="12">
        <f t="shared" si="3"/>
        <v>1.802640677619147E-2</v>
      </c>
      <c r="G26" s="13">
        <v>3331.7240000000002</v>
      </c>
      <c r="H26" s="13">
        <f t="shared" si="1"/>
        <v>-884.92399999999998</v>
      </c>
      <c r="I26" s="14">
        <f t="shared" si="2"/>
        <v>-0.26560543430368178</v>
      </c>
      <c r="J26" s="60" t="s">
        <v>94</v>
      </c>
      <c r="K26" s="38"/>
      <c r="L26" s="63"/>
      <c r="M26" s="63"/>
      <c r="N26" s="63"/>
      <c r="O26" s="63"/>
    </row>
    <row r="27" spans="1:15" ht="15.6">
      <c r="A27" s="27" t="str">
        <v>Bayonne</v>
      </c>
      <c r="B27" s="28" t="str">
        <v>NJ</v>
      </c>
      <c r="C27" s="10">
        <v>3159.8</v>
      </c>
      <c r="D27" s="15">
        <v>2968.6579999999999</v>
      </c>
      <c r="E27" s="15">
        <f t="shared" si="0"/>
        <v>191.14200000000028</v>
      </c>
      <c r="F27" s="16">
        <f t="shared" si="3"/>
        <v>6.4386668993195006E-2</v>
      </c>
      <c r="G27" s="17">
        <v>3775.6759999999999</v>
      </c>
      <c r="H27" s="17">
        <f t="shared" si="1"/>
        <v>-615.87599999999975</v>
      </c>
      <c r="I27" s="16">
        <f t="shared" si="2"/>
        <v>-0.1631167504838868</v>
      </c>
      <c r="J27" s="56" t="s">
        <v>175</v>
      </c>
      <c r="K27" s="54"/>
      <c r="L27" s="63"/>
      <c r="M27" s="63"/>
      <c r="N27" s="63"/>
      <c r="O27" s="63"/>
    </row>
    <row r="28" spans="1:15" ht="15.6">
      <c r="A28" s="25" t="str">
        <v>Clifton</v>
      </c>
      <c r="B28" s="26" t="str">
        <v>NJ</v>
      </c>
      <c r="C28" s="21">
        <v>3722.5234375</v>
      </c>
      <c r="D28" s="11">
        <v>3823.163</v>
      </c>
      <c r="E28" s="11">
        <f t="shared" si="0"/>
        <v>-100.63956250000001</v>
      </c>
      <c r="F28" s="12">
        <f t="shared" si="3"/>
        <v>-2.632363896072441E-2</v>
      </c>
      <c r="G28" s="13">
        <v>4452.7889999999998</v>
      </c>
      <c r="H28" s="13">
        <f t="shared" si="1"/>
        <v>-730.26556249999976</v>
      </c>
      <c r="I28" s="14">
        <f t="shared" si="2"/>
        <v>-0.16400183401908328</v>
      </c>
      <c r="J28" s="60" t="s">
        <v>175</v>
      </c>
      <c r="K28" s="38"/>
      <c r="L28" s="63"/>
      <c r="M28" s="63"/>
      <c r="N28" s="63"/>
      <c r="O28" s="63"/>
    </row>
    <row r="29" spans="1:15" ht="57.6">
      <c r="A29" s="27" t="str">
        <v>North Elizabeth</v>
      </c>
      <c r="B29" s="28" t="str">
        <v>NJ</v>
      </c>
      <c r="C29" s="10">
        <v>2521.6999999999998</v>
      </c>
      <c r="D29" s="15">
        <v>1917.7660000000001</v>
      </c>
      <c r="E29" s="15">
        <f t="shared" si="0"/>
        <v>603.93399999999974</v>
      </c>
      <c r="F29" s="16">
        <f t="shared" si="3"/>
        <v>0.31491537549419468</v>
      </c>
      <c r="G29" s="17">
        <v>4135.8810000000003</v>
      </c>
      <c r="H29" s="17">
        <f t="shared" si="1"/>
        <v>-1614.1810000000005</v>
      </c>
      <c r="I29" s="16">
        <f t="shared" si="2"/>
        <v>-0.39028709965301234</v>
      </c>
      <c r="J29" s="56" t="s">
        <v>176</v>
      </c>
      <c r="K29" s="80" t="s">
        <v>177</v>
      </c>
      <c r="L29" s="86" t="s">
        <v>178</v>
      </c>
      <c r="M29" s="63"/>
      <c r="N29" s="63"/>
      <c r="O29" s="63"/>
    </row>
    <row r="30" spans="1:15" ht="28.9">
      <c r="A30" s="25" t="str">
        <v>Haddon Westmont Plaza</v>
      </c>
      <c r="B30" s="26" t="str">
        <v>NJ</v>
      </c>
      <c r="C30" s="21">
        <v>2492.3999999999901</v>
      </c>
      <c r="D30" s="11">
        <v>2439.306</v>
      </c>
      <c r="E30" s="11">
        <f t="shared" si="0"/>
        <v>53.093999999990046</v>
      </c>
      <c r="F30" s="12">
        <f t="shared" si="3"/>
        <v>2.1766026894530676E-2</v>
      </c>
      <c r="G30" s="13">
        <v>3062.7080000000001</v>
      </c>
      <c r="H30" s="13">
        <f t="shared" si="1"/>
        <v>-570.30800000001</v>
      </c>
      <c r="I30" s="14">
        <f t="shared" si="2"/>
        <v>-0.18621037330362869</v>
      </c>
      <c r="J30" s="60" t="s">
        <v>94</v>
      </c>
      <c r="K30" s="38"/>
      <c r="L30" s="63"/>
      <c r="M30" s="63"/>
      <c r="N30" s="63"/>
      <c r="O30" s="63"/>
    </row>
    <row r="31" spans="1:15" ht="28.9">
      <c r="A31" s="27" t="str">
        <v>Parsippany</v>
      </c>
      <c r="B31" s="28" t="str">
        <v>NJ</v>
      </c>
      <c r="C31" s="10">
        <v>2729.7000000000098</v>
      </c>
      <c r="D31" s="15">
        <v>2518.732</v>
      </c>
      <c r="E31" s="15">
        <f t="shared" si="0"/>
        <v>210.96800000000985</v>
      </c>
      <c r="F31" s="16">
        <f t="shared" si="3"/>
        <v>8.375960602398741E-2</v>
      </c>
      <c r="G31" s="17">
        <v>3535.873</v>
      </c>
      <c r="H31" s="17">
        <f t="shared" si="1"/>
        <v>-806.17299999999022</v>
      </c>
      <c r="I31" s="16">
        <f t="shared" si="2"/>
        <v>-0.22799829066258606</v>
      </c>
      <c r="J31" s="56" t="s">
        <v>94</v>
      </c>
      <c r="K31" s="54"/>
      <c r="L31" s="63"/>
      <c r="M31" s="63"/>
      <c r="N31" s="63"/>
      <c r="O31" s="63"/>
    </row>
    <row r="32" spans="1:15" ht="28.9">
      <c r="A32" s="25" t="str">
        <v>Clark</v>
      </c>
      <c r="B32" s="26" t="str">
        <v>NJ</v>
      </c>
      <c r="C32" s="21">
        <v>172.5</v>
      </c>
      <c r="D32" s="11">
        <v>2290.3710000000001</v>
      </c>
      <c r="E32" s="11">
        <f t="shared" si="0"/>
        <v>-2117.8710000000001</v>
      </c>
      <c r="F32" s="12">
        <f t="shared" si="3"/>
        <v>-0.92468469082083204</v>
      </c>
      <c r="G32" s="13">
        <v>2877.8560000000002</v>
      </c>
      <c r="H32" s="13">
        <f t="shared" si="1"/>
        <v>-2705.3560000000002</v>
      </c>
      <c r="I32" s="14">
        <f t="shared" si="2"/>
        <v>-0.94005954432744376</v>
      </c>
      <c r="J32" s="60" t="s">
        <v>179</v>
      </c>
      <c r="K32" s="78" t="s">
        <v>180</v>
      </c>
      <c r="L32" s="63"/>
      <c r="M32" s="63"/>
      <c r="N32" s="63"/>
      <c r="O32" s="63"/>
    </row>
    <row r="33" spans="1:15" ht="28.9">
      <c r="A33" s="27" t="str">
        <v>Closter</v>
      </c>
      <c r="B33" s="28" t="str">
        <v>NJ</v>
      </c>
      <c r="C33" s="10">
        <v>1220.2</v>
      </c>
      <c r="D33" s="15">
        <v>1006.164</v>
      </c>
      <c r="E33" s="15">
        <f t="shared" si="0"/>
        <v>214.03600000000006</v>
      </c>
      <c r="F33" s="16">
        <f t="shared" si="3"/>
        <v>0.21272476455130582</v>
      </c>
      <c r="G33" s="17">
        <v>1801.885</v>
      </c>
      <c r="H33" s="17">
        <f t="shared" si="1"/>
        <v>-581.68499999999995</v>
      </c>
      <c r="I33" s="16">
        <f t="shared" si="2"/>
        <v>-0.32282026877408931</v>
      </c>
      <c r="J33" s="56" t="s">
        <v>94</v>
      </c>
      <c r="K33" s="54"/>
      <c r="L33" s="63"/>
      <c r="M33" s="63"/>
      <c r="N33" s="63"/>
      <c r="O33" s="63"/>
    </row>
    <row r="34" spans="1:15" ht="43.15">
      <c r="A34" s="25" t="str">
        <v>Holmdel</v>
      </c>
      <c r="B34" s="26" t="str">
        <v>NJ</v>
      </c>
      <c r="C34" s="21">
        <v>2065.00000000001</v>
      </c>
      <c r="D34" s="11">
        <v>6304.6970000000001</v>
      </c>
      <c r="E34" s="11">
        <f t="shared" si="0"/>
        <v>-4239.6969999999901</v>
      </c>
      <c r="F34" s="12">
        <f t="shared" si="3"/>
        <v>-0.67246641670487739</v>
      </c>
      <c r="G34" s="13">
        <v>2539.7060000000001</v>
      </c>
      <c r="H34" s="13">
        <f t="shared" si="1"/>
        <v>-474.70599999999013</v>
      </c>
      <c r="I34" s="14">
        <f t="shared" si="2"/>
        <v>-0.18691376088412995</v>
      </c>
      <c r="J34" s="60" t="s">
        <v>181</v>
      </c>
      <c r="K34" s="78" t="s">
        <v>182</v>
      </c>
      <c r="L34" s="63"/>
      <c r="M34" s="63"/>
      <c r="N34" s="63"/>
      <c r="O34" s="63"/>
    </row>
    <row r="35" spans="1:15" ht="28.9">
      <c r="A35" s="27" t="str">
        <v>Ellisburg Circle Center</v>
      </c>
      <c r="B35" s="28" t="str">
        <v>NJ</v>
      </c>
      <c r="C35" s="10">
        <v>1101.4000000000001</v>
      </c>
      <c r="D35" s="15">
        <v>1094.771</v>
      </c>
      <c r="E35" s="15">
        <f t="shared" si="0"/>
        <v>6.6290000000001328</v>
      </c>
      <c r="F35" s="16">
        <f t="shared" si="3"/>
        <v>6.0551476062118319E-3</v>
      </c>
      <c r="G35" s="17">
        <v>1417.0709999999999</v>
      </c>
      <c r="H35" s="17">
        <f t="shared" si="1"/>
        <v>-315.67099999999982</v>
      </c>
      <c r="I35" s="16">
        <f t="shared" si="2"/>
        <v>-0.22276300905176935</v>
      </c>
      <c r="J35" s="56" t="s">
        <v>94</v>
      </c>
      <c r="K35" s="54"/>
      <c r="L35" s="63"/>
      <c r="M35" s="63"/>
      <c r="N35" s="63"/>
      <c r="O35" s="63"/>
    </row>
    <row r="36" spans="1:15" ht="28.9">
      <c r="A36" s="25" t="str">
        <v>Nutley</v>
      </c>
      <c r="B36" s="26" t="str">
        <v>NJ</v>
      </c>
      <c r="C36" s="21">
        <v>4065.7999999999902</v>
      </c>
      <c r="D36" s="11">
        <v>3291.056</v>
      </c>
      <c r="E36" s="11">
        <f t="shared" si="0"/>
        <v>774.74399999999014</v>
      </c>
      <c r="F36" s="12">
        <f t="shared" si="3"/>
        <v>0.23540893865069148</v>
      </c>
      <c r="G36" s="13">
        <v>4964.1719999999996</v>
      </c>
      <c r="H36" s="13">
        <f t="shared" si="1"/>
        <v>-898.37200000000939</v>
      </c>
      <c r="I36" s="14">
        <f t="shared" si="2"/>
        <v>-0.18097116699421564</v>
      </c>
      <c r="J36" s="60" t="s">
        <v>94</v>
      </c>
      <c r="K36" s="38"/>
      <c r="L36" s="63"/>
      <c r="M36" s="63"/>
      <c r="N36" s="63"/>
      <c r="O36" s="63"/>
    </row>
    <row r="37" spans="1:15" ht="28.9">
      <c r="A37" s="27" t="str">
        <v>Marlton</v>
      </c>
      <c r="B37" s="28" t="str">
        <v>NJ</v>
      </c>
      <c r="C37" s="10">
        <v>3815.3</v>
      </c>
      <c r="D37" s="15">
        <v>3516.328</v>
      </c>
      <c r="E37" s="15">
        <f t="shared" si="0"/>
        <v>298.97200000000021</v>
      </c>
      <c r="F37" s="16">
        <f t="shared" si="3"/>
        <v>8.5023922682980715E-2</v>
      </c>
      <c r="G37" s="17">
        <v>4949.098</v>
      </c>
      <c r="H37" s="17">
        <f t="shared" si="1"/>
        <v>-1133.7979999999998</v>
      </c>
      <c r="I37" s="16">
        <f t="shared" si="2"/>
        <v>-0.22909184663548787</v>
      </c>
      <c r="J37" s="56" t="s">
        <v>94</v>
      </c>
      <c r="K37" s="54"/>
      <c r="L37" s="63"/>
      <c r="M37" s="63"/>
      <c r="N37" s="63"/>
      <c r="O37" s="63"/>
    </row>
    <row r="38" spans="1:15" ht="28.9">
      <c r="A38" s="25" t="str">
        <v>Middletown</v>
      </c>
      <c r="B38" s="26" t="str">
        <v>NJ</v>
      </c>
      <c r="C38" s="21">
        <v>2881.2</v>
      </c>
      <c r="D38" s="11">
        <v>2489.4299999999998</v>
      </c>
      <c r="E38" s="11">
        <f t="shared" si="0"/>
        <v>391.77</v>
      </c>
      <c r="F38" s="12">
        <f t="shared" si="3"/>
        <v>0.15737337462792689</v>
      </c>
      <c r="G38" s="13">
        <v>4026.3679999999999</v>
      </c>
      <c r="H38" s="13">
        <f t="shared" si="1"/>
        <v>-1145.1680000000001</v>
      </c>
      <c r="I38" s="14">
        <f t="shared" si="2"/>
        <v>-0.28441712232960331</v>
      </c>
      <c r="J38" s="60" t="s">
        <v>183</v>
      </c>
      <c r="K38" s="78" t="s">
        <v>184</v>
      </c>
      <c r="L38" s="63"/>
      <c r="M38" s="63"/>
      <c r="N38" s="63"/>
      <c r="O38" s="63"/>
    </row>
    <row r="39" spans="1:15" ht="28.9">
      <c r="A39" s="27" t="str">
        <v>Whiting Crestwood</v>
      </c>
      <c r="B39" s="28" t="str">
        <v>NJ</v>
      </c>
      <c r="C39" s="10">
        <v>3678.5</v>
      </c>
      <c r="D39" s="15">
        <v>3506.223</v>
      </c>
      <c r="E39" s="15">
        <f t="shared" si="0"/>
        <v>172.27700000000004</v>
      </c>
      <c r="F39" s="16">
        <f t="shared" si="3"/>
        <v>4.9134638612546903E-2</v>
      </c>
      <c r="G39" s="17">
        <v>5306.5829999999996</v>
      </c>
      <c r="H39" s="17">
        <f t="shared" si="1"/>
        <v>-1628.0829999999996</v>
      </c>
      <c r="I39" s="16">
        <f t="shared" si="2"/>
        <v>-0.30680439748139238</v>
      </c>
      <c r="J39" s="56" t="s">
        <v>94</v>
      </c>
      <c r="K39" s="54"/>
      <c r="L39" s="63"/>
      <c r="M39" s="63"/>
      <c r="N39" s="63"/>
      <c r="O39" s="63"/>
    </row>
    <row r="40" spans="1:15" ht="28.9">
      <c r="A40" s="25" t="str">
        <v>Barnegat</v>
      </c>
      <c r="B40" s="26" t="str">
        <v>NJ</v>
      </c>
      <c r="C40" s="21">
        <v>5837.3562500000098</v>
      </c>
      <c r="D40" s="11">
        <v>5282.6130000000003</v>
      </c>
      <c r="E40" s="11">
        <f t="shared" si="0"/>
        <v>554.74325000000954</v>
      </c>
      <c r="F40" s="12">
        <f t="shared" si="3"/>
        <v>0.10501303994822439</v>
      </c>
      <c r="G40" s="13">
        <v>7664.6559999999999</v>
      </c>
      <c r="H40" s="13">
        <f t="shared" si="1"/>
        <v>-1827.2997499999901</v>
      </c>
      <c r="I40" s="14">
        <f t="shared" si="2"/>
        <v>-0.23840597020922924</v>
      </c>
      <c r="J40" s="60" t="s">
        <v>94</v>
      </c>
      <c r="K40" s="38"/>
      <c r="L40" s="63"/>
      <c r="M40" s="63"/>
      <c r="N40" s="63"/>
      <c r="O40" s="63"/>
    </row>
    <row r="41" spans="1:15" ht="28.9">
      <c r="A41" s="27" t="str">
        <v>Manchester</v>
      </c>
      <c r="B41" s="28" t="str">
        <v>NJ</v>
      </c>
      <c r="C41" s="10">
        <v>2101.6999999999998</v>
      </c>
      <c r="D41" s="15">
        <v>2379.386</v>
      </c>
      <c r="E41" s="15">
        <f t="shared" si="0"/>
        <v>-277.68600000000015</v>
      </c>
      <c r="F41" s="16">
        <f t="shared" si="3"/>
        <v>-0.11670489781817668</v>
      </c>
      <c r="G41" s="17">
        <v>4398.2619999999997</v>
      </c>
      <c r="H41" s="17">
        <f t="shared" si="1"/>
        <v>-2296.5619999999999</v>
      </c>
      <c r="I41" s="16">
        <f t="shared" si="2"/>
        <v>-0.52215215919379065</v>
      </c>
      <c r="J41" s="56" t="s">
        <v>185</v>
      </c>
      <c r="K41" s="54"/>
      <c r="L41" s="63"/>
      <c r="M41" s="63"/>
      <c r="N41" s="63"/>
      <c r="O41" s="63"/>
    </row>
    <row r="42" spans="1:15" ht="28.9">
      <c r="A42" s="25" t="str">
        <v>West Deptford - Woodbury</v>
      </c>
      <c r="B42" s="26" t="str">
        <v>NJ</v>
      </c>
      <c r="C42" s="21">
        <v>3351.5999999999899</v>
      </c>
      <c r="D42" s="11">
        <v>3604.5859999999998</v>
      </c>
      <c r="E42" s="11">
        <f t="shared" si="0"/>
        <v>-252.98600000000988</v>
      </c>
      <c r="F42" s="12">
        <f t="shared" si="3"/>
        <v>-7.0184481657535672E-2</v>
      </c>
      <c r="G42" s="13">
        <v>4204.0780000000004</v>
      </c>
      <c r="H42" s="13">
        <f t="shared" si="1"/>
        <v>-852.47800000001052</v>
      </c>
      <c r="I42" s="14">
        <f t="shared" si="2"/>
        <v>-0.20277406841643053</v>
      </c>
      <c r="J42" s="60" t="s">
        <v>94</v>
      </c>
      <c r="K42" s="38"/>
      <c r="L42" s="63"/>
      <c r="M42" s="63"/>
      <c r="N42" s="63"/>
      <c r="O42" s="63"/>
    </row>
    <row r="43" spans="1:15" ht="28.9">
      <c r="A43" s="27" t="str">
        <v>Edison</v>
      </c>
      <c r="B43" s="28" t="str">
        <v>NJ</v>
      </c>
      <c r="C43" s="10">
        <v>2955.3</v>
      </c>
      <c r="D43" s="15">
        <v>2967.4630000000002</v>
      </c>
      <c r="E43" s="15">
        <f t="shared" si="0"/>
        <v>-12.163000000000011</v>
      </c>
      <c r="F43" s="16">
        <f t="shared" si="3"/>
        <v>-4.0987874153780553E-3</v>
      </c>
      <c r="G43" s="17">
        <v>3786.7159999999999</v>
      </c>
      <c r="H43" s="17">
        <f t="shared" si="1"/>
        <v>-831.41599999999971</v>
      </c>
      <c r="I43" s="16">
        <f t="shared" si="2"/>
        <v>-0.21956122402630662</v>
      </c>
      <c r="J43" s="56" t="s">
        <v>94</v>
      </c>
      <c r="K43" s="54"/>
      <c r="L43" s="63"/>
      <c r="M43" s="63"/>
      <c r="N43" s="63"/>
      <c r="O43" s="63"/>
    </row>
    <row r="44" spans="1:15" ht="28.9">
      <c r="A44" s="25" t="str">
        <v>Flemington</v>
      </c>
      <c r="B44" s="26" t="str">
        <v>NJ</v>
      </c>
      <c r="C44" s="21">
        <v>2910.9000000000101</v>
      </c>
      <c r="D44" s="11">
        <v>2993.5509999999999</v>
      </c>
      <c r="E44" s="11">
        <f t="shared" si="0"/>
        <v>-82.650999999989835</v>
      </c>
      <c r="F44" s="12">
        <f t="shared" si="3"/>
        <v>-2.7609684952750041E-2</v>
      </c>
      <c r="G44" s="13">
        <v>3785.5189999999998</v>
      </c>
      <c r="H44" s="13">
        <f t="shared" si="1"/>
        <v>-874.61899999998968</v>
      </c>
      <c r="I44" s="14">
        <f t="shared" si="2"/>
        <v>-0.2310433523117939</v>
      </c>
      <c r="J44" s="60" t="s">
        <v>186</v>
      </c>
      <c r="K44" s="78" t="s">
        <v>187</v>
      </c>
      <c r="L44" s="63"/>
      <c r="M44" s="63"/>
      <c r="N44" s="63"/>
      <c r="O44" s="63"/>
    </row>
    <row r="45" spans="1:15" ht="28.9">
      <c r="A45" s="27" t="str">
        <v>Route 22</v>
      </c>
      <c r="B45" s="28" t="str">
        <v>NJ</v>
      </c>
      <c r="C45" s="10">
        <v>2753.9000000000101</v>
      </c>
      <c r="D45" s="15">
        <v>2990.223</v>
      </c>
      <c r="E45" s="15">
        <f t="shared" si="0"/>
        <v>-236.32299999998986</v>
      </c>
      <c r="F45" s="16">
        <f t="shared" si="3"/>
        <v>-7.90318982898566E-2</v>
      </c>
      <c r="G45" s="17">
        <v>3533.127</v>
      </c>
      <c r="H45" s="17">
        <f t="shared" si="1"/>
        <v>-779.22699999998986</v>
      </c>
      <c r="I45" s="16">
        <f t="shared" si="2"/>
        <v>-0.22054882261520456</v>
      </c>
      <c r="J45" s="49" t="s">
        <v>94</v>
      </c>
      <c r="K45" s="54"/>
      <c r="L45" s="63"/>
      <c r="M45" s="63"/>
      <c r="N45" s="63"/>
      <c r="O45" s="63"/>
    </row>
    <row r="46" spans="1:15" ht="28.9">
      <c r="A46" s="25" t="str">
        <v>Laurelton</v>
      </c>
      <c r="B46" s="26" t="str">
        <v>NJ</v>
      </c>
      <c r="C46" s="21">
        <v>1712.7</v>
      </c>
      <c r="D46" s="11">
        <v>2647.2579999999998</v>
      </c>
      <c r="E46" s="11">
        <f t="shared" si="0"/>
        <v>-934.55799999999977</v>
      </c>
      <c r="F46" s="12">
        <f t="shared" si="3"/>
        <v>-0.35302868099746976</v>
      </c>
      <c r="G46" s="13">
        <v>3328.6170000000002</v>
      </c>
      <c r="H46" s="13">
        <f t="shared" si="1"/>
        <v>-1615.9170000000001</v>
      </c>
      <c r="I46" s="14">
        <f t="shared" si="2"/>
        <v>-0.48546198015572234</v>
      </c>
      <c r="J46" s="60" t="s">
        <v>185</v>
      </c>
      <c r="K46" s="38"/>
      <c r="L46" s="63"/>
      <c r="M46" s="63"/>
      <c r="N46" s="63"/>
      <c r="O46" s="63"/>
    </row>
    <row r="47" spans="1:15" ht="43.15">
      <c r="A47" s="27" t="str">
        <v>Mahwah</v>
      </c>
      <c r="B47" s="28" t="str">
        <v>NJ</v>
      </c>
      <c r="C47" s="10">
        <v>2184.6999999999998</v>
      </c>
      <c r="D47" s="15">
        <v>389.7638</v>
      </c>
      <c r="E47" s="15">
        <f t="shared" si="0"/>
        <v>1794.9361999999999</v>
      </c>
      <c r="F47" s="16">
        <f t="shared" si="3"/>
        <v>4.6051896045758989</v>
      </c>
      <c r="G47" s="17">
        <v>3198.3209999999999</v>
      </c>
      <c r="H47" s="17">
        <f t="shared" si="1"/>
        <v>-1013.6210000000001</v>
      </c>
      <c r="I47" s="16">
        <f t="shared" si="2"/>
        <v>-0.31692284795678738</v>
      </c>
      <c r="J47" s="49" t="s">
        <v>188</v>
      </c>
      <c r="K47" s="80" t="s">
        <v>145</v>
      </c>
      <c r="L47" s="63"/>
      <c r="M47" s="63"/>
      <c r="N47" s="63"/>
      <c r="O47" s="63"/>
    </row>
    <row r="48" spans="1:15" ht="28.9">
      <c r="A48" s="25" t="str">
        <v>Franklin Township WF</v>
      </c>
      <c r="B48" s="26" t="str">
        <v>NJ</v>
      </c>
      <c r="C48" s="21">
        <v>2601.6000000000099</v>
      </c>
      <c r="D48" s="11">
        <v>2630.2840000000001</v>
      </c>
      <c r="E48" s="11">
        <f t="shared" si="0"/>
        <v>-28.683999999990192</v>
      </c>
      <c r="F48" s="12">
        <f t="shared" si="3"/>
        <v>-1.090528627326562E-2</v>
      </c>
      <c r="G48" s="13">
        <v>3294.74</v>
      </c>
      <c r="H48" s="13">
        <f t="shared" si="1"/>
        <v>-693.13999999998987</v>
      </c>
      <c r="I48" s="14">
        <f t="shared" si="2"/>
        <v>-0.21037775363154299</v>
      </c>
      <c r="J48" s="60" t="s">
        <v>94</v>
      </c>
      <c r="K48" s="38"/>
      <c r="L48" s="63"/>
      <c r="M48" s="63"/>
      <c r="N48" s="63"/>
      <c r="O48" s="63"/>
    </row>
    <row r="49" spans="1:15" ht="28.9">
      <c r="A49" s="27" t="str">
        <v>Bordentown</v>
      </c>
      <c r="B49" s="28" t="str">
        <v>NJ</v>
      </c>
      <c r="C49" s="10">
        <v>1965.5999999999899</v>
      </c>
      <c r="D49" s="15">
        <v>1835.9880000000001</v>
      </c>
      <c r="E49" s="15">
        <f t="shared" si="0"/>
        <v>129.61199999998985</v>
      </c>
      <c r="F49" s="16">
        <f t="shared" si="3"/>
        <v>7.0595232648573869E-2</v>
      </c>
      <c r="G49" s="17">
        <v>2562.2710000000002</v>
      </c>
      <c r="H49" s="17">
        <f t="shared" si="1"/>
        <v>-596.67100000001028</v>
      </c>
      <c r="I49" s="16">
        <f t="shared" si="2"/>
        <v>-0.23286802996248648</v>
      </c>
      <c r="J49" s="49" t="s">
        <v>94</v>
      </c>
      <c r="K49" s="54"/>
      <c r="L49" s="63"/>
      <c r="M49" s="63"/>
      <c r="N49" s="63"/>
      <c r="O49" s="63"/>
    </row>
    <row r="50" spans="1:15" ht="28.9">
      <c r="A50" s="25" t="str">
        <v>South Plainfield</v>
      </c>
      <c r="B50" s="26" t="str">
        <v>NJ</v>
      </c>
      <c r="C50" s="21">
        <v>1436.5</v>
      </c>
      <c r="D50" s="11">
        <v>1453.826</v>
      </c>
      <c r="E50" s="11">
        <f t="shared" si="0"/>
        <v>-17.326000000000022</v>
      </c>
      <c r="F50" s="12">
        <f t="shared" si="3"/>
        <v>-1.1917519703183202E-2</v>
      </c>
      <c r="G50" s="13">
        <v>1804.2360000000001</v>
      </c>
      <c r="H50" s="13">
        <f t="shared" si="1"/>
        <v>-367.7360000000001</v>
      </c>
      <c r="I50" s="14">
        <f t="shared" si="2"/>
        <v>-0.2038181257884224</v>
      </c>
      <c r="J50" s="60" t="s">
        <v>94</v>
      </c>
      <c r="K50" s="38"/>
      <c r="L50" s="63"/>
      <c r="M50" s="63"/>
      <c r="N50" s="63"/>
      <c r="O50" s="63"/>
    </row>
    <row r="51" spans="1:15" ht="28.9">
      <c r="A51" s="27" t="str">
        <v>Somerset</v>
      </c>
      <c r="B51" s="28" t="str">
        <v>NJ</v>
      </c>
      <c r="C51" s="10">
        <v>2348.7999999999902</v>
      </c>
      <c r="D51" s="15">
        <v>2308.9029999999998</v>
      </c>
      <c r="E51" s="15">
        <f t="shared" si="0"/>
        <v>39.896999999990385</v>
      </c>
      <c r="F51" s="16">
        <f t="shared" si="3"/>
        <v>1.7279634527734768E-2</v>
      </c>
      <c r="G51" s="17">
        <v>3042.6559999999999</v>
      </c>
      <c r="H51" s="17">
        <f t="shared" si="1"/>
        <v>-693.85600000000977</v>
      </c>
      <c r="I51" s="16">
        <f t="shared" si="2"/>
        <v>-0.22804286781023217</v>
      </c>
      <c r="J51" s="56" t="s">
        <v>94</v>
      </c>
      <c r="K51" s="54"/>
      <c r="L51" s="63"/>
      <c r="M51" s="63"/>
      <c r="N51" s="63"/>
      <c r="O51" s="63"/>
    </row>
    <row r="52" spans="1:15" ht="28.9">
      <c r="A52" s="25" t="str">
        <v>Clinton Main Relo</v>
      </c>
      <c r="B52" s="26" t="str">
        <v>NJ</v>
      </c>
      <c r="C52" s="21">
        <v>2834.5630000000001</v>
      </c>
      <c r="D52" s="11">
        <v>2844.9189999999999</v>
      </c>
      <c r="E52" s="11">
        <f t="shared" si="0"/>
        <v>-10.355999999999767</v>
      </c>
      <c r="F52" s="12">
        <f t="shared" si="3"/>
        <v>-3.6401739381682809E-3</v>
      </c>
      <c r="G52" s="13">
        <v>3388.4740000000002</v>
      </c>
      <c r="H52" s="13">
        <f t="shared" si="1"/>
        <v>-553.91100000000006</v>
      </c>
      <c r="I52" s="14">
        <f t="shared" si="2"/>
        <v>-0.16346916045393886</v>
      </c>
      <c r="J52" s="60" t="s">
        <v>94</v>
      </c>
      <c r="K52" s="38"/>
      <c r="L52" s="63"/>
      <c r="M52" s="63"/>
      <c r="N52" s="63"/>
      <c r="O52" s="63"/>
    </row>
    <row r="53" spans="1:15" ht="28.9">
      <c r="A53" s="27" t="str">
        <v>North Brunswick</v>
      </c>
      <c r="B53" s="28" t="str">
        <v>NJ</v>
      </c>
      <c r="C53" s="10">
        <v>2828.3999999999901</v>
      </c>
      <c r="D53" s="15">
        <v>2666.0929999999998</v>
      </c>
      <c r="E53" s="15">
        <f t="shared" si="0"/>
        <v>162.30699999999024</v>
      </c>
      <c r="F53" s="16">
        <f t="shared" si="3"/>
        <v>6.0878221427380912E-2</v>
      </c>
      <c r="G53" s="17">
        <v>3910.0160000000001</v>
      </c>
      <c r="H53" s="17">
        <f t="shared" si="1"/>
        <v>-1081.61600000001</v>
      </c>
      <c r="I53" s="16">
        <f t="shared" si="2"/>
        <v>-0.27662700101483217</v>
      </c>
      <c r="J53" s="56" t="s">
        <v>94</v>
      </c>
      <c r="K53" s="54"/>
      <c r="L53" s="63"/>
      <c r="M53" s="63"/>
      <c r="N53" s="63"/>
      <c r="O53" s="63"/>
    </row>
    <row r="54" spans="1:15" ht="28.9">
      <c r="A54" s="25" t="str">
        <v>Cherry Hill</v>
      </c>
      <c r="B54" s="26" t="str">
        <v>NJ</v>
      </c>
      <c r="C54" s="21">
        <v>1977.0691771859599</v>
      </c>
      <c r="D54" s="11">
        <v>1908.925</v>
      </c>
      <c r="E54" s="11">
        <f t="shared" si="0"/>
        <v>68.144177185959961</v>
      </c>
      <c r="F54" s="12">
        <f t="shared" si="3"/>
        <v>3.569767129979437E-2</v>
      </c>
      <c r="G54" s="13">
        <v>2561.8539999999998</v>
      </c>
      <c r="H54" s="13">
        <f t="shared" si="1"/>
        <v>-584.7848228140399</v>
      </c>
      <c r="I54" s="14">
        <f t="shared" si="2"/>
        <v>-0.22826625670863365</v>
      </c>
      <c r="J54" s="60" t="s">
        <v>94</v>
      </c>
      <c r="K54" s="38"/>
      <c r="L54" s="63"/>
      <c r="M54" s="63"/>
      <c r="N54" s="63"/>
      <c r="O54" s="63"/>
    </row>
    <row r="55" spans="1:15" ht="28.9">
      <c r="A55" s="27" t="str">
        <v>Hainesport</v>
      </c>
      <c r="B55" s="28" t="str">
        <v>NJ</v>
      </c>
      <c r="C55" s="10">
        <v>1960.6000000000099</v>
      </c>
      <c r="D55" s="15">
        <v>2235.5790000000002</v>
      </c>
      <c r="E55" s="15">
        <f t="shared" si="0"/>
        <v>-274.97899999999026</v>
      </c>
      <c r="F55" s="16">
        <f t="shared" si="3"/>
        <v>-0.12300124486765632</v>
      </c>
      <c r="G55" s="17">
        <v>2590.0740000000001</v>
      </c>
      <c r="H55" s="17">
        <f t="shared" si="1"/>
        <v>-629.47399999999016</v>
      </c>
      <c r="I55" s="16">
        <f t="shared" si="2"/>
        <v>-0.24303321063413252</v>
      </c>
      <c r="J55" s="56" t="s">
        <v>185</v>
      </c>
      <c r="K55" s="54"/>
      <c r="L55" s="63"/>
      <c r="M55" s="63"/>
      <c r="N55" s="63"/>
      <c r="O55" s="63"/>
    </row>
    <row r="56" spans="1:15" ht="28.9">
      <c r="A56" s="25" t="str">
        <v>San Antonio - Ops Ctr (Bldg 106)</v>
      </c>
      <c r="B56" s="26" t="str">
        <v>TX</v>
      </c>
      <c r="C56" s="21">
        <v>56872.163</v>
      </c>
      <c r="D56" s="11">
        <v>41952.059000000001</v>
      </c>
      <c r="E56" s="11">
        <f t="shared" si="0"/>
        <v>14920.103999999999</v>
      </c>
      <c r="F56" s="12">
        <f t="shared" si="3"/>
        <v>0.35564652500131161</v>
      </c>
      <c r="G56" s="13">
        <v>57872.527999999998</v>
      </c>
      <c r="H56" s="13">
        <f t="shared" si="1"/>
        <v>-1000.364999999998</v>
      </c>
      <c r="I56" s="14">
        <f t="shared" si="2"/>
        <v>-1.7285662724116666E-2</v>
      </c>
      <c r="J56" s="60" t="s">
        <v>189</v>
      </c>
      <c r="K56" s="78" t="s">
        <v>190</v>
      </c>
      <c r="L56" s="63"/>
      <c r="M56" s="63"/>
      <c r="N56" s="63"/>
      <c r="O56" s="63"/>
    </row>
    <row r="57" spans="1:15" ht="28.9">
      <c r="A57" s="27" t="str">
        <v>San Antonio - Ops Ctr GM</v>
      </c>
      <c r="B57" s="28" t="str">
        <v>TX</v>
      </c>
      <c r="C57" s="10">
        <v>377298.5</v>
      </c>
      <c r="D57" s="15">
        <v>414547.57699999999</v>
      </c>
      <c r="E57" s="15">
        <f t="shared" si="0"/>
        <v>-37249.07699999999</v>
      </c>
      <c r="F57" s="16">
        <f t="shared" si="3"/>
        <v>-8.9854769552784028E-2</v>
      </c>
      <c r="G57" s="17">
        <v>419950.92</v>
      </c>
      <c r="H57" s="17">
        <f t="shared" si="1"/>
        <v>-42652.419999999984</v>
      </c>
      <c r="I57" s="16">
        <f t="shared" si="2"/>
        <v>-0.10156524957726008</v>
      </c>
      <c r="J57" s="56" t="s">
        <v>94</v>
      </c>
      <c r="K57" s="54"/>
      <c r="L57" s="63"/>
      <c r="M57" s="63"/>
      <c r="N57" s="63"/>
      <c r="O57" s="63"/>
    </row>
    <row r="58" spans="1:15" ht="49.35" customHeight="1">
      <c r="A58" s="25" t="str">
        <v>San Antonio - Ctr (Bldg 201)</v>
      </c>
      <c r="B58" s="26" t="str">
        <v>TX</v>
      </c>
      <c r="C58" s="21">
        <v>56619.061999999998</v>
      </c>
      <c r="D58" s="11">
        <v>41658.254000000001</v>
      </c>
      <c r="E58" s="11">
        <f t="shared" si="0"/>
        <v>14960.807999999997</v>
      </c>
      <c r="F58" s="12">
        <f t="shared" si="3"/>
        <v>0.35913190216757518</v>
      </c>
      <c r="G58" s="13">
        <v>56256.377999999997</v>
      </c>
      <c r="H58" s="13">
        <f t="shared" si="1"/>
        <v>362.68400000000111</v>
      </c>
      <c r="I58" s="14">
        <f t="shared" si="2"/>
        <v>6.4469845534670068E-3</v>
      </c>
      <c r="J58" s="60"/>
      <c r="K58" s="38"/>
      <c r="L58" s="63"/>
      <c r="M58" s="63"/>
      <c r="N58" s="63"/>
      <c r="O58" s="63"/>
    </row>
    <row r="59" spans="1:15" ht="15.6">
      <c r="A59" s="27" t="str">
        <v>San Antonio - Ops Ctr (Bldg 203)</v>
      </c>
      <c r="B59" s="28" t="str">
        <v>TX</v>
      </c>
      <c r="C59" s="10">
        <v>56545</v>
      </c>
      <c r="D59" s="15">
        <v>54798.44</v>
      </c>
      <c r="E59" s="15">
        <f t="shared" si="0"/>
        <v>1746.5599999999977</v>
      </c>
      <c r="F59" s="16">
        <f t="shared" si="3"/>
        <v>3.1872440164354997E-2</v>
      </c>
      <c r="G59" s="17">
        <v>56838.463000000003</v>
      </c>
      <c r="H59" s="17">
        <f t="shared" si="1"/>
        <v>-293.46300000000338</v>
      </c>
      <c r="I59" s="16">
        <f t="shared" si="2"/>
        <v>-5.1631058355677802E-3</v>
      </c>
      <c r="J59" s="56"/>
      <c r="K59" s="54"/>
      <c r="L59" s="63"/>
      <c r="M59" s="63"/>
      <c r="N59" s="63"/>
      <c r="O59" s="63"/>
    </row>
    <row r="60" spans="1:15" ht="15.6">
      <c r="A60" s="25" t="str">
        <v>San Antonio - Ops Ctr (Bldg 205)</v>
      </c>
      <c r="B60" s="26" t="str">
        <v>TX</v>
      </c>
      <c r="C60" s="21">
        <v>52663.133999999998</v>
      </c>
      <c r="D60" s="11">
        <v>37950.305</v>
      </c>
      <c r="E60" s="11">
        <f t="shared" si="0"/>
        <v>14712.828999999998</v>
      </c>
      <c r="F60" s="12">
        <f t="shared" si="3"/>
        <v>0.38768671292628604</v>
      </c>
      <c r="G60" s="13">
        <v>54581.69</v>
      </c>
      <c r="H60" s="13">
        <f t="shared" si="1"/>
        <v>-1918.5560000000041</v>
      </c>
      <c r="I60" s="14">
        <f t="shared" si="2"/>
        <v>-3.5150175819033895E-2</v>
      </c>
      <c r="J60" s="60"/>
      <c r="K60" s="38"/>
      <c r="L60" s="63"/>
      <c r="M60" s="63"/>
      <c r="N60" s="63"/>
      <c r="O60" s="63"/>
    </row>
    <row r="61" spans="1:15" ht="43.15">
      <c r="A61" s="27" t="str">
        <v>San Antonio - Ops Ctr (Bldg 307)</v>
      </c>
      <c r="B61" s="28" t="str">
        <v>TX</v>
      </c>
      <c r="C61" s="10">
        <v>45089.813000000002</v>
      </c>
      <c r="D61" s="15">
        <v>41272.47</v>
      </c>
      <c r="E61" s="15">
        <f t="shared" si="0"/>
        <v>3817.3430000000008</v>
      </c>
      <c r="F61" s="16">
        <f t="shared" si="3"/>
        <v>9.2491265969785685E-2</v>
      </c>
      <c r="G61" s="17">
        <v>55342.998</v>
      </c>
      <c r="H61" s="17">
        <f t="shared" si="1"/>
        <v>-10253.184999999998</v>
      </c>
      <c r="I61" s="16">
        <f t="shared" si="2"/>
        <v>-0.18526616501693671</v>
      </c>
      <c r="J61" s="56" t="s">
        <v>191</v>
      </c>
      <c r="K61" s="80" t="s">
        <v>192</v>
      </c>
      <c r="L61" s="63"/>
      <c r="M61" s="63"/>
      <c r="N61" s="63"/>
      <c r="O61" s="63"/>
    </row>
    <row r="62" spans="1:15" ht="15.6">
      <c r="A62" s="25" t="str">
        <v>San Antonio - Ctr (Bldg 308)</v>
      </c>
      <c r="B62" s="26" t="str">
        <v>TX</v>
      </c>
      <c r="C62" s="21">
        <v>53189.313000000002</v>
      </c>
      <c r="D62" s="11">
        <v>40326.718000000001</v>
      </c>
      <c r="E62" s="11">
        <f t="shared" si="0"/>
        <v>12862.595000000001</v>
      </c>
      <c r="F62" s="12">
        <f t="shared" si="3"/>
        <v>0.31895962870075373</v>
      </c>
      <c r="G62" s="13">
        <v>52694.580999999998</v>
      </c>
      <c r="H62" s="13">
        <f t="shared" si="1"/>
        <v>494.73200000000361</v>
      </c>
      <c r="I62" s="14">
        <f t="shared" si="2"/>
        <v>9.3886693965742635E-3</v>
      </c>
      <c r="J62" s="60"/>
      <c r="K62" s="38"/>
      <c r="L62" s="63"/>
      <c r="M62" s="63"/>
      <c r="N62" s="63"/>
      <c r="O62" s="63"/>
    </row>
    <row r="63" spans="1:15" ht="100.9">
      <c r="A63" s="27" t="str">
        <v>San Antonio - Ops Ctr (Bldg 104)</v>
      </c>
      <c r="B63" s="28" t="str">
        <v>TX</v>
      </c>
      <c r="C63" s="10">
        <v>12161.607</v>
      </c>
      <c r="D63" s="15">
        <v>12637.498</v>
      </c>
      <c r="E63" s="15">
        <f t="shared" si="0"/>
        <v>-475.89099999999962</v>
      </c>
      <c r="F63" s="16">
        <f t="shared" si="3"/>
        <v>-3.7657058382917226E-2</v>
      </c>
      <c r="G63" s="17">
        <v>16752.946</v>
      </c>
      <c r="H63" s="17">
        <f t="shared" si="1"/>
        <v>-4591.3389999999999</v>
      </c>
      <c r="I63" s="16">
        <f t="shared" si="2"/>
        <v>-0.27406158892889643</v>
      </c>
      <c r="J63" s="56" t="s">
        <v>193</v>
      </c>
      <c r="K63" s="81" t="s">
        <v>194</v>
      </c>
      <c r="L63" s="86" t="s">
        <v>195</v>
      </c>
      <c r="M63" s="63"/>
      <c r="N63" s="63"/>
      <c r="O63" s="63"/>
    </row>
    <row r="64" spans="1:15" ht="15.6">
      <c r="A64" s="25" t="str">
        <v>San Antonio - Ops Ctr (Bldg 102)</v>
      </c>
      <c r="B64" s="26" t="str">
        <v>TX</v>
      </c>
      <c r="C64" s="21">
        <v>59387.303</v>
      </c>
      <c r="D64" s="11"/>
      <c r="E64" s="11" t="str">
        <f t="shared" si="0"/>
        <v/>
      </c>
      <c r="F64" s="12" t="str">
        <f t="shared" si="3"/>
        <v/>
      </c>
      <c r="G64" s="13">
        <v>59469.788999999997</v>
      </c>
      <c r="H64" s="13">
        <f t="shared" si="1"/>
        <v>-82.485999999997148</v>
      </c>
      <c r="I64" s="14">
        <f t="shared" si="2"/>
        <v>-1.3870235860429427E-3</v>
      </c>
      <c r="J64" s="60"/>
      <c r="K64" s="38"/>
      <c r="L64" s="63"/>
      <c r="M64" s="63"/>
      <c r="N64" s="63"/>
      <c r="O64" s="63"/>
    </row>
    <row r="65" spans="1:15" ht="15.6">
      <c r="A65" s="27" t="str">
        <v>Lodi - Lodi Vineyard</v>
      </c>
      <c r="B65" s="28" t="str">
        <v>CA</v>
      </c>
      <c r="C65" s="10">
        <v>55588.03125</v>
      </c>
      <c r="D65" s="15">
        <v>55516.86</v>
      </c>
      <c r="E65" s="15">
        <f t="shared" si="0"/>
        <v>71.171249999999418</v>
      </c>
      <c r="F65" s="16">
        <f t="shared" si="3"/>
        <v>1.281975421520587E-3</v>
      </c>
      <c r="G65" s="17">
        <v>41391</v>
      </c>
      <c r="H65" s="17">
        <f t="shared" si="1"/>
        <v>14197.03125</v>
      </c>
      <c r="I65" s="16">
        <f t="shared" si="2"/>
        <v>0.34299802493295645</v>
      </c>
      <c r="J65" s="56"/>
      <c r="K65" s="54"/>
      <c r="L65" s="63"/>
      <c r="M65" s="63"/>
      <c r="N65" s="63"/>
      <c r="O65" s="63"/>
    </row>
    <row r="66" spans="1:15" ht="15.6">
      <c r="A66" s="25" t="str">
        <v>Arden Fair Mall</v>
      </c>
      <c r="B66" s="26" t="str">
        <v>CA</v>
      </c>
      <c r="C66" s="21">
        <v>27816.4375</v>
      </c>
      <c r="D66" s="11">
        <v>28226.62</v>
      </c>
      <c r="E66" s="11">
        <f t="shared" si="0"/>
        <v>-410.18249999999898</v>
      </c>
      <c r="F66" s="12">
        <f t="shared" si="3"/>
        <v>-1.4531761153124214E-2</v>
      </c>
      <c r="G66" s="13">
        <v>26985</v>
      </c>
      <c r="H66" s="13">
        <f t="shared" si="1"/>
        <v>831.4375</v>
      </c>
      <c r="I66" s="14">
        <f t="shared" si="2"/>
        <v>3.0811098758569577E-2</v>
      </c>
      <c r="J66" s="38"/>
      <c r="K66" s="38"/>
      <c r="L66" s="63"/>
      <c r="M66" s="63"/>
      <c r="N66" s="63"/>
      <c r="O66" s="63"/>
    </row>
    <row r="67" spans="1:15" ht="28.9">
      <c r="A67" s="27" t="str">
        <v>Modesto - Modesto Main</v>
      </c>
      <c r="B67" s="28" t="str">
        <v>CA</v>
      </c>
      <c r="C67" s="10">
        <v>21456.4592826355</v>
      </c>
      <c r="D67" s="15">
        <v>23407.07</v>
      </c>
      <c r="E67" s="15">
        <f t="shared" si="0"/>
        <v>-1950.6107173644996</v>
      </c>
      <c r="F67" s="16">
        <f t="shared" si="3"/>
        <v>-8.3334254025151364E-2</v>
      </c>
      <c r="G67" s="17">
        <v>25072.93</v>
      </c>
      <c r="H67" s="17">
        <f t="shared" si="1"/>
        <v>-3616.4707173645002</v>
      </c>
      <c r="I67" s="16">
        <f t="shared" si="2"/>
        <v>-0.14423805743343518</v>
      </c>
      <c r="J67" s="39" t="s">
        <v>196</v>
      </c>
      <c r="K67" s="81" t="s">
        <v>197</v>
      </c>
      <c r="L67" s="63"/>
      <c r="M67" s="63"/>
      <c r="N67" s="63"/>
      <c r="O67" s="63"/>
    </row>
    <row r="68" spans="1:15" ht="15.6">
      <c r="A68" s="25" t="str">
        <v>Stevens Creek</v>
      </c>
      <c r="B68" s="26" t="str">
        <v>CA</v>
      </c>
      <c r="C68" s="21">
        <v>7316.8489559029504</v>
      </c>
      <c r="D68" s="11">
        <v>7254.674</v>
      </c>
      <c r="E68" s="11">
        <f t="shared" si="0"/>
        <v>62.174955902950387</v>
      </c>
      <c r="F68" s="12">
        <f t="shared" si="3"/>
        <v>8.57033078301663E-3</v>
      </c>
      <c r="G68" s="13">
        <v>7072</v>
      </c>
      <c r="H68" s="13">
        <f t="shared" si="1"/>
        <v>244.84895590295037</v>
      </c>
      <c r="I68" s="14">
        <f t="shared" si="2"/>
        <v>3.4622307112973753E-2</v>
      </c>
      <c r="J68" s="38"/>
      <c r="K68" s="38"/>
      <c r="L68" s="63"/>
      <c r="M68" s="63"/>
      <c r="N68" s="63"/>
      <c r="O68" s="63"/>
    </row>
    <row r="69" spans="1:15" ht="15.6">
      <c r="A69" s="27" t="str">
        <v>Covina Main</v>
      </c>
      <c r="B69" s="28" t="str">
        <v>CA</v>
      </c>
      <c r="C69" s="10">
        <v>4076.3</v>
      </c>
      <c r="D69" s="15">
        <v>3613.6219999999998</v>
      </c>
      <c r="E69" s="15">
        <f t="shared" ref="E69:E84" si="4">IF(AND(ISNUMBER(C69),ISNUMBER(D69)), C69-D69, "")</f>
        <v>462.67800000000034</v>
      </c>
      <c r="F69" s="16">
        <f t="shared" si="3"/>
        <v>0.12803718817297446</v>
      </c>
      <c r="G69" s="17">
        <v>3616</v>
      </c>
      <c r="H69" s="17">
        <f t="shared" ref="H69:H84" si="5">IF(AND(ISNUMBER(C69),ISNUMBER(G69)), C69-G69, "")</f>
        <v>460.30000000000018</v>
      </c>
      <c r="I69" s="16">
        <f t="shared" ref="I69:I84" si="6">IFERROR(H69/G69, "")</f>
        <v>0.12729535398230094</v>
      </c>
      <c r="J69" s="39"/>
      <c r="K69" s="54"/>
      <c r="L69" s="63"/>
      <c r="M69" s="63"/>
      <c r="N69" s="63"/>
      <c r="O69" s="63"/>
    </row>
    <row r="70" spans="1:15" ht="15.6">
      <c r="A70" s="25" t="str">
        <v>Old Ranch Town Center</v>
      </c>
      <c r="B70" s="26" t="str">
        <v>CA</v>
      </c>
      <c r="C70" s="21">
        <v>1461.28173828125</v>
      </c>
      <c r="D70" s="11" t="s">
        <v>121</v>
      </c>
      <c r="E70" s="11" t="str">
        <f t="shared" si="4"/>
        <v/>
      </c>
      <c r="F70" s="12" t="str">
        <f t="shared" ref="F70:F84" si="7">IFERROR(E70/D70, "")</f>
        <v/>
      </c>
      <c r="G70" s="13">
        <v>1587</v>
      </c>
      <c r="H70" s="13">
        <f t="shared" si="5"/>
        <v>-125.71826171875</v>
      </c>
      <c r="I70" s="14">
        <f t="shared" si="6"/>
        <v>-7.9217556218494009E-2</v>
      </c>
      <c r="J70" s="38"/>
      <c r="K70" s="38"/>
      <c r="L70" s="63"/>
      <c r="M70" s="63"/>
      <c r="N70" s="63"/>
      <c r="O70" s="63"/>
    </row>
    <row r="71" spans="1:15" ht="15.6">
      <c r="A71" s="27" t="str">
        <v>Mountain Gate Plaza</v>
      </c>
      <c r="B71" s="28" t="str">
        <v>CA</v>
      </c>
      <c r="C71" s="10">
        <v>10399.4</v>
      </c>
      <c r="D71" s="15" t="s">
        <v>121</v>
      </c>
      <c r="E71" s="15" t="str">
        <f t="shared" si="4"/>
        <v/>
      </c>
      <c r="F71" s="16" t="str">
        <f t="shared" si="7"/>
        <v/>
      </c>
      <c r="G71" s="17">
        <v>10810</v>
      </c>
      <c r="H71" s="17">
        <f t="shared" si="5"/>
        <v>-410.60000000000036</v>
      </c>
      <c r="I71" s="16">
        <f t="shared" si="6"/>
        <v>-3.7983348751156373E-2</v>
      </c>
      <c r="J71" s="39"/>
      <c r="K71" s="54"/>
      <c r="L71" s="63"/>
      <c r="M71" s="63"/>
      <c r="N71" s="63"/>
      <c r="O71" s="63"/>
    </row>
    <row r="72" spans="1:15" ht="15.6">
      <c r="A72" s="25" t="str">
        <v>Arcadia Main</v>
      </c>
      <c r="B72" s="26" t="str">
        <v>CA</v>
      </c>
      <c r="C72" s="21">
        <v>4669.9694726562502</v>
      </c>
      <c r="D72" s="11" t="s">
        <v>121</v>
      </c>
      <c r="E72" s="11" t="str">
        <f t="shared" si="4"/>
        <v/>
      </c>
      <c r="F72" s="12" t="str">
        <f t="shared" si="7"/>
        <v/>
      </c>
      <c r="G72" s="13">
        <v>5150</v>
      </c>
      <c r="H72" s="13">
        <f t="shared" si="5"/>
        <v>-480.03052734374978</v>
      </c>
      <c r="I72" s="14">
        <f t="shared" si="6"/>
        <v>-9.3209811134708692E-2</v>
      </c>
      <c r="J72" s="38"/>
      <c r="K72" s="38"/>
      <c r="L72" s="63"/>
      <c r="M72" s="63"/>
      <c r="N72" s="63"/>
      <c r="O72" s="63"/>
    </row>
    <row r="73" spans="1:15" ht="15.6">
      <c r="A73" s="27" t="str">
        <v>Fairfield</v>
      </c>
      <c r="B73" s="28" t="str">
        <v>CA</v>
      </c>
      <c r="C73" s="10">
        <v>5151.7616601562504</v>
      </c>
      <c r="D73" s="15">
        <v>5046.2</v>
      </c>
      <c r="E73" s="15">
        <f t="shared" si="4"/>
        <v>105.56166015625058</v>
      </c>
      <c r="F73" s="16">
        <f t="shared" si="7"/>
        <v>2.0919040100719471E-2</v>
      </c>
      <c r="G73" s="17">
        <v>4903</v>
      </c>
      <c r="H73" s="17">
        <f t="shared" si="5"/>
        <v>248.7616601562504</v>
      </c>
      <c r="I73" s="16">
        <f t="shared" si="6"/>
        <v>5.0736622507903409E-2</v>
      </c>
      <c r="J73" s="39"/>
      <c r="K73" s="54"/>
      <c r="L73" s="63"/>
      <c r="M73" s="63"/>
      <c r="N73" s="63"/>
      <c r="O73" s="63"/>
    </row>
    <row r="74" spans="1:15" ht="15.6">
      <c r="A74" s="25" t="str">
        <v>Los Gatos</v>
      </c>
      <c r="B74" s="26" t="str">
        <v>CA</v>
      </c>
      <c r="C74" s="21">
        <v>2858.0046435546901</v>
      </c>
      <c r="D74" s="11">
        <v>2849.9029999999998</v>
      </c>
      <c r="E74" s="11">
        <f t="shared" si="4"/>
        <v>8.1016435546903267</v>
      </c>
      <c r="F74" s="12">
        <f t="shared" si="7"/>
        <v>2.8427787032366814E-3</v>
      </c>
      <c r="G74" s="13">
        <v>0</v>
      </c>
      <c r="H74" s="13">
        <f t="shared" si="5"/>
        <v>2858.0046435546901</v>
      </c>
      <c r="I74" s="14" t="str">
        <f t="shared" si="6"/>
        <v/>
      </c>
      <c r="J74" s="38"/>
      <c r="K74" s="38"/>
      <c r="L74" s="63"/>
      <c r="M74" s="63"/>
      <c r="N74" s="63"/>
      <c r="O74" s="63"/>
    </row>
    <row r="75" spans="1:15" ht="15.6">
      <c r="A75" s="27" t="str">
        <v>San Marino</v>
      </c>
      <c r="B75" s="28" t="str">
        <v>CA</v>
      </c>
      <c r="C75" s="10">
        <v>3834.7</v>
      </c>
      <c r="D75" s="15">
        <v>4617.9160000000002</v>
      </c>
      <c r="E75" s="15">
        <f t="shared" si="4"/>
        <v>-783.21600000000035</v>
      </c>
      <c r="F75" s="16">
        <f t="shared" si="7"/>
        <v>-0.16960377798123663</v>
      </c>
      <c r="G75" s="17">
        <v>6185.3490000000002</v>
      </c>
      <c r="H75" s="17">
        <f t="shared" si="5"/>
        <v>-2350.6490000000003</v>
      </c>
      <c r="I75" s="16">
        <f t="shared" si="6"/>
        <v>-0.38003498266629743</v>
      </c>
      <c r="J75" s="39" t="s">
        <v>147</v>
      </c>
      <c r="K75" s="80" t="s">
        <v>198</v>
      </c>
      <c r="L75" s="63"/>
      <c r="M75" s="63"/>
      <c r="N75" s="63"/>
      <c r="O75" s="63"/>
    </row>
    <row r="76" spans="1:15" ht="15.6">
      <c r="A76" s="25" t="str">
        <v>Buenaventura</v>
      </c>
      <c r="B76" s="26" t="str">
        <v>CA</v>
      </c>
      <c r="C76" s="21">
        <v>5898.0078125</v>
      </c>
      <c r="D76" s="11">
        <v>4300.9070000000002</v>
      </c>
      <c r="E76" s="11">
        <f t="shared" si="4"/>
        <v>1597.1008124999998</v>
      </c>
      <c r="F76" s="12">
        <f t="shared" si="7"/>
        <v>0.37134046667365739</v>
      </c>
      <c r="G76" s="13">
        <v>6331.402</v>
      </c>
      <c r="H76" s="13">
        <f t="shared" si="5"/>
        <v>-433.39418750000004</v>
      </c>
      <c r="I76" s="14">
        <f t="shared" si="6"/>
        <v>-6.8451535299764582E-2</v>
      </c>
      <c r="J76" s="38"/>
      <c r="K76" s="38"/>
      <c r="L76" s="63"/>
      <c r="M76" s="63"/>
      <c r="N76" s="63"/>
      <c r="O76" s="63"/>
    </row>
    <row r="77" spans="1:15" ht="15.6">
      <c r="A77" s="27" t="str">
        <v>N Black Canyon Hwy, Phoenix - North</v>
      </c>
      <c r="B77" s="28" t="str">
        <v>AZ</v>
      </c>
      <c r="C77" s="10">
        <v>104373.5</v>
      </c>
      <c r="D77" s="15">
        <v>90016.72</v>
      </c>
      <c r="E77" s="15">
        <f t="shared" si="4"/>
        <v>14356.779999999999</v>
      </c>
      <c r="F77" s="16">
        <f t="shared" si="7"/>
        <v>0.15949014805249512</v>
      </c>
      <c r="G77" s="17">
        <v>103734</v>
      </c>
      <c r="H77" s="17">
        <f t="shared" si="5"/>
        <v>639.5</v>
      </c>
      <c r="I77" s="16">
        <f t="shared" si="6"/>
        <v>6.1648061387780282E-3</v>
      </c>
      <c r="J77" s="39"/>
      <c r="K77" s="54"/>
      <c r="L77" s="63"/>
      <c r="M77" s="63"/>
      <c r="N77" s="63"/>
      <c r="O77" s="63"/>
    </row>
    <row r="78" spans="1:15" ht="28.9">
      <c r="A78" s="25" t="str">
        <v>N Black Canyon Hwy, Phoenix - South</v>
      </c>
      <c r="B78" s="26" t="str">
        <v>AZ</v>
      </c>
      <c r="C78" s="21">
        <v>109630.875</v>
      </c>
      <c r="D78" s="11">
        <v>98742.83</v>
      </c>
      <c r="E78" s="11">
        <f t="shared" si="4"/>
        <v>10888.044999999998</v>
      </c>
      <c r="F78" s="12">
        <f t="shared" si="7"/>
        <v>0.11026668974344768</v>
      </c>
      <c r="G78" s="13">
        <v>114142</v>
      </c>
      <c r="H78" s="13">
        <f t="shared" si="5"/>
        <v>-4511.125</v>
      </c>
      <c r="I78" s="14">
        <f t="shared" si="6"/>
        <v>-3.9522042718718786E-2</v>
      </c>
      <c r="J78" s="38" t="s">
        <v>199</v>
      </c>
      <c r="K78" s="78" t="s">
        <v>200</v>
      </c>
      <c r="L78" s="63"/>
      <c r="M78" s="63"/>
      <c r="N78" s="63"/>
      <c r="O78" s="63"/>
    </row>
    <row r="79" spans="1:15" ht="15.6">
      <c r="A79" s="27" t="str">
        <v xml:space="preserve"> Building 2222, Rose Garden Ln, Phoenix</v>
      </c>
      <c r="B79" s="28" t="str">
        <v>AZ</v>
      </c>
      <c r="C79" s="10">
        <v>141166.15829145699</v>
      </c>
      <c r="D79" s="15">
        <v>135637.5</v>
      </c>
      <c r="E79" s="15">
        <f t="shared" si="4"/>
        <v>5528.6582914569881</v>
      </c>
      <c r="F79" s="16">
        <f t="shared" si="7"/>
        <v>4.0760544034334073E-2</v>
      </c>
      <c r="G79" s="17">
        <v>145680</v>
      </c>
      <c r="H79" s="17">
        <f t="shared" si="5"/>
        <v>-4513.8417085430119</v>
      </c>
      <c r="I79" s="16">
        <f t="shared" si="6"/>
        <v>-3.0984635561113482E-2</v>
      </c>
      <c r="J79" s="39"/>
      <c r="K79" s="54"/>
      <c r="L79" s="63"/>
      <c r="M79" s="63"/>
      <c r="N79" s="63"/>
      <c r="O79" s="63"/>
    </row>
    <row r="80" spans="1:15" ht="15.6">
      <c r="A80" s="25" t="str">
        <v xml:space="preserve"> Building 2202, Rose Garden Ln, Phoenix</v>
      </c>
      <c r="B80" s="26" t="str">
        <v>AZ</v>
      </c>
      <c r="C80" s="21">
        <v>141412.75</v>
      </c>
      <c r="D80" s="11">
        <v>135364.70000000001</v>
      </c>
      <c r="E80" s="11">
        <f t="shared" si="4"/>
        <v>6048.0499999999884</v>
      </c>
      <c r="F80" s="12">
        <f t="shared" si="7"/>
        <v>4.4679669071774161E-2</v>
      </c>
      <c r="G80" s="13">
        <v>115500.9</v>
      </c>
      <c r="H80" s="13">
        <f t="shared" si="5"/>
        <v>25911.850000000006</v>
      </c>
      <c r="I80" s="14">
        <f t="shared" si="6"/>
        <v>0.2243432735156177</v>
      </c>
      <c r="J80" s="38"/>
      <c r="K80" s="38"/>
      <c r="L80" s="63"/>
      <c r="M80" s="63"/>
      <c r="N80" s="63"/>
      <c r="O80" s="63"/>
    </row>
    <row r="81" spans="1:15" ht="15.6">
      <c r="A81" s="27" t="str">
        <v xml:space="preserve"> 99TH Ave &amp; BELL</v>
      </c>
      <c r="B81" s="28" t="str">
        <v>AZ</v>
      </c>
      <c r="C81" s="10">
        <v>25161.795612785601</v>
      </c>
      <c r="D81" s="15">
        <v>24369.26</v>
      </c>
      <c r="E81" s="15">
        <f t="shared" si="4"/>
        <v>792.53561278560301</v>
      </c>
      <c r="F81" s="16">
        <f t="shared" si="7"/>
        <v>3.2521940050112441E-2</v>
      </c>
      <c r="G81" s="17">
        <v>25018</v>
      </c>
      <c r="H81" s="17">
        <f t="shared" si="5"/>
        <v>143.79561278560141</v>
      </c>
      <c r="I81" s="16">
        <f t="shared" si="6"/>
        <v>5.7476861773763455E-3</v>
      </c>
      <c r="J81" s="39" t="s">
        <v>201</v>
      </c>
      <c r="K81" s="80" t="s">
        <v>202</v>
      </c>
      <c r="L81" s="63"/>
      <c r="M81" s="63"/>
      <c r="N81" s="63"/>
      <c r="O81" s="63"/>
    </row>
    <row r="82" spans="1:15" ht="15.6">
      <c r="A82" s="25" t="str">
        <v>Rincon</v>
      </c>
      <c r="B82" s="26" t="str">
        <v>AZ</v>
      </c>
      <c r="C82" s="21">
        <v>9598.3515625</v>
      </c>
      <c r="D82" s="11">
        <v>8335.4770000000008</v>
      </c>
      <c r="E82" s="11">
        <f t="shared" si="4"/>
        <v>1262.8745624999992</v>
      </c>
      <c r="F82" s="12">
        <f t="shared" si="7"/>
        <v>0.15150597410322159</v>
      </c>
      <c r="G82" s="13">
        <v>10052</v>
      </c>
      <c r="H82" s="13">
        <f t="shared" si="5"/>
        <v>-453.6484375</v>
      </c>
      <c r="I82" s="14">
        <f t="shared" si="6"/>
        <v>-4.5130166882212497E-2</v>
      </c>
      <c r="J82" s="38"/>
      <c r="K82" s="38"/>
      <c r="L82" s="63"/>
      <c r="M82" s="63"/>
      <c r="N82" s="63"/>
      <c r="O82" s="63"/>
    </row>
    <row r="83" spans="1:15" ht="57.6">
      <c r="A83" s="27" t="str">
        <v>Tucson Main Parking Garage</v>
      </c>
      <c r="B83" s="28" t="str">
        <v>AZ</v>
      </c>
      <c r="C83" s="10">
        <v>10922.015941865</v>
      </c>
      <c r="D83" s="15">
        <v>14365.77</v>
      </c>
      <c r="E83" s="15">
        <f t="shared" si="4"/>
        <v>-3443.7540581350004</v>
      </c>
      <c r="F83" s="16">
        <f t="shared" si="7"/>
        <v>-0.23971942040941768</v>
      </c>
      <c r="G83" s="17">
        <v>13062</v>
      </c>
      <c r="H83" s="17">
        <f t="shared" si="5"/>
        <v>-2139.9840581349999</v>
      </c>
      <c r="I83" s="16">
        <f t="shared" si="6"/>
        <v>-0.16383280187834939</v>
      </c>
      <c r="J83" s="39" t="s">
        <v>203</v>
      </c>
      <c r="K83" s="80" t="s">
        <v>204</v>
      </c>
      <c r="L83" s="86" t="s">
        <v>205</v>
      </c>
      <c r="M83" s="63"/>
      <c r="N83" s="63"/>
      <c r="O83" s="63"/>
    </row>
    <row r="84" spans="1:15" ht="15.6">
      <c r="A84" s="25" t="str">
        <v>BE 199502 - Westgate</v>
      </c>
      <c r="B84" s="26" t="str">
        <v>CA</v>
      </c>
      <c r="C84" s="21">
        <v>2685.8</v>
      </c>
      <c r="D84" s="11" t="s">
        <v>121</v>
      </c>
      <c r="E84" s="11" t="str">
        <f t="shared" si="4"/>
        <v/>
      </c>
      <c r="F84" s="12" t="str">
        <f t="shared" si="7"/>
        <v/>
      </c>
      <c r="G84" s="13">
        <v>2413.2420000000002</v>
      </c>
      <c r="H84" s="13">
        <f t="shared" si="5"/>
        <v>272.55799999999999</v>
      </c>
      <c r="I84" s="14">
        <f t="shared" si="6"/>
        <v>0.11294267213980197</v>
      </c>
      <c r="J84" s="38"/>
      <c r="K84" s="38"/>
      <c r="L84" s="63"/>
      <c r="M84" s="63"/>
      <c r="N84" s="63"/>
      <c r="O84" s="63"/>
    </row>
    <row r="85" spans="1:15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5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5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5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5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5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5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5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5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5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5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5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C329" s="18"/>
      <c r="D329" s="18"/>
      <c r="E329" s="18"/>
      <c r="F329" s="19"/>
      <c r="G329" s="18"/>
      <c r="H329" s="18"/>
      <c r="I329" s="19"/>
      <c r="J329" s="18"/>
      <c r="K329" s="18"/>
    </row>
  </sheetData>
  <mergeCells count="4">
    <mergeCell ref="G1:I1"/>
    <mergeCell ref="A1:C1"/>
    <mergeCell ref="D1:F1"/>
    <mergeCell ref="A2:B2"/>
  </mergeCells>
  <conditionalFormatting sqref="F2 I2">
    <cfRule type="cellIs" dxfId="18" priority="17" stopIfTrue="1" operator="lessThanOrEqual">
      <formula>-0.1</formula>
    </cfRule>
    <cfRule type="expression" dxfId="17" priority="18">
      <formula>AND(ISNUMBER(F2), F2&gt;=0.1)</formula>
    </cfRule>
  </conditionalFormatting>
  <conditionalFormatting sqref="F4:F87 I4:I87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hyperlinks>
    <hyperlink ref="K6" r:id="rId1" display="https://us3.assetplanner.com/service_request?ID=099548" xr:uid="{F45FD829-63D2-4F34-8E09-64E49CDF9F96}"/>
    <hyperlink ref="K13" r:id="rId2" display="https://us3.assetplanner.com/service_request?ID=101743" xr:uid="{06D65AEE-C0D0-4197-8DE5-AF80C89FB101}"/>
    <hyperlink ref="K19" r:id="rId3" display="https://us3.assetplanner.com/service_request?ID=077700" xr:uid="{1731D97C-3B36-4F61-9C31-53511D5EE932}"/>
    <hyperlink ref="L19" r:id="rId4" display="https://us3.assetplanner.com/service_request?ID=088667" xr:uid="{7FE8221A-F041-4A50-BE5C-57EC4199058E}"/>
    <hyperlink ref="K20" r:id="rId5" display="https://us3.assetplanner.com/service_request?ID=098782" xr:uid="{C6C004A7-8CA3-4292-A4AB-E0AD13AF01B4}"/>
    <hyperlink ref="K21" r:id="rId6" display="https://us3.assetplanner.com/service_request?ID=102015" xr:uid="{CE6651B2-30ED-4715-ADCC-F1AA7709E8BF}"/>
    <hyperlink ref="K22" r:id="rId7" display="https://us3.assetplanner.com/service_request?ID=101435" xr:uid="{03D8A728-E0FC-4D43-B3CB-BB1895D7F048}"/>
    <hyperlink ref="K23" r:id="rId8" display="https://us3.assetplanner.com/service_request?ID=100975" xr:uid="{477E110D-DF87-48ED-81AF-72BF6BB292E6}"/>
    <hyperlink ref="K29" r:id="rId9" display="https://us3.assetplanner.com/service_request?ID=101597" xr:uid="{A883A8CE-082B-4632-B7A9-0273899698C2}"/>
    <hyperlink ref="L29" r:id="rId10" display="https://us3.assetplanner.com/service_request?ID=101928" xr:uid="{326CB597-E3BC-4019-B454-276DFD89D507}"/>
    <hyperlink ref="K32" r:id="rId11" display="https://us3.assetplanner.com/service_request?ID=100951" xr:uid="{B25F8E44-7B19-412F-9EC4-F9D43F4621E1}"/>
    <hyperlink ref="K34" r:id="rId12" display="https://us3.assetplanner.com/service_request?ID=100979" xr:uid="{4A19A198-3AC3-4527-99F7-112BB32B3568}"/>
    <hyperlink ref="K38" r:id="rId13" display="https://us3.assetplanner.com/service_request?ID=100592" xr:uid="{BA18DE48-FA07-41FA-B7D0-0473FC21F365}"/>
    <hyperlink ref="K44" r:id="rId14" display="https://us3.assetplanner.com/service_request?ID=101587" xr:uid="{A80BDC07-F371-45BB-814F-D201EEA7C5AD}"/>
    <hyperlink ref="K47" r:id="rId15" display="https://us3.assetplanner.com/service_request?ID=100593" xr:uid="{2BCA94D1-A463-4EF9-B2AF-06162A486F4E}"/>
    <hyperlink ref="K56" r:id="rId16" display="https://us3.assetplanner.com/service_request?ID=099750" xr:uid="{7DEAD3CC-F4BD-4835-A275-1547842F7F1C}"/>
    <hyperlink ref="K61" r:id="rId17" display="https://us3.assetplanner.com/service_request?ID=100040" xr:uid="{ADD2E3FB-4CB7-4026-869D-F3647A026C18}"/>
    <hyperlink ref="K63" r:id="rId18" display="https://us3.assetplanner.com/service_request?ID=101240" xr:uid="{02D43996-C56E-4ECA-A4BC-0DA5B45342A2}"/>
    <hyperlink ref="L63" r:id="rId19" display="https://us3.assetplanner.com/service_request?ID=101804" xr:uid="{B18DF801-C408-4071-83BF-04B574E8684C}"/>
    <hyperlink ref="K67" r:id="rId20" display="https://us3.assetplanner.com/service_request?ID=101247" xr:uid="{173F5874-AC5D-4499-8189-00434B84DBD8}"/>
    <hyperlink ref="K75" r:id="rId21" display="https://us3.assetplanner.com/service_request?ID=100421" xr:uid="{B67684E0-9BEB-429D-9C88-3D08C8CF00CC}"/>
    <hyperlink ref="K78" r:id="rId22" display="https://us3.assetplanner.com/service_request?ID=101864" xr:uid="{CCB372AE-4FD2-4C1D-ABB6-2AE35E17E3BA}"/>
    <hyperlink ref="K81" r:id="rId23" display="https://us3.assetplanner.com/service_request?ID=101434" xr:uid="{0FA509BB-6D0E-4E1A-9B8A-0DD5751CA885}"/>
    <hyperlink ref="K83" r:id="rId24" display="https://us3.assetplanner.com/service_request?ID=99589" xr:uid="{973BD763-3159-4F52-A11E-B494D5BDE3F5}"/>
    <hyperlink ref="L83" r:id="rId25" display="https://us3.assetplanner.com/service_request?ID=101626" xr:uid="{5572F20B-D78E-4010-A419-8F19963B1375}"/>
  </hyperlinks>
  <pageMargins left="0.4" right="0.7" top="0.25" bottom="0.25" header="0.3" footer="0.3"/>
  <pageSetup fitToHeight="99" orientation="landscape" r:id="rId2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29"/>
  <sheetViews>
    <sheetView zoomScale="70" zoomScaleNormal="70" workbookViewId="0">
      <pane xSplit="2" ySplit="3" topLeftCell="C4" activePane="bottomRight" state="frozen"/>
      <selection pane="bottomRight" activeCell="O41" sqref="A41:O43"/>
      <selection pane="bottomLeft" activeCell="H74" sqref="H74"/>
      <selection pane="topRight" activeCell="H74" sqref="H74"/>
    </sheetView>
  </sheetViews>
  <sheetFormatPr defaultRowHeight="13.9"/>
  <cols>
    <col min="1" max="1" width="41.85546875" style="2" customWidth="1"/>
    <col min="2" max="2" width="8.42578125" style="6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style="63" customWidth="1"/>
    <col min="11" max="11" width="20.5703125" style="63" bestFit="1" customWidth="1"/>
    <col min="13" max="13" width="9.85546875" bestFit="1" customWidth="1"/>
  </cols>
  <sheetData>
    <row r="1" spans="1:11" ht="19.5" customHeight="1">
      <c r="A1" s="210" t="str" cm="1">
        <f t="array" ref="A1">portfolio</f>
        <v>Wells Fargo</v>
      </c>
      <c r="B1" s="210"/>
      <c r="C1" s="210"/>
      <c r="D1" s="211" t="s">
        <v>206</v>
      </c>
      <c r="E1" s="211"/>
      <c r="F1" s="211"/>
      <c r="G1" s="209" t="s">
        <v>207</v>
      </c>
      <c r="H1" s="209"/>
      <c r="I1" s="209"/>
      <c r="J1" s="3"/>
      <c r="K1" s="3"/>
    </row>
    <row r="2" spans="1:11" ht="19.5" customHeight="1">
      <c r="A2" s="220" t="s">
        <v>2</v>
      </c>
      <c r="B2" s="220"/>
      <c r="C2" s="4">
        <f>SUM(C4:C87)</f>
        <v>2291773.8687001392</v>
      </c>
      <c r="D2" s="4">
        <f>SUM(D4:D87)</f>
        <v>2076000.3637730004</v>
      </c>
      <c r="E2" s="4">
        <f>C2-D2</f>
        <v>215773.5049271388</v>
      </c>
      <c r="F2" s="5">
        <f>IFERROR(E2/D2, 0)</f>
        <v>0.10393712288902686</v>
      </c>
      <c r="G2" s="4">
        <f>SUM(G4:G87)</f>
        <v>2367834.2478</v>
      </c>
      <c r="H2" s="6">
        <f>C2-G2</f>
        <v>-76060.379099860787</v>
      </c>
      <c r="I2" s="5">
        <f>IFERROR(H2/G2, 0)</f>
        <v>-3.2122340983339492E-2</v>
      </c>
      <c r="J2" s="23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30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39</v>
      </c>
      <c r="K3" s="22" t="s">
        <v>40</v>
      </c>
    </row>
    <row r="4" spans="1:11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1280.8</v>
      </c>
      <c r="D4" s="11" t="s">
        <v>208</v>
      </c>
      <c r="E4" s="11" t="str">
        <f>IF(AND(ISNUMBER(C4),ISNUMBER(D4)), C4-D4, "")</f>
        <v/>
      </c>
      <c r="F4" s="12" t="str">
        <f>IFERROR(E4/D4, "")</f>
        <v/>
      </c>
      <c r="G4" s="13">
        <v>1338</v>
      </c>
      <c r="H4" s="13">
        <f>IF(AND(ISNUMBER(C4),ISNUMBER(G4)), C4-G4, "")</f>
        <v>-57.200000000000045</v>
      </c>
      <c r="I4" s="14">
        <f>IFERROR(H4/G4, "")</f>
        <v>-4.2750373692077764E-2</v>
      </c>
      <c r="J4" s="60"/>
      <c r="K4" s="60"/>
    </row>
    <row r="5" spans="1:11" ht="15.6">
      <c r="A5" s="27" t="str">
        <v>Otay Mesa</v>
      </c>
      <c r="B5" s="28" t="str">
        <v>CA</v>
      </c>
      <c r="C5" s="10">
        <v>38.201000000000001</v>
      </c>
      <c r="D5" s="15" t="s">
        <v>208</v>
      </c>
      <c r="E5" s="15" t="str">
        <f t="shared" ref="E5:E68" si="0">IF(AND(ISNUMBER(C5),ISNUMBER(D5)), C5-D5, "")</f>
        <v/>
      </c>
      <c r="F5" s="16" t="str">
        <f>IFERROR(E5/D5, "")</f>
        <v/>
      </c>
      <c r="G5" s="90" t="s">
        <v>208</v>
      </c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56" t="s">
        <v>42</v>
      </c>
      <c r="K5" s="49"/>
    </row>
    <row r="6" spans="1:11" ht="15.6">
      <c r="A6" s="25" t="str">
        <v>San Leandro</v>
      </c>
      <c r="B6" s="26" t="str">
        <v>CA</v>
      </c>
      <c r="C6" s="21">
        <v>0</v>
      </c>
      <c r="D6" s="11" t="s">
        <v>208</v>
      </c>
      <c r="E6" s="11" t="str">
        <f t="shared" si="0"/>
        <v/>
      </c>
      <c r="F6" s="12" t="str">
        <f t="shared" ref="F6:F69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0" t="s">
        <v>209</v>
      </c>
      <c r="K6" s="87" t="s">
        <v>210</v>
      </c>
    </row>
    <row r="7" spans="1:11" ht="28.9">
      <c r="A7" s="27" t="str">
        <v>Van Nuys</v>
      </c>
      <c r="B7" s="28" t="str">
        <v>CA</v>
      </c>
      <c r="C7" s="10">
        <v>2144.8999999999901</v>
      </c>
      <c r="D7" s="15" t="s">
        <v>208</v>
      </c>
      <c r="E7" s="15" t="str">
        <f t="shared" si="0"/>
        <v/>
      </c>
      <c r="F7" s="16" t="str">
        <f t="shared" si="3"/>
        <v/>
      </c>
      <c r="G7" s="17">
        <v>2731.422</v>
      </c>
      <c r="H7" s="17">
        <f t="shared" si="1"/>
        <v>-586.52200000000994</v>
      </c>
      <c r="I7" s="16">
        <f t="shared" si="2"/>
        <v>-0.21473137435372855</v>
      </c>
      <c r="J7" s="49" t="s">
        <v>94</v>
      </c>
      <c r="K7" s="49"/>
    </row>
    <row r="8" spans="1:11" ht="43.15">
      <c r="A8" s="25" t="str">
        <v>98th &amp; Grant</v>
      </c>
      <c r="B8" s="26" t="str">
        <v>CO</v>
      </c>
      <c r="C8" s="21">
        <v>1894.9</v>
      </c>
      <c r="D8" s="11" t="s">
        <v>208</v>
      </c>
      <c r="E8" s="11" t="str">
        <f t="shared" si="0"/>
        <v/>
      </c>
      <c r="F8" s="12" t="str">
        <f t="shared" si="3"/>
        <v/>
      </c>
      <c r="G8" s="13">
        <v>2315</v>
      </c>
      <c r="H8" s="13">
        <f t="shared" si="1"/>
        <v>-420.09999999999991</v>
      </c>
      <c r="I8" s="14">
        <f t="shared" si="2"/>
        <v>-0.18146868250539952</v>
      </c>
      <c r="J8" s="60" t="s">
        <v>95</v>
      </c>
      <c r="K8" s="60"/>
    </row>
    <row r="9" spans="1:11" ht="28.9">
      <c r="A9" s="27" t="str">
        <v>Arapahoe Crossings</v>
      </c>
      <c r="B9" s="28" t="str">
        <v>CO</v>
      </c>
      <c r="C9" s="10">
        <v>3183.6996602787799</v>
      </c>
      <c r="D9" s="15" t="s">
        <v>208</v>
      </c>
      <c r="E9" s="15" t="str">
        <f t="shared" si="0"/>
        <v/>
      </c>
      <c r="F9" s="16" t="str">
        <f t="shared" si="3"/>
        <v/>
      </c>
      <c r="G9" s="17">
        <v>4280.9570000000003</v>
      </c>
      <c r="H9" s="17">
        <f t="shared" si="1"/>
        <v>-1097.2573397212204</v>
      </c>
      <c r="I9" s="16">
        <f t="shared" si="2"/>
        <v>-0.25631122660685923</v>
      </c>
      <c r="J9" s="49" t="s">
        <v>211</v>
      </c>
      <c r="K9" s="49" t="s">
        <v>159</v>
      </c>
    </row>
    <row r="10" spans="1:11" ht="15.6">
      <c r="A10" s="25" t="str">
        <v>Aurora City Center</v>
      </c>
      <c r="B10" s="26" t="str">
        <v>CO</v>
      </c>
      <c r="C10" s="21">
        <v>2153.5</v>
      </c>
      <c r="D10" s="11" t="s">
        <v>208</v>
      </c>
      <c r="E10" s="11" t="str">
        <f t="shared" si="0"/>
        <v/>
      </c>
      <c r="F10" s="12" t="str">
        <f t="shared" si="3"/>
        <v/>
      </c>
      <c r="G10" s="13">
        <v>1950</v>
      </c>
      <c r="H10" s="13">
        <f t="shared" si="1"/>
        <v>203.5</v>
      </c>
      <c r="I10" s="14">
        <f t="shared" si="2"/>
        <v>0.10435897435897436</v>
      </c>
      <c r="J10" s="60"/>
      <c r="K10" s="60"/>
    </row>
    <row r="11" spans="1:11" ht="15.6">
      <c r="A11" s="27" t="str">
        <v>Dry Creek</v>
      </c>
      <c r="B11" s="28" t="str">
        <v>CO</v>
      </c>
      <c r="C11" s="10">
        <v>2659.2</v>
      </c>
      <c r="D11" s="15" t="s">
        <v>208</v>
      </c>
      <c r="E11" s="15" t="str">
        <f t="shared" si="0"/>
        <v/>
      </c>
      <c r="F11" s="16" t="str">
        <f t="shared" si="3"/>
        <v/>
      </c>
      <c r="G11" s="17">
        <v>2528</v>
      </c>
      <c r="H11" s="17">
        <f t="shared" si="1"/>
        <v>131.19999999999982</v>
      </c>
      <c r="I11" s="16">
        <f t="shared" si="2"/>
        <v>5.189873417721512E-2</v>
      </c>
      <c r="J11" s="49"/>
      <c r="K11" s="49"/>
    </row>
    <row r="12" spans="1:11" ht="15.6">
      <c r="A12" s="25" t="str">
        <v>Highlands Ranch S.</v>
      </c>
      <c r="B12" s="26" t="str">
        <v>CO</v>
      </c>
      <c r="C12" s="21">
        <v>2194.0999999999899</v>
      </c>
      <c r="D12" s="11" t="s">
        <v>208</v>
      </c>
      <c r="E12" s="11" t="str">
        <f t="shared" si="0"/>
        <v/>
      </c>
      <c r="F12" s="12" t="str">
        <f t="shared" si="3"/>
        <v/>
      </c>
      <c r="G12" s="13">
        <v>2420</v>
      </c>
      <c r="H12" s="13">
        <f t="shared" si="1"/>
        <v>-225.9000000000101</v>
      </c>
      <c r="I12" s="14">
        <f t="shared" si="2"/>
        <v>-9.3347107438020702E-2</v>
      </c>
      <c r="J12" s="60"/>
      <c r="K12" s="60"/>
    </row>
    <row r="13" spans="1:11" ht="15.6">
      <c r="A13" s="27" t="str">
        <v>Lone Tree</v>
      </c>
      <c r="B13" s="28" t="str">
        <v>CO</v>
      </c>
      <c r="C13" s="10">
        <v>3084.8999999999901</v>
      </c>
      <c r="D13" s="15" t="s">
        <v>208</v>
      </c>
      <c r="E13" s="15" t="str">
        <f t="shared" si="0"/>
        <v/>
      </c>
      <c r="F13" s="16" t="str">
        <f t="shared" si="3"/>
        <v/>
      </c>
      <c r="G13" s="17">
        <v>5490</v>
      </c>
      <c r="H13" s="17">
        <f t="shared" si="1"/>
        <v>-2405.1000000000099</v>
      </c>
      <c r="I13" s="16">
        <f t="shared" si="2"/>
        <v>-0.43808743169399089</v>
      </c>
      <c r="J13" s="49" t="s">
        <v>212</v>
      </c>
      <c r="K13" s="81" t="s">
        <v>213</v>
      </c>
    </row>
    <row r="14" spans="1:11" ht="15.6">
      <c r="A14" s="25" t="str">
        <v>Meridian</v>
      </c>
      <c r="B14" s="26" t="str">
        <v>CO</v>
      </c>
      <c r="C14" s="21">
        <v>3588.3000000000202</v>
      </c>
      <c r="D14" s="11" t="s">
        <v>208</v>
      </c>
      <c r="E14" s="11" t="str">
        <f t="shared" si="0"/>
        <v/>
      </c>
      <c r="F14" s="12" t="str">
        <f t="shared" si="3"/>
        <v/>
      </c>
      <c r="G14" s="13">
        <v>3132</v>
      </c>
      <c r="H14" s="13">
        <f t="shared" si="1"/>
        <v>456.30000000002019</v>
      </c>
      <c r="I14" s="14">
        <f t="shared" si="2"/>
        <v>0.14568965517242025</v>
      </c>
      <c r="J14" s="60"/>
      <c r="K14" s="60"/>
    </row>
    <row r="15" spans="1:11" ht="15.6">
      <c r="A15" s="27" t="str">
        <v>Southglenn</v>
      </c>
      <c r="B15" s="28" t="str">
        <v>CO</v>
      </c>
      <c r="C15" s="10">
        <v>3486.4</v>
      </c>
      <c r="D15" s="15" t="s">
        <v>208</v>
      </c>
      <c r="E15" s="15" t="str">
        <f t="shared" si="0"/>
        <v/>
      </c>
      <c r="F15" s="16" t="str">
        <f t="shared" si="3"/>
        <v/>
      </c>
      <c r="G15" s="17">
        <v>3248</v>
      </c>
      <c r="H15" s="17">
        <f t="shared" si="1"/>
        <v>238.40000000000009</v>
      </c>
      <c r="I15" s="16">
        <f t="shared" si="2"/>
        <v>7.3399014778325153E-2</v>
      </c>
      <c r="J15" s="49"/>
      <c r="K15" s="49"/>
    </row>
    <row r="16" spans="1:11" ht="28.9">
      <c r="A16" s="25" t="str">
        <v>Standley Lake</v>
      </c>
      <c r="B16" s="26" t="str">
        <v>CO</v>
      </c>
      <c r="C16" s="21">
        <v>3540.3999999999901</v>
      </c>
      <c r="D16" s="11" t="s">
        <v>208</v>
      </c>
      <c r="E16" s="11" t="str">
        <f t="shared" si="0"/>
        <v/>
      </c>
      <c r="F16" s="12" t="str">
        <f t="shared" si="3"/>
        <v/>
      </c>
      <c r="G16" s="13">
        <v>4331</v>
      </c>
      <c r="H16" s="13">
        <f t="shared" si="1"/>
        <v>-790.60000000000991</v>
      </c>
      <c r="I16" s="14">
        <f t="shared" si="2"/>
        <v>-0.18254444700993072</v>
      </c>
      <c r="J16" s="60" t="s">
        <v>214</v>
      </c>
      <c r="K16" s="60" t="s">
        <v>215</v>
      </c>
    </row>
    <row r="17" spans="1:13" ht="81.75" customHeight="1">
      <c r="A17" s="27" t="str">
        <v>Havana Gardens</v>
      </c>
      <c r="B17" s="28" t="str">
        <v>CO</v>
      </c>
      <c r="C17" s="10">
        <v>4152.8</v>
      </c>
      <c r="D17" s="15" t="s">
        <v>208</v>
      </c>
      <c r="E17" s="15" t="str">
        <f t="shared" si="0"/>
        <v/>
      </c>
      <c r="F17" s="16" t="str">
        <f t="shared" si="3"/>
        <v/>
      </c>
      <c r="G17" s="17">
        <v>1684</v>
      </c>
      <c r="H17" s="17">
        <f t="shared" si="1"/>
        <v>2468.8000000000002</v>
      </c>
      <c r="I17" s="16">
        <f t="shared" si="2"/>
        <v>1.4660332541567698</v>
      </c>
      <c r="J17" s="49" t="s">
        <v>216</v>
      </c>
      <c r="K17" s="49"/>
    </row>
    <row r="18" spans="1:13" ht="37.5" customHeight="1">
      <c r="A18" s="25" t="str">
        <v>East Hartford</v>
      </c>
      <c r="B18" s="26" t="str">
        <v>CT</v>
      </c>
      <c r="C18" s="21">
        <v>796.79999999999905</v>
      </c>
      <c r="D18" s="11">
        <v>1756.46</v>
      </c>
      <c r="E18" s="11">
        <f t="shared" si="0"/>
        <v>-959.66000000000099</v>
      </c>
      <c r="F18" s="12">
        <f t="shared" si="3"/>
        <v>-0.54636029286177934</v>
      </c>
      <c r="G18" s="13">
        <v>891.92380000000003</v>
      </c>
      <c r="H18" s="13">
        <f t="shared" si="1"/>
        <v>-95.123800000000983</v>
      </c>
      <c r="I18" s="14">
        <f t="shared" si="2"/>
        <v>-0.10665014208612998</v>
      </c>
      <c r="J18" s="60" t="s">
        <v>217</v>
      </c>
      <c r="K18" s="60"/>
    </row>
    <row r="19" spans="1:13" ht="72">
      <c r="A19" s="27" t="str">
        <v>Norwalk</v>
      </c>
      <c r="B19" s="28" t="str">
        <v>CT</v>
      </c>
      <c r="C19" s="10">
        <v>950.54375553595298</v>
      </c>
      <c r="D19" s="15">
        <v>9.7759730000000005</v>
      </c>
      <c r="E19" s="15">
        <f t="shared" si="0"/>
        <v>940.76778253595296</v>
      </c>
      <c r="F19" s="16">
        <f t="shared" si="3"/>
        <v>96.232649428957401</v>
      </c>
      <c r="G19" s="17">
        <v>1042.865</v>
      </c>
      <c r="H19" s="17">
        <f t="shared" si="1"/>
        <v>-92.321244464047027</v>
      </c>
      <c r="I19" s="16">
        <f t="shared" si="2"/>
        <v>-8.8526553738064881E-2</v>
      </c>
      <c r="J19" s="49" t="s">
        <v>218</v>
      </c>
      <c r="K19" s="81" t="s">
        <v>219</v>
      </c>
      <c r="L19" s="79" t="s">
        <v>220</v>
      </c>
      <c r="M19" s="79" t="s">
        <v>48</v>
      </c>
    </row>
    <row r="20" spans="1:13" ht="28.9">
      <c r="A20" s="25" t="str">
        <v>Hialeah Gardens</v>
      </c>
      <c r="B20" s="26" t="str">
        <v>FL</v>
      </c>
      <c r="C20" s="21">
        <v>756.101582169533</v>
      </c>
      <c r="D20" s="11">
        <v>3998.64</v>
      </c>
      <c r="E20" s="11">
        <f t="shared" si="0"/>
        <v>-3242.5384178304666</v>
      </c>
      <c r="F20" s="12">
        <f t="shared" si="3"/>
        <v>-0.81091031396436453</v>
      </c>
      <c r="G20" s="13">
        <v>5101</v>
      </c>
      <c r="H20" s="13">
        <f t="shared" si="1"/>
        <v>-4344.8984178304672</v>
      </c>
      <c r="I20" s="14">
        <f t="shared" si="2"/>
        <v>-0.85177385176053078</v>
      </c>
      <c r="J20" s="60" t="s">
        <v>168</v>
      </c>
      <c r="K20" s="87" t="s">
        <v>100</v>
      </c>
    </row>
    <row r="21" spans="1:13" ht="15.6">
      <c r="A21" s="27" t="str">
        <v>W. Des Moines Campus EAST</v>
      </c>
      <c r="B21" s="28" t="str">
        <v>IA</v>
      </c>
      <c r="C21" s="10">
        <v>187573</v>
      </c>
      <c r="D21" s="15">
        <v>177055.7</v>
      </c>
      <c r="E21" s="15">
        <f t="shared" si="0"/>
        <v>10517.299999999988</v>
      </c>
      <c r="F21" s="16">
        <f t="shared" si="3"/>
        <v>5.9401081128706887E-2</v>
      </c>
      <c r="G21" s="17">
        <v>203700</v>
      </c>
      <c r="H21" s="17">
        <f t="shared" si="1"/>
        <v>-16127</v>
      </c>
      <c r="I21" s="16">
        <f t="shared" si="2"/>
        <v>-7.917034855179185E-2</v>
      </c>
      <c r="J21" s="49"/>
      <c r="K21" s="49"/>
    </row>
    <row r="22" spans="1:13" ht="15.6">
      <c r="A22" s="25" t="str">
        <v>W. Des Moines Campus SW</v>
      </c>
      <c r="B22" s="26" t="str">
        <v>IA</v>
      </c>
      <c r="C22" s="21">
        <v>93644</v>
      </c>
      <c r="D22" s="11">
        <v>85696.14</v>
      </c>
      <c r="E22" s="11">
        <f t="shared" si="0"/>
        <v>7947.8600000000006</v>
      </c>
      <c r="F22" s="12">
        <f t="shared" si="3"/>
        <v>9.274466737941757E-2</v>
      </c>
      <c r="G22" s="13">
        <v>100117.4</v>
      </c>
      <c r="H22" s="13">
        <f t="shared" si="1"/>
        <v>-6473.3999999999942</v>
      </c>
      <c r="I22" s="14">
        <f t="shared" si="2"/>
        <v>-6.4658091400695533E-2</v>
      </c>
      <c r="J22" s="60"/>
      <c r="K22" s="60"/>
    </row>
    <row r="23" spans="1:13" ht="15.6">
      <c r="A23" s="27" t="str">
        <v>WF - CIC</v>
      </c>
      <c r="B23" s="28" t="str">
        <v>NC</v>
      </c>
      <c r="C23" s="10">
        <v>203688</v>
      </c>
      <c r="D23" s="15">
        <v>201034.019</v>
      </c>
      <c r="E23" s="15">
        <f t="shared" si="0"/>
        <v>2653.9809999999998</v>
      </c>
      <c r="F23" s="16">
        <f t="shared" si="3"/>
        <v>1.3201651209092127E-2</v>
      </c>
      <c r="G23" s="17">
        <v>209637</v>
      </c>
      <c r="H23" s="17">
        <f t="shared" si="1"/>
        <v>-5949</v>
      </c>
      <c r="I23" s="16">
        <f t="shared" si="2"/>
        <v>-2.8377624178937879E-2</v>
      </c>
      <c r="J23" s="49"/>
      <c r="K23" s="49"/>
    </row>
    <row r="24" spans="1:13" ht="15.6">
      <c r="A24" s="25" t="str">
        <v>Charlotte - Wells Fargo - DUC</v>
      </c>
      <c r="B24" s="26" t="str">
        <v>NC</v>
      </c>
      <c r="C24" s="21">
        <v>204598.5</v>
      </c>
      <c r="D24" s="11">
        <v>221905.033</v>
      </c>
      <c r="E24" s="11">
        <f t="shared" si="0"/>
        <v>-17306.532999999996</v>
      </c>
      <c r="F24" s="12">
        <f t="shared" si="3"/>
        <v>-7.7990718669278661E-2</v>
      </c>
      <c r="G24" s="13">
        <v>183212</v>
      </c>
      <c r="H24" s="13">
        <f t="shared" si="1"/>
        <v>21386.5</v>
      </c>
      <c r="I24" s="14">
        <f t="shared" si="2"/>
        <v>0.11673089098967317</v>
      </c>
      <c r="J24" s="60"/>
      <c r="K24" s="60"/>
    </row>
    <row r="25" spans="1:13" ht="15.6">
      <c r="A25" s="27" t="str">
        <v>East Windsor</v>
      </c>
      <c r="B25" s="28" t="str">
        <v>NJ</v>
      </c>
      <c r="C25" s="10">
        <v>1055.1000000000099</v>
      </c>
      <c r="D25" s="15">
        <v>852.4384</v>
      </c>
      <c r="E25" s="15">
        <f t="shared" si="0"/>
        <v>202.66160000000991</v>
      </c>
      <c r="F25" s="16">
        <f t="shared" si="3"/>
        <v>0.23774339588644752</v>
      </c>
      <c r="G25" s="17">
        <v>1071.1400000000001</v>
      </c>
      <c r="H25" s="17">
        <f t="shared" si="1"/>
        <v>-16.039999999990187</v>
      </c>
      <c r="I25" s="16">
        <f t="shared" si="2"/>
        <v>-1.4974699852484442E-2</v>
      </c>
      <c r="J25" s="49"/>
      <c r="K25" s="49"/>
    </row>
    <row r="26" spans="1:13" ht="15.6">
      <c r="A26" s="25" t="str">
        <v>Burlington</v>
      </c>
      <c r="B26" s="26" t="str">
        <v>NJ</v>
      </c>
      <c r="C26" s="21">
        <v>2641.0999999999899</v>
      </c>
      <c r="D26" s="11">
        <v>2574.5450000000001</v>
      </c>
      <c r="E26" s="11">
        <f t="shared" si="0"/>
        <v>66.554999999989832</v>
      </c>
      <c r="F26" s="12">
        <f t="shared" si="3"/>
        <v>2.5851169818352303E-2</v>
      </c>
      <c r="G26" s="13">
        <v>2790.4969999999998</v>
      </c>
      <c r="H26" s="13">
        <f t="shared" si="1"/>
        <v>-149.39700000000994</v>
      </c>
      <c r="I26" s="14">
        <f t="shared" si="2"/>
        <v>-5.3537774812160682E-2</v>
      </c>
      <c r="J26" s="60"/>
      <c r="K26" s="60"/>
    </row>
    <row r="27" spans="1:13" ht="72">
      <c r="A27" s="27" t="str">
        <v>Bayonne</v>
      </c>
      <c r="B27" s="28" t="str">
        <v>NJ</v>
      </c>
      <c r="C27" s="10">
        <v>3371.2999999999702</v>
      </c>
      <c r="D27" s="15">
        <v>3112.8690000000001</v>
      </c>
      <c r="E27" s="15">
        <f t="shared" si="0"/>
        <v>258.43099999997003</v>
      </c>
      <c r="F27" s="16">
        <f t="shared" si="3"/>
        <v>8.3020197766102588E-2</v>
      </c>
      <c r="G27" s="17">
        <v>3828.1819999999998</v>
      </c>
      <c r="H27" s="17">
        <f t="shared" si="1"/>
        <v>-456.88200000002962</v>
      </c>
      <c r="I27" s="16">
        <f t="shared" si="2"/>
        <v>-0.11934699029461757</v>
      </c>
      <c r="J27" s="49" t="s">
        <v>221</v>
      </c>
      <c r="K27" s="49"/>
    </row>
    <row r="28" spans="1:13" ht="72">
      <c r="A28" s="25" t="str">
        <v>Clifton</v>
      </c>
      <c r="B28" s="26" t="str">
        <v>NJ</v>
      </c>
      <c r="C28" s="21">
        <v>4028.078125</v>
      </c>
      <c r="D28" s="11">
        <v>4071.8380000000002</v>
      </c>
      <c r="E28" s="11">
        <f t="shared" si="0"/>
        <v>-43.759875000000193</v>
      </c>
      <c r="F28" s="12">
        <f t="shared" si="3"/>
        <v>-1.0746958744429467E-2</v>
      </c>
      <c r="G28" s="13">
        <v>4873.0559999999996</v>
      </c>
      <c r="H28" s="13">
        <f t="shared" si="1"/>
        <v>-844.97787499999959</v>
      </c>
      <c r="I28" s="14">
        <f t="shared" si="2"/>
        <v>-0.17339794063519887</v>
      </c>
      <c r="J28" s="60" t="s">
        <v>221</v>
      </c>
      <c r="K28" s="60"/>
    </row>
    <row r="29" spans="1:13" ht="15.6">
      <c r="A29" s="27" t="str">
        <v>North Elizabeth</v>
      </c>
      <c r="B29" s="28" t="str">
        <v>NJ</v>
      </c>
      <c r="C29" s="10">
        <v>3565.1000000000099</v>
      </c>
      <c r="D29" s="15">
        <v>3117.136</v>
      </c>
      <c r="E29" s="15">
        <f t="shared" si="0"/>
        <v>447.96400000000995</v>
      </c>
      <c r="F29" s="16">
        <f t="shared" si="3"/>
        <v>0.14371012365197089</v>
      </c>
      <c r="G29" s="17">
        <v>3588.8119999999999</v>
      </c>
      <c r="H29" s="17">
        <f t="shared" si="1"/>
        <v>-23.711999999989985</v>
      </c>
      <c r="I29" s="16">
        <f t="shared" si="2"/>
        <v>-6.607200377169377E-3</v>
      </c>
      <c r="J29" s="49"/>
      <c r="K29" s="49"/>
    </row>
    <row r="30" spans="1:13" ht="15.6">
      <c r="A30" s="25" t="str">
        <v>Haddon Westmont Plaza</v>
      </c>
      <c r="B30" s="26" t="str">
        <v>NJ</v>
      </c>
      <c r="C30" s="21">
        <v>2647.2</v>
      </c>
      <c r="D30" s="11">
        <v>2589.8389999999999</v>
      </c>
      <c r="E30" s="11">
        <f t="shared" si="0"/>
        <v>57.360999999999876</v>
      </c>
      <c r="F30" s="12">
        <f t="shared" si="3"/>
        <v>2.214848104457454E-2</v>
      </c>
      <c r="G30" s="13">
        <v>2641.212</v>
      </c>
      <c r="H30" s="13">
        <f t="shared" si="1"/>
        <v>5.987999999999829</v>
      </c>
      <c r="I30" s="14">
        <f t="shared" si="2"/>
        <v>2.2671409943616147E-3</v>
      </c>
      <c r="J30" s="60"/>
      <c r="K30" s="60"/>
    </row>
    <row r="31" spans="1:13" ht="15.6">
      <c r="A31" s="27" t="str">
        <v>Parsippany</v>
      </c>
      <c r="B31" s="28" t="str">
        <v>NJ</v>
      </c>
      <c r="C31" s="10">
        <v>2995.3</v>
      </c>
      <c r="D31" s="15">
        <v>2732.4180000000001</v>
      </c>
      <c r="E31" s="15">
        <f t="shared" si="0"/>
        <v>262.88200000000006</v>
      </c>
      <c r="F31" s="16">
        <f t="shared" si="3"/>
        <v>9.6208559598128851E-2</v>
      </c>
      <c r="G31" s="17">
        <v>2915.116</v>
      </c>
      <c r="H31" s="17">
        <f t="shared" si="1"/>
        <v>80.184000000000196</v>
      </c>
      <c r="I31" s="16">
        <f t="shared" si="2"/>
        <v>2.7506281053652822E-2</v>
      </c>
      <c r="J31" s="49"/>
      <c r="K31" s="49"/>
    </row>
    <row r="32" spans="1:13" ht="28.9">
      <c r="A32" s="25" t="str">
        <v>Clark</v>
      </c>
      <c r="B32" s="26" t="str">
        <v>NJ</v>
      </c>
      <c r="C32" s="21">
        <v>1915.8999999999901</v>
      </c>
      <c r="D32" s="11">
        <v>2401.6559999999999</v>
      </c>
      <c r="E32" s="11">
        <f t="shared" si="0"/>
        <v>-485.75600000000986</v>
      </c>
      <c r="F32" s="12">
        <f t="shared" si="3"/>
        <v>-0.2022587747787401</v>
      </c>
      <c r="G32" s="13">
        <v>2493.0819999999999</v>
      </c>
      <c r="H32" s="13">
        <f t="shared" si="1"/>
        <v>-577.18200000000979</v>
      </c>
      <c r="I32" s="14">
        <f t="shared" si="2"/>
        <v>-0.23151344400224694</v>
      </c>
      <c r="J32" s="60" t="s">
        <v>222</v>
      </c>
      <c r="K32" s="87" t="s">
        <v>223</v>
      </c>
    </row>
    <row r="33" spans="1:11" ht="15.6">
      <c r="A33" s="27" t="str">
        <v>Closter</v>
      </c>
      <c r="B33" s="28" t="str">
        <v>NJ</v>
      </c>
      <c r="C33" s="10">
        <v>1394.9</v>
      </c>
      <c r="D33" s="15">
        <v>1110.3399999999999</v>
      </c>
      <c r="E33" s="15">
        <f t="shared" si="0"/>
        <v>284.56000000000017</v>
      </c>
      <c r="F33" s="16">
        <f t="shared" si="3"/>
        <v>0.25628185961056993</v>
      </c>
      <c r="G33" s="17">
        <v>1543.394</v>
      </c>
      <c r="H33" s="17">
        <f t="shared" si="1"/>
        <v>-148.49399999999991</v>
      </c>
      <c r="I33" s="16">
        <f t="shared" si="2"/>
        <v>-9.6212632678369825E-2</v>
      </c>
      <c r="J33" s="49"/>
      <c r="K33" s="49"/>
    </row>
    <row r="34" spans="1:11" ht="28.9">
      <c r="A34" s="25" t="str">
        <v>Holmdel</v>
      </c>
      <c r="B34" s="26" t="str">
        <v>NJ</v>
      </c>
      <c r="C34" s="21">
        <v>2200.2999999999902</v>
      </c>
      <c r="D34" s="11">
        <v>5955.0349999999999</v>
      </c>
      <c r="E34" s="11">
        <f t="shared" si="0"/>
        <v>-3754.7350000000097</v>
      </c>
      <c r="F34" s="12">
        <f t="shared" si="3"/>
        <v>-0.63051434626328973</v>
      </c>
      <c r="G34" s="13">
        <v>2177.511</v>
      </c>
      <c r="H34" s="13">
        <f t="shared" si="1"/>
        <v>22.78899999999021</v>
      </c>
      <c r="I34" s="14">
        <f t="shared" si="2"/>
        <v>1.0465618772989073E-2</v>
      </c>
      <c r="J34" s="60" t="s">
        <v>224</v>
      </c>
      <c r="K34" s="87" t="s">
        <v>134</v>
      </c>
    </row>
    <row r="35" spans="1:11" ht="28.9">
      <c r="A35" s="27" t="str">
        <v>Ellisburg Circle Center</v>
      </c>
      <c r="B35" s="28" t="str">
        <v>NJ</v>
      </c>
      <c r="C35" s="10">
        <v>1081.0999999999999</v>
      </c>
      <c r="D35" s="15">
        <v>1162.23</v>
      </c>
      <c r="E35" s="15">
        <f t="shared" si="0"/>
        <v>-81.130000000000109</v>
      </c>
      <c r="F35" s="16">
        <f t="shared" si="3"/>
        <v>-6.9805460192905108E-2</v>
      </c>
      <c r="G35" s="17">
        <v>1214.6780000000001</v>
      </c>
      <c r="H35" s="17">
        <f t="shared" si="1"/>
        <v>-133.5780000000002</v>
      </c>
      <c r="I35" s="16">
        <f t="shared" si="2"/>
        <v>-0.10996988502302683</v>
      </c>
      <c r="J35" s="56" t="s">
        <v>225</v>
      </c>
      <c r="K35" s="81" t="s">
        <v>226</v>
      </c>
    </row>
    <row r="36" spans="1:11" ht="15.6">
      <c r="A36" s="25" t="str">
        <v>Nutley</v>
      </c>
      <c r="B36" s="26" t="str">
        <v>NJ</v>
      </c>
      <c r="C36" s="21">
        <v>4384.49999999999</v>
      </c>
      <c r="D36" s="11">
        <v>3448.636</v>
      </c>
      <c r="E36" s="11">
        <f t="shared" si="0"/>
        <v>935.86399999999003</v>
      </c>
      <c r="F36" s="12">
        <f t="shared" si="3"/>
        <v>0.27137221788556115</v>
      </c>
      <c r="G36" s="13">
        <v>4329.38</v>
      </c>
      <c r="H36" s="13">
        <f t="shared" si="1"/>
        <v>55.119999999989886</v>
      </c>
      <c r="I36" s="14">
        <f t="shared" si="2"/>
        <v>1.2731615150434909E-2</v>
      </c>
      <c r="J36" s="60"/>
      <c r="K36" s="60"/>
    </row>
    <row r="37" spans="1:11" ht="15.6">
      <c r="A37" s="27" t="str">
        <v>Marlton</v>
      </c>
      <c r="B37" s="28" t="str">
        <v>NJ</v>
      </c>
      <c r="C37" s="10">
        <v>4145.5</v>
      </c>
      <c r="D37" s="15">
        <v>3758.4690000000001</v>
      </c>
      <c r="E37" s="15">
        <f t="shared" si="0"/>
        <v>387.03099999999995</v>
      </c>
      <c r="F37" s="16">
        <f t="shared" si="3"/>
        <v>0.10297570633148762</v>
      </c>
      <c r="G37" s="17">
        <v>4267.5309999999999</v>
      </c>
      <c r="H37" s="17">
        <f t="shared" si="1"/>
        <v>-122.03099999999995</v>
      </c>
      <c r="I37" s="16">
        <f t="shared" si="2"/>
        <v>-2.8595222858369383E-2</v>
      </c>
      <c r="J37" s="49"/>
      <c r="K37" s="49"/>
    </row>
    <row r="38" spans="1:11" ht="15.6">
      <c r="A38" s="25" t="str">
        <v>Middletown</v>
      </c>
      <c r="B38" s="26" t="str">
        <v>NJ</v>
      </c>
      <c r="C38" s="21">
        <v>3092.00000000001</v>
      </c>
      <c r="D38" s="11">
        <v>2418.828</v>
      </c>
      <c r="E38" s="11">
        <f t="shared" si="0"/>
        <v>673.17200000001003</v>
      </c>
      <c r="F38" s="12">
        <f t="shared" si="3"/>
        <v>0.27830503037008419</v>
      </c>
      <c r="G38" s="13">
        <v>3415.0079999999998</v>
      </c>
      <c r="H38" s="13">
        <f t="shared" si="1"/>
        <v>-323.00799999998981</v>
      </c>
      <c r="I38" s="14">
        <f t="shared" si="2"/>
        <v>-9.458484431075706E-2</v>
      </c>
      <c r="J38" s="60"/>
      <c r="K38" s="60"/>
    </row>
    <row r="39" spans="1:11" ht="28.9">
      <c r="A39" s="27" t="str">
        <v>Whiting Crestwood</v>
      </c>
      <c r="B39" s="28" t="str">
        <v>NJ</v>
      </c>
      <c r="C39" s="10">
        <v>4008.8999999999901</v>
      </c>
      <c r="D39" s="15">
        <v>3793.3809999999999</v>
      </c>
      <c r="E39" s="15">
        <f t="shared" si="0"/>
        <v>215.51899999999023</v>
      </c>
      <c r="F39" s="16">
        <f t="shared" si="3"/>
        <v>5.681448818349389E-2</v>
      </c>
      <c r="G39" s="17">
        <v>4573.0010000000002</v>
      </c>
      <c r="H39" s="17">
        <f t="shared" si="1"/>
        <v>-564.10100000001012</v>
      </c>
      <c r="I39" s="16">
        <f t="shared" si="2"/>
        <v>-0.12335466360055686</v>
      </c>
      <c r="J39" s="56" t="s">
        <v>94</v>
      </c>
      <c r="K39" s="49"/>
    </row>
    <row r="40" spans="1:11" ht="28.9">
      <c r="A40" s="25" t="str">
        <v>Barnegat</v>
      </c>
      <c r="B40" s="26" t="str">
        <v>NJ</v>
      </c>
      <c r="C40" s="21">
        <v>5926.6437499999902</v>
      </c>
      <c r="D40" s="11">
        <v>5280.78</v>
      </c>
      <c r="E40" s="11">
        <f t="shared" si="0"/>
        <v>645.86374999999043</v>
      </c>
      <c r="F40" s="12">
        <f t="shared" si="3"/>
        <v>0.12230461219743873</v>
      </c>
      <c r="G40" s="13">
        <v>6460.5529999999999</v>
      </c>
      <c r="H40" s="13">
        <f t="shared" si="1"/>
        <v>-533.90925000000971</v>
      </c>
      <c r="I40" s="14">
        <f t="shared" si="2"/>
        <v>-8.2641416299813614E-2</v>
      </c>
      <c r="J40" s="60" t="s">
        <v>94</v>
      </c>
      <c r="K40" s="60"/>
    </row>
    <row r="41" spans="1:11" ht="72">
      <c r="A41" s="27" t="str">
        <v>Manchester</v>
      </c>
      <c r="B41" s="28" t="str">
        <v>NJ</v>
      </c>
      <c r="C41" s="10">
        <v>2275.7000000000098</v>
      </c>
      <c r="D41" s="15">
        <v>2475.67</v>
      </c>
      <c r="E41" s="15">
        <f t="shared" si="0"/>
        <v>-199.96999999999025</v>
      </c>
      <c r="F41" s="16">
        <f t="shared" si="3"/>
        <v>-8.0774093477721284E-2</v>
      </c>
      <c r="G41" s="17">
        <v>3827.527</v>
      </c>
      <c r="H41" s="17">
        <f t="shared" si="1"/>
        <v>-1551.8269999999902</v>
      </c>
      <c r="I41" s="16">
        <f t="shared" si="2"/>
        <v>-0.40543855079271557</v>
      </c>
      <c r="J41" s="49" t="s">
        <v>221</v>
      </c>
      <c r="K41" s="49"/>
    </row>
    <row r="42" spans="1:11" ht="15.6">
      <c r="A42" s="25" t="str">
        <v>West Deptford - Woodbury</v>
      </c>
      <c r="B42" s="26" t="str">
        <v>NJ</v>
      </c>
      <c r="C42" s="21">
        <v>3520.1999999999798</v>
      </c>
      <c r="D42" s="11">
        <v>3765.7139999999999</v>
      </c>
      <c r="E42" s="11">
        <f t="shared" si="0"/>
        <v>-245.51400000002013</v>
      </c>
      <c r="F42" s="12">
        <f t="shared" si="3"/>
        <v>-6.5197197662918677E-2</v>
      </c>
      <c r="G42" s="13">
        <v>3623.308</v>
      </c>
      <c r="H42" s="13">
        <f t="shared" si="1"/>
        <v>-103.10800000002018</v>
      </c>
      <c r="I42" s="14">
        <f t="shared" si="2"/>
        <v>-2.8456868695683663E-2</v>
      </c>
      <c r="J42" s="60"/>
      <c r="K42" s="60"/>
    </row>
    <row r="43" spans="1:11" ht="15.6">
      <c r="A43" s="27" t="str">
        <v>Edison</v>
      </c>
      <c r="B43" s="28" t="str">
        <v>NJ</v>
      </c>
      <c r="C43" s="10">
        <v>3124.7999999999902</v>
      </c>
      <c r="D43" s="15">
        <v>3126.1210000000001</v>
      </c>
      <c r="E43" s="15">
        <f t="shared" si="0"/>
        <v>-1.3210000000099171</v>
      </c>
      <c r="F43" s="16">
        <f t="shared" si="3"/>
        <v>-4.2256841626089236E-4</v>
      </c>
      <c r="G43" s="17">
        <v>3153.1060000000002</v>
      </c>
      <c r="H43" s="17">
        <f t="shared" si="1"/>
        <v>-28.306000000010044</v>
      </c>
      <c r="I43" s="16">
        <f t="shared" si="2"/>
        <v>-8.9771799616029536E-3</v>
      </c>
      <c r="J43" s="49"/>
      <c r="K43" s="49"/>
    </row>
    <row r="44" spans="1:11" ht="15.6">
      <c r="A44" s="25" t="str">
        <v>Flemington</v>
      </c>
      <c r="B44" s="26" t="str">
        <v>NJ</v>
      </c>
      <c r="C44" s="21">
        <v>3075.2000000000098</v>
      </c>
      <c r="D44" s="11">
        <v>3292.4920000000002</v>
      </c>
      <c r="E44" s="11">
        <f t="shared" si="0"/>
        <v>-217.29199999999037</v>
      </c>
      <c r="F44" s="12">
        <f t="shared" si="3"/>
        <v>-6.599621198775589E-2</v>
      </c>
      <c r="G44" s="13">
        <v>3291.9810000000002</v>
      </c>
      <c r="H44" s="13">
        <f t="shared" si="1"/>
        <v>-216.7809999999904</v>
      </c>
      <c r="I44" s="14">
        <f t="shared" si="2"/>
        <v>-6.5851230611595382E-2</v>
      </c>
      <c r="J44" s="60"/>
      <c r="K44" s="60"/>
    </row>
    <row r="45" spans="1:11" ht="15.6">
      <c r="A45" s="27" t="str">
        <v>Route 22</v>
      </c>
      <c r="B45" s="28" t="str">
        <v>NJ</v>
      </c>
      <c r="C45" s="10">
        <v>2901.50000000001</v>
      </c>
      <c r="D45" s="15">
        <v>3141.9259999999999</v>
      </c>
      <c r="E45" s="15">
        <f t="shared" si="0"/>
        <v>-240.42599999998993</v>
      </c>
      <c r="F45" s="16">
        <f t="shared" si="3"/>
        <v>-7.6521853156309202E-2</v>
      </c>
      <c r="G45" s="17">
        <v>3042.433</v>
      </c>
      <c r="H45" s="17">
        <f t="shared" si="1"/>
        <v>-140.93299999998999</v>
      </c>
      <c r="I45" s="16">
        <f t="shared" si="2"/>
        <v>-4.6322466263017129E-2</v>
      </c>
      <c r="J45" s="49"/>
      <c r="K45" s="49"/>
    </row>
    <row r="46" spans="1:11" ht="37.5" customHeight="1">
      <c r="A46" s="25" t="str">
        <v>Laurelton</v>
      </c>
      <c r="B46" s="26" t="str">
        <v>NJ</v>
      </c>
      <c r="C46" s="21">
        <v>1748.8</v>
      </c>
      <c r="D46" s="11">
        <v>2830.1260000000002</v>
      </c>
      <c r="E46" s="11">
        <f t="shared" si="0"/>
        <v>-1081.3260000000002</v>
      </c>
      <c r="F46" s="12">
        <f t="shared" si="3"/>
        <v>-0.38207698173155547</v>
      </c>
      <c r="G46" s="13">
        <v>2902.0970000000002</v>
      </c>
      <c r="H46" s="13">
        <f t="shared" si="1"/>
        <v>-1153.2970000000003</v>
      </c>
      <c r="I46" s="14">
        <f t="shared" si="2"/>
        <v>-0.39740125846930691</v>
      </c>
      <c r="J46" s="60" t="s">
        <v>227</v>
      </c>
      <c r="K46" s="87" t="s">
        <v>228</v>
      </c>
    </row>
    <row r="47" spans="1:11" ht="43.15">
      <c r="A47" s="27" t="str">
        <v>Mahwah</v>
      </c>
      <c r="B47" s="28" t="str">
        <v>NJ</v>
      </c>
      <c r="C47" s="10">
        <v>2468.6000000000199</v>
      </c>
      <c r="D47" s="15">
        <v>280.00740000000002</v>
      </c>
      <c r="E47" s="15">
        <f t="shared" si="0"/>
        <v>2188.59260000002</v>
      </c>
      <c r="F47" s="16">
        <f t="shared" si="3"/>
        <v>7.81619557197424</v>
      </c>
      <c r="G47" s="17">
        <v>2689.3809999999999</v>
      </c>
      <c r="H47" s="17">
        <f t="shared" si="1"/>
        <v>-220.78099999997994</v>
      </c>
      <c r="I47" s="16">
        <f t="shared" si="2"/>
        <v>-8.2093611875736439E-2</v>
      </c>
      <c r="J47" s="49" t="s">
        <v>188</v>
      </c>
      <c r="K47" s="81" t="s">
        <v>145</v>
      </c>
    </row>
    <row r="48" spans="1:11" ht="28.9">
      <c r="A48" s="25" t="str">
        <v>Franklin Township WF</v>
      </c>
      <c r="B48" s="26" t="str">
        <v>NJ</v>
      </c>
      <c r="C48" s="21">
        <v>2764.50000000001</v>
      </c>
      <c r="D48" s="11">
        <v>2769.319</v>
      </c>
      <c r="E48" s="11">
        <f t="shared" si="0"/>
        <v>-4.8189999999899555</v>
      </c>
      <c r="F48" s="12">
        <f t="shared" si="3"/>
        <v>-1.7401390016787361E-3</v>
      </c>
      <c r="G48" s="13">
        <v>3328.73</v>
      </c>
      <c r="H48" s="13">
        <f t="shared" si="1"/>
        <v>-564.22999999999001</v>
      </c>
      <c r="I48" s="14">
        <f t="shared" si="2"/>
        <v>-0.16950308375866771</v>
      </c>
      <c r="J48" s="60" t="s">
        <v>94</v>
      </c>
      <c r="K48" s="60"/>
    </row>
    <row r="49" spans="1:11" ht="15.6">
      <c r="A49" s="27" t="str">
        <v>Bordentown</v>
      </c>
      <c r="B49" s="28" t="str">
        <v>NJ</v>
      </c>
      <c r="C49" s="10">
        <v>2109.1000000000099</v>
      </c>
      <c r="D49" s="15">
        <v>1980.059</v>
      </c>
      <c r="E49" s="15">
        <f t="shared" si="0"/>
        <v>129.04100000000994</v>
      </c>
      <c r="F49" s="16">
        <f t="shared" si="3"/>
        <v>6.5170280279532047E-2</v>
      </c>
      <c r="G49" s="17">
        <v>2070.1570000000002</v>
      </c>
      <c r="H49" s="17">
        <f t="shared" si="1"/>
        <v>38.943000000009761</v>
      </c>
      <c r="I49" s="16">
        <f t="shared" si="2"/>
        <v>1.8811616703472131E-2</v>
      </c>
      <c r="J49" s="49"/>
      <c r="K49" s="49"/>
    </row>
    <row r="50" spans="1:11" ht="15.6">
      <c r="A50" s="25" t="str">
        <v>South Plainfield</v>
      </c>
      <c r="B50" s="26" t="str">
        <v>NJ</v>
      </c>
      <c r="C50" s="21">
        <v>1526.1000000000099</v>
      </c>
      <c r="D50" s="11">
        <v>1549.921</v>
      </c>
      <c r="E50" s="11">
        <f t="shared" si="0"/>
        <v>-23.820999999990136</v>
      </c>
      <c r="F50" s="12">
        <f t="shared" si="3"/>
        <v>-1.5369170428680001E-2</v>
      </c>
      <c r="G50" s="13">
        <v>1529.2619999999999</v>
      </c>
      <c r="H50" s="13">
        <f t="shared" si="1"/>
        <v>-3.1619999999900301</v>
      </c>
      <c r="I50" s="14">
        <f t="shared" si="2"/>
        <v>-2.067664010476969E-3</v>
      </c>
      <c r="J50" s="60"/>
      <c r="K50" s="60"/>
    </row>
    <row r="51" spans="1:11" ht="15.6">
      <c r="A51" s="27" t="str">
        <v>Somerset</v>
      </c>
      <c r="B51" s="28" t="str">
        <v>NJ</v>
      </c>
      <c r="C51" s="10">
        <v>2531.0999999999899</v>
      </c>
      <c r="D51" s="15">
        <v>2375.8980000000001</v>
      </c>
      <c r="E51" s="15">
        <f t="shared" si="0"/>
        <v>155.20199999998977</v>
      </c>
      <c r="F51" s="16">
        <f t="shared" si="3"/>
        <v>6.5323511362857231E-2</v>
      </c>
      <c r="G51" s="17">
        <v>2548.3539999999998</v>
      </c>
      <c r="H51" s="17">
        <f t="shared" si="1"/>
        <v>-17.25400000000991</v>
      </c>
      <c r="I51" s="16">
        <f t="shared" si="2"/>
        <v>-6.7706448947084706E-3</v>
      </c>
      <c r="J51" s="49"/>
      <c r="K51" s="49"/>
    </row>
    <row r="52" spans="1:11" ht="15.6">
      <c r="A52" s="25" t="str">
        <v>Clinton Main Relo</v>
      </c>
      <c r="B52" s="26" t="str">
        <v>NJ</v>
      </c>
      <c r="C52" s="21">
        <v>2999.5230000000001</v>
      </c>
      <c r="D52" s="11">
        <v>2994.1390000000001</v>
      </c>
      <c r="E52" s="11">
        <f t="shared" si="0"/>
        <v>5.3840000000000146</v>
      </c>
      <c r="F52" s="12">
        <f t="shared" si="3"/>
        <v>1.7981797104276102E-3</v>
      </c>
      <c r="G52" s="13">
        <v>3072.114</v>
      </c>
      <c r="H52" s="13">
        <f t="shared" si="1"/>
        <v>-72.590999999999894</v>
      </c>
      <c r="I52" s="14">
        <f t="shared" si="2"/>
        <v>-2.3629005954857108E-2</v>
      </c>
      <c r="J52" s="60"/>
      <c r="K52" s="60"/>
    </row>
    <row r="53" spans="1:11" ht="15.6">
      <c r="A53" s="27" t="str">
        <v>North Brunswick</v>
      </c>
      <c r="B53" s="28" t="str">
        <v>NJ</v>
      </c>
      <c r="C53" s="10">
        <v>3047.4000000000101</v>
      </c>
      <c r="D53" s="15">
        <v>2831.788</v>
      </c>
      <c r="E53" s="15">
        <f t="shared" si="0"/>
        <v>215.61200000001008</v>
      </c>
      <c r="F53" s="16">
        <f t="shared" si="3"/>
        <v>7.6139880527783185E-2</v>
      </c>
      <c r="G53" s="17">
        <v>3311.4479999999999</v>
      </c>
      <c r="H53" s="17">
        <f t="shared" si="1"/>
        <v>-264.04799999998977</v>
      </c>
      <c r="I53" s="16">
        <f t="shared" si="2"/>
        <v>-7.9737927335712291E-2</v>
      </c>
      <c r="J53" s="49"/>
      <c r="K53" s="49"/>
    </row>
    <row r="54" spans="1:11" ht="15.6">
      <c r="A54" s="25" t="str">
        <v>Cherry Hill</v>
      </c>
      <c r="B54" s="26" t="str">
        <v>NJ</v>
      </c>
      <c r="C54" s="21">
        <v>2089.4816040640399</v>
      </c>
      <c r="D54" s="11">
        <v>2000.729</v>
      </c>
      <c r="E54" s="11">
        <f t="shared" si="0"/>
        <v>88.752604064039815</v>
      </c>
      <c r="F54" s="12">
        <f t="shared" si="3"/>
        <v>4.4360132763627567E-2</v>
      </c>
      <c r="G54" s="13">
        <v>2189.0410000000002</v>
      </c>
      <c r="H54" s="13">
        <f t="shared" si="1"/>
        <v>-99.55939593596031</v>
      </c>
      <c r="I54" s="14">
        <f t="shared" si="2"/>
        <v>-4.5480827419842891E-2</v>
      </c>
      <c r="J54" s="60"/>
      <c r="K54" s="60"/>
    </row>
    <row r="55" spans="1:11" ht="15.6">
      <c r="A55" s="27" t="str">
        <v>Hainesport</v>
      </c>
      <c r="B55" s="28" t="str">
        <v>NJ</v>
      </c>
      <c r="C55" s="10">
        <v>2096.3000000000002</v>
      </c>
      <c r="D55" s="15">
        <v>2475.9960000000001</v>
      </c>
      <c r="E55" s="15">
        <f t="shared" si="0"/>
        <v>-379.69599999999991</v>
      </c>
      <c r="F55" s="16">
        <f t="shared" si="3"/>
        <v>-0.15335081316771104</v>
      </c>
      <c r="G55" s="17">
        <v>2130.6509999999998</v>
      </c>
      <c r="H55" s="17">
        <f t="shared" si="1"/>
        <v>-34.350999999999658</v>
      </c>
      <c r="I55" s="16">
        <f t="shared" si="2"/>
        <v>-1.6122302526316915E-2</v>
      </c>
      <c r="J55" s="49" t="s">
        <v>229</v>
      </c>
      <c r="K55" s="49"/>
    </row>
    <row r="56" spans="1:11" ht="28.9">
      <c r="A56" s="25" t="str">
        <v>San Antonio - Ops Ctr (Bldg 106)</v>
      </c>
      <c r="B56" s="26" t="str">
        <v>TX</v>
      </c>
      <c r="C56" s="21">
        <v>57143.837</v>
      </c>
      <c r="D56" s="11">
        <v>36922.891000000003</v>
      </c>
      <c r="E56" s="11">
        <f t="shared" si="0"/>
        <v>20220.945999999996</v>
      </c>
      <c r="F56" s="12">
        <f t="shared" si="3"/>
        <v>0.54765337849628282</v>
      </c>
      <c r="G56" s="13">
        <v>60352.425000000003</v>
      </c>
      <c r="H56" s="13">
        <f t="shared" si="1"/>
        <v>-3208.5880000000034</v>
      </c>
      <c r="I56" s="14">
        <f t="shared" si="2"/>
        <v>-5.3164193485183128E-2</v>
      </c>
      <c r="J56" s="60" t="s">
        <v>189</v>
      </c>
      <c r="K56" s="87" t="s">
        <v>230</v>
      </c>
    </row>
    <row r="57" spans="1:11" ht="43.15">
      <c r="A57" s="27" t="str">
        <v>San Antonio - Ops Ctr GM</v>
      </c>
      <c r="B57" s="28" t="str">
        <v>TX</v>
      </c>
      <c r="C57" s="10">
        <v>364098.75</v>
      </c>
      <c r="D57" s="15">
        <v>414698.85499999998</v>
      </c>
      <c r="E57" s="15">
        <f t="shared" si="0"/>
        <v>-50600.104999999981</v>
      </c>
      <c r="F57" s="16">
        <f t="shared" si="3"/>
        <v>-0.12201650520592824</v>
      </c>
      <c r="G57" s="17">
        <v>435826</v>
      </c>
      <c r="H57" s="17">
        <f t="shared" si="1"/>
        <v>-71727.25</v>
      </c>
      <c r="I57" s="16">
        <f t="shared" si="2"/>
        <v>-0.16457772138422214</v>
      </c>
      <c r="J57" s="56" t="s">
        <v>231</v>
      </c>
      <c r="K57" s="49"/>
    </row>
    <row r="58" spans="1:11" ht="57.6">
      <c r="A58" s="25" t="str">
        <v>San Antonio - Ctr (Bldg 201)</v>
      </c>
      <c r="B58" s="26" t="str">
        <v>TX</v>
      </c>
      <c r="C58" s="21">
        <v>56116.313000000002</v>
      </c>
      <c r="D58" s="11">
        <v>36662.425999999999</v>
      </c>
      <c r="E58" s="11">
        <f t="shared" si="0"/>
        <v>19453.887000000002</v>
      </c>
      <c r="F58" s="12">
        <f t="shared" si="3"/>
        <v>0.53062192338281167</v>
      </c>
      <c r="G58" s="13">
        <v>59408.332999999999</v>
      </c>
      <c r="H58" s="13">
        <f t="shared" si="1"/>
        <v>-3292.0199999999968</v>
      </c>
      <c r="I58" s="14">
        <f t="shared" si="2"/>
        <v>-5.5413438380773901E-2</v>
      </c>
      <c r="J58" s="60" t="s">
        <v>232</v>
      </c>
      <c r="K58" s="60"/>
    </row>
    <row r="59" spans="1:11" ht="15.6">
      <c r="A59" s="27" t="str">
        <v>San Antonio - Ops Ctr (Bldg 203)</v>
      </c>
      <c r="B59" s="28" t="str">
        <v>TX</v>
      </c>
      <c r="C59" s="10">
        <v>56351.625</v>
      </c>
      <c r="D59" s="15">
        <v>55053.606</v>
      </c>
      <c r="E59" s="15">
        <f t="shared" si="0"/>
        <v>1298.0190000000002</v>
      </c>
      <c r="F59" s="16">
        <f t="shared" si="3"/>
        <v>2.3577365667927369E-2</v>
      </c>
      <c r="G59" s="17">
        <v>59705.764999999999</v>
      </c>
      <c r="H59" s="17">
        <f t="shared" si="1"/>
        <v>-3354.1399999999994</v>
      </c>
      <c r="I59" s="16">
        <f t="shared" si="2"/>
        <v>-5.6177824704197313E-2</v>
      </c>
      <c r="J59" s="49"/>
      <c r="K59" s="49"/>
    </row>
    <row r="60" spans="1:11" ht="57.6">
      <c r="A60" s="25" t="str">
        <v>San Antonio - Ops Ctr (Bldg 205)</v>
      </c>
      <c r="B60" s="26" t="str">
        <v>TX</v>
      </c>
      <c r="C60" s="21">
        <v>53063.875</v>
      </c>
      <c r="D60" s="11">
        <v>33414.690999999999</v>
      </c>
      <c r="E60" s="11">
        <f t="shared" si="0"/>
        <v>19649.184000000001</v>
      </c>
      <c r="F60" s="12">
        <f t="shared" si="3"/>
        <v>0.58804027246578461</v>
      </c>
      <c r="G60" s="13">
        <v>57103.885999999999</v>
      </c>
      <c r="H60" s="13">
        <f t="shared" si="1"/>
        <v>-4040.0109999999986</v>
      </c>
      <c r="I60" s="14">
        <f t="shared" si="2"/>
        <v>-7.0748442584100124E-2</v>
      </c>
      <c r="J60" s="60" t="s">
        <v>232</v>
      </c>
      <c r="K60" s="60"/>
    </row>
    <row r="61" spans="1:11" ht="57.6">
      <c r="A61" s="27" t="str">
        <v>San Antonio - Ops Ctr (Bldg 307)</v>
      </c>
      <c r="B61" s="28" t="str">
        <v>TX</v>
      </c>
      <c r="C61" s="10">
        <v>55200.313000000002</v>
      </c>
      <c r="D61" s="15">
        <v>36346.589</v>
      </c>
      <c r="E61" s="15">
        <f t="shared" si="0"/>
        <v>18853.724000000002</v>
      </c>
      <c r="F61" s="16">
        <f t="shared" si="3"/>
        <v>0.51872058750822536</v>
      </c>
      <c r="G61" s="17">
        <v>57922.678</v>
      </c>
      <c r="H61" s="17">
        <f t="shared" si="1"/>
        <v>-2722.364999999998</v>
      </c>
      <c r="I61" s="16">
        <f t="shared" si="2"/>
        <v>-4.6999985049033785E-2</v>
      </c>
      <c r="J61" s="49" t="s">
        <v>232</v>
      </c>
      <c r="K61" s="49"/>
    </row>
    <row r="62" spans="1:11" ht="57.6">
      <c r="A62" s="25" t="str">
        <v>San Antonio - Ctr (Bldg 308)</v>
      </c>
      <c r="B62" s="26" t="str">
        <v>TX</v>
      </c>
      <c r="C62" s="21">
        <v>53178.125</v>
      </c>
      <c r="D62" s="11">
        <v>35479.665000000001</v>
      </c>
      <c r="E62" s="11">
        <f t="shared" si="0"/>
        <v>17698.46</v>
      </c>
      <c r="F62" s="12">
        <f t="shared" si="3"/>
        <v>0.49883390950844658</v>
      </c>
      <c r="G62" s="13">
        <v>55157.525999999998</v>
      </c>
      <c r="H62" s="13">
        <f t="shared" si="1"/>
        <v>-1979.400999999998</v>
      </c>
      <c r="I62" s="14">
        <f t="shared" si="2"/>
        <v>-3.5886326736264386E-2</v>
      </c>
      <c r="J62" s="60" t="s">
        <v>232</v>
      </c>
      <c r="K62" s="60"/>
    </row>
    <row r="63" spans="1:11" ht="57.6">
      <c r="A63" s="27" t="str">
        <v>San Antonio - Ops Ctr (Bldg 104)</v>
      </c>
      <c r="B63" s="28" t="str">
        <v>TX</v>
      </c>
      <c r="C63" s="10">
        <v>15904.147999999999</v>
      </c>
      <c r="D63" s="15">
        <v>11125.839</v>
      </c>
      <c r="E63" s="15">
        <f t="shared" si="0"/>
        <v>4778.3089999999993</v>
      </c>
      <c r="F63" s="16">
        <f t="shared" si="3"/>
        <v>0.42947853191116636</v>
      </c>
      <c r="G63" s="17">
        <v>17500.462</v>
      </c>
      <c r="H63" s="17">
        <f t="shared" si="1"/>
        <v>-1596.3140000000003</v>
      </c>
      <c r="I63" s="16">
        <f t="shared" si="2"/>
        <v>-9.1215534767025028E-2</v>
      </c>
      <c r="J63" s="49" t="s">
        <v>232</v>
      </c>
      <c r="K63" s="49"/>
    </row>
    <row r="64" spans="1:11" ht="15.6">
      <c r="A64" s="25" t="str">
        <v>San Antonio - Ops Ctr (Bldg 102)</v>
      </c>
      <c r="B64" s="26" t="str">
        <v>TX</v>
      </c>
      <c r="C64" s="21">
        <v>59519.51</v>
      </c>
      <c r="D64" s="11" t="s">
        <v>208</v>
      </c>
      <c r="E64" s="11" t="str">
        <f t="shared" si="0"/>
        <v/>
      </c>
      <c r="F64" s="12" t="str">
        <f t="shared" si="3"/>
        <v/>
      </c>
      <c r="G64" s="13">
        <v>61996.031000000003</v>
      </c>
      <c r="H64" s="13">
        <f t="shared" si="1"/>
        <v>-2476.5210000000006</v>
      </c>
      <c r="I64" s="14">
        <f t="shared" si="2"/>
        <v>-3.9946444313507759E-2</v>
      </c>
      <c r="J64" s="60"/>
      <c r="K64" s="60"/>
    </row>
    <row r="65" spans="1:11" ht="15.6">
      <c r="A65" s="27" t="str">
        <v>Lodi - Lodi Vineyard</v>
      </c>
      <c r="B65" s="28" t="str">
        <v>CA</v>
      </c>
      <c r="C65" s="10">
        <v>53971.010937500003</v>
      </c>
      <c r="D65" s="15">
        <v>45437.48</v>
      </c>
      <c r="E65" s="15">
        <f t="shared" si="0"/>
        <v>8533.5309374999997</v>
      </c>
      <c r="F65" s="16">
        <f t="shared" si="3"/>
        <v>0.1878081913323538</v>
      </c>
      <c r="G65" s="17">
        <v>42651</v>
      </c>
      <c r="H65" s="17">
        <f t="shared" si="1"/>
        <v>11320.010937500003</v>
      </c>
      <c r="I65" s="16">
        <f t="shared" si="2"/>
        <v>0.26541021165975015</v>
      </c>
      <c r="J65" s="49"/>
      <c r="K65" s="49"/>
    </row>
    <row r="66" spans="1:11" ht="15.6">
      <c r="A66" s="25" t="str">
        <v>Arden Fair Mall</v>
      </c>
      <c r="B66" s="26" t="str">
        <v>CA</v>
      </c>
      <c r="C66" s="21">
        <v>27404.2162624378</v>
      </c>
      <c r="D66" s="11">
        <v>27208.28</v>
      </c>
      <c r="E66" s="11">
        <f t="shared" si="0"/>
        <v>195.93626243780091</v>
      </c>
      <c r="F66" s="12">
        <f t="shared" si="3"/>
        <v>7.2013468854995946E-3</v>
      </c>
      <c r="G66" s="13">
        <v>28033</v>
      </c>
      <c r="H66" s="13">
        <f t="shared" si="1"/>
        <v>-628.78373756220026</v>
      </c>
      <c r="I66" s="14">
        <f t="shared" si="2"/>
        <v>-2.2430126549502383E-2</v>
      </c>
      <c r="J66" s="60"/>
      <c r="K66" s="60"/>
    </row>
    <row r="67" spans="1:11" ht="15.6">
      <c r="A67" s="27" t="str">
        <v>Modesto - Modesto Main</v>
      </c>
      <c r="B67" s="28" t="str">
        <v>CA</v>
      </c>
      <c r="C67" s="10">
        <v>21370.75</v>
      </c>
      <c r="D67" s="15">
        <v>22792.45</v>
      </c>
      <c r="E67" s="15">
        <f t="shared" si="0"/>
        <v>-1421.7000000000007</v>
      </c>
      <c r="F67" s="16">
        <f t="shared" si="3"/>
        <v>-6.2375918341380621E-2</v>
      </c>
      <c r="G67" s="17">
        <v>25470.86</v>
      </c>
      <c r="H67" s="17">
        <f t="shared" si="1"/>
        <v>-4100.1100000000006</v>
      </c>
      <c r="I67" s="16">
        <f t="shared" si="2"/>
        <v>-0.16097257807549492</v>
      </c>
      <c r="J67" s="49" t="s">
        <v>233</v>
      </c>
      <c r="K67" s="81" t="s">
        <v>197</v>
      </c>
    </row>
    <row r="68" spans="1:11" ht="15.6">
      <c r="A68" s="25" t="str">
        <v>Stevens Creek</v>
      </c>
      <c r="B68" s="26" t="str">
        <v>CA</v>
      </c>
      <c r="C68" s="21">
        <v>7084.9973329835502</v>
      </c>
      <c r="D68" s="11">
        <v>7192.68</v>
      </c>
      <c r="E68" s="11">
        <f t="shared" si="0"/>
        <v>-107.68266701645007</v>
      </c>
      <c r="F68" s="12">
        <f t="shared" si="3"/>
        <v>-1.4971146640257883E-2</v>
      </c>
      <c r="G68" s="13">
        <v>7609</v>
      </c>
      <c r="H68" s="13">
        <f t="shared" si="1"/>
        <v>-524.00266701644978</v>
      </c>
      <c r="I68" s="14">
        <f t="shared" si="2"/>
        <v>-6.8866167304041243E-2</v>
      </c>
      <c r="J68" s="60"/>
      <c r="K68" s="60"/>
    </row>
    <row r="69" spans="1:11" ht="15.6">
      <c r="A69" s="27" t="str">
        <v>Covina Main</v>
      </c>
      <c r="B69" s="28" t="str">
        <v>CA</v>
      </c>
      <c r="C69" s="10">
        <v>4528.3999999999896</v>
      </c>
      <c r="D69" s="15">
        <v>4149.6419999999998</v>
      </c>
      <c r="E69" s="15">
        <f t="shared" ref="E69:E84" si="4">IF(AND(ISNUMBER(C69),ISNUMBER(D69)), C69-D69, "")</f>
        <v>378.75799999998981</v>
      </c>
      <c r="F69" s="16">
        <f t="shared" si="3"/>
        <v>9.1274861783255001E-2</v>
      </c>
      <c r="G69" s="17">
        <v>3875</v>
      </c>
      <c r="H69" s="17">
        <f t="shared" ref="H69:H84" si="5">IF(AND(ISNUMBER(C69),ISNUMBER(G69)), C69-G69, "")</f>
        <v>653.39999999998963</v>
      </c>
      <c r="I69" s="16">
        <f t="shared" ref="I69:I84" si="6">IFERROR(H69/G69, "")</f>
        <v>0.16861935483870699</v>
      </c>
      <c r="J69" s="49"/>
      <c r="K69" s="49"/>
    </row>
    <row r="70" spans="1:11" ht="72">
      <c r="A70" s="25" t="str">
        <v>Old Ranch Town Center</v>
      </c>
      <c r="B70" s="26" t="str">
        <v>CA</v>
      </c>
      <c r="C70" s="21">
        <v>1466.37428710937</v>
      </c>
      <c r="D70" s="11" t="s">
        <v>208</v>
      </c>
      <c r="E70" s="11" t="str">
        <f t="shared" si="4"/>
        <v/>
      </c>
      <c r="F70" s="12" t="str">
        <f t="shared" ref="F70:F84" si="7">IFERROR(E70/D70, "")</f>
        <v/>
      </c>
      <c r="G70" s="13">
        <v>1683</v>
      </c>
      <c r="H70" s="13">
        <f t="shared" si="5"/>
        <v>-216.62571289062998</v>
      </c>
      <c r="I70" s="14">
        <f t="shared" si="6"/>
        <v>-0.12871403023804515</v>
      </c>
      <c r="J70" s="60" t="s">
        <v>234</v>
      </c>
      <c r="K70" s="60"/>
    </row>
    <row r="71" spans="1:11" ht="15.6">
      <c r="A71" s="27" t="str">
        <v>Mountain Gate Plaza</v>
      </c>
      <c r="B71" s="28" t="str">
        <v>CA</v>
      </c>
      <c r="C71" s="10">
        <v>11481.1</v>
      </c>
      <c r="D71" s="15" t="s">
        <v>208</v>
      </c>
      <c r="E71" s="15" t="str">
        <f t="shared" si="4"/>
        <v/>
      </c>
      <c r="F71" s="16" t="str">
        <f t="shared" si="7"/>
        <v/>
      </c>
      <c r="G71" s="17">
        <v>11092</v>
      </c>
      <c r="H71" s="17">
        <f t="shared" si="5"/>
        <v>389.10000000000036</v>
      </c>
      <c r="I71" s="16">
        <f t="shared" si="6"/>
        <v>3.5079336458709011E-2</v>
      </c>
      <c r="J71" s="49"/>
      <c r="K71" s="49"/>
    </row>
    <row r="72" spans="1:11" ht="15.6">
      <c r="A72" s="25" t="str">
        <v>Arcadia Main</v>
      </c>
      <c r="B72" s="26" t="str">
        <v>CA</v>
      </c>
      <c r="C72" s="21">
        <v>5117.5574804687503</v>
      </c>
      <c r="D72" s="11" t="s">
        <v>208</v>
      </c>
      <c r="E72" s="11" t="str">
        <f t="shared" si="4"/>
        <v/>
      </c>
      <c r="F72" s="12" t="str">
        <f t="shared" si="7"/>
        <v/>
      </c>
      <c r="G72" s="13">
        <v>5550</v>
      </c>
      <c r="H72" s="13">
        <f t="shared" si="5"/>
        <v>-432.44251953124967</v>
      </c>
      <c r="I72" s="14">
        <f t="shared" si="6"/>
        <v>-7.7917571086711657E-2</v>
      </c>
      <c r="J72" s="60"/>
      <c r="K72" s="60"/>
    </row>
    <row r="73" spans="1:11" ht="15.6">
      <c r="A73" s="27" t="str">
        <v>Fairfield</v>
      </c>
      <c r="B73" s="28" t="str">
        <v>CA</v>
      </c>
      <c r="C73" s="10">
        <v>5078.9058770414604</v>
      </c>
      <c r="D73" s="15">
        <v>5001.33</v>
      </c>
      <c r="E73" s="15">
        <f t="shared" si="4"/>
        <v>77.575877041460444</v>
      </c>
      <c r="F73" s="16">
        <f t="shared" si="7"/>
        <v>1.5511049469133299E-2</v>
      </c>
      <c r="G73" s="17">
        <v>5137</v>
      </c>
      <c r="H73" s="17">
        <f t="shared" si="5"/>
        <v>-58.094122958539629</v>
      </c>
      <c r="I73" s="16">
        <f t="shared" si="6"/>
        <v>-1.1308959112038082E-2</v>
      </c>
      <c r="J73" s="49"/>
      <c r="K73" s="49"/>
    </row>
    <row r="74" spans="1:11" ht="15.6">
      <c r="A74" s="25" t="str">
        <v>Los Gatos</v>
      </c>
      <c r="B74" s="26" t="str">
        <v>CA</v>
      </c>
      <c r="C74" s="21">
        <v>2809.0403613281301</v>
      </c>
      <c r="D74" s="11">
        <v>2833.049</v>
      </c>
      <c r="E74" s="11">
        <f t="shared" si="4"/>
        <v>-24.008638671869903</v>
      </c>
      <c r="F74" s="12">
        <f t="shared" si="7"/>
        <v>-8.4744876180644618E-3</v>
      </c>
      <c r="G74" s="13">
        <v>0</v>
      </c>
      <c r="H74" s="13">
        <f t="shared" si="5"/>
        <v>2809.0403613281301</v>
      </c>
      <c r="I74" s="14" t="str">
        <f t="shared" si="6"/>
        <v/>
      </c>
      <c r="J74" s="60"/>
      <c r="K74" s="60"/>
    </row>
    <row r="75" spans="1:11" ht="28.9">
      <c r="A75" s="27" t="str">
        <v>San Marino</v>
      </c>
      <c r="B75" s="28" t="str">
        <v>CA</v>
      </c>
      <c r="C75" s="10">
        <v>3651.3999999999901</v>
      </c>
      <c r="D75" s="15">
        <v>5233.5780000000004</v>
      </c>
      <c r="E75" s="15">
        <f t="shared" si="4"/>
        <v>-1582.1780000000103</v>
      </c>
      <c r="F75" s="16">
        <f t="shared" si="7"/>
        <v>-0.30231287276123719</v>
      </c>
      <c r="G75" s="17">
        <v>6390.482</v>
      </c>
      <c r="H75" s="17">
        <f t="shared" si="5"/>
        <v>-2739.0820000000099</v>
      </c>
      <c r="I75" s="16">
        <f t="shared" si="6"/>
        <v>-0.42861899931804986</v>
      </c>
      <c r="J75" s="49" t="s">
        <v>235</v>
      </c>
      <c r="K75" s="81" t="s">
        <v>198</v>
      </c>
    </row>
    <row r="76" spans="1:11" ht="72">
      <c r="A76" s="25" t="str">
        <v>Buenaventura</v>
      </c>
      <c r="B76" s="26" t="str">
        <v>CA</v>
      </c>
      <c r="C76" s="21">
        <v>5132.8203125</v>
      </c>
      <c r="D76" s="11">
        <v>3802.0459999999998</v>
      </c>
      <c r="E76" s="11">
        <f t="shared" si="4"/>
        <v>1330.7743125000002</v>
      </c>
      <c r="F76" s="12">
        <f t="shared" si="7"/>
        <v>0.35001531083527138</v>
      </c>
      <c r="G76" s="13">
        <v>5943.6890000000003</v>
      </c>
      <c r="H76" s="13">
        <f t="shared" si="5"/>
        <v>-810.86868750000031</v>
      </c>
      <c r="I76" s="14">
        <f t="shared" si="6"/>
        <v>-0.13642515405836347</v>
      </c>
      <c r="J76" s="60" t="s">
        <v>221</v>
      </c>
      <c r="K76" s="60"/>
    </row>
    <row r="77" spans="1:11" ht="15.6">
      <c r="A77" s="27" t="str">
        <v>N Black Canyon Hwy, Phoenix - North</v>
      </c>
      <c r="B77" s="28" t="str">
        <v>AZ</v>
      </c>
      <c r="C77" s="10">
        <v>105478</v>
      </c>
      <c r="D77" s="15">
        <v>88938.35</v>
      </c>
      <c r="E77" s="15">
        <f t="shared" si="4"/>
        <v>16539.649999999994</v>
      </c>
      <c r="F77" s="16">
        <f t="shared" si="7"/>
        <v>0.18596758316294368</v>
      </c>
      <c r="G77" s="17">
        <v>103056</v>
      </c>
      <c r="H77" s="17">
        <f t="shared" si="5"/>
        <v>2422</v>
      </c>
      <c r="I77" s="16">
        <f t="shared" si="6"/>
        <v>2.3501785437043936E-2</v>
      </c>
      <c r="J77" s="49"/>
      <c r="K77" s="49"/>
    </row>
    <row r="78" spans="1:11" ht="15.6">
      <c r="A78" s="25" t="str">
        <v>N Black Canyon Hwy, Phoenix - South</v>
      </c>
      <c r="B78" s="26" t="str">
        <v>AZ</v>
      </c>
      <c r="C78" s="21">
        <v>102639.75</v>
      </c>
      <c r="D78" s="11">
        <v>97430.83</v>
      </c>
      <c r="E78" s="11">
        <f t="shared" si="4"/>
        <v>5208.9199999999983</v>
      </c>
      <c r="F78" s="12">
        <f t="shared" si="7"/>
        <v>5.3462748906070064E-2</v>
      </c>
      <c r="G78" s="13">
        <v>113359</v>
      </c>
      <c r="H78" s="13">
        <f t="shared" si="5"/>
        <v>-10719.25</v>
      </c>
      <c r="I78" s="14">
        <f t="shared" si="6"/>
        <v>-9.4560202542365399E-2</v>
      </c>
      <c r="J78" s="60"/>
      <c r="K78" s="60"/>
    </row>
    <row r="79" spans="1:11" ht="15.6">
      <c r="A79" s="27" t="str">
        <v xml:space="preserve"> Building 2222, Rose Garden Ln, Phoenix</v>
      </c>
      <c r="B79" s="28" t="str">
        <v>AZ</v>
      </c>
      <c r="C79" s="10">
        <v>146172.25</v>
      </c>
      <c r="D79" s="15">
        <v>138948.29999999999</v>
      </c>
      <c r="E79" s="15">
        <f t="shared" si="4"/>
        <v>7223.9500000000116</v>
      </c>
      <c r="F79" s="16">
        <f t="shared" si="7"/>
        <v>5.1990200671760738E-2</v>
      </c>
      <c r="G79" s="17">
        <v>146011</v>
      </c>
      <c r="H79" s="17">
        <f t="shared" si="5"/>
        <v>161.25</v>
      </c>
      <c r="I79" s="16">
        <f t="shared" si="6"/>
        <v>1.1043688489223414E-3</v>
      </c>
      <c r="J79" s="49"/>
      <c r="K79" s="49"/>
    </row>
    <row r="80" spans="1:11" ht="15.6">
      <c r="A80" s="25" t="str">
        <v xml:space="preserve"> Building 2202, Rose Garden Ln, Phoenix</v>
      </c>
      <c r="B80" s="26" t="str">
        <v>AZ</v>
      </c>
      <c r="C80" s="21">
        <v>146183.375</v>
      </c>
      <c r="D80" s="11">
        <v>140916.9</v>
      </c>
      <c r="E80" s="11">
        <f t="shared" si="4"/>
        <v>5266.4750000000058</v>
      </c>
      <c r="F80" s="12">
        <f t="shared" si="7"/>
        <v>3.737291268825816E-2</v>
      </c>
      <c r="G80" s="13">
        <v>113317.3</v>
      </c>
      <c r="H80" s="13">
        <f t="shared" si="5"/>
        <v>32866.074999999997</v>
      </c>
      <c r="I80" s="14">
        <f t="shared" si="6"/>
        <v>0.29003581094854886</v>
      </c>
      <c r="J80" s="60"/>
      <c r="K80" s="60"/>
    </row>
    <row r="81" spans="1:11" ht="15.6">
      <c r="A81" s="27" t="str">
        <v xml:space="preserve"> 99TH Ave &amp; BELL</v>
      </c>
      <c r="B81" s="28" t="str">
        <v>AZ</v>
      </c>
      <c r="C81" s="10">
        <v>25487.600574649001</v>
      </c>
      <c r="D81" s="15">
        <v>23303.85</v>
      </c>
      <c r="E81" s="15">
        <f t="shared" si="4"/>
        <v>2183.7505746490024</v>
      </c>
      <c r="F81" s="16">
        <f t="shared" si="7"/>
        <v>9.370771673560388E-2</v>
      </c>
      <c r="G81" s="17">
        <v>24928</v>
      </c>
      <c r="H81" s="17">
        <f t="shared" si="5"/>
        <v>559.60057464900092</v>
      </c>
      <c r="I81" s="16">
        <f t="shared" si="6"/>
        <v>2.2448675170450936E-2</v>
      </c>
      <c r="J81" s="39" t="s">
        <v>201</v>
      </c>
      <c r="K81" s="81" t="s">
        <v>202</v>
      </c>
    </row>
    <row r="82" spans="1:11" ht="15.6">
      <c r="A82" s="25" t="str">
        <v>Rincon</v>
      </c>
      <c r="B82" s="26" t="str">
        <v>AZ</v>
      </c>
      <c r="C82" s="21">
        <v>9521.3125</v>
      </c>
      <c r="D82" s="11">
        <v>8354.9650000000001</v>
      </c>
      <c r="E82" s="11">
        <f t="shared" si="4"/>
        <v>1166.3474999999999</v>
      </c>
      <c r="F82" s="12">
        <f t="shared" si="7"/>
        <v>0.13959932806421091</v>
      </c>
      <c r="G82" s="13">
        <v>9607</v>
      </c>
      <c r="H82" s="13">
        <f t="shared" si="5"/>
        <v>-85.6875</v>
      </c>
      <c r="I82" s="14">
        <f t="shared" si="6"/>
        <v>-8.919277610075986E-3</v>
      </c>
      <c r="J82" s="60"/>
      <c r="K82" s="60"/>
    </row>
    <row r="83" spans="1:11" ht="28.9">
      <c r="A83" s="27" t="str">
        <v>Tucson Main Parking Garage</v>
      </c>
      <c r="B83" s="28" t="str">
        <v>AZ</v>
      </c>
      <c r="C83" s="10">
        <v>21891.639297072601</v>
      </c>
      <c r="D83" s="15">
        <v>17025.96</v>
      </c>
      <c r="E83" s="15">
        <f t="shared" si="4"/>
        <v>4865.6792970726019</v>
      </c>
      <c r="F83" s="16">
        <f t="shared" si="7"/>
        <v>0.28578002632877103</v>
      </c>
      <c r="G83" s="17">
        <v>12621</v>
      </c>
      <c r="H83" s="17">
        <f t="shared" si="5"/>
        <v>9270.639297072601</v>
      </c>
      <c r="I83" s="16">
        <f t="shared" si="6"/>
        <v>0.73454078892897556</v>
      </c>
      <c r="J83" s="49" t="s">
        <v>236</v>
      </c>
      <c r="K83" s="81" t="s">
        <v>237</v>
      </c>
    </row>
    <row r="84" spans="1:11" ht="15.6">
      <c r="A84" s="25" t="str">
        <v>BE 199502 - Westgate</v>
      </c>
      <c r="B84" s="26" t="str">
        <v>CA</v>
      </c>
      <c r="C84" s="57">
        <v>2586.6</v>
      </c>
      <c r="D84" s="11" t="s">
        <v>208</v>
      </c>
      <c r="E84" s="11" t="str">
        <f t="shared" si="4"/>
        <v/>
      </c>
      <c r="F84" s="12" t="str">
        <f t="shared" si="7"/>
        <v/>
      </c>
      <c r="G84" s="13">
        <v>2484.5</v>
      </c>
      <c r="H84" s="13">
        <f t="shared" si="5"/>
        <v>102.09999999999991</v>
      </c>
      <c r="I84" s="14">
        <f t="shared" si="6"/>
        <v>4.1094787683638521E-2</v>
      </c>
      <c r="J84" s="60"/>
      <c r="K84" s="60"/>
    </row>
    <row r="85" spans="1:11" ht="14.45">
      <c r="A85" s="66"/>
      <c r="B85" s="64"/>
      <c r="C85" s="18"/>
      <c r="D85" s="18"/>
      <c r="E85" s="18"/>
      <c r="F85" s="19"/>
      <c r="G85" s="18"/>
      <c r="H85" s="18"/>
      <c r="I85" s="19"/>
      <c r="J85" s="62"/>
      <c r="K85" s="62"/>
    </row>
    <row r="86" spans="1:11" ht="14.45">
      <c r="A86" s="66"/>
      <c r="B86" s="64"/>
      <c r="C86" s="18"/>
      <c r="D86" s="18"/>
      <c r="E86" s="18"/>
      <c r="F86" s="19"/>
      <c r="G86" s="18"/>
      <c r="H86" s="18"/>
      <c r="I86" s="19"/>
      <c r="J86" s="62"/>
      <c r="K86" s="62"/>
    </row>
    <row r="87" spans="1:11" ht="14.45">
      <c r="A87" s="66"/>
      <c r="B87" s="64"/>
      <c r="C87" s="18"/>
      <c r="D87" s="18"/>
      <c r="E87" s="18"/>
      <c r="F87" s="19"/>
      <c r="G87" s="18"/>
      <c r="H87" s="18"/>
      <c r="I87" s="19"/>
      <c r="J87" s="62"/>
      <c r="K87" s="62"/>
    </row>
    <row r="88" spans="1:11" ht="14.45">
      <c r="A88" s="66"/>
      <c r="B88" s="64"/>
      <c r="C88" s="18"/>
      <c r="D88" s="18"/>
      <c r="E88" s="18"/>
      <c r="F88" s="19"/>
      <c r="G88" s="18"/>
      <c r="H88" s="18"/>
      <c r="I88" s="19"/>
      <c r="J88" s="62"/>
      <c r="K88" s="62"/>
    </row>
    <row r="89" spans="1:11" ht="14.45">
      <c r="A89" s="66"/>
      <c r="B89" s="64"/>
      <c r="C89" s="18"/>
      <c r="D89" s="18"/>
      <c r="E89" s="18"/>
      <c r="F89" s="19"/>
      <c r="G89" s="18"/>
      <c r="H89" s="18"/>
      <c r="I89" s="19"/>
      <c r="J89" s="62"/>
      <c r="K89" s="62"/>
    </row>
    <row r="90" spans="1:11" ht="14.45">
      <c r="A90" s="66"/>
      <c r="B90" s="64"/>
      <c r="C90" s="18"/>
      <c r="D90" s="18"/>
      <c r="E90" s="18"/>
      <c r="F90" s="19"/>
      <c r="G90" s="18"/>
      <c r="H90" s="18"/>
      <c r="I90" s="19"/>
      <c r="J90" s="62"/>
      <c r="K90" s="62"/>
    </row>
    <row r="91" spans="1:11" ht="14.45">
      <c r="A91" s="66"/>
      <c r="B91" s="64"/>
      <c r="C91" s="18"/>
      <c r="D91" s="18"/>
      <c r="E91" s="18"/>
      <c r="F91" s="19"/>
      <c r="G91" s="18"/>
      <c r="H91" s="18"/>
      <c r="I91" s="19"/>
      <c r="J91" s="62"/>
      <c r="K91" s="62"/>
    </row>
    <row r="92" spans="1:11" ht="14.45">
      <c r="A92" s="66"/>
      <c r="B92" s="64"/>
      <c r="C92" s="18"/>
      <c r="D92" s="18"/>
      <c r="E92" s="18"/>
      <c r="F92" s="19"/>
      <c r="G92" s="18"/>
      <c r="H92" s="18"/>
      <c r="I92" s="19"/>
      <c r="J92" s="62"/>
      <c r="K92" s="62"/>
    </row>
    <row r="93" spans="1:11" ht="14.45">
      <c r="A93" s="66"/>
      <c r="B93" s="64"/>
      <c r="C93" s="18"/>
      <c r="D93" s="18"/>
      <c r="E93" s="18"/>
      <c r="F93" s="19"/>
      <c r="G93" s="18"/>
      <c r="H93" s="18"/>
      <c r="I93" s="19"/>
      <c r="J93" s="62"/>
      <c r="K93" s="62"/>
    </row>
    <row r="94" spans="1:11" ht="14.45">
      <c r="A94" s="66"/>
      <c r="B94" s="64"/>
      <c r="C94" s="18"/>
      <c r="D94" s="18"/>
      <c r="E94" s="18"/>
      <c r="F94" s="19"/>
      <c r="G94" s="18"/>
      <c r="H94" s="18"/>
      <c r="I94" s="19"/>
      <c r="J94" s="62"/>
      <c r="K94" s="62"/>
    </row>
    <row r="95" spans="1:11" ht="14.45">
      <c r="A95" s="66"/>
      <c r="B95" s="64"/>
      <c r="C95" s="18"/>
      <c r="D95" s="18"/>
      <c r="E95" s="18"/>
      <c r="F95" s="19"/>
      <c r="G95" s="18"/>
      <c r="H95" s="18"/>
      <c r="I95" s="19"/>
      <c r="J95" s="62"/>
      <c r="K95" s="62"/>
    </row>
    <row r="96" spans="1:11" ht="14.45">
      <c r="A96" s="66"/>
      <c r="B96" s="64"/>
      <c r="C96" s="18"/>
      <c r="D96" s="18"/>
      <c r="E96" s="18"/>
      <c r="F96" s="19"/>
      <c r="G96" s="18"/>
      <c r="H96" s="18"/>
      <c r="I96" s="19"/>
      <c r="J96" s="62"/>
      <c r="K96" s="62"/>
    </row>
    <row r="97" spans="1:11" ht="14.45">
      <c r="A97" s="66"/>
      <c r="B97" s="64"/>
      <c r="C97" s="18"/>
      <c r="D97" s="18"/>
      <c r="E97" s="18"/>
      <c r="F97" s="19"/>
      <c r="G97" s="18"/>
      <c r="H97" s="18"/>
      <c r="I97" s="19"/>
      <c r="J97" s="62"/>
      <c r="K97" s="62"/>
    </row>
    <row r="98" spans="1:11" ht="14.45">
      <c r="A98" s="66"/>
      <c r="B98" s="64"/>
      <c r="C98" s="18"/>
      <c r="D98" s="18"/>
      <c r="E98" s="18"/>
      <c r="F98" s="19"/>
      <c r="G98" s="18"/>
      <c r="H98" s="18"/>
      <c r="I98" s="19"/>
      <c r="J98" s="62"/>
      <c r="K98" s="62"/>
    </row>
    <row r="99" spans="1:11" ht="14.45">
      <c r="A99" s="66"/>
      <c r="B99" s="64"/>
      <c r="C99" s="18"/>
      <c r="D99" s="18"/>
      <c r="E99" s="18"/>
      <c r="F99" s="19"/>
      <c r="G99" s="18"/>
      <c r="H99" s="18"/>
      <c r="I99" s="19"/>
      <c r="J99" s="62"/>
      <c r="K99" s="62"/>
    </row>
    <row r="100" spans="1:11" ht="14.45">
      <c r="A100" s="66"/>
      <c r="B100" s="64"/>
      <c r="C100" s="18"/>
      <c r="D100" s="18"/>
      <c r="E100" s="18"/>
      <c r="F100" s="19"/>
      <c r="G100" s="18"/>
      <c r="H100" s="18"/>
      <c r="I100" s="19"/>
      <c r="J100" s="62"/>
      <c r="K100" s="62"/>
    </row>
    <row r="101" spans="1:11" ht="14.45">
      <c r="A101" s="66"/>
      <c r="B101" s="64"/>
      <c r="C101" s="18"/>
      <c r="D101" s="18"/>
      <c r="E101" s="18"/>
      <c r="F101" s="19"/>
      <c r="G101" s="18"/>
      <c r="H101" s="18"/>
      <c r="I101" s="19"/>
      <c r="J101" s="62"/>
      <c r="K101" s="62"/>
    </row>
    <row r="102" spans="1:11" ht="14.45">
      <c r="A102" s="66"/>
      <c r="B102" s="64"/>
      <c r="C102" s="18"/>
      <c r="D102" s="18"/>
      <c r="E102" s="18"/>
      <c r="F102" s="19"/>
      <c r="G102" s="18"/>
      <c r="H102" s="18"/>
      <c r="I102" s="19"/>
      <c r="J102" s="62"/>
      <c r="K102" s="62"/>
    </row>
    <row r="103" spans="1:11" ht="14.45">
      <c r="A103" s="66"/>
      <c r="B103" s="64"/>
      <c r="C103" s="18"/>
      <c r="D103" s="18"/>
      <c r="E103" s="18"/>
      <c r="F103" s="19"/>
      <c r="G103" s="18"/>
      <c r="H103" s="18"/>
      <c r="I103" s="19"/>
      <c r="J103" s="62"/>
      <c r="K103" s="62"/>
    </row>
    <row r="104" spans="1:11" ht="14.45">
      <c r="A104" s="66"/>
      <c r="B104" s="64"/>
      <c r="C104" s="18"/>
      <c r="D104" s="18"/>
      <c r="E104" s="18"/>
      <c r="F104" s="19"/>
      <c r="G104" s="18"/>
      <c r="H104" s="18"/>
      <c r="I104" s="19"/>
      <c r="J104" s="62"/>
      <c r="K104" s="62"/>
    </row>
    <row r="105" spans="1:11" ht="14.45">
      <c r="A105" s="66"/>
      <c r="B105" s="64"/>
      <c r="C105" s="18"/>
      <c r="D105" s="18"/>
      <c r="E105" s="18"/>
      <c r="F105" s="19"/>
      <c r="G105" s="18"/>
      <c r="H105" s="18"/>
      <c r="I105" s="19"/>
      <c r="J105" s="62"/>
      <c r="K105" s="62"/>
    </row>
    <row r="106" spans="1:11" ht="14.45">
      <c r="A106" s="66"/>
      <c r="B106" s="64"/>
      <c r="C106" s="18"/>
      <c r="D106" s="18"/>
      <c r="E106" s="18"/>
      <c r="F106" s="19"/>
      <c r="G106" s="18"/>
      <c r="H106" s="18"/>
      <c r="I106" s="19"/>
      <c r="J106" s="62"/>
      <c r="K106" s="62"/>
    </row>
    <row r="107" spans="1:11" ht="14.45">
      <c r="A107" s="66"/>
      <c r="B107" s="64"/>
      <c r="C107" s="18"/>
      <c r="D107" s="18"/>
      <c r="E107" s="18"/>
      <c r="F107" s="19"/>
      <c r="G107" s="18"/>
      <c r="H107" s="18"/>
      <c r="I107" s="19"/>
      <c r="J107" s="62"/>
      <c r="K107" s="62"/>
    </row>
    <row r="108" spans="1:11" ht="14.45">
      <c r="A108" s="66"/>
      <c r="B108" s="64"/>
      <c r="C108" s="18"/>
      <c r="D108" s="18"/>
      <c r="E108" s="18"/>
      <c r="F108" s="19"/>
      <c r="G108" s="18"/>
      <c r="H108" s="18"/>
      <c r="I108" s="19"/>
      <c r="J108" s="62"/>
      <c r="K108" s="62"/>
    </row>
    <row r="109" spans="1:11" ht="14.45">
      <c r="A109" s="66"/>
      <c r="B109" s="64"/>
      <c r="C109" s="18"/>
      <c r="D109" s="18"/>
      <c r="E109" s="18"/>
      <c r="F109" s="19"/>
      <c r="G109" s="18"/>
      <c r="H109" s="18"/>
      <c r="I109" s="19"/>
      <c r="J109" s="62"/>
      <c r="K109" s="62"/>
    </row>
    <row r="110" spans="1:11" ht="14.45">
      <c r="A110" s="66"/>
      <c r="B110" s="64"/>
      <c r="C110" s="18"/>
      <c r="D110" s="18"/>
      <c r="E110" s="18"/>
      <c r="F110" s="19"/>
      <c r="G110" s="18"/>
      <c r="H110" s="18"/>
      <c r="I110" s="19"/>
      <c r="J110" s="62"/>
      <c r="K110" s="62"/>
    </row>
    <row r="111" spans="1:11" ht="14.45">
      <c r="A111" s="66"/>
      <c r="B111" s="64"/>
      <c r="C111" s="18"/>
      <c r="D111" s="18"/>
      <c r="E111" s="18"/>
      <c r="F111" s="19"/>
      <c r="G111" s="18"/>
      <c r="H111" s="18"/>
      <c r="I111" s="19"/>
      <c r="J111" s="62"/>
      <c r="K111" s="62"/>
    </row>
    <row r="112" spans="1:11" ht="14.45">
      <c r="A112" s="66"/>
      <c r="B112" s="64"/>
      <c r="C112" s="18"/>
      <c r="D112" s="18"/>
      <c r="E112" s="18"/>
      <c r="F112" s="19"/>
      <c r="G112" s="18"/>
      <c r="H112" s="18"/>
      <c r="I112" s="19"/>
      <c r="J112" s="62"/>
      <c r="K112" s="62"/>
    </row>
    <row r="113" spans="1:11" ht="14.45">
      <c r="A113" s="66"/>
      <c r="B113" s="64"/>
      <c r="C113" s="18"/>
      <c r="D113" s="18"/>
      <c r="E113" s="18"/>
      <c r="F113" s="19"/>
      <c r="G113" s="18"/>
      <c r="H113" s="18"/>
      <c r="I113" s="19"/>
      <c r="J113" s="62"/>
      <c r="K113" s="62"/>
    </row>
    <row r="114" spans="1:11" ht="14.45">
      <c r="A114" s="66"/>
      <c r="B114" s="64"/>
      <c r="C114" s="18"/>
      <c r="D114" s="18"/>
      <c r="E114" s="18"/>
      <c r="F114" s="19"/>
      <c r="G114" s="18"/>
      <c r="H114" s="18"/>
      <c r="I114" s="19"/>
      <c r="J114" s="62"/>
      <c r="K114" s="62"/>
    </row>
    <row r="115" spans="1:11" ht="14.45">
      <c r="A115" s="66"/>
      <c r="B115" s="64"/>
      <c r="C115" s="18"/>
      <c r="D115" s="18"/>
      <c r="E115" s="18"/>
      <c r="F115" s="19"/>
      <c r="G115" s="18"/>
      <c r="H115" s="18"/>
      <c r="I115" s="19"/>
      <c r="J115" s="62"/>
      <c r="K115" s="62"/>
    </row>
    <row r="116" spans="1:11" ht="14.45">
      <c r="A116" s="66"/>
      <c r="B116" s="64"/>
      <c r="C116" s="18"/>
      <c r="D116" s="18"/>
      <c r="E116" s="18"/>
      <c r="F116" s="19"/>
      <c r="G116" s="18"/>
      <c r="H116" s="18"/>
      <c r="I116" s="19"/>
      <c r="J116" s="62"/>
      <c r="K116" s="62"/>
    </row>
    <row r="117" spans="1:11" ht="14.45">
      <c r="A117" s="66"/>
      <c r="B117" s="64"/>
      <c r="C117" s="18"/>
      <c r="D117" s="18"/>
      <c r="E117" s="18"/>
      <c r="F117" s="19"/>
      <c r="G117" s="18"/>
      <c r="H117" s="18"/>
      <c r="I117" s="19"/>
      <c r="J117" s="62"/>
      <c r="K117" s="62"/>
    </row>
    <row r="118" spans="1:11" ht="14.45">
      <c r="A118" s="66"/>
      <c r="B118" s="64"/>
      <c r="C118" s="18"/>
      <c r="D118" s="18"/>
      <c r="E118" s="18"/>
      <c r="F118" s="19"/>
      <c r="G118" s="18"/>
      <c r="H118" s="18"/>
      <c r="I118" s="19"/>
      <c r="J118" s="62"/>
      <c r="K118" s="62"/>
    </row>
    <row r="119" spans="1:11" ht="14.45">
      <c r="A119" s="66"/>
      <c r="B119" s="64"/>
      <c r="C119" s="18"/>
      <c r="D119" s="18"/>
      <c r="E119" s="18"/>
      <c r="F119" s="19"/>
      <c r="G119" s="18"/>
      <c r="H119" s="18"/>
      <c r="I119" s="19"/>
      <c r="J119" s="62"/>
      <c r="K119" s="62"/>
    </row>
    <row r="120" spans="1:11" ht="14.45">
      <c r="A120" s="66"/>
      <c r="B120" s="64"/>
      <c r="C120" s="18"/>
      <c r="D120" s="18"/>
      <c r="E120" s="18"/>
      <c r="F120" s="19"/>
      <c r="G120" s="18"/>
      <c r="H120" s="18"/>
      <c r="I120" s="19"/>
      <c r="J120" s="62"/>
      <c r="K120" s="62"/>
    </row>
    <row r="121" spans="1:11" ht="14.45">
      <c r="A121" s="66"/>
      <c r="B121" s="64"/>
      <c r="C121" s="18"/>
      <c r="D121" s="18"/>
      <c r="E121" s="18"/>
      <c r="F121" s="19"/>
      <c r="G121" s="18"/>
      <c r="H121" s="18"/>
      <c r="I121" s="19"/>
      <c r="J121" s="62"/>
      <c r="K121" s="62"/>
    </row>
    <row r="122" spans="1:11" ht="14.45">
      <c r="A122" s="66"/>
      <c r="B122" s="64"/>
      <c r="C122" s="18"/>
      <c r="D122" s="18"/>
      <c r="E122" s="18"/>
      <c r="F122" s="19"/>
      <c r="G122" s="18"/>
      <c r="H122" s="18"/>
      <c r="I122" s="19"/>
      <c r="J122" s="62"/>
      <c r="K122" s="62"/>
    </row>
    <row r="123" spans="1:11" ht="14.45">
      <c r="A123" s="66"/>
      <c r="B123" s="64"/>
      <c r="C123" s="18"/>
      <c r="D123" s="18"/>
      <c r="E123" s="18"/>
      <c r="F123" s="19"/>
      <c r="G123" s="18"/>
      <c r="H123" s="18"/>
      <c r="I123" s="19"/>
      <c r="J123" s="62"/>
      <c r="K123" s="62"/>
    </row>
    <row r="124" spans="1:11" ht="14.45">
      <c r="A124" s="66"/>
      <c r="B124" s="64"/>
      <c r="C124" s="18"/>
      <c r="D124" s="18"/>
      <c r="E124" s="18"/>
      <c r="F124" s="19"/>
      <c r="G124" s="18"/>
      <c r="H124" s="18"/>
      <c r="I124" s="19"/>
      <c r="J124" s="62"/>
      <c r="K124" s="62"/>
    </row>
    <row r="125" spans="1:11" ht="14.45">
      <c r="A125" s="66"/>
      <c r="B125" s="64"/>
      <c r="C125" s="18"/>
      <c r="D125" s="18"/>
      <c r="E125" s="18"/>
      <c r="F125" s="19"/>
      <c r="G125" s="18"/>
      <c r="H125" s="18"/>
      <c r="I125" s="19"/>
      <c r="J125" s="62"/>
      <c r="K125" s="62"/>
    </row>
    <row r="126" spans="1:11" ht="14.45">
      <c r="A126" s="66"/>
      <c r="B126" s="64"/>
      <c r="C126" s="18"/>
      <c r="D126" s="18"/>
      <c r="E126" s="18"/>
      <c r="F126" s="19"/>
      <c r="G126" s="18"/>
      <c r="H126" s="18"/>
      <c r="I126" s="19"/>
      <c r="J126" s="62"/>
      <c r="K126" s="62"/>
    </row>
    <row r="127" spans="1:11" ht="14.45">
      <c r="A127" s="66"/>
      <c r="B127" s="64"/>
      <c r="C127" s="18"/>
      <c r="D127" s="18"/>
      <c r="E127" s="18"/>
      <c r="F127" s="19"/>
      <c r="G127" s="18"/>
      <c r="H127" s="18"/>
      <c r="I127" s="19"/>
      <c r="J127" s="62"/>
      <c r="K127" s="62"/>
    </row>
    <row r="128" spans="1:11" ht="14.45">
      <c r="A128" s="66"/>
      <c r="B128" s="64"/>
      <c r="C128" s="18"/>
      <c r="D128" s="18"/>
      <c r="E128" s="18"/>
      <c r="F128" s="19"/>
      <c r="G128" s="18"/>
      <c r="H128" s="18"/>
      <c r="I128" s="19"/>
      <c r="J128" s="62"/>
      <c r="K128" s="62"/>
    </row>
    <row r="129" spans="1:11" ht="14.45">
      <c r="A129" s="66"/>
      <c r="B129" s="64"/>
      <c r="C129" s="18"/>
      <c r="D129" s="18"/>
      <c r="E129" s="18"/>
      <c r="F129" s="19"/>
      <c r="G129" s="18"/>
      <c r="H129" s="18"/>
      <c r="I129" s="19"/>
      <c r="J129" s="62"/>
      <c r="K129" s="62"/>
    </row>
    <row r="130" spans="1:11" ht="14.45">
      <c r="A130" s="66"/>
      <c r="B130" s="64"/>
      <c r="C130" s="18"/>
      <c r="D130" s="18"/>
      <c r="E130" s="18"/>
      <c r="F130" s="19"/>
      <c r="G130" s="18"/>
      <c r="H130" s="18"/>
      <c r="I130" s="19"/>
      <c r="J130" s="62"/>
      <c r="K130" s="62"/>
    </row>
    <row r="131" spans="1:11" ht="14.45">
      <c r="A131" s="66"/>
      <c r="B131" s="64"/>
      <c r="C131" s="18"/>
      <c r="D131" s="18"/>
      <c r="E131" s="18"/>
      <c r="F131" s="19"/>
      <c r="G131" s="18"/>
      <c r="H131" s="18"/>
      <c r="I131" s="19"/>
      <c r="J131" s="62"/>
      <c r="K131" s="62"/>
    </row>
    <row r="132" spans="1:11" ht="14.45">
      <c r="A132" s="66"/>
      <c r="B132" s="64"/>
      <c r="C132" s="18"/>
      <c r="D132" s="18"/>
      <c r="E132" s="18"/>
      <c r="F132" s="19"/>
      <c r="G132" s="18"/>
      <c r="H132" s="18"/>
      <c r="I132" s="19"/>
      <c r="J132" s="62"/>
      <c r="K132" s="62"/>
    </row>
    <row r="133" spans="1:11" ht="14.45">
      <c r="A133" s="66"/>
      <c r="B133" s="64"/>
      <c r="C133" s="18"/>
      <c r="D133" s="18"/>
      <c r="E133" s="18"/>
      <c r="F133" s="19"/>
      <c r="G133" s="18"/>
      <c r="H133" s="18"/>
      <c r="I133" s="19"/>
      <c r="J133" s="62"/>
      <c r="K133" s="62"/>
    </row>
    <row r="134" spans="1:11" ht="14.45">
      <c r="A134" s="66"/>
      <c r="B134" s="64"/>
      <c r="C134" s="18"/>
      <c r="D134" s="18"/>
      <c r="E134" s="18"/>
      <c r="F134" s="19"/>
      <c r="G134" s="18"/>
      <c r="H134" s="18"/>
      <c r="I134" s="19"/>
      <c r="J134" s="62"/>
      <c r="K134" s="62"/>
    </row>
    <row r="135" spans="1:11" ht="14.45">
      <c r="A135" s="66"/>
      <c r="B135" s="64"/>
      <c r="C135" s="18"/>
      <c r="D135" s="18"/>
      <c r="E135" s="18"/>
      <c r="F135" s="19"/>
      <c r="G135" s="18"/>
      <c r="H135" s="18"/>
      <c r="I135" s="19"/>
      <c r="J135" s="62"/>
      <c r="K135" s="62"/>
    </row>
    <row r="136" spans="1:11" ht="14.45">
      <c r="A136" s="66"/>
      <c r="B136" s="64"/>
      <c r="C136" s="18"/>
      <c r="D136" s="18"/>
      <c r="E136" s="18"/>
      <c r="F136" s="19"/>
      <c r="G136" s="18"/>
      <c r="H136" s="18"/>
      <c r="I136" s="19"/>
      <c r="J136" s="62"/>
      <c r="K136" s="62"/>
    </row>
    <row r="137" spans="1:11" ht="14.45">
      <c r="A137" s="66"/>
      <c r="B137" s="64"/>
      <c r="C137" s="18"/>
      <c r="D137" s="18"/>
      <c r="E137" s="18"/>
      <c r="F137" s="19"/>
      <c r="G137" s="18"/>
      <c r="H137" s="18"/>
      <c r="I137" s="19"/>
      <c r="J137" s="62"/>
      <c r="K137" s="62"/>
    </row>
    <row r="138" spans="1:11" ht="14.45">
      <c r="A138" s="66"/>
      <c r="B138" s="64"/>
      <c r="C138" s="18"/>
      <c r="D138" s="18"/>
      <c r="E138" s="18"/>
      <c r="F138" s="19"/>
      <c r="G138" s="18"/>
      <c r="H138" s="18"/>
      <c r="I138" s="19"/>
      <c r="J138" s="62"/>
      <c r="K138" s="62"/>
    </row>
    <row r="139" spans="1:11" ht="14.45">
      <c r="A139" s="66"/>
      <c r="B139" s="64"/>
      <c r="C139" s="18"/>
      <c r="D139" s="18"/>
      <c r="E139" s="18"/>
      <c r="F139" s="19"/>
      <c r="G139" s="18"/>
      <c r="H139" s="18"/>
      <c r="I139" s="19"/>
      <c r="J139" s="62"/>
      <c r="K139" s="62"/>
    </row>
    <row r="140" spans="1:11" ht="14.45">
      <c r="A140" s="66"/>
      <c r="B140" s="64"/>
      <c r="C140" s="18"/>
      <c r="D140" s="18"/>
      <c r="E140" s="18"/>
      <c r="F140" s="19"/>
      <c r="G140" s="18"/>
      <c r="H140" s="18"/>
      <c r="I140" s="19"/>
      <c r="J140" s="62"/>
      <c r="K140" s="62"/>
    </row>
    <row r="141" spans="1:11" ht="14.45">
      <c r="A141" s="66"/>
      <c r="B141" s="64"/>
      <c r="C141" s="18"/>
      <c r="D141" s="18"/>
      <c r="E141" s="18"/>
      <c r="F141" s="19"/>
      <c r="G141" s="18"/>
      <c r="H141" s="18"/>
      <c r="I141" s="19"/>
      <c r="J141" s="62"/>
      <c r="K141" s="62"/>
    </row>
    <row r="142" spans="1:11" ht="14.45">
      <c r="A142" s="66"/>
      <c r="B142" s="64"/>
      <c r="C142" s="18"/>
      <c r="D142" s="18"/>
      <c r="E142" s="18"/>
      <c r="F142" s="19"/>
      <c r="G142" s="18"/>
      <c r="H142" s="18"/>
      <c r="I142" s="19"/>
      <c r="J142" s="62"/>
      <c r="K142" s="62"/>
    </row>
    <row r="143" spans="1:11" ht="14.45">
      <c r="A143" s="66"/>
      <c r="B143" s="64"/>
      <c r="C143" s="18"/>
      <c r="D143" s="18"/>
      <c r="E143" s="18"/>
      <c r="F143" s="19"/>
      <c r="G143" s="18"/>
      <c r="H143" s="18"/>
      <c r="I143" s="19"/>
      <c r="J143" s="62"/>
      <c r="K143" s="62"/>
    </row>
    <row r="144" spans="1:11" ht="14.45">
      <c r="A144" s="66"/>
      <c r="B144" s="64"/>
      <c r="C144" s="18"/>
      <c r="D144" s="18"/>
      <c r="E144" s="18"/>
      <c r="F144" s="19"/>
      <c r="G144" s="18"/>
      <c r="H144" s="18"/>
      <c r="I144" s="19"/>
      <c r="J144" s="62"/>
      <c r="K144" s="62"/>
    </row>
    <row r="145" spans="1:11" ht="14.45">
      <c r="A145" s="66"/>
      <c r="B145" s="64"/>
      <c r="C145" s="18"/>
      <c r="D145" s="18"/>
      <c r="E145" s="18"/>
      <c r="F145" s="19"/>
      <c r="G145" s="18"/>
      <c r="H145" s="18"/>
      <c r="I145" s="19"/>
      <c r="J145" s="62"/>
      <c r="K145" s="62"/>
    </row>
    <row r="146" spans="1:11" ht="14.45">
      <c r="A146" s="66"/>
      <c r="B146" s="64"/>
      <c r="C146" s="18"/>
      <c r="D146" s="18"/>
      <c r="E146" s="18"/>
      <c r="F146" s="19"/>
      <c r="G146" s="18"/>
      <c r="H146" s="18"/>
      <c r="I146" s="19"/>
      <c r="J146" s="62"/>
      <c r="K146" s="62"/>
    </row>
    <row r="147" spans="1:11" ht="14.45">
      <c r="A147" s="66"/>
      <c r="B147" s="64"/>
      <c r="C147" s="18"/>
      <c r="D147" s="18"/>
      <c r="E147" s="18"/>
      <c r="F147" s="19"/>
      <c r="G147" s="18"/>
      <c r="H147" s="18"/>
      <c r="I147" s="19"/>
      <c r="J147" s="62"/>
      <c r="K147" s="62"/>
    </row>
    <row r="148" spans="1:11" ht="14.45">
      <c r="A148" s="66"/>
      <c r="B148" s="64"/>
      <c r="C148" s="18"/>
      <c r="D148" s="18"/>
      <c r="E148" s="18"/>
      <c r="F148" s="19"/>
      <c r="G148" s="18"/>
      <c r="H148" s="18"/>
      <c r="I148" s="19"/>
      <c r="J148" s="62"/>
      <c r="K148" s="62"/>
    </row>
    <row r="149" spans="1:11" ht="14.45">
      <c r="A149" s="66"/>
      <c r="B149" s="64"/>
      <c r="C149" s="18"/>
      <c r="D149" s="18"/>
      <c r="E149" s="18"/>
      <c r="F149" s="19"/>
      <c r="G149" s="18"/>
      <c r="H149" s="18"/>
      <c r="I149" s="19"/>
      <c r="J149" s="62"/>
      <c r="K149" s="62"/>
    </row>
    <row r="150" spans="1:11" ht="14.45">
      <c r="A150" s="66"/>
      <c r="B150" s="64"/>
      <c r="C150" s="18"/>
      <c r="D150" s="18"/>
      <c r="E150" s="18"/>
      <c r="F150" s="19"/>
      <c r="G150" s="18"/>
      <c r="H150" s="18"/>
      <c r="I150" s="19"/>
      <c r="J150" s="62"/>
      <c r="K150" s="62"/>
    </row>
    <row r="151" spans="1:11" ht="14.45">
      <c r="A151" s="66"/>
      <c r="B151" s="64"/>
      <c r="C151" s="18"/>
      <c r="D151" s="18"/>
      <c r="E151" s="18"/>
      <c r="F151" s="19"/>
      <c r="G151" s="18"/>
      <c r="H151" s="18"/>
      <c r="I151" s="19"/>
      <c r="J151" s="62"/>
      <c r="K151" s="62"/>
    </row>
    <row r="152" spans="1:11" ht="14.45">
      <c r="A152" s="66"/>
      <c r="B152" s="64"/>
      <c r="C152" s="18"/>
      <c r="D152" s="18"/>
      <c r="E152" s="18"/>
      <c r="F152" s="19"/>
      <c r="G152" s="18"/>
      <c r="H152" s="18"/>
      <c r="I152" s="19"/>
      <c r="J152" s="62"/>
      <c r="K152" s="62"/>
    </row>
    <row r="153" spans="1:11" ht="14.45">
      <c r="A153" s="66"/>
      <c r="B153" s="64"/>
      <c r="C153" s="18"/>
      <c r="D153" s="18"/>
      <c r="E153" s="18"/>
      <c r="F153" s="19"/>
      <c r="G153" s="18"/>
      <c r="H153" s="18"/>
      <c r="I153" s="19"/>
      <c r="J153" s="62"/>
      <c r="K153" s="62"/>
    </row>
    <row r="154" spans="1:11" ht="14.45">
      <c r="A154" s="66"/>
      <c r="B154" s="64"/>
      <c r="C154" s="18"/>
      <c r="D154" s="18"/>
      <c r="E154" s="18"/>
      <c r="F154" s="19"/>
      <c r="G154" s="18"/>
      <c r="H154" s="18"/>
      <c r="I154" s="19"/>
      <c r="J154" s="62"/>
      <c r="K154" s="62"/>
    </row>
    <row r="155" spans="1:11" ht="14.45">
      <c r="A155" s="66"/>
      <c r="B155" s="64"/>
      <c r="C155" s="18"/>
      <c r="D155" s="18"/>
      <c r="E155" s="18"/>
      <c r="F155" s="19"/>
      <c r="G155" s="18"/>
      <c r="H155" s="18"/>
      <c r="I155" s="19"/>
      <c r="J155" s="62"/>
      <c r="K155" s="62"/>
    </row>
    <row r="156" spans="1:11" ht="14.45">
      <c r="A156" s="66"/>
      <c r="B156" s="64"/>
      <c r="C156" s="18"/>
      <c r="D156" s="18"/>
      <c r="E156" s="18"/>
      <c r="F156" s="19"/>
      <c r="G156" s="18"/>
      <c r="H156" s="18"/>
      <c r="I156" s="19"/>
      <c r="J156" s="62"/>
      <c r="K156" s="62"/>
    </row>
    <row r="157" spans="1:11" ht="14.45">
      <c r="A157" s="66"/>
      <c r="B157" s="64"/>
      <c r="C157" s="18"/>
      <c r="D157" s="18"/>
      <c r="E157" s="18"/>
      <c r="F157" s="19"/>
      <c r="G157" s="18"/>
      <c r="H157" s="18"/>
      <c r="I157" s="19"/>
      <c r="J157" s="62"/>
      <c r="K157" s="62"/>
    </row>
    <row r="158" spans="1:11" ht="14.45">
      <c r="A158" s="66"/>
      <c r="B158" s="64"/>
      <c r="C158" s="18"/>
      <c r="D158" s="18"/>
      <c r="E158" s="18"/>
      <c r="F158" s="19"/>
      <c r="G158" s="18"/>
      <c r="H158" s="18"/>
      <c r="I158" s="19"/>
      <c r="J158" s="62"/>
      <c r="K158" s="62"/>
    </row>
    <row r="159" spans="1:11" ht="14.45">
      <c r="A159" s="66"/>
      <c r="B159" s="64"/>
      <c r="C159" s="18"/>
      <c r="D159" s="18"/>
      <c r="E159" s="18"/>
      <c r="F159" s="19"/>
      <c r="G159" s="18"/>
      <c r="H159" s="18"/>
      <c r="I159" s="19"/>
      <c r="J159" s="62"/>
      <c r="K159" s="62"/>
    </row>
    <row r="160" spans="1:11" ht="14.45">
      <c r="A160" s="66"/>
      <c r="B160" s="64"/>
      <c r="C160" s="18"/>
      <c r="D160" s="18"/>
      <c r="E160" s="18"/>
      <c r="F160" s="19"/>
      <c r="G160" s="18"/>
      <c r="H160" s="18"/>
      <c r="I160" s="19"/>
      <c r="J160" s="62"/>
      <c r="K160" s="62"/>
    </row>
    <row r="161" spans="1:11" ht="14.45">
      <c r="A161" s="66"/>
      <c r="B161" s="64"/>
      <c r="C161" s="18"/>
      <c r="D161" s="18"/>
      <c r="E161" s="18"/>
      <c r="F161" s="19"/>
      <c r="G161" s="18"/>
      <c r="H161" s="18"/>
      <c r="I161" s="19"/>
      <c r="J161" s="62"/>
      <c r="K161" s="62"/>
    </row>
    <row r="162" spans="1:11" ht="14.45">
      <c r="A162" s="66"/>
      <c r="B162" s="64"/>
      <c r="C162" s="18"/>
      <c r="D162" s="18"/>
      <c r="E162" s="18"/>
      <c r="F162" s="19"/>
      <c r="G162" s="18"/>
      <c r="H162" s="18"/>
      <c r="I162" s="19"/>
      <c r="J162" s="62"/>
      <c r="K162" s="62"/>
    </row>
    <row r="163" spans="1:11" ht="14.45">
      <c r="A163" s="66"/>
      <c r="B163" s="64"/>
      <c r="C163" s="18"/>
      <c r="D163" s="18"/>
      <c r="E163" s="18"/>
      <c r="F163" s="19"/>
      <c r="G163" s="18"/>
      <c r="H163" s="18"/>
      <c r="I163" s="19"/>
      <c r="J163" s="62"/>
      <c r="K163" s="62"/>
    </row>
    <row r="164" spans="1:11" ht="14.45">
      <c r="A164" s="66"/>
      <c r="B164" s="64"/>
      <c r="C164" s="18"/>
      <c r="D164" s="18"/>
      <c r="E164" s="18"/>
      <c r="F164" s="19"/>
      <c r="G164" s="18"/>
      <c r="H164" s="18"/>
      <c r="I164" s="19"/>
      <c r="J164" s="62"/>
      <c r="K164" s="62"/>
    </row>
    <row r="165" spans="1:11" ht="14.45">
      <c r="A165" s="66"/>
      <c r="B165" s="64"/>
      <c r="C165" s="18"/>
      <c r="D165" s="18"/>
      <c r="E165" s="18"/>
      <c r="F165" s="19"/>
      <c r="G165" s="18"/>
      <c r="H165" s="18"/>
      <c r="I165" s="19"/>
      <c r="J165" s="62"/>
      <c r="K165" s="62"/>
    </row>
    <row r="166" spans="1:11" ht="14.45">
      <c r="A166" s="66"/>
      <c r="B166" s="64"/>
      <c r="C166" s="18"/>
      <c r="D166" s="18"/>
      <c r="E166" s="18"/>
      <c r="F166" s="19"/>
      <c r="G166" s="18"/>
      <c r="H166" s="18"/>
      <c r="I166" s="19"/>
      <c r="J166" s="62"/>
      <c r="K166" s="62"/>
    </row>
    <row r="167" spans="1:11" ht="14.45">
      <c r="A167" s="66"/>
      <c r="B167" s="64"/>
      <c r="C167" s="18"/>
      <c r="D167" s="18"/>
      <c r="E167" s="18"/>
      <c r="F167" s="19"/>
      <c r="G167" s="18"/>
      <c r="H167" s="18"/>
      <c r="I167" s="19"/>
      <c r="J167" s="62"/>
      <c r="K167" s="62"/>
    </row>
    <row r="168" spans="1:11" ht="14.45">
      <c r="A168" s="66"/>
      <c r="B168" s="64"/>
      <c r="C168" s="18"/>
      <c r="D168" s="18"/>
      <c r="E168" s="18"/>
      <c r="F168" s="19"/>
      <c r="G168" s="18"/>
      <c r="H168" s="18"/>
      <c r="I168" s="19"/>
      <c r="J168" s="62"/>
      <c r="K168" s="62"/>
    </row>
    <row r="169" spans="1:11" ht="14.45">
      <c r="A169" s="66"/>
      <c r="B169" s="64"/>
      <c r="C169" s="18"/>
      <c r="D169" s="18"/>
      <c r="E169" s="18"/>
      <c r="F169" s="19"/>
      <c r="G169" s="18"/>
      <c r="H169" s="18"/>
      <c r="I169" s="19"/>
      <c r="J169" s="62"/>
      <c r="K169" s="62"/>
    </row>
    <row r="170" spans="1:11" ht="14.45">
      <c r="A170" s="66"/>
      <c r="B170" s="64"/>
      <c r="C170" s="18"/>
      <c r="D170" s="18"/>
      <c r="E170" s="18"/>
      <c r="F170" s="19"/>
      <c r="G170" s="18"/>
      <c r="H170" s="18"/>
      <c r="I170" s="19"/>
      <c r="J170" s="62"/>
      <c r="K170" s="62"/>
    </row>
    <row r="171" spans="1:11" ht="14.45">
      <c r="A171" s="66"/>
      <c r="B171" s="64"/>
      <c r="C171" s="18"/>
      <c r="D171" s="18"/>
      <c r="E171" s="18"/>
      <c r="F171" s="19"/>
      <c r="G171" s="18"/>
      <c r="H171" s="18"/>
      <c r="I171" s="19"/>
      <c r="J171" s="62"/>
      <c r="K171" s="62"/>
    </row>
    <row r="172" spans="1:11" ht="14.45">
      <c r="A172" s="66"/>
      <c r="B172" s="64"/>
      <c r="C172" s="18"/>
      <c r="D172" s="18"/>
      <c r="E172" s="18"/>
      <c r="F172" s="19"/>
      <c r="G172" s="18"/>
      <c r="H172" s="18"/>
      <c r="I172" s="19"/>
      <c r="J172" s="62"/>
      <c r="K172" s="62"/>
    </row>
    <row r="173" spans="1:11" ht="14.45">
      <c r="A173" s="66"/>
      <c r="B173" s="64"/>
      <c r="C173" s="18"/>
      <c r="D173" s="18"/>
      <c r="E173" s="18"/>
      <c r="F173" s="19"/>
      <c r="G173" s="18"/>
      <c r="H173" s="18"/>
      <c r="I173" s="19"/>
      <c r="J173" s="62"/>
      <c r="K173" s="62"/>
    </row>
    <row r="174" spans="1:11" ht="14.45">
      <c r="A174" s="66"/>
      <c r="B174" s="64"/>
      <c r="C174" s="18"/>
      <c r="D174" s="18"/>
      <c r="E174" s="18"/>
      <c r="F174" s="19"/>
      <c r="G174" s="18"/>
      <c r="H174" s="18"/>
      <c r="I174" s="19"/>
      <c r="J174" s="62"/>
      <c r="K174" s="62"/>
    </row>
    <row r="175" spans="1:11" ht="14.45">
      <c r="A175" s="66"/>
      <c r="B175" s="64"/>
      <c r="C175" s="18"/>
      <c r="D175" s="18"/>
      <c r="E175" s="18"/>
      <c r="F175" s="19"/>
      <c r="G175" s="18"/>
      <c r="H175" s="18"/>
      <c r="I175" s="19"/>
      <c r="J175" s="62"/>
      <c r="K175" s="62"/>
    </row>
    <row r="176" spans="1:11" ht="14.45">
      <c r="A176" s="66"/>
      <c r="B176" s="64"/>
      <c r="C176" s="18"/>
      <c r="D176" s="18"/>
      <c r="E176" s="18"/>
      <c r="F176" s="19"/>
      <c r="G176" s="18"/>
      <c r="H176" s="18"/>
      <c r="I176" s="19"/>
      <c r="J176" s="62"/>
      <c r="K176" s="62"/>
    </row>
    <row r="177" spans="1:11" ht="14.45">
      <c r="A177" s="66"/>
      <c r="B177" s="64"/>
      <c r="C177" s="18"/>
      <c r="D177" s="18"/>
      <c r="E177" s="18"/>
      <c r="F177" s="19"/>
      <c r="G177" s="18"/>
      <c r="H177" s="18"/>
      <c r="I177" s="19"/>
      <c r="J177" s="62"/>
      <c r="K177" s="62"/>
    </row>
    <row r="178" spans="1:11" ht="14.45">
      <c r="A178" s="66"/>
      <c r="B178" s="64"/>
      <c r="C178" s="18"/>
      <c r="D178" s="18"/>
      <c r="E178" s="18"/>
      <c r="F178" s="19"/>
      <c r="G178" s="18"/>
      <c r="H178" s="18"/>
      <c r="I178" s="19"/>
      <c r="J178" s="62"/>
      <c r="K178" s="62"/>
    </row>
    <row r="179" spans="1:11" ht="14.45">
      <c r="A179" s="66"/>
      <c r="B179" s="64"/>
      <c r="C179" s="18"/>
      <c r="D179" s="18"/>
      <c r="E179" s="18"/>
      <c r="F179" s="19"/>
      <c r="G179" s="18"/>
      <c r="H179" s="18"/>
      <c r="I179" s="19"/>
      <c r="J179" s="62"/>
      <c r="K179" s="62"/>
    </row>
    <row r="180" spans="1:11" ht="14.45">
      <c r="A180" s="66"/>
      <c r="B180" s="64"/>
      <c r="C180" s="18"/>
      <c r="D180" s="18"/>
      <c r="E180" s="18"/>
      <c r="F180" s="19"/>
      <c r="G180" s="18"/>
      <c r="H180" s="18"/>
      <c r="I180" s="19"/>
      <c r="J180" s="62"/>
      <c r="K180" s="62"/>
    </row>
    <row r="181" spans="1:11" ht="14.45">
      <c r="A181" s="66"/>
      <c r="B181" s="64"/>
      <c r="C181" s="18"/>
      <c r="D181" s="18"/>
      <c r="E181" s="18"/>
      <c r="F181" s="19"/>
      <c r="G181" s="18"/>
      <c r="H181" s="18"/>
      <c r="I181" s="19"/>
      <c r="J181" s="62"/>
      <c r="K181" s="62"/>
    </row>
    <row r="182" spans="1:11" ht="14.45">
      <c r="A182" s="66"/>
      <c r="B182" s="64"/>
      <c r="C182" s="18"/>
      <c r="D182" s="18"/>
      <c r="E182" s="18"/>
      <c r="F182" s="19"/>
      <c r="G182" s="18"/>
      <c r="H182" s="18"/>
      <c r="I182" s="19"/>
      <c r="J182" s="62"/>
      <c r="K182" s="62"/>
    </row>
    <row r="183" spans="1:11" ht="14.45">
      <c r="A183" s="66"/>
      <c r="B183" s="64"/>
      <c r="C183" s="18"/>
      <c r="D183" s="18"/>
      <c r="E183" s="18"/>
      <c r="F183" s="19"/>
      <c r="G183" s="18"/>
      <c r="H183" s="18"/>
      <c r="I183" s="19"/>
      <c r="J183" s="62"/>
      <c r="K183" s="62"/>
    </row>
    <row r="184" spans="1:11" ht="14.45">
      <c r="A184" s="66"/>
      <c r="B184" s="64"/>
      <c r="C184" s="18"/>
      <c r="D184" s="18"/>
      <c r="E184" s="18"/>
      <c r="F184" s="19"/>
      <c r="G184" s="18"/>
      <c r="H184" s="18"/>
      <c r="I184" s="19"/>
      <c r="J184" s="62"/>
      <c r="K184" s="62"/>
    </row>
    <row r="185" spans="1:11" ht="14.45">
      <c r="A185" s="66"/>
      <c r="B185" s="64"/>
      <c r="C185" s="18"/>
      <c r="D185" s="18"/>
      <c r="E185" s="18"/>
      <c r="F185" s="19"/>
      <c r="G185" s="18"/>
      <c r="H185" s="18"/>
      <c r="I185" s="19"/>
      <c r="J185" s="62"/>
      <c r="K185" s="62"/>
    </row>
    <row r="186" spans="1:11" ht="14.45">
      <c r="A186" s="66"/>
      <c r="B186" s="64"/>
      <c r="C186" s="18"/>
      <c r="D186" s="18"/>
      <c r="E186" s="18"/>
      <c r="F186" s="19"/>
      <c r="G186" s="18"/>
      <c r="H186" s="18"/>
      <c r="I186" s="19"/>
      <c r="J186" s="62"/>
      <c r="K186" s="62"/>
    </row>
    <row r="187" spans="1:11" ht="14.45">
      <c r="A187" s="66"/>
      <c r="B187" s="64"/>
      <c r="C187" s="18"/>
      <c r="D187" s="18"/>
      <c r="E187" s="18"/>
      <c r="F187" s="19"/>
      <c r="G187" s="18"/>
      <c r="H187" s="18"/>
      <c r="I187" s="19"/>
      <c r="J187" s="62"/>
      <c r="K187" s="62"/>
    </row>
    <row r="188" spans="1:11" ht="14.45">
      <c r="A188" s="66"/>
      <c r="B188" s="64"/>
      <c r="C188" s="18"/>
      <c r="D188" s="18"/>
      <c r="E188" s="18"/>
      <c r="F188" s="19"/>
      <c r="G188" s="18"/>
      <c r="H188" s="18"/>
      <c r="I188" s="19"/>
      <c r="J188" s="62"/>
      <c r="K188" s="62"/>
    </row>
    <row r="189" spans="1:11" ht="14.45">
      <c r="A189" s="66"/>
      <c r="B189" s="64"/>
      <c r="C189" s="18"/>
      <c r="D189" s="18"/>
      <c r="E189" s="18"/>
      <c r="F189" s="19"/>
      <c r="G189" s="18"/>
      <c r="H189" s="18"/>
      <c r="I189" s="19"/>
      <c r="J189" s="62"/>
      <c r="K189" s="62"/>
    </row>
    <row r="190" spans="1:11" ht="14.45">
      <c r="A190" s="66"/>
      <c r="B190" s="64"/>
      <c r="C190" s="18"/>
      <c r="D190" s="18"/>
      <c r="E190" s="18"/>
      <c r="F190" s="19"/>
      <c r="G190" s="18"/>
      <c r="H190" s="18"/>
      <c r="I190" s="19"/>
      <c r="J190" s="62"/>
      <c r="K190" s="62"/>
    </row>
    <row r="191" spans="1:11" ht="14.45">
      <c r="A191" s="66"/>
      <c r="B191" s="64"/>
      <c r="C191" s="18"/>
      <c r="D191" s="18"/>
      <c r="E191" s="18"/>
      <c r="F191" s="19"/>
      <c r="G191" s="18"/>
      <c r="H191" s="18"/>
      <c r="I191" s="19"/>
      <c r="J191" s="62"/>
      <c r="K191" s="62"/>
    </row>
    <row r="192" spans="1:11" ht="14.45">
      <c r="A192" s="66"/>
      <c r="B192" s="64"/>
      <c r="C192" s="18"/>
      <c r="D192" s="18"/>
      <c r="E192" s="18"/>
      <c r="F192" s="19"/>
      <c r="G192" s="18"/>
      <c r="H192" s="18"/>
      <c r="I192" s="19"/>
      <c r="J192" s="62"/>
      <c r="K192" s="62"/>
    </row>
    <row r="193" spans="1:11" ht="14.45">
      <c r="A193" s="66"/>
      <c r="B193" s="64"/>
      <c r="C193" s="18"/>
      <c r="D193" s="18"/>
      <c r="E193" s="18"/>
      <c r="F193" s="19"/>
      <c r="G193" s="18"/>
      <c r="H193" s="18"/>
      <c r="I193" s="19"/>
      <c r="J193" s="62"/>
      <c r="K193" s="62"/>
    </row>
    <row r="194" spans="1:11" ht="14.45">
      <c r="A194" s="66"/>
      <c r="B194" s="64"/>
      <c r="C194" s="18"/>
      <c r="D194" s="18"/>
      <c r="E194" s="18"/>
      <c r="F194" s="19"/>
      <c r="G194" s="18"/>
      <c r="H194" s="18"/>
      <c r="I194" s="19"/>
      <c r="J194" s="62"/>
      <c r="K194" s="62"/>
    </row>
    <row r="195" spans="1:11" ht="14.45">
      <c r="A195" s="66"/>
      <c r="B195" s="64"/>
      <c r="C195" s="18"/>
      <c r="D195" s="18"/>
      <c r="E195" s="18"/>
      <c r="F195" s="19"/>
      <c r="G195" s="18"/>
      <c r="H195" s="18"/>
      <c r="I195" s="19"/>
      <c r="J195" s="62"/>
      <c r="K195" s="62"/>
    </row>
    <row r="196" spans="1:11" ht="14.45">
      <c r="A196" s="66"/>
      <c r="B196" s="64"/>
      <c r="C196" s="18"/>
      <c r="D196" s="18"/>
      <c r="E196" s="18"/>
      <c r="F196" s="19"/>
      <c r="G196" s="18"/>
      <c r="H196" s="18"/>
      <c r="I196" s="19"/>
      <c r="J196" s="62"/>
      <c r="K196" s="62"/>
    </row>
    <row r="197" spans="1:11" ht="14.45">
      <c r="A197" s="66"/>
      <c r="B197" s="64"/>
      <c r="C197" s="18"/>
      <c r="D197" s="18"/>
      <c r="E197" s="18"/>
      <c r="F197" s="19"/>
      <c r="G197" s="18"/>
      <c r="H197" s="18"/>
      <c r="I197" s="19"/>
      <c r="J197" s="62"/>
      <c r="K197" s="62"/>
    </row>
    <row r="198" spans="1:11" ht="14.45">
      <c r="A198" s="66"/>
      <c r="B198" s="64"/>
      <c r="C198" s="18"/>
      <c r="D198" s="18"/>
      <c r="E198" s="18"/>
      <c r="F198" s="19"/>
      <c r="G198" s="18"/>
      <c r="H198" s="18"/>
      <c r="I198" s="19"/>
      <c r="J198" s="62"/>
      <c r="K198" s="62"/>
    </row>
    <row r="199" spans="1:11" ht="14.45">
      <c r="A199" s="66"/>
      <c r="B199" s="64"/>
      <c r="C199" s="18"/>
      <c r="D199" s="18"/>
      <c r="E199" s="18"/>
      <c r="F199" s="19"/>
      <c r="G199" s="18"/>
      <c r="H199" s="18"/>
      <c r="I199" s="19"/>
      <c r="J199" s="62"/>
      <c r="K199" s="62"/>
    </row>
    <row r="200" spans="1:11" ht="14.45">
      <c r="A200" s="66"/>
      <c r="B200" s="64"/>
      <c r="C200" s="18"/>
      <c r="D200" s="18"/>
      <c r="E200" s="18"/>
      <c r="F200" s="19"/>
      <c r="G200" s="18"/>
      <c r="H200" s="18"/>
      <c r="I200" s="19"/>
      <c r="J200" s="62"/>
      <c r="K200" s="62"/>
    </row>
    <row r="201" spans="1:11" ht="14.45">
      <c r="A201" s="66"/>
      <c r="B201" s="64"/>
      <c r="C201" s="18"/>
      <c r="D201" s="18"/>
      <c r="E201" s="18"/>
      <c r="F201" s="19"/>
      <c r="G201" s="18"/>
      <c r="H201" s="18"/>
      <c r="I201" s="19"/>
      <c r="J201" s="62"/>
      <c r="K201" s="62"/>
    </row>
    <row r="202" spans="1:11" ht="14.45">
      <c r="A202" s="66"/>
      <c r="B202" s="64"/>
      <c r="C202" s="18"/>
      <c r="D202" s="18"/>
      <c r="E202" s="18"/>
      <c r="F202" s="19"/>
      <c r="G202" s="18"/>
      <c r="H202" s="18"/>
      <c r="I202" s="19"/>
      <c r="J202" s="62"/>
      <c r="K202" s="62"/>
    </row>
    <row r="203" spans="1:11" ht="14.45">
      <c r="A203" s="66"/>
      <c r="B203" s="64"/>
      <c r="C203" s="18"/>
      <c r="D203" s="18"/>
      <c r="E203" s="18"/>
      <c r="F203" s="19"/>
      <c r="G203" s="18"/>
      <c r="H203" s="18"/>
      <c r="I203" s="19"/>
      <c r="J203" s="62"/>
      <c r="K203" s="62"/>
    </row>
    <row r="204" spans="1:11" ht="14.45">
      <c r="A204" s="66"/>
      <c r="B204" s="64"/>
      <c r="C204" s="18"/>
      <c r="D204" s="18"/>
      <c r="E204" s="18"/>
      <c r="F204" s="19"/>
      <c r="G204" s="18"/>
      <c r="H204" s="18"/>
      <c r="I204" s="19"/>
      <c r="J204" s="62"/>
      <c r="K204" s="62"/>
    </row>
    <row r="205" spans="1:11" ht="14.45">
      <c r="A205" s="66"/>
      <c r="B205" s="64"/>
      <c r="C205" s="18"/>
      <c r="D205" s="18"/>
      <c r="E205" s="18"/>
      <c r="F205" s="19"/>
      <c r="G205" s="18"/>
      <c r="H205" s="18"/>
      <c r="I205" s="19"/>
      <c r="J205" s="62"/>
      <c r="K205" s="62"/>
    </row>
    <row r="206" spans="1:11" ht="14.45">
      <c r="A206" s="66"/>
      <c r="B206" s="64"/>
      <c r="C206" s="18"/>
      <c r="D206" s="18"/>
      <c r="E206" s="18"/>
      <c r="F206" s="19"/>
      <c r="G206" s="18"/>
      <c r="H206" s="18"/>
      <c r="I206" s="19"/>
      <c r="J206" s="62"/>
      <c r="K206" s="62"/>
    </row>
    <row r="207" spans="1:11" ht="14.45">
      <c r="A207" s="66"/>
      <c r="B207" s="64"/>
      <c r="C207" s="18"/>
      <c r="D207" s="18"/>
      <c r="E207" s="18"/>
      <c r="F207" s="19"/>
      <c r="G207" s="18"/>
      <c r="H207" s="18"/>
      <c r="I207" s="19"/>
      <c r="J207" s="62"/>
      <c r="K207" s="62"/>
    </row>
    <row r="208" spans="1:11" ht="14.45">
      <c r="A208" s="66"/>
      <c r="B208" s="64"/>
      <c r="C208" s="18"/>
      <c r="D208" s="18"/>
      <c r="E208" s="18"/>
      <c r="F208" s="19"/>
      <c r="G208" s="18"/>
      <c r="H208" s="18"/>
      <c r="I208" s="19"/>
      <c r="J208" s="62"/>
      <c r="K208" s="62"/>
    </row>
    <row r="209" spans="1:11" ht="14.45">
      <c r="A209" s="66"/>
      <c r="B209" s="64"/>
      <c r="C209" s="18"/>
      <c r="D209" s="18"/>
      <c r="E209" s="18"/>
      <c r="F209" s="19"/>
      <c r="G209" s="18"/>
      <c r="H209" s="18"/>
      <c r="I209" s="19"/>
      <c r="J209" s="62"/>
      <c r="K209" s="62"/>
    </row>
    <row r="210" spans="1:11" ht="14.45">
      <c r="A210" s="66"/>
      <c r="B210" s="64"/>
      <c r="C210" s="18"/>
      <c r="D210" s="18"/>
      <c r="E210" s="18"/>
      <c r="F210" s="19"/>
      <c r="G210" s="18"/>
      <c r="H210" s="18"/>
      <c r="I210" s="19"/>
      <c r="J210" s="62"/>
      <c r="K210" s="62"/>
    </row>
    <row r="211" spans="1:11" ht="14.45">
      <c r="A211" s="66"/>
      <c r="B211" s="64"/>
      <c r="C211" s="18"/>
      <c r="D211" s="18"/>
      <c r="E211" s="18"/>
      <c r="F211" s="19"/>
      <c r="G211" s="18"/>
      <c r="H211" s="18"/>
      <c r="I211" s="19"/>
      <c r="J211" s="62"/>
      <c r="K211" s="62"/>
    </row>
    <row r="212" spans="1:11" ht="14.45">
      <c r="A212" s="66"/>
      <c r="B212" s="64"/>
      <c r="C212" s="18"/>
      <c r="D212" s="18"/>
      <c r="E212" s="18"/>
      <c r="F212" s="19"/>
      <c r="G212" s="18"/>
      <c r="H212" s="18"/>
      <c r="I212" s="19"/>
      <c r="J212" s="62"/>
      <c r="K212" s="62"/>
    </row>
    <row r="213" spans="1:11" ht="14.45">
      <c r="A213" s="66"/>
      <c r="B213" s="64"/>
      <c r="C213" s="18"/>
      <c r="D213" s="18"/>
      <c r="E213" s="18"/>
      <c r="F213" s="19"/>
      <c r="G213" s="18"/>
      <c r="H213" s="18"/>
      <c r="I213" s="19"/>
      <c r="J213" s="62"/>
      <c r="K213" s="62"/>
    </row>
    <row r="214" spans="1:11" ht="14.45">
      <c r="A214" s="66"/>
      <c r="B214" s="64"/>
      <c r="C214" s="18"/>
      <c r="D214" s="18"/>
      <c r="E214" s="18"/>
      <c r="F214" s="19"/>
      <c r="G214" s="18"/>
      <c r="H214" s="18"/>
      <c r="I214" s="19"/>
      <c r="J214" s="62"/>
      <c r="K214" s="62"/>
    </row>
    <row r="215" spans="1:11" ht="14.45">
      <c r="A215" s="66"/>
      <c r="B215" s="64"/>
      <c r="C215" s="18"/>
      <c r="D215" s="18"/>
      <c r="E215" s="18"/>
      <c r="F215" s="19"/>
      <c r="G215" s="18"/>
      <c r="H215" s="18"/>
      <c r="I215" s="19"/>
      <c r="J215" s="62"/>
      <c r="K215" s="62"/>
    </row>
    <row r="216" spans="1:11" ht="14.45">
      <c r="A216" s="66"/>
      <c r="B216" s="64"/>
      <c r="C216" s="18"/>
      <c r="D216" s="18"/>
      <c r="E216" s="18"/>
      <c r="F216" s="19"/>
      <c r="G216" s="18"/>
      <c r="H216" s="18"/>
      <c r="I216" s="19"/>
      <c r="J216" s="62"/>
      <c r="K216" s="62"/>
    </row>
    <row r="217" spans="1:11" ht="14.45">
      <c r="A217" s="66"/>
      <c r="B217" s="64"/>
      <c r="C217" s="18"/>
      <c r="D217" s="18"/>
      <c r="E217" s="18"/>
      <c r="F217" s="19"/>
      <c r="G217" s="18"/>
      <c r="H217" s="18"/>
      <c r="I217" s="19"/>
      <c r="J217" s="62"/>
      <c r="K217" s="62"/>
    </row>
    <row r="218" spans="1:11" ht="14.45">
      <c r="A218" s="66"/>
      <c r="B218" s="64"/>
      <c r="C218" s="18"/>
      <c r="D218" s="18"/>
      <c r="E218" s="18"/>
      <c r="F218" s="19"/>
      <c r="G218" s="18"/>
      <c r="H218" s="18"/>
      <c r="I218" s="19"/>
      <c r="J218" s="62"/>
      <c r="K218" s="62"/>
    </row>
    <row r="219" spans="1:11" ht="14.45">
      <c r="A219" s="66"/>
      <c r="B219" s="64"/>
      <c r="C219" s="18"/>
      <c r="D219" s="18"/>
      <c r="E219" s="18"/>
      <c r="F219" s="19"/>
      <c r="G219" s="18"/>
      <c r="H219" s="18"/>
      <c r="I219" s="19"/>
      <c r="J219" s="62"/>
      <c r="K219" s="62"/>
    </row>
    <row r="220" spans="1:11" ht="14.45">
      <c r="A220" s="66"/>
      <c r="B220" s="64"/>
      <c r="C220" s="18"/>
      <c r="D220" s="18"/>
      <c r="E220" s="18"/>
      <c r="F220" s="19"/>
      <c r="G220" s="18"/>
      <c r="H220" s="18"/>
      <c r="I220" s="19"/>
      <c r="J220" s="62"/>
      <c r="K220" s="62"/>
    </row>
    <row r="221" spans="1:11" ht="14.45">
      <c r="A221" s="66"/>
      <c r="B221" s="64"/>
      <c r="C221" s="18"/>
      <c r="D221" s="18"/>
      <c r="E221" s="18"/>
      <c r="F221" s="19"/>
      <c r="G221" s="18"/>
      <c r="H221" s="18"/>
      <c r="I221" s="19"/>
      <c r="J221" s="62"/>
      <c r="K221" s="62"/>
    </row>
    <row r="222" spans="1:11" ht="14.45">
      <c r="A222" s="66"/>
      <c r="B222" s="64"/>
      <c r="C222" s="18"/>
      <c r="D222" s="18"/>
      <c r="E222" s="18"/>
      <c r="F222" s="19"/>
      <c r="G222" s="18"/>
      <c r="H222" s="18"/>
      <c r="I222" s="19"/>
      <c r="J222" s="62"/>
      <c r="K222" s="62"/>
    </row>
    <row r="223" spans="1:11" ht="14.45">
      <c r="A223" s="66"/>
      <c r="B223" s="64"/>
      <c r="C223" s="18"/>
      <c r="D223" s="18"/>
      <c r="E223" s="18"/>
      <c r="F223" s="19"/>
      <c r="G223" s="18"/>
      <c r="H223" s="18"/>
      <c r="I223" s="19"/>
      <c r="J223" s="62"/>
      <c r="K223" s="62"/>
    </row>
    <row r="224" spans="1:11" ht="14.45">
      <c r="A224" s="66"/>
      <c r="B224" s="64"/>
      <c r="C224" s="18"/>
      <c r="D224" s="18"/>
      <c r="E224" s="18"/>
      <c r="F224" s="19"/>
      <c r="G224" s="18"/>
      <c r="H224" s="18"/>
      <c r="I224" s="19"/>
      <c r="J224" s="62"/>
      <c r="K224" s="62"/>
    </row>
    <row r="225" spans="1:11" ht="14.45">
      <c r="A225" s="66"/>
      <c r="B225" s="64"/>
      <c r="C225" s="18"/>
      <c r="D225" s="18"/>
      <c r="E225" s="18"/>
      <c r="F225" s="19"/>
      <c r="G225" s="18"/>
      <c r="H225" s="18"/>
      <c r="I225" s="19"/>
      <c r="J225" s="62"/>
      <c r="K225" s="62"/>
    </row>
    <row r="226" spans="1:11" ht="14.45">
      <c r="A226" s="66"/>
      <c r="B226" s="64"/>
      <c r="C226" s="18"/>
      <c r="D226" s="18"/>
      <c r="E226" s="18"/>
      <c r="F226" s="19"/>
      <c r="G226" s="18"/>
      <c r="H226" s="18"/>
      <c r="I226" s="19"/>
      <c r="J226" s="62"/>
      <c r="K226" s="62"/>
    </row>
    <row r="227" spans="1:11" ht="14.45">
      <c r="A227" s="66"/>
      <c r="B227" s="64"/>
      <c r="C227" s="18"/>
      <c r="D227" s="18"/>
      <c r="E227" s="18"/>
      <c r="F227" s="19"/>
      <c r="G227" s="18"/>
      <c r="H227" s="18"/>
      <c r="I227" s="19"/>
      <c r="J227" s="62"/>
      <c r="K227" s="62"/>
    </row>
    <row r="228" spans="1:11" ht="14.45">
      <c r="A228" s="66"/>
      <c r="B228" s="64"/>
      <c r="C228" s="18"/>
      <c r="D228" s="18"/>
      <c r="E228" s="18"/>
      <c r="F228" s="19"/>
      <c r="G228" s="18"/>
      <c r="H228" s="18"/>
      <c r="I228" s="19"/>
      <c r="J228" s="62"/>
      <c r="K228" s="62"/>
    </row>
    <row r="229" spans="1:11" ht="14.45">
      <c r="A229" s="66"/>
      <c r="B229" s="64"/>
      <c r="C229" s="18"/>
      <c r="D229" s="18"/>
      <c r="E229" s="18"/>
      <c r="F229" s="19"/>
      <c r="G229" s="18"/>
      <c r="H229" s="18"/>
      <c r="I229" s="19"/>
      <c r="J229" s="62"/>
      <c r="K229" s="62"/>
    </row>
    <row r="230" spans="1:11" ht="14.45">
      <c r="A230" s="66"/>
      <c r="B230" s="64"/>
      <c r="C230" s="18"/>
      <c r="D230" s="18"/>
      <c r="E230" s="18"/>
      <c r="F230" s="19"/>
      <c r="G230" s="18"/>
      <c r="H230" s="18"/>
      <c r="I230" s="19"/>
      <c r="J230" s="62"/>
      <c r="K230" s="62"/>
    </row>
    <row r="231" spans="1:11" ht="14.45">
      <c r="A231" s="66"/>
      <c r="B231" s="64"/>
      <c r="C231" s="18"/>
      <c r="D231" s="18"/>
      <c r="E231" s="18"/>
      <c r="F231" s="19"/>
      <c r="G231" s="18"/>
      <c r="H231" s="18"/>
      <c r="I231" s="19"/>
      <c r="J231" s="62"/>
      <c r="K231" s="62"/>
    </row>
    <row r="232" spans="1:11" ht="14.45">
      <c r="A232" s="66"/>
      <c r="B232" s="64"/>
      <c r="C232" s="18"/>
      <c r="D232" s="18"/>
      <c r="E232" s="18"/>
      <c r="F232" s="19"/>
      <c r="G232" s="18"/>
      <c r="H232" s="18"/>
      <c r="I232" s="19"/>
      <c r="J232" s="62"/>
      <c r="K232" s="62"/>
    </row>
    <row r="233" spans="1:11" ht="14.45">
      <c r="A233" s="66"/>
      <c r="B233" s="64"/>
      <c r="C233" s="18"/>
      <c r="D233" s="18"/>
      <c r="E233" s="18"/>
      <c r="F233" s="19"/>
      <c r="G233" s="18"/>
      <c r="H233" s="18"/>
      <c r="I233" s="19"/>
      <c r="J233" s="62"/>
      <c r="K233" s="62"/>
    </row>
    <row r="234" spans="1:11" ht="14.45">
      <c r="A234" s="66"/>
      <c r="B234" s="64"/>
      <c r="C234" s="18"/>
      <c r="D234" s="18"/>
      <c r="E234" s="18"/>
      <c r="F234" s="19"/>
      <c r="G234" s="18"/>
      <c r="H234" s="18"/>
      <c r="I234" s="19"/>
      <c r="J234" s="62"/>
      <c r="K234" s="62"/>
    </row>
    <row r="235" spans="1:11" ht="14.45">
      <c r="A235" s="66"/>
      <c r="B235" s="64"/>
      <c r="C235" s="18"/>
      <c r="D235" s="18"/>
      <c r="E235" s="18"/>
      <c r="F235" s="19"/>
      <c r="G235" s="18"/>
      <c r="H235" s="18"/>
      <c r="I235" s="19"/>
      <c r="J235" s="62"/>
      <c r="K235" s="62"/>
    </row>
    <row r="236" spans="1:11" ht="14.45">
      <c r="A236" s="66"/>
      <c r="B236" s="64"/>
      <c r="C236" s="18"/>
      <c r="D236" s="18"/>
      <c r="E236" s="18"/>
      <c r="F236" s="19"/>
      <c r="G236" s="18"/>
      <c r="H236" s="18"/>
      <c r="I236" s="19"/>
      <c r="J236" s="62"/>
      <c r="K236" s="62"/>
    </row>
    <row r="237" spans="1:11" ht="14.45">
      <c r="A237" s="66"/>
      <c r="B237" s="64"/>
      <c r="C237" s="18"/>
      <c r="D237" s="18"/>
      <c r="E237" s="18"/>
      <c r="F237" s="19"/>
      <c r="G237" s="18"/>
      <c r="H237" s="18"/>
      <c r="I237" s="19"/>
      <c r="J237" s="62"/>
      <c r="K237" s="62"/>
    </row>
    <row r="238" spans="1:11" ht="14.45">
      <c r="A238" s="66"/>
      <c r="B238" s="64"/>
      <c r="C238" s="18"/>
      <c r="D238" s="18"/>
      <c r="E238" s="18"/>
      <c r="F238" s="19"/>
      <c r="G238" s="18"/>
      <c r="H238" s="18"/>
      <c r="I238" s="19"/>
      <c r="J238" s="62"/>
      <c r="K238" s="62"/>
    </row>
    <row r="239" spans="1:11" ht="14.45">
      <c r="A239" s="66"/>
      <c r="B239" s="64"/>
      <c r="C239" s="18"/>
      <c r="D239" s="18"/>
      <c r="E239" s="18"/>
      <c r="F239" s="19"/>
      <c r="G239" s="18"/>
      <c r="H239" s="18"/>
      <c r="I239" s="19"/>
      <c r="J239" s="62"/>
      <c r="K239" s="62"/>
    </row>
    <row r="240" spans="1:11" ht="14.45">
      <c r="A240" s="66"/>
      <c r="B240" s="64"/>
      <c r="C240" s="18"/>
      <c r="D240" s="18"/>
      <c r="E240" s="18"/>
      <c r="F240" s="19"/>
      <c r="G240" s="18"/>
      <c r="H240" s="18"/>
      <c r="I240" s="19"/>
      <c r="J240" s="62"/>
      <c r="K240" s="62"/>
    </row>
    <row r="241" spans="1:11" ht="14.45">
      <c r="A241" s="66"/>
      <c r="B241" s="64"/>
      <c r="C241" s="18"/>
      <c r="D241" s="18"/>
      <c r="E241" s="18"/>
      <c r="F241" s="19"/>
      <c r="G241" s="18"/>
      <c r="H241" s="18"/>
      <c r="I241" s="19"/>
      <c r="J241" s="62"/>
      <c r="K241" s="62"/>
    </row>
    <row r="242" spans="1:11" ht="14.45">
      <c r="A242" s="66"/>
      <c r="B242" s="64"/>
      <c r="C242" s="18"/>
      <c r="D242" s="18"/>
      <c r="E242" s="18"/>
      <c r="F242" s="19"/>
      <c r="G242" s="18"/>
      <c r="H242" s="18"/>
      <c r="I242" s="19"/>
      <c r="J242" s="62"/>
      <c r="K242" s="62"/>
    </row>
    <row r="243" spans="1:11" ht="14.45">
      <c r="A243" s="66"/>
      <c r="B243" s="64"/>
      <c r="C243" s="18"/>
      <c r="D243" s="18"/>
      <c r="E243" s="18"/>
      <c r="F243" s="19"/>
      <c r="G243" s="18"/>
      <c r="H243" s="18"/>
      <c r="I243" s="19"/>
      <c r="J243" s="62"/>
      <c r="K243" s="62"/>
    </row>
    <row r="244" spans="1:11" ht="14.45">
      <c r="A244" s="66"/>
      <c r="B244" s="64"/>
      <c r="C244" s="18"/>
      <c r="D244" s="18"/>
      <c r="E244" s="18"/>
      <c r="F244" s="19"/>
      <c r="G244" s="18"/>
      <c r="H244" s="18"/>
      <c r="I244" s="19"/>
      <c r="J244" s="62"/>
      <c r="K244" s="62"/>
    </row>
    <row r="245" spans="1:11" ht="14.45">
      <c r="A245" s="66"/>
      <c r="B245" s="64"/>
      <c r="C245" s="18"/>
      <c r="D245" s="18"/>
      <c r="E245" s="18"/>
      <c r="F245" s="19"/>
      <c r="G245" s="18"/>
      <c r="H245" s="18"/>
      <c r="I245" s="19"/>
      <c r="J245" s="62"/>
      <c r="K245" s="62"/>
    </row>
    <row r="246" spans="1:11" ht="14.45">
      <c r="A246" s="66"/>
      <c r="B246" s="64"/>
      <c r="C246" s="18"/>
      <c r="D246" s="18"/>
      <c r="E246" s="18"/>
      <c r="F246" s="19"/>
      <c r="G246" s="18"/>
      <c r="H246" s="18"/>
      <c r="I246" s="19"/>
      <c r="J246" s="62"/>
      <c r="K246" s="62"/>
    </row>
    <row r="247" spans="1:11" ht="14.45">
      <c r="A247" s="66"/>
      <c r="B247" s="64"/>
      <c r="C247" s="18"/>
      <c r="D247" s="18"/>
      <c r="E247" s="18"/>
      <c r="F247" s="19"/>
      <c r="G247" s="18"/>
      <c r="H247" s="18"/>
      <c r="I247" s="19"/>
      <c r="J247" s="62"/>
      <c r="K247" s="62"/>
    </row>
    <row r="248" spans="1:11" ht="14.45">
      <c r="A248" s="66"/>
      <c r="B248" s="64"/>
      <c r="C248" s="18"/>
      <c r="D248" s="18"/>
      <c r="E248" s="18"/>
      <c r="F248" s="19"/>
      <c r="G248" s="18"/>
      <c r="H248" s="18"/>
      <c r="I248" s="19"/>
      <c r="J248" s="62"/>
      <c r="K248" s="62"/>
    </row>
    <row r="249" spans="1:11" ht="14.45">
      <c r="A249" s="66"/>
      <c r="B249" s="64"/>
      <c r="C249" s="18"/>
      <c r="D249" s="18"/>
      <c r="E249" s="18"/>
      <c r="F249" s="19"/>
      <c r="G249" s="18"/>
      <c r="H249" s="18"/>
      <c r="I249" s="19"/>
      <c r="J249" s="62"/>
      <c r="K249" s="62"/>
    </row>
    <row r="250" spans="1:11" ht="14.45">
      <c r="A250" s="66"/>
      <c r="B250" s="64"/>
      <c r="C250" s="18"/>
      <c r="D250" s="18"/>
      <c r="E250" s="18"/>
      <c r="F250" s="19"/>
      <c r="G250" s="18"/>
      <c r="H250" s="18"/>
      <c r="I250" s="19"/>
      <c r="J250" s="62"/>
      <c r="K250" s="62"/>
    </row>
    <row r="251" spans="1:11" ht="14.45">
      <c r="A251" s="66"/>
      <c r="B251" s="64"/>
      <c r="C251" s="18"/>
      <c r="D251" s="18"/>
      <c r="E251" s="18"/>
      <c r="F251" s="19"/>
      <c r="G251" s="18"/>
      <c r="H251" s="18"/>
      <c r="I251" s="19"/>
      <c r="J251" s="62"/>
      <c r="K251" s="62"/>
    </row>
    <row r="252" spans="1:11" ht="14.45">
      <c r="A252" s="66"/>
      <c r="B252" s="64"/>
      <c r="C252" s="18"/>
      <c r="D252" s="18"/>
      <c r="E252" s="18"/>
      <c r="F252" s="19"/>
      <c r="G252" s="18"/>
      <c r="H252" s="18"/>
      <c r="I252" s="19"/>
      <c r="J252" s="62"/>
      <c r="K252" s="62"/>
    </row>
    <row r="253" spans="1:11" ht="14.45">
      <c r="A253" s="66"/>
      <c r="B253" s="64"/>
      <c r="C253" s="18"/>
      <c r="D253" s="18"/>
      <c r="E253" s="18"/>
      <c r="F253" s="19"/>
      <c r="G253" s="18"/>
      <c r="H253" s="18"/>
      <c r="I253" s="19"/>
      <c r="J253" s="62"/>
      <c r="K253" s="62"/>
    </row>
    <row r="254" spans="1:11" ht="14.45">
      <c r="A254" s="66"/>
      <c r="B254" s="64"/>
      <c r="C254" s="18"/>
      <c r="D254" s="18"/>
      <c r="E254" s="18"/>
      <c r="F254" s="19"/>
      <c r="G254" s="18"/>
      <c r="H254" s="18"/>
      <c r="I254" s="19"/>
      <c r="J254" s="62"/>
      <c r="K254" s="62"/>
    </row>
    <row r="255" spans="1:11" ht="14.45">
      <c r="A255" s="66"/>
      <c r="B255" s="64"/>
      <c r="C255" s="18"/>
      <c r="D255" s="18"/>
      <c r="E255" s="18"/>
      <c r="F255" s="19"/>
      <c r="G255" s="18"/>
      <c r="H255" s="18"/>
      <c r="I255" s="19"/>
      <c r="J255" s="62"/>
      <c r="K255" s="62"/>
    </row>
    <row r="256" spans="1:11" ht="14.45">
      <c r="A256" s="66"/>
      <c r="B256" s="64"/>
      <c r="C256" s="18"/>
      <c r="D256" s="18"/>
      <c r="E256" s="18"/>
      <c r="F256" s="19"/>
      <c r="G256" s="18"/>
      <c r="H256" s="18"/>
      <c r="I256" s="19"/>
      <c r="J256" s="62"/>
      <c r="K256" s="62"/>
    </row>
    <row r="257" spans="1:11" ht="14.45">
      <c r="A257" s="66"/>
      <c r="B257" s="64"/>
      <c r="C257" s="18"/>
      <c r="D257" s="18"/>
      <c r="E257" s="18"/>
      <c r="F257" s="19"/>
      <c r="G257" s="18"/>
      <c r="H257" s="18"/>
      <c r="I257" s="19"/>
      <c r="J257" s="62"/>
      <c r="K257" s="62"/>
    </row>
    <row r="258" spans="1:11" ht="14.45">
      <c r="A258" s="66"/>
      <c r="B258" s="64"/>
      <c r="C258" s="18"/>
      <c r="D258" s="18"/>
      <c r="E258" s="18"/>
      <c r="F258" s="19"/>
      <c r="G258" s="18"/>
      <c r="H258" s="18"/>
      <c r="I258" s="19"/>
      <c r="J258" s="62"/>
      <c r="K258" s="62"/>
    </row>
    <row r="259" spans="1:11" ht="14.45">
      <c r="A259" s="66"/>
      <c r="B259" s="64"/>
      <c r="C259" s="18"/>
      <c r="D259" s="18"/>
      <c r="E259" s="18"/>
      <c r="F259" s="19"/>
      <c r="G259" s="18"/>
      <c r="H259" s="18"/>
      <c r="I259" s="19"/>
      <c r="J259" s="62"/>
      <c r="K259" s="62"/>
    </row>
    <row r="260" spans="1:11" ht="14.45">
      <c r="A260" s="66"/>
      <c r="B260" s="64"/>
      <c r="C260" s="18"/>
      <c r="D260" s="18"/>
      <c r="E260" s="18"/>
      <c r="F260" s="19"/>
      <c r="G260" s="18"/>
      <c r="H260" s="18"/>
      <c r="I260" s="19"/>
      <c r="J260" s="62"/>
      <c r="K260" s="62"/>
    </row>
    <row r="261" spans="1:11" ht="14.45">
      <c r="A261" s="66"/>
      <c r="B261" s="64"/>
      <c r="C261" s="18"/>
      <c r="D261" s="18"/>
      <c r="E261" s="18"/>
      <c r="F261" s="19"/>
      <c r="G261" s="18"/>
      <c r="H261" s="18"/>
      <c r="I261" s="19"/>
      <c r="J261" s="62"/>
      <c r="K261" s="62"/>
    </row>
    <row r="262" spans="1:11" ht="14.45">
      <c r="A262" s="66"/>
      <c r="B262" s="64"/>
      <c r="C262" s="18"/>
      <c r="D262" s="18"/>
      <c r="E262" s="18"/>
      <c r="F262" s="19"/>
      <c r="G262" s="18"/>
      <c r="H262" s="18"/>
      <c r="I262" s="19"/>
      <c r="J262" s="62"/>
      <c r="K262" s="62"/>
    </row>
    <row r="263" spans="1:11" ht="14.45">
      <c r="A263" s="66"/>
      <c r="B263" s="64"/>
      <c r="C263" s="18"/>
      <c r="D263" s="18"/>
      <c r="E263" s="18"/>
      <c r="F263" s="19"/>
      <c r="G263" s="18"/>
      <c r="H263" s="18"/>
      <c r="I263" s="19"/>
      <c r="J263" s="62"/>
      <c r="K263" s="62"/>
    </row>
    <row r="264" spans="1:11" ht="14.45">
      <c r="A264" s="66"/>
      <c r="B264" s="64"/>
      <c r="C264" s="18"/>
      <c r="D264" s="18"/>
      <c r="E264" s="18"/>
      <c r="F264" s="19"/>
      <c r="G264" s="18"/>
      <c r="H264" s="18"/>
      <c r="I264" s="19"/>
      <c r="J264" s="62"/>
      <c r="K264" s="62"/>
    </row>
    <row r="265" spans="1:11" ht="14.45">
      <c r="A265" s="66"/>
      <c r="B265" s="64"/>
      <c r="C265" s="18"/>
      <c r="D265" s="18"/>
      <c r="E265" s="18"/>
      <c r="F265" s="19"/>
      <c r="G265" s="18"/>
      <c r="H265" s="18"/>
      <c r="I265" s="19"/>
      <c r="J265" s="62"/>
      <c r="K265" s="62"/>
    </row>
    <row r="266" spans="1:11" ht="14.45">
      <c r="A266" s="66"/>
      <c r="B266" s="64"/>
      <c r="C266" s="18"/>
      <c r="D266" s="18"/>
      <c r="E266" s="18"/>
      <c r="F266" s="19"/>
      <c r="G266" s="18"/>
      <c r="H266" s="18"/>
      <c r="I266" s="19"/>
      <c r="J266" s="62"/>
      <c r="K266" s="62"/>
    </row>
    <row r="267" spans="1:11" ht="14.45">
      <c r="A267" s="66"/>
      <c r="B267" s="64"/>
      <c r="C267" s="18"/>
      <c r="D267" s="18"/>
      <c r="E267" s="18"/>
      <c r="F267" s="19"/>
      <c r="G267" s="18"/>
      <c r="H267" s="18"/>
      <c r="I267" s="19"/>
      <c r="J267" s="62"/>
      <c r="K267" s="62"/>
    </row>
    <row r="268" spans="1:11" ht="14.45">
      <c r="A268" s="66"/>
      <c r="B268" s="64"/>
      <c r="C268" s="18"/>
      <c r="D268" s="18"/>
      <c r="E268" s="18"/>
      <c r="F268" s="19"/>
      <c r="G268" s="18"/>
      <c r="H268" s="18"/>
      <c r="I268" s="19"/>
      <c r="J268" s="62"/>
      <c r="K268" s="62"/>
    </row>
    <row r="269" spans="1:11" ht="14.45">
      <c r="A269" s="66"/>
      <c r="B269" s="64"/>
      <c r="C269" s="18"/>
      <c r="D269" s="18"/>
      <c r="E269" s="18"/>
      <c r="F269" s="19"/>
      <c r="G269" s="18"/>
      <c r="H269" s="18"/>
      <c r="I269" s="19"/>
      <c r="J269" s="62"/>
      <c r="K269" s="62"/>
    </row>
    <row r="270" spans="1:11" ht="14.45">
      <c r="A270" s="66"/>
      <c r="B270" s="64"/>
      <c r="C270" s="18"/>
      <c r="D270" s="18"/>
      <c r="E270" s="18"/>
      <c r="F270" s="19"/>
      <c r="G270" s="18"/>
      <c r="H270" s="18"/>
      <c r="I270" s="19"/>
      <c r="J270" s="62"/>
      <c r="K270" s="62"/>
    </row>
    <row r="271" spans="1:11" ht="14.45">
      <c r="A271" s="66"/>
      <c r="B271" s="64"/>
      <c r="C271" s="18"/>
      <c r="D271" s="18"/>
      <c r="E271" s="18"/>
      <c r="F271" s="19"/>
      <c r="G271" s="18"/>
      <c r="H271" s="18"/>
      <c r="I271" s="19"/>
      <c r="J271" s="62"/>
      <c r="K271" s="62"/>
    </row>
    <row r="272" spans="1:11" ht="14.45">
      <c r="A272" s="66"/>
      <c r="B272" s="64"/>
      <c r="C272" s="18"/>
      <c r="D272" s="18"/>
      <c r="E272" s="18"/>
      <c r="F272" s="19"/>
      <c r="G272" s="18"/>
      <c r="H272" s="18"/>
      <c r="I272" s="19"/>
      <c r="J272" s="62"/>
      <c r="K272" s="62"/>
    </row>
    <row r="273" spans="1:11" ht="14.45">
      <c r="A273" s="66"/>
      <c r="B273" s="64"/>
      <c r="C273" s="18"/>
      <c r="D273" s="18"/>
      <c r="E273" s="18"/>
      <c r="F273" s="19"/>
      <c r="G273" s="18"/>
      <c r="H273" s="18"/>
      <c r="I273" s="19"/>
      <c r="J273" s="62"/>
      <c r="K273" s="62"/>
    </row>
    <row r="274" spans="1:11" ht="14.45">
      <c r="A274" s="66"/>
      <c r="B274" s="64"/>
      <c r="C274" s="18"/>
      <c r="D274" s="18"/>
      <c r="E274" s="18"/>
      <c r="F274" s="19"/>
      <c r="G274" s="18"/>
      <c r="H274" s="18"/>
      <c r="I274" s="19"/>
      <c r="J274" s="62"/>
      <c r="K274" s="62"/>
    </row>
    <row r="275" spans="1:11" ht="14.45">
      <c r="A275" s="66"/>
      <c r="B275" s="64"/>
      <c r="C275" s="18"/>
      <c r="D275" s="18"/>
      <c r="E275" s="18"/>
      <c r="F275" s="19"/>
      <c r="G275" s="18"/>
      <c r="H275" s="18"/>
      <c r="I275" s="19"/>
      <c r="J275" s="62"/>
      <c r="K275" s="62"/>
    </row>
    <row r="276" spans="1:11" ht="14.45">
      <c r="A276" s="66"/>
      <c r="B276" s="64"/>
      <c r="C276" s="18"/>
      <c r="D276" s="18"/>
      <c r="E276" s="18"/>
      <c r="F276" s="19"/>
      <c r="G276" s="18"/>
      <c r="H276" s="18"/>
      <c r="I276" s="19"/>
      <c r="J276" s="62"/>
      <c r="K276" s="62"/>
    </row>
    <row r="277" spans="1:11" ht="14.45">
      <c r="A277" s="66"/>
      <c r="B277" s="64"/>
      <c r="C277" s="18"/>
      <c r="D277" s="18"/>
      <c r="E277" s="18"/>
      <c r="F277" s="19"/>
      <c r="G277" s="18"/>
      <c r="H277" s="18"/>
      <c r="I277" s="19"/>
      <c r="J277" s="62"/>
      <c r="K277" s="62"/>
    </row>
    <row r="278" spans="1:11" ht="14.45">
      <c r="A278" s="66"/>
      <c r="B278" s="64"/>
      <c r="C278" s="18"/>
      <c r="D278" s="18"/>
      <c r="E278" s="18"/>
      <c r="F278" s="19"/>
      <c r="G278" s="18"/>
      <c r="H278" s="18"/>
      <c r="I278" s="19"/>
      <c r="J278" s="62"/>
      <c r="K278" s="62"/>
    </row>
    <row r="279" spans="1:11" ht="14.45">
      <c r="A279" s="66"/>
      <c r="B279" s="64"/>
      <c r="C279" s="18"/>
      <c r="D279" s="18"/>
      <c r="E279" s="18"/>
      <c r="F279" s="19"/>
      <c r="G279" s="18"/>
      <c r="H279" s="18"/>
      <c r="I279" s="19"/>
      <c r="J279" s="62"/>
      <c r="K279" s="62"/>
    </row>
    <row r="280" spans="1:11" ht="14.45">
      <c r="A280" s="66"/>
      <c r="B280" s="64"/>
      <c r="C280" s="18"/>
      <c r="D280" s="18"/>
      <c r="E280" s="18"/>
      <c r="F280" s="19"/>
      <c r="G280" s="18"/>
      <c r="H280" s="18"/>
      <c r="I280" s="19"/>
      <c r="J280" s="62"/>
      <c r="K280" s="62"/>
    </row>
    <row r="281" spans="1:11" ht="14.45">
      <c r="A281" s="66"/>
      <c r="B281" s="64"/>
      <c r="C281" s="18"/>
      <c r="D281" s="18"/>
      <c r="E281" s="18"/>
      <c r="F281" s="19"/>
      <c r="G281" s="18"/>
      <c r="H281" s="18"/>
      <c r="I281" s="19"/>
      <c r="J281" s="62"/>
      <c r="K281" s="62"/>
    </row>
    <row r="282" spans="1:11" ht="14.45">
      <c r="A282" s="66"/>
      <c r="B282" s="64"/>
      <c r="C282" s="18"/>
      <c r="D282" s="18"/>
      <c r="E282" s="18"/>
      <c r="F282" s="19"/>
      <c r="G282" s="18"/>
      <c r="H282" s="18"/>
      <c r="I282" s="19"/>
      <c r="J282" s="62"/>
      <c r="K282" s="62"/>
    </row>
    <row r="283" spans="1:11" ht="14.45">
      <c r="A283" s="66"/>
      <c r="B283" s="64"/>
      <c r="C283" s="18"/>
      <c r="D283" s="18"/>
      <c r="E283" s="18"/>
      <c r="F283" s="19"/>
      <c r="G283" s="18"/>
      <c r="H283" s="18"/>
      <c r="I283" s="19"/>
      <c r="J283" s="62"/>
      <c r="K283" s="62"/>
    </row>
    <row r="284" spans="1:11" ht="14.45">
      <c r="A284" s="66"/>
      <c r="B284" s="64"/>
      <c r="C284" s="18"/>
      <c r="D284" s="18"/>
      <c r="E284" s="18"/>
      <c r="F284" s="19"/>
      <c r="G284" s="18"/>
      <c r="H284" s="18"/>
      <c r="I284" s="19"/>
      <c r="J284" s="62"/>
      <c r="K284" s="62"/>
    </row>
    <row r="285" spans="1:11" ht="14.45">
      <c r="A285" s="66"/>
      <c r="B285" s="64"/>
      <c r="C285" s="18"/>
      <c r="D285" s="18"/>
      <c r="E285" s="18"/>
      <c r="F285" s="19"/>
      <c r="G285" s="18"/>
      <c r="H285" s="18"/>
      <c r="I285" s="19"/>
      <c r="J285" s="62"/>
      <c r="K285" s="62"/>
    </row>
    <row r="286" spans="1:11" ht="14.45">
      <c r="A286" s="66"/>
      <c r="B286" s="64"/>
      <c r="C286" s="18"/>
      <c r="D286" s="18"/>
      <c r="E286" s="18"/>
      <c r="F286" s="19"/>
      <c r="G286" s="18"/>
      <c r="H286" s="18"/>
      <c r="I286" s="19"/>
      <c r="J286" s="62"/>
      <c r="K286" s="62"/>
    </row>
    <row r="287" spans="1:11" ht="14.45">
      <c r="A287" s="66"/>
      <c r="B287" s="64"/>
      <c r="C287" s="18"/>
      <c r="D287" s="18"/>
      <c r="E287" s="18"/>
      <c r="F287" s="19"/>
      <c r="G287" s="18"/>
      <c r="H287" s="18"/>
      <c r="I287" s="19"/>
      <c r="J287" s="62"/>
      <c r="K287" s="62"/>
    </row>
    <row r="288" spans="1:11" ht="14.45">
      <c r="A288" s="66"/>
      <c r="B288" s="64"/>
      <c r="C288" s="18"/>
      <c r="D288" s="18"/>
      <c r="E288" s="18"/>
      <c r="F288" s="19"/>
      <c r="G288" s="18"/>
      <c r="H288" s="18"/>
      <c r="I288" s="19"/>
      <c r="J288" s="62"/>
      <c r="K288" s="62"/>
    </row>
    <row r="289" spans="1:11" ht="14.45">
      <c r="A289" s="66"/>
      <c r="B289" s="64"/>
      <c r="C289" s="18"/>
      <c r="D289" s="18"/>
      <c r="E289" s="18"/>
      <c r="F289" s="19"/>
      <c r="G289" s="18"/>
      <c r="H289" s="18"/>
      <c r="I289" s="19"/>
      <c r="J289" s="62"/>
      <c r="K289" s="62"/>
    </row>
    <row r="290" spans="1:11" ht="14.45">
      <c r="A290" s="66"/>
      <c r="B290" s="64"/>
      <c r="C290" s="18"/>
      <c r="D290" s="18"/>
      <c r="E290" s="18"/>
      <c r="F290" s="19"/>
      <c r="G290" s="18"/>
      <c r="H290" s="18"/>
      <c r="I290" s="19"/>
      <c r="J290" s="62"/>
      <c r="K290" s="62"/>
    </row>
    <row r="291" spans="1:11" ht="14.45">
      <c r="A291" s="66"/>
      <c r="B291" s="64"/>
      <c r="C291" s="18"/>
      <c r="D291" s="18"/>
      <c r="E291" s="18"/>
      <c r="F291" s="19"/>
      <c r="G291" s="18"/>
      <c r="H291" s="18"/>
      <c r="I291" s="19"/>
      <c r="J291" s="62"/>
      <c r="K291" s="62"/>
    </row>
    <row r="292" spans="1:11" ht="14.45">
      <c r="A292" s="66"/>
      <c r="B292" s="64"/>
      <c r="C292" s="18"/>
      <c r="D292" s="18"/>
      <c r="E292" s="18"/>
      <c r="F292" s="19"/>
      <c r="G292" s="18"/>
      <c r="H292" s="18"/>
      <c r="I292" s="19"/>
      <c r="J292" s="62"/>
      <c r="K292" s="62"/>
    </row>
    <row r="293" spans="1:11" ht="14.45">
      <c r="A293" s="66"/>
      <c r="B293" s="64"/>
      <c r="C293" s="18"/>
      <c r="D293" s="18"/>
      <c r="E293" s="18"/>
      <c r="F293" s="19"/>
      <c r="G293" s="18"/>
      <c r="H293" s="18"/>
      <c r="I293" s="19"/>
      <c r="J293" s="62"/>
      <c r="K293" s="62"/>
    </row>
    <row r="294" spans="1:11" ht="14.45">
      <c r="A294" s="66"/>
      <c r="B294" s="64"/>
      <c r="C294" s="18"/>
      <c r="D294" s="18"/>
      <c r="E294" s="18"/>
      <c r="F294" s="19"/>
      <c r="G294" s="18"/>
      <c r="H294" s="18"/>
      <c r="I294" s="19"/>
      <c r="J294" s="62"/>
      <c r="K294" s="62"/>
    </row>
    <row r="295" spans="1:11" ht="14.45">
      <c r="A295" s="66"/>
      <c r="B295" s="64"/>
      <c r="C295" s="18"/>
      <c r="D295" s="18"/>
      <c r="E295" s="18"/>
      <c r="F295" s="19"/>
      <c r="G295" s="18"/>
      <c r="H295" s="18"/>
      <c r="I295" s="19"/>
      <c r="J295" s="62"/>
      <c r="K295" s="62"/>
    </row>
    <row r="296" spans="1:11" ht="14.45">
      <c r="A296" s="66"/>
      <c r="B296" s="64"/>
      <c r="C296" s="18"/>
      <c r="D296" s="18"/>
      <c r="E296" s="18"/>
      <c r="F296" s="19"/>
      <c r="G296" s="18"/>
      <c r="H296" s="18"/>
      <c r="I296" s="19"/>
      <c r="J296" s="62"/>
      <c r="K296" s="62"/>
    </row>
    <row r="297" spans="1:11" ht="14.45">
      <c r="A297" s="66"/>
      <c r="B297" s="64"/>
      <c r="C297" s="18"/>
      <c r="D297" s="18"/>
      <c r="E297" s="18"/>
      <c r="F297" s="19"/>
      <c r="G297" s="18"/>
      <c r="H297" s="18"/>
      <c r="I297" s="19"/>
      <c r="J297" s="62"/>
      <c r="K297" s="62"/>
    </row>
    <row r="298" spans="1:11" ht="14.45">
      <c r="A298" s="66"/>
      <c r="B298" s="64"/>
      <c r="C298" s="18"/>
      <c r="D298" s="18"/>
      <c r="E298" s="18"/>
      <c r="F298" s="19"/>
      <c r="G298" s="18"/>
      <c r="H298" s="18"/>
      <c r="I298" s="19"/>
      <c r="J298" s="62"/>
      <c r="K298" s="62"/>
    </row>
    <row r="299" spans="1:11" ht="14.45">
      <c r="A299" s="66"/>
      <c r="B299" s="64"/>
      <c r="C299" s="18"/>
      <c r="D299" s="18"/>
      <c r="E299" s="18"/>
      <c r="F299" s="19"/>
      <c r="G299" s="18"/>
      <c r="H299" s="18"/>
      <c r="I299" s="19"/>
      <c r="J299" s="62"/>
      <c r="K299" s="62"/>
    </row>
    <row r="300" spans="1:11" ht="14.45">
      <c r="A300" s="66"/>
      <c r="B300" s="64"/>
      <c r="C300" s="18"/>
      <c r="D300" s="18"/>
      <c r="E300" s="18"/>
      <c r="F300" s="19"/>
      <c r="G300" s="18"/>
      <c r="H300" s="18"/>
      <c r="I300" s="19"/>
      <c r="J300" s="62"/>
      <c r="K300" s="62"/>
    </row>
    <row r="301" spans="1:11" ht="14.45">
      <c r="A301" s="66"/>
      <c r="B301" s="64"/>
      <c r="C301" s="18"/>
      <c r="D301" s="18"/>
      <c r="E301" s="18"/>
      <c r="F301" s="19"/>
      <c r="G301" s="18"/>
      <c r="H301" s="18"/>
      <c r="I301" s="19"/>
      <c r="J301" s="62"/>
      <c r="K301" s="62"/>
    </row>
    <row r="302" spans="1:11" ht="14.45">
      <c r="A302" s="66"/>
      <c r="B302" s="64"/>
      <c r="C302" s="18"/>
      <c r="D302" s="18"/>
      <c r="E302" s="18"/>
      <c r="F302" s="19"/>
      <c r="G302" s="18"/>
      <c r="H302" s="18"/>
      <c r="I302" s="19"/>
      <c r="J302" s="62"/>
      <c r="K302" s="62"/>
    </row>
    <row r="303" spans="1:11" ht="14.45">
      <c r="A303" s="66"/>
      <c r="B303" s="64"/>
      <c r="C303" s="18"/>
      <c r="D303" s="18"/>
      <c r="E303" s="18"/>
      <c r="F303" s="19"/>
      <c r="G303" s="18"/>
      <c r="H303" s="18"/>
      <c r="I303" s="19"/>
      <c r="J303" s="62"/>
      <c r="K303" s="62"/>
    </row>
    <row r="304" spans="1:11" ht="14.45">
      <c r="A304" s="66"/>
      <c r="B304" s="64"/>
      <c r="C304" s="18"/>
      <c r="D304" s="18"/>
      <c r="E304" s="18"/>
      <c r="F304" s="19"/>
      <c r="G304" s="18"/>
      <c r="H304" s="18"/>
      <c r="I304" s="19"/>
      <c r="J304" s="62"/>
      <c r="K304" s="62"/>
    </row>
    <row r="305" spans="1:11" ht="14.45">
      <c r="A305" s="66"/>
      <c r="B305" s="64"/>
      <c r="C305" s="18"/>
      <c r="D305" s="18"/>
      <c r="E305" s="18"/>
      <c r="F305" s="19"/>
      <c r="G305" s="18"/>
      <c r="H305" s="18"/>
      <c r="I305" s="19"/>
      <c r="J305" s="62"/>
      <c r="K305" s="62"/>
    </row>
    <row r="306" spans="1:11" ht="14.45">
      <c r="A306" s="66"/>
      <c r="B306" s="64"/>
      <c r="C306" s="18"/>
      <c r="D306" s="18"/>
      <c r="E306" s="18"/>
      <c r="F306" s="19"/>
      <c r="G306" s="18"/>
      <c r="H306" s="18"/>
      <c r="I306" s="19"/>
      <c r="J306" s="62"/>
      <c r="K306" s="62"/>
    </row>
    <row r="307" spans="1:11" ht="14.45">
      <c r="A307" s="66"/>
      <c r="B307" s="64"/>
      <c r="C307" s="18"/>
      <c r="D307" s="18"/>
      <c r="E307" s="18"/>
      <c r="F307" s="19"/>
      <c r="G307" s="18"/>
      <c r="H307" s="18"/>
      <c r="I307" s="19"/>
      <c r="J307" s="62"/>
      <c r="K307" s="62"/>
    </row>
    <row r="308" spans="1:11" ht="14.45">
      <c r="A308" s="66"/>
      <c r="B308" s="64"/>
      <c r="C308" s="18"/>
      <c r="D308" s="18"/>
      <c r="E308" s="18"/>
      <c r="F308" s="19"/>
      <c r="G308" s="18"/>
      <c r="H308" s="18"/>
      <c r="I308" s="19"/>
      <c r="J308" s="62"/>
      <c r="K308" s="62"/>
    </row>
    <row r="309" spans="1:11" ht="14.45">
      <c r="A309" s="66"/>
      <c r="B309" s="64"/>
      <c r="C309" s="18"/>
      <c r="D309" s="18"/>
      <c r="E309" s="18"/>
      <c r="F309" s="19"/>
      <c r="G309" s="18"/>
      <c r="H309" s="18"/>
      <c r="I309" s="19"/>
      <c r="J309" s="62"/>
      <c r="K309" s="62"/>
    </row>
    <row r="310" spans="1:11" ht="14.45">
      <c r="A310" s="66"/>
      <c r="B310" s="64"/>
      <c r="C310" s="18"/>
      <c r="D310" s="18"/>
      <c r="E310" s="18"/>
      <c r="F310" s="19"/>
      <c r="G310" s="18"/>
      <c r="H310" s="18"/>
      <c r="I310" s="19"/>
      <c r="J310" s="62"/>
      <c r="K310" s="62"/>
    </row>
    <row r="311" spans="1:11" ht="14.45">
      <c r="A311" s="66"/>
      <c r="B311" s="64"/>
      <c r="C311" s="18"/>
      <c r="D311" s="18"/>
      <c r="E311" s="18"/>
      <c r="F311" s="19"/>
      <c r="G311" s="18"/>
      <c r="H311" s="18"/>
      <c r="I311" s="19"/>
      <c r="J311" s="62"/>
      <c r="K311" s="62"/>
    </row>
    <row r="312" spans="1:11" ht="14.45">
      <c r="A312" s="66"/>
      <c r="B312" s="64"/>
      <c r="C312" s="18"/>
      <c r="D312" s="18"/>
      <c r="E312" s="18"/>
      <c r="F312" s="19"/>
      <c r="G312" s="18"/>
      <c r="H312" s="18"/>
      <c r="I312" s="19"/>
      <c r="J312" s="62"/>
      <c r="K312" s="62"/>
    </row>
    <row r="313" spans="1:11" ht="14.45">
      <c r="A313" s="66"/>
      <c r="B313" s="64"/>
      <c r="C313" s="18"/>
      <c r="D313" s="18"/>
      <c r="E313" s="18"/>
      <c r="F313" s="19"/>
      <c r="G313" s="18"/>
      <c r="H313" s="18"/>
      <c r="I313" s="19"/>
      <c r="J313" s="62"/>
      <c r="K313" s="62"/>
    </row>
    <row r="314" spans="1:11" ht="14.45">
      <c r="A314" s="66"/>
      <c r="B314" s="64"/>
      <c r="C314" s="18"/>
      <c r="D314" s="18"/>
      <c r="E314" s="18"/>
      <c r="F314" s="19"/>
      <c r="G314" s="18"/>
      <c r="H314" s="18"/>
      <c r="I314" s="19"/>
      <c r="J314" s="62"/>
      <c r="K314" s="62"/>
    </row>
    <row r="315" spans="1:11" ht="14.45">
      <c r="A315" s="66"/>
      <c r="B315" s="64"/>
      <c r="C315" s="18"/>
      <c r="D315" s="18"/>
      <c r="E315" s="18"/>
      <c r="F315" s="19"/>
      <c r="G315" s="18"/>
      <c r="H315" s="18"/>
      <c r="I315" s="19"/>
      <c r="J315" s="62"/>
      <c r="K315" s="62"/>
    </row>
    <row r="316" spans="1:11" ht="14.45">
      <c r="A316" s="66"/>
      <c r="B316" s="64"/>
      <c r="C316" s="18"/>
      <c r="D316" s="18"/>
      <c r="E316" s="18"/>
      <c r="F316" s="19"/>
      <c r="G316" s="18"/>
      <c r="H316" s="18"/>
      <c r="I316" s="19"/>
      <c r="J316" s="62"/>
      <c r="K316" s="62"/>
    </row>
    <row r="317" spans="1:11" ht="14.45">
      <c r="A317" s="66"/>
      <c r="B317" s="64"/>
      <c r="C317" s="18"/>
      <c r="D317" s="18"/>
      <c r="E317" s="18"/>
      <c r="F317" s="19"/>
      <c r="G317" s="18"/>
      <c r="H317" s="18"/>
      <c r="I317" s="19"/>
      <c r="J317" s="62"/>
      <c r="K317" s="62"/>
    </row>
    <row r="318" spans="1:11" ht="14.45">
      <c r="A318" s="66"/>
      <c r="B318" s="64"/>
      <c r="C318" s="18"/>
      <c r="D318" s="18"/>
      <c r="E318" s="18"/>
      <c r="F318" s="19"/>
      <c r="G318" s="18"/>
      <c r="H318" s="18"/>
      <c r="I318" s="19"/>
      <c r="J318" s="62"/>
      <c r="K318" s="62"/>
    </row>
    <row r="319" spans="1:11" ht="14.45">
      <c r="A319" s="66"/>
      <c r="B319" s="64"/>
      <c r="C319" s="18"/>
      <c r="D319" s="18"/>
      <c r="E319" s="18"/>
      <c r="F319" s="19"/>
      <c r="G319" s="18"/>
      <c r="H319" s="18"/>
      <c r="I319" s="19"/>
      <c r="J319" s="62"/>
      <c r="K319" s="62"/>
    </row>
    <row r="320" spans="1:11" ht="14.45">
      <c r="A320" s="66"/>
      <c r="B320" s="64"/>
      <c r="C320" s="18"/>
      <c r="D320" s="18"/>
      <c r="E320" s="18"/>
      <c r="F320" s="19"/>
      <c r="G320" s="18"/>
      <c r="H320" s="18"/>
      <c r="I320" s="19"/>
      <c r="J320" s="62"/>
      <c r="K320" s="62"/>
    </row>
    <row r="321" spans="1:11" ht="14.45">
      <c r="A321" s="66"/>
      <c r="B321" s="64"/>
      <c r="C321" s="18"/>
      <c r="D321" s="18"/>
      <c r="E321" s="18"/>
      <c r="F321" s="19"/>
      <c r="G321" s="18"/>
      <c r="H321" s="18"/>
      <c r="I321" s="19"/>
      <c r="J321" s="62"/>
      <c r="K321" s="62"/>
    </row>
    <row r="322" spans="1:11" ht="14.45">
      <c r="A322" s="66"/>
      <c r="B322" s="64"/>
      <c r="C322" s="18"/>
      <c r="D322" s="18"/>
      <c r="E322" s="18"/>
      <c r="F322" s="19"/>
      <c r="G322" s="18"/>
      <c r="H322" s="18"/>
      <c r="I322" s="19"/>
      <c r="J322" s="62"/>
      <c r="K322" s="62"/>
    </row>
    <row r="323" spans="1:11" ht="14.45">
      <c r="A323" s="66"/>
      <c r="B323" s="64"/>
      <c r="C323" s="18"/>
      <c r="D323" s="18"/>
      <c r="E323" s="18"/>
      <c r="F323" s="19"/>
      <c r="G323" s="18"/>
      <c r="H323" s="18"/>
      <c r="I323" s="19"/>
      <c r="J323" s="62"/>
      <c r="K323" s="62"/>
    </row>
    <row r="324" spans="1:11" ht="14.45">
      <c r="A324" s="66"/>
      <c r="B324" s="64"/>
      <c r="C324" s="18"/>
      <c r="D324" s="18"/>
      <c r="E324" s="18"/>
      <c r="F324" s="19"/>
      <c r="G324" s="18"/>
      <c r="H324" s="18"/>
      <c r="I324" s="19"/>
      <c r="J324" s="62"/>
      <c r="K324" s="62"/>
    </row>
    <row r="325" spans="1:11" ht="14.45">
      <c r="A325" s="66"/>
      <c r="B325" s="64"/>
      <c r="C325" s="18"/>
      <c r="D325" s="18"/>
      <c r="E325" s="18"/>
      <c r="F325" s="19"/>
      <c r="G325" s="18"/>
      <c r="H325" s="18"/>
      <c r="I325" s="19"/>
      <c r="J325" s="62"/>
      <c r="K325" s="62"/>
    </row>
    <row r="326" spans="1:11" ht="14.45">
      <c r="A326" s="66"/>
      <c r="B326" s="64"/>
      <c r="C326" s="18"/>
      <c r="D326" s="18"/>
      <c r="E326" s="18"/>
      <c r="F326" s="19"/>
      <c r="G326" s="18"/>
      <c r="H326" s="18"/>
      <c r="I326" s="19"/>
      <c r="J326" s="62"/>
      <c r="K326" s="62"/>
    </row>
    <row r="327" spans="1:11" ht="14.45">
      <c r="A327" s="66"/>
      <c r="B327" s="64"/>
      <c r="C327" s="18"/>
      <c r="D327" s="18"/>
      <c r="E327" s="18"/>
      <c r="F327" s="19"/>
      <c r="G327" s="18"/>
      <c r="H327" s="18"/>
      <c r="I327" s="19"/>
      <c r="J327" s="62"/>
      <c r="K327" s="62"/>
    </row>
    <row r="328" spans="1:11" ht="14.45">
      <c r="A328" s="66"/>
      <c r="B328" s="64"/>
      <c r="C328" s="18"/>
      <c r="D328" s="18"/>
      <c r="E328" s="18"/>
      <c r="F328" s="19"/>
      <c r="G328" s="18"/>
      <c r="H328" s="18"/>
      <c r="I328" s="19"/>
      <c r="J328" s="62"/>
      <c r="K328" s="62"/>
    </row>
    <row r="329" spans="1:11" ht="14.45">
      <c r="C329" s="18"/>
      <c r="D329" s="18"/>
      <c r="E329" s="18"/>
      <c r="F329" s="19"/>
      <c r="G329" s="18"/>
      <c r="H329" s="18"/>
      <c r="I329" s="19"/>
      <c r="J329" s="62"/>
      <c r="K329" s="62"/>
    </row>
  </sheetData>
  <mergeCells count="4">
    <mergeCell ref="G1:I1"/>
    <mergeCell ref="A1:C1"/>
    <mergeCell ref="D1:F1"/>
    <mergeCell ref="A2:B2"/>
  </mergeCells>
  <conditionalFormatting sqref="F2 I2 F4:F87 I4:I87">
    <cfRule type="cellIs" dxfId="14" priority="11" stopIfTrue="1" operator="lessThanOrEqual">
      <formula>-0.1</formula>
    </cfRule>
    <cfRule type="expression" dxfId="13" priority="12">
      <formula>AND(ISNUMBER(F2), F2&gt;=0.1)</formula>
    </cfRule>
  </conditionalFormatting>
  <hyperlinks>
    <hyperlink ref="K6" r:id="rId1" display="https://us3.assetplanner.com/service_request?ID=099548" xr:uid="{1976BFDD-2168-43C3-B74C-EDC586B057DE}"/>
    <hyperlink ref="K13" r:id="rId2" display="https://us3.assetplanner.com/service_request?ID=101743" xr:uid="{9F32478E-40D1-409B-A7FC-3BB8DE68ED01}"/>
    <hyperlink ref="K19" r:id="rId3" display="https://us3.assetplanner.com/service_request?ID=088667" xr:uid="{03BE24D4-5D5C-4FA9-AEAB-F617E24DBE6B}"/>
    <hyperlink ref="L19" r:id="rId4" display="https://us3.assetplanner.com/service_request?ID=066760" xr:uid="{EA32231E-6D32-42EE-9872-6205275562C8}"/>
    <hyperlink ref="M19" r:id="rId5" display="https://us3.assetplanner.com/service_request?ID=077700" xr:uid="{66E2E7E0-AA2F-4F4B-A8EB-7D206E4DB673}"/>
    <hyperlink ref="K20" r:id="rId6" display="https://us3.assetplanner.com/service_request?ID=098782" xr:uid="{E2BCCD51-A0A8-4802-B025-7A48A49DF2BB}"/>
    <hyperlink ref="K32" r:id="rId7" display="https://us3.assetplanner.com/service_request?ID=100951" xr:uid="{6F0FAED0-DF08-49DE-9A2D-8799F4B6AC91}"/>
    <hyperlink ref="K34" r:id="rId8" display="https://us3.assetplanner.com/service_request?ID=100979" xr:uid="{AFC20823-66F1-4959-825E-32C78CCD8EE8}"/>
    <hyperlink ref="K35" r:id="rId9" display="https://us3.assetplanner.com/service_request?ID=103327" xr:uid="{D7839075-9544-48E1-9EA7-D9152F89DF49}"/>
    <hyperlink ref="K46" r:id="rId10" display="https://us3.assetplanner.com/service_request?ID=103607" xr:uid="{D8F55028-9BEA-46A3-AA72-13771C148D91}"/>
    <hyperlink ref="K47" r:id="rId11" display="https://us3.assetplanner.com/service_request?ID=100593" xr:uid="{B33B5A4B-0C5F-4102-A4C8-3B3AA2F16F6B}"/>
    <hyperlink ref="K56" r:id="rId12" display="https://us3.assetplanner.com/service_request?ID=099750" xr:uid="{2E218D82-40D7-4FE5-A906-2F406830790F}"/>
    <hyperlink ref="K67" r:id="rId13" display="https://us3.assetplanner.com/service_request?ID=101247" xr:uid="{86963D96-97D3-4D1A-B91E-4E2649034581}"/>
    <hyperlink ref="K75" r:id="rId14" display="https://us3.assetplanner.com/service_request?ID=100421" xr:uid="{16FD32F2-B95B-4FC1-BFC3-6F81724A1641}"/>
    <hyperlink ref="K81" r:id="rId15" display="https://us3.assetplanner.com/service_request?ID=101434" xr:uid="{866DFBF1-4C8E-4C58-A0B4-E7CE57479A90}"/>
    <hyperlink ref="K83" r:id="rId16" display="https://us3.assetplanner.com/service_request?ID=098897" xr:uid="{0D290B4E-BA06-4251-9F66-1D8BDF0DD7B8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S328"/>
  <sheetViews>
    <sheetView zoomScale="50" zoomScaleNormal="50" workbookViewId="0">
      <pane xSplit="2" ySplit="3" topLeftCell="C41" activePane="bottomRight" state="frozen"/>
      <selection pane="bottomRight" activeCell="A57" sqref="A57"/>
      <selection pane="bottomLeft" activeCell="H74" sqref="H74"/>
      <selection pane="topRight" activeCell="H74" sqref="H74"/>
    </sheetView>
  </sheetViews>
  <sheetFormatPr defaultColWidth="9.140625" defaultRowHeight="17.45"/>
  <cols>
    <col min="1" max="1" width="46.5703125" style="129" customWidth="1"/>
    <col min="2" max="2" width="8.42578125" style="129" customWidth="1"/>
    <col min="3" max="3" width="11.85546875" style="94" customWidth="1"/>
    <col min="4" max="4" width="16.5703125" style="94" customWidth="1"/>
    <col min="5" max="5" width="13.140625" style="94" customWidth="1"/>
    <col min="6" max="6" width="13.140625" style="130" customWidth="1"/>
    <col min="7" max="8" width="13.140625" style="94" customWidth="1"/>
    <col min="9" max="9" width="13.140625" style="130" customWidth="1"/>
    <col min="10" max="10" width="71.5703125" style="94" customWidth="1"/>
    <col min="11" max="11" width="25.140625" style="94" bestFit="1" customWidth="1"/>
    <col min="12" max="12" width="14.7109375" style="94" bestFit="1" customWidth="1"/>
    <col min="13" max="13" width="27.85546875" style="133" customWidth="1"/>
    <col min="14" max="14" width="61.42578125" style="94" bestFit="1" customWidth="1"/>
    <col min="15" max="18" width="9.140625" style="94"/>
    <col min="19" max="19" width="23.7109375" style="94" bestFit="1" customWidth="1"/>
    <col min="20" max="16384" width="9.140625" style="94"/>
  </cols>
  <sheetData>
    <row r="1" spans="1:14" ht="19.5" customHeight="1">
      <c r="A1" s="222" t="str" cm="1">
        <f t="array" ref="A1">portfolio</f>
        <v>Wells Fargo</v>
      </c>
      <c r="B1" s="222"/>
      <c r="C1" s="222"/>
      <c r="D1" s="223" t="s">
        <v>238</v>
      </c>
      <c r="E1" s="223"/>
      <c r="F1" s="223"/>
      <c r="G1" s="221" t="s">
        <v>239</v>
      </c>
      <c r="H1" s="221"/>
      <c r="I1" s="221"/>
      <c r="J1" s="93"/>
      <c r="K1" s="93"/>
    </row>
    <row r="2" spans="1:14" ht="34.9">
      <c r="A2" s="224" t="s">
        <v>2</v>
      </c>
      <c r="B2" s="224"/>
      <c r="C2" s="95">
        <f>SUM(C4:C86)</f>
        <v>2231470.5697385995</v>
      </c>
      <c r="D2" s="95">
        <f>SUM(D4:D86)</f>
        <v>2122163.5470000003</v>
      </c>
      <c r="E2" s="95">
        <f>C2-D2</f>
        <v>109307.02273859922</v>
      </c>
      <c r="F2" s="96">
        <f>IFERROR(E2/D2, 0)</f>
        <v>5.1507351020670042E-2</v>
      </c>
      <c r="G2" s="95">
        <f>SUM(G4:G86)</f>
        <v>2397903.4945</v>
      </c>
      <c r="H2" s="97">
        <f>C2-G2</f>
        <v>-166432.92476140056</v>
      </c>
      <c r="I2" s="96">
        <f>IFERROR(H2/G2, 0)</f>
        <v>-6.9407682645754018E-2</v>
      </c>
      <c r="J2" s="9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93"/>
      <c r="M2" s="136" t="s">
        <v>240</v>
      </c>
      <c r="N2" s="94" t="s">
        <v>39</v>
      </c>
    </row>
    <row r="3" spans="1:14" ht="14.25" customHeight="1">
      <c r="A3" s="92" t="s">
        <v>3</v>
      </c>
      <c r="B3" s="92" t="s">
        <v>30</v>
      </c>
      <c r="C3" s="99" t="s">
        <v>4</v>
      </c>
      <c r="D3" s="100" t="s">
        <v>5</v>
      </c>
      <c r="E3" s="100" t="s">
        <v>6</v>
      </c>
      <c r="F3" s="101" t="s">
        <v>7</v>
      </c>
      <c r="G3" s="102" t="s">
        <v>8</v>
      </c>
      <c r="H3" s="103" t="s">
        <v>6</v>
      </c>
      <c r="I3" s="104" t="s">
        <v>7</v>
      </c>
      <c r="J3" s="105" t="s">
        <v>39</v>
      </c>
      <c r="K3" s="105" t="s">
        <v>40</v>
      </c>
      <c r="M3" s="134" t="s">
        <v>241</v>
      </c>
    </row>
    <row r="4" spans="1:14" ht="18">
      <c r="A4" s="106" t="str" cm="1">
        <f t="array" ref="A4:A84">Sites[Site]</f>
        <v>Adams &amp; Broadway</v>
      </c>
      <c r="B4" s="107" t="str" cm="1">
        <f t="array" ref="B4:B84">Sites[State]</f>
        <v>CA</v>
      </c>
      <c r="C4" s="108">
        <v>1342.5</v>
      </c>
      <c r="D4" s="109" t="s">
        <v>208</v>
      </c>
      <c r="E4" s="109" t="str">
        <f>IF(AND(ISNUMBER(C4),ISNUMBER(D4)), C4-D4, "")</f>
        <v/>
      </c>
      <c r="F4" s="110" t="str">
        <f>IFERROR(E4/D4, "")</f>
        <v/>
      </c>
      <c r="G4" s="111">
        <v>1364</v>
      </c>
      <c r="H4" s="111">
        <f>IF(AND(ISNUMBER(C4),ISNUMBER(G4)), C4-G4, "")</f>
        <v>-21.5</v>
      </c>
      <c r="I4" s="112">
        <f>IFERROR(H4/G4, "")</f>
        <v>-1.5762463343108504E-2</v>
      </c>
      <c r="J4" s="113"/>
      <c r="K4" s="113"/>
      <c r="L4" s="225" t="s">
        <v>242</v>
      </c>
    </row>
    <row r="5" spans="1:14" ht="18">
      <c r="A5" s="114" t="str">
        <v>Otay Mesa</v>
      </c>
      <c r="B5" s="114" t="str">
        <v>CA</v>
      </c>
      <c r="C5" s="115">
        <v>39.301000000000002</v>
      </c>
      <c r="D5" s="116" t="s">
        <v>208</v>
      </c>
      <c r="E5" s="116" t="str">
        <f t="shared" ref="E5:E68" si="0">IF(AND(ISNUMBER(C5),ISNUMBER(D5)), C5-D5, "")</f>
        <v/>
      </c>
      <c r="F5" s="117" t="str">
        <f>IFERROR(E5/D5, "")</f>
        <v/>
      </c>
      <c r="G5" s="118" t="s">
        <v>208</v>
      </c>
      <c r="H5" s="119" t="str">
        <f t="shared" ref="H5:H68" si="1">IF(AND(ISNUMBER(C5),ISNUMBER(G5)), C5-G5, "")</f>
        <v/>
      </c>
      <c r="I5" s="117" t="str">
        <f t="shared" ref="I5:I68" si="2">IFERROR(H5/G5, "")</f>
        <v/>
      </c>
      <c r="J5" s="120" t="s">
        <v>42</v>
      </c>
      <c r="K5" s="121"/>
      <c r="L5" s="225"/>
    </row>
    <row r="6" spans="1:14" ht="28.35" customHeight="1">
      <c r="A6" s="107" t="str">
        <v>San Leandro</v>
      </c>
      <c r="B6" s="107" t="str">
        <v>CA</v>
      </c>
      <c r="C6" s="108">
        <v>0</v>
      </c>
      <c r="D6" s="109" t="s">
        <v>208</v>
      </c>
      <c r="E6" s="109" t="str">
        <f t="shared" si="0"/>
        <v/>
      </c>
      <c r="F6" s="110" t="str">
        <f t="shared" ref="F6:F69" si="3">IFERROR(E6/D6, "")</f>
        <v/>
      </c>
      <c r="G6" s="111">
        <v>0</v>
      </c>
      <c r="H6" s="111">
        <f t="shared" si="1"/>
        <v>0</v>
      </c>
      <c r="I6" s="112" t="str">
        <f t="shared" si="2"/>
        <v/>
      </c>
      <c r="J6" s="113" t="s">
        <v>209</v>
      </c>
      <c r="K6" s="122" t="s">
        <v>157</v>
      </c>
      <c r="L6" s="225"/>
    </row>
    <row r="7" spans="1:14" ht="54">
      <c r="A7" s="114" t="str">
        <v>Van Nuys</v>
      </c>
      <c r="B7" s="114" t="str">
        <v>CA</v>
      </c>
      <c r="C7" s="115">
        <v>2166.3000000000002</v>
      </c>
      <c r="D7" s="116" t="s">
        <v>208</v>
      </c>
      <c r="E7" s="116" t="str">
        <f t="shared" si="0"/>
        <v/>
      </c>
      <c r="F7" s="117" t="str">
        <f t="shared" si="3"/>
        <v/>
      </c>
      <c r="G7" s="119">
        <v>2735.2310000000002</v>
      </c>
      <c r="H7" s="119">
        <f t="shared" si="1"/>
        <v>-568.93100000000004</v>
      </c>
      <c r="I7" s="117">
        <f t="shared" si="2"/>
        <v>-0.20800107925071046</v>
      </c>
      <c r="J7" s="121" t="s">
        <v>94</v>
      </c>
      <c r="K7" s="121"/>
      <c r="L7" s="225"/>
    </row>
    <row r="8" spans="1:14" ht="18">
      <c r="A8" s="107" t="str">
        <v>98th &amp; Grant</v>
      </c>
      <c r="B8" s="107" t="str">
        <v>CO</v>
      </c>
      <c r="C8" s="108">
        <v>2432.4</v>
      </c>
      <c r="D8" s="109" t="s">
        <v>208</v>
      </c>
      <c r="E8" s="109" t="str">
        <f t="shared" si="0"/>
        <v/>
      </c>
      <c r="F8" s="110" t="str">
        <f t="shared" si="3"/>
        <v/>
      </c>
      <c r="G8" s="111">
        <v>2218</v>
      </c>
      <c r="H8" s="111">
        <f t="shared" si="1"/>
        <v>214.40000000000009</v>
      </c>
      <c r="I8" s="112">
        <f t="shared" si="2"/>
        <v>9.6663660955816091E-2</v>
      </c>
      <c r="J8" s="113"/>
      <c r="K8" s="113"/>
      <c r="L8" s="225"/>
    </row>
    <row r="9" spans="1:14" ht="36">
      <c r="A9" s="114" t="str">
        <v>Arapahoe Crossings</v>
      </c>
      <c r="B9" s="114" t="str">
        <v>CO</v>
      </c>
      <c r="C9" s="115">
        <v>3164.2056659999998</v>
      </c>
      <c r="D9" s="116" t="s">
        <v>208</v>
      </c>
      <c r="E9" s="116" t="str">
        <f t="shared" si="0"/>
        <v/>
      </c>
      <c r="F9" s="117" t="str">
        <f t="shared" si="3"/>
        <v/>
      </c>
      <c r="G9" s="119">
        <v>4185.0529999999999</v>
      </c>
      <c r="H9" s="119">
        <f t="shared" si="1"/>
        <v>-1020.847334</v>
      </c>
      <c r="I9" s="117">
        <f t="shared" si="2"/>
        <v>-0.24392697870253974</v>
      </c>
      <c r="J9" s="121" t="s">
        <v>243</v>
      </c>
      <c r="K9" s="123" t="s">
        <v>244</v>
      </c>
      <c r="L9" s="225"/>
      <c r="M9" s="133" t="s">
        <v>245</v>
      </c>
    </row>
    <row r="10" spans="1:14" ht="18">
      <c r="A10" s="107" t="str">
        <v>Aurora City Center</v>
      </c>
      <c r="B10" s="107" t="str">
        <v>CO</v>
      </c>
      <c r="C10" s="108">
        <v>632.29999999999995</v>
      </c>
      <c r="D10" s="109" t="s">
        <v>208</v>
      </c>
      <c r="E10" s="109" t="str">
        <f t="shared" si="0"/>
        <v/>
      </c>
      <c r="F10" s="110" t="str">
        <f t="shared" si="3"/>
        <v/>
      </c>
      <c r="G10" s="111">
        <v>1923</v>
      </c>
      <c r="H10" s="111">
        <f t="shared" si="1"/>
        <v>-1290.7</v>
      </c>
      <c r="I10" s="112">
        <f t="shared" si="2"/>
        <v>-0.67119084763390535</v>
      </c>
      <c r="J10" s="113" t="s">
        <v>246</v>
      </c>
      <c r="K10" s="122" t="s">
        <v>247</v>
      </c>
      <c r="L10" s="225"/>
      <c r="M10" s="133" t="s">
        <v>245</v>
      </c>
    </row>
    <row r="11" spans="1:14" ht="18">
      <c r="A11" s="114" t="str">
        <v>Dry Creek</v>
      </c>
      <c r="B11" s="114" t="str">
        <v>CO</v>
      </c>
      <c r="C11" s="115">
        <v>2620</v>
      </c>
      <c r="D11" s="116" t="s">
        <v>208</v>
      </c>
      <c r="E11" s="116" t="str">
        <f t="shared" si="0"/>
        <v/>
      </c>
      <c r="F11" s="117" t="str">
        <f t="shared" si="3"/>
        <v/>
      </c>
      <c r="G11" s="119">
        <v>2426</v>
      </c>
      <c r="H11" s="119">
        <f t="shared" si="1"/>
        <v>194</v>
      </c>
      <c r="I11" s="117">
        <f t="shared" si="2"/>
        <v>7.996702390766694E-2</v>
      </c>
      <c r="J11" s="121"/>
      <c r="K11" s="121"/>
      <c r="L11" s="225"/>
      <c r="M11" s="133" t="s">
        <v>248</v>
      </c>
    </row>
    <row r="12" spans="1:14" ht="18">
      <c r="A12" s="107" t="str">
        <v>Highlands Ranch S.</v>
      </c>
      <c r="B12" s="107" t="str">
        <v>CO</v>
      </c>
      <c r="C12" s="108">
        <v>2184.5</v>
      </c>
      <c r="D12" s="109" t="s">
        <v>208</v>
      </c>
      <c r="E12" s="109" t="str">
        <f t="shared" si="0"/>
        <v/>
      </c>
      <c r="F12" s="110" t="str">
        <f t="shared" si="3"/>
        <v/>
      </c>
      <c r="G12" s="111">
        <v>2380</v>
      </c>
      <c r="H12" s="111">
        <f t="shared" si="1"/>
        <v>-195.5</v>
      </c>
      <c r="I12" s="112">
        <f t="shared" si="2"/>
        <v>-8.2142857142857142E-2</v>
      </c>
      <c r="J12" s="113"/>
      <c r="K12" s="113"/>
      <c r="L12" s="225"/>
    </row>
    <row r="13" spans="1:14" ht="72">
      <c r="A13" s="114" t="str">
        <v>Lone Tree</v>
      </c>
      <c r="B13" s="114" t="str">
        <v>CO</v>
      </c>
      <c r="C13" s="115">
        <v>3439.4</v>
      </c>
      <c r="D13" s="116" t="s">
        <v>208</v>
      </c>
      <c r="E13" s="116" t="str">
        <f t="shared" si="0"/>
        <v/>
      </c>
      <c r="F13" s="117" t="str">
        <f t="shared" si="3"/>
        <v/>
      </c>
      <c r="G13" s="119">
        <v>5432</v>
      </c>
      <c r="H13" s="119">
        <f t="shared" si="1"/>
        <v>-1992.6</v>
      </c>
      <c r="I13" s="117">
        <f t="shared" si="2"/>
        <v>-0.36682621502209128</v>
      </c>
      <c r="J13" s="121" t="s">
        <v>249</v>
      </c>
      <c r="K13" s="123" t="s">
        <v>250</v>
      </c>
      <c r="L13" s="225"/>
    </row>
    <row r="14" spans="1:14" ht="18">
      <c r="A14" s="107" t="str">
        <v>Meridian</v>
      </c>
      <c r="B14" s="107" t="str">
        <v>CO</v>
      </c>
      <c r="C14" s="108">
        <v>3524</v>
      </c>
      <c r="D14" s="109" t="s">
        <v>208</v>
      </c>
      <c r="E14" s="109" t="str">
        <f t="shared" si="0"/>
        <v/>
      </c>
      <c r="F14" s="110" t="str">
        <f t="shared" si="3"/>
        <v/>
      </c>
      <c r="G14" s="111">
        <v>3145</v>
      </c>
      <c r="H14" s="111">
        <f t="shared" si="1"/>
        <v>379</v>
      </c>
      <c r="I14" s="112">
        <f t="shared" si="2"/>
        <v>0.1205087440381558</v>
      </c>
      <c r="J14" s="113"/>
      <c r="K14" s="113"/>
      <c r="L14" s="225"/>
    </row>
    <row r="15" spans="1:14" ht="18">
      <c r="A15" s="114" t="str">
        <v>Southglenn</v>
      </c>
      <c r="B15" s="114" t="str">
        <v>CO</v>
      </c>
      <c r="C15" s="115">
        <v>3464.2</v>
      </c>
      <c r="D15" s="116" t="s">
        <v>208</v>
      </c>
      <c r="E15" s="116" t="str">
        <f t="shared" si="0"/>
        <v/>
      </c>
      <c r="F15" s="117" t="str">
        <f t="shared" si="3"/>
        <v/>
      </c>
      <c r="G15" s="119">
        <v>3174</v>
      </c>
      <c r="H15" s="119">
        <f t="shared" si="1"/>
        <v>290.19999999999982</v>
      </c>
      <c r="I15" s="117">
        <f t="shared" si="2"/>
        <v>9.1430371770636357E-2</v>
      </c>
      <c r="J15" s="121"/>
      <c r="K15" s="121"/>
      <c r="L15" s="225"/>
    </row>
    <row r="16" spans="1:14" ht="18">
      <c r="A16" s="107" t="str">
        <v>Standley Lake</v>
      </c>
      <c r="B16" s="107" t="str">
        <v>CO</v>
      </c>
      <c r="C16" s="108">
        <v>4109.6000000000004</v>
      </c>
      <c r="D16" s="109">
        <v>11689.38</v>
      </c>
      <c r="E16" s="109">
        <f t="shared" si="0"/>
        <v>-7579.7799999999988</v>
      </c>
      <c r="F16" s="110">
        <f t="shared" si="3"/>
        <v>-0.64843302211066789</v>
      </c>
      <c r="G16" s="111">
        <v>4231</v>
      </c>
      <c r="H16" s="111">
        <f t="shared" si="1"/>
        <v>-121.39999999999964</v>
      </c>
      <c r="I16" s="112">
        <f t="shared" si="2"/>
        <v>-2.869298038288812E-2</v>
      </c>
      <c r="J16" s="113" t="s">
        <v>251</v>
      </c>
      <c r="K16" s="122" t="s">
        <v>252</v>
      </c>
    </row>
    <row r="17" spans="1:19" ht="108">
      <c r="A17" s="114" t="str">
        <v>Havana Gardens</v>
      </c>
      <c r="B17" s="114" t="str">
        <v>CO</v>
      </c>
      <c r="C17" s="115">
        <v>4124.8</v>
      </c>
      <c r="D17" s="116" t="s">
        <v>208</v>
      </c>
      <c r="E17" s="116" t="str">
        <f t="shared" si="0"/>
        <v/>
      </c>
      <c r="F17" s="117" t="str">
        <f t="shared" si="3"/>
        <v/>
      </c>
      <c r="G17" s="119">
        <v>1646</v>
      </c>
      <c r="H17" s="119">
        <f t="shared" si="1"/>
        <v>2478.8000000000002</v>
      </c>
      <c r="I17" s="117">
        <f t="shared" si="2"/>
        <v>1.5059538274605104</v>
      </c>
      <c r="J17" s="121" t="s">
        <v>216</v>
      </c>
      <c r="K17" s="121"/>
      <c r="M17" s="133" t="s">
        <v>245</v>
      </c>
      <c r="N17" s="94" t="s">
        <v>253</v>
      </c>
    </row>
    <row r="18" spans="1:19" ht="16.5" customHeight="1">
      <c r="A18" s="107" t="str">
        <v>East Hartford</v>
      </c>
      <c r="B18" s="107" t="str">
        <v>CT</v>
      </c>
      <c r="C18" s="108">
        <v>894.7</v>
      </c>
      <c r="D18" s="109">
        <v>1944.548</v>
      </c>
      <c r="E18" s="109">
        <f t="shared" si="0"/>
        <v>-1049.848</v>
      </c>
      <c r="F18" s="110">
        <f t="shared" si="3"/>
        <v>-0.53989307540878395</v>
      </c>
      <c r="G18" s="111">
        <v>928.78650000000005</v>
      </c>
      <c r="H18" s="111">
        <f t="shared" si="1"/>
        <v>-34.086500000000001</v>
      </c>
      <c r="I18" s="112">
        <f t="shared" si="2"/>
        <v>-3.670003816808276E-2</v>
      </c>
      <c r="J18" s="113" t="s">
        <v>254</v>
      </c>
      <c r="K18" s="122" t="s">
        <v>255</v>
      </c>
      <c r="M18" s="133" t="s">
        <v>245</v>
      </c>
      <c r="N18" s="94" t="s">
        <v>256</v>
      </c>
    </row>
    <row r="19" spans="1:19" ht="108">
      <c r="A19" s="114" t="str">
        <v>Norwalk</v>
      </c>
      <c r="B19" s="114" t="str">
        <v>CT</v>
      </c>
      <c r="C19" s="115">
        <v>1030.7943069999999</v>
      </c>
      <c r="D19" s="116">
        <v>0</v>
      </c>
      <c r="E19" s="116">
        <f t="shared" si="0"/>
        <v>1030.7943069999999</v>
      </c>
      <c r="F19" s="110" t="str">
        <f t="shared" si="3"/>
        <v/>
      </c>
      <c r="G19" s="119">
        <v>1142.3679999999999</v>
      </c>
      <c r="H19" s="119">
        <f t="shared" si="1"/>
        <v>-111.57369300000005</v>
      </c>
      <c r="I19" s="117">
        <f t="shared" si="2"/>
        <v>-9.7668783614387009E-2</v>
      </c>
      <c r="J19" s="125" t="s">
        <v>257</v>
      </c>
      <c r="K19" s="123" t="s">
        <v>47</v>
      </c>
      <c r="L19" s="124" t="s">
        <v>48</v>
      </c>
      <c r="M19" s="133" t="s">
        <v>245</v>
      </c>
      <c r="N19" s="94" t="s">
        <v>258</v>
      </c>
      <c r="S19" s="135" t="s">
        <v>258</v>
      </c>
    </row>
    <row r="20" spans="1:19" ht="54">
      <c r="A20" s="107" t="str">
        <v>Hialeah Gardens</v>
      </c>
      <c r="B20" s="107" t="str">
        <v>FL</v>
      </c>
      <c r="C20" s="108">
        <v>832.50049760000002</v>
      </c>
      <c r="D20" s="109">
        <v>4924.6840000000002</v>
      </c>
      <c r="E20" s="109">
        <f t="shared" si="0"/>
        <v>-4092.1835024000002</v>
      </c>
      <c r="F20" s="110">
        <f t="shared" si="3"/>
        <v>-0.83095351953546659</v>
      </c>
      <c r="G20" s="111">
        <v>5675</v>
      </c>
      <c r="H20" s="111">
        <f t="shared" si="1"/>
        <v>-4842.4995024</v>
      </c>
      <c r="I20" s="112">
        <f t="shared" si="2"/>
        <v>-0.85330387707488986</v>
      </c>
      <c r="J20" s="113" t="s">
        <v>168</v>
      </c>
      <c r="K20" s="122" t="s">
        <v>100</v>
      </c>
      <c r="M20" s="133" t="s">
        <v>245</v>
      </c>
      <c r="N20" s="132" t="s">
        <v>259</v>
      </c>
    </row>
    <row r="21" spans="1:19" ht="18">
      <c r="A21" s="114" t="str">
        <v>W. Des Moines Campus EAST</v>
      </c>
      <c r="B21" s="114" t="str">
        <v>IA</v>
      </c>
      <c r="C21" s="115">
        <v>198640</v>
      </c>
      <c r="D21" s="116">
        <v>192283.5</v>
      </c>
      <c r="E21" s="116">
        <f t="shared" si="0"/>
        <v>6356.5</v>
      </c>
      <c r="F21" s="117">
        <f t="shared" si="3"/>
        <v>3.3057958691203357E-2</v>
      </c>
      <c r="G21" s="119">
        <v>204900</v>
      </c>
      <c r="H21" s="119">
        <f t="shared" si="1"/>
        <v>-6260</v>
      </c>
      <c r="I21" s="117">
        <f t="shared" si="2"/>
        <v>-3.0551488530990729E-2</v>
      </c>
      <c r="J21" s="121"/>
      <c r="K21" s="121"/>
      <c r="M21" s="133" t="s">
        <v>248</v>
      </c>
    </row>
    <row r="22" spans="1:19" ht="36">
      <c r="A22" s="107" t="str">
        <v>W. Des Moines Campus SW</v>
      </c>
      <c r="B22" s="107" t="str">
        <v>IA</v>
      </c>
      <c r="C22" s="108">
        <v>90103.5</v>
      </c>
      <c r="D22" s="109">
        <v>93693.57</v>
      </c>
      <c r="E22" s="109">
        <f t="shared" si="0"/>
        <v>-3590.070000000007</v>
      </c>
      <c r="F22" s="110">
        <f t="shared" si="3"/>
        <v>-3.8317143855229413E-2</v>
      </c>
      <c r="G22" s="111">
        <v>100519.1</v>
      </c>
      <c r="H22" s="111">
        <f t="shared" si="1"/>
        <v>-10415.600000000006</v>
      </c>
      <c r="I22" s="112">
        <f t="shared" si="2"/>
        <v>-0.10361811834765736</v>
      </c>
      <c r="J22" s="113" t="s">
        <v>260</v>
      </c>
      <c r="K22" s="122" t="s">
        <v>261</v>
      </c>
      <c r="L22" s="124" t="s">
        <v>262</v>
      </c>
      <c r="M22" s="133" t="s">
        <v>245</v>
      </c>
      <c r="N22" s="94" t="s">
        <v>263</v>
      </c>
    </row>
    <row r="23" spans="1:19" ht="18">
      <c r="A23" s="114" t="str">
        <v>WF - CIC</v>
      </c>
      <c r="B23" s="114" t="str">
        <v>NC</v>
      </c>
      <c r="C23" s="115">
        <v>204468</v>
      </c>
      <c r="D23" s="116">
        <v>203434</v>
      </c>
      <c r="E23" s="116">
        <f t="shared" si="0"/>
        <v>1034</v>
      </c>
      <c r="F23" s="117">
        <f t="shared" si="3"/>
        <v>5.0827295339028874E-3</v>
      </c>
      <c r="G23" s="119">
        <v>210055.3</v>
      </c>
      <c r="H23" s="119">
        <f t="shared" si="1"/>
        <v>-5587.2999999999884</v>
      </c>
      <c r="I23" s="117">
        <f t="shared" si="2"/>
        <v>-2.6599186023870802E-2</v>
      </c>
      <c r="J23" s="121"/>
      <c r="K23" s="121"/>
      <c r="M23" s="133" t="s">
        <v>248</v>
      </c>
    </row>
    <row r="24" spans="1:19" ht="36">
      <c r="A24" s="107" t="str">
        <v>Charlotte - Wells Fargo - DUC</v>
      </c>
      <c r="B24" s="107" t="str">
        <v>NC</v>
      </c>
      <c r="C24" s="108">
        <v>201246</v>
      </c>
      <c r="D24" s="109">
        <v>221442.8</v>
      </c>
      <c r="E24" s="109">
        <f t="shared" si="0"/>
        <v>-20196.799999999988</v>
      </c>
      <c r="F24" s="110">
        <f t="shared" si="3"/>
        <v>-9.1205494150182295E-2</v>
      </c>
      <c r="G24" s="111">
        <v>179546.7</v>
      </c>
      <c r="H24" s="111">
        <f t="shared" si="1"/>
        <v>21699.299999999988</v>
      </c>
      <c r="I24" s="112">
        <f t="shared" si="2"/>
        <v>0.12085602241645202</v>
      </c>
      <c r="J24" s="113" t="s">
        <v>264</v>
      </c>
      <c r="K24" s="122" t="s">
        <v>265</v>
      </c>
    </row>
    <row r="25" spans="1:19" ht="18">
      <c r="A25" s="114" t="str">
        <v>East Windsor</v>
      </c>
      <c r="B25" s="114" t="str">
        <v>NJ</v>
      </c>
      <c r="C25" s="115">
        <v>1197.9000000000001</v>
      </c>
      <c r="D25" s="116">
        <v>1054.1869999999999</v>
      </c>
      <c r="E25" s="116">
        <f t="shared" si="0"/>
        <v>143.71300000000019</v>
      </c>
      <c r="F25" s="117">
        <f t="shared" si="3"/>
        <v>0.13632590802201147</v>
      </c>
      <c r="G25" s="119">
        <v>1202.568</v>
      </c>
      <c r="H25" s="119">
        <f t="shared" si="1"/>
        <v>-4.6679999999998927</v>
      </c>
      <c r="I25" s="117">
        <f t="shared" si="2"/>
        <v>-3.8816931766019825E-3</v>
      </c>
      <c r="J25" s="121"/>
      <c r="K25" s="121"/>
      <c r="M25" s="133" t="s">
        <v>248</v>
      </c>
      <c r="N25" s="94" t="s">
        <v>266</v>
      </c>
    </row>
    <row r="26" spans="1:19" ht="18">
      <c r="A26" s="107" t="str">
        <v>Burlington</v>
      </c>
      <c r="B26" s="107" t="str">
        <v>NJ</v>
      </c>
      <c r="C26" s="108">
        <v>2956.7</v>
      </c>
      <c r="D26" s="109">
        <v>2853.357</v>
      </c>
      <c r="E26" s="109">
        <f t="shared" si="0"/>
        <v>103.34299999999985</v>
      </c>
      <c r="F26" s="110">
        <f t="shared" si="3"/>
        <v>3.6218040714849159E-2</v>
      </c>
      <c r="G26" s="111">
        <v>3072.4110000000001</v>
      </c>
      <c r="H26" s="111">
        <f t="shared" si="1"/>
        <v>-115.71100000000024</v>
      </c>
      <c r="I26" s="112">
        <f t="shared" si="2"/>
        <v>-3.7661302475482689E-2</v>
      </c>
      <c r="J26" s="113"/>
      <c r="K26" s="113"/>
      <c r="M26" s="133" t="s">
        <v>248</v>
      </c>
    </row>
    <row r="27" spans="1:19" ht="18">
      <c r="A27" s="114" t="str">
        <v>Bayonne</v>
      </c>
      <c r="B27" s="114" t="str">
        <v>NJ</v>
      </c>
      <c r="C27" s="115">
        <v>3984.4</v>
      </c>
      <c r="D27" s="116">
        <v>3676.4670000000001</v>
      </c>
      <c r="E27" s="116">
        <f t="shared" si="0"/>
        <v>307.93299999999999</v>
      </c>
      <c r="F27" s="117">
        <f t="shared" si="3"/>
        <v>8.3757857747669154E-2</v>
      </c>
      <c r="G27" s="119">
        <v>3874.7950000000001</v>
      </c>
      <c r="H27" s="119">
        <f t="shared" si="1"/>
        <v>109.60500000000002</v>
      </c>
      <c r="I27" s="117">
        <f t="shared" si="2"/>
        <v>2.828665774576462E-2</v>
      </c>
      <c r="J27" s="121"/>
      <c r="K27" s="121"/>
      <c r="M27" s="133" t="s">
        <v>248</v>
      </c>
    </row>
    <row r="28" spans="1:19" ht="18">
      <c r="A28" s="107" t="str">
        <v>Clifton</v>
      </c>
      <c r="B28" s="107" t="str">
        <v>NJ</v>
      </c>
      <c r="C28" s="108">
        <v>4726.546875</v>
      </c>
      <c r="D28" s="109">
        <v>4797.0450000000001</v>
      </c>
      <c r="E28" s="109">
        <f t="shared" si="0"/>
        <v>-70.498125000000073</v>
      </c>
      <c r="F28" s="110">
        <f t="shared" si="3"/>
        <v>-1.4696156696466277E-2</v>
      </c>
      <c r="G28" s="111">
        <v>5091.3879999999999</v>
      </c>
      <c r="H28" s="111">
        <f t="shared" si="1"/>
        <v>-364.84112499999992</v>
      </c>
      <c r="I28" s="112">
        <f t="shared" si="2"/>
        <v>-7.1658479966563132E-2</v>
      </c>
      <c r="J28" s="113"/>
      <c r="K28" s="113"/>
      <c r="M28" s="133" t="s">
        <v>245</v>
      </c>
      <c r="N28" s="94" t="s">
        <v>267</v>
      </c>
    </row>
    <row r="29" spans="1:19" ht="18">
      <c r="A29" s="114" t="str">
        <v>North Elizabeth</v>
      </c>
      <c r="B29" s="114" t="str">
        <v>NJ</v>
      </c>
      <c r="C29" s="115">
        <v>4079.3</v>
      </c>
      <c r="D29" s="116">
        <v>3757.3629999999998</v>
      </c>
      <c r="E29" s="116">
        <f t="shared" si="0"/>
        <v>321.93700000000035</v>
      </c>
      <c r="F29" s="117">
        <f t="shared" si="3"/>
        <v>8.5681633635078747E-2</v>
      </c>
      <c r="G29" s="119">
        <v>3903.1689999999999</v>
      </c>
      <c r="H29" s="119">
        <f t="shared" si="1"/>
        <v>176.13100000000031</v>
      </c>
      <c r="I29" s="117">
        <f t="shared" si="2"/>
        <v>4.5125127812810646E-2</v>
      </c>
      <c r="J29" s="121"/>
      <c r="K29" s="121"/>
      <c r="M29" s="133" t="s">
        <v>248</v>
      </c>
      <c r="N29" s="94" t="s">
        <v>268</v>
      </c>
    </row>
    <row r="30" spans="1:19" ht="18">
      <c r="A30" s="107" t="str">
        <v>Haddon Westmont Plaza</v>
      </c>
      <c r="B30" s="107" t="str">
        <v>NJ</v>
      </c>
      <c r="C30" s="108">
        <v>2901.2</v>
      </c>
      <c r="D30" s="109">
        <v>2798.248</v>
      </c>
      <c r="E30" s="109">
        <f t="shared" si="0"/>
        <v>102.95199999999977</v>
      </c>
      <c r="F30" s="110">
        <f t="shared" si="3"/>
        <v>3.6791592453563719E-2</v>
      </c>
      <c r="G30" s="111">
        <v>2876.201</v>
      </c>
      <c r="H30" s="111">
        <f t="shared" si="1"/>
        <v>24.998999999999796</v>
      </c>
      <c r="I30" s="112">
        <f t="shared" si="2"/>
        <v>8.6916734956978998E-3</v>
      </c>
      <c r="J30" s="113"/>
      <c r="K30" s="113"/>
      <c r="M30" s="133" t="s">
        <v>248</v>
      </c>
    </row>
    <row r="31" spans="1:19" ht="18">
      <c r="A31" s="114" t="str">
        <v>Parsippany</v>
      </c>
      <c r="B31" s="114" t="str">
        <v>NJ</v>
      </c>
      <c r="C31" s="115">
        <v>3547.9</v>
      </c>
      <c r="D31" s="116">
        <v>3275.12</v>
      </c>
      <c r="E31" s="116">
        <f t="shared" si="0"/>
        <v>272.7800000000002</v>
      </c>
      <c r="F31" s="117">
        <f t="shared" si="3"/>
        <v>8.328855125919056E-2</v>
      </c>
      <c r="G31" s="119">
        <v>3439.4250000000002</v>
      </c>
      <c r="H31" s="119">
        <f t="shared" si="1"/>
        <v>108.47499999999991</v>
      </c>
      <c r="I31" s="117">
        <f t="shared" si="2"/>
        <v>3.1538701963264179E-2</v>
      </c>
      <c r="J31" s="121"/>
      <c r="K31" s="121"/>
      <c r="M31" s="133" t="s">
        <v>248</v>
      </c>
      <c r="N31" s="94" t="s">
        <v>269</v>
      </c>
    </row>
    <row r="32" spans="1:19" ht="18">
      <c r="A32" s="107" t="str">
        <v>Clark</v>
      </c>
      <c r="B32" s="107" t="str">
        <v>NJ</v>
      </c>
      <c r="C32" s="108">
        <v>2937.5</v>
      </c>
      <c r="D32" s="109">
        <v>2834.6480000000001</v>
      </c>
      <c r="E32" s="109">
        <f t="shared" si="0"/>
        <v>102.85199999999986</v>
      </c>
      <c r="F32" s="110">
        <f t="shared" si="3"/>
        <v>3.6283870166595587E-2</v>
      </c>
      <c r="G32" s="111">
        <v>2808.6</v>
      </c>
      <c r="H32" s="111">
        <f t="shared" si="1"/>
        <v>128.90000000000009</v>
      </c>
      <c r="I32" s="112">
        <f t="shared" si="2"/>
        <v>4.589475183365381E-2</v>
      </c>
      <c r="J32" s="113"/>
      <c r="K32" s="113"/>
      <c r="M32" s="133" t="s">
        <v>248</v>
      </c>
    </row>
    <row r="33" spans="1:14" ht="126">
      <c r="A33" s="114" t="str">
        <v>Closter</v>
      </c>
      <c r="B33" s="114" t="str">
        <v>NJ</v>
      </c>
      <c r="C33" s="115">
        <v>1548.6</v>
      </c>
      <c r="D33" s="116">
        <v>1198.5360000000001</v>
      </c>
      <c r="E33" s="116">
        <f t="shared" si="0"/>
        <v>350.06399999999985</v>
      </c>
      <c r="F33" s="117">
        <f t="shared" si="3"/>
        <v>0.29207633312641407</v>
      </c>
      <c r="G33" s="119">
        <v>1739.414</v>
      </c>
      <c r="H33" s="119">
        <f t="shared" si="1"/>
        <v>-190.81400000000008</v>
      </c>
      <c r="I33" s="117">
        <f t="shared" si="2"/>
        <v>-0.10970016338835957</v>
      </c>
      <c r="J33" s="121" t="s">
        <v>221</v>
      </c>
      <c r="K33" s="121"/>
      <c r="M33" s="133" t="s">
        <v>248</v>
      </c>
      <c r="N33" s="132" t="s">
        <v>270</v>
      </c>
    </row>
    <row r="34" spans="1:14" ht="36">
      <c r="A34" s="107" t="str">
        <v>Holmdel</v>
      </c>
      <c r="B34" s="107" t="str">
        <v>NJ</v>
      </c>
      <c r="C34" s="108">
        <v>2512.6</v>
      </c>
      <c r="D34" s="109">
        <v>6084.7449999999999</v>
      </c>
      <c r="E34" s="109">
        <f t="shared" si="0"/>
        <v>-3572.145</v>
      </c>
      <c r="F34" s="110">
        <f t="shared" si="3"/>
        <v>-0.58706568640099133</v>
      </c>
      <c r="G34" s="111">
        <v>2332.0169999999998</v>
      </c>
      <c r="H34" s="111">
        <f t="shared" si="1"/>
        <v>180.58300000000008</v>
      </c>
      <c r="I34" s="112">
        <f t="shared" si="2"/>
        <v>7.7436399477362347E-2</v>
      </c>
      <c r="J34" s="113" t="s">
        <v>224</v>
      </c>
      <c r="K34" s="122" t="s">
        <v>182</v>
      </c>
      <c r="M34" s="133" t="s">
        <v>245</v>
      </c>
      <c r="N34" s="132" t="s">
        <v>271</v>
      </c>
    </row>
    <row r="35" spans="1:14" ht="18">
      <c r="A35" s="114" t="str">
        <v>Ellisburg Circle Center</v>
      </c>
      <c r="B35" s="114" t="str">
        <v>NJ</v>
      </c>
      <c r="C35" s="115">
        <v>1325</v>
      </c>
      <c r="D35" s="116">
        <v>1273.73</v>
      </c>
      <c r="E35" s="116">
        <f t="shared" si="0"/>
        <v>51.269999999999982</v>
      </c>
      <c r="F35" s="117">
        <f t="shared" si="3"/>
        <v>4.0251858714170176E-2</v>
      </c>
      <c r="G35" s="119">
        <v>1332.25</v>
      </c>
      <c r="H35" s="119">
        <f t="shared" si="1"/>
        <v>-7.25</v>
      </c>
      <c r="I35" s="117">
        <f t="shared" si="2"/>
        <v>-5.4419215612685305E-3</v>
      </c>
      <c r="J35" s="121"/>
      <c r="K35" s="121"/>
      <c r="M35" s="133" t="s">
        <v>248</v>
      </c>
      <c r="N35" s="94" t="s">
        <v>272</v>
      </c>
    </row>
    <row r="36" spans="1:14" ht="18">
      <c r="A36" s="107" t="str">
        <v>Nutley</v>
      </c>
      <c r="B36" s="107" t="str">
        <v>NJ</v>
      </c>
      <c r="C36" s="108">
        <v>5189.4431759999998</v>
      </c>
      <c r="D36" s="109">
        <v>4003.32</v>
      </c>
      <c r="E36" s="109">
        <f t="shared" si="0"/>
        <v>1186.1231759999996</v>
      </c>
      <c r="F36" s="110">
        <f t="shared" si="3"/>
        <v>0.29628487755163202</v>
      </c>
      <c r="G36" s="111">
        <v>4917.7250000000004</v>
      </c>
      <c r="H36" s="111">
        <f t="shared" si="1"/>
        <v>271.7181759999994</v>
      </c>
      <c r="I36" s="112">
        <f t="shared" si="2"/>
        <v>5.5252820359007346E-2</v>
      </c>
      <c r="J36" s="113"/>
      <c r="K36" s="113"/>
      <c r="M36" s="133" t="s">
        <v>248</v>
      </c>
      <c r="N36" s="94" t="s">
        <v>273</v>
      </c>
    </row>
    <row r="37" spans="1:14" ht="18">
      <c r="A37" s="114" t="str">
        <v>Marlton</v>
      </c>
      <c r="B37" s="114" t="str">
        <v>NJ</v>
      </c>
      <c r="C37" s="115">
        <v>4549.2</v>
      </c>
      <c r="D37" s="116">
        <v>4094.7460000000001</v>
      </c>
      <c r="E37" s="116">
        <f t="shared" si="0"/>
        <v>454.45399999999972</v>
      </c>
      <c r="F37" s="117">
        <f t="shared" si="3"/>
        <v>0.11098466180808278</v>
      </c>
      <c r="G37" s="119">
        <v>4583.25</v>
      </c>
      <c r="H37" s="119">
        <f t="shared" si="1"/>
        <v>-34.050000000000182</v>
      </c>
      <c r="I37" s="117">
        <f t="shared" si="2"/>
        <v>-7.4292259859270564E-3</v>
      </c>
      <c r="J37" s="121" t="s">
        <v>258</v>
      </c>
      <c r="K37" s="121"/>
      <c r="M37" s="133" t="s">
        <v>248</v>
      </c>
      <c r="N37" s="94" t="s">
        <v>272</v>
      </c>
    </row>
    <row r="38" spans="1:14" ht="36">
      <c r="A38" s="107" t="str">
        <v>Middletown</v>
      </c>
      <c r="B38" s="107" t="str">
        <v>NJ</v>
      </c>
      <c r="C38" s="108">
        <v>3656.9</v>
      </c>
      <c r="D38" s="109">
        <v>1825.9770000000001</v>
      </c>
      <c r="E38" s="109">
        <f t="shared" si="0"/>
        <v>1830.923</v>
      </c>
      <c r="F38" s="110">
        <f t="shared" si="3"/>
        <v>1.0027086869111714</v>
      </c>
      <c r="G38" s="111">
        <v>3678.9850000000001</v>
      </c>
      <c r="H38" s="111">
        <f t="shared" si="1"/>
        <v>-22.085000000000036</v>
      </c>
      <c r="I38" s="112">
        <f t="shared" si="2"/>
        <v>-6.0030144183789921E-3</v>
      </c>
      <c r="J38" s="113" t="s">
        <v>274</v>
      </c>
      <c r="K38" s="122" t="s">
        <v>184</v>
      </c>
      <c r="N38" s="132" t="s">
        <v>275</v>
      </c>
    </row>
    <row r="39" spans="1:14" ht="18">
      <c r="A39" s="114" t="str">
        <v>Whiting Crestwood</v>
      </c>
      <c r="B39" s="114" t="str">
        <v>NJ</v>
      </c>
      <c r="C39" s="115">
        <v>4614</v>
      </c>
      <c r="D39" s="116">
        <v>4551.4799999999996</v>
      </c>
      <c r="E39" s="116">
        <f t="shared" si="0"/>
        <v>62.520000000000437</v>
      </c>
      <c r="F39" s="117">
        <f t="shared" si="3"/>
        <v>1.3736191304806446E-2</v>
      </c>
      <c r="G39" s="119">
        <v>4973.5259999999998</v>
      </c>
      <c r="H39" s="119">
        <f t="shared" si="1"/>
        <v>-359.52599999999984</v>
      </c>
      <c r="I39" s="117">
        <f t="shared" si="2"/>
        <v>-7.2287950238925036E-2</v>
      </c>
      <c r="J39" s="121"/>
      <c r="K39" s="121"/>
      <c r="M39" s="133" t="s">
        <v>276</v>
      </c>
    </row>
    <row r="40" spans="1:14" ht="18">
      <c r="A40" s="107" t="str">
        <v>Barnegat</v>
      </c>
      <c r="B40" s="107" t="str">
        <v>NJ</v>
      </c>
      <c r="C40" s="108">
        <v>6802.5625</v>
      </c>
      <c r="D40" s="109">
        <v>6004.6670000000004</v>
      </c>
      <c r="E40" s="109">
        <f t="shared" si="0"/>
        <v>797.89549999999963</v>
      </c>
      <c r="F40" s="110">
        <f t="shared" si="3"/>
        <v>0.1328792254424766</v>
      </c>
      <c r="G40" s="111">
        <v>6871.7730000000001</v>
      </c>
      <c r="H40" s="111">
        <f t="shared" si="1"/>
        <v>-69.210500000000138</v>
      </c>
      <c r="I40" s="112">
        <f t="shared" si="2"/>
        <v>-1.0071709295403113E-2</v>
      </c>
      <c r="J40" s="113" t="s">
        <v>258</v>
      </c>
      <c r="K40" s="113"/>
      <c r="M40" s="133" t="s">
        <v>248</v>
      </c>
    </row>
    <row r="41" spans="1:14" ht="126">
      <c r="A41" s="114" t="str">
        <v>Manchester</v>
      </c>
      <c r="B41" s="114" t="str">
        <v>NJ</v>
      </c>
      <c r="C41" s="115">
        <v>2590.1</v>
      </c>
      <c r="D41" s="116">
        <v>2824.5160000000001</v>
      </c>
      <c r="E41" s="116">
        <f t="shared" si="0"/>
        <v>-234.41600000000017</v>
      </c>
      <c r="F41" s="117">
        <f t="shared" si="3"/>
        <v>-8.2993334079183884E-2</v>
      </c>
      <c r="G41" s="119">
        <v>4194.8720000000003</v>
      </c>
      <c r="H41" s="119">
        <f t="shared" si="1"/>
        <v>-1604.7720000000004</v>
      </c>
      <c r="I41" s="117">
        <f t="shared" si="2"/>
        <v>-0.3825556536647603</v>
      </c>
      <c r="J41" s="121" t="s">
        <v>221</v>
      </c>
      <c r="K41" s="121"/>
      <c r="M41" s="133" t="s">
        <v>245</v>
      </c>
      <c r="N41" s="94" t="s">
        <v>253</v>
      </c>
    </row>
    <row r="42" spans="1:14" ht="18">
      <c r="A42" s="107" t="str">
        <v>West Deptford - Woodbury</v>
      </c>
      <c r="B42" s="107" t="str">
        <v>NJ</v>
      </c>
      <c r="C42" s="108">
        <v>4008.4</v>
      </c>
      <c r="D42" s="109">
        <v>4209.5020000000004</v>
      </c>
      <c r="E42" s="109">
        <f t="shared" si="0"/>
        <v>-201.10200000000032</v>
      </c>
      <c r="F42" s="110">
        <f t="shared" si="3"/>
        <v>-4.777334706100634E-2</v>
      </c>
      <c r="G42" s="111">
        <v>3884.1669999999999</v>
      </c>
      <c r="H42" s="111">
        <f t="shared" si="1"/>
        <v>124.23300000000017</v>
      </c>
      <c r="I42" s="112">
        <f t="shared" si="2"/>
        <v>3.1984464107748245E-2</v>
      </c>
      <c r="J42" s="113"/>
      <c r="K42" s="113"/>
      <c r="M42" s="133" t="s">
        <v>276</v>
      </c>
    </row>
    <row r="43" spans="1:14" ht="18">
      <c r="A43" s="114" t="str">
        <v>Edison</v>
      </c>
      <c r="B43" s="114" t="str">
        <v>NJ</v>
      </c>
      <c r="C43" s="115">
        <v>3650.4</v>
      </c>
      <c r="D43" s="116">
        <v>3666.3069999999998</v>
      </c>
      <c r="E43" s="116">
        <f t="shared" si="0"/>
        <v>-15.906999999999698</v>
      </c>
      <c r="F43" s="117">
        <f t="shared" si="3"/>
        <v>-4.3386983141345502E-3</v>
      </c>
      <c r="G43" s="119">
        <v>3608.393</v>
      </c>
      <c r="H43" s="119">
        <f t="shared" si="1"/>
        <v>42.007000000000062</v>
      </c>
      <c r="I43" s="117">
        <f t="shared" si="2"/>
        <v>1.164147031656476E-2</v>
      </c>
      <c r="J43" s="121"/>
      <c r="K43" s="121"/>
      <c r="M43" s="133" t="s">
        <v>276</v>
      </c>
    </row>
    <row r="44" spans="1:14" ht="18">
      <c r="A44" s="107" t="str">
        <v>Flemington</v>
      </c>
      <c r="B44" s="107" t="str">
        <v>NJ</v>
      </c>
      <c r="C44" s="108">
        <v>3518.4</v>
      </c>
      <c r="D44" s="109">
        <v>3715.1419999999998</v>
      </c>
      <c r="E44" s="109">
        <f t="shared" si="0"/>
        <v>-196.74199999999973</v>
      </c>
      <c r="F44" s="110">
        <f t="shared" si="3"/>
        <v>-5.2956791422777309E-2</v>
      </c>
      <c r="G44" s="111">
        <v>3731.2109999999998</v>
      </c>
      <c r="H44" s="111">
        <f t="shared" si="1"/>
        <v>-212.81099999999969</v>
      </c>
      <c r="I44" s="112">
        <f t="shared" si="2"/>
        <v>-5.7035370017937799E-2</v>
      </c>
      <c r="J44" s="113"/>
      <c r="K44" s="113"/>
      <c r="M44" s="133" t="s">
        <v>276</v>
      </c>
    </row>
    <row r="45" spans="1:14" ht="18">
      <c r="A45" s="114" t="str">
        <v>Route 22</v>
      </c>
      <c r="B45" s="114" t="str">
        <v>NJ</v>
      </c>
      <c r="C45" s="115">
        <v>2981.8</v>
      </c>
      <c r="D45" s="116">
        <v>3285.7829999999999</v>
      </c>
      <c r="E45" s="116">
        <f t="shared" si="0"/>
        <v>-303.98299999999972</v>
      </c>
      <c r="F45" s="117">
        <f t="shared" si="3"/>
        <v>-9.2514630454902144E-2</v>
      </c>
      <c r="G45" s="119">
        <v>3517.38</v>
      </c>
      <c r="H45" s="119">
        <f t="shared" si="1"/>
        <v>-535.57999999999993</v>
      </c>
      <c r="I45" s="117">
        <f t="shared" si="2"/>
        <v>-0.15226674399695225</v>
      </c>
      <c r="J45" s="121" t="s">
        <v>277</v>
      </c>
      <c r="K45" s="123" t="s">
        <v>278</v>
      </c>
      <c r="M45" s="133" t="s">
        <v>245</v>
      </c>
    </row>
    <row r="46" spans="1:14" ht="18">
      <c r="A46" s="107" t="str">
        <v>Laurelton</v>
      </c>
      <c r="B46" s="107" t="str">
        <v>NJ</v>
      </c>
      <c r="C46" s="108">
        <v>1984.5</v>
      </c>
      <c r="D46" s="109">
        <v>3045.2370000000001</v>
      </c>
      <c r="E46" s="109">
        <f t="shared" si="0"/>
        <v>-1060.7370000000001</v>
      </c>
      <c r="F46" s="110">
        <f t="shared" si="3"/>
        <v>-0.34832658344818485</v>
      </c>
      <c r="G46" s="111">
        <v>3103.0630000000001</v>
      </c>
      <c r="H46" s="111">
        <f t="shared" si="1"/>
        <v>-1118.5630000000001</v>
      </c>
      <c r="I46" s="112">
        <f t="shared" si="2"/>
        <v>-0.36047060597867336</v>
      </c>
      <c r="J46" s="113" t="s">
        <v>279</v>
      </c>
      <c r="K46" s="122" t="s">
        <v>280</v>
      </c>
    </row>
    <row r="47" spans="1:14" ht="54">
      <c r="A47" s="114" t="str">
        <v>Mahwah</v>
      </c>
      <c r="B47" s="114" t="str">
        <v>NJ</v>
      </c>
      <c r="C47" s="115">
        <v>2838.8</v>
      </c>
      <c r="D47" s="116">
        <v>346.87</v>
      </c>
      <c r="E47" s="116">
        <f t="shared" si="0"/>
        <v>2491.9300000000003</v>
      </c>
      <c r="F47" s="117">
        <f t="shared" si="3"/>
        <v>7.1840458961570626</v>
      </c>
      <c r="G47" s="119">
        <v>3082.5680000000002</v>
      </c>
      <c r="H47" s="119">
        <f t="shared" si="1"/>
        <v>-243.76800000000003</v>
      </c>
      <c r="I47" s="117">
        <f t="shared" si="2"/>
        <v>-7.9079520711303045E-2</v>
      </c>
      <c r="J47" s="121" t="s">
        <v>188</v>
      </c>
      <c r="K47" s="81" t="s">
        <v>145</v>
      </c>
      <c r="N47" s="132" t="s">
        <v>281</v>
      </c>
    </row>
    <row r="48" spans="1:14" ht="18">
      <c r="A48" s="107" t="str">
        <v>Franklin Township WF</v>
      </c>
      <c r="B48" s="107" t="str">
        <v>NJ</v>
      </c>
      <c r="C48" s="108">
        <v>3184.8</v>
      </c>
      <c r="D48" s="109">
        <v>3168.17</v>
      </c>
      <c r="E48" s="109">
        <f t="shared" si="0"/>
        <v>16.630000000000109</v>
      </c>
      <c r="F48" s="110">
        <f t="shared" si="3"/>
        <v>5.2490870123762644E-3</v>
      </c>
      <c r="G48" s="111">
        <v>3453.143</v>
      </c>
      <c r="H48" s="111">
        <f t="shared" si="1"/>
        <v>-268.34299999999985</v>
      </c>
      <c r="I48" s="112">
        <f t="shared" si="2"/>
        <v>-7.7709784969808612E-2</v>
      </c>
      <c r="J48" s="113"/>
      <c r="K48" s="113"/>
    </row>
    <row r="49" spans="1:14" ht="18">
      <c r="A49" s="114" t="str">
        <v>Bordentown</v>
      </c>
      <c r="B49" s="114" t="str">
        <v>NJ</v>
      </c>
      <c r="C49" s="115">
        <v>2418</v>
      </c>
      <c r="D49" s="116">
        <v>2227.44</v>
      </c>
      <c r="E49" s="116">
        <f t="shared" si="0"/>
        <v>190.55999999999995</v>
      </c>
      <c r="F49" s="117">
        <f t="shared" si="3"/>
        <v>8.5551125956254692E-2</v>
      </c>
      <c r="G49" s="119">
        <v>2340.239</v>
      </c>
      <c r="H49" s="119">
        <f t="shared" si="1"/>
        <v>77.760999999999967</v>
      </c>
      <c r="I49" s="117">
        <f t="shared" si="2"/>
        <v>3.3227802801337795E-2</v>
      </c>
      <c r="J49" s="121"/>
      <c r="K49" s="121"/>
    </row>
    <row r="50" spans="1:14" ht="18">
      <c r="A50" s="107" t="str">
        <v>South Plainfield</v>
      </c>
      <c r="B50" s="107" t="str">
        <v>NJ</v>
      </c>
      <c r="C50" s="108">
        <v>1796.2</v>
      </c>
      <c r="D50" s="109">
        <v>1772.441</v>
      </c>
      <c r="E50" s="109">
        <f t="shared" si="0"/>
        <v>23.759000000000015</v>
      </c>
      <c r="F50" s="110">
        <f t="shared" si="3"/>
        <v>1.3404677504074897E-2</v>
      </c>
      <c r="G50" s="111">
        <v>1697.6079999999999</v>
      </c>
      <c r="H50" s="111">
        <f t="shared" si="1"/>
        <v>98.592000000000098</v>
      </c>
      <c r="I50" s="112">
        <f t="shared" si="2"/>
        <v>5.8077011889670703E-2</v>
      </c>
      <c r="J50" s="113"/>
      <c r="K50" s="113"/>
    </row>
    <row r="51" spans="1:14" ht="18">
      <c r="A51" s="114" t="str">
        <v>Somerset</v>
      </c>
      <c r="B51" s="114" t="str">
        <v>NJ</v>
      </c>
      <c r="C51" s="115">
        <v>2944.5</v>
      </c>
      <c r="D51" s="116">
        <v>2751.665</v>
      </c>
      <c r="E51" s="116">
        <f t="shared" si="0"/>
        <v>192.83500000000004</v>
      </c>
      <c r="F51" s="117">
        <f t="shared" si="3"/>
        <v>7.0079388297630718E-2</v>
      </c>
      <c r="G51" s="119">
        <v>2907.846</v>
      </c>
      <c r="H51" s="119">
        <f t="shared" si="1"/>
        <v>36.653999999999996</v>
      </c>
      <c r="I51" s="117">
        <f t="shared" si="2"/>
        <v>1.260520674065958E-2</v>
      </c>
      <c r="J51" s="121"/>
      <c r="K51" s="121"/>
    </row>
    <row r="52" spans="1:14" ht="18">
      <c r="A52" s="107" t="str">
        <v>Clinton Main Relo</v>
      </c>
      <c r="B52" s="107" t="str">
        <v>NJ</v>
      </c>
      <c r="C52" s="108">
        <v>3447</v>
      </c>
      <c r="D52" s="109">
        <v>3490</v>
      </c>
      <c r="E52" s="109">
        <f t="shared" si="0"/>
        <v>-43</v>
      </c>
      <c r="F52" s="110">
        <f t="shared" si="3"/>
        <v>-1.2320916905444125E-2</v>
      </c>
      <c r="G52" s="111">
        <v>3434.1</v>
      </c>
      <c r="H52" s="111">
        <f t="shared" si="1"/>
        <v>12.900000000000091</v>
      </c>
      <c r="I52" s="112">
        <f t="shared" si="2"/>
        <v>3.7564427360880846E-3</v>
      </c>
      <c r="J52" s="113"/>
      <c r="K52" s="113"/>
    </row>
    <row r="53" spans="1:14" ht="18">
      <c r="A53" s="114" t="str">
        <v>North Brunswick</v>
      </c>
      <c r="B53" s="114" t="str">
        <v>NJ</v>
      </c>
      <c r="C53" s="115">
        <v>3501.2</v>
      </c>
      <c r="D53" s="116">
        <v>3177.3429999999998</v>
      </c>
      <c r="E53" s="116">
        <f t="shared" si="0"/>
        <v>323.85699999999997</v>
      </c>
      <c r="F53" s="117">
        <f t="shared" si="3"/>
        <v>0.1019269874231394</v>
      </c>
      <c r="G53" s="119">
        <v>3737.9520000000002</v>
      </c>
      <c r="H53" s="119">
        <f t="shared" si="1"/>
        <v>-236.75200000000041</v>
      </c>
      <c r="I53" s="117">
        <f t="shared" si="2"/>
        <v>-6.3337356927001848E-2</v>
      </c>
      <c r="J53" s="121"/>
      <c r="K53" s="121"/>
    </row>
    <row r="54" spans="1:14" ht="18">
      <c r="A54" s="107" t="str">
        <v>Cherry Hill</v>
      </c>
      <c r="B54" s="107" t="str">
        <v>NJ</v>
      </c>
      <c r="C54" s="108">
        <v>2331.3515630000002</v>
      </c>
      <c r="D54" s="109">
        <v>2230.0309999999999</v>
      </c>
      <c r="E54" s="109">
        <f t="shared" si="0"/>
        <v>101.32056300000022</v>
      </c>
      <c r="F54" s="110">
        <f t="shared" si="3"/>
        <v>4.5434598442802017E-2</v>
      </c>
      <c r="G54" s="111">
        <v>2349.35</v>
      </c>
      <c r="H54" s="111">
        <f t="shared" si="1"/>
        <v>-17.99843699999974</v>
      </c>
      <c r="I54" s="112">
        <f t="shared" si="2"/>
        <v>-7.6610283695489135E-3</v>
      </c>
      <c r="J54" s="113"/>
      <c r="K54" s="113"/>
    </row>
    <row r="55" spans="1:14" ht="18">
      <c r="A55" s="114" t="str">
        <v>Hainesport</v>
      </c>
      <c r="B55" s="114" t="str">
        <v>NJ</v>
      </c>
      <c r="C55" s="115">
        <v>2404.5</v>
      </c>
      <c r="D55" s="116">
        <v>2847.491</v>
      </c>
      <c r="E55" s="116">
        <f t="shared" si="0"/>
        <v>-442.99099999999999</v>
      </c>
      <c r="F55" s="117">
        <f t="shared" si="3"/>
        <v>-0.15557239689256261</v>
      </c>
      <c r="G55" s="119">
        <v>2309.299</v>
      </c>
      <c r="H55" s="119">
        <f t="shared" si="1"/>
        <v>95.201000000000022</v>
      </c>
      <c r="I55" s="117">
        <f t="shared" si="2"/>
        <v>4.122506440266073E-2</v>
      </c>
      <c r="J55" s="121"/>
      <c r="K55" s="121"/>
    </row>
    <row r="56" spans="1:14" ht="18">
      <c r="A56" s="107" t="str">
        <v>San Antonio - Ops Ctr (Bldg 106)</v>
      </c>
      <c r="B56" s="107" t="str">
        <v>TX</v>
      </c>
      <c r="C56" s="108">
        <v>51870.6</v>
      </c>
      <c r="D56" s="109">
        <v>46882.7</v>
      </c>
      <c r="E56" s="109">
        <f t="shared" si="0"/>
        <v>4987.9000000000015</v>
      </c>
      <c r="F56" s="110">
        <f t="shared" si="3"/>
        <v>0.10639105682906491</v>
      </c>
      <c r="G56" s="111">
        <v>63072.6</v>
      </c>
      <c r="H56" s="111">
        <f t="shared" si="1"/>
        <v>-11202</v>
      </c>
      <c r="I56" s="112">
        <f t="shared" si="2"/>
        <v>-0.17760485535715984</v>
      </c>
      <c r="J56" s="113" t="s">
        <v>282</v>
      </c>
      <c r="K56" s="122" t="s">
        <v>230</v>
      </c>
      <c r="M56" s="133" t="s">
        <v>248</v>
      </c>
      <c r="N56" s="94" t="s">
        <v>283</v>
      </c>
    </row>
    <row r="57" spans="1:14" ht="52.15">
      <c r="A57" s="114" t="str">
        <v>San Antonio - Ops Ctr GM</v>
      </c>
      <c r="B57" s="114" t="str">
        <v>TX</v>
      </c>
      <c r="C57" s="115">
        <v>349532.25</v>
      </c>
      <c r="D57" s="116">
        <v>388727.97899999999</v>
      </c>
      <c r="E57" s="116">
        <f t="shared" si="0"/>
        <v>-39195.728999999992</v>
      </c>
      <c r="F57" s="117">
        <f t="shared" si="3"/>
        <v>-0.10083073799017692</v>
      </c>
      <c r="G57" s="119">
        <v>461978.1</v>
      </c>
      <c r="H57" s="119">
        <f t="shared" si="1"/>
        <v>-112445.84999999998</v>
      </c>
      <c r="I57" s="117">
        <f t="shared" si="2"/>
        <v>-0.24340082354553166</v>
      </c>
      <c r="J57" s="121" t="s">
        <v>258</v>
      </c>
      <c r="K57" s="121"/>
      <c r="M57" s="133" t="s">
        <v>245</v>
      </c>
      <c r="N57" s="132" t="s">
        <v>284</v>
      </c>
    </row>
    <row r="58" spans="1:14" ht="18">
      <c r="A58" s="107" t="str">
        <v>San Antonio - Ctr (Bldg 201)</v>
      </c>
      <c r="B58" s="107" t="str">
        <v>TX</v>
      </c>
      <c r="C58" s="108">
        <v>52526.1</v>
      </c>
      <c r="D58" s="109">
        <v>46501.7</v>
      </c>
      <c r="E58" s="109">
        <f t="shared" si="0"/>
        <v>6024.4000000000015</v>
      </c>
      <c r="F58" s="110">
        <f t="shared" si="3"/>
        <v>0.1295522529283876</v>
      </c>
      <c r="G58" s="111">
        <v>62302.7</v>
      </c>
      <c r="H58" s="111">
        <f t="shared" si="1"/>
        <v>-9776.5999999999985</v>
      </c>
      <c r="I58" s="112">
        <f t="shared" si="2"/>
        <v>-0.15692096811213638</v>
      </c>
      <c r="J58" s="113" t="s">
        <v>258</v>
      </c>
      <c r="K58" s="113"/>
      <c r="M58" s="133" t="s">
        <v>248</v>
      </c>
      <c r="N58" s="94" t="s">
        <v>253</v>
      </c>
    </row>
    <row r="59" spans="1:14" ht="18">
      <c r="A59" s="114" t="str">
        <v>San Antonio - Ops Ctr (Bldg 203)</v>
      </c>
      <c r="B59" s="114" t="str">
        <v>TX</v>
      </c>
      <c r="C59" s="115">
        <v>52305.7</v>
      </c>
      <c r="D59" s="116">
        <v>50500.5</v>
      </c>
      <c r="E59" s="116">
        <f t="shared" si="0"/>
        <v>1805.1999999999971</v>
      </c>
      <c r="F59" s="117">
        <f t="shared" si="3"/>
        <v>3.5746180730883793E-2</v>
      </c>
      <c r="G59" s="119">
        <v>62577.8</v>
      </c>
      <c r="H59" s="119">
        <f t="shared" si="1"/>
        <v>-10272.100000000006</v>
      </c>
      <c r="I59" s="117">
        <f t="shared" si="2"/>
        <v>-0.16414926699244789</v>
      </c>
      <c r="J59" s="121" t="s">
        <v>258</v>
      </c>
      <c r="K59" s="121"/>
      <c r="M59" s="133" t="s">
        <v>248</v>
      </c>
      <c r="N59" s="94" t="s">
        <v>253</v>
      </c>
    </row>
    <row r="60" spans="1:14" ht="18">
      <c r="A60" s="107" t="str">
        <v>San Antonio - Ops Ctr (Bldg 205)</v>
      </c>
      <c r="B60" s="107" t="str">
        <v>TX</v>
      </c>
      <c r="C60" s="108">
        <v>48676.5</v>
      </c>
      <c r="D60" s="109">
        <v>42368.7</v>
      </c>
      <c r="E60" s="109">
        <f t="shared" si="0"/>
        <v>6307.8000000000029</v>
      </c>
      <c r="F60" s="110">
        <f t="shared" si="3"/>
        <v>0.1488787713571576</v>
      </c>
      <c r="G60" s="111">
        <v>59706</v>
      </c>
      <c r="H60" s="111">
        <f t="shared" si="1"/>
        <v>-11029.5</v>
      </c>
      <c r="I60" s="112">
        <f t="shared" si="2"/>
        <v>-0.1847301778715707</v>
      </c>
      <c r="J60" s="113" t="s">
        <v>258</v>
      </c>
      <c r="K60" s="113"/>
      <c r="M60" s="133" t="s">
        <v>248</v>
      </c>
      <c r="N60" s="94" t="s">
        <v>253</v>
      </c>
    </row>
    <row r="61" spans="1:14" ht="18">
      <c r="A61" s="114" t="str">
        <v>San Antonio - Ops Ctr (Bldg 307)</v>
      </c>
      <c r="B61" s="114" t="str">
        <v>TX</v>
      </c>
      <c r="C61" s="115">
        <v>50988.3</v>
      </c>
      <c r="D61" s="116">
        <v>46074.1</v>
      </c>
      <c r="E61" s="116">
        <f t="shared" si="0"/>
        <v>4914.2000000000044</v>
      </c>
      <c r="F61" s="117">
        <f t="shared" si="3"/>
        <v>0.10665862165511653</v>
      </c>
      <c r="G61" s="119">
        <v>60625.599999999999</v>
      </c>
      <c r="H61" s="119">
        <f t="shared" si="1"/>
        <v>-9637.2999999999956</v>
      </c>
      <c r="I61" s="117">
        <f t="shared" si="2"/>
        <v>-0.15896419994193864</v>
      </c>
      <c r="J61" s="121" t="s">
        <v>258</v>
      </c>
      <c r="K61" s="121"/>
      <c r="M61" s="133" t="s">
        <v>248</v>
      </c>
      <c r="N61" s="94" t="s">
        <v>253</v>
      </c>
    </row>
    <row r="62" spans="1:14" ht="36">
      <c r="A62" s="107" t="str">
        <v>San Antonio - Ctr (Bldg 308)</v>
      </c>
      <c r="B62" s="107" t="str">
        <v>TX</v>
      </c>
      <c r="C62" s="108">
        <v>48109.9</v>
      </c>
      <c r="D62" s="109">
        <v>45024.5</v>
      </c>
      <c r="E62" s="109">
        <f t="shared" si="0"/>
        <v>3085.4000000000015</v>
      </c>
      <c r="F62" s="110">
        <f t="shared" si="3"/>
        <v>6.8527135226376781E-2</v>
      </c>
      <c r="G62" s="111">
        <v>57851.4</v>
      </c>
      <c r="H62" s="111">
        <f t="shared" si="1"/>
        <v>-9741.5</v>
      </c>
      <c r="I62" s="112">
        <f t="shared" si="2"/>
        <v>-0.16838831903808724</v>
      </c>
      <c r="J62" s="113" t="s">
        <v>285</v>
      </c>
      <c r="K62" s="122" t="s">
        <v>286</v>
      </c>
      <c r="M62" s="133" t="s">
        <v>248</v>
      </c>
      <c r="N62" s="94" t="s">
        <v>253</v>
      </c>
    </row>
    <row r="63" spans="1:14" ht="18">
      <c r="A63" s="114" t="str">
        <v>San Antonio - Ops Ctr (Bldg 104)</v>
      </c>
      <c r="B63" s="114" t="str">
        <v>TX</v>
      </c>
      <c r="C63" s="115">
        <v>14451.68</v>
      </c>
      <c r="D63" s="116">
        <v>14120.4</v>
      </c>
      <c r="E63" s="116">
        <f t="shared" si="0"/>
        <v>331.28000000000065</v>
      </c>
      <c r="F63" s="117">
        <f t="shared" si="3"/>
        <v>2.3461091753774727E-2</v>
      </c>
      <c r="G63" s="119">
        <v>18301.900000000001</v>
      </c>
      <c r="H63" s="119">
        <f t="shared" si="1"/>
        <v>-3850.2200000000012</v>
      </c>
      <c r="I63" s="117">
        <f t="shared" si="2"/>
        <v>-0.21037269354547894</v>
      </c>
      <c r="J63" s="121" t="s">
        <v>258</v>
      </c>
      <c r="K63" s="121"/>
      <c r="M63" s="133" t="s">
        <v>248</v>
      </c>
      <c r="N63" s="94" t="s">
        <v>253</v>
      </c>
    </row>
    <row r="64" spans="1:14" ht="18">
      <c r="A64" s="107" t="str">
        <v>San Antonio - Ops Ctr (Bldg 102)</v>
      </c>
      <c r="B64" s="107" t="str">
        <v>TX</v>
      </c>
      <c r="C64" s="108">
        <v>54506.7</v>
      </c>
      <c r="D64" s="109" t="s">
        <v>208</v>
      </c>
      <c r="E64" s="109" t="str">
        <f t="shared" si="0"/>
        <v/>
      </c>
      <c r="F64" s="110" t="str">
        <f t="shared" si="3"/>
        <v/>
      </c>
      <c r="G64" s="111">
        <v>64945</v>
      </c>
      <c r="H64" s="111">
        <f t="shared" si="1"/>
        <v>-10438.300000000003</v>
      </c>
      <c r="I64" s="112">
        <f t="shared" si="2"/>
        <v>-0.16072522903995692</v>
      </c>
      <c r="J64" s="113" t="s">
        <v>258</v>
      </c>
      <c r="K64" s="113"/>
      <c r="M64" s="133" t="s">
        <v>248</v>
      </c>
      <c r="N64" s="94" t="s">
        <v>253</v>
      </c>
    </row>
    <row r="65" spans="1:14" ht="18">
      <c r="A65" s="114" t="str">
        <v>Lodi - Lodi Vineyard</v>
      </c>
      <c r="B65" s="114" t="str">
        <v>CA</v>
      </c>
      <c r="C65" s="115">
        <v>51556.42656</v>
      </c>
      <c r="D65" s="116">
        <v>46484.14</v>
      </c>
      <c r="E65" s="116">
        <f t="shared" si="0"/>
        <v>5072.2865600000005</v>
      </c>
      <c r="F65" s="117">
        <f t="shared" si="3"/>
        <v>0.10911864907041413</v>
      </c>
      <c r="G65" s="119">
        <v>44559</v>
      </c>
      <c r="H65" s="119">
        <f t="shared" si="1"/>
        <v>6997.4265599999999</v>
      </c>
      <c r="I65" s="112">
        <f t="shared" si="2"/>
        <v>0.15703733387194505</v>
      </c>
      <c r="J65" s="121"/>
      <c r="K65" s="121"/>
      <c r="M65" s="133" t="s">
        <v>248</v>
      </c>
    </row>
    <row r="66" spans="1:14" ht="18">
      <c r="A66" s="107" t="str">
        <v>Arden Fair Mall</v>
      </c>
      <c r="B66" s="107" t="str">
        <v>CA</v>
      </c>
      <c r="C66" s="108">
        <v>26900.346239999999</v>
      </c>
      <c r="D66" s="109">
        <v>27312.75</v>
      </c>
      <c r="E66" s="109">
        <f t="shared" si="0"/>
        <v>-412.40376000000106</v>
      </c>
      <c r="F66" s="110">
        <f t="shared" si="3"/>
        <v>-1.5099312958233831E-2</v>
      </c>
      <c r="G66" s="111">
        <v>28718</v>
      </c>
      <c r="H66" s="111">
        <f t="shared" si="1"/>
        <v>-1817.6537600000011</v>
      </c>
      <c r="I66" s="112">
        <f t="shared" si="2"/>
        <v>-6.3293187547879409E-2</v>
      </c>
      <c r="J66" s="113"/>
      <c r="K66" s="113"/>
      <c r="M66" s="133" t="s">
        <v>245</v>
      </c>
    </row>
    <row r="67" spans="1:14" ht="18">
      <c r="A67" s="114" t="str">
        <v>Modesto - Modesto Main</v>
      </c>
      <c r="B67" s="114" t="str">
        <v>CA</v>
      </c>
      <c r="C67" s="115">
        <v>20578.609380000002</v>
      </c>
      <c r="D67" s="116">
        <v>22391.08</v>
      </c>
      <c r="E67" s="116">
        <f t="shared" si="0"/>
        <v>-1812.4706200000001</v>
      </c>
      <c r="F67" s="117">
        <f t="shared" si="3"/>
        <v>-8.0946100858020245E-2</v>
      </c>
      <c r="G67" s="119">
        <v>26303.81</v>
      </c>
      <c r="H67" s="119">
        <f t="shared" si="1"/>
        <v>-5725.2006199999996</v>
      </c>
      <c r="I67" s="112">
        <f t="shared" si="2"/>
        <v>-0.21765670524536176</v>
      </c>
      <c r="J67" s="121" t="s">
        <v>233</v>
      </c>
      <c r="K67" s="123" t="s">
        <v>287</v>
      </c>
      <c r="M67" s="133" t="s">
        <v>245</v>
      </c>
    </row>
    <row r="68" spans="1:14" ht="126">
      <c r="A68" s="107" t="str">
        <v>Stevens Creek</v>
      </c>
      <c r="B68" s="107" t="str">
        <v>CA</v>
      </c>
      <c r="C68" s="108">
        <v>6675.194227</v>
      </c>
      <c r="D68" s="109">
        <v>7095.5150000000003</v>
      </c>
      <c r="E68" s="109">
        <f t="shared" si="0"/>
        <v>-420.32077300000037</v>
      </c>
      <c r="F68" s="110">
        <f t="shared" si="3"/>
        <v>-5.9237528636046907E-2</v>
      </c>
      <c r="G68" s="111">
        <v>7887</v>
      </c>
      <c r="H68" s="111">
        <f t="shared" si="1"/>
        <v>-1211.805773</v>
      </c>
      <c r="I68" s="112">
        <f t="shared" si="2"/>
        <v>-0.15364597096487892</v>
      </c>
      <c r="J68" s="113" t="s">
        <v>221</v>
      </c>
      <c r="K68" s="113"/>
      <c r="M68" s="133" t="s">
        <v>245</v>
      </c>
      <c r="N68" s="94" t="s">
        <v>253</v>
      </c>
    </row>
    <row r="69" spans="1:14" ht="20.45">
      <c r="A69" s="114" t="str">
        <v>Covina Main</v>
      </c>
      <c r="B69" s="114" t="str">
        <v>CA</v>
      </c>
      <c r="C69" s="115">
        <v>4616.3</v>
      </c>
      <c r="D69" s="116">
        <v>4541.4210000000003</v>
      </c>
      <c r="E69" s="116">
        <f t="shared" ref="E69:E84" si="4">IF(AND(ISNUMBER(C69),ISNUMBER(D69)), C69-D69, "")</f>
        <v>74.878999999999905</v>
      </c>
      <c r="F69" s="117">
        <f t="shared" si="3"/>
        <v>1.6488011131317686E-2</v>
      </c>
      <c r="G69" s="119">
        <v>4147</v>
      </c>
      <c r="H69" s="119">
        <f t="shared" ref="H69:H84" si="5">IF(AND(ISNUMBER(C69),ISNUMBER(G69)), C69-G69, "")</f>
        <v>469.30000000000018</v>
      </c>
      <c r="I69" s="112">
        <f t="shared" ref="I69:I84" si="6">IFERROR(H69/G69, "")</f>
        <v>0.113166144200627</v>
      </c>
      <c r="J69" s="121"/>
      <c r="K69" s="121"/>
      <c r="L69" s="131" t="s">
        <v>258</v>
      </c>
      <c r="M69" s="133" t="s">
        <v>248</v>
      </c>
    </row>
    <row r="70" spans="1:14" ht="126">
      <c r="A70" s="107" t="str">
        <v>Old Ranch Town Center</v>
      </c>
      <c r="B70" s="107" t="str">
        <v>CA</v>
      </c>
      <c r="C70" s="108">
        <v>1532.368003</v>
      </c>
      <c r="D70" s="109" t="s">
        <v>208</v>
      </c>
      <c r="E70" s="109" t="str">
        <f t="shared" si="4"/>
        <v/>
      </c>
      <c r="F70" s="110" t="str">
        <f t="shared" ref="F70:F84" si="7">IFERROR(E70/D70, "")</f>
        <v/>
      </c>
      <c r="G70" s="111">
        <v>1742</v>
      </c>
      <c r="H70" s="111">
        <f t="shared" si="5"/>
        <v>-209.63199699999996</v>
      </c>
      <c r="I70" s="112">
        <f t="shared" si="6"/>
        <v>-0.12033983754305394</v>
      </c>
      <c r="J70" s="113" t="s">
        <v>221</v>
      </c>
      <c r="K70" s="113"/>
      <c r="N70" s="94" t="s">
        <v>253</v>
      </c>
    </row>
    <row r="71" spans="1:14" ht="18">
      <c r="A71" s="114" t="str">
        <v>Mountain Gate Plaza</v>
      </c>
      <c r="B71" s="114" t="str">
        <v>CA</v>
      </c>
      <c r="C71" s="115">
        <v>11390.4</v>
      </c>
      <c r="D71" s="116" t="s">
        <v>208</v>
      </c>
      <c r="E71" s="116" t="str">
        <f t="shared" si="4"/>
        <v/>
      </c>
      <c r="F71" s="117" t="str">
        <f t="shared" si="7"/>
        <v/>
      </c>
      <c r="G71" s="119">
        <v>11486</v>
      </c>
      <c r="H71" s="119">
        <f t="shared" si="5"/>
        <v>-95.600000000000364</v>
      </c>
      <c r="I71" s="112">
        <f t="shared" si="6"/>
        <v>-8.3231760403970362E-3</v>
      </c>
      <c r="J71" s="121"/>
      <c r="K71" s="121"/>
    </row>
    <row r="72" spans="1:14" ht="126">
      <c r="A72" s="107" t="str">
        <v>Arcadia Main</v>
      </c>
      <c r="B72" s="107" t="str">
        <v>CA</v>
      </c>
      <c r="C72" s="108">
        <v>5220.7890630000002</v>
      </c>
      <c r="D72" s="109" t="s">
        <v>208</v>
      </c>
      <c r="E72" s="109" t="str">
        <f t="shared" si="4"/>
        <v/>
      </c>
      <c r="F72" s="110" t="str">
        <f t="shared" si="7"/>
        <v/>
      </c>
      <c r="G72" s="111">
        <v>6209</v>
      </c>
      <c r="H72" s="111">
        <f t="shared" si="5"/>
        <v>-988.21093699999983</v>
      </c>
      <c r="I72" s="112">
        <f t="shared" si="6"/>
        <v>-0.15915782525366401</v>
      </c>
      <c r="J72" s="113" t="s">
        <v>221</v>
      </c>
      <c r="K72" s="113"/>
      <c r="N72" s="94" t="s">
        <v>253</v>
      </c>
    </row>
    <row r="73" spans="1:14" ht="18">
      <c r="A73" s="114" t="str">
        <v>Fairfield</v>
      </c>
      <c r="B73" s="114" t="str">
        <v>CA</v>
      </c>
      <c r="C73" s="115">
        <v>4973.2113099999997</v>
      </c>
      <c r="D73" s="116">
        <v>4885.3140000000003</v>
      </c>
      <c r="E73" s="116">
        <f t="shared" si="4"/>
        <v>87.897309999999379</v>
      </c>
      <c r="F73" s="117">
        <f t="shared" si="7"/>
        <v>1.7992151579202354E-2</v>
      </c>
      <c r="G73" s="119">
        <v>5311</v>
      </c>
      <c r="H73" s="119">
        <f t="shared" si="5"/>
        <v>-337.78869000000032</v>
      </c>
      <c r="I73" s="112">
        <f t="shared" si="6"/>
        <v>-6.3601711542082523E-2</v>
      </c>
      <c r="J73" s="121"/>
      <c r="K73" s="121"/>
    </row>
    <row r="74" spans="1:14" ht="18">
      <c r="A74" s="107" t="str">
        <v>Los Gatos</v>
      </c>
      <c r="B74" s="107" t="str">
        <v>CA</v>
      </c>
      <c r="C74" s="108">
        <v>2733.0061329999999</v>
      </c>
      <c r="D74" s="109">
        <v>2795.2179999999998</v>
      </c>
      <c r="E74" s="109">
        <f t="shared" si="4"/>
        <v>-62.211866999999984</v>
      </c>
      <c r="F74" s="110">
        <f t="shared" si="7"/>
        <v>-2.2256534910693904E-2</v>
      </c>
      <c r="G74" s="111">
        <v>0</v>
      </c>
      <c r="H74" s="111">
        <f t="shared" si="5"/>
        <v>2733.0061329999999</v>
      </c>
      <c r="I74" s="112" t="str">
        <f t="shared" si="6"/>
        <v/>
      </c>
      <c r="J74" s="113"/>
      <c r="K74" s="113"/>
    </row>
    <row r="75" spans="1:14" ht="36">
      <c r="A75" s="114" t="str">
        <v>San Marino</v>
      </c>
      <c r="B75" s="114" t="str">
        <v>CA</v>
      </c>
      <c r="C75" s="115">
        <v>4253.7</v>
      </c>
      <c r="D75" s="116">
        <v>5789.8729999999996</v>
      </c>
      <c r="E75" s="116">
        <f t="shared" si="4"/>
        <v>-1536.1729999999998</v>
      </c>
      <c r="F75" s="117">
        <f t="shared" si="7"/>
        <v>-0.26532067283686533</v>
      </c>
      <c r="G75" s="119">
        <v>6929.1949999999997</v>
      </c>
      <c r="H75" s="119">
        <f t="shared" si="5"/>
        <v>-2675.4949999999999</v>
      </c>
      <c r="I75" s="112">
        <f t="shared" si="6"/>
        <v>-0.38611916680076114</v>
      </c>
      <c r="J75" s="121" t="s">
        <v>235</v>
      </c>
      <c r="K75" s="123" t="s">
        <v>288</v>
      </c>
      <c r="M75" s="133" t="s">
        <v>245</v>
      </c>
      <c r="N75" s="94" t="s">
        <v>253</v>
      </c>
    </row>
    <row r="76" spans="1:14" ht="18">
      <c r="A76" s="107" t="str">
        <v>Buenaventura</v>
      </c>
      <c r="B76" s="107" t="str">
        <v>CA</v>
      </c>
      <c r="C76" s="108">
        <v>5732.5830029999997</v>
      </c>
      <c r="D76" s="109">
        <v>4263.027</v>
      </c>
      <c r="E76" s="109">
        <f t="shared" si="4"/>
        <v>1469.5560029999997</v>
      </c>
      <c r="F76" s="110">
        <f t="shared" si="7"/>
        <v>0.34472125158953948</v>
      </c>
      <c r="G76" s="111">
        <v>6207.0029999999997</v>
      </c>
      <c r="H76" s="111">
        <f t="shared" si="5"/>
        <v>-474.41999699999997</v>
      </c>
      <c r="I76" s="112">
        <f t="shared" si="6"/>
        <v>-7.643302202367229E-2</v>
      </c>
      <c r="J76" s="113"/>
      <c r="K76" s="113"/>
      <c r="M76" s="133" t="s">
        <v>248</v>
      </c>
    </row>
    <row r="77" spans="1:14" ht="18">
      <c r="A77" s="114" t="str">
        <v>N Black Canyon Hwy, Phoenix - North</v>
      </c>
      <c r="B77" s="114" t="str">
        <v>AZ</v>
      </c>
      <c r="C77" s="115">
        <v>101491.875</v>
      </c>
      <c r="D77" s="116">
        <v>83569.83</v>
      </c>
      <c r="E77" s="116">
        <f t="shared" si="4"/>
        <v>17922.044999999998</v>
      </c>
      <c r="F77" s="117">
        <f t="shared" si="7"/>
        <v>0.21445592266970026</v>
      </c>
      <c r="G77" s="119">
        <v>98348</v>
      </c>
      <c r="H77" s="119">
        <f t="shared" si="5"/>
        <v>3143.875</v>
      </c>
      <c r="I77" s="112">
        <f t="shared" si="6"/>
        <v>3.1966842233700735E-2</v>
      </c>
      <c r="J77" s="121"/>
      <c r="K77" s="121"/>
      <c r="M77" s="133" t="s">
        <v>248</v>
      </c>
      <c r="N77" s="94" t="s">
        <v>289</v>
      </c>
    </row>
    <row r="78" spans="1:14" ht="18">
      <c r="A78" s="107" t="str">
        <v>N Black Canyon Hwy, Phoenix - South</v>
      </c>
      <c r="B78" s="107" t="str">
        <v>AZ</v>
      </c>
      <c r="C78" s="108">
        <v>104766.375</v>
      </c>
      <c r="D78" s="109">
        <v>91413.17</v>
      </c>
      <c r="E78" s="109">
        <f t="shared" si="4"/>
        <v>13353.205000000002</v>
      </c>
      <c r="F78" s="110">
        <f t="shared" si="7"/>
        <v>0.1460752865260006</v>
      </c>
      <c r="G78" s="111">
        <v>108066</v>
      </c>
      <c r="H78" s="111">
        <f t="shared" si="5"/>
        <v>-3299.625</v>
      </c>
      <c r="I78" s="112">
        <f t="shared" si="6"/>
        <v>-3.0533424018655265E-2</v>
      </c>
      <c r="J78" s="113"/>
      <c r="K78" s="113"/>
      <c r="M78" s="133" t="s">
        <v>248</v>
      </c>
      <c r="N78" s="94" t="s">
        <v>289</v>
      </c>
    </row>
    <row r="79" spans="1:14" ht="18">
      <c r="A79" s="114" t="str">
        <v xml:space="preserve"> Building 2222, Rose Garden Ln, Phoenix</v>
      </c>
      <c r="B79" s="114" t="str">
        <v>AZ</v>
      </c>
      <c r="C79" s="115">
        <v>137055.625</v>
      </c>
      <c r="D79" s="116">
        <v>134327.79999999999</v>
      </c>
      <c r="E79" s="116">
        <f t="shared" si="4"/>
        <v>2727.8250000000116</v>
      </c>
      <c r="F79" s="117">
        <f t="shared" si="7"/>
        <v>2.0307226054472802E-2</v>
      </c>
      <c r="G79" s="119">
        <v>137881</v>
      </c>
      <c r="H79" s="119">
        <f t="shared" si="5"/>
        <v>-825.375</v>
      </c>
      <c r="I79" s="112">
        <f t="shared" si="6"/>
        <v>-5.9861402223656632E-3</v>
      </c>
      <c r="J79" s="121"/>
      <c r="K79" s="121"/>
      <c r="N79" s="94" t="s">
        <v>289</v>
      </c>
    </row>
    <row r="80" spans="1:14" ht="18">
      <c r="A80" s="107" t="str">
        <v xml:space="preserve"> Building 2202, Rose Garden Ln, Phoenix</v>
      </c>
      <c r="B80" s="107" t="str">
        <v>AZ</v>
      </c>
      <c r="C80" s="108">
        <v>136806.125</v>
      </c>
      <c r="D80" s="109">
        <v>134691.20000000001</v>
      </c>
      <c r="E80" s="109">
        <f t="shared" si="4"/>
        <v>2114.9249999999884</v>
      </c>
      <c r="F80" s="110">
        <f t="shared" si="7"/>
        <v>1.5702028046375622E-2</v>
      </c>
      <c r="G80" s="111">
        <v>105148.7</v>
      </c>
      <c r="H80" s="111">
        <f t="shared" si="5"/>
        <v>31657.425000000003</v>
      </c>
      <c r="I80" s="112">
        <f t="shared" si="6"/>
        <v>0.3010729091277401</v>
      </c>
      <c r="J80" s="113"/>
      <c r="K80" s="113"/>
      <c r="M80" s="133" t="s">
        <v>248</v>
      </c>
      <c r="N80" s="94" t="s">
        <v>289</v>
      </c>
    </row>
    <row r="81" spans="1:14" ht="18">
      <c r="A81" s="114" t="str">
        <v xml:space="preserve"> 99TH Ave &amp; BELL</v>
      </c>
      <c r="B81" s="114" t="str">
        <v>AZ</v>
      </c>
      <c r="C81" s="115">
        <v>24380.103360000001</v>
      </c>
      <c r="D81" s="116">
        <v>23445.97</v>
      </c>
      <c r="E81" s="116">
        <f t="shared" si="4"/>
        <v>934.13335999999981</v>
      </c>
      <c r="F81" s="117">
        <f t="shared" si="7"/>
        <v>3.9841958340815067E-2</v>
      </c>
      <c r="G81" s="119">
        <v>23804</v>
      </c>
      <c r="H81" s="119">
        <f t="shared" si="5"/>
        <v>576.10336000000098</v>
      </c>
      <c r="I81" s="112">
        <f t="shared" si="6"/>
        <v>2.4201955973785959E-2</v>
      </c>
      <c r="J81" s="121"/>
      <c r="K81" s="121"/>
      <c r="M81" s="133" t="s">
        <v>248</v>
      </c>
      <c r="N81" s="94" t="s">
        <v>289</v>
      </c>
    </row>
    <row r="82" spans="1:14" ht="18">
      <c r="A82" s="107" t="str">
        <v>Rincon</v>
      </c>
      <c r="B82" s="107" t="str">
        <v>AZ</v>
      </c>
      <c r="C82" s="108">
        <v>8821.796875</v>
      </c>
      <c r="D82" s="109">
        <v>7591.174</v>
      </c>
      <c r="E82" s="109">
        <f t="shared" si="4"/>
        <v>1230.622875</v>
      </c>
      <c r="F82" s="110">
        <f t="shared" si="7"/>
        <v>0.16211232610397286</v>
      </c>
      <c r="G82" s="111">
        <v>8452</v>
      </c>
      <c r="H82" s="111">
        <f t="shared" si="5"/>
        <v>369.796875</v>
      </c>
      <c r="I82" s="112">
        <f t="shared" si="6"/>
        <v>4.3752588144817792E-2</v>
      </c>
      <c r="J82" s="113"/>
      <c r="K82" s="113"/>
      <c r="M82" s="133" t="s">
        <v>248</v>
      </c>
      <c r="N82" s="94" t="s">
        <v>289</v>
      </c>
    </row>
    <row r="83" spans="1:14" ht="72">
      <c r="A83" s="114" t="str">
        <v>Tucson Main Parking Garage</v>
      </c>
      <c r="B83" s="114" t="str">
        <v>AZ</v>
      </c>
      <c r="C83" s="115">
        <v>15951</v>
      </c>
      <c r="D83" s="116">
        <v>15111.43</v>
      </c>
      <c r="E83" s="116">
        <f t="shared" si="4"/>
        <v>839.56999999999971</v>
      </c>
      <c r="F83" s="117">
        <f t="shared" si="7"/>
        <v>5.5558606961750127E-2</v>
      </c>
      <c r="G83" s="119">
        <v>11034</v>
      </c>
      <c r="H83" s="119">
        <f t="shared" si="5"/>
        <v>4917</v>
      </c>
      <c r="I83" s="112">
        <f t="shared" si="6"/>
        <v>0.44562262098966832</v>
      </c>
      <c r="J83" s="121" t="s">
        <v>290</v>
      </c>
      <c r="K83" s="123" t="s">
        <v>291</v>
      </c>
      <c r="L83" s="124" t="s">
        <v>292</v>
      </c>
      <c r="M83" s="133" t="s">
        <v>248</v>
      </c>
      <c r="N83" s="132" t="s">
        <v>293</v>
      </c>
    </row>
    <row r="84" spans="1:14" ht="18">
      <c r="A84" s="107" t="str">
        <v>BE 199502 - Westgate</v>
      </c>
      <c r="B84" s="107" t="str">
        <v>CA</v>
      </c>
      <c r="C84" s="108">
        <v>2478.3000000000002</v>
      </c>
      <c r="D84" s="109">
        <v>0</v>
      </c>
      <c r="E84" s="109">
        <f t="shared" si="4"/>
        <v>2478.3000000000002</v>
      </c>
      <c r="F84" s="110" t="str">
        <f t="shared" si="7"/>
        <v/>
      </c>
      <c r="G84" s="111">
        <v>2634.46</v>
      </c>
      <c r="H84" s="111">
        <f t="shared" si="5"/>
        <v>-156.15999999999985</v>
      </c>
      <c r="I84" s="112">
        <f t="shared" si="6"/>
        <v>-5.9275904739491146E-2</v>
      </c>
      <c r="J84" s="113"/>
      <c r="K84" s="113"/>
    </row>
    <row r="85" spans="1:14" ht="18">
      <c r="A85" s="126"/>
      <c r="B85" s="126"/>
      <c r="C85" s="127"/>
      <c r="D85" s="127"/>
      <c r="E85" s="127"/>
      <c r="F85" s="128"/>
      <c r="G85" s="127"/>
      <c r="H85" s="127"/>
      <c r="I85" s="128"/>
      <c r="J85" s="127"/>
      <c r="K85" s="127"/>
    </row>
    <row r="86" spans="1:14" ht="18">
      <c r="A86" s="126"/>
      <c r="B86" s="126"/>
      <c r="C86" s="127"/>
      <c r="D86" s="127"/>
      <c r="E86" s="127"/>
      <c r="F86" s="128"/>
      <c r="G86" s="127"/>
      <c r="H86" s="127"/>
      <c r="I86" s="128"/>
      <c r="J86" s="127"/>
      <c r="K86" s="127"/>
    </row>
    <row r="87" spans="1:14" ht="18">
      <c r="A87" s="126"/>
      <c r="B87" s="126"/>
      <c r="C87" s="127"/>
      <c r="D87" s="127"/>
      <c r="E87" s="127"/>
      <c r="F87" s="128"/>
      <c r="G87" s="127"/>
      <c r="H87" s="127"/>
      <c r="I87" s="128"/>
      <c r="J87" s="127"/>
      <c r="K87" s="127"/>
    </row>
    <row r="88" spans="1:14" ht="18">
      <c r="A88" s="126"/>
      <c r="B88" s="126"/>
      <c r="C88" s="127"/>
      <c r="D88" s="127"/>
      <c r="E88" s="127"/>
      <c r="F88" s="128"/>
      <c r="G88" s="127"/>
      <c r="H88" s="127"/>
      <c r="I88" s="128"/>
      <c r="J88" s="127"/>
      <c r="K88" s="127"/>
    </row>
    <row r="89" spans="1:14" ht="18">
      <c r="A89" s="126"/>
      <c r="B89" s="126"/>
      <c r="C89" s="127"/>
      <c r="D89" s="127"/>
      <c r="E89" s="127"/>
      <c r="F89" s="128"/>
      <c r="G89" s="127"/>
      <c r="H89" s="127"/>
      <c r="I89" s="128"/>
      <c r="J89" s="127"/>
      <c r="K89" s="127"/>
    </row>
    <row r="90" spans="1:14" ht="18">
      <c r="A90" s="126"/>
      <c r="B90" s="126"/>
      <c r="C90" s="127"/>
      <c r="D90" s="127"/>
      <c r="E90" s="127"/>
      <c r="F90" s="128"/>
      <c r="G90" s="127"/>
      <c r="H90" s="127"/>
      <c r="I90" s="128"/>
      <c r="J90" s="127"/>
      <c r="K90" s="127"/>
    </row>
    <row r="91" spans="1:14" ht="18">
      <c r="A91" s="126"/>
      <c r="B91" s="126"/>
      <c r="C91" s="127"/>
      <c r="D91" s="127"/>
      <c r="E91" s="127"/>
      <c r="F91" s="128"/>
      <c r="G91" s="127"/>
      <c r="H91" s="127"/>
      <c r="I91" s="128"/>
      <c r="J91" s="127"/>
      <c r="K91" s="127"/>
    </row>
    <row r="92" spans="1:14" ht="18">
      <c r="A92" s="126"/>
      <c r="B92" s="126"/>
      <c r="C92" s="127"/>
      <c r="D92" s="127"/>
      <c r="E92" s="127"/>
      <c r="F92" s="128"/>
      <c r="G92" s="127"/>
      <c r="H92" s="127"/>
      <c r="I92" s="128"/>
      <c r="J92" s="127"/>
      <c r="K92" s="127"/>
    </row>
    <row r="93" spans="1:14" ht="18">
      <c r="A93" s="126"/>
      <c r="B93" s="126"/>
      <c r="C93" s="127"/>
      <c r="D93" s="127"/>
      <c r="E93" s="127"/>
      <c r="F93" s="128"/>
      <c r="G93" s="127"/>
      <c r="H93" s="127"/>
      <c r="I93" s="128"/>
      <c r="J93" s="127"/>
      <c r="K93" s="127"/>
    </row>
    <row r="94" spans="1:14" ht="18">
      <c r="A94" s="126"/>
      <c r="B94" s="126"/>
      <c r="C94" s="127"/>
      <c r="D94" s="127"/>
      <c r="E94" s="127"/>
      <c r="F94" s="128"/>
      <c r="G94" s="127"/>
      <c r="H94" s="127"/>
      <c r="I94" s="128"/>
      <c r="J94" s="127"/>
      <c r="K94" s="127"/>
    </row>
    <row r="95" spans="1:14" ht="18">
      <c r="A95" s="126"/>
      <c r="B95" s="126"/>
      <c r="C95" s="127"/>
      <c r="D95" s="127"/>
      <c r="E95" s="127"/>
      <c r="F95" s="128"/>
      <c r="G95" s="127"/>
      <c r="H95" s="127"/>
      <c r="I95" s="128"/>
      <c r="J95" s="127"/>
      <c r="K95" s="127"/>
    </row>
    <row r="96" spans="1:14" ht="18">
      <c r="A96" s="126"/>
      <c r="B96" s="126"/>
      <c r="C96" s="127"/>
      <c r="D96" s="127"/>
      <c r="E96" s="127"/>
      <c r="F96" s="128"/>
      <c r="G96" s="127"/>
      <c r="H96" s="127"/>
      <c r="I96" s="128"/>
      <c r="J96" s="127"/>
      <c r="K96" s="127"/>
    </row>
    <row r="97" spans="1:11" ht="18">
      <c r="A97" s="126"/>
      <c r="B97" s="126"/>
      <c r="C97" s="127"/>
      <c r="D97" s="127"/>
      <c r="E97" s="127"/>
      <c r="F97" s="128"/>
      <c r="G97" s="127"/>
      <c r="H97" s="127"/>
      <c r="I97" s="128"/>
      <c r="J97" s="127"/>
      <c r="K97" s="127"/>
    </row>
    <row r="98" spans="1:11" ht="18">
      <c r="A98" s="126"/>
      <c r="B98" s="126"/>
      <c r="C98" s="127"/>
      <c r="D98" s="127"/>
      <c r="E98" s="127"/>
      <c r="F98" s="128"/>
      <c r="G98" s="127"/>
      <c r="H98" s="127"/>
      <c r="I98" s="128"/>
      <c r="J98" s="127"/>
      <c r="K98" s="127"/>
    </row>
    <row r="99" spans="1:11" ht="18">
      <c r="A99" s="126"/>
      <c r="B99" s="126"/>
      <c r="C99" s="127"/>
      <c r="D99" s="127"/>
      <c r="E99" s="127"/>
      <c r="F99" s="128"/>
      <c r="G99" s="127"/>
      <c r="H99" s="127"/>
      <c r="I99" s="128"/>
      <c r="J99" s="127"/>
      <c r="K99" s="127"/>
    </row>
    <row r="100" spans="1:11" ht="18">
      <c r="A100" s="126"/>
      <c r="B100" s="126"/>
      <c r="C100" s="127"/>
      <c r="D100" s="127"/>
      <c r="E100" s="127"/>
      <c r="F100" s="128"/>
      <c r="G100" s="127"/>
      <c r="H100" s="127"/>
      <c r="I100" s="128"/>
      <c r="J100" s="127"/>
      <c r="K100" s="127"/>
    </row>
    <row r="101" spans="1:11" ht="18">
      <c r="A101" s="126"/>
      <c r="B101" s="126"/>
      <c r="C101" s="127"/>
      <c r="D101" s="127"/>
      <c r="E101" s="127"/>
      <c r="F101" s="128"/>
      <c r="G101" s="127"/>
      <c r="H101" s="127"/>
      <c r="I101" s="128"/>
      <c r="J101" s="127"/>
      <c r="K101" s="127"/>
    </row>
    <row r="102" spans="1:11" ht="18">
      <c r="A102" s="126"/>
      <c r="B102" s="126"/>
      <c r="C102" s="127"/>
      <c r="D102" s="127"/>
      <c r="E102" s="127"/>
      <c r="F102" s="128"/>
      <c r="G102" s="127"/>
      <c r="H102" s="127"/>
      <c r="I102" s="128"/>
      <c r="J102" s="127"/>
      <c r="K102" s="127"/>
    </row>
    <row r="103" spans="1:11" ht="18">
      <c r="A103" s="126"/>
      <c r="B103" s="126"/>
      <c r="C103" s="127"/>
      <c r="D103" s="127"/>
      <c r="E103" s="127"/>
      <c r="F103" s="128"/>
      <c r="G103" s="127"/>
      <c r="H103" s="127"/>
      <c r="I103" s="128"/>
      <c r="J103" s="127"/>
      <c r="K103" s="127"/>
    </row>
    <row r="104" spans="1:11" ht="18">
      <c r="A104" s="126"/>
      <c r="B104" s="126"/>
      <c r="C104" s="127"/>
      <c r="D104" s="127"/>
      <c r="E104" s="127"/>
      <c r="F104" s="128"/>
      <c r="G104" s="127"/>
      <c r="H104" s="127"/>
      <c r="I104" s="128"/>
      <c r="J104" s="127"/>
      <c r="K104" s="127"/>
    </row>
    <row r="105" spans="1:11" ht="18">
      <c r="A105" s="126"/>
      <c r="B105" s="126"/>
      <c r="C105" s="127"/>
      <c r="D105" s="127"/>
      <c r="E105" s="127"/>
      <c r="F105" s="128"/>
      <c r="G105" s="127"/>
      <c r="H105" s="127"/>
      <c r="I105" s="128"/>
      <c r="J105" s="127"/>
      <c r="K105" s="127"/>
    </row>
    <row r="106" spans="1:11" ht="18">
      <c r="A106" s="126"/>
      <c r="B106" s="126"/>
      <c r="C106" s="127"/>
      <c r="D106" s="127"/>
      <c r="E106" s="127"/>
      <c r="F106" s="128"/>
      <c r="G106" s="127"/>
      <c r="H106" s="127"/>
      <c r="I106" s="128"/>
      <c r="J106" s="127"/>
      <c r="K106" s="127"/>
    </row>
    <row r="107" spans="1:11" ht="18">
      <c r="A107" s="126"/>
      <c r="B107" s="126"/>
      <c r="C107" s="127"/>
      <c r="D107" s="127"/>
      <c r="E107" s="127"/>
      <c r="F107" s="128"/>
      <c r="G107" s="127"/>
      <c r="H107" s="127"/>
      <c r="I107" s="128"/>
      <c r="J107" s="127"/>
      <c r="K107" s="127"/>
    </row>
    <row r="108" spans="1:11" ht="18">
      <c r="A108" s="126"/>
      <c r="B108" s="126"/>
      <c r="C108" s="127"/>
      <c r="D108" s="127"/>
      <c r="E108" s="127"/>
      <c r="F108" s="128"/>
      <c r="G108" s="127"/>
      <c r="H108" s="127"/>
      <c r="I108" s="128"/>
      <c r="J108" s="127"/>
      <c r="K108" s="127"/>
    </row>
    <row r="109" spans="1:11" ht="18">
      <c r="A109" s="126"/>
      <c r="B109" s="126"/>
      <c r="C109" s="127"/>
      <c r="D109" s="127"/>
      <c r="E109" s="127"/>
      <c r="F109" s="128"/>
      <c r="G109" s="127"/>
      <c r="H109" s="127"/>
      <c r="I109" s="128"/>
      <c r="J109" s="127"/>
      <c r="K109" s="127"/>
    </row>
    <row r="110" spans="1:11" ht="18">
      <c r="A110" s="126"/>
      <c r="B110" s="126"/>
      <c r="C110" s="127"/>
      <c r="D110" s="127"/>
      <c r="E110" s="127"/>
      <c r="F110" s="128"/>
      <c r="G110" s="127"/>
      <c r="H110" s="127"/>
      <c r="I110" s="128"/>
      <c r="J110" s="127"/>
      <c r="K110" s="127"/>
    </row>
    <row r="111" spans="1:11" ht="18">
      <c r="A111" s="126"/>
      <c r="B111" s="126"/>
      <c r="C111" s="127"/>
      <c r="D111" s="127"/>
      <c r="E111" s="127"/>
      <c r="F111" s="128"/>
      <c r="G111" s="127"/>
      <c r="H111" s="127"/>
      <c r="I111" s="128"/>
      <c r="J111" s="127"/>
      <c r="K111" s="127"/>
    </row>
    <row r="112" spans="1:11" ht="18">
      <c r="A112" s="126"/>
      <c r="B112" s="126"/>
      <c r="C112" s="127"/>
      <c r="D112" s="127"/>
      <c r="E112" s="127"/>
      <c r="F112" s="128"/>
      <c r="G112" s="127"/>
      <c r="H112" s="127"/>
      <c r="I112" s="128"/>
      <c r="J112" s="127"/>
      <c r="K112" s="127"/>
    </row>
    <row r="113" spans="1:11" ht="18">
      <c r="A113" s="126"/>
      <c r="B113" s="126"/>
      <c r="C113" s="127"/>
      <c r="D113" s="127"/>
      <c r="E113" s="127"/>
      <c r="F113" s="128"/>
      <c r="G113" s="127"/>
      <c r="H113" s="127"/>
      <c r="I113" s="128"/>
      <c r="J113" s="127"/>
      <c r="K113" s="127"/>
    </row>
    <row r="114" spans="1:11" ht="18">
      <c r="A114" s="126"/>
      <c r="B114" s="126"/>
      <c r="C114" s="127"/>
      <c r="D114" s="127"/>
      <c r="E114" s="127"/>
      <c r="F114" s="128"/>
      <c r="G114" s="127"/>
      <c r="H114" s="127"/>
      <c r="I114" s="128"/>
      <c r="J114" s="127"/>
      <c r="K114" s="127"/>
    </row>
    <row r="115" spans="1:11" ht="18">
      <c r="A115" s="126"/>
      <c r="B115" s="126"/>
      <c r="C115" s="127"/>
      <c r="D115" s="127"/>
      <c r="E115" s="127"/>
      <c r="F115" s="128"/>
      <c r="G115" s="127"/>
      <c r="H115" s="127"/>
      <c r="I115" s="128"/>
      <c r="J115" s="127"/>
      <c r="K115" s="127"/>
    </row>
    <row r="116" spans="1:11" ht="18">
      <c r="A116" s="126"/>
      <c r="B116" s="126"/>
      <c r="C116" s="127"/>
      <c r="D116" s="127"/>
      <c r="E116" s="127"/>
      <c r="F116" s="128"/>
      <c r="G116" s="127"/>
      <c r="H116" s="127"/>
      <c r="I116" s="128"/>
      <c r="J116" s="127"/>
      <c r="K116" s="127"/>
    </row>
    <row r="117" spans="1:11" ht="18">
      <c r="A117" s="126"/>
      <c r="B117" s="126"/>
      <c r="C117" s="127"/>
      <c r="D117" s="127"/>
      <c r="E117" s="127"/>
      <c r="F117" s="128"/>
      <c r="G117" s="127"/>
      <c r="H117" s="127"/>
      <c r="I117" s="128"/>
      <c r="J117" s="127"/>
      <c r="K117" s="127"/>
    </row>
    <row r="118" spans="1:11" ht="18">
      <c r="A118" s="126"/>
      <c r="B118" s="126"/>
      <c r="C118" s="127"/>
      <c r="D118" s="127"/>
      <c r="E118" s="127"/>
      <c r="F118" s="128"/>
      <c r="G118" s="127"/>
      <c r="H118" s="127"/>
      <c r="I118" s="128"/>
      <c r="J118" s="127"/>
      <c r="K118" s="127"/>
    </row>
    <row r="119" spans="1:11" ht="18">
      <c r="A119" s="126"/>
      <c r="B119" s="126"/>
      <c r="C119" s="127"/>
      <c r="D119" s="127"/>
      <c r="E119" s="127"/>
      <c r="F119" s="128"/>
      <c r="G119" s="127"/>
      <c r="H119" s="127"/>
      <c r="I119" s="128"/>
      <c r="J119" s="127"/>
      <c r="K119" s="127"/>
    </row>
    <row r="120" spans="1:11" ht="18">
      <c r="A120" s="126"/>
      <c r="B120" s="126"/>
      <c r="C120" s="127"/>
      <c r="D120" s="127"/>
      <c r="E120" s="127"/>
      <c r="F120" s="128"/>
      <c r="G120" s="127"/>
      <c r="H120" s="127"/>
      <c r="I120" s="128"/>
      <c r="J120" s="127"/>
      <c r="K120" s="127"/>
    </row>
    <row r="121" spans="1:11" ht="18">
      <c r="A121" s="126"/>
      <c r="B121" s="126"/>
      <c r="C121" s="127"/>
      <c r="D121" s="127"/>
      <c r="E121" s="127"/>
      <c r="F121" s="128"/>
      <c r="G121" s="127"/>
      <c r="H121" s="127"/>
      <c r="I121" s="128"/>
      <c r="J121" s="127"/>
      <c r="K121" s="127"/>
    </row>
    <row r="122" spans="1:11" ht="18">
      <c r="A122" s="126"/>
      <c r="B122" s="126"/>
      <c r="C122" s="127"/>
      <c r="D122" s="127"/>
      <c r="E122" s="127"/>
      <c r="F122" s="128"/>
      <c r="G122" s="127"/>
      <c r="H122" s="127"/>
      <c r="I122" s="128"/>
      <c r="J122" s="127"/>
      <c r="K122" s="127"/>
    </row>
    <row r="123" spans="1:11" ht="18">
      <c r="A123" s="126"/>
      <c r="B123" s="126"/>
      <c r="C123" s="127"/>
      <c r="D123" s="127"/>
      <c r="E123" s="127"/>
      <c r="F123" s="128"/>
      <c r="G123" s="127"/>
      <c r="H123" s="127"/>
      <c r="I123" s="128"/>
      <c r="J123" s="127"/>
      <c r="K123" s="127"/>
    </row>
    <row r="124" spans="1:11" ht="18">
      <c r="A124" s="126"/>
      <c r="B124" s="126"/>
      <c r="C124" s="127"/>
      <c r="D124" s="127"/>
      <c r="E124" s="127"/>
      <c r="F124" s="128"/>
      <c r="G124" s="127"/>
      <c r="H124" s="127"/>
      <c r="I124" s="128"/>
      <c r="J124" s="127"/>
      <c r="K124" s="127"/>
    </row>
    <row r="125" spans="1:11" ht="18">
      <c r="A125" s="126"/>
      <c r="B125" s="126"/>
      <c r="C125" s="127"/>
      <c r="D125" s="127"/>
      <c r="E125" s="127"/>
      <c r="F125" s="128"/>
      <c r="G125" s="127"/>
      <c r="H125" s="127"/>
      <c r="I125" s="128"/>
      <c r="J125" s="127"/>
      <c r="K125" s="127"/>
    </row>
    <row r="126" spans="1:11" ht="18">
      <c r="A126" s="126"/>
      <c r="B126" s="126"/>
      <c r="C126" s="127"/>
      <c r="D126" s="127"/>
      <c r="E126" s="127"/>
      <c r="F126" s="128"/>
      <c r="G126" s="127"/>
      <c r="H126" s="127"/>
      <c r="I126" s="128"/>
      <c r="J126" s="127"/>
      <c r="K126" s="127"/>
    </row>
    <row r="127" spans="1:11" ht="18">
      <c r="A127" s="126"/>
      <c r="B127" s="126"/>
      <c r="C127" s="127"/>
      <c r="D127" s="127"/>
      <c r="E127" s="127"/>
      <c r="F127" s="128"/>
      <c r="G127" s="127"/>
      <c r="H127" s="127"/>
      <c r="I127" s="128"/>
      <c r="J127" s="127"/>
      <c r="K127" s="127"/>
    </row>
    <row r="128" spans="1:11" ht="18">
      <c r="A128" s="126"/>
      <c r="B128" s="126"/>
      <c r="C128" s="127"/>
      <c r="D128" s="127"/>
      <c r="E128" s="127"/>
      <c r="F128" s="128"/>
      <c r="G128" s="127"/>
      <c r="H128" s="127"/>
      <c r="I128" s="128"/>
      <c r="J128" s="127"/>
      <c r="K128" s="127"/>
    </row>
    <row r="129" spans="1:11" ht="18">
      <c r="A129" s="126"/>
      <c r="B129" s="126"/>
      <c r="C129" s="127"/>
      <c r="D129" s="127"/>
      <c r="E129" s="127"/>
      <c r="F129" s="128"/>
      <c r="G129" s="127"/>
      <c r="H129" s="127"/>
      <c r="I129" s="128"/>
      <c r="J129" s="127"/>
      <c r="K129" s="127"/>
    </row>
    <row r="130" spans="1:11" ht="18">
      <c r="A130" s="126"/>
      <c r="B130" s="126"/>
      <c r="C130" s="127"/>
      <c r="D130" s="127"/>
      <c r="E130" s="127"/>
      <c r="F130" s="128"/>
      <c r="G130" s="127"/>
      <c r="H130" s="127"/>
      <c r="I130" s="128"/>
      <c r="J130" s="127"/>
      <c r="K130" s="127"/>
    </row>
    <row r="131" spans="1:11" ht="18">
      <c r="A131" s="126"/>
      <c r="B131" s="126"/>
      <c r="C131" s="127"/>
      <c r="D131" s="127"/>
      <c r="E131" s="127"/>
      <c r="F131" s="128"/>
      <c r="G131" s="127"/>
      <c r="H131" s="127"/>
      <c r="I131" s="128"/>
      <c r="J131" s="127"/>
      <c r="K131" s="127"/>
    </row>
    <row r="132" spans="1:11" ht="18">
      <c r="A132" s="126"/>
      <c r="B132" s="126"/>
      <c r="C132" s="127"/>
      <c r="D132" s="127"/>
      <c r="E132" s="127"/>
      <c r="F132" s="128"/>
      <c r="G132" s="127"/>
      <c r="H132" s="127"/>
      <c r="I132" s="128"/>
      <c r="J132" s="127"/>
      <c r="K132" s="127"/>
    </row>
    <row r="133" spans="1:11" ht="18">
      <c r="A133" s="126"/>
      <c r="B133" s="126"/>
      <c r="C133" s="127"/>
      <c r="D133" s="127"/>
      <c r="E133" s="127"/>
      <c r="F133" s="128"/>
      <c r="G133" s="127"/>
      <c r="H133" s="127"/>
      <c r="I133" s="128"/>
      <c r="J133" s="127"/>
      <c r="K133" s="127"/>
    </row>
    <row r="134" spans="1:11" ht="18">
      <c r="A134" s="126"/>
      <c r="B134" s="126"/>
      <c r="C134" s="127"/>
      <c r="D134" s="127"/>
      <c r="E134" s="127"/>
      <c r="F134" s="128"/>
      <c r="G134" s="127"/>
      <c r="H134" s="127"/>
      <c r="I134" s="128"/>
      <c r="J134" s="127"/>
      <c r="K134" s="127"/>
    </row>
    <row r="135" spans="1:11" ht="18">
      <c r="A135" s="126"/>
      <c r="B135" s="126"/>
      <c r="C135" s="127"/>
      <c r="D135" s="127"/>
      <c r="E135" s="127"/>
      <c r="F135" s="128"/>
      <c r="G135" s="127"/>
      <c r="H135" s="127"/>
      <c r="I135" s="128"/>
      <c r="J135" s="127"/>
      <c r="K135" s="127"/>
    </row>
    <row r="136" spans="1:11" ht="18">
      <c r="A136" s="126"/>
      <c r="B136" s="126"/>
      <c r="C136" s="127"/>
      <c r="D136" s="127"/>
      <c r="E136" s="127"/>
      <c r="F136" s="128"/>
      <c r="G136" s="127"/>
      <c r="H136" s="127"/>
      <c r="I136" s="128"/>
      <c r="J136" s="127"/>
      <c r="K136" s="127"/>
    </row>
    <row r="137" spans="1:11" ht="18">
      <c r="A137" s="126"/>
      <c r="B137" s="126"/>
      <c r="C137" s="127"/>
      <c r="D137" s="127"/>
      <c r="E137" s="127"/>
      <c r="F137" s="128"/>
      <c r="G137" s="127"/>
      <c r="H137" s="127"/>
      <c r="I137" s="128"/>
      <c r="J137" s="127"/>
      <c r="K137" s="127"/>
    </row>
    <row r="138" spans="1:11" ht="18">
      <c r="A138" s="126"/>
      <c r="B138" s="126"/>
      <c r="C138" s="127"/>
      <c r="D138" s="127"/>
      <c r="E138" s="127"/>
      <c r="F138" s="128"/>
      <c r="G138" s="127"/>
      <c r="H138" s="127"/>
      <c r="I138" s="128"/>
      <c r="J138" s="127"/>
      <c r="K138" s="127"/>
    </row>
    <row r="139" spans="1:11" ht="18">
      <c r="A139" s="126"/>
      <c r="B139" s="126"/>
      <c r="C139" s="127"/>
      <c r="D139" s="127"/>
      <c r="E139" s="127"/>
      <c r="F139" s="128"/>
      <c r="G139" s="127"/>
      <c r="H139" s="127"/>
      <c r="I139" s="128"/>
      <c r="J139" s="127"/>
      <c r="K139" s="127"/>
    </row>
    <row r="140" spans="1:11" ht="18">
      <c r="A140" s="126"/>
      <c r="B140" s="126"/>
      <c r="C140" s="127"/>
      <c r="D140" s="127"/>
      <c r="E140" s="127"/>
      <c r="F140" s="128"/>
      <c r="G140" s="127"/>
      <c r="H140" s="127"/>
      <c r="I140" s="128"/>
      <c r="J140" s="127"/>
      <c r="K140" s="127"/>
    </row>
    <row r="141" spans="1:11" ht="18">
      <c r="A141" s="126"/>
      <c r="B141" s="126"/>
      <c r="C141" s="127"/>
      <c r="D141" s="127"/>
      <c r="E141" s="127"/>
      <c r="F141" s="128"/>
      <c r="G141" s="127"/>
      <c r="H141" s="127"/>
      <c r="I141" s="128"/>
      <c r="J141" s="127"/>
      <c r="K141" s="127"/>
    </row>
    <row r="142" spans="1:11" ht="18">
      <c r="A142" s="126"/>
      <c r="B142" s="126"/>
      <c r="C142" s="127"/>
      <c r="D142" s="127"/>
      <c r="E142" s="127"/>
      <c r="F142" s="128"/>
      <c r="G142" s="127"/>
      <c r="H142" s="127"/>
      <c r="I142" s="128"/>
      <c r="J142" s="127"/>
      <c r="K142" s="127"/>
    </row>
    <row r="143" spans="1:11" ht="18">
      <c r="A143" s="126"/>
      <c r="B143" s="126"/>
      <c r="C143" s="127"/>
      <c r="D143" s="127"/>
      <c r="E143" s="127"/>
      <c r="F143" s="128"/>
      <c r="G143" s="127"/>
      <c r="H143" s="127"/>
      <c r="I143" s="128"/>
      <c r="J143" s="127"/>
      <c r="K143" s="127"/>
    </row>
    <row r="144" spans="1:11" ht="18">
      <c r="A144" s="126"/>
      <c r="B144" s="126"/>
      <c r="C144" s="127"/>
      <c r="D144" s="127"/>
      <c r="E144" s="127"/>
      <c r="F144" s="128"/>
      <c r="G144" s="127"/>
      <c r="H144" s="127"/>
      <c r="I144" s="128"/>
      <c r="J144" s="127"/>
      <c r="K144" s="127"/>
    </row>
    <row r="145" spans="1:11" ht="18">
      <c r="A145" s="126"/>
      <c r="B145" s="126"/>
      <c r="C145" s="127"/>
      <c r="D145" s="127"/>
      <c r="E145" s="127"/>
      <c r="F145" s="128"/>
      <c r="G145" s="127"/>
      <c r="H145" s="127"/>
      <c r="I145" s="128"/>
      <c r="J145" s="127"/>
      <c r="K145" s="127"/>
    </row>
    <row r="146" spans="1:11" ht="18">
      <c r="A146" s="126"/>
      <c r="B146" s="126"/>
      <c r="C146" s="127"/>
      <c r="D146" s="127"/>
      <c r="E146" s="127"/>
      <c r="F146" s="128"/>
      <c r="G146" s="127"/>
      <c r="H146" s="127"/>
      <c r="I146" s="128"/>
      <c r="J146" s="127"/>
      <c r="K146" s="127"/>
    </row>
    <row r="147" spans="1:11" ht="18">
      <c r="A147" s="126"/>
      <c r="B147" s="126"/>
      <c r="C147" s="127"/>
      <c r="D147" s="127"/>
      <c r="E147" s="127"/>
      <c r="F147" s="128"/>
      <c r="G147" s="127"/>
      <c r="H147" s="127"/>
      <c r="I147" s="128"/>
      <c r="J147" s="127"/>
      <c r="K147" s="127"/>
    </row>
    <row r="148" spans="1:11" ht="18">
      <c r="A148" s="126"/>
      <c r="B148" s="126"/>
      <c r="C148" s="127"/>
      <c r="D148" s="127"/>
      <c r="E148" s="127"/>
      <c r="F148" s="128"/>
      <c r="G148" s="127"/>
      <c r="H148" s="127"/>
      <c r="I148" s="128"/>
      <c r="J148" s="127"/>
      <c r="K148" s="127"/>
    </row>
    <row r="149" spans="1:11" ht="18">
      <c r="A149" s="126"/>
      <c r="B149" s="126"/>
      <c r="C149" s="127"/>
      <c r="D149" s="127"/>
      <c r="E149" s="127"/>
      <c r="F149" s="128"/>
      <c r="G149" s="127"/>
      <c r="H149" s="127"/>
      <c r="I149" s="128"/>
      <c r="J149" s="127"/>
      <c r="K149" s="127"/>
    </row>
    <row r="150" spans="1:11" ht="18">
      <c r="A150" s="126"/>
      <c r="B150" s="126"/>
      <c r="C150" s="127"/>
      <c r="D150" s="127"/>
      <c r="E150" s="127"/>
      <c r="F150" s="128"/>
      <c r="G150" s="127"/>
      <c r="H150" s="127"/>
      <c r="I150" s="128"/>
      <c r="J150" s="127"/>
      <c r="K150" s="127"/>
    </row>
    <row r="151" spans="1:11" ht="18">
      <c r="A151" s="126"/>
      <c r="B151" s="126"/>
      <c r="C151" s="127"/>
      <c r="D151" s="127"/>
      <c r="E151" s="127"/>
      <c r="F151" s="128"/>
      <c r="G151" s="127"/>
      <c r="H151" s="127"/>
      <c r="I151" s="128"/>
      <c r="J151" s="127"/>
      <c r="K151" s="127"/>
    </row>
    <row r="152" spans="1:11" ht="18">
      <c r="A152" s="126"/>
      <c r="B152" s="126"/>
      <c r="C152" s="127"/>
      <c r="D152" s="127"/>
      <c r="E152" s="127"/>
      <c r="F152" s="128"/>
      <c r="G152" s="127"/>
      <c r="H152" s="127"/>
      <c r="I152" s="128"/>
      <c r="J152" s="127"/>
      <c r="K152" s="127"/>
    </row>
    <row r="153" spans="1:11" ht="18">
      <c r="A153" s="126"/>
      <c r="B153" s="126"/>
      <c r="C153" s="127"/>
      <c r="D153" s="127"/>
      <c r="E153" s="127"/>
      <c r="F153" s="128"/>
      <c r="G153" s="127"/>
      <c r="H153" s="127"/>
      <c r="I153" s="128"/>
      <c r="J153" s="127"/>
      <c r="K153" s="127"/>
    </row>
    <row r="154" spans="1:11" ht="18">
      <c r="A154" s="126"/>
      <c r="B154" s="126"/>
      <c r="C154" s="127"/>
      <c r="D154" s="127"/>
      <c r="E154" s="127"/>
      <c r="F154" s="128"/>
      <c r="G154" s="127"/>
      <c r="H154" s="127"/>
      <c r="I154" s="128"/>
      <c r="J154" s="127"/>
      <c r="K154" s="127"/>
    </row>
    <row r="155" spans="1:11" ht="18">
      <c r="A155" s="126"/>
      <c r="B155" s="126"/>
      <c r="C155" s="127"/>
      <c r="D155" s="127"/>
      <c r="E155" s="127"/>
      <c r="F155" s="128"/>
      <c r="G155" s="127"/>
      <c r="H155" s="127"/>
      <c r="I155" s="128"/>
      <c r="J155" s="127"/>
      <c r="K155" s="127"/>
    </row>
    <row r="156" spans="1:11" ht="18">
      <c r="A156" s="126"/>
      <c r="B156" s="126"/>
      <c r="C156" s="127"/>
      <c r="D156" s="127"/>
      <c r="E156" s="127"/>
      <c r="F156" s="128"/>
      <c r="G156" s="127"/>
      <c r="H156" s="127"/>
      <c r="I156" s="128"/>
      <c r="J156" s="127"/>
      <c r="K156" s="127"/>
    </row>
    <row r="157" spans="1:11" ht="18">
      <c r="A157" s="126"/>
      <c r="B157" s="126"/>
      <c r="C157" s="127"/>
      <c r="D157" s="127"/>
      <c r="E157" s="127"/>
      <c r="F157" s="128"/>
      <c r="G157" s="127"/>
      <c r="H157" s="127"/>
      <c r="I157" s="128"/>
      <c r="J157" s="127"/>
      <c r="K157" s="127"/>
    </row>
    <row r="158" spans="1:11" ht="18">
      <c r="A158" s="126"/>
      <c r="B158" s="126"/>
      <c r="C158" s="127"/>
      <c r="D158" s="127"/>
      <c r="E158" s="127"/>
      <c r="F158" s="128"/>
      <c r="G158" s="127"/>
      <c r="H158" s="127"/>
      <c r="I158" s="128"/>
      <c r="J158" s="127"/>
      <c r="K158" s="127"/>
    </row>
    <row r="159" spans="1:11" ht="18">
      <c r="A159" s="126"/>
      <c r="B159" s="126"/>
      <c r="C159" s="127"/>
      <c r="D159" s="127"/>
      <c r="E159" s="127"/>
      <c r="F159" s="128"/>
      <c r="G159" s="127"/>
      <c r="H159" s="127"/>
      <c r="I159" s="128"/>
      <c r="J159" s="127"/>
      <c r="K159" s="127"/>
    </row>
    <row r="160" spans="1:11" ht="18">
      <c r="A160" s="126"/>
      <c r="B160" s="126"/>
      <c r="C160" s="127"/>
      <c r="D160" s="127"/>
      <c r="E160" s="127"/>
      <c r="F160" s="128"/>
      <c r="G160" s="127"/>
      <c r="H160" s="127"/>
      <c r="I160" s="128"/>
      <c r="J160" s="127"/>
      <c r="K160" s="127"/>
    </row>
    <row r="161" spans="1:11" ht="18">
      <c r="A161" s="126"/>
      <c r="B161" s="126"/>
      <c r="C161" s="127"/>
      <c r="D161" s="127"/>
      <c r="E161" s="127"/>
      <c r="F161" s="128"/>
      <c r="G161" s="127"/>
      <c r="H161" s="127"/>
      <c r="I161" s="128"/>
      <c r="J161" s="127"/>
      <c r="K161" s="127"/>
    </row>
    <row r="162" spans="1:11" ht="18">
      <c r="A162" s="126"/>
      <c r="B162" s="126"/>
      <c r="C162" s="127"/>
      <c r="D162" s="127"/>
      <c r="E162" s="127"/>
      <c r="F162" s="128"/>
      <c r="G162" s="127"/>
      <c r="H162" s="127"/>
      <c r="I162" s="128"/>
      <c r="J162" s="127"/>
      <c r="K162" s="127"/>
    </row>
    <row r="163" spans="1:11" ht="18">
      <c r="A163" s="126"/>
      <c r="B163" s="126"/>
      <c r="C163" s="127"/>
      <c r="D163" s="127"/>
      <c r="E163" s="127"/>
      <c r="F163" s="128"/>
      <c r="G163" s="127"/>
      <c r="H163" s="127"/>
      <c r="I163" s="128"/>
      <c r="J163" s="127"/>
      <c r="K163" s="127"/>
    </row>
    <row r="164" spans="1:11" ht="18">
      <c r="A164" s="126"/>
      <c r="B164" s="126"/>
      <c r="C164" s="127"/>
      <c r="D164" s="127"/>
      <c r="E164" s="127"/>
      <c r="F164" s="128"/>
      <c r="G164" s="127"/>
      <c r="H164" s="127"/>
      <c r="I164" s="128"/>
      <c r="J164" s="127"/>
      <c r="K164" s="127"/>
    </row>
    <row r="165" spans="1:11" ht="18">
      <c r="A165" s="126"/>
      <c r="B165" s="126"/>
      <c r="C165" s="127"/>
      <c r="D165" s="127"/>
      <c r="E165" s="127"/>
      <c r="F165" s="128"/>
      <c r="G165" s="127"/>
      <c r="H165" s="127"/>
      <c r="I165" s="128"/>
      <c r="J165" s="127"/>
      <c r="K165" s="127"/>
    </row>
    <row r="166" spans="1:11" ht="18">
      <c r="A166" s="126"/>
      <c r="B166" s="126"/>
      <c r="C166" s="127"/>
      <c r="D166" s="127"/>
      <c r="E166" s="127"/>
      <c r="F166" s="128"/>
      <c r="G166" s="127"/>
      <c r="H166" s="127"/>
      <c r="I166" s="128"/>
      <c r="J166" s="127"/>
      <c r="K166" s="127"/>
    </row>
    <row r="167" spans="1:11" ht="18">
      <c r="A167" s="126"/>
      <c r="B167" s="126"/>
      <c r="C167" s="127"/>
      <c r="D167" s="127"/>
      <c r="E167" s="127"/>
      <c r="F167" s="128"/>
      <c r="G167" s="127"/>
      <c r="H167" s="127"/>
      <c r="I167" s="128"/>
      <c r="J167" s="127"/>
      <c r="K167" s="127"/>
    </row>
    <row r="168" spans="1:11" ht="18">
      <c r="A168" s="126"/>
      <c r="B168" s="126"/>
      <c r="C168" s="127"/>
      <c r="D168" s="127"/>
      <c r="E168" s="127"/>
      <c r="F168" s="128"/>
      <c r="G168" s="127"/>
      <c r="H168" s="127"/>
      <c r="I168" s="128"/>
      <c r="J168" s="127"/>
      <c r="K168" s="127"/>
    </row>
    <row r="169" spans="1:11" ht="18">
      <c r="A169" s="126"/>
      <c r="B169" s="126"/>
      <c r="C169" s="127"/>
      <c r="D169" s="127"/>
      <c r="E169" s="127"/>
      <c r="F169" s="128"/>
      <c r="G169" s="127"/>
      <c r="H169" s="127"/>
      <c r="I169" s="128"/>
      <c r="J169" s="127"/>
      <c r="K169" s="127"/>
    </row>
    <row r="170" spans="1:11" ht="18">
      <c r="A170" s="126"/>
      <c r="B170" s="126"/>
      <c r="C170" s="127"/>
      <c r="D170" s="127"/>
      <c r="E170" s="127"/>
      <c r="F170" s="128"/>
      <c r="G170" s="127"/>
      <c r="H170" s="127"/>
      <c r="I170" s="128"/>
      <c r="J170" s="127"/>
      <c r="K170" s="127"/>
    </row>
    <row r="171" spans="1:11" ht="18">
      <c r="A171" s="126"/>
      <c r="B171" s="126"/>
      <c r="C171" s="127"/>
      <c r="D171" s="127"/>
      <c r="E171" s="127"/>
      <c r="F171" s="128"/>
      <c r="G171" s="127"/>
      <c r="H171" s="127"/>
      <c r="I171" s="128"/>
      <c r="J171" s="127"/>
      <c r="K171" s="127"/>
    </row>
    <row r="172" spans="1:11" ht="18">
      <c r="A172" s="126"/>
      <c r="B172" s="126"/>
      <c r="C172" s="127"/>
      <c r="D172" s="127"/>
      <c r="E172" s="127"/>
      <c r="F172" s="128"/>
      <c r="G172" s="127"/>
      <c r="H172" s="127"/>
      <c r="I172" s="128"/>
      <c r="J172" s="127"/>
      <c r="K172" s="127"/>
    </row>
    <row r="173" spans="1:11" ht="18">
      <c r="A173" s="126"/>
      <c r="B173" s="126"/>
      <c r="C173" s="127"/>
      <c r="D173" s="127"/>
      <c r="E173" s="127"/>
      <c r="F173" s="128"/>
      <c r="G173" s="127"/>
      <c r="H173" s="127"/>
      <c r="I173" s="128"/>
      <c r="J173" s="127"/>
      <c r="K173" s="127"/>
    </row>
    <row r="174" spans="1:11" ht="18">
      <c r="A174" s="126"/>
      <c r="B174" s="126"/>
      <c r="C174" s="127"/>
      <c r="D174" s="127"/>
      <c r="E174" s="127"/>
      <c r="F174" s="128"/>
      <c r="G174" s="127"/>
      <c r="H174" s="127"/>
      <c r="I174" s="128"/>
      <c r="J174" s="127"/>
      <c r="K174" s="127"/>
    </row>
    <row r="175" spans="1:11" ht="18">
      <c r="A175" s="126"/>
      <c r="B175" s="126"/>
      <c r="C175" s="127"/>
      <c r="D175" s="127"/>
      <c r="E175" s="127"/>
      <c r="F175" s="128"/>
      <c r="G175" s="127"/>
      <c r="H175" s="127"/>
      <c r="I175" s="128"/>
      <c r="J175" s="127"/>
      <c r="K175" s="127"/>
    </row>
    <row r="176" spans="1:11" ht="18">
      <c r="A176" s="126"/>
      <c r="B176" s="126"/>
      <c r="C176" s="127"/>
      <c r="D176" s="127"/>
      <c r="E176" s="127"/>
      <c r="F176" s="128"/>
      <c r="G176" s="127"/>
      <c r="H176" s="127"/>
      <c r="I176" s="128"/>
      <c r="J176" s="127"/>
      <c r="K176" s="127"/>
    </row>
    <row r="177" spans="1:11" ht="18">
      <c r="A177" s="126"/>
      <c r="B177" s="126"/>
      <c r="C177" s="127"/>
      <c r="D177" s="127"/>
      <c r="E177" s="127"/>
      <c r="F177" s="128"/>
      <c r="G177" s="127"/>
      <c r="H177" s="127"/>
      <c r="I177" s="128"/>
      <c r="J177" s="127"/>
      <c r="K177" s="127"/>
    </row>
    <row r="178" spans="1:11" ht="18">
      <c r="A178" s="126"/>
      <c r="B178" s="126"/>
      <c r="C178" s="127"/>
      <c r="D178" s="127"/>
      <c r="E178" s="127"/>
      <c r="F178" s="128"/>
      <c r="G178" s="127"/>
      <c r="H178" s="127"/>
      <c r="I178" s="128"/>
      <c r="J178" s="127"/>
      <c r="K178" s="127"/>
    </row>
    <row r="179" spans="1:11" ht="18">
      <c r="A179" s="126"/>
      <c r="B179" s="126"/>
      <c r="C179" s="127"/>
      <c r="D179" s="127"/>
      <c r="E179" s="127"/>
      <c r="F179" s="128"/>
      <c r="G179" s="127"/>
      <c r="H179" s="127"/>
      <c r="I179" s="128"/>
      <c r="J179" s="127"/>
      <c r="K179" s="127"/>
    </row>
    <row r="180" spans="1:11" ht="18">
      <c r="A180" s="126"/>
      <c r="B180" s="126"/>
      <c r="C180" s="127"/>
      <c r="D180" s="127"/>
      <c r="E180" s="127"/>
      <c r="F180" s="128"/>
      <c r="G180" s="127"/>
      <c r="H180" s="127"/>
      <c r="I180" s="128"/>
      <c r="J180" s="127"/>
      <c r="K180" s="127"/>
    </row>
    <row r="181" spans="1:11" ht="18">
      <c r="A181" s="126"/>
      <c r="B181" s="126"/>
      <c r="C181" s="127"/>
      <c r="D181" s="127"/>
      <c r="E181" s="127"/>
      <c r="F181" s="128"/>
      <c r="G181" s="127"/>
      <c r="H181" s="127"/>
      <c r="I181" s="128"/>
      <c r="J181" s="127"/>
      <c r="K181" s="127"/>
    </row>
    <row r="182" spans="1:11" ht="18">
      <c r="A182" s="126"/>
      <c r="B182" s="126"/>
      <c r="C182" s="127"/>
      <c r="D182" s="127"/>
      <c r="E182" s="127"/>
      <c r="F182" s="128"/>
      <c r="G182" s="127"/>
      <c r="H182" s="127"/>
      <c r="I182" s="128"/>
      <c r="J182" s="127"/>
      <c r="K182" s="127"/>
    </row>
    <row r="183" spans="1:11" ht="18">
      <c r="A183" s="126"/>
      <c r="B183" s="126"/>
      <c r="C183" s="127"/>
      <c r="D183" s="127"/>
      <c r="E183" s="127"/>
      <c r="F183" s="128"/>
      <c r="G183" s="127"/>
      <c r="H183" s="127"/>
      <c r="I183" s="128"/>
      <c r="J183" s="127"/>
      <c r="K183" s="127"/>
    </row>
    <row r="184" spans="1:11" ht="18">
      <c r="A184" s="126"/>
      <c r="B184" s="126"/>
      <c r="C184" s="127"/>
      <c r="D184" s="127"/>
      <c r="E184" s="127"/>
      <c r="F184" s="128"/>
      <c r="G184" s="127"/>
      <c r="H184" s="127"/>
      <c r="I184" s="128"/>
      <c r="J184" s="127"/>
      <c r="K184" s="127"/>
    </row>
    <row r="185" spans="1:11" ht="18">
      <c r="A185" s="126"/>
      <c r="B185" s="126"/>
      <c r="C185" s="127"/>
      <c r="D185" s="127"/>
      <c r="E185" s="127"/>
      <c r="F185" s="128"/>
      <c r="G185" s="127"/>
      <c r="H185" s="127"/>
      <c r="I185" s="128"/>
      <c r="J185" s="127"/>
      <c r="K185" s="127"/>
    </row>
    <row r="186" spans="1:11" ht="18">
      <c r="A186" s="126"/>
      <c r="B186" s="126"/>
      <c r="C186" s="127"/>
      <c r="D186" s="127"/>
      <c r="E186" s="127"/>
      <c r="F186" s="128"/>
      <c r="G186" s="127"/>
      <c r="H186" s="127"/>
      <c r="I186" s="128"/>
      <c r="J186" s="127"/>
      <c r="K186" s="127"/>
    </row>
    <row r="187" spans="1:11" ht="18">
      <c r="A187" s="126"/>
      <c r="B187" s="126"/>
      <c r="C187" s="127"/>
      <c r="D187" s="127"/>
      <c r="E187" s="127"/>
      <c r="F187" s="128"/>
      <c r="G187" s="127"/>
      <c r="H187" s="127"/>
      <c r="I187" s="128"/>
      <c r="J187" s="127"/>
      <c r="K187" s="127"/>
    </row>
    <row r="188" spans="1:11" ht="18">
      <c r="A188" s="126"/>
      <c r="B188" s="126"/>
      <c r="C188" s="127"/>
      <c r="D188" s="127"/>
      <c r="E188" s="127"/>
      <c r="F188" s="128"/>
      <c r="G188" s="127"/>
      <c r="H188" s="127"/>
      <c r="I188" s="128"/>
      <c r="J188" s="127"/>
      <c r="K188" s="127"/>
    </row>
    <row r="189" spans="1:11" ht="18">
      <c r="A189" s="126"/>
      <c r="B189" s="126"/>
      <c r="C189" s="127"/>
      <c r="D189" s="127"/>
      <c r="E189" s="127"/>
      <c r="F189" s="128"/>
      <c r="G189" s="127"/>
      <c r="H189" s="127"/>
      <c r="I189" s="128"/>
      <c r="J189" s="127"/>
      <c r="K189" s="127"/>
    </row>
    <row r="190" spans="1:11" ht="18">
      <c r="A190" s="126"/>
      <c r="B190" s="126"/>
      <c r="C190" s="127"/>
      <c r="D190" s="127"/>
      <c r="E190" s="127"/>
      <c r="F190" s="128"/>
      <c r="G190" s="127"/>
      <c r="H190" s="127"/>
      <c r="I190" s="128"/>
      <c r="J190" s="127"/>
      <c r="K190" s="127"/>
    </row>
    <row r="191" spans="1:11" ht="18">
      <c r="A191" s="126"/>
      <c r="B191" s="126"/>
      <c r="C191" s="127"/>
      <c r="D191" s="127"/>
      <c r="E191" s="127"/>
      <c r="F191" s="128"/>
      <c r="G191" s="127"/>
      <c r="H191" s="127"/>
      <c r="I191" s="128"/>
      <c r="J191" s="127"/>
      <c r="K191" s="127"/>
    </row>
    <row r="192" spans="1:11" ht="18">
      <c r="A192" s="126"/>
      <c r="B192" s="126"/>
      <c r="C192" s="127"/>
      <c r="D192" s="127"/>
      <c r="E192" s="127"/>
      <c r="F192" s="128"/>
      <c r="G192" s="127"/>
      <c r="H192" s="127"/>
      <c r="I192" s="128"/>
      <c r="J192" s="127"/>
      <c r="K192" s="127"/>
    </row>
    <row r="193" spans="1:11" ht="18">
      <c r="A193" s="126"/>
      <c r="B193" s="126"/>
      <c r="C193" s="127"/>
      <c r="D193" s="127"/>
      <c r="E193" s="127"/>
      <c r="F193" s="128"/>
      <c r="G193" s="127"/>
      <c r="H193" s="127"/>
      <c r="I193" s="128"/>
      <c r="J193" s="127"/>
      <c r="K193" s="127"/>
    </row>
    <row r="194" spans="1:11" ht="18">
      <c r="A194" s="126"/>
      <c r="B194" s="126"/>
      <c r="C194" s="127"/>
      <c r="D194" s="127"/>
      <c r="E194" s="127"/>
      <c r="F194" s="128"/>
      <c r="G194" s="127"/>
      <c r="H194" s="127"/>
      <c r="I194" s="128"/>
      <c r="J194" s="127"/>
      <c r="K194" s="127"/>
    </row>
    <row r="195" spans="1:11" ht="18">
      <c r="A195" s="126"/>
      <c r="B195" s="126"/>
      <c r="C195" s="127"/>
      <c r="D195" s="127"/>
      <c r="E195" s="127"/>
      <c r="F195" s="128"/>
      <c r="G195" s="127"/>
      <c r="H195" s="127"/>
      <c r="I195" s="128"/>
      <c r="J195" s="127"/>
      <c r="K195" s="127"/>
    </row>
    <row r="196" spans="1:11" ht="18">
      <c r="A196" s="126"/>
      <c r="B196" s="126"/>
      <c r="C196" s="127"/>
      <c r="D196" s="127"/>
      <c r="E196" s="127"/>
      <c r="F196" s="128"/>
      <c r="G196" s="127"/>
      <c r="H196" s="127"/>
      <c r="I196" s="128"/>
      <c r="J196" s="127"/>
      <c r="K196" s="127"/>
    </row>
    <row r="197" spans="1:11" ht="18">
      <c r="A197" s="126"/>
      <c r="B197" s="126"/>
      <c r="C197" s="127"/>
      <c r="D197" s="127"/>
      <c r="E197" s="127"/>
      <c r="F197" s="128"/>
      <c r="G197" s="127"/>
      <c r="H197" s="127"/>
      <c r="I197" s="128"/>
      <c r="J197" s="127"/>
      <c r="K197" s="127"/>
    </row>
    <row r="198" spans="1:11" ht="18">
      <c r="A198" s="126"/>
      <c r="B198" s="126"/>
      <c r="C198" s="127"/>
      <c r="D198" s="127"/>
      <c r="E198" s="127"/>
      <c r="F198" s="128"/>
      <c r="G198" s="127"/>
      <c r="H198" s="127"/>
      <c r="I198" s="128"/>
      <c r="J198" s="127"/>
      <c r="K198" s="127"/>
    </row>
    <row r="199" spans="1:11" ht="18">
      <c r="A199" s="126"/>
      <c r="B199" s="126"/>
      <c r="C199" s="127"/>
      <c r="D199" s="127"/>
      <c r="E199" s="127"/>
      <c r="F199" s="128"/>
      <c r="G199" s="127"/>
      <c r="H199" s="127"/>
      <c r="I199" s="128"/>
      <c r="J199" s="127"/>
      <c r="K199" s="127"/>
    </row>
    <row r="200" spans="1:11" ht="18">
      <c r="A200" s="126"/>
      <c r="B200" s="126"/>
      <c r="C200" s="127"/>
      <c r="D200" s="127"/>
      <c r="E200" s="127"/>
      <c r="F200" s="128"/>
      <c r="G200" s="127"/>
      <c r="H200" s="127"/>
      <c r="I200" s="128"/>
      <c r="J200" s="127"/>
      <c r="K200" s="127"/>
    </row>
    <row r="201" spans="1:11" ht="18">
      <c r="A201" s="126"/>
      <c r="B201" s="126"/>
      <c r="C201" s="127"/>
      <c r="D201" s="127"/>
      <c r="E201" s="127"/>
      <c r="F201" s="128"/>
      <c r="G201" s="127"/>
      <c r="H201" s="127"/>
      <c r="I201" s="128"/>
      <c r="J201" s="127"/>
      <c r="K201" s="127"/>
    </row>
    <row r="202" spans="1:11" ht="18">
      <c r="A202" s="126"/>
      <c r="B202" s="126"/>
      <c r="C202" s="127"/>
      <c r="D202" s="127"/>
      <c r="E202" s="127"/>
      <c r="F202" s="128"/>
      <c r="G202" s="127"/>
      <c r="H202" s="127"/>
      <c r="I202" s="128"/>
      <c r="J202" s="127"/>
      <c r="K202" s="127"/>
    </row>
    <row r="203" spans="1:11" ht="18">
      <c r="A203" s="126"/>
      <c r="B203" s="126"/>
      <c r="C203" s="127"/>
      <c r="D203" s="127"/>
      <c r="E203" s="127"/>
      <c r="F203" s="128"/>
      <c r="G203" s="127"/>
      <c r="H203" s="127"/>
      <c r="I203" s="128"/>
      <c r="J203" s="127"/>
      <c r="K203" s="127"/>
    </row>
    <row r="204" spans="1:11" ht="18">
      <c r="A204" s="126"/>
      <c r="B204" s="126"/>
      <c r="C204" s="127"/>
      <c r="D204" s="127"/>
      <c r="E204" s="127"/>
      <c r="F204" s="128"/>
      <c r="G204" s="127"/>
      <c r="H204" s="127"/>
      <c r="I204" s="128"/>
      <c r="J204" s="127"/>
      <c r="K204" s="127"/>
    </row>
    <row r="205" spans="1:11" ht="18">
      <c r="A205" s="126"/>
      <c r="B205" s="126"/>
      <c r="C205" s="127"/>
      <c r="D205" s="127"/>
      <c r="E205" s="127"/>
      <c r="F205" s="128"/>
      <c r="G205" s="127"/>
      <c r="H205" s="127"/>
      <c r="I205" s="128"/>
      <c r="J205" s="127"/>
      <c r="K205" s="127"/>
    </row>
    <row r="206" spans="1:11" ht="18">
      <c r="A206" s="126"/>
      <c r="B206" s="126"/>
      <c r="C206" s="127"/>
      <c r="D206" s="127"/>
      <c r="E206" s="127"/>
      <c r="F206" s="128"/>
      <c r="G206" s="127"/>
      <c r="H206" s="127"/>
      <c r="I206" s="128"/>
      <c r="J206" s="127"/>
      <c r="K206" s="127"/>
    </row>
    <row r="207" spans="1:11" ht="18">
      <c r="A207" s="126"/>
      <c r="B207" s="126"/>
      <c r="C207" s="127"/>
      <c r="D207" s="127"/>
      <c r="E207" s="127"/>
      <c r="F207" s="128"/>
      <c r="G207" s="127"/>
      <c r="H207" s="127"/>
      <c r="I207" s="128"/>
      <c r="J207" s="127"/>
      <c r="K207" s="127"/>
    </row>
    <row r="208" spans="1:11" ht="18">
      <c r="A208" s="126"/>
      <c r="B208" s="126"/>
      <c r="C208" s="127"/>
      <c r="D208" s="127"/>
      <c r="E208" s="127"/>
      <c r="F208" s="128"/>
      <c r="G208" s="127"/>
      <c r="H208" s="127"/>
      <c r="I208" s="128"/>
      <c r="J208" s="127"/>
      <c r="K208" s="127"/>
    </row>
    <row r="209" spans="1:11" ht="18">
      <c r="A209" s="126"/>
      <c r="B209" s="126"/>
      <c r="C209" s="127"/>
      <c r="D209" s="127"/>
      <c r="E209" s="127"/>
      <c r="F209" s="128"/>
      <c r="G209" s="127"/>
      <c r="H209" s="127"/>
      <c r="I209" s="128"/>
      <c r="J209" s="127"/>
      <c r="K209" s="127"/>
    </row>
    <row r="210" spans="1:11" ht="18">
      <c r="A210" s="126"/>
      <c r="B210" s="126"/>
      <c r="C210" s="127"/>
      <c r="D210" s="127"/>
      <c r="E210" s="127"/>
      <c r="F210" s="128"/>
      <c r="G210" s="127"/>
      <c r="H210" s="127"/>
      <c r="I210" s="128"/>
      <c r="J210" s="127"/>
      <c r="K210" s="127"/>
    </row>
    <row r="211" spans="1:11" ht="18">
      <c r="A211" s="126"/>
      <c r="B211" s="126"/>
      <c r="C211" s="127"/>
      <c r="D211" s="127"/>
      <c r="E211" s="127"/>
      <c r="F211" s="128"/>
      <c r="G211" s="127"/>
      <c r="H211" s="127"/>
      <c r="I211" s="128"/>
      <c r="J211" s="127"/>
      <c r="K211" s="127"/>
    </row>
    <row r="212" spans="1:11" ht="18">
      <c r="A212" s="126"/>
      <c r="B212" s="126"/>
      <c r="C212" s="127"/>
      <c r="D212" s="127"/>
      <c r="E212" s="127"/>
      <c r="F212" s="128"/>
      <c r="G212" s="127"/>
      <c r="H212" s="127"/>
      <c r="I212" s="128"/>
      <c r="J212" s="127"/>
      <c r="K212" s="127"/>
    </row>
    <row r="213" spans="1:11" ht="18">
      <c r="A213" s="126"/>
      <c r="B213" s="126"/>
      <c r="C213" s="127"/>
      <c r="D213" s="127"/>
      <c r="E213" s="127"/>
      <c r="F213" s="128"/>
      <c r="G213" s="127"/>
      <c r="H213" s="127"/>
      <c r="I213" s="128"/>
      <c r="J213" s="127"/>
      <c r="K213" s="127"/>
    </row>
    <row r="214" spans="1:11" ht="18">
      <c r="A214" s="126"/>
      <c r="B214" s="126"/>
      <c r="C214" s="127"/>
      <c r="D214" s="127"/>
      <c r="E214" s="127"/>
      <c r="F214" s="128"/>
      <c r="G214" s="127"/>
      <c r="H214" s="127"/>
      <c r="I214" s="128"/>
      <c r="J214" s="127"/>
      <c r="K214" s="127"/>
    </row>
    <row r="215" spans="1:11" ht="18">
      <c r="A215" s="126"/>
      <c r="B215" s="126"/>
      <c r="C215" s="127"/>
      <c r="D215" s="127"/>
      <c r="E215" s="127"/>
      <c r="F215" s="128"/>
      <c r="G215" s="127"/>
      <c r="H215" s="127"/>
      <c r="I215" s="128"/>
      <c r="J215" s="127"/>
      <c r="K215" s="127"/>
    </row>
    <row r="216" spans="1:11" ht="18">
      <c r="A216" s="126"/>
      <c r="B216" s="126"/>
      <c r="C216" s="127"/>
      <c r="D216" s="127"/>
      <c r="E216" s="127"/>
      <c r="F216" s="128"/>
      <c r="G216" s="127"/>
      <c r="H216" s="127"/>
      <c r="I216" s="128"/>
      <c r="J216" s="127"/>
      <c r="K216" s="127"/>
    </row>
    <row r="217" spans="1:11" ht="18">
      <c r="A217" s="126"/>
      <c r="B217" s="126"/>
      <c r="C217" s="127"/>
      <c r="D217" s="127"/>
      <c r="E217" s="127"/>
      <c r="F217" s="128"/>
      <c r="G217" s="127"/>
      <c r="H217" s="127"/>
      <c r="I217" s="128"/>
      <c r="J217" s="127"/>
      <c r="K217" s="127"/>
    </row>
    <row r="218" spans="1:11" ht="18">
      <c r="A218" s="126"/>
      <c r="B218" s="126"/>
      <c r="C218" s="127"/>
      <c r="D218" s="127"/>
      <c r="E218" s="127"/>
      <c r="F218" s="128"/>
      <c r="G218" s="127"/>
      <c r="H218" s="127"/>
      <c r="I218" s="128"/>
      <c r="J218" s="127"/>
      <c r="K218" s="127"/>
    </row>
    <row r="219" spans="1:11" ht="18">
      <c r="A219" s="126"/>
      <c r="B219" s="126"/>
      <c r="C219" s="127"/>
      <c r="D219" s="127"/>
      <c r="E219" s="127"/>
      <c r="F219" s="128"/>
      <c r="G219" s="127"/>
      <c r="H219" s="127"/>
      <c r="I219" s="128"/>
      <c r="J219" s="127"/>
      <c r="K219" s="127"/>
    </row>
    <row r="220" spans="1:11" ht="18">
      <c r="A220" s="126"/>
      <c r="B220" s="126"/>
      <c r="C220" s="127"/>
      <c r="D220" s="127"/>
      <c r="E220" s="127"/>
      <c r="F220" s="128"/>
      <c r="G220" s="127"/>
      <c r="H220" s="127"/>
      <c r="I220" s="128"/>
      <c r="J220" s="127"/>
      <c r="K220" s="127"/>
    </row>
    <row r="221" spans="1:11" ht="18">
      <c r="A221" s="126"/>
      <c r="B221" s="126"/>
      <c r="C221" s="127"/>
      <c r="D221" s="127"/>
      <c r="E221" s="127"/>
      <c r="F221" s="128"/>
      <c r="G221" s="127"/>
      <c r="H221" s="127"/>
      <c r="I221" s="128"/>
      <c r="J221" s="127"/>
      <c r="K221" s="127"/>
    </row>
    <row r="222" spans="1:11" ht="18">
      <c r="A222" s="126"/>
      <c r="B222" s="126"/>
      <c r="C222" s="127"/>
      <c r="D222" s="127"/>
      <c r="E222" s="127"/>
      <c r="F222" s="128"/>
      <c r="G222" s="127"/>
      <c r="H222" s="127"/>
      <c r="I222" s="128"/>
      <c r="J222" s="127"/>
      <c r="K222" s="127"/>
    </row>
    <row r="223" spans="1:11" ht="18">
      <c r="A223" s="126"/>
      <c r="B223" s="126"/>
      <c r="C223" s="127"/>
      <c r="D223" s="127"/>
      <c r="E223" s="127"/>
      <c r="F223" s="128"/>
      <c r="G223" s="127"/>
      <c r="H223" s="127"/>
      <c r="I223" s="128"/>
      <c r="J223" s="127"/>
      <c r="K223" s="127"/>
    </row>
    <row r="224" spans="1:11" ht="18">
      <c r="A224" s="126"/>
      <c r="B224" s="126"/>
      <c r="C224" s="127"/>
      <c r="D224" s="127"/>
      <c r="E224" s="127"/>
      <c r="F224" s="128"/>
      <c r="G224" s="127"/>
      <c r="H224" s="127"/>
      <c r="I224" s="128"/>
      <c r="J224" s="127"/>
      <c r="K224" s="127"/>
    </row>
    <row r="225" spans="1:11" ht="18">
      <c r="A225" s="126"/>
      <c r="B225" s="126"/>
      <c r="C225" s="127"/>
      <c r="D225" s="127"/>
      <c r="E225" s="127"/>
      <c r="F225" s="128"/>
      <c r="G225" s="127"/>
      <c r="H225" s="127"/>
      <c r="I225" s="128"/>
      <c r="J225" s="127"/>
      <c r="K225" s="127"/>
    </row>
    <row r="226" spans="1:11" ht="18">
      <c r="A226" s="126"/>
      <c r="B226" s="126"/>
      <c r="C226" s="127"/>
      <c r="D226" s="127"/>
      <c r="E226" s="127"/>
      <c r="F226" s="128"/>
      <c r="G226" s="127"/>
      <c r="H226" s="127"/>
      <c r="I226" s="128"/>
      <c r="J226" s="127"/>
      <c r="K226" s="127"/>
    </row>
    <row r="227" spans="1:11" ht="18">
      <c r="A227" s="126"/>
      <c r="B227" s="126"/>
      <c r="C227" s="127"/>
      <c r="D227" s="127"/>
      <c r="E227" s="127"/>
      <c r="F227" s="128"/>
      <c r="G227" s="127"/>
      <c r="H227" s="127"/>
      <c r="I227" s="128"/>
      <c r="J227" s="127"/>
      <c r="K227" s="127"/>
    </row>
    <row r="228" spans="1:11" ht="18">
      <c r="A228" s="126"/>
      <c r="B228" s="126"/>
      <c r="C228" s="127"/>
      <c r="D228" s="127"/>
      <c r="E228" s="127"/>
      <c r="F228" s="128"/>
      <c r="G228" s="127"/>
      <c r="H228" s="127"/>
      <c r="I228" s="128"/>
      <c r="J228" s="127"/>
      <c r="K228" s="127"/>
    </row>
    <row r="229" spans="1:11" ht="18">
      <c r="A229" s="126"/>
      <c r="B229" s="126"/>
      <c r="C229" s="127"/>
      <c r="D229" s="127"/>
      <c r="E229" s="127"/>
      <c r="F229" s="128"/>
      <c r="G229" s="127"/>
      <c r="H229" s="127"/>
      <c r="I229" s="128"/>
      <c r="J229" s="127"/>
      <c r="K229" s="127"/>
    </row>
    <row r="230" spans="1:11" ht="18">
      <c r="A230" s="126"/>
      <c r="B230" s="126"/>
      <c r="C230" s="127"/>
      <c r="D230" s="127"/>
      <c r="E230" s="127"/>
      <c r="F230" s="128"/>
      <c r="G230" s="127"/>
      <c r="H230" s="127"/>
      <c r="I230" s="128"/>
      <c r="J230" s="127"/>
      <c r="K230" s="127"/>
    </row>
    <row r="231" spans="1:11" ht="18">
      <c r="A231" s="126"/>
      <c r="B231" s="126"/>
      <c r="C231" s="127"/>
      <c r="D231" s="127"/>
      <c r="E231" s="127"/>
      <c r="F231" s="128"/>
      <c r="G231" s="127"/>
      <c r="H231" s="127"/>
      <c r="I231" s="128"/>
      <c r="J231" s="127"/>
      <c r="K231" s="127"/>
    </row>
    <row r="232" spans="1:11" ht="18">
      <c r="A232" s="126"/>
      <c r="B232" s="126"/>
      <c r="C232" s="127"/>
      <c r="D232" s="127"/>
      <c r="E232" s="127"/>
      <c r="F232" s="128"/>
      <c r="G232" s="127"/>
      <c r="H232" s="127"/>
      <c r="I232" s="128"/>
      <c r="J232" s="127"/>
      <c r="K232" s="127"/>
    </row>
    <row r="233" spans="1:11" ht="18">
      <c r="A233" s="126"/>
      <c r="B233" s="126"/>
      <c r="C233" s="127"/>
      <c r="D233" s="127"/>
      <c r="E233" s="127"/>
      <c r="F233" s="128"/>
      <c r="G233" s="127"/>
      <c r="H233" s="127"/>
      <c r="I233" s="128"/>
      <c r="J233" s="127"/>
      <c r="K233" s="127"/>
    </row>
    <row r="234" spans="1:11" ht="18">
      <c r="A234" s="126"/>
      <c r="B234" s="126"/>
      <c r="C234" s="127"/>
      <c r="D234" s="127"/>
      <c r="E234" s="127"/>
      <c r="F234" s="128"/>
      <c r="G234" s="127"/>
      <c r="H234" s="127"/>
      <c r="I234" s="128"/>
      <c r="J234" s="127"/>
      <c r="K234" s="127"/>
    </row>
    <row r="235" spans="1:11" ht="18">
      <c r="A235" s="126"/>
      <c r="B235" s="126"/>
      <c r="C235" s="127"/>
      <c r="D235" s="127"/>
      <c r="E235" s="127"/>
      <c r="F235" s="128"/>
      <c r="G235" s="127"/>
      <c r="H235" s="127"/>
      <c r="I235" s="128"/>
      <c r="J235" s="127"/>
      <c r="K235" s="127"/>
    </row>
    <row r="236" spans="1:11" ht="18">
      <c r="A236" s="126"/>
      <c r="B236" s="126"/>
      <c r="C236" s="127"/>
      <c r="D236" s="127"/>
      <c r="E236" s="127"/>
      <c r="F236" s="128"/>
      <c r="G236" s="127"/>
      <c r="H236" s="127"/>
      <c r="I236" s="128"/>
      <c r="J236" s="127"/>
      <c r="K236" s="127"/>
    </row>
    <row r="237" spans="1:11" ht="18">
      <c r="A237" s="126"/>
      <c r="B237" s="126"/>
      <c r="C237" s="127"/>
      <c r="D237" s="127"/>
      <c r="E237" s="127"/>
      <c r="F237" s="128"/>
      <c r="G237" s="127"/>
      <c r="H237" s="127"/>
      <c r="I237" s="128"/>
      <c r="J237" s="127"/>
      <c r="K237" s="127"/>
    </row>
    <row r="238" spans="1:11" ht="18">
      <c r="A238" s="126"/>
      <c r="B238" s="126"/>
      <c r="C238" s="127"/>
      <c r="D238" s="127"/>
      <c r="E238" s="127"/>
      <c r="F238" s="128"/>
      <c r="G238" s="127"/>
      <c r="H238" s="127"/>
      <c r="I238" s="128"/>
      <c r="J238" s="127"/>
      <c r="K238" s="127"/>
    </row>
    <row r="239" spans="1:11" ht="18">
      <c r="A239" s="126"/>
      <c r="B239" s="126"/>
      <c r="C239" s="127"/>
      <c r="D239" s="127"/>
      <c r="E239" s="127"/>
      <c r="F239" s="128"/>
      <c r="G239" s="127"/>
      <c r="H239" s="127"/>
      <c r="I239" s="128"/>
      <c r="J239" s="127"/>
      <c r="K239" s="127"/>
    </row>
    <row r="240" spans="1:11" ht="18">
      <c r="A240" s="126"/>
      <c r="B240" s="126"/>
      <c r="C240" s="127"/>
      <c r="D240" s="127"/>
      <c r="E240" s="127"/>
      <c r="F240" s="128"/>
      <c r="G240" s="127"/>
      <c r="H240" s="127"/>
      <c r="I240" s="128"/>
      <c r="J240" s="127"/>
      <c r="K240" s="127"/>
    </row>
    <row r="241" spans="1:11" ht="18">
      <c r="A241" s="126"/>
      <c r="B241" s="126"/>
      <c r="C241" s="127"/>
      <c r="D241" s="127"/>
      <c r="E241" s="127"/>
      <c r="F241" s="128"/>
      <c r="G241" s="127"/>
      <c r="H241" s="127"/>
      <c r="I241" s="128"/>
      <c r="J241" s="127"/>
      <c r="K241" s="127"/>
    </row>
    <row r="242" spans="1:11" ht="18">
      <c r="A242" s="126"/>
      <c r="B242" s="126"/>
      <c r="C242" s="127"/>
      <c r="D242" s="127"/>
      <c r="E242" s="127"/>
      <c r="F242" s="128"/>
      <c r="G242" s="127"/>
      <c r="H242" s="127"/>
      <c r="I242" s="128"/>
      <c r="J242" s="127"/>
      <c r="K242" s="127"/>
    </row>
    <row r="243" spans="1:11" ht="18">
      <c r="A243" s="126"/>
      <c r="B243" s="126"/>
      <c r="C243" s="127"/>
      <c r="D243" s="127"/>
      <c r="E243" s="127"/>
      <c r="F243" s="128"/>
      <c r="G243" s="127"/>
      <c r="H243" s="127"/>
      <c r="I243" s="128"/>
      <c r="J243" s="127"/>
      <c r="K243" s="127"/>
    </row>
    <row r="244" spans="1:11" ht="18">
      <c r="A244" s="126"/>
      <c r="B244" s="126"/>
      <c r="C244" s="127"/>
      <c r="D244" s="127"/>
      <c r="E244" s="127"/>
      <c r="F244" s="128"/>
      <c r="G244" s="127"/>
      <c r="H244" s="127"/>
      <c r="I244" s="128"/>
      <c r="J244" s="127"/>
      <c r="K244" s="127"/>
    </row>
    <row r="245" spans="1:11" ht="18">
      <c r="A245" s="126"/>
      <c r="B245" s="126"/>
      <c r="C245" s="127"/>
      <c r="D245" s="127"/>
      <c r="E245" s="127"/>
      <c r="F245" s="128"/>
      <c r="G245" s="127"/>
      <c r="H245" s="127"/>
      <c r="I245" s="128"/>
      <c r="J245" s="127"/>
      <c r="K245" s="127"/>
    </row>
    <row r="246" spans="1:11" ht="18">
      <c r="A246" s="126"/>
      <c r="B246" s="126"/>
      <c r="C246" s="127"/>
      <c r="D246" s="127"/>
      <c r="E246" s="127"/>
      <c r="F246" s="128"/>
      <c r="G246" s="127"/>
      <c r="H246" s="127"/>
      <c r="I246" s="128"/>
      <c r="J246" s="127"/>
      <c r="K246" s="127"/>
    </row>
    <row r="247" spans="1:11" ht="18">
      <c r="A247" s="126"/>
      <c r="B247" s="126"/>
      <c r="C247" s="127"/>
      <c r="D247" s="127"/>
      <c r="E247" s="127"/>
      <c r="F247" s="128"/>
      <c r="G247" s="127"/>
      <c r="H247" s="127"/>
      <c r="I247" s="128"/>
      <c r="J247" s="127"/>
      <c r="K247" s="127"/>
    </row>
    <row r="248" spans="1:11" ht="18">
      <c r="A248" s="126"/>
      <c r="B248" s="126"/>
      <c r="C248" s="127"/>
      <c r="D248" s="127"/>
      <c r="E248" s="127"/>
      <c r="F248" s="128"/>
      <c r="G248" s="127"/>
      <c r="H248" s="127"/>
      <c r="I248" s="128"/>
      <c r="J248" s="127"/>
      <c r="K248" s="127"/>
    </row>
    <row r="249" spans="1:11" ht="18">
      <c r="A249" s="126"/>
      <c r="B249" s="126"/>
      <c r="C249" s="127"/>
      <c r="D249" s="127"/>
      <c r="E249" s="127"/>
      <c r="F249" s="128"/>
      <c r="G249" s="127"/>
      <c r="H249" s="127"/>
      <c r="I249" s="128"/>
      <c r="J249" s="127"/>
      <c r="K249" s="127"/>
    </row>
    <row r="250" spans="1:11" ht="18">
      <c r="A250" s="126"/>
      <c r="B250" s="126"/>
      <c r="C250" s="127"/>
      <c r="D250" s="127"/>
      <c r="E250" s="127"/>
      <c r="F250" s="128"/>
      <c r="G250" s="127"/>
      <c r="H250" s="127"/>
      <c r="I250" s="128"/>
      <c r="J250" s="127"/>
      <c r="K250" s="127"/>
    </row>
    <row r="251" spans="1:11" ht="18">
      <c r="A251" s="126"/>
      <c r="B251" s="126"/>
      <c r="C251" s="127"/>
      <c r="D251" s="127"/>
      <c r="E251" s="127"/>
      <c r="F251" s="128"/>
      <c r="G251" s="127"/>
      <c r="H251" s="127"/>
      <c r="I251" s="128"/>
      <c r="J251" s="127"/>
      <c r="K251" s="127"/>
    </row>
    <row r="252" spans="1:11" ht="18">
      <c r="A252" s="126"/>
      <c r="B252" s="126"/>
      <c r="C252" s="127"/>
      <c r="D252" s="127"/>
      <c r="E252" s="127"/>
      <c r="F252" s="128"/>
      <c r="G252" s="127"/>
      <c r="H252" s="127"/>
      <c r="I252" s="128"/>
      <c r="J252" s="127"/>
      <c r="K252" s="127"/>
    </row>
    <row r="253" spans="1:11" ht="18">
      <c r="A253" s="126"/>
      <c r="B253" s="126"/>
      <c r="C253" s="127"/>
      <c r="D253" s="127"/>
      <c r="E253" s="127"/>
      <c r="F253" s="128"/>
      <c r="G253" s="127"/>
      <c r="H253" s="127"/>
      <c r="I253" s="128"/>
      <c r="J253" s="127"/>
      <c r="K253" s="127"/>
    </row>
    <row r="254" spans="1:11" ht="18">
      <c r="A254" s="126"/>
      <c r="B254" s="126"/>
      <c r="C254" s="127"/>
      <c r="D254" s="127"/>
      <c r="E254" s="127"/>
      <c r="F254" s="128"/>
      <c r="G254" s="127"/>
      <c r="H254" s="127"/>
      <c r="I254" s="128"/>
      <c r="J254" s="127"/>
      <c r="K254" s="127"/>
    </row>
    <row r="255" spans="1:11" ht="18">
      <c r="A255" s="126"/>
      <c r="B255" s="126"/>
      <c r="C255" s="127"/>
      <c r="D255" s="127"/>
      <c r="E255" s="127"/>
      <c r="F255" s="128"/>
      <c r="G255" s="127"/>
      <c r="H255" s="127"/>
      <c r="I255" s="128"/>
      <c r="J255" s="127"/>
      <c r="K255" s="127"/>
    </row>
    <row r="256" spans="1:11" ht="18">
      <c r="A256" s="126"/>
      <c r="B256" s="126"/>
      <c r="C256" s="127"/>
      <c r="D256" s="127"/>
      <c r="E256" s="127"/>
      <c r="F256" s="128"/>
      <c r="G256" s="127"/>
      <c r="H256" s="127"/>
      <c r="I256" s="128"/>
      <c r="J256" s="127"/>
      <c r="K256" s="127"/>
    </row>
    <row r="257" spans="1:11" ht="18">
      <c r="A257" s="126"/>
      <c r="B257" s="126"/>
      <c r="C257" s="127"/>
      <c r="D257" s="127"/>
      <c r="E257" s="127"/>
      <c r="F257" s="128"/>
      <c r="G257" s="127"/>
      <c r="H257" s="127"/>
      <c r="I257" s="128"/>
      <c r="J257" s="127"/>
      <c r="K257" s="127"/>
    </row>
    <row r="258" spans="1:11" ht="18">
      <c r="A258" s="126"/>
      <c r="B258" s="126"/>
      <c r="C258" s="127"/>
      <c r="D258" s="127"/>
      <c r="E258" s="127"/>
      <c r="F258" s="128"/>
      <c r="G258" s="127"/>
      <c r="H258" s="127"/>
      <c r="I258" s="128"/>
      <c r="J258" s="127"/>
      <c r="K258" s="127"/>
    </row>
    <row r="259" spans="1:11" ht="18">
      <c r="A259" s="126"/>
      <c r="B259" s="126"/>
      <c r="C259" s="127"/>
      <c r="D259" s="127"/>
      <c r="E259" s="127"/>
      <c r="F259" s="128"/>
      <c r="G259" s="127"/>
      <c r="H259" s="127"/>
      <c r="I259" s="128"/>
      <c r="J259" s="127"/>
      <c r="K259" s="127"/>
    </row>
    <row r="260" spans="1:11" ht="18">
      <c r="A260" s="126"/>
      <c r="B260" s="126"/>
      <c r="C260" s="127"/>
      <c r="D260" s="127"/>
      <c r="E260" s="127"/>
      <c r="F260" s="128"/>
      <c r="G260" s="127"/>
      <c r="H260" s="127"/>
      <c r="I260" s="128"/>
      <c r="J260" s="127"/>
      <c r="K260" s="127"/>
    </row>
    <row r="261" spans="1:11" ht="18">
      <c r="A261" s="126"/>
      <c r="B261" s="126"/>
      <c r="C261" s="127"/>
      <c r="D261" s="127"/>
      <c r="E261" s="127"/>
      <c r="F261" s="128"/>
      <c r="G261" s="127"/>
      <c r="H261" s="127"/>
      <c r="I261" s="128"/>
      <c r="J261" s="127"/>
      <c r="K261" s="127"/>
    </row>
    <row r="262" spans="1:11" ht="18">
      <c r="A262" s="126"/>
      <c r="B262" s="126"/>
      <c r="C262" s="127"/>
      <c r="D262" s="127"/>
      <c r="E262" s="127"/>
      <c r="F262" s="128"/>
      <c r="G262" s="127"/>
      <c r="H262" s="127"/>
      <c r="I262" s="128"/>
      <c r="J262" s="127"/>
      <c r="K262" s="127"/>
    </row>
    <row r="263" spans="1:11" ht="18">
      <c r="A263" s="126"/>
      <c r="B263" s="126"/>
      <c r="C263" s="127"/>
      <c r="D263" s="127"/>
      <c r="E263" s="127"/>
      <c r="F263" s="128"/>
      <c r="G263" s="127"/>
      <c r="H263" s="127"/>
      <c r="I263" s="128"/>
      <c r="J263" s="127"/>
      <c r="K263" s="127"/>
    </row>
    <row r="264" spans="1:11" ht="18">
      <c r="A264" s="126"/>
      <c r="B264" s="126"/>
      <c r="C264" s="127"/>
      <c r="D264" s="127"/>
      <c r="E264" s="127"/>
      <c r="F264" s="128"/>
      <c r="G264" s="127"/>
      <c r="H264" s="127"/>
      <c r="I264" s="128"/>
      <c r="J264" s="127"/>
      <c r="K264" s="127"/>
    </row>
    <row r="265" spans="1:11" ht="18">
      <c r="A265" s="126"/>
      <c r="B265" s="126"/>
      <c r="C265" s="127"/>
      <c r="D265" s="127"/>
      <c r="E265" s="127"/>
      <c r="F265" s="128"/>
      <c r="G265" s="127"/>
      <c r="H265" s="127"/>
      <c r="I265" s="128"/>
      <c r="J265" s="127"/>
      <c r="K265" s="127"/>
    </row>
    <row r="266" spans="1:11" ht="18">
      <c r="A266" s="126"/>
      <c r="B266" s="126"/>
      <c r="C266" s="127"/>
      <c r="D266" s="127"/>
      <c r="E266" s="127"/>
      <c r="F266" s="128"/>
      <c r="G266" s="127"/>
      <c r="H266" s="127"/>
      <c r="I266" s="128"/>
      <c r="J266" s="127"/>
      <c r="K266" s="127"/>
    </row>
    <row r="267" spans="1:11" ht="18">
      <c r="A267" s="126"/>
      <c r="B267" s="126"/>
      <c r="C267" s="127"/>
      <c r="D267" s="127"/>
      <c r="E267" s="127"/>
      <c r="F267" s="128"/>
      <c r="G267" s="127"/>
      <c r="H267" s="127"/>
      <c r="I267" s="128"/>
      <c r="J267" s="127"/>
      <c r="K267" s="127"/>
    </row>
    <row r="268" spans="1:11" ht="18">
      <c r="A268" s="126"/>
      <c r="B268" s="126"/>
      <c r="C268" s="127"/>
      <c r="D268" s="127"/>
      <c r="E268" s="127"/>
      <c r="F268" s="128"/>
      <c r="G268" s="127"/>
      <c r="H268" s="127"/>
      <c r="I268" s="128"/>
      <c r="J268" s="127"/>
      <c r="K268" s="127"/>
    </row>
    <row r="269" spans="1:11" ht="18">
      <c r="A269" s="126"/>
      <c r="B269" s="126"/>
      <c r="C269" s="127"/>
      <c r="D269" s="127"/>
      <c r="E269" s="127"/>
      <c r="F269" s="128"/>
      <c r="G269" s="127"/>
      <c r="H269" s="127"/>
      <c r="I269" s="128"/>
      <c r="J269" s="127"/>
      <c r="K269" s="127"/>
    </row>
    <row r="270" spans="1:11" ht="18">
      <c r="A270" s="126"/>
      <c r="B270" s="126"/>
      <c r="C270" s="127"/>
      <c r="D270" s="127"/>
      <c r="E270" s="127"/>
      <c r="F270" s="128"/>
      <c r="G270" s="127"/>
      <c r="H270" s="127"/>
      <c r="I270" s="128"/>
      <c r="J270" s="127"/>
      <c r="K270" s="127"/>
    </row>
    <row r="271" spans="1:11" ht="18">
      <c r="A271" s="126"/>
      <c r="B271" s="126"/>
      <c r="C271" s="127"/>
      <c r="D271" s="127"/>
      <c r="E271" s="127"/>
      <c r="F271" s="128"/>
      <c r="G271" s="127"/>
      <c r="H271" s="127"/>
      <c r="I271" s="128"/>
      <c r="J271" s="127"/>
      <c r="K271" s="127"/>
    </row>
    <row r="272" spans="1:11" ht="18">
      <c r="A272" s="126"/>
      <c r="B272" s="126"/>
      <c r="C272" s="127"/>
      <c r="D272" s="127"/>
      <c r="E272" s="127"/>
      <c r="F272" s="128"/>
      <c r="G272" s="127"/>
      <c r="H272" s="127"/>
      <c r="I272" s="128"/>
      <c r="J272" s="127"/>
      <c r="K272" s="127"/>
    </row>
    <row r="273" spans="1:11" ht="18">
      <c r="A273" s="126"/>
      <c r="B273" s="126"/>
      <c r="C273" s="127"/>
      <c r="D273" s="127"/>
      <c r="E273" s="127"/>
      <c r="F273" s="128"/>
      <c r="G273" s="127"/>
      <c r="H273" s="127"/>
      <c r="I273" s="128"/>
      <c r="J273" s="127"/>
      <c r="K273" s="127"/>
    </row>
    <row r="274" spans="1:11" ht="18">
      <c r="A274" s="126"/>
      <c r="B274" s="126"/>
      <c r="C274" s="127"/>
      <c r="D274" s="127"/>
      <c r="E274" s="127"/>
      <c r="F274" s="128"/>
      <c r="G274" s="127"/>
      <c r="H274" s="127"/>
      <c r="I274" s="128"/>
      <c r="J274" s="127"/>
      <c r="K274" s="127"/>
    </row>
    <row r="275" spans="1:11" ht="18">
      <c r="A275" s="126"/>
      <c r="B275" s="126"/>
      <c r="C275" s="127"/>
      <c r="D275" s="127"/>
      <c r="E275" s="127"/>
      <c r="F275" s="128"/>
      <c r="G275" s="127"/>
      <c r="H275" s="127"/>
      <c r="I275" s="128"/>
      <c r="J275" s="127"/>
      <c r="K275" s="127"/>
    </row>
    <row r="276" spans="1:11" ht="18">
      <c r="A276" s="126"/>
      <c r="B276" s="126"/>
      <c r="C276" s="127"/>
      <c r="D276" s="127"/>
      <c r="E276" s="127"/>
      <c r="F276" s="128"/>
      <c r="G276" s="127"/>
      <c r="H276" s="127"/>
      <c r="I276" s="128"/>
      <c r="J276" s="127"/>
      <c r="K276" s="127"/>
    </row>
    <row r="277" spans="1:11" ht="18">
      <c r="A277" s="126"/>
      <c r="B277" s="126"/>
      <c r="C277" s="127"/>
      <c r="D277" s="127"/>
      <c r="E277" s="127"/>
      <c r="F277" s="128"/>
      <c r="G277" s="127"/>
      <c r="H277" s="127"/>
      <c r="I277" s="128"/>
      <c r="J277" s="127"/>
      <c r="K277" s="127"/>
    </row>
    <row r="278" spans="1:11" ht="18">
      <c r="A278" s="126"/>
      <c r="B278" s="126"/>
      <c r="C278" s="127"/>
      <c r="D278" s="127"/>
      <c r="E278" s="127"/>
      <c r="F278" s="128"/>
      <c r="G278" s="127"/>
      <c r="H278" s="127"/>
      <c r="I278" s="128"/>
      <c r="J278" s="127"/>
      <c r="K278" s="127"/>
    </row>
    <row r="279" spans="1:11" ht="18">
      <c r="A279" s="126"/>
      <c r="B279" s="126"/>
      <c r="C279" s="127"/>
      <c r="D279" s="127"/>
      <c r="E279" s="127"/>
      <c r="F279" s="128"/>
      <c r="G279" s="127"/>
      <c r="H279" s="127"/>
      <c r="I279" s="128"/>
      <c r="J279" s="127"/>
      <c r="K279" s="127"/>
    </row>
    <row r="280" spans="1:11" ht="18">
      <c r="A280" s="126"/>
      <c r="B280" s="126"/>
      <c r="C280" s="127"/>
      <c r="D280" s="127"/>
      <c r="E280" s="127"/>
      <c r="F280" s="128"/>
      <c r="G280" s="127"/>
      <c r="H280" s="127"/>
      <c r="I280" s="128"/>
      <c r="J280" s="127"/>
      <c r="K280" s="127"/>
    </row>
    <row r="281" spans="1:11" ht="18">
      <c r="A281" s="126"/>
      <c r="B281" s="126"/>
      <c r="C281" s="127"/>
      <c r="D281" s="127"/>
      <c r="E281" s="127"/>
      <c r="F281" s="128"/>
      <c r="G281" s="127"/>
      <c r="H281" s="127"/>
      <c r="I281" s="128"/>
      <c r="J281" s="127"/>
      <c r="K281" s="127"/>
    </row>
    <row r="282" spans="1:11" ht="18">
      <c r="A282" s="126"/>
      <c r="B282" s="126"/>
      <c r="C282" s="127"/>
      <c r="D282" s="127"/>
      <c r="E282" s="127"/>
      <c r="F282" s="128"/>
      <c r="G282" s="127"/>
      <c r="H282" s="127"/>
      <c r="I282" s="128"/>
      <c r="J282" s="127"/>
      <c r="K282" s="127"/>
    </row>
    <row r="283" spans="1:11" ht="18">
      <c r="A283" s="126"/>
      <c r="B283" s="126"/>
      <c r="C283" s="127"/>
      <c r="D283" s="127"/>
      <c r="E283" s="127"/>
      <c r="F283" s="128"/>
      <c r="G283" s="127"/>
      <c r="H283" s="127"/>
      <c r="I283" s="128"/>
      <c r="J283" s="127"/>
      <c r="K283" s="127"/>
    </row>
    <row r="284" spans="1:11" ht="18">
      <c r="A284" s="126"/>
      <c r="B284" s="126"/>
      <c r="C284" s="127"/>
      <c r="D284" s="127"/>
      <c r="E284" s="127"/>
      <c r="F284" s="128"/>
      <c r="G284" s="127"/>
      <c r="H284" s="127"/>
      <c r="I284" s="128"/>
      <c r="J284" s="127"/>
      <c r="K284" s="127"/>
    </row>
    <row r="285" spans="1:11" ht="18">
      <c r="A285" s="126"/>
      <c r="B285" s="126"/>
      <c r="C285" s="127"/>
      <c r="D285" s="127"/>
      <c r="E285" s="127"/>
      <c r="F285" s="128"/>
      <c r="G285" s="127"/>
      <c r="H285" s="127"/>
      <c r="I285" s="128"/>
      <c r="J285" s="127"/>
      <c r="K285" s="127"/>
    </row>
    <row r="286" spans="1:11" ht="18">
      <c r="A286" s="126"/>
      <c r="B286" s="126"/>
      <c r="C286" s="127"/>
      <c r="D286" s="127"/>
      <c r="E286" s="127"/>
      <c r="F286" s="128"/>
      <c r="G286" s="127"/>
      <c r="H286" s="127"/>
      <c r="I286" s="128"/>
      <c r="J286" s="127"/>
      <c r="K286" s="127"/>
    </row>
    <row r="287" spans="1:11" ht="18">
      <c r="A287" s="126"/>
      <c r="B287" s="126"/>
      <c r="C287" s="127"/>
      <c r="D287" s="127"/>
      <c r="E287" s="127"/>
      <c r="F287" s="128"/>
      <c r="G287" s="127"/>
      <c r="H287" s="127"/>
      <c r="I287" s="128"/>
      <c r="J287" s="127"/>
      <c r="K287" s="127"/>
    </row>
    <row r="288" spans="1:11" ht="18">
      <c r="A288" s="126"/>
      <c r="B288" s="126"/>
      <c r="C288" s="127"/>
      <c r="D288" s="127"/>
      <c r="E288" s="127"/>
      <c r="F288" s="128"/>
      <c r="G288" s="127"/>
      <c r="H288" s="127"/>
      <c r="I288" s="128"/>
      <c r="J288" s="127"/>
      <c r="K288" s="127"/>
    </row>
    <row r="289" spans="1:11" ht="18">
      <c r="A289" s="126"/>
      <c r="B289" s="126"/>
      <c r="C289" s="127"/>
      <c r="D289" s="127"/>
      <c r="E289" s="127"/>
      <c r="F289" s="128"/>
      <c r="G289" s="127"/>
      <c r="H289" s="127"/>
      <c r="I289" s="128"/>
      <c r="J289" s="127"/>
      <c r="K289" s="127"/>
    </row>
    <row r="290" spans="1:11" ht="18">
      <c r="A290" s="126"/>
      <c r="B290" s="126"/>
      <c r="C290" s="127"/>
      <c r="D290" s="127"/>
      <c r="E290" s="127"/>
      <c r="F290" s="128"/>
      <c r="G290" s="127"/>
      <c r="H290" s="127"/>
      <c r="I290" s="128"/>
      <c r="J290" s="127"/>
      <c r="K290" s="127"/>
    </row>
    <row r="291" spans="1:11" ht="18">
      <c r="A291" s="126"/>
      <c r="B291" s="126"/>
      <c r="C291" s="127"/>
      <c r="D291" s="127"/>
      <c r="E291" s="127"/>
      <c r="F291" s="128"/>
      <c r="G291" s="127"/>
      <c r="H291" s="127"/>
      <c r="I291" s="128"/>
      <c r="J291" s="127"/>
      <c r="K291" s="127"/>
    </row>
    <row r="292" spans="1:11" ht="18">
      <c r="A292" s="126"/>
      <c r="B292" s="126"/>
      <c r="C292" s="127"/>
      <c r="D292" s="127"/>
      <c r="E292" s="127"/>
      <c r="F292" s="128"/>
      <c r="G292" s="127"/>
      <c r="H292" s="127"/>
      <c r="I292" s="128"/>
      <c r="J292" s="127"/>
      <c r="K292" s="127"/>
    </row>
    <row r="293" spans="1:11" ht="18">
      <c r="A293" s="126"/>
      <c r="B293" s="126"/>
      <c r="C293" s="127"/>
      <c r="D293" s="127"/>
      <c r="E293" s="127"/>
      <c r="F293" s="128"/>
      <c r="G293" s="127"/>
      <c r="H293" s="127"/>
      <c r="I293" s="128"/>
      <c r="J293" s="127"/>
      <c r="K293" s="127"/>
    </row>
    <row r="294" spans="1:11" ht="18">
      <c r="A294" s="126"/>
      <c r="B294" s="126"/>
      <c r="C294" s="127"/>
      <c r="D294" s="127"/>
      <c r="E294" s="127"/>
      <c r="F294" s="128"/>
      <c r="G294" s="127"/>
      <c r="H294" s="127"/>
      <c r="I294" s="128"/>
      <c r="J294" s="127"/>
      <c r="K294" s="127"/>
    </row>
    <row r="295" spans="1:11" ht="18">
      <c r="A295" s="126"/>
      <c r="B295" s="126"/>
      <c r="C295" s="127"/>
      <c r="D295" s="127"/>
      <c r="E295" s="127"/>
      <c r="F295" s="128"/>
      <c r="G295" s="127"/>
      <c r="H295" s="127"/>
      <c r="I295" s="128"/>
      <c r="J295" s="127"/>
      <c r="K295" s="127"/>
    </row>
    <row r="296" spans="1:11" ht="18">
      <c r="A296" s="126"/>
      <c r="B296" s="126"/>
      <c r="C296" s="127"/>
      <c r="D296" s="127"/>
      <c r="E296" s="127"/>
      <c r="F296" s="128"/>
      <c r="G296" s="127"/>
      <c r="H296" s="127"/>
      <c r="I296" s="128"/>
      <c r="J296" s="127"/>
      <c r="K296" s="127"/>
    </row>
    <row r="297" spans="1:11" ht="18">
      <c r="A297" s="126"/>
      <c r="B297" s="126"/>
      <c r="C297" s="127"/>
      <c r="D297" s="127"/>
      <c r="E297" s="127"/>
      <c r="F297" s="128"/>
      <c r="G297" s="127"/>
      <c r="H297" s="127"/>
      <c r="I297" s="128"/>
      <c r="J297" s="127"/>
      <c r="K297" s="127"/>
    </row>
    <row r="298" spans="1:11" ht="18">
      <c r="A298" s="126"/>
      <c r="B298" s="126"/>
      <c r="C298" s="127"/>
      <c r="D298" s="127"/>
      <c r="E298" s="127"/>
      <c r="F298" s="128"/>
      <c r="G298" s="127"/>
      <c r="H298" s="127"/>
      <c r="I298" s="128"/>
      <c r="J298" s="127"/>
      <c r="K298" s="127"/>
    </row>
    <row r="299" spans="1:11" ht="18">
      <c r="A299" s="126"/>
      <c r="B299" s="126"/>
      <c r="C299" s="127"/>
      <c r="D299" s="127"/>
      <c r="E299" s="127"/>
      <c r="F299" s="128"/>
      <c r="G299" s="127"/>
      <c r="H299" s="127"/>
      <c r="I299" s="128"/>
      <c r="J299" s="127"/>
      <c r="K299" s="127"/>
    </row>
    <row r="300" spans="1:11" ht="18">
      <c r="A300" s="126"/>
      <c r="B300" s="126"/>
      <c r="C300" s="127"/>
      <c r="D300" s="127"/>
      <c r="E300" s="127"/>
      <c r="F300" s="128"/>
      <c r="G300" s="127"/>
      <c r="H300" s="127"/>
      <c r="I300" s="128"/>
      <c r="J300" s="127"/>
      <c r="K300" s="127"/>
    </row>
    <row r="301" spans="1:11" ht="18">
      <c r="A301" s="126"/>
      <c r="B301" s="126"/>
      <c r="C301" s="127"/>
      <c r="D301" s="127"/>
      <c r="E301" s="127"/>
      <c r="F301" s="128"/>
      <c r="G301" s="127"/>
      <c r="H301" s="127"/>
      <c r="I301" s="128"/>
      <c r="J301" s="127"/>
      <c r="K301" s="127"/>
    </row>
    <row r="302" spans="1:11" ht="18">
      <c r="A302" s="126"/>
      <c r="B302" s="126"/>
      <c r="C302" s="127"/>
      <c r="D302" s="127"/>
      <c r="E302" s="127"/>
      <c r="F302" s="128"/>
      <c r="G302" s="127"/>
      <c r="H302" s="127"/>
      <c r="I302" s="128"/>
      <c r="J302" s="127"/>
      <c r="K302" s="127"/>
    </row>
    <row r="303" spans="1:11" ht="18">
      <c r="A303" s="126"/>
      <c r="B303" s="126"/>
      <c r="C303" s="127"/>
      <c r="D303" s="127"/>
      <c r="E303" s="127"/>
      <c r="F303" s="128"/>
      <c r="G303" s="127"/>
      <c r="H303" s="127"/>
      <c r="I303" s="128"/>
      <c r="J303" s="127"/>
      <c r="K303" s="127"/>
    </row>
    <row r="304" spans="1:11" ht="18">
      <c r="A304" s="126"/>
      <c r="B304" s="126"/>
      <c r="C304" s="127"/>
      <c r="D304" s="127"/>
      <c r="E304" s="127"/>
      <c r="F304" s="128"/>
      <c r="G304" s="127"/>
      <c r="H304" s="127"/>
      <c r="I304" s="128"/>
      <c r="J304" s="127"/>
      <c r="K304" s="127"/>
    </row>
    <row r="305" spans="1:11" ht="18">
      <c r="A305" s="126"/>
      <c r="B305" s="126"/>
      <c r="C305" s="127"/>
      <c r="D305" s="127"/>
      <c r="E305" s="127"/>
      <c r="F305" s="128"/>
      <c r="G305" s="127"/>
      <c r="H305" s="127"/>
      <c r="I305" s="128"/>
      <c r="J305" s="127"/>
      <c r="K305" s="127"/>
    </row>
    <row r="306" spans="1:11" ht="18">
      <c r="A306" s="126"/>
      <c r="B306" s="126"/>
      <c r="C306" s="127"/>
      <c r="D306" s="127"/>
      <c r="E306" s="127"/>
      <c r="F306" s="128"/>
      <c r="G306" s="127"/>
      <c r="H306" s="127"/>
      <c r="I306" s="128"/>
      <c r="J306" s="127"/>
      <c r="K306" s="127"/>
    </row>
    <row r="307" spans="1:11" ht="18">
      <c r="A307" s="126"/>
      <c r="B307" s="126"/>
      <c r="C307" s="127"/>
      <c r="D307" s="127"/>
      <c r="E307" s="127"/>
      <c r="F307" s="128"/>
      <c r="G307" s="127"/>
      <c r="H307" s="127"/>
      <c r="I307" s="128"/>
      <c r="J307" s="127"/>
      <c r="K307" s="127"/>
    </row>
    <row r="308" spans="1:11" ht="18">
      <c r="A308" s="126"/>
      <c r="B308" s="126"/>
      <c r="C308" s="127"/>
      <c r="D308" s="127"/>
      <c r="E308" s="127"/>
      <c r="F308" s="128"/>
      <c r="G308" s="127"/>
      <c r="H308" s="127"/>
      <c r="I308" s="128"/>
      <c r="J308" s="127"/>
      <c r="K308" s="127"/>
    </row>
    <row r="309" spans="1:11" ht="18">
      <c r="A309" s="126"/>
      <c r="B309" s="126"/>
      <c r="C309" s="127"/>
      <c r="D309" s="127"/>
      <c r="E309" s="127"/>
      <c r="F309" s="128"/>
      <c r="G309" s="127"/>
      <c r="H309" s="127"/>
      <c r="I309" s="128"/>
      <c r="J309" s="127"/>
      <c r="K309" s="127"/>
    </row>
    <row r="310" spans="1:11" ht="18">
      <c r="A310" s="126"/>
      <c r="B310" s="126"/>
      <c r="C310" s="127"/>
      <c r="D310" s="127"/>
      <c r="E310" s="127"/>
      <c r="F310" s="128"/>
      <c r="G310" s="127"/>
      <c r="H310" s="127"/>
      <c r="I310" s="128"/>
      <c r="J310" s="127"/>
      <c r="K310" s="127"/>
    </row>
    <row r="311" spans="1:11" ht="18">
      <c r="A311" s="126"/>
      <c r="B311" s="126"/>
      <c r="C311" s="127"/>
      <c r="D311" s="127"/>
      <c r="E311" s="127"/>
      <c r="F311" s="128"/>
      <c r="G311" s="127"/>
      <c r="H311" s="127"/>
      <c r="I311" s="128"/>
      <c r="J311" s="127"/>
      <c r="K311" s="127"/>
    </row>
    <row r="312" spans="1:11" ht="18">
      <c r="A312" s="126"/>
      <c r="B312" s="126"/>
      <c r="C312" s="127"/>
      <c r="D312" s="127"/>
      <c r="E312" s="127"/>
      <c r="F312" s="128"/>
      <c r="G312" s="127"/>
      <c r="H312" s="127"/>
      <c r="I312" s="128"/>
      <c r="J312" s="127"/>
      <c r="K312" s="127"/>
    </row>
    <row r="313" spans="1:11" ht="18">
      <c r="A313" s="126"/>
      <c r="B313" s="126"/>
      <c r="C313" s="127"/>
      <c r="D313" s="127"/>
      <c r="E313" s="127"/>
      <c r="F313" s="128"/>
      <c r="G313" s="127"/>
      <c r="H313" s="127"/>
      <c r="I313" s="128"/>
      <c r="J313" s="127"/>
      <c r="K313" s="127"/>
    </row>
    <row r="314" spans="1:11" ht="18">
      <c r="A314" s="126"/>
      <c r="B314" s="126"/>
      <c r="C314" s="127"/>
      <c r="D314" s="127"/>
      <c r="E314" s="127"/>
      <c r="F314" s="128"/>
      <c r="G314" s="127"/>
      <c r="H314" s="127"/>
      <c r="I314" s="128"/>
      <c r="J314" s="127"/>
      <c r="K314" s="127"/>
    </row>
    <row r="315" spans="1:11" ht="18">
      <c r="A315" s="126"/>
      <c r="B315" s="126"/>
      <c r="C315" s="127"/>
      <c r="D315" s="127"/>
      <c r="E315" s="127"/>
      <c r="F315" s="128"/>
      <c r="G315" s="127"/>
      <c r="H315" s="127"/>
      <c r="I315" s="128"/>
      <c r="J315" s="127"/>
      <c r="K315" s="127"/>
    </row>
    <row r="316" spans="1:11" ht="18">
      <c r="A316" s="126"/>
      <c r="B316" s="126"/>
      <c r="C316" s="127"/>
      <c r="D316" s="127"/>
      <c r="E316" s="127"/>
      <c r="F316" s="128"/>
      <c r="G316" s="127"/>
      <c r="H316" s="127"/>
      <c r="I316" s="128"/>
      <c r="J316" s="127"/>
      <c r="K316" s="127"/>
    </row>
    <row r="317" spans="1:11" ht="18">
      <c r="A317" s="126"/>
      <c r="B317" s="126"/>
      <c r="C317" s="127"/>
      <c r="D317" s="127"/>
      <c r="E317" s="127"/>
      <c r="F317" s="128"/>
      <c r="G317" s="127"/>
      <c r="H317" s="127"/>
      <c r="I317" s="128"/>
      <c r="J317" s="127"/>
      <c r="K317" s="127"/>
    </row>
    <row r="318" spans="1:11" ht="18">
      <c r="A318" s="126"/>
      <c r="B318" s="126"/>
      <c r="C318" s="127"/>
      <c r="D318" s="127"/>
      <c r="E318" s="127"/>
      <c r="F318" s="128"/>
      <c r="G318" s="127"/>
      <c r="H318" s="127"/>
      <c r="I318" s="128"/>
      <c r="J318" s="127"/>
      <c r="K318" s="127"/>
    </row>
    <row r="319" spans="1:11" ht="18">
      <c r="A319" s="126"/>
      <c r="B319" s="126"/>
      <c r="C319" s="127"/>
      <c r="D319" s="127"/>
      <c r="E319" s="127"/>
      <c r="F319" s="128"/>
      <c r="G319" s="127"/>
      <c r="H319" s="127"/>
      <c r="I319" s="128"/>
      <c r="J319" s="127"/>
      <c r="K319" s="127"/>
    </row>
    <row r="320" spans="1:11" ht="18">
      <c r="A320" s="126"/>
      <c r="B320" s="126"/>
      <c r="C320" s="127"/>
      <c r="D320" s="127"/>
      <c r="E320" s="127"/>
      <c r="F320" s="128"/>
      <c r="G320" s="127"/>
      <c r="H320" s="127"/>
      <c r="I320" s="128"/>
      <c r="J320" s="127"/>
      <c r="K320" s="127"/>
    </row>
    <row r="321" spans="1:11" ht="18">
      <c r="A321" s="126"/>
      <c r="B321" s="126"/>
      <c r="C321" s="127"/>
      <c r="D321" s="127"/>
      <c r="E321" s="127"/>
      <c r="F321" s="128"/>
      <c r="G321" s="127"/>
      <c r="H321" s="127"/>
      <c r="I321" s="128"/>
      <c r="J321" s="127"/>
      <c r="K321" s="127"/>
    </row>
    <row r="322" spans="1:11" ht="18">
      <c r="A322" s="126"/>
      <c r="B322" s="126"/>
      <c r="C322" s="127"/>
      <c r="D322" s="127"/>
      <c r="E322" s="127"/>
      <c r="F322" s="128"/>
      <c r="G322" s="127"/>
      <c r="H322" s="127"/>
      <c r="I322" s="128"/>
      <c r="J322" s="127"/>
      <c r="K322" s="127"/>
    </row>
    <row r="323" spans="1:11" ht="18">
      <c r="A323" s="126"/>
      <c r="B323" s="126"/>
      <c r="C323" s="127"/>
      <c r="D323" s="127"/>
      <c r="E323" s="127"/>
      <c r="F323" s="128"/>
      <c r="G323" s="127"/>
      <c r="H323" s="127"/>
      <c r="I323" s="128"/>
      <c r="J323" s="127"/>
      <c r="K323" s="127"/>
    </row>
    <row r="324" spans="1:11" ht="18">
      <c r="A324" s="126"/>
      <c r="B324" s="126"/>
      <c r="C324" s="127"/>
      <c r="D324" s="127"/>
      <c r="E324" s="127"/>
      <c r="F324" s="128"/>
      <c r="G324" s="127"/>
      <c r="H324" s="127"/>
      <c r="I324" s="128"/>
      <c r="J324" s="127"/>
      <c r="K324" s="127"/>
    </row>
    <row r="325" spans="1:11" ht="18">
      <c r="A325" s="126"/>
      <c r="B325" s="126"/>
      <c r="C325" s="127"/>
      <c r="D325" s="127"/>
      <c r="E325" s="127"/>
      <c r="F325" s="128"/>
      <c r="G325" s="127"/>
      <c r="H325" s="127"/>
      <c r="I325" s="128"/>
      <c r="J325" s="127"/>
      <c r="K325" s="127"/>
    </row>
    <row r="326" spans="1:11" ht="18">
      <c r="A326" s="126"/>
      <c r="B326" s="126"/>
      <c r="C326" s="127"/>
      <c r="D326" s="127"/>
      <c r="E326" s="127"/>
      <c r="F326" s="128"/>
      <c r="G326" s="127"/>
      <c r="H326" s="127"/>
      <c r="I326" s="128"/>
      <c r="J326" s="127"/>
      <c r="K326" s="127"/>
    </row>
    <row r="327" spans="1:11" ht="18">
      <c r="A327" s="126"/>
      <c r="B327" s="126"/>
      <c r="C327" s="127"/>
      <c r="D327" s="127"/>
      <c r="E327" s="127"/>
      <c r="F327" s="128"/>
      <c r="G327" s="127"/>
      <c r="H327" s="127"/>
      <c r="I327" s="128"/>
      <c r="J327" s="127"/>
      <c r="K327" s="127"/>
    </row>
    <row r="328" spans="1:11" ht="18">
      <c r="C328" s="127"/>
      <c r="D328" s="127"/>
      <c r="E328" s="127"/>
      <c r="F328" s="128"/>
      <c r="G328" s="127"/>
      <c r="H328" s="127"/>
      <c r="I328" s="128"/>
      <c r="J328" s="127"/>
      <c r="K328" s="127"/>
    </row>
  </sheetData>
  <sortState xmlns:xlrd2="http://schemas.microsoft.com/office/spreadsheetml/2017/richdata2" ref="A3:K15">
    <sortCondition ref="A3:A15"/>
  </sortState>
  <mergeCells count="5">
    <mergeCell ref="G1:I1"/>
    <mergeCell ref="A1:C1"/>
    <mergeCell ref="D1:F1"/>
    <mergeCell ref="A2:B2"/>
    <mergeCell ref="L4:L15"/>
  </mergeCells>
  <conditionalFormatting sqref="F2 I2 F4:F86 I4:I86">
    <cfRule type="cellIs" dxfId="12" priority="11" stopIfTrue="1" operator="lessThanOrEqual">
      <formula>-0.1</formula>
    </cfRule>
    <cfRule type="expression" dxfId="11" priority="12">
      <formula>AND(ISNUMBER(F2), F2&gt;=0.1)</formula>
    </cfRule>
  </conditionalFormatting>
  <hyperlinks>
    <hyperlink ref="K6" r:id="rId1" display="https://us3.assetplanner.com/service_request?ID=099548" xr:uid="{6CB98A0E-2331-438B-81C1-A5E30231516B}"/>
    <hyperlink ref="K9" r:id="rId2" display="https://us3.assetplanner.com/service_request?ID=105604" xr:uid="{EC55517F-1371-4D1F-9877-5AFC0FFAC05B}"/>
    <hyperlink ref="K10" r:id="rId3" display="https://us3.assetplanner.com/service_request?ID=103075" xr:uid="{96475A39-6DA8-4EDF-A6EA-519C1C468D3B}"/>
    <hyperlink ref="K13" r:id="rId4" display="https://us3.assetplanner.com/service_request?ID=105436" xr:uid="{FF499781-E07E-4092-B51A-0B35D92B199C}"/>
    <hyperlink ref="L4" r:id="rId5" display="https://us3.assetplanner.com/service_request?ID=101743" xr:uid="{4B00F580-FF04-4A2A-95C3-CD472DC56ABF}"/>
    <hyperlink ref="K16" r:id="rId6" display="https://us3.assetplanner.com/service_request?ID=105517" xr:uid="{93E8488C-433A-4F76-9F43-08112DD9F803}"/>
    <hyperlink ref="K18" r:id="rId7" display="https://us3.assetplanner.com/service_request?ID=087054" xr:uid="{1C1622A6-288B-4883-9088-121134A3D9CA}"/>
    <hyperlink ref="K19" r:id="rId8" display="https://us3.assetplanner.com/service_request?ID=088667" xr:uid="{6AA7B3B2-C526-4FE0-BA75-5324C2EECE82}"/>
    <hyperlink ref="L19" r:id="rId9" display="https://us3.assetplanner.com/service_request?ID=077700" xr:uid="{E3275D74-8147-4636-95C2-0C91A570F0D1}"/>
    <hyperlink ref="K20" r:id="rId10" display="https://us3.assetplanner.com/service_request?ID=098782" xr:uid="{7CAB2B80-382D-4927-B787-B9DF78E3264B}"/>
    <hyperlink ref="K22" r:id="rId11" display="https://us3.assetplanner.com/service_request?ID=105483" xr:uid="{59065DD8-0528-4338-AA06-D8A17E8299C2}"/>
    <hyperlink ref="L22" r:id="rId12" display="https://us3.assetplanner.com/service_request?ID=105331" xr:uid="{E4EB3783-A3D7-43BC-B690-0878D02F38D6}"/>
    <hyperlink ref="K24" r:id="rId13" display="https://us3.assetplanner.com/service_request?ID=099323" xr:uid="{8E21F0F6-97AD-4F51-BE5B-90E650ABEE11}"/>
    <hyperlink ref="K34" r:id="rId14" display="https://us3.assetplanner.com/service_request?ID=100979" xr:uid="{9125A672-A476-43EC-A9D8-A721017D19C7}"/>
    <hyperlink ref="K38" r:id="rId15" display="https://us3.assetplanner.com/service_request?ID=100592" xr:uid="{429316E3-3384-49E0-B7AE-39BBD00A266C}"/>
    <hyperlink ref="K46" r:id="rId16" display="https://us3.assetplanner.com/service_request?ID=075812" xr:uid="{9D30BB58-CEE7-45D6-8DCB-4968609508AD}"/>
    <hyperlink ref="K56" r:id="rId17" display="https://us3.assetplanner.com/service_request?ID=099750" xr:uid="{040A5E90-171B-4A22-8083-72E3FFE7102D}"/>
    <hyperlink ref="K62" r:id="rId18" display="https://us3.assetplanner.com/service_request?ID=105312" xr:uid="{5CF408A8-9691-488F-B346-B48BBD0CE928}"/>
    <hyperlink ref="K67" r:id="rId19" display="https://us3.assetplanner.com/service_request?ID=101247" xr:uid="{01F7E8F7-348B-4894-A8C0-996F2DCC950A}"/>
    <hyperlink ref="K75" r:id="rId20" display="https://us3.assetplanner.com/service_request?ID=104629" xr:uid="{A17E79ED-4FE0-4024-AFB7-05568BF87F52}"/>
    <hyperlink ref="K83" r:id="rId21" display="https://us3.assetplanner.com/service_request?ID=098897" xr:uid="{967A2161-8A3D-4292-9C91-C9BBBBB7FD29}"/>
    <hyperlink ref="L83" r:id="rId22" display="https://us3.assetplanner.com/service_request?ID=104705" xr:uid="{CB85FD27-AA02-4642-B02C-01C78AA1E07D}"/>
    <hyperlink ref="K45" r:id="rId23" display="SR104082" xr:uid="{225DAA1F-BB7C-44DE-A17D-EA1656A2C2BD}"/>
    <hyperlink ref="K47" r:id="rId24" xr:uid="{69761159-8D30-4D50-B79D-D6A393741369}"/>
  </hyperlinks>
  <pageMargins left="0.4" right="0.7" top="0.25" bottom="0.25" header="0.3" footer="0.3"/>
  <pageSetup fitToHeight="99" orientation="landscape" r:id="rId2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T333"/>
  <sheetViews>
    <sheetView tabSelected="1" zoomScale="70" zoomScaleNormal="70" workbookViewId="0">
      <pane xSplit="3" ySplit="3" topLeftCell="D9" activePane="bottomRight" state="frozen"/>
      <selection pane="bottomRight" activeCell="K19" sqref="K19"/>
      <selection pane="bottomLeft" activeCell="H74" sqref="H74"/>
      <selection pane="topRight" activeCell="H74" sqref="H74"/>
    </sheetView>
  </sheetViews>
  <sheetFormatPr defaultRowHeight="14.25"/>
  <cols>
    <col min="1" max="1" width="3.140625" bestFit="1" customWidth="1"/>
    <col min="2" max="2" width="35.85546875" bestFit="1" customWidth="1"/>
    <col min="3" max="3" width="8.42578125" style="31" customWidth="1"/>
    <col min="4" max="4" width="11.85546875" customWidth="1"/>
    <col min="5" max="6" width="13.140625" customWidth="1"/>
    <col min="7" max="7" width="13.140625" style="1" customWidth="1"/>
    <col min="8" max="9" width="13.140625" customWidth="1"/>
    <col min="10" max="10" width="13.140625" style="1" customWidth="1"/>
    <col min="11" max="11" width="83.7109375" customWidth="1"/>
    <col min="12" max="12" width="20.5703125" bestFit="1" customWidth="1"/>
  </cols>
  <sheetData>
    <row r="1" spans="1:20" ht="15.75">
      <c r="B1" s="210" t="str" cm="1">
        <f t="array" ref="B1">portfolio</f>
        <v>Wells Fargo</v>
      </c>
      <c r="C1" s="210"/>
      <c r="D1" s="210"/>
      <c r="E1" s="211" t="s">
        <v>294</v>
      </c>
      <c r="F1" s="211"/>
      <c r="G1" s="211"/>
      <c r="H1" s="209" t="s">
        <v>295</v>
      </c>
      <c r="I1" s="209"/>
      <c r="J1" s="209"/>
      <c r="K1" t="s">
        <v>258</v>
      </c>
      <c r="L1" s="3"/>
    </row>
    <row r="2" spans="1:20" ht="15.75">
      <c r="B2" s="220" t="s">
        <v>2</v>
      </c>
      <c r="C2" s="220"/>
      <c r="D2" s="4">
        <f>SUM(D4:D91)</f>
        <v>2009885.9516048443</v>
      </c>
      <c r="E2" s="4">
        <f>SUM(E4:E91)</f>
        <v>1965831.2981</v>
      </c>
      <c r="F2" s="4">
        <f>D2-E2</f>
        <v>44054.653504844289</v>
      </c>
      <c r="G2" s="5">
        <f>IFERROR(F2/E2, 0)</f>
        <v>2.2410190308509E-2</v>
      </c>
      <c r="H2" s="4">
        <f>SUM(H4:H91)</f>
        <v>2174762.8205999997</v>
      </c>
      <c r="I2" s="6">
        <f>D2-H2</f>
        <v>-164876.86899515544</v>
      </c>
      <c r="J2" s="5">
        <f>IFERROR(I2/H2, 0)</f>
        <v>-7.5813724344279174E-2</v>
      </c>
      <c r="K2" s="23" t="str">
        <f ca="1">IF(AND(TODAY()&gt;DATE(2024, 8,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3"/>
    </row>
    <row r="3" spans="1:20" ht="15.75">
      <c r="B3" s="24" t="s">
        <v>3</v>
      </c>
      <c r="C3" s="24" t="s">
        <v>30</v>
      </c>
      <c r="D3" s="201" t="s">
        <v>4</v>
      </c>
      <c r="E3" s="202" t="s">
        <v>5</v>
      </c>
      <c r="F3" s="202" t="s">
        <v>6</v>
      </c>
      <c r="G3" s="203" t="s">
        <v>7</v>
      </c>
      <c r="H3" s="204" t="s">
        <v>8</v>
      </c>
      <c r="I3" s="205" t="s">
        <v>6</v>
      </c>
      <c r="J3" s="206" t="s">
        <v>7</v>
      </c>
      <c r="K3" s="207" t="s">
        <v>39</v>
      </c>
      <c r="L3" s="207" t="s">
        <v>40</v>
      </c>
    </row>
    <row r="4" spans="1:20" ht="15.75">
      <c r="A4">
        <v>1</v>
      </c>
      <c r="B4" s="163" t="str" cm="1">
        <f t="array" ref="B4:B84">Sites[Site]</f>
        <v>Adams &amp; Broadway</v>
      </c>
      <c r="C4" s="164" t="str" cm="1">
        <f t="array" ref="C4:C84">Sites[State]</f>
        <v>CA</v>
      </c>
      <c r="D4" s="165">
        <v>1193.3</v>
      </c>
      <c r="E4" s="166" t="s">
        <v>208</v>
      </c>
      <c r="F4" s="166" t="str">
        <f>IF(AND(ISNUMBER(D4),ISNUMBER(E4)), D4-E4, "")</f>
        <v/>
      </c>
      <c r="G4" s="167" t="str">
        <f>IFERROR(F4/E4, "")</f>
        <v/>
      </c>
      <c r="H4" s="168">
        <v>1312</v>
      </c>
      <c r="I4" s="168">
        <f>IF(AND(ISNUMBER(D4),ISNUMBER(H4)), D4-H4, "")</f>
        <v>-118.70000000000005</v>
      </c>
      <c r="J4" s="167">
        <f>IFERROR(I4/H4, "")</f>
        <v>-9.0472560975609795E-2</v>
      </c>
      <c r="K4" s="169"/>
      <c r="L4" s="169"/>
      <c r="M4" s="170"/>
      <c r="N4" s="170"/>
      <c r="O4" s="63"/>
      <c r="P4" s="63"/>
      <c r="Q4" s="63"/>
      <c r="R4" s="63"/>
      <c r="S4" s="63"/>
      <c r="T4" s="63"/>
    </row>
    <row r="5" spans="1:20" ht="15.75">
      <c r="A5">
        <f>A4+1</f>
        <v>2</v>
      </c>
      <c r="B5" s="171" t="str">
        <v>Otay Mesa</v>
      </c>
      <c r="C5" s="164" t="str">
        <v>CA</v>
      </c>
      <c r="D5" s="165">
        <v>39.101999999999997</v>
      </c>
      <c r="E5" s="166" t="s">
        <v>208</v>
      </c>
      <c r="F5" s="166" t="str">
        <f>IF(AND(ISNUMBER(D5),ISNUMBER(E5)), D5-E5, "")</f>
        <v/>
      </c>
      <c r="G5" s="167" t="str">
        <f>IFERROR(F5/E5, "")</f>
        <v/>
      </c>
      <c r="H5" s="172" t="s">
        <v>208</v>
      </c>
      <c r="I5" s="168" t="str">
        <f>IF(AND(ISNUMBER(D5),ISNUMBER(H5)), D5-H5, "")</f>
        <v/>
      </c>
      <c r="J5" s="167" t="str">
        <f>IFERROR(I5/H5, "")</f>
        <v/>
      </c>
      <c r="K5" s="173" t="s">
        <v>42</v>
      </c>
      <c r="L5" s="174"/>
      <c r="M5" s="170"/>
      <c r="N5" s="170"/>
      <c r="O5" s="63"/>
      <c r="P5" s="63"/>
      <c r="Q5" s="63"/>
      <c r="R5" s="63"/>
      <c r="S5" s="63"/>
      <c r="T5" s="63"/>
    </row>
    <row r="6" spans="1:20" ht="15.75">
      <c r="A6">
        <f t="shared" ref="A6:A69" si="0">A5+1</f>
        <v>3</v>
      </c>
      <c r="B6" s="171" t="str">
        <v>San Leandro</v>
      </c>
      <c r="C6" s="164" t="str">
        <v>CA</v>
      </c>
      <c r="D6" s="165">
        <v>0</v>
      </c>
      <c r="E6" s="166" t="s">
        <v>208</v>
      </c>
      <c r="F6" s="166" t="str">
        <f>IF(AND(ISNUMBER(D6),ISNUMBER(E6)), D6-E6, "")</f>
        <v/>
      </c>
      <c r="G6" s="167" t="str">
        <f>IFERROR(F6/E6, "")</f>
        <v/>
      </c>
      <c r="H6" s="168">
        <v>0</v>
      </c>
      <c r="I6" s="168">
        <f>IF(AND(ISNUMBER(D6),ISNUMBER(H6)), D6-H6, "")</f>
        <v>0</v>
      </c>
      <c r="J6" s="167" t="str">
        <f>IFERROR(I6/H6, "")</f>
        <v/>
      </c>
      <c r="K6" s="175" t="s">
        <v>209</v>
      </c>
      <c r="L6" s="176" t="s">
        <v>157</v>
      </c>
      <c r="M6" s="170"/>
      <c r="N6" s="170"/>
      <c r="O6" s="63"/>
      <c r="P6" s="63"/>
      <c r="Q6" s="63"/>
      <c r="R6" s="63"/>
      <c r="S6" s="63"/>
      <c r="T6" s="63"/>
    </row>
    <row r="7" spans="1:20" ht="30.75">
      <c r="A7">
        <f t="shared" si="0"/>
        <v>4</v>
      </c>
      <c r="B7" s="171" t="str">
        <v>Van Nuys</v>
      </c>
      <c r="C7" s="164" t="str">
        <v>CA</v>
      </c>
      <c r="D7" s="165">
        <v>1834.8</v>
      </c>
      <c r="E7" s="166" t="s">
        <v>208</v>
      </c>
      <c r="F7" s="166" t="str">
        <f>IF(AND(ISNUMBER(D7),ISNUMBER(E7)), D7-E7, "")</f>
        <v/>
      </c>
      <c r="G7" s="167" t="str">
        <f>IFERROR(F7/E7, "")</f>
        <v/>
      </c>
      <c r="H7" s="168">
        <v>2594.9969999999998</v>
      </c>
      <c r="I7" s="168">
        <f>IF(AND(ISNUMBER(D7),ISNUMBER(H7)), D7-H7, "")</f>
        <v>-760.19699999999989</v>
      </c>
      <c r="J7" s="167">
        <f>IFERROR(I7/H7, "")</f>
        <v>-0.29294715947648492</v>
      </c>
      <c r="K7" s="174" t="s">
        <v>94</v>
      </c>
      <c r="L7" s="174"/>
      <c r="M7" s="170"/>
      <c r="N7" s="170"/>
      <c r="O7" s="63"/>
      <c r="P7" s="63"/>
      <c r="Q7" s="63"/>
      <c r="R7" s="63"/>
      <c r="S7" s="63"/>
      <c r="T7" s="63"/>
    </row>
    <row r="8" spans="1:20" ht="15.75">
      <c r="A8">
        <f t="shared" si="0"/>
        <v>5</v>
      </c>
      <c r="B8" s="171" t="str">
        <v>98th &amp; Grant</v>
      </c>
      <c r="C8" s="164" t="str">
        <v>CO</v>
      </c>
      <c r="D8" s="165">
        <v>2312.8000000000002</v>
      </c>
      <c r="E8" s="166" t="s">
        <v>208</v>
      </c>
      <c r="F8" s="166" t="str">
        <f>IF(AND(ISNUMBER(D8),ISNUMBER(E8)), D8-E8, "")</f>
        <v/>
      </c>
      <c r="G8" s="167" t="str">
        <f>IFERROR(F8/E8, "")</f>
        <v/>
      </c>
      <c r="H8" s="168">
        <v>2124</v>
      </c>
      <c r="I8" s="168">
        <f>IF(AND(ISNUMBER(D8),ISNUMBER(H8)), D8-H8, "")</f>
        <v>188.80000000000018</v>
      </c>
      <c r="J8" s="167">
        <f>IFERROR(I8/H8, "")</f>
        <v>8.8888888888888976E-2</v>
      </c>
      <c r="K8" s="169"/>
      <c r="L8" s="169"/>
      <c r="M8" s="170"/>
      <c r="N8" s="170"/>
      <c r="O8" s="63"/>
      <c r="P8" s="63"/>
      <c r="Q8" s="63"/>
      <c r="R8" s="63"/>
      <c r="S8" s="63"/>
      <c r="T8" s="63"/>
    </row>
    <row r="9" spans="1:20" ht="30.75">
      <c r="A9">
        <f t="shared" si="0"/>
        <v>6</v>
      </c>
      <c r="B9" s="171" t="str">
        <v>Arapahoe Crossings</v>
      </c>
      <c r="C9" s="164" t="str">
        <v>CO</v>
      </c>
      <c r="D9" s="165">
        <v>3029.69419015011</v>
      </c>
      <c r="E9" s="166" t="s">
        <v>208</v>
      </c>
      <c r="F9" s="166" t="str">
        <f>IF(AND(ISNUMBER(D9),ISNUMBER(E9)), D9-E9, "")</f>
        <v/>
      </c>
      <c r="G9" s="167" t="str">
        <f>IFERROR(F9/E9, "")</f>
        <v/>
      </c>
      <c r="H9" s="168">
        <v>3982.2669999999998</v>
      </c>
      <c r="I9" s="168">
        <f>IF(AND(ISNUMBER(D9),ISNUMBER(H9)), D9-H9, "")</f>
        <v>-952.57280984988984</v>
      </c>
      <c r="J9" s="167">
        <f>IFERROR(I9/H9, "")</f>
        <v>-0.23920365205293614</v>
      </c>
      <c r="K9" s="174" t="s">
        <v>296</v>
      </c>
      <c r="L9" s="176" t="s">
        <v>244</v>
      </c>
      <c r="M9" s="170"/>
      <c r="N9" s="170"/>
      <c r="O9" s="63"/>
      <c r="P9" s="63"/>
      <c r="Q9" s="63"/>
      <c r="R9" s="63"/>
      <c r="S9" s="63"/>
      <c r="T9" s="63"/>
    </row>
    <row r="10" spans="1:20" ht="15.75">
      <c r="A10">
        <f t="shared" si="0"/>
        <v>7</v>
      </c>
      <c r="B10" s="171" t="str">
        <v>Aurora City Center</v>
      </c>
      <c r="C10" s="164" t="str">
        <v>CO</v>
      </c>
      <c r="D10" s="165">
        <v>1839.5</v>
      </c>
      <c r="E10" s="166" t="s">
        <v>208</v>
      </c>
      <c r="F10" s="166" t="str">
        <f>IF(AND(ISNUMBER(D10),ISNUMBER(E10)), D10-E10, "")</f>
        <v/>
      </c>
      <c r="G10" s="167" t="str">
        <f>IFERROR(F10/E10, "")</f>
        <v/>
      </c>
      <c r="H10" s="168">
        <v>1840</v>
      </c>
      <c r="I10" s="168">
        <f>IF(AND(ISNUMBER(D10),ISNUMBER(H10)), D10-H10, "")</f>
        <v>-0.5</v>
      </c>
      <c r="J10" s="167">
        <f>IFERROR(I10/H10, "")</f>
        <v>-2.7173913043478261E-4</v>
      </c>
      <c r="K10" s="169" t="s">
        <v>297</v>
      </c>
      <c r="L10" s="176" t="s">
        <v>247</v>
      </c>
      <c r="M10" s="170"/>
      <c r="N10" s="170"/>
      <c r="O10" s="63"/>
      <c r="P10" s="63"/>
      <c r="Q10" s="63"/>
      <c r="R10" s="63"/>
      <c r="S10" s="63"/>
      <c r="T10" s="63"/>
    </row>
    <row r="11" spans="1:20" ht="15.75">
      <c r="A11">
        <f t="shared" si="0"/>
        <v>8</v>
      </c>
      <c r="B11" s="171" t="str">
        <v>Dry Creek</v>
      </c>
      <c r="C11" s="164" t="str">
        <v>CO</v>
      </c>
      <c r="D11" s="165">
        <v>2456.4000000000101</v>
      </c>
      <c r="E11" s="166">
        <v>0</v>
      </c>
      <c r="F11" s="166">
        <f>IF(AND(ISNUMBER(D11),ISNUMBER(E11)), D11-E11, "")</f>
        <v>2456.4000000000101</v>
      </c>
      <c r="G11" s="167" t="str">
        <f>IFERROR(F11/E11, "")</f>
        <v/>
      </c>
      <c r="H11" s="168">
        <v>2319</v>
      </c>
      <c r="I11" s="168">
        <f>IF(AND(ISNUMBER(D11),ISNUMBER(H11)), D11-H11, "")</f>
        <v>137.4000000000101</v>
      </c>
      <c r="J11" s="167">
        <f>IFERROR(I11/H11, "")</f>
        <v>5.9249676584739154E-2</v>
      </c>
      <c r="K11" s="174"/>
      <c r="L11" s="174"/>
      <c r="M11" s="170"/>
      <c r="N11" s="170"/>
      <c r="O11" s="63"/>
      <c r="P11" s="63"/>
      <c r="Q11" s="63"/>
      <c r="R11" s="63"/>
      <c r="S11" s="63"/>
      <c r="T11" s="63"/>
    </row>
    <row r="12" spans="1:20" ht="15.75">
      <c r="A12">
        <f t="shared" si="0"/>
        <v>9</v>
      </c>
      <c r="B12" s="171" t="str">
        <v>Highlands Ranch S.</v>
      </c>
      <c r="C12" s="164" t="str">
        <v>CO</v>
      </c>
      <c r="D12" s="165">
        <v>2054.6000000000199</v>
      </c>
      <c r="E12" s="166" t="s">
        <v>208</v>
      </c>
      <c r="F12" s="166" t="str">
        <f>IF(AND(ISNUMBER(D12),ISNUMBER(E12)), D12-E12, "")</f>
        <v/>
      </c>
      <c r="G12" s="167" t="str">
        <f>IFERROR(F12/E12, "")</f>
        <v/>
      </c>
      <c r="H12" s="168">
        <v>2235</v>
      </c>
      <c r="I12" s="168">
        <f>IF(AND(ISNUMBER(D12),ISNUMBER(H12)), D12-H12, "")</f>
        <v>-180.39999999998008</v>
      </c>
      <c r="J12" s="167">
        <f>IFERROR(I12/H12, "")</f>
        <v>-8.0715883668894886E-2</v>
      </c>
      <c r="K12" s="169"/>
      <c r="L12" s="169"/>
      <c r="M12" s="170"/>
      <c r="N12" s="170"/>
      <c r="O12" s="63"/>
      <c r="P12" s="63"/>
      <c r="Q12" s="63"/>
      <c r="R12" s="63"/>
      <c r="S12" s="63"/>
      <c r="T12" s="63"/>
    </row>
    <row r="13" spans="1:20" ht="30.75">
      <c r="A13">
        <f t="shared" si="0"/>
        <v>10</v>
      </c>
      <c r="B13" s="171" t="str">
        <v>Lone Tree</v>
      </c>
      <c r="C13" s="164" t="str">
        <v>CO</v>
      </c>
      <c r="D13" s="165">
        <v>0</v>
      </c>
      <c r="E13" s="166" t="s">
        <v>208</v>
      </c>
      <c r="F13" s="166" t="str">
        <f>IF(AND(ISNUMBER(D13),ISNUMBER(E13)), D13-E13, "")</f>
        <v/>
      </c>
      <c r="G13" s="167" t="str">
        <f>IFERROR(F13/E13, "")</f>
        <v/>
      </c>
      <c r="H13" s="168">
        <v>5091</v>
      </c>
      <c r="I13" s="168">
        <f>IF(AND(ISNUMBER(D13),ISNUMBER(H13)), D13-H13, "")</f>
        <v>-5091</v>
      </c>
      <c r="J13" s="167">
        <f>IFERROR(I13/H13, "")</f>
        <v>-1</v>
      </c>
      <c r="K13" s="174" t="s">
        <v>298</v>
      </c>
      <c r="L13" s="176" t="s">
        <v>299</v>
      </c>
      <c r="M13" s="170"/>
      <c r="N13" s="170"/>
      <c r="O13" s="63"/>
      <c r="P13" s="63"/>
      <c r="Q13" s="63"/>
      <c r="R13" s="63"/>
      <c r="S13" s="63"/>
      <c r="T13" s="63"/>
    </row>
    <row r="14" spans="1:20" ht="30.75">
      <c r="A14">
        <f t="shared" si="0"/>
        <v>11</v>
      </c>
      <c r="B14" s="171" t="str">
        <v>Meridian</v>
      </c>
      <c r="C14" s="164" t="str">
        <v>CO</v>
      </c>
      <c r="D14" s="165">
        <v>0</v>
      </c>
      <c r="E14" s="166" t="s">
        <v>208</v>
      </c>
      <c r="F14" s="166" t="str">
        <f>IF(AND(ISNUMBER(D14),ISNUMBER(E14)), D14-E14, "")</f>
        <v/>
      </c>
      <c r="G14" s="167" t="str">
        <f>IFERROR(F14/E14, "")</f>
        <v/>
      </c>
      <c r="H14" s="168">
        <v>2948</v>
      </c>
      <c r="I14" s="168">
        <f>IF(AND(ISNUMBER(D14),ISNUMBER(H14)), D14-H14, "")</f>
        <v>-2948</v>
      </c>
      <c r="J14" s="167">
        <f>IFERROR(I14/H14, "")</f>
        <v>-1</v>
      </c>
      <c r="K14" s="169" t="s">
        <v>298</v>
      </c>
      <c r="L14" s="176" t="s">
        <v>300</v>
      </c>
      <c r="M14" s="170"/>
      <c r="N14" s="170"/>
      <c r="O14" s="63"/>
      <c r="P14" s="63"/>
      <c r="Q14" s="63"/>
      <c r="R14" s="63"/>
      <c r="S14" s="63"/>
      <c r="T14" s="63"/>
    </row>
    <row r="15" spans="1:20" ht="15.75">
      <c r="A15">
        <f t="shared" si="0"/>
        <v>12</v>
      </c>
      <c r="B15" s="171" t="str">
        <v>Southglenn</v>
      </c>
      <c r="C15" s="164" t="str">
        <v>CO</v>
      </c>
      <c r="D15" s="165">
        <v>3255.2</v>
      </c>
      <c r="E15" s="166" t="s">
        <v>208</v>
      </c>
      <c r="F15" s="166" t="str">
        <f>IF(AND(ISNUMBER(D15),ISNUMBER(E15)), D15-E15, "")</f>
        <v/>
      </c>
      <c r="G15" s="167" t="str">
        <f>IFERROR(F15/E15, "")</f>
        <v/>
      </c>
      <c r="H15" s="168">
        <v>3016</v>
      </c>
      <c r="I15" s="168">
        <f>IF(AND(ISNUMBER(D15),ISNUMBER(H15)), D15-H15, "")</f>
        <v>239.19999999999982</v>
      </c>
      <c r="J15" s="167">
        <f>IFERROR(I15/H15, "")</f>
        <v>7.9310344827586143E-2</v>
      </c>
      <c r="K15" s="174"/>
      <c r="L15" s="174"/>
      <c r="M15" s="170"/>
      <c r="N15" s="170"/>
      <c r="O15" s="63"/>
      <c r="P15" s="63"/>
      <c r="Q15" s="63"/>
      <c r="R15" s="63"/>
      <c r="S15" s="63"/>
      <c r="T15" s="63"/>
    </row>
    <row r="16" spans="1:20" ht="15.75">
      <c r="A16" s="157">
        <f t="shared" si="0"/>
        <v>13</v>
      </c>
      <c r="B16" s="177" t="str">
        <v>Standley Lake</v>
      </c>
      <c r="C16" s="178" t="str">
        <v>CO</v>
      </c>
      <c r="D16" s="179">
        <v>4329.5</v>
      </c>
      <c r="E16" s="180">
        <v>11066.18</v>
      </c>
      <c r="F16" s="180">
        <f>IF(AND(ISNUMBER(D16),ISNUMBER(E16)), D16-E16, "")</f>
        <v>-6736.68</v>
      </c>
      <c r="G16" s="181">
        <f>IFERROR(F16/E16, "")</f>
        <v>-0.60876291547760841</v>
      </c>
      <c r="H16" s="182">
        <v>4022</v>
      </c>
      <c r="I16" s="182">
        <f>IF(AND(ISNUMBER(D16),ISNUMBER(H16)), D16-H16, "")</f>
        <v>307.5</v>
      </c>
      <c r="J16" s="181">
        <f>IFERROR(I16/H16, "")</f>
        <v>7.6454500248632526E-2</v>
      </c>
      <c r="K16" s="183" t="s">
        <v>251</v>
      </c>
      <c r="L16" s="184" t="s">
        <v>252</v>
      </c>
      <c r="M16" s="170"/>
      <c r="N16" s="170"/>
      <c r="O16" s="63"/>
      <c r="P16" s="63"/>
      <c r="Q16" s="63"/>
      <c r="R16" s="63"/>
      <c r="S16" s="63"/>
      <c r="T16" s="63"/>
    </row>
    <row r="17" spans="1:20" ht="60.75">
      <c r="A17">
        <f t="shared" si="0"/>
        <v>14</v>
      </c>
      <c r="B17" s="171" t="str">
        <v>Havana Gardens</v>
      </c>
      <c r="C17" s="164" t="str">
        <v>CO</v>
      </c>
      <c r="D17" s="165">
        <v>3738.99999999999</v>
      </c>
      <c r="E17" s="166" t="s">
        <v>208</v>
      </c>
      <c r="F17" s="166" t="str">
        <f>IF(AND(ISNUMBER(D17),ISNUMBER(E17)), D17-E17, "")</f>
        <v/>
      </c>
      <c r="G17" s="167" t="str">
        <f>IFERROR(F17/E17, "")</f>
        <v/>
      </c>
      <c r="H17" s="168">
        <v>1565</v>
      </c>
      <c r="I17" s="168">
        <f>IF(AND(ISNUMBER(D17),ISNUMBER(H17)), D17-H17, "")</f>
        <v>2173.99999999999</v>
      </c>
      <c r="J17" s="167">
        <f>IFERROR(I17/H17, "")</f>
        <v>1.3891373801916869</v>
      </c>
      <c r="K17" s="174" t="s">
        <v>216</v>
      </c>
      <c r="L17" s="174"/>
      <c r="M17" s="170"/>
      <c r="N17" s="170"/>
      <c r="O17" s="63"/>
      <c r="P17" s="63"/>
      <c r="Q17" s="63"/>
      <c r="R17" s="63"/>
      <c r="S17" s="63"/>
      <c r="T17" s="63"/>
    </row>
    <row r="18" spans="1:20" ht="15.75">
      <c r="A18">
        <f t="shared" si="0"/>
        <v>15</v>
      </c>
      <c r="B18" s="171" t="str">
        <v>East Hartford</v>
      </c>
      <c r="C18" s="164" t="str">
        <v>CT</v>
      </c>
      <c r="D18" s="165">
        <v>878.30000000000302</v>
      </c>
      <c r="E18" s="166">
        <v>952.80989999999997</v>
      </c>
      <c r="F18" s="166">
        <f>IF(AND(ISNUMBER(D18),ISNUMBER(E18)), D18-E18, "")</f>
        <v>-74.509899999996946</v>
      </c>
      <c r="G18" s="167">
        <f>IFERROR(F18/E18, "")</f>
        <v>-7.8200174032613382E-2</v>
      </c>
      <c r="H18" s="168">
        <v>956.79160000000002</v>
      </c>
      <c r="I18" s="168">
        <f>IF(AND(ISNUMBER(D18),ISNUMBER(H18)), D18-H18, "")</f>
        <v>-78.491599999996993</v>
      </c>
      <c r="J18" s="167">
        <f>IFERROR(I18/H18, "")</f>
        <v>-8.2036255335014435E-2</v>
      </c>
      <c r="K18" s="169"/>
      <c r="L18" s="176"/>
      <c r="M18" s="170"/>
      <c r="N18" s="170"/>
      <c r="O18" s="63"/>
      <c r="P18" s="63"/>
      <c r="Q18" s="63"/>
      <c r="R18" s="63"/>
      <c r="S18" s="63"/>
      <c r="T18" s="63"/>
    </row>
    <row r="19" spans="1:20" ht="76.5">
      <c r="A19">
        <f t="shared" si="0"/>
        <v>16</v>
      </c>
      <c r="B19" s="171" t="str">
        <v>Norwalk</v>
      </c>
      <c r="C19" s="164" t="str">
        <v>CT</v>
      </c>
      <c r="D19" s="165">
        <v>984.94915910941199</v>
      </c>
      <c r="E19" s="166">
        <v>0</v>
      </c>
      <c r="F19" s="166">
        <f>IF(AND(ISNUMBER(D19),ISNUMBER(E19)), D19-E19, "")</f>
        <v>984.94915910941199</v>
      </c>
      <c r="G19" s="167" t="str">
        <f>IFERROR(F19/E19, "")</f>
        <v/>
      </c>
      <c r="H19" s="168">
        <v>1224.145</v>
      </c>
      <c r="I19" s="168">
        <f>IF(AND(ISNUMBER(D19),ISNUMBER(H19)), D19-H19, "")</f>
        <v>-239.19584089058799</v>
      </c>
      <c r="J19" s="167">
        <f>IFERROR(I19/H19, "")</f>
        <v>-0.19539829096274378</v>
      </c>
      <c r="K19" s="174" t="s">
        <v>257</v>
      </c>
      <c r="L19" s="176" t="s">
        <v>47</v>
      </c>
      <c r="M19" s="185" t="s">
        <v>48</v>
      </c>
      <c r="N19" s="170"/>
      <c r="O19" s="63"/>
      <c r="P19" s="63"/>
      <c r="Q19" s="63"/>
      <c r="R19" s="63"/>
      <c r="S19" s="63"/>
      <c r="T19" s="63"/>
    </row>
    <row r="20" spans="1:20" ht="45.75">
      <c r="A20" s="157">
        <f t="shared" si="0"/>
        <v>17</v>
      </c>
      <c r="B20" s="177" t="str">
        <v>Hialeah Gardens</v>
      </c>
      <c r="C20" s="178" t="str">
        <v>FL</v>
      </c>
      <c r="D20" s="179">
        <v>753.60254770517304</v>
      </c>
      <c r="E20" s="180">
        <v>4768.6099999999997</v>
      </c>
      <c r="F20" s="180">
        <f>IF(AND(ISNUMBER(D20),ISNUMBER(E20)), D20-E20, "")</f>
        <v>-4015.0074522948266</v>
      </c>
      <c r="G20" s="181">
        <f>IFERROR(F20/E20, "")</f>
        <v>-0.84196599266763839</v>
      </c>
      <c r="H20" s="182">
        <v>5217</v>
      </c>
      <c r="I20" s="182">
        <f>IF(AND(ISNUMBER(D20),ISNUMBER(H20)), D20-H20, "")</f>
        <v>-4463.3974522948265</v>
      </c>
      <c r="J20" s="181">
        <f>IFERROR(I20/H20, "")</f>
        <v>-0.85554867784067978</v>
      </c>
      <c r="K20" s="183" t="s">
        <v>301</v>
      </c>
      <c r="L20" s="184" t="s">
        <v>302</v>
      </c>
      <c r="M20" s="185" t="s">
        <v>303</v>
      </c>
      <c r="N20" s="170"/>
      <c r="O20" s="63"/>
      <c r="P20" s="63"/>
      <c r="Q20" s="63"/>
      <c r="R20" s="63"/>
      <c r="S20" s="63"/>
      <c r="T20" s="63"/>
    </row>
    <row r="21" spans="1:20" ht="15.75">
      <c r="A21">
        <f t="shared" si="0"/>
        <v>18</v>
      </c>
      <c r="B21" s="171" t="str">
        <v>W. Des Moines Campus EAST</v>
      </c>
      <c r="C21" s="164" t="str">
        <v>IA</v>
      </c>
      <c r="D21" s="165">
        <v>201998</v>
      </c>
      <c r="E21" s="166">
        <v>197228</v>
      </c>
      <c r="F21" s="166">
        <f>IF(AND(ISNUMBER(D21),ISNUMBER(E21)), D21-E21, "")</f>
        <v>4770</v>
      </c>
      <c r="G21" s="167">
        <f>IFERROR(F21/E21, "")</f>
        <v>2.4185206968584581E-2</v>
      </c>
      <c r="H21" s="168">
        <v>197900</v>
      </c>
      <c r="I21" s="168">
        <f>IF(AND(ISNUMBER(D21),ISNUMBER(H21)), D21-H21, "")</f>
        <v>4098</v>
      </c>
      <c r="J21" s="167">
        <f>IFERROR(I21/H21, "")</f>
        <v>2.0707427993936333E-2</v>
      </c>
      <c r="K21" s="174"/>
      <c r="L21" s="174"/>
      <c r="M21" s="170"/>
      <c r="N21" s="170"/>
      <c r="O21" s="63"/>
      <c r="P21" s="63"/>
      <c r="Q21" s="63"/>
      <c r="R21" s="63"/>
      <c r="S21" s="63"/>
      <c r="T21" s="63"/>
    </row>
    <row r="22" spans="1:20" ht="45.75">
      <c r="A22" s="157">
        <f t="shared" si="0"/>
        <v>19</v>
      </c>
      <c r="B22" s="177" t="str">
        <v>W. Des Moines Campus SW</v>
      </c>
      <c r="C22" s="178" t="str">
        <v>IA</v>
      </c>
      <c r="D22" s="179">
        <v>73064.5</v>
      </c>
      <c r="E22" s="180">
        <v>98477.19</v>
      </c>
      <c r="F22" s="180">
        <f>IF(AND(ISNUMBER(D22),ISNUMBER(E22)), D22-E22, "")</f>
        <v>-25412.690000000002</v>
      </c>
      <c r="G22" s="181">
        <f>IFERROR(F22/E22, "")</f>
        <v>-0.25805661189154566</v>
      </c>
      <c r="H22" s="182">
        <v>97149.42</v>
      </c>
      <c r="I22" s="182">
        <f>IF(AND(ISNUMBER(D22),ISNUMBER(H22)), D22-H22, "")</f>
        <v>-24084.92</v>
      </c>
      <c r="J22" s="181">
        <f>IFERROR(I22/H22, "")</f>
        <v>-0.24791625106974388</v>
      </c>
      <c r="K22" s="183" t="s">
        <v>304</v>
      </c>
      <c r="L22" s="184" t="s">
        <v>261</v>
      </c>
      <c r="M22" s="185" t="s">
        <v>262</v>
      </c>
      <c r="N22" s="170"/>
      <c r="O22" s="63"/>
      <c r="P22" s="63"/>
      <c r="Q22" s="63"/>
      <c r="R22" s="63"/>
      <c r="S22" s="63"/>
      <c r="T22" s="63"/>
    </row>
    <row r="23" spans="1:20" ht="45.75">
      <c r="A23">
        <f t="shared" si="0"/>
        <v>20</v>
      </c>
      <c r="B23" s="177" t="str">
        <v>WF - CIC</v>
      </c>
      <c r="C23" s="178" t="str">
        <v>NC</v>
      </c>
      <c r="D23" s="179">
        <v>144278</v>
      </c>
      <c r="E23" s="180">
        <v>149904.20000000001</v>
      </c>
      <c r="F23" s="180">
        <f>IF(AND(ISNUMBER(D23),ISNUMBER(E23)), D23-E23, "")</f>
        <v>-5626.2000000000116</v>
      </c>
      <c r="G23" s="181">
        <f>IFERROR(F23/E23, "")</f>
        <v>-3.7531970418440655E-2</v>
      </c>
      <c r="H23" s="182">
        <v>193435</v>
      </c>
      <c r="I23" s="182">
        <f>IF(AND(ISNUMBER(D23),ISNUMBER(H23)), D23-H23, "")</f>
        <v>-49157</v>
      </c>
      <c r="J23" s="181">
        <f>IFERROR(I23/H23, "")</f>
        <v>-0.25412670923049085</v>
      </c>
      <c r="K23" s="186" t="s">
        <v>305</v>
      </c>
      <c r="L23" s="184" t="s">
        <v>306</v>
      </c>
      <c r="M23" s="170"/>
      <c r="N23" s="170"/>
      <c r="O23" s="63"/>
      <c r="P23" s="63"/>
      <c r="Q23" s="63"/>
      <c r="R23" s="63"/>
      <c r="S23" s="63"/>
      <c r="T23" s="63"/>
    </row>
    <row r="24" spans="1:20" ht="15.75">
      <c r="A24">
        <f t="shared" si="0"/>
        <v>21</v>
      </c>
      <c r="B24" s="171" t="str">
        <v>Charlotte - Wells Fargo - DUC</v>
      </c>
      <c r="C24" s="164" t="str">
        <v>NC</v>
      </c>
      <c r="D24" s="165">
        <v>3965.7</v>
      </c>
      <c r="E24" s="166">
        <v>4035.4209999999998</v>
      </c>
      <c r="F24" s="166">
        <f>IF(AND(ISNUMBER(D24),ISNUMBER(E24)), D24-E24, "")</f>
        <v>-69.721000000000004</v>
      </c>
      <c r="G24" s="167">
        <f>IFERROR(F24/E24, "")</f>
        <v>-1.7277255582503041E-2</v>
      </c>
      <c r="H24" s="168">
        <v>3959</v>
      </c>
      <c r="I24" s="168">
        <f>IF(AND(ISNUMBER(D24),ISNUMBER(H24)), D24-H24, "")</f>
        <v>6.6999999999998181</v>
      </c>
      <c r="J24" s="167">
        <f>IFERROR(I24/H24, "")</f>
        <v>1.6923465521595904E-3</v>
      </c>
      <c r="K24" s="169"/>
      <c r="L24" s="169"/>
      <c r="M24" s="170"/>
      <c r="N24" s="170"/>
      <c r="O24" s="63"/>
      <c r="P24" s="63"/>
      <c r="Q24" s="63"/>
      <c r="R24" s="63"/>
      <c r="S24" s="63"/>
      <c r="T24" s="63"/>
    </row>
    <row r="25" spans="1:20" ht="15.75">
      <c r="A25">
        <f t="shared" si="0"/>
        <v>22</v>
      </c>
      <c r="B25" s="171" t="str">
        <v>East Windsor</v>
      </c>
      <c r="C25" s="164" t="str">
        <v>NJ</v>
      </c>
      <c r="D25" s="165">
        <v>1145.7</v>
      </c>
      <c r="E25" s="166">
        <v>1029.9000000000001</v>
      </c>
      <c r="F25" s="166">
        <f>IF(AND(ISNUMBER(D25),ISNUMBER(E25)), D25-E25, "")</f>
        <v>115.79999999999995</v>
      </c>
      <c r="G25" s="167">
        <f>IFERROR(F25/E25, "")</f>
        <v>0.11243810078648407</v>
      </c>
      <c r="H25" s="168">
        <v>1251.241</v>
      </c>
      <c r="I25" s="168">
        <f>IF(AND(ISNUMBER(D25),ISNUMBER(H25)), D25-H25, "")</f>
        <v>-105.54099999999994</v>
      </c>
      <c r="J25" s="167">
        <f>IFERROR(I25/H25, "")</f>
        <v>-8.4349058254964429E-2</v>
      </c>
      <c r="K25" s="187"/>
      <c r="L25" s="187"/>
      <c r="M25" s="170"/>
      <c r="N25" s="170"/>
      <c r="O25" s="63"/>
      <c r="P25" s="63"/>
      <c r="Q25" s="63"/>
      <c r="R25" s="63"/>
      <c r="S25" s="63"/>
      <c r="T25" s="63"/>
    </row>
    <row r="26" spans="1:20" ht="60.75">
      <c r="A26">
        <f t="shared" si="0"/>
        <v>23</v>
      </c>
      <c r="B26" s="171" t="str">
        <v>Burlington</v>
      </c>
      <c r="C26" s="164" t="str">
        <v>NJ</v>
      </c>
      <c r="D26" s="165">
        <v>2802.2000000000098</v>
      </c>
      <c r="E26" s="166">
        <v>2608.96</v>
      </c>
      <c r="F26" s="166">
        <f>IF(AND(ISNUMBER(D26),ISNUMBER(E26)), D26-E26, "")</f>
        <v>193.24000000000979</v>
      </c>
      <c r="G26" s="167">
        <f>IFERROR(F26/E26, "")</f>
        <v>7.4067827793454014E-2</v>
      </c>
      <c r="H26" s="168">
        <v>3194.8910000000001</v>
      </c>
      <c r="I26" s="168">
        <f>IF(AND(ISNUMBER(D26),ISNUMBER(H26)), D26-H26, "")</f>
        <v>-392.69099999999025</v>
      </c>
      <c r="J26" s="167">
        <f>IFERROR(I26/H26, "")</f>
        <v>-0.12291217446854689</v>
      </c>
      <c r="K26" s="169" t="s">
        <v>221</v>
      </c>
      <c r="L26" s="169"/>
      <c r="M26" s="170"/>
      <c r="N26" s="170"/>
      <c r="O26" s="63"/>
      <c r="P26" s="63"/>
      <c r="Q26" s="63"/>
      <c r="R26" s="63"/>
      <c r="S26" s="63"/>
      <c r="T26" s="63"/>
    </row>
    <row r="27" spans="1:20" ht="15.75">
      <c r="A27">
        <f t="shared" si="0"/>
        <v>24</v>
      </c>
      <c r="B27" s="171" t="str">
        <v>Bayonne</v>
      </c>
      <c r="C27" s="164" t="str">
        <v>NJ</v>
      </c>
      <c r="D27" s="165">
        <v>3829.2</v>
      </c>
      <c r="E27" s="166">
        <v>3523.355</v>
      </c>
      <c r="F27" s="166">
        <f>IF(AND(ISNUMBER(D27),ISNUMBER(E27)), D27-E27, "")</f>
        <v>305.8449999999998</v>
      </c>
      <c r="G27" s="167">
        <f>IFERROR(F27/E27, "")</f>
        <v>8.6805048029505907E-2</v>
      </c>
      <c r="H27" s="168">
        <v>3653.931</v>
      </c>
      <c r="I27" s="168">
        <f>IF(AND(ISNUMBER(D27),ISNUMBER(H27)), D27-H27, "")</f>
        <v>175.26899999999978</v>
      </c>
      <c r="J27" s="167">
        <f>IFERROR(I27/H27, "")</f>
        <v>4.7967244044838223E-2</v>
      </c>
      <c r="K27" s="174"/>
      <c r="L27" s="174"/>
      <c r="M27" s="170"/>
      <c r="N27" s="170"/>
      <c r="O27" s="63"/>
      <c r="P27" s="63"/>
      <c r="Q27" s="63"/>
      <c r="R27" s="63"/>
      <c r="S27" s="63"/>
      <c r="T27" s="63"/>
    </row>
    <row r="28" spans="1:20" ht="15.75">
      <c r="A28">
        <f t="shared" si="0"/>
        <v>25</v>
      </c>
      <c r="B28" s="171" t="str">
        <v>Clifton</v>
      </c>
      <c r="C28" s="164" t="str">
        <v>NJ</v>
      </c>
      <c r="D28" s="165">
        <v>4744.875</v>
      </c>
      <c r="E28" s="166">
        <v>4824.9790000000003</v>
      </c>
      <c r="F28" s="166">
        <f>IF(AND(ISNUMBER(D28),ISNUMBER(E28)), D28-E28, "")</f>
        <v>-80.104000000000269</v>
      </c>
      <c r="G28" s="167">
        <f>IFERROR(F28/E28, "")</f>
        <v>-1.6601937542111637E-2</v>
      </c>
      <c r="H28" s="168">
        <v>4538.6109999999999</v>
      </c>
      <c r="I28" s="168">
        <f>IF(AND(ISNUMBER(D28),ISNUMBER(H28)), D28-H28, "")</f>
        <v>206.26400000000012</v>
      </c>
      <c r="J28" s="167">
        <f>IFERROR(I28/H28, "")</f>
        <v>4.5446503346508467E-2</v>
      </c>
      <c r="K28" s="169"/>
      <c r="L28" s="169"/>
      <c r="M28" s="170"/>
      <c r="N28" s="170"/>
      <c r="O28" s="63"/>
      <c r="P28" s="63"/>
      <c r="Q28" s="63"/>
      <c r="R28" s="63"/>
      <c r="S28" s="63"/>
      <c r="T28" s="63"/>
    </row>
    <row r="29" spans="1:20" ht="15.75">
      <c r="A29">
        <f t="shared" si="0"/>
        <v>26</v>
      </c>
      <c r="B29" s="171" t="str">
        <v>North Elizabeth</v>
      </c>
      <c r="C29" s="164" t="str">
        <v>NJ</v>
      </c>
      <c r="D29" s="165">
        <v>4011.5999999999599</v>
      </c>
      <c r="E29" s="166">
        <v>3425.5149999999999</v>
      </c>
      <c r="F29" s="166">
        <f>IF(AND(ISNUMBER(D29),ISNUMBER(E29)), D29-E29, "")</f>
        <v>586.08499999996002</v>
      </c>
      <c r="G29" s="167">
        <f>IFERROR(F29/E29, "")</f>
        <v>0.17109398148890315</v>
      </c>
      <c r="H29" s="168">
        <v>4162.134</v>
      </c>
      <c r="I29" s="168">
        <f>IF(AND(ISNUMBER(D29),ISNUMBER(H29)), D29-H29, "")</f>
        <v>-150.53400000004012</v>
      </c>
      <c r="J29" s="167">
        <f>IFERROR(I29/H29, "")</f>
        <v>-3.6167504458059288E-2</v>
      </c>
      <c r="K29" s="174" t="s">
        <v>307</v>
      </c>
      <c r="L29" s="174"/>
      <c r="M29" s="170"/>
      <c r="N29" s="170"/>
      <c r="O29" s="63"/>
      <c r="P29" s="63"/>
      <c r="Q29" s="63"/>
      <c r="R29" s="63"/>
      <c r="S29" s="63"/>
      <c r="T29" s="63"/>
    </row>
    <row r="30" spans="1:20" ht="15.75">
      <c r="A30">
        <f t="shared" si="0"/>
        <v>27</v>
      </c>
      <c r="B30" s="171" t="str">
        <v>Haddon Westmont Plaza</v>
      </c>
      <c r="C30" s="164" t="str">
        <v>NJ</v>
      </c>
      <c r="D30" s="165">
        <v>2740.3999999999801</v>
      </c>
      <c r="E30" s="166">
        <v>2636.8110000000001</v>
      </c>
      <c r="F30" s="166">
        <f>IF(AND(ISNUMBER(D30),ISNUMBER(E30)), D30-E30, "")</f>
        <v>103.58899999997993</v>
      </c>
      <c r="G30" s="167">
        <f>IFERROR(F30/E30, "")</f>
        <v>3.9285712931256704E-2</v>
      </c>
      <c r="H30" s="168">
        <v>2998.866</v>
      </c>
      <c r="I30" s="168">
        <f>IF(AND(ISNUMBER(D30),ISNUMBER(H30)), D30-H30, "")</f>
        <v>-258.4660000000199</v>
      </c>
      <c r="J30" s="167">
        <f>IFERROR(I30/H30, "")</f>
        <v>-8.6187912364213637E-2</v>
      </c>
      <c r="K30" s="169"/>
      <c r="L30" s="169"/>
      <c r="M30" s="170"/>
      <c r="N30" s="170"/>
      <c r="O30" s="63"/>
      <c r="P30" s="63"/>
      <c r="Q30" s="63"/>
      <c r="R30" s="63"/>
      <c r="S30" s="63"/>
      <c r="T30" s="63"/>
    </row>
    <row r="31" spans="1:20" ht="15.75">
      <c r="A31">
        <f t="shared" si="0"/>
        <v>28</v>
      </c>
      <c r="B31" s="171" t="str">
        <v>Parsippany</v>
      </c>
      <c r="C31" s="164" t="str">
        <v>NJ</v>
      </c>
      <c r="D31" s="165">
        <v>3499.2000000000098</v>
      </c>
      <c r="E31" s="166">
        <v>3268.248</v>
      </c>
      <c r="F31" s="166">
        <f>IF(AND(ISNUMBER(D31),ISNUMBER(E31)), D31-E31, "")</f>
        <v>230.95200000000978</v>
      </c>
      <c r="G31" s="167">
        <f>IFERROR(F31/E31, "")</f>
        <v>7.066538402226813E-2</v>
      </c>
      <c r="H31" s="168">
        <v>3475.3420000000001</v>
      </c>
      <c r="I31" s="168">
        <f>IF(AND(ISNUMBER(D31),ISNUMBER(H31)), D31-H31, "")</f>
        <v>23.858000000009724</v>
      </c>
      <c r="J31" s="167">
        <f>IFERROR(I31/H31, "")</f>
        <v>6.8649358825720527E-3</v>
      </c>
      <c r="K31" s="174"/>
      <c r="L31" s="174"/>
      <c r="M31" s="170"/>
      <c r="N31" s="170"/>
      <c r="O31" s="63"/>
      <c r="P31" s="63"/>
      <c r="Q31" s="63"/>
      <c r="R31" s="63"/>
      <c r="S31" s="63"/>
      <c r="T31" s="63"/>
    </row>
    <row r="32" spans="1:20" ht="15.75">
      <c r="A32">
        <f t="shared" si="0"/>
        <v>29</v>
      </c>
      <c r="B32" s="171" t="str">
        <v>Clark</v>
      </c>
      <c r="C32" s="164" t="str">
        <v>NJ</v>
      </c>
      <c r="D32" s="165">
        <v>2889.00000000001</v>
      </c>
      <c r="E32" s="166">
        <v>2721.6849999999999</v>
      </c>
      <c r="F32" s="166">
        <f>IF(AND(ISNUMBER(D32),ISNUMBER(E32)), D32-E32, "")</f>
        <v>167.31500000001006</v>
      </c>
      <c r="G32" s="167">
        <f>IFERROR(F32/E32, "")</f>
        <v>6.1474784921844397E-2</v>
      </c>
      <c r="H32" s="168">
        <v>2898.7910000000002</v>
      </c>
      <c r="I32" s="168">
        <f>IF(AND(ISNUMBER(D32),ISNUMBER(H32)), D32-H32, "")</f>
        <v>-9.7909999999901629</v>
      </c>
      <c r="J32" s="167">
        <f>IFERROR(I32/H32, "")</f>
        <v>-3.3776150126001367E-3</v>
      </c>
      <c r="K32" s="169"/>
      <c r="L32" s="169"/>
      <c r="M32" s="170"/>
      <c r="N32" s="170"/>
      <c r="O32" s="63"/>
      <c r="P32" s="63"/>
      <c r="Q32" s="63"/>
      <c r="R32" s="63"/>
      <c r="S32" s="63"/>
      <c r="T32" s="63"/>
    </row>
    <row r="33" spans="1:20" ht="60.75">
      <c r="A33">
        <f t="shared" si="0"/>
        <v>30</v>
      </c>
      <c r="B33" s="171" t="str">
        <v>Closter</v>
      </c>
      <c r="C33" s="164" t="str">
        <v>NJ</v>
      </c>
      <c r="D33" s="165">
        <v>1293.79999999999</v>
      </c>
      <c r="E33" s="166">
        <v>1158.9549999999999</v>
      </c>
      <c r="F33" s="166">
        <f>IF(AND(ISNUMBER(D33),ISNUMBER(E33)), D33-E33, "")</f>
        <v>134.84499999999002</v>
      </c>
      <c r="G33" s="167">
        <f>IFERROR(F33/E33, "")</f>
        <v>0.11635050541219463</v>
      </c>
      <c r="H33" s="168">
        <v>1818.2850000000001</v>
      </c>
      <c r="I33" s="168">
        <f>IF(AND(ISNUMBER(D33),ISNUMBER(H33)), D33-H33, "")</f>
        <v>-524.48500000001013</v>
      </c>
      <c r="J33" s="167">
        <f>IFERROR(I33/H33, "")</f>
        <v>-0.28845038044091553</v>
      </c>
      <c r="K33" s="174" t="s">
        <v>221</v>
      </c>
      <c r="L33" s="174"/>
      <c r="M33" s="170"/>
      <c r="N33" s="170"/>
      <c r="O33" s="63"/>
      <c r="P33" s="63"/>
      <c r="Q33" s="63"/>
      <c r="R33" s="63"/>
      <c r="S33" s="63"/>
      <c r="T33" s="63"/>
    </row>
    <row r="34" spans="1:20" ht="30.75">
      <c r="A34">
        <f t="shared" si="0"/>
        <v>31</v>
      </c>
      <c r="B34" s="171" t="str">
        <v>Holmdel</v>
      </c>
      <c r="C34" s="164" t="str">
        <v>NJ</v>
      </c>
      <c r="D34" s="165">
        <v>2427.2999999999902</v>
      </c>
      <c r="E34" s="166">
        <v>4053.402</v>
      </c>
      <c r="F34" s="166">
        <f>IF(AND(ISNUMBER(D34),ISNUMBER(E34)), D34-E34, "")</f>
        <v>-1626.1020000000099</v>
      </c>
      <c r="G34" s="167">
        <f>IFERROR(F34/E34, "")</f>
        <v>-0.40116968413199822</v>
      </c>
      <c r="H34" s="168">
        <v>2523.721</v>
      </c>
      <c r="I34" s="168">
        <f>IF(AND(ISNUMBER(D34),ISNUMBER(H34)), D34-H34, "")</f>
        <v>-96.421000000009826</v>
      </c>
      <c r="J34" s="167">
        <f>IFERROR(I34/H34, "")</f>
        <v>-3.820588725933248E-2</v>
      </c>
      <c r="K34" s="169" t="s">
        <v>224</v>
      </c>
      <c r="L34" s="176" t="s">
        <v>182</v>
      </c>
      <c r="M34" s="170"/>
      <c r="N34" s="170"/>
      <c r="O34" s="63"/>
      <c r="P34" s="63"/>
      <c r="Q34" s="63"/>
      <c r="R34" s="63"/>
      <c r="S34" s="63"/>
      <c r="T34" s="63"/>
    </row>
    <row r="35" spans="1:20" ht="15.75">
      <c r="A35">
        <f t="shared" si="0"/>
        <v>32</v>
      </c>
      <c r="B35" s="171" t="str">
        <v>Ellisburg Circle Center</v>
      </c>
      <c r="C35" s="164" t="str">
        <v>NJ</v>
      </c>
      <c r="D35" s="165">
        <v>1251.4000000000001</v>
      </c>
      <c r="E35" s="166">
        <v>1176.2719999999999</v>
      </c>
      <c r="F35" s="166">
        <f>IF(AND(ISNUMBER(D35),ISNUMBER(E35)), D35-E35, "")</f>
        <v>75.128000000000156</v>
      </c>
      <c r="G35" s="167">
        <f>IFERROR(F35/E35, "")</f>
        <v>6.3869581185304211E-2</v>
      </c>
      <c r="H35" s="168">
        <v>1368.0740000000001</v>
      </c>
      <c r="I35" s="168">
        <f>IF(AND(ISNUMBER(D35),ISNUMBER(H35)), D35-H35, "")</f>
        <v>-116.67399999999998</v>
      </c>
      <c r="J35" s="167">
        <f>IFERROR(I35/H35, "")</f>
        <v>-8.5283398412658945E-2</v>
      </c>
      <c r="K35" s="174"/>
      <c r="L35" s="174"/>
      <c r="M35" s="170"/>
      <c r="N35" s="170"/>
      <c r="O35" s="63"/>
      <c r="P35" s="63"/>
      <c r="Q35" s="63"/>
      <c r="R35" s="63"/>
      <c r="S35" s="63"/>
      <c r="T35" s="63"/>
    </row>
    <row r="36" spans="1:20" ht="15.75">
      <c r="A36">
        <f t="shared" si="0"/>
        <v>33</v>
      </c>
      <c r="B36" s="171" t="str">
        <v>Nutley</v>
      </c>
      <c r="C36" s="164" t="str">
        <v>NJ</v>
      </c>
      <c r="D36" s="165">
        <v>5101.1568236175099</v>
      </c>
      <c r="E36" s="166">
        <v>3901.88</v>
      </c>
      <c r="F36" s="166">
        <f>IF(AND(ISNUMBER(D36),ISNUMBER(E36)), D36-E36, "")</f>
        <v>1199.2768236175098</v>
      </c>
      <c r="G36" s="167">
        <f>IFERROR(F36/E36, "")</f>
        <v>0.30735871518793756</v>
      </c>
      <c r="H36" s="168">
        <v>5068.018</v>
      </c>
      <c r="I36" s="168">
        <f>IF(AND(ISNUMBER(D36),ISNUMBER(H36)), D36-H36, "")</f>
        <v>33.138823617509843</v>
      </c>
      <c r="J36" s="167">
        <f>IFERROR(I36/H36, "")</f>
        <v>6.5388133225868263E-3</v>
      </c>
      <c r="K36" s="169"/>
      <c r="L36" s="169"/>
      <c r="M36" s="170"/>
      <c r="N36" s="170"/>
      <c r="O36" s="63"/>
      <c r="P36" s="63"/>
      <c r="Q36" s="63"/>
      <c r="R36" s="63"/>
      <c r="S36" s="63"/>
      <c r="T36" s="63"/>
    </row>
    <row r="37" spans="1:20" ht="15.75">
      <c r="A37">
        <f t="shared" si="0"/>
        <v>34</v>
      </c>
      <c r="B37" s="171" t="str">
        <v>Marlton</v>
      </c>
      <c r="C37" s="164" t="str">
        <v>NJ</v>
      </c>
      <c r="D37" s="165">
        <v>4394.3000000000202</v>
      </c>
      <c r="E37" s="166">
        <v>3869.2579999999998</v>
      </c>
      <c r="F37" s="166">
        <f>IF(AND(ISNUMBER(D37),ISNUMBER(E37)), D37-E37, "")</f>
        <v>525.04200000002038</v>
      </c>
      <c r="G37" s="167">
        <f>IFERROR(F37/E37, "")</f>
        <v>0.13569578456645187</v>
      </c>
      <c r="H37" s="168">
        <v>4750.2879999999996</v>
      </c>
      <c r="I37" s="168">
        <f>IF(AND(ISNUMBER(D37),ISNUMBER(H37)), D37-H37, "")</f>
        <v>-355.98799999997937</v>
      </c>
      <c r="J37" s="167">
        <f>IFERROR(I37/H37, "")</f>
        <v>-7.4940298356642676E-2</v>
      </c>
      <c r="K37" s="174"/>
      <c r="L37" s="174"/>
      <c r="M37" s="170"/>
      <c r="N37" s="170"/>
      <c r="O37" s="63"/>
      <c r="P37" s="63"/>
      <c r="Q37" s="63"/>
      <c r="R37" s="63"/>
      <c r="S37" s="63"/>
      <c r="T37" s="63"/>
    </row>
    <row r="38" spans="1:20" ht="30.75">
      <c r="A38">
        <f t="shared" si="0"/>
        <v>35</v>
      </c>
      <c r="B38" s="171" t="str">
        <v>Middletown</v>
      </c>
      <c r="C38" s="164" t="str">
        <v>NJ</v>
      </c>
      <c r="D38" s="165">
        <v>3558.6000000000099</v>
      </c>
      <c r="E38" s="166">
        <v>2248.232</v>
      </c>
      <c r="F38" s="166">
        <f>IF(AND(ISNUMBER(D38),ISNUMBER(E38)), D38-E38, "")</f>
        <v>1310.3680000000099</v>
      </c>
      <c r="G38" s="167">
        <f>IFERROR(F38/E38, "")</f>
        <v>0.58284376345502154</v>
      </c>
      <c r="H38" s="168">
        <v>3948.5839999999998</v>
      </c>
      <c r="I38" s="168">
        <f>IF(AND(ISNUMBER(D38),ISNUMBER(H38)), D38-H38, "")</f>
        <v>-389.98399999998992</v>
      </c>
      <c r="J38" s="167">
        <f>IFERROR(I38/H38, "")</f>
        <v>-9.8765532150256879E-2</v>
      </c>
      <c r="K38" s="169" t="s">
        <v>183</v>
      </c>
      <c r="L38" s="176" t="s">
        <v>184</v>
      </c>
      <c r="M38" s="170"/>
      <c r="N38" s="170"/>
      <c r="O38" s="63"/>
      <c r="P38" s="63"/>
      <c r="Q38" s="63"/>
      <c r="R38" s="63"/>
      <c r="S38" s="63"/>
      <c r="T38" s="63"/>
    </row>
    <row r="39" spans="1:20" ht="30.75">
      <c r="A39">
        <f t="shared" si="0"/>
        <v>36</v>
      </c>
      <c r="B39" s="171" t="str">
        <v>Whiting Crestwood</v>
      </c>
      <c r="C39" s="164" t="str">
        <v>NJ</v>
      </c>
      <c r="D39" s="165">
        <v>4489.6000000000104</v>
      </c>
      <c r="E39" s="166">
        <v>4379.4560000000001</v>
      </c>
      <c r="F39" s="166">
        <f>IF(AND(ISNUMBER(D39),ISNUMBER(E39)), D39-E39, "")</f>
        <v>110.14400000001024</v>
      </c>
      <c r="G39" s="167">
        <f>IFERROR(F39/E39, "")</f>
        <v>2.5150155635770798E-2</v>
      </c>
      <c r="H39" s="168">
        <v>5490.68</v>
      </c>
      <c r="I39" s="168">
        <f>IF(AND(ISNUMBER(D39),ISNUMBER(H39)), D39-H39, "")</f>
        <v>-1001.0799999999899</v>
      </c>
      <c r="J39" s="167">
        <f>IFERROR(I39/H39, "")</f>
        <v>-0.18232350091427471</v>
      </c>
      <c r="K39" s="174" t="s">
        <v>94</v>
      </c>
      <c r="L39" s="174"/>
      <c r="M39" s="170"/>
      <c r="N39" s="170"/>
      <c r="O39" s="63"/>
      <c r="P39" s="63"/>
      <c r="Q39" s="63"/>
      <c r="R39" s="63"/>
      <c r="S39" s="63"/>
      <c r="T39" s="63"/>
    </row>
    <row r="40" spans="1:20" ht="15.75">
      <c r="A40">
        <f t="shared" si="0"/>
        <v>37</v>
      </c>
      <c r="B40" s="171" t="str">
        <v>Barnegat</v>
      </c>
      <c r="C40" s="164" t="str">
        <v>NJ</v>
      </c>
      <c r="D40" s="165">
        <v>6198.046875</v>
      </c>
      <c r="E40" s="166">
        <v>5506.0460000000003</v>
      </c>
      <c r="F40" s="166">
        <f>IF(AND(ISNUMBER(D40),ISNUMBER(E40)), D40-E40, "")</f>
        <v>692.00087499999972</v>
      </c>
      <c r="G40" s="167">
        <f>IFERROR(F40/E40, "")</f>
        <v>0.12568018411033974</v>
      </c>
      <c r="H40" s="168">
        <v>6840.3530000000001</v>
      </c>
      <c r="I40" s="168">
        <f>IF(AND(ISNUMBER(D40),ISNUMBER(H40)), D40-H40, "")</f>
        <v>-642.30612500000007</v>
      </c>
      <c r="J40" s="167">
        <f>IFERROR(I40/H40, "")</f>
        <v>-9.3899558253791884E-2</v>
      </c>
      <c r="K40" s="169"/>
      <c r="L40" s="169"/>
      <c r="M40" s="170"/>
      <c r="N40" s="170"/>
      <c r="O40" s="63"/>
      <c r="P40" s="63"/>
      <c r="Q40" s="63"/>
      <c r="R40" s="63"/>
      <c r="S40" s="63"/>
      <c r="T40" s="63"/>
    </row>
    <row r="41" spans="1:20" ht="60.75">
      <c r="A41">
        <f t="shared" si="0"/>
        <v>38</v>
      </c>
      <c r="B41" s="171" t="str">
        <v>Manchester</v>
      </c>
      <c r="C41" s="164" t="str">
        <v>NJ</v>
      </c>
      <c r="D41" s="165">
        <v>2624.2</v>
      </c>
      <c r="E41" s="166">
        <v>2886.0709999999999</v>
      </c>
      <c r="F41" s="166">
        <f>IF(AND(ISNUMBER(D41),ISNUMBER(E41)), D41-E41, "")</f>
        <v>-261.87100000000009</v>
      </c>
      <c r="G41" s="167">
        <f>IFERROR(F41/E41, "")</f>
        <v>-9.0736159990520024E-2</v>
      </c>
      <c r="H41" s="168">
        <v>4703.4570000000003</v>
      </c>
      <c r="I41" s="168">
        <f>IF(AND(ISNUMBER(D41),ISNUMBER(H41)), D41-H41, "")</f>
        <v>-2079.2570000000005</v>
      </c>
      <c r="J41" s="167">
        <f>IFERROR(I41/H41, "")</f>
        <v>-0.44206994982626618</v>
      </c>
      <c r="K41" s="174" t="s">
        <v>221</v>
      </c>
      <c r="L41" s="174"/>
      <c r="M41" s="170"/>
      <c r="N41" s="170"/>
      <c r="O41" s="63"/>
      <c r="P41" s="63"/>
      <c r="Q41" s="63"/>
      <c r="R41" s="63"/>
      <c r="S41" s="63"/>
      <c r="T41" s="63"/>
    </row>
    <row r="42" spans="1:20" ht="15.75">
      <c r="A42">
        <f t="shared" si="0"/>
        <v>39</v>
      </c>
      <c r="B42" s="171" t="str">
        <v>West Deptford - Woodbury</v>
      </c>
      <c r="C42" s="164" t="str">
        <v>NJ</v>
      </c>
      <c r="D42" s="165">
        <v>3861.8999999999901</v>
      </c>
      <c r="E42" s="166">
        <v>3937.2420000000002</v>
      </c>
      <c r="F42" s="166">
        <f>IF(AND(ISNUMBER(D42),ISNUMBER(E42)), D42-E42, "")</f>
        <v>-75.342000000010103</v>
      </c>
      <c r="G42" s="167">
        <f>IFERROR(F42/E42, "")</f>
        <v>-1.9135730036408762E-2</v>
      </c>
      <c r="H42" s="168">
        <v>4100.5569999999998</v>
      </c>
      <c r="I42" s="168">
        <f>IF(AND(ISNUMBER(D42),ISNUMBER(H42)), D42-H42, "")</f>
        <v>-238.6570000000097</v>
      </c>
      <c r="J42" s="167">
        <f>IFERROR(I42/H42, "")</f>
        <v>-5.8201117555495438E-2</v>
      </c>
      <c r="K42" s="169"/>
      <c r="L42" s="169"/>
      <c r="M42" s="170"/>
      <c r="N42" s="170"/>
      <c r="O42" s="63"/>
      <c r="P42" s="63"/>
      <c r="Q42" s="63"/>
      <c r="R42" s="63"/>
      <c r="S42" s="63"/>
      <c r="T42" s="63"/>
    </row>
    <row r="43" spans="1:20" ht="15.75">
      <c r="A43">
        <f t="shared" si="0"/>
        <v>40</v>
      </c>
      <c r="B43" s="171" t="str">
        <v>Edison</v>
      </c>
      <c r="C43" s="164" t="str">
        <v>NJ</v>
      </c>
      <c r="D43" s="165">
        <v>3610.1000000000099</v>
      </c>
      <c r="E43" s="166">
        <v>3454.058</v>
      </c>
      <c r="F43" s="166">
        <f>IF(AND(ISNUMBER(D43),ISNUMBER(E43)), D43-E43, "")</f>
        <v>156.04200000000992</v>
      </c>
      <c r="G43" s="167">
        <f>IFERROR(F43/E43, "")</f>
        <v>4.5176427263239331E-2</v>
      </c>
      <c r="H43" s="168">
        <v>3818.3319999999999</v>
      </c>
      <c r="I43" s="168">
        <f>IF(AND(ISNUMBER(D43),ISNUMBER(H43)), D43-H43, "")</f>
        <v>-208.23199999998997</v>
      </c>
      <c r="J43" s="167">
        <f>IFERROR(I43/H43, "")</f>
        <v>-5.4534807345194176E-2</v>
      </c>
      <c r="K43" s="174"/>
      <c r="L43" s="174"/>
      <c r="M43" s="170"/>
      <c r="N43" s="170"/>
      <c r="O43" s="63"/>
      <c r="P43" s="63"/>
      <c r="Q43" s="63"/>
      <c r="R43" s="63"/>
      <c r="S43" s="63"/>
      <c r="T43" s="63"/>
    </row>
    <row r="44" spans="1:20" ht="60.75">
      <c r="A44">
        <f t="shared" si="0"/>
        <v>41</v>
      </c>
      <c r="B44" s="171" t="str">
        <v>Flemington</v>
      </c>
      <c r="C44" s="164" t="str">
        <v>NJ</v>
      </c>
      <c r="D44" s="165">
        <v>3430.49999999999</v>
      </c>
      <c r="E44" s="166">
        <v>3216.1109999999999</v>
      </c>
      <c r="F44" s="166">
        <f>IF(AND(ISNUMBER(D44),ISNUMBER(E44)), D44-E44, "")</f>
        <v>214.38899999999012</v>
      </c>
      <c r="G44" s="167">
        <f>IFERROR(F44/E44, "")</f>
        <v>6.6660945471095412E-2</v>
      </c>
      <c r="H44" s="168">
        <v>3911.4850000000001</v>
      </c>
      <c r="I44" s="168">
        <f>IF(AND(ISNUMBER(D44),ISNUMBER(H44)), D44-H44, "")</f>
        <v>-480.98500000001013</v>
      </c>
      <c r="J44" s="167">
        <f>IFERROR(I44/H44, "")</f>
        <v>-0.12296736405738744</v>
      </c>
      <c r="K44" s="169" t="s">
        <v>221</v>
      </c>
      <c r="L44" s="169"/>
      <c r="M44" s="170"/>
      <c r="N44" s="170"/>
      <c r="O44" s="63"/>
      <c r="P44" s="63"/>
      <c r="Q44" s="63"/>
      <c r="R44" s="63"/>
      <c r="S44" s="63"/>
      <c r="T44" s="63"/>
    </row>
    <row r="45" spans="1:20" ht="15.75">
      <c r="A45">
        <f t="shared" si="0"/>
        <v>42</v>
      </c>
      <c r="B45" s="171" t="str">
        <v>Route 22</v>
      </c>
      <c r="C45" s="164" t="str">
        <v>NJ</v>
      </c>
      <c r="D45" s="165">
        <v>3468.8999999999901</v>
      </c>
      <c r="E45" s="166">
        <v>3507.136</v>
      </c>
      <c r="F45" s="166">
        <f>IF(AND(ISNUMBER(D45),ISNUMBER(E45)), D45-E45, "")</f>
        <v>-38.236000000009881</v>
      </c>
      <c r="G45" s="167">
        <f>IFERROR(F45/E45, "")</f>
        <v>-1.0902343108453701E-2</v>
      </c>
      <c r="H45" s="168">
        <v>3643.7339999999999</v>
      </c>
      <c r="I45" s="168">
        <f>IF(AND(ISNUMBER(D45),ISNUMBER(H45)), D45-H45, "")</f>
        <v>-174.83400000000984</v>
      </c>
      <c r="J45" s="167">
        <f>IFERROR(I45/H45, "")</f>
        <v>-4.798209748571379E-2</v>
      </c>
      <c r="K45" s="174"/>
      <c r="L45" s="174"/>
      <c r="M45" s="170"/>
      <c r="N45" s="170"/>
      <c r="O45" s="63"/>
      <c r="P45" s="63"/>
      <c r="Q45" s="63"/>
      <c r="R45" s="63"/>
      <c r="S45" s="63"/>
      <c r="T45" s="63"/>
    </row>
    <row r="46" spans="1:20" ht="15.75">
      <c r="A46">
        <f t="shared" si="0"/>
        <v>43</v>
      </c>
      <c r="B46" s="171" t="str">
        <v>Laurelton</v>
      </c>
      <c r="C46" s="164" t="str">
        <v>NJ</v>
      </c>
      <c r="D46" s="165">
        <v>2015.3999999999901</v>
      </c>
      <c r="E46" s="166">
        <v>3005.0790000000002</v>
      </c>
      <c r="F46" s="166">
        <f>IF(AND(ISNUMBER(D46),ISNUMBER(E46)), D46-E46, "")</f>
        <v>-989.67900000001009</v>
      </c>
      <c r="G46" s="167">
        <f>IFERROR(F46/E46, "")</f>
        <v>-0.32933543510836488</v>
      </c>
      <c r="H46" s="168">
        <v>3308.7220000000002</v>
      </c>
      <c r="I46" s="168">
        <f>IF(AND(ISNUMBER(D46),ISNUMBER(H46)), D46-H46, "")</f>
        <v>-1293.3220000000101</v>
      </c>
      <c r="J46" s="167">
        <f>IFERROR(I46/H46, "")</f>
        <v>-0.39088264290563246</v>
      </c>
      <c r="K46" s="169" t="s">
        <v>279</v>
      </c>
      <c r="L46" s="176" t="s">
        <v>280</v>
      </c>
      <c r="M46" s="170"/>
      <c r="N46" s="170"/>
      <c r="O46" s="63"/>
      <c r="P46" s="63"/>
      <c r="Q46" s="63"/>
      <c r="R46" s="63"/>
      <c r="S46" s="63"/>
      <c r="T46" s="63"/>
    </row>
    <row r="47" spans="1:20" ht="30.75">
      <c r="A47">
        <f t="shared" si="0"/>
        <v>44</v>
      </c>
      <c r="B47" s="171" t="str">
        <v>Mahwah</v>
      </c>
      <c r="C47" s="164" t="str">
        <v>NJ</v>
      </c>
      <c r="D47" s="165">
        <v>2761.3</v>
      </c>
      <c r="E47" s="166">
        <v>733.63520000000005</v>
      </c>
      <c r="F47" s="166">
        <f>IF(AND(ISNUMBER(D47),ISNUMBER(E47)), D47-E47, "")</f>
        <v>2027.6648</v>
      </c>
      <c r="G47" s="167">
        <f>IFERROR(F47/E47, "")</f>
        <v>2.7638597493686232</v>
      </c>
      <c r="H47" s="168">
        <v>3131.3820000000001</v>
      </c>
      <c r="I47" s="168">
        <f>IF(AND(ISNUMBER(D47),ISNUMBER(H47)), D47-H47, "")</f>
        <v>-370.08199999999988</v>
      </c>
      <c r="J47" s="167">
        <f>IFERROR(I47/H47, "")</f>
        <v>-0.11818487811451936</v>
      </c>
      <c r="K47" s="174" t="s">
        <v>188</v>
      </c>
      <c r="L47" s="176" t="s">
        <v>145</v>
      </c>
      <c r="M47" s="170"/>
      <c r="N47" s="170"/>
      <c r="O47" s="63"/>
      <c r="P47" s="63"/>
      <c r="Q47" s="63"/>
      <c r="R47" s="63"/>
      <c r="S47" s="63"/>
      <c r="T47" s="63"/>
    </row>
    <row r="48" spans="1:20" ht="15.75">
      <c r="A48">
        <f t="shared" si="0"/>
        <v>45</v>
      </c>
      <c r="B48" s="171" t="str">
        <v>Franklin Township WF</v>
      </c>
      <c r="C48" s="164" t="str">
        <v>NJ</v>
      </c>
      <c r="D48" s="165">
        <v>3050.7</v>
      </c>
      <c r="E48" s="166">
        <v>2965.5140000000001</v>
      </c>
      <c r="F48" s="166">
        <f>IF(AND(ISNUMBER(D48),ISNUMBER(E48)), D48-E48, "")</f>
        <v>85.185999999999694</v>
      </c>
      <c r="G48" s="167">
        <f>IFERROR(F48/E48, "")</f>
        <v>2.8725543025593436E-2</v>
      </c>
      <c r="H48" s="168">
        <v>3195.3029999999999</v>
      </c>
      <c r="I48" s="168">
        <f>IF(AND(ISNUMBER(D48),ISNUMBER(H48)), D48-H48, "")</f>
        <v>-144.60300000000007</v>
      </c>
      <c r="J48" s="167">
        <f>IFERROR(I48/H48, "")</f>
        <v>-4.5254863153822995E-2</v>
      </c>
      <c r="K48" s="169"/>
      <c r="L48" s="169"/>
      <c r="M48" s="170"/>
      <c r="N48" s="170"/>
      <c r="O48" s="63"/>
      <c r="P48" s="63"/>
      <c r="Q48" s="63"/>
      <c r="R48" s="63"/>
      <c r="S48" s="63"/>
      <c r="T48" s="63"/>
    </row>
    <row r="49" spans="1:20" ht="15.75">
      <c r="A49">
        <f t="shared" si="0"/>
        <v>46</v>
      </c>
      <c r="B49" s="171" t="str">
        <v>Bordentown</v>
      </c>
      <c r="C49" s="164" t="str">
        <v>NJ</v>
      </c>
      <c r="D49" s="165">
        <v>2359.6000000000099</v>
      </c>
      <c r="E49" s="166">
        <v>2103.0509999999999</v>
      </c>
      <c r="F49" s="166">
        <f>IF(AND(ISNUMBER(D49),ISNUMBER(E49)), D49-E49, "")</f>
        <v>256.54900000000998</v>
      </c>
      <c r="G49" s="167">
        <f>IFERROR(F49/E49, "")</f>
        <v>0.12198895794729181</v>
      </c>
      <c r="H49" s="168">
        <v>2527.6390000000001</v>
      </c>
      <c r="I49" s="168">
        <f>IF(AND(ISNUMBER(D49),ISNUMBER(H49)), D49-H49, "")</f>
        <v>-168.03899999999021</v>
      </c>
      <c r="J49" s="167">
        <f>IFERROR(I49/H49, "")</f>
        <v>-6.6480616891886141E-2</v>
      </c>
      <c r="K49" s="174"/>
      <c r="L49" s="174"/>
      <c r="M49" s="170"/>
      <c r="N49" s="170"/>
      <c r="O49" s="63"/>
      <c r="P49" s="63"/>
      <c r="Q49" s="63"/>
      <c r="R49" s="63"/>
      <c r="S49" s="63"/>
      <c r="T49" s="63"/>
    </row>
    <row r="50" spans="1:20" ht="15.75">
      <c r="A50">
        <f t="shared" si="0"/>
        <v>47</v>
      </c>
      <c r="B50" s="171" t="str">
        <v>South Plainfield</v>
      </c>
      <c r="C50" s="164" t="str">
        <v>NJ</v>
      </c>
      <c r="D50" s="165">
        <v>1766.4</v>
      </c>
      <c r="E50" s="166">
        <v>1695.9110000000001</v>
      </c>
      <c r="F50" s="166">
        <f>IF(AND(ISNUMBER(D50),ISNUMBER(E50)), D50-E50, "")</f>
        <v>70.489000000000033</v>
      </c>
      <c r="G50" s="167">
        <f>IFERROR(F50/E50, "")</f>
        <v>4.1564091511877704E-2</v>
      </c>
      <c r="H50" s="168">
        <v>1790.175</v>
      </c>
      <c r="I50" s="168">
        <f>IF(AND(ISNUMBER(D50),ISNUMBER(H50)), D50-H50, "")</f>
        <v>-23.774999999999864</v>
      </c>
      <c r="J50" s="167">
        <f>IFERROR(I50/H50, "")</f>
        <v>-1.328082450039793E-2</v>
      </c>
      <c r="K50" s="169"/>
      <c r="L50" s="169"/>
      <c r="M50" s="170"/>
      <c r="N50" s="170"/>
      <c r="O50" s="63"/>
      <c r="P50" s="63"/>
      <c r="Q50" s="63"/>
      <c r="R50" s="63"/>
      <c r="S50" s="63"/>
      <c r="T50" s="63"/>
    </row>
    <row r="51" spans="1:20" ht="15.75">
      <c r="A51">
        <f t="shared" si="0"/>
        <v>48</v>
      </c>
      <c r="B51" s="171" t="str">
        <v>Somerset</v>
      </c>
      <c r="C51" s="164" t="str">
        <v>NJ</v>
      </c>
      <c r="D51" s="165">
        <v>2821.9000000000201</v>
      </c>
      <c r="E51" s="166">
        <v>2731.0680000000002</v>
      </c>
      <c r="F51" s="166">
        <f>IF(AND(ISNUMBER(D51),ISNUMBER(E51)), D51-E51, "")</f>
        <v>90.832000000019889</v>
      </c>
      <c r="G51" s="167">
        <f>IFERROR(F51/E51, "")</f>
        <v>3.3258783743216898E-2</v>
      </c>
      <c r="H51" s="168">
        <v>2989.8510000000001</v>
      </c>
      <c r="I51" s="168">
        <f>IF(AND(ISNUMBER(D51),ISNUMBER(H51)), D51-H51, "")</f>
        <v>-167.95099999998001</v>
      </c>
      <c r="J51" s="167">
        <f>IFERROR(I51/H51, "")</f>
        <v>-5.6173702301546134E-2</v>
      </c>
      <c r="K51" s="174"/>
      <c r="L51" s="174"/>
      <c r="M51" s="170"/>
      <c r="N51" s="170"/>
      <c r="O51" s="63"/>
      <c r="P51" s="63"/>
      <c r="Q51" s="63"/>
      <c r="R51" s="63"/>
      <c r="S51" s="63"/>
      <c r="T51" s="63"/>
    </row>
    <row r="52" spans="1:20" ht="15.75">
      <c r="A52">
        <f t="shared" si="0"/>
        <v>49</v>
      </c>
      <c r="B52" s="171" t="str">
        <v>Clinton Main Relo</v>
      </c>
      <c r="C52" s="164" t="str">
        <v>NJ</v>
      </c>
      <c r="D52" s="165">
        <v>3298.0859380000002</v>
      </c>
      <c r="E52" s="166">
        <v>3329.248</v>
      </c>
      <c r="F52" s="166">
        <f>IF(AND(ISNUMBER(D52),ISNUMBER(E52)), D52-E52, "")</f>
        <v>-31.162061999999878</v>
      </c>
      <c r="G52" s="167">
        <f>IFERROR(F52/E52, "")</f>
        <v>-9.3600903267043716E-3</v>
      </c>
      <c r="H52" s="168">
        <v>3450.13</v>
      </c>
      <c r="I52" s="168">
        <f>IF(AND(ISNUMBER(D52),ISNUMBER(H52)), D52-H52, "")</f>
        <v>-152.04406199999994</v>
      </c>
      <c r="J52" s="167">
        <f>IFERROR(I52/H52, "")</f>
        <v>-4.4069082034589979E-2</v>
      </c>
      <c r="K52" s="169"/>
      <c r="L52" s="169"/>
      <c r="M52" s="170"/>
      <c r="N52" s="170"/>
      <c r="O52" s="63"/>
      <c r="P52" s="63"/>
      <c r="Q52" s="63"/>
      <c r="R52" s="63"/>
      <c r="S52" s="63"/>
      <c r="T52" s="63"/>
    </row>
    <row r="53" spans="1:20" ht="60.75">
      <c r="A53">
        <f t="shared" si="0"/>
        <v>50</v>
      </c>
      <c r="B53" s="171" t="str">
        <v>North Brunswick</v>
      </c>
      <c r="C53" s="164" t="str">
        <v>NJ</v>
      </c>
      <c r="D53" s="165">
        <v>3223.3999999999801</v>
      </c>
      <c r="E53" s="166">
        <v>2922.1819999999998</v>
      </c>
      <c r="F53" s="166">
        <f>IF(AND(ISNUMBER(D53),ISNUMBER(E53)), D53-E53, "")</f>
        <v>301.21799999998029</v>
      </c>
      <c r="G53" s="167">
        <f>IFERROR(F53/E53, "")</f>
        <v>0.10307982185913825</v>
      </c>
      <c r="H53" s="168">
        <v>3856.0360000000001</v>
      </c>
      <c r="I53" s="168">
        <f>IF(AND(ISNUMBER(D53),ISNUMBER(H53)), D53-H53, "")</f>
        <v>-632.63600000001998</v>
      </c>
      <c r="J53" s="167">
        <f>IFERROR(I53/H53, "")</f>
        <v>-0.16406382098092964</v>
      </c>
      <c r="K53" s="174" t="s">
        <v>221</v>
      </c>
      <c r="L53" s="174"/>
      <c r="M53" s="170"/>
      <c r="N53" s="170"/>
      <c r="O53" s="63"/>
      <c r="P53" s="63"/>
      <c r="Q53" s="63"/>
      <c r="R53" s="63"/>
      <c r="S53" s="63"/>
      <c r="T53" s="63"/>
    </row>
    <row r="54" spans="1:20" ht="15.75">
      <c r="A54">
        <f t="shared" si="0"/>
        <v>51</v>
      </c>
      <c r="B54" s="171" t="str">
        <v>Cherry Hill</v>
      </c>
      <c r="C54" s="164" t="str">
        <v>NJ</v>
      </c>
      <c r="D54" s="165">
        <v>2229.2265625</v>
      </c>
      <c r="E54" s="166">
        <v>2185.77</v>
      </c>
      <c r="F54" s="166">
        <f>IF(AND(ISNUMBER(D54),ISNUMBER(E54)), D54-E54, "")</f>
        <v>43.456562500000018</v>
      </c>
      <c r="G54" s="167">
        <f>IFERROR(F54/E54, "")</f>
        <v>1.9881580632911979E-2</v>
      </c>
      <c r="H54" s="168">
        <v>2433.835</v>
      </c>
      <c r="I54" s="168">
        <f>IF(AND(ISNUMBER(D54),ISNUMBER(H54)), D54-H54, "")</f>
        <v>-204.60843750000004</v>
      </c>
      <c r="J54" s="167">
        <f>IFERROR(I54/H54, "")</f>
        <v>-8.4068327351689842E-2</v>
      </c>
      <c r="K54" s="169"/>
      <c r="L54" s="169"/>
      <c r="M54" s="170"/>
      <c r="N54" s="170"/>
      <c r="O54" s="63"/>
      <c r="P54" s="63"/>
      <c r="Q54" s="63"/>
      <c r="R54" s="63"/>
      <c r="S54" s="63"/>
      <c r="T54" s="63"/>
    </row>
    <row r="55" spans="1:20" ht="30.75">
      <c r="A55">
        <f t="shared" si="0"/>
        <v>52</v>
      </c>
      <c r="B55" s="171" t="str">
        <v>Hainesport</v>
      </c>
      <c r="C55" s="164" t="str">
        <v>NJ</v>
      </c>
      <c r="D55" s="165">
        <v>2305.7999999999902</v>
      </c>
      <c r="E55" s="166">
        <v>2569.7620000000002</v>
      </c>
      <c r="F55" s="166">
        <f>IF(AND(ISNUMBER(D55),ISNUMBER(E55)), D55-E55, "")</f>
        <v>-263.96200000000999</v>
      </c>
      <c r="G55" s="167">
        <f>IFERROR(F55/E55, "")</f>
        <v>-0.10271846186534395</v>
      </c>
      <c r="H55" s="168">
        <v>2471.096</v>
      </c>
      <c r="I55" s="168">
        <f>IF(AND(ISNUMBER(D55),ISNUMBER(H55)), D55-H55, "")</f>
        <v>-165.29600000000983</v>
      </c>
      <c r="J55" s="167">
        <f>IFERROR(I55/H55, "")</f>
        <v>-6.6891775956907304E-2</v>
      </c>
      <c r="K55" s="174" t="s">
        <v>308</v>
      </c>
      <c r="L55" s="174"/>
      <c r="M55" s="170"/>
      <c r="N55" s="170"/>
      <c r="O55" s="63"/>
      <c r="P55" s="63"/>
      <c r="Q55" s="63"/>
      <c r="R55" s="63"/>
      <c r="S55" s="63"/>
      <c r="T55" s="63"/>
    </row>
    <row r="56" spans="1:20" ht="15.75">
      <c r="A56">
        <f t="shared" si="0"/>
        <v>53</v>
      </c>
      <c r="B56" s="171" t="str">
        <v>San Antonio - Ops Ctr (Bldg 106)</v>
      </c>
      <c r="C56" s="164" t="str">
        <v>TX</v>
      </c>
      <c r="D56" s="165">
        <v>57417.373749999999</v>
      </c>
      <c r="E56" s="166">
        <v>53442.31</v>
      </c>
      <c r="F56" s="166">
        <f>IF(AND(ISNUMBER(D56),ISNUMBER(E56)), D56-E56, "")</f>
        <v>3975.0637500000012</v>
      </c>
      <c r="G56" s="167">
        <f>IFERROR(F56/E56, "")</f>
        <v>7.438046278313945E-2</v>
      </c>
      <c r="H56" s="168">
        <v>64182.07</v>
      </c>
      <c r="I56" s="168">
        <f>IF(AND(ISNUMBER(D56),ISNUMBER(H56)), D56-H56, "")</f>
        <v>-6764.6962500000009</v>
      </c>
      <c r="J56" s="167">
        <f>IFERROR(I56/H56, "")</f>
        <v>-0.10539853653831983</v>
      </c>
      <c r="K56" s="169" t="s">
        <v>282</v>
      </c>
      <c r="L56" s="176" t="s">
        <v>309</v>
      </c>
      <c r="M56" s="170"/>
      <c r="N56" s="170"/>
      <c r="O56" s="63"/>
      <c r="P56" s="63"/>
      <c r="Q56" s="63"/>
      <c r="R56" s="63"/>
      <c r="S56" s="63"/>
      <c r="T56" s="63"/>
    </row>
    <row r="57" spans="1:20" ht="15.75">
      <c r="A57">
        <f t="shared" si="0"/>
        <v>54</v>
      </c>
      <c r="B57" s="171" t="str">
        <v>San Antonio - Ops Ctr GM</v>
      </c>
      <c r="C57" s="164" t="str">
        <v>TX</v>
      </c>
      <c r="D57" s="165">
        <v>415927.5</v>
      </c>
      <c r="E57" s="166">
        <v>452363.3</v>
      </c>
      <c r="F57" s="166">
        <f>IF(AND(ISNUMBER(D57),ISNUMBER(E57)), D57-E57, "")</f>
        <v>-36435.799999999988</v>
      </c>
      <c r="G57" s="167">
        <f>IFERROR(F57/E57, "")</f>
        <v>-8.0545437704605982E-2</v>
      </c>
      <c r="H57" s="168">
        <v>460683</v>
      </c>
      <c r="I57" s="168">
        <f>IF(AND(ISNUMBER(D57),ISNUMBER(H57)), D57-H57, "")</f>
        <v>-44755.5</v>
      </c>
      <c r="J57" s="167">
        <f>IFERROR(I57/H57, "")</f>
        <v>-9.7150318114625461E-2</v>
      </c>
      <c r="K57" s="174"/>
      <c r="L57" s="174"/>
      <c r="M57" s="170"/>
      <c r="N57" s="170"/>
      <c r="O57" s="63"/>
      <c r="P57" s="63"/>
      <c r="Q57" s="63"/>
      <c r="R57" s="63"/>
      <c r="S57" s="63"/>
      <c r="T57" s="63"/>
    </row>
    <row r="58" spans="1:20" ht="60.75">
      <c r="A58">
        <f t="shared" si="0"/>
        <v>55</v>
      </c>
      <c r="B58" s="171" t="str">
        <v>San Antonio - Ctr (Bldg 201)</v>
      </c>
      <c r="C58" s="164" t="str">
        <v>TX</v>
      </c>
      <c r="D58" s="165">
        <v>59555.375</v>
      </c>
      <c r="E58" s="166">
        <v>53047.38</v>
      </c>
      <c r="F58" s="166">
        <f>IF(AND(ISNUMBER(D58),ISNUMBER(E58)), D58-E58, "")</f>
        <v>6507.9950000000026</v>
      </c>
      <c r="G58" s="167">
        <f>IFERROR(F58/E58, "")</f>
        <v>0.12268268479989027</v>
      </c>
      <c r="H58" s="168">
        <v>64017.43</v>
      </c>
      <c r="I58" s="168">
        <f>IF(AND(ISNUMBER(D58),ISNUMBER(H58)), D58-H58, "")</f>
        <v>-4462.0550000000003</v>
      </c>
      <c r="J58" s="167">
        <f>IFERROR(I58/H58, "")</f>
        <v>-6.9700626844907715E-2</v>
      </c>
      <c r="K58" s="175" t="s">
        <v>232</v>
      </c>
      <c r="L58" s="169"/>
      <c r="M58" s="170"/>
      <c r="N58" s="170"/>
      <c r="O58" s="63"/>
      <c r="P58" s="63"/>
      <c r="Q58" s="63"/>
      <c r="R58" s="63"/>
      <c r="S58" s="63"/>
      <c r="T58" s="63"/>
    </row>
    <row r="59" spans="1:20" ht="30.75">
      <c r="A59">
        <f t="shared" si="0"/>
        <v>56</v>
      </c>
      <c r="B59" s="171" t="str">
        <v>San Antonio - Ops Ctr (Bldg 203)</v>
      </c>
      <c r="C59" s="164" t="str">
        <v>TX</v>
      </c>
      <c r="D59" s="165">
        <v>57715.625</v>
      </c>
      <c r="E59" s="166">
        <v>54819.73</v>
      </c>
      <c r="F59" s="166">
        <f>IF(AND(ISNUMBER(D59),ISNUMBER(E59)), D59-E59, "")</f>
        <v>2895.8949999999968</v>
      </c>
      <c r="G59" s="167">
        <f>IFERROR(F59/E59, "")</f>
        <v>5.2825780061302688E-2</v>
      </c>
      <c r="H59" s="168">
        <v>64293.47</v>
      </c>
      <c r="I59" s="168">
        <f>IF(AND(ISNUMBER(D59),ISNUMBER(H59)), D59-H59, "")</f>
        <v>-6577.8450000000012</v>
      </c>
      <c r="J59" s="167">
        <f>IFERROR(I59/H59, "")</f>
        <v>-0.10230969023759336</v>
      </c>
      <c r="K59" s="173" t="s">
        <v>94</v>
      </c>
      <c r="L59" s="174"/>
      <c r="M59" s="170"/>
      <c r="N59" s="170"/>
      <c r="O59" s="63"/>
      <c r="P59" s="63"/>
      <c r="Q59" s="63"/>
      <c r="R59" s="63"/>
      <c r="S59" s="63"/>
      <c r="T59" s="63"/>
    </row>
    <row r="60" spans="1:20" ht="30.75">
      <c r="A60">
        <f t="shared" si="0"/>
        <v>57</v>
      </c>
      <c r="B60" s="171" t="str">
        <v>San Antonio - Ops Ctr (Bldg 205)</v>
      </c>
      <c r="C60" s="164" t="str">
        <v>TX</v>
      </c>
      <c r="D60" s="165">
        <v>52704.803390000001</v>
      </c>
      <c r="E60" s="166">
        <v>48340.52</v>
      </c>
      <c r="F60" s="166">
        <f>IF(AND(ISNUMBER(D60),ISNUMBER(E60)), D60-E60, "")</f>
        <v>4364.2833900000041</v>
      </c>
      <c r="G60" s="167">
        <f>IFERROR(F60/E60, "")</f>
        <v>9.0282094400308571E-2</v>
      </c>
      <c r="H60" s="168">
        <v>60792.65</v>
      </c>
      <c r="I60" s="168">
        <f>IF(AND(ISNUMBER(D60),ISNUMBER(H60)), D60-H60, "")</f>
        <v>-8087.8466100000005</v>
      </c>
      <c r="J60" s="167">
        <f>IFERROR(I60/H60, "")</f>
        <v>-0.13303987587315244</v>
      </c>
      <c r="K60" s="175" t="s">
        <v>94</v>
      </c>
      <c r="L60" s="169"/>
      <c r="M60" s="170"/>
      <c r="N60" s="170"/>
      <c r="O60" s="63"/>
      <c r="P60" s="63"/>
      <c r="Q60" s="63"/>
      <c r="R60" s="63"/>
      <c r="S60" s="63"/>
      <c r="T60" s="63"/>
    </row>
    <row r="61" spans="1:20" ht="15.75">
      <c r="A61">
        <f t="shared" si="0"/>
        <v>58</v>
      </c>
      <c r="B61" s="171" t="str">
        <v>San Antonio - Ops Ctr (Bldg 307)</v>
      </c>
      <c r="C61" s="164" t="str">
        <v>TX</v>
      </c>
      <c r="D61" s="165">
        <v>57100.17929</v>
      </c>
      <c r="E61" s="166">
        <v>52570.02</v>
      </c>
      <c r="F61" s="166">
        <f>IF(AND(ISNUMBER(D61),ISNUMBER(E61)), D61-E61, "")</f>
        <v>4530.1592900000032</v>
      </c>
      <c r="G61" s="167">
        <f>IFERROR(F61/E61, "")</f>
        <v>8.6173817129991642E-2</v>
      </c>
      <c r="H61" s="168">
        <v>61953.02</v>
      </c>
      <c r="I61" s="168">
        <f>IF(AND(ISNUMBER(D61),ISNUMBER(H61)), D61-H61, "")</f>
        <v>-4852.8407099999968</v>
      </c>
      <c r="J61" s="167">
        <f>IFERROR(I61/H61, "")</f>
        <v>-7.8330979022491518E-2</v>
      </c>
      <c r="K61" s="174"/>
      <c r="L61" s="174"/>
      <c r="M61" s="170"/>
      <c r="N61" s="170"/>
      <c r="O61" s="63"/>
      <c r="P61" s="63"/>
      <c r="Q61" s="63"/>
      <c r="R61" s="63"/>
      <c r="S61" s="63"/>
      <c r="T61" s="63"/>
    </row>
    <row r="62" spans="1:20" ht="15.75">
      <c r="A62">
        <f t="shared" si="0"/>
        <v>59</v>
      </c>
      <c r="B62" s="171" t="str">
        <v>San Antonio - Ctr (Bldg 308)</v>
      </c>
      <c r="C62" s="164" t="str">
        <v>TX</v>
      </c>
      <c r="D62" s="165">
        <v>54252.132539999999</v>
      </c>
      <c r="E62" s="166">
        <v>51366.87</v>
      </c>
      <c r="F62" s="166">
        <f>IF(AND(ISNUMBER(D62),ISNUMBER(E62)), D62-E62, "")</f>
        <v>2885.2625399999961</v>
      </c>
      <c r="G62" s="167">
        <f>IFERROR(F62/E62, "")</f>
        <v>5.6169716784378647E-2</v>
      </c>
      <c r="H62" s="168">
        <v>59510.04</v>
      </c>
      <c r="I62" s="168">
        <f>IF(AND(ISNUMBER(D62),ISNUMBER(H62)), D62-H62, "")</f>
        <v>-5257.9074600000022</v>
      </c>
      <c r="J62" s="167">
        <f>IFERROR(I62/H62, "")</f>
        <v>-8.8353283916461869E-2</v>
      </c>
      <c r="K62" s="169"/>
      <c r="L62" s="169"/>
      <c r="M62" s="170"/>
      <c r="N62" s="170"/>
      <c r="O62" s="63"/>
      <c r="P62" s="63"/>
      <c r="Q62" s="63"/>
      <c r="R62" s="63"/>
      <c r="S62" s="63"/>
      <c r="T62" s="63"/>
    </row>
    <row r="63" spans="1:20" ht="60.75">
      <c r="A63">
        <f t="shared" si="0"/>
        <v>60</v>
      </c>
      <c r="B63" s="171" t="str">
        <v>San Antonio - Ops Ctr (Bldg 104)</v>
      </c>
      <c r="C63" s="164" t="str">
        <v>TX</v>
      </c>
      <c r="D63" s="165">
        <v>15975.67188</v>
      </c>
      <c r="E63" s="166">
        <v>16098.38</v>
      </c>
      <c r="F63" s="166">
        <f>IF(AND(ISNUMBER(D63),ISNUMBER(E63)), D63-E63, "")</f>
        <v>-122.70811999999933</v>
      </c>
      <c r="G63" s="167">
        <f>IFERROR(F63/E63, "")</f>
        <v>-7.6223893335850773E-3</v>
      </c>
      <c r="H63" s="168">
        <v>18628.990000000002</v>
      </c>
      <c r="I63" s="168">
        <f>IF(AND(ISNUMBER(D63),ISNUMBER(H63)), D63-H63, "")</f>
        <v>-2653.3181200000017</v>
      </c>
      <c r="J63" s="167">
        <f>IFERROR(I63/H63, "")</f>
        <v>-0.14242952087042837</v>
      </c>
      <c r="K63" s="174" t="s">
        <v>221</v>
      </c>
      <c r="L63" s="174"/>
      <c r="M63" s="170"/>
      <c r="N63" s="170"/>
      <c r="O63" s="63"/>
      <c r="P63" s="63"/>
      <c r="Q63" s="63"/>
      <c r="R63" s="63"/>
      <c r="S63" s="63"/>
      <c r="T63" s="63"/>
    </row>
    <row r="64" spans="1:20" ht="30.75">
      <c r="A64">
        <f t="shared" si="0"/>
        <v>61</v>
      </c>
      <c r="B64" s="171" t="str">
        <v>San Antonio - Ops Ctr (Bldg 102)</v>
      </c>
      <c r="C64" s="164" t="str">
        <v>TX</v>
      </c>
      <c r="D64" s="165">
        <v>61403.125</v>
      </c>
      <c r="E64" s="166">
        <v>51225.4</v>
      </c>
      <c r="F64" s="166">
        <f>IF(AND(ISNUMBER(D64),ISNUMBER(E64)), D64-E64, "")</f>
        <v>10177.724999999999</v>
      </c>
      <c r="G64" s="167">
        <f>IFERROR(F64/E64, "")</f>
        <v>0.19868512495754057</v>
      </c>
      <c r="H64" s="168">
        <v>66657.73</v>
      </c>
      <c r="I64" s="168">
        <f>IF(AND(ISNUMBER(D64),ISNUMBER(H64)), D64-H64, "")</f>
        <v>-5254.6049999999959</v>
      </c>
      <c r="J64" s="167">
        <f>IFERROR(I64/H64, "")</f>
        <v>-7.8829642113525264E-2</v>
      </c>
      <c r="K64" s="169" t="s">
        <v>310</v>
      </c>
      <c r="L64" s="176" t="s">
        <v>311</v>
      </c>
      <c r="M64" s="170"/>
      <c r="N64" s="170"/>
      <c r="O64" s="63"/>
      <c r="P64" s="63"/>
      <c r="Q64" s="63"/>
      <c r="R64" s="63"/>
      <c r="S64" s="63"/>
      <c r="T64" s="63"/>
    </row>
    <row r="65" spans="1:20" ht="15.75">
      <c r="A65" s="157">
        <f t="shared" si="0"/>
        <v>62</v>
      </c>
      <c r="B65" s="177" t="str">
        <v>Lodi - Lodi Vineyard</v>
      </c>
      <c r="C65" s="178" t="str">
        <v>CA</v>
      </c>
      <c r="D65" s="179">
        <v>43767.75</v>
      </c>
      <c r="E65" s="180">
        <v>50159.55</v>
      </c>
      <c r="F65" s="180">
        <f>IF(AND(ISNUMBER(D65),ISNUMBER(E65)), D65-E65, "")</f>
        <v>-6391.8000000000029</v>
      </c>
      <c r="G65" s="181">
        <f>IFERROR(F65/E65, "")</f>
        <v>-0.12742937287116815</v>
      </c>
      <c r="H65" s="182">
        <v>42061</v>
      </c>
      <c r="I65" s="182">
        <f>IF(AND(ISNUMBER(D65),ISNUMBER(H65)), D65-H65, "")</f>
        <v>1706.75</v>
      </c>
      <c r="J65" s="181">
        <f>IFERROR(I65/H65, "")</f>
        <v>4.0577970091058228E-2</v>
      </c>
      <c r="K65" s="186" t="s">
        <v>312</v>
      </c>
      <c r="L65" s="186"/>
      <c r="M65" s="170"/>
      <c r="N65" s="170"/>
      <c r="O65" s="63"/>
      <c r="P65" s="63"/>
      <c r="Q65" s="63"/>
      <c r="R65" s="63"/>
      <c r="S65" s="63"/>
      <c r="T65" s="63"/>
    </row>
    <row r="66" spans="1:20" ht="60.75">
      <c r="A66">
        <f t="shared" si="0"/>
        <v>63</v>
      </c>
      <c r="B66" s="171" t="str">
        <v>Arden Fair Mall</v>
      </c>
      <c r="C66" s="164" t="str">
        <v>CA</v>
      </c>
      <c r="D66" s="165">
        <v>23269.65625</v>
      </c>
      <c r="E66" s="166">
        <v>24625.79</v>
      </c>
      <c r="F66" s="166">
        <f>IF(AND(ISNUMBER(D66),ISNUMBER(E66)), D66-E66, "")</f>
        <v>-1356.1337500000009</v>
      </c>
      <c r="G66" s="167">
        <f>IFERROR(F66/E66, "")</f>
        <v>-5.50696546181869E-2</v>
      </c>
      <c r="H66" s="168">
        <v>27363</v>
      </c>
      <c r="I66" s="168">
        <f>IF(AND(ISNUMBER(D66),ISNUMBER(H66)), D66-H66, "")</f>
        <v>-4093.34375</v>
      </c>
      <c r="J66" s="167">
        <f>IFERROR(I66/H66, "")</f>
        <v>-0.14959411431495084</v>
      </c>
      <c r="K66" s="175" t="s">
        <v>221</v>
      </c>
      <c r="L66" s="175"/>
      <c r="M66" s="170"/>
      <c r="N66" s="170"/>
      <c r="O66" s="63"/>
      <c r="P66" s="63"/>
      <c r="Q66" s="63"/>
      <c r="R66" s="63"/>
      <c r="S66" s="63"/>
      <c r="T66" s="63"/>
    </row>
    <row r="67" spans="1:20" ht="45.75">
      <c r="A67">
        <f t="shared" si="0"/>
        <v>64</v>
      </c>
      <c r="B67" s="171" t="str">
        <v>Modesto - Modesto Main</v>
      </c>
      <c r="C67" s="164" t="str">
        <v>CA</v>
      </c>
      <c r="D67" s="165">
        <v>16280.515625</v>
      </c>
      <c r="E67" s="166">
        <v>18633.689999999999</v>
      </c>
      <c r="F67" s="166">
        <f>IF(AND(ISNUMBER(D67),ISNUMBER(E67)), D67-E67, "")</f>
        <v>-2353.1743749999987</v>
      </c>
      <c r="G67" s="167">
        <f>IFERROR(F67/E67, "")</f>
        <v>-0.12628601071500056</v>
      </c>
      <c r="H67" s="168">
        <v>24712.720000000001</v>
      </c>
      <c r="I67" s="168">
        <f>IF(AND(ISNUMBER(D67),ISNUMBER(H67)), D67-H67, "")</f>
        <v>-8432.2043750000012</v>
      </c>
      <c r="J67" s="167">
        <f>IFERROR(I67/H67, "")</f>
        <v>-0.34120907674266537</v>
      </c>
      <c r="K67" s="187" t="s">
        <v>313</v>
      </c>
      <c r="L67" s="188" t="s">
        <v>314</v>
      </c>
      <c r="M67" s="185" t="s">
        <v>315</v>
      </c>
      <c r="N67" s="170"/>
      <c r="O67" s="63"/>
      <c r="P67" s="63"/>
      <c r="Q67" s="63"/>
      <c r="R67" s="63"/>
      <c r="S67" s="63"/>
      <c r="T67" s="63"/>
    </row>
    <row r="68" spans="1:20" ht="60.75">
      <c r="A68">
        <f t="shared" si="0"/>
        <v>65</v>
      </c>
      <c r="B68" s="171" t="str">
        <v>Stevens Creek</v>
      </c>
      <c r="C68" s="164" t="str">
        <v>CA</v>
      </c>
      <c r="D68" s="165">
        <v>5848.1104110030101</v>
      </c>
      <c r="E68" s="166">
        <v>6344.4690000000001</v>
      </c>
      <c r="F68" s="166">
        <f>IF(AND(ISNUMBER(D68),ISNUMBER(E68)), D68-E68, "")</f>
        <v>-496.35858899698997</v>
      </c>
      <c r="G68" s="167">
        <f>IFERROR(F68/E68, "")</f>
        <v>-7.8234851332237565E-2</v>
      </c>
      <c r="H68" s="168">
        <v>7034</v>
      </c>
      <c r="I68" s="168">
        <f>IF(AND(ISNUMBER(D68),ISNUMBER(H68)), D68-H68, "")</f>
        <v>-1185.8895889969899</v>
      </c>
      <c r="J68" s="167">
        <f>IFERROR(I68/H68, "")</f>
        <v>-0.16859391370443416</v>
      </c>
      <c r="K68" s="169" t="s">
        <v>221</v>
      </c>
      <c r="L68" s="169"/>
      <c r="M68" s="170"/>
      <c r="N68" s="170"/>
      <c r="O68" s="63"/>
      <c r="P68" s="63"/>
      <c r="Q68" s="63"/>
      <c r="R68" s="63"/>
      <c r="S68" s="63"/>
      <c r="T68" s="63"/>
    </row>
    <row r="69" spans="1:20" ht="15.75">
      <c r="A69">
        <f t="shared" si="0"/>
        <v>66</v>
      </c>
      <c r="B69" s="171" t="str">
        <v>Covina Main</v>
      </c>
      <c r="C69" s="164" t="str">
        <v>CA</v>
      </c>
      <c r="D69" s="165">
        <v>3965.7000000000098</v>
      </c>
      <c r="E69" s="166">
        <v>4035.4209999999998</v>
      </c>
      <c r="F69" s="166">
        <f>IF(AND(ISNUMBER(D69),ISNUMBER(E69)), D69-E69, "")</f>
        <v>-69.720999999989999</v>
      </c>
      <c r="G69" s="167">
        <f>IFERROR(F69/E69, "")</f>
        <v>-1.7277255582500563E-2</v>
      </c>
      <c r="H69" s="168">
        <v>3959</v>
      </c>
      <c r="I69" s="168">
        <f>IF(AND(ISNUMBER(D69),ISNUMBER(H69)), D69-H69, "")</f>
        <v>6.7000000000098225</v>
      </c>
      <c r="J69" s="167">
        <f>IFERROR(I69/H69, "")</f>
        <v>1.6923465521621174E-3</v>
      </c>
      <c r="K69" s="189"/>
      <c r="L69" s="190"/>
      <c r="M69" s="170"/>
      <c r="N69" s="170"/>
      <c r="O69" s="63"/>
      <c r="P69" s="63"/>
      <c r="Q69" s="63"/>
      <c r="R69" s="63"/>
      <c r="S69" s="63"/>
      <c r="T69" s="63"/>
    </row>
    <row r="70" spans="1:20" ht="60.75">
      <c r="A70">
        <f t="shared" ref="A70:A84" si="1">A69+1</f>
        <v>67</v>
      </c>
      <c r="B70" s="171" t="str">
        <v>Old Ranch Town Center</v>
      </c>
      <c r="C70" s="164" t="str">
        <v>CA</v>
      </c>
      <c r="D70" s="165">
        <v>1450.0545214843801</v>
      </c>
      <c r="E70" s="166" t="s">
        <v>208</v>
      </c>
      <c r="F70" s="166" t="str">
        <f>IF(AND(ISNUMBER(D70),ISNUMBER(E70)), D70-E70, "")</f>
        <v/>
      </c>
      <c r="G70" s="167" t="str">
        <f>IFERROR(F70/E70, "")</f>
        <v/>
      </c>
      <c r="H70" s="168">
        <v>1682</v>
      </c>
      <c r="I70" s="168">
        <f>IF(AND(ISNUMBER(D70),ISNUMBER(H70)), D70-H70, "")</f>
        <v>-231.94547851561993</v>
      </c>
      <c r="J70" s="167">
        <f>IFERROR(I70/H70, "")</f>
        <v>-0.13789861980714621</v>
      </c>
      <c r="K70" s="175" t="s">
        <v>234</v>
      </c>
      <c r="L70" s="169"/>
      <c r="M70" s="170"/>
      <c r="N70" s="170"/>
      <c r="O70" s="63"/>
      <c r="P70" s="63"/>
      <c r="Q70" s="63"/>
      <c r="R70" s="63"/>
      <c r="S70" s="63"/>
      <c r="T70" s="63"/>
    </row>
    <row r="71" spans="1:20" ht="45.75">
      <c r="A71">
        <f t="shared" si="1"/>
        <v>68</v>
      </c>
      <c r="B71" s="171" t="str">
        <v>Mountain Gate Plaza</v>
      </c>
      <c r="C71" s="164" t="str">
        <v>CA</v>
      </c>
      <c r="D71" s="165">
        <v>9379.4000000000196</v>
      </c>
      <c r="E71" s="166" t="s">
        <v>208</v>
      </c>
      <c r="F71" s="166" t="str">
        <f>IF(AND(ISNUMBER(D71),ISNUMBER(E71)), D71-E71, "")</f>
        <v/>
      </c>
      <c r="G71" s="167" t="str">
        <f>IFERROR(F71/E71, "")</f>
        <v/>
      </c>
      <c r="H71" s="168">
        <v>11380</v>
      </c>
      <c r="I71" s="168">
        <f>IF(AND(ISNUMBER(D71),ISNUMBER(H71)), D71-H71, "")</f>
        <v>-2000.5999999999804</v>
      </c>
      <c r="J71" s="167">
        <f>IFERROR(I71/H71, "")</f>
        <v>-0.1757996485061494</v>
      </c>
      <c r="K71" s="175" t="s">
        <v>316</v>
      </c>
      <c r="L71" s="190"/>
      <c r="M71" s="170"/>
      <c r="N71" s="170"/>
      <c r="O71" s="63"/>
      <c r="P71" s="63"/>
      <c r="Q71" s="63"/>
      <c r="R71" s="63"/>
      <c r="S71" s="63"/>
      <c r="T71" s="63"/>
    </row>
    <row r="72" spans="1:20" ht="60.75">
      <c r="A72">
        <f t="shared" si="1"/>
        <v>69</v>
      </c>
      <c r="B72" s="171" t="str">
        <v>Arcadia Main</v>
      </c>
      <c r="C72" s="164" t="str">
        <v>CA</v>
      </c>
      <c r="D72" s="165">
        <v>4359.01171875</v>
      </c>
      <c r="E72" s="166" t="s">
        <v>208</v>
      </c>
      <c r="F72" s="166" t="str">
        <f>IF(AND(ISNUMBER(D72),ISNUMBER(E72)), D72-E72, "")</f>
        <v/>
      </c>
      <c r="G72" s="167" t="str">
        <f>IFERROR(F72/E72, "")</f>
        <v/>
      </c>
      <c r="H72" s="168">
        <v>6193</v>
      </c>
      <c r="I72" s="168">
        <f>IF(AND(ISNUMBER(D72),ISNUMBER(H72)), D72-H72, "")</f>
        <v>-1833.98828125</v>
      </c>
      <c r="J72" s="167">
        <f>IFERROR(I72/H72, "")</f>
        <v>-0.29613891187631197</v>
      </c>
      <c r="K72" s="175" t="s">
        <v>221</v>
      </c>
      <c r="L72" s="169"/>
      <c r="M72" s="170"/>
      <c r="N72" s="170"/>
      <c r="O72" s="63"/>
      <c r="P72" s="63"/>
      <c r="Q72" s="63"/>
      <c r="R72" s="63"/>
      <c r="S72" s="63"/>
      <c r="T72" s="63"/>
    </row>
    <row r="73" spans="1:20" ht="60.75">
      <c r="A73">
        <f t="shared" si="1"/>
        <v>70</v>
      </c>
      <c r="B73" s="171" t="str">
        <v>Fairfield</v>
      </c>
      <c r="C73" s="164" t="str">
        <v>CA</v>
      </c>
      <c r="D73" s="165">
        <v>4371.0665234375001</v>
      </c>
      <c r="E73" s="166">
        <v>4242.5540000000001</v>
      </c>
      <c r="F73" s="166">
        <f>IF(AND(ISNUMBER(D73),ISNUMBER(E73)), D73-E73, "")</f>
        <v>128.51252343750002</v>
      </c>
      <c r="G73" s="167">
        <f>IFERROR(F73/E73, "")</f>
        <v>3.0291311186021443E-2</v>
      </c>
      <c r="H73" s="168">
        <v>4986</v>
      </c>
      <c r="I73" s="168">
        <f>IF(AND(ISNUMBER(D73),ISNUMBER(H73)), D73-H73, "")</f>
        <v>-614.93347656249989</v>
      </c>
      <c r="J73" s="167">
        <f>IFERROR(I73/H73, "")</f>
        <v>-0.12333202498245084</v>
      </c>
      <c r="K73" s="189" t="s">
        <v>221</v>
      </c>
      <c r="L73" s="190"/>
      <c r="M73" s="170"/>
      <c r="N73" s="170"/>
      <c r="O73" s="63"/>
      <c r="P73" s="63"/>
      <c r="Q73" s="63"/>
      <c r="R73" s="63"/>
      <c r="S73" s="63"/>
      <c r="T73" s="63"/>
    </row>
    <row r="74" spans="1:20" ht="15.75">
      <c r="A74">
        <f t="shared" si="1"/>
        <v>71</v>
      </c>
      <c r="B74" s="171" t="str">
        <v>Los Gatos</v>
      </c>
      <c r="C74" s="164" t="str">
        <v>CA</v>
      </c>
      <c r="D74" s="165">
        <v>2392.70703125</v>
      </c>
      <c r="E74" s="166">
        <v>2502.0569999999998</v>
      </c>
      <c r="F74" s="166">
        <f>IF(AND(ISNUMBER(D74),ISNUMBER(E74)), D74-E74, "")</f>
        <v>-109.34996874999979</v>
      </c>
      <c r="G74" s="167">
        <f>IFERROR(F74/E74, "")</f>
        <v>-4.3704027825904768E-2</v>
      </c>
      <c r="H74" s="168">
        <v>0</v>
      </c>
      <c r="I74" s="168">
        <f>IF(AND(ISNUMBER(D74),ISNUMBER(H74)), D74-H74, "")</f>
        <v>2392.70703125</v>
      </c>
      <c r="J74" s="167" t="str">
        <f>IFERROR(I74/H74, "")</f>
        <v/>
      </c>
      <c r="K74" s="169"/>
      <c r="L74" s="169"/>
      <c r="M74" s="170"/>
      <c r="N74" s="170"/>
      <c r="O74" s="63"/>
      <c r="P74" s="63"/>
      <c r="Q74" s="63"/>
      <c r="R74" s="63"/>
      <c r="S74" s="63"/>
      <c r="T74" s="63"/>
    </row>
    <row r="75" spans="1:20" ht="30.75">
      <c r="A75">
        <f t="shared" si="1"/>
        <v>72</v>
      </c>
      <c r="B75" s="171" t="str">
        <v>San Marino</v>
      </c>
      <c r="C75" s="164" t="str">
        <v>CA</v>
      </c>
      <c r="D75" s="165">
        <v>3888.3</v>
      </c>
      <c r="E75" s="166">
        <v>5291.0640000000003</v>
      </c>
      <c r="F75" s="166">
        <f>IF(AND(ISNUMBER(D75),ISNUMBER(E75)), D75-E75, "")</f>
        <v>-1402.7640000000001</v>
      </c>
      <c r="G75" s="167">
        <f>IFERROR(F75/E75, "")</f>
        <v>-0.26511945423453581</v>
      </c>
      <c r="H75" s="168">
        <v>6479.5839999999998</v>
      </c>
      <c r="I75" s="168">
        <f>IF(AND(ISNUMBER(D75),ISNUMBER(H75)), D75-H75, "")</f>
        <v>-2591.2839999999997</v>
      </c>
      <c r="J75" s="167">
        <f>IFERROR(I75/H75, "")</f>
        <v>-0.3999151797399339</v>
      </c>
      <c r="K75" s="189" t="s">
        <v>235</v>
      </c>
      <c r="L75" s="188" t="s">
        <v>288</v>
      </c>
      <c r="M75" s="170"/>
      <c r="N75" s="170"/>
      <c r="O75" s="63"/>
      <c r="P75" s="63"/>
      <c r="Q75" s="63"/>
      <c r="R75" s="63"/>
      <c r="S75" s="63"/>
      <c r="T75" s="63"/>
    </row>
    <row r="76" spans="1:20" ht="60.75">
      <c r="A76">
        <f t="shared" si="1"/>
        <v>73</v>
      </c>
      <c r="B76" s="171" t="str">
        <v>Buenaventura</v>
      </c>
      <c r="C76" s="164" t="str">
        <v>CA</v>
      </c>
      <c r="D76" s="165">
        <v>5383.8818407960198</v>
      </c>
      <c r="E76" s="166">
        <v>3896.886</v>
      </c>
      <c r="F76" s="166">
        <f>IF(AND(ISNUMBER(D76),ISNUMBER(E76)), D76-E76, "")</f>
        <v>1486.9958407960198</v>
      </c>
      <c r="G76" s="167">
        <f>IFERROR(F76/E76, "")</f>
        <v>0.38158566629765917</v>
      </c>
      <c r="H76" s="168">
        <v>6069.5720000000001</v>
      </c>
      <c r="I76" s="168">
        <f>IF(AND(ISNUMBER(D76),ISNUMBER(H76)), D76-H76, "")</f>
        <v>-685.69015920398033</v>
      </c>
      <c r="J76" s="167">
        <f>IFERROR(I76/H76, "")</f>
        <v>-0.11297174812391719</v>
      </c>
      <c r="K76" s="189" t="s">
        <v>221</v>
      </c>
      <c r="L76" s="169"/>
      <c r="M76" s="170"/>
      <c r="N76" s="170"/>
      <c r="O76" s="63"/>
      <c r="P76" s="63"/>
      <c r="Q76" s="63"/>
      <c r="R76" s="63"/>
      <c r="S76" s="63"/>
      <c r="T76" s="63"/>
    </row>
    <row r="77" spans="1:20" ht="15.75">
      <c r="A77" s="159">
        <f t="shared" si="1"/>
        <v>74</v>
      </c>
      <c r="B77" s="191" t="str">
        <v>N Black Canyon Hwy, Phoenix - North</v>
      </c>
      <c r="C77" s="192" t="str">
        <v>AZ</v>
      </c>
      <c r="D77" s="193">
        <v>97248.25</v>
      </c>
      <c r="E77" s="194">
        <v>79215.62</v>
      </c>
      <c r="F77" s="194">
        <f>IF(AND(ISNUMBER(D77),ISNUMBER(E77)), D77-E77, "")</f>
        <v>18032.630000000005</v>
      </c>
      <c r="G77" s="195">
        <f>IFERROR(F77/E77, "")</f>
        <v>0.22763982658975598</v>
      </c>
      <c r="H77" s="196">
        <v>95432</v>
      </c>
      <c r="I77" s="196">
        <f>IF(AND(ISNUMBER(D77),ISNUMBER(H77)), D77-H77, "")</f>
        <v>1816.25</v>
      </c>
      <c r="J77" s="195">
        <f>IFERROR(I77/H77, "")</f>
        <v>1.903187610025987E-2</v>
      </c>
      <c r="K77" s="197"/>
      <c r="L77" s="198"/>
      <c r="M77" s="170"/>
      <c r="N77" s="170"/>
      <c r="O77" s="63"/>
      <c r="P77" s="63"/>
      <c r="Q77" s="63"/>
      <c r="R77" s="63"/>
      <c r="S77" s="63"/>
      <c r="T77" s="63"/>
    </row>
    <row r="78" spans="1:20" ht="15.75">
      <c r="A78" s="159">
        <f t="shared" si="1"/>
        <v>75</v>
      </c>
      <c r="B78" s="191" t="str">
        <v>N Black Canyon Hwy, Phoenix - South</v>
      </c>
      <c r="C78" s="192" t="str">
        <v>AZ</v>
      </c>
      <c r="D78" s="193">
        <v>103082</v>
      </c>
      <c r="E78" s="194">
        <v>86572.02</v>
      </c>
      <c r="F78" s="194">
        <f>IF(AND(ISNUMBER(D78),ISNUMBER(E78)), D78-E78, "")</f>
        <v>16509.979999999996</v>
      </c>
      <c r="G78" s="195">
        <f>IFERROR(F78/E78, "")</f>
        <v>0.19070803707710637</v>
      </c>
      <c r="H78" s="196">
        <v>105078</v>
      </c>
      <c r="I78" s="196">
        <f>IF(AND(ISNUMBER(D78),ISNUMBER(H78)), D78-H78, "")</f>
        <v>-1996</v>
      </c>
      <c r="J78" s="195">
        <f>IFERROR(I78/H78, "")</f>
        <v>-1.8995412931346239E-2</v>
      </c>
      <c r="K78" s="199" t="s">
        <v>317</v>
      </c>
      <c r="L78" s="200" t="s">
        <v>318</v>
      </c>
      <c r="M78" s="170"/>
      <c r="N78" s="170"/>
      <c r="O78" s="63"/>
      <c r="P78" s="63"/>
      <c r="Q78" s="63"/>
      <c r="R78" s="63"/>
      <c r="S78" s="63"/>
      <c r="T78" s="63"/>
    </row>
    <row r="79" spans="1:20" ht="15.75">
      <c r="A79">
        <f t="shared" si="1"/>
        <v>76</v>
      </c>
      <c r="B79" s="171" t="str">
        <v xml:space="preserve"> Building 2222, Rose Garden Ln, Phoenix</v>
      </c>
      <c r="C79" s="164" t="str">
        <v>AZ</v>
      </c>
      <c r="D79" s="165">
        <v>128293.5</v>
      </c>
      <c r="E79" s="166">
        <v>124183.8</v>
      </c>
      <c r="F79" s="166">
        <f>IF(AND(ISNUMBER(D79),ISNUMBER(E79)), D79-E79, "")</f>
        <v>4109.6999999999971</v>
      </c>
      <c r="G79" s="167">
        <f>IFERROR(F79/E79, "")</f>
        <v>3.3093688548747884E-2</v>
      </c>
      <c r="H79" s="168">
        <v>130682</v>
      </c>
      <c r="I79" s="168">
        <f>IF(AND(ISNUMBER(D79),ISNUMBER(H79)), D79-H79, "")</f>
        <v>-2388.5</v>
      </c>
      <c r="J79" s="167">
        <f>IFERROR(I79/H79, "")</f>
        <v>-1.8277191962167705E-2</v>
      </c>
      <c r="K79" s="189"/>
      <c r="L79" s="190"/>
      <c r="M79" s="170"/>
      <c r="N79" s="170"/>
      <c r="O79" s="63"/>
      <c r="P79" s="63"/>
      <c r="Q79" s="63"/>
      <c r="R79" s="63"/>
      <c r="S79" s="63"/>
      <c r="T79" s="63"/>
    </row>
    <row r="80" spans="1:20" ht="15.75">
      <c r="A80">
        <f t="shared" si="1"/>
        <v>77</v>
      </c>
      <c r="B80" s="171" t="str">
        <v xml:space="preserve"> Building 2202, Rose Garden Ln, Phoenix</v>
      </c>
      <c r="C80" s="164" t="str">
        <v>AZ</v>
      </c>
      <c r="D80" s="165">
        <v>127758.5</v>
      </c>
      <c r="E80" s="166">
        <v>121462</v>
      </c>
      <c r="F80" s="166">
        <f>IF(AND(ISNUMBER(D80),ISNUMBER(E80)), D80-E80, "")</f>
        <v>6296.5</v>
      </c>
      <c r="G80" s="167">
        <f>IFERROR(F80/E80, "")</f>
        <v>5.1839258368872571E-2</v>
      </c>
      <c r="H80" s="168">
        <v>96396.38</v>
      </c>
      <c r="I80" s="168">
        <f>IF(AND(ISNUMBER(D80),ISNUMBER(H80)), D80-H80, "")</f>
        <v>31362.119999999995</v>
      </c>
      <c r="J80" s="167">
        <f>IFERROR(I80/H80, "")</f>
        <v>0.32534541234847192</v>
      </c>
      <c r="K80" s="169"/>
      <c r="L80" s="169"/>
      <c r="M80" s="170"/>
      <c r="N80" s="170"/>
      <c r="O80" s="63"/>
      <c r="P80" s="63"/>
      <c r="Q80" s="63"/>
      <c r="R80" s="63"/>
      <c r="S80" s="63"/>
      <c r="T80" s="63"/>
    </row>
    <row r="81" spans="1:20" ht="15.75">
      <c r="A81">
        <f t="shared" si="1"/>
        <v>78</v>
      </c>
      <c r="B81" s="171" t="str">
        <v xml:space="preserve"> 99TH Ave &amp; BELL</v>
      </c>
      <c r="C81" s="164" t="str">
        <v>AZ</v>
      </c>
      <c r="D81" s="165">
        <v>22657.200862041402</v>
      </c>
      <c r="E81" s="166">
        <v>22130.53</v>
      </c>
      <c r="F81" s="166">
        <f>IF(AND(ISNUMBER(D81),ISNUMBER(E81)), D81-E81, "")</f>
        <v>526.67086204140287</v>
      </c>
      <c r="G81" s="167">
        <f>IFERROR(F81/E81, "")</f>
        <v>2.3798384496051515E-2</v>
      </c>
      <c r="H81" s="168">
        <v>22945</v>
      </c>
      <c r="I81" s="168">
        <f>IF(AND(ISNUMBER(D81),ISNUMBER(H81)), D81-H81, "")</f>
        <v>-287.79913795859829</v>
      </c>
      <c r="J81" s="167">
        <f>IFERROR(I81/H81, "")</f>
        <v>-1.2543000128943051E-2</v>
      </c>
      <c r="K81" s="189"/>
      <c r="L81" s="190"/>
      <c r="M81" s="170"/>
      <c r="N81" s="170"/>
      <c r="O81" s="63"/>
      <c r="P81" s="63"/>
      <c r="Q81" s="63"/>
      <c r="R81" s="63"/>
      <c r="S81" s="63"/>
      <c r="T81" s="63"/>
    </row>
    <row r="82" spans="1:20" ht="15.75">
      <c r="A82" s="159">
        <f t="shared" si="1"/>
        <v>79</v>
      </c>
      <c r="B82" s="191" t="str">
        <v>Rincon</v>
      </c>
      <c r="C82" s="192" t="str">
        <v>AZ</v>
      </c>
      <c r="D82" s="193">
        <v>8356.421875</v>
      </c>
      <c r="E82" s="194">
        <v>7037.5940000000001</v>
      </c>
      <c r="F82" s="194">
        <f>IF(AND(ISNUMBER(D82),ISNUMBER(E82)), D82-E82, "")</f>
        <v>1318.8278749999999</v>
      </c>
      <c r="G82" s="195">
        <f>IFERROR(F82/E82, "")</f>
        <v>0.18739755021389412</v>
      </c>
      <c r="H82" s="196">
        <v>8019</v>
      </c>
      <c r="I82" s="196">
        <f>IF(AND(ISNUMBER(D82),ISNUMBER(H82)), D82-H82, "")</f>
        <v>337.421875</v>
      </c>
      <c r="J82" s="195">
        <f>IFERROR(I82/H82, "")</f>
        <v>4.2077799600947749E-2</v>
      </c>
      <c r="K82" s="199"/>
      <c r="L82" s="199"/>
      <c r="M82" s="170"/>
      <c r="N82" s="170"/>
      <c r="O82" s="63"/>
      <c r="P82" s="63"/>
      <c r="Q82" s="63"/>
      <c r="R82" s="63"/>
      <c r="S82" s="63"/>
      <c r="T82" s="63"/>
    </row>
    <row r="83" spans="1:20" ht="45.75">
      <c r="A83">
        <f t="shared" si="1"/>
        <v>80</v>
      </c>
      <c r="B83" s="171" t="str">
        <v>Tucson Main Parking Garage</v>
      </c>
      <c r="C83" s="164" t="str">
        <v>AZ</v>
      </c>
      <c r="D83" s="165">
        <v>14768</v>
      </c>
      <c r="E83" s="166">
        <v>14217.14</v>
      </c>
      <c r="F83" s="166">
        <f>IF(AND(ISNUMBER(D83),ISNUMBER(E83)), D83-E83, "")</f>
        <v>550.86000000000058</v>
      </c>
      <c r="G83" s="167">
        <f>IFERROR(F83/E83, "")</f>
        <v>3.8746189458639405E-2</v>
      </c>
      <c r="H83" s="168">
        <v>10848</v>
      </c>
      <c r="I83" s="168">
        <f>IF(AND(ISNUMBER(D83),ISNUMBER(H83)), D83-H83, "")</f>
        <v>3920</v>
      </c>
      <c r="J83" s="167">
        <f>IFERROR(I83/H83, "")</f>
        <v>0.36135693215339232</v>
      </c>
      <c r="K83" s="187" t="s">
        <v>319</v>
      </c>
      <c r="L83" s="188" t="s">
        <v>320</v>
      </c>
      <c r="M83" s="170"/>
      <c r="N83" s="170"/>
      <c r="O83" s="63"/>
      <c r="P83" s="63"/>
      <c r="Q83" s="63"/>
      <c r="R83" s="63"/>
      <c r="S83" s="63"/>
      <c r="T83" s="63"/>
    </row>
    <row r="84" spans="1:20" ht="60.75">
      <c r="A84">
        <f t="shared" si="1"/>
        <v>81</v>
      </c>
      <c r="B84" s="171" t="str">
        <v>BE 199502 - Westgate</v>
      </c>
      <c r="C84" s="164" t="str">
        <v>CA</v>
      </c>
      <c r="D84" s="165">
        <v>2103.4</v>
      </c>
      <c r="E84" s="166">
        <v>0</v>
      </c>
      <c r="F84" s="166">
        <f>IF(AND(ISNUMBER(D84),ISNUMBER(E84)), D84-E84, "")</f>
        <v>2103.4</v>
      </c>
      <c r="G84" s="167" t="str">
        <f>IFERROR(F84/E84, "")</f>
        <v/>
      </c>
      <c r="H84" s="168">
        <v>2520</v>
      </c>
      <c r="I84" s="168">
        <f>IF(AND(ISNUMBER(D84),ISNUMBER(H84)), D84-H84, "")</f>
        <v>-416.59999999999991</v>
      </c>
      <c r="J84" s="167">
        <f>IFERROR(I84/H84, "")</f>
        <v>-0.16531746031746028</v>
      </c>
      <c r="K84" s="169" t="s">
        <v>234</v>
      </c>
      <c r="L84" s="169"/>
      <c r="M84" s="170"/>
      <c r="N84" s="170"/>
      <c r="O84" s="63"/>
      <c r="P84" s="63"/>
      <c r="Q84" s="63"/>
      <c r="R84" s="63"/>
      <c r="S84" s="63"/>
      <c r="T84" s="63"/>
    </row>
    <row r="85" spans="1:20" ht="15">
      <c r="B85" s="18"/>
      <c r="C85" s="30"/>
      <c r="D85" s="18"/>
      <c r="E85" s="18"/>
      <c r="F85" s="18"/>
      <c r="G85" s="158"/>
      <c r="H85" s="18"/>
      <c r="I85" s="18"/>
      <c r="J85" s="158"/>
      <c r="K85" s="18"/>
      <c r="L85" s="18"/>
    </row>
    <row r="86" spans="1:20" ht="15">
      <c r="B86" s="18"/>
      <c r="C86" s="30"/>
      <c r="D86" s="18"/>
      <c r="E86" s="18"/>
      <c r="F86" s="18"/>
      <c r="G86" s="158"/>
      <c r="H86" s="18"/>
      <c r="I86" s="18"/>
      <c r="J86" s="158"/>
      <c r="K86" s="18"/>
      <c r="L86" s="18"/>
    </row>
    <row r="87" spans="1:20" ht="15">
      <c r="B87" s="18"/>
      <c r="C87" s="30"/>
      <c r="D87" s="18"/>
      <c r="E87" s="18"/>
      <c r="F87" s="18"/>
      <c r="G87" s="158"/>
      <c r="H87" s="18"/>
      <c r="I87" s="18"/>
      <c r="J87" s="158"/>
      <c r="K87" s="18"/>
      <c r="L87" s="18"/>
    </row>
    <row r="88" spans="1:20" ht="15">
      <c r="B88" s="18"/>
      <c r="C88" s="30"/>
      <c r="D88" s="18"/>
      <c r="E88" s="18"/>
      <c r="F88" s="18"/>
      <c r="G88" s="158"/>
      <c r="H88" s="18"/>
      <c r="I88" s="18"/>
      <c r="J88" s="158"/>
      <c r="K88" s="18"/>
      <c r="L88" s="18"/>
    </row>
    <row r="89" spans="1:20" ht="15">
      <c r="B89" s="18"/>
      <c r="C89" s="30"/>
      <c r="D89" s="18"/>
      <c r="E89" s="18"/>
      <c r="F89" s="18"/>
      <c r="G89" s="158"/>
      <c r="H89" s="18"/>
      <c r="I89" s="18"/>
      <c r="J89" s="158"/>
      <c r="K89" s="18"/>
      <c r="L89" s="18"/>
    </row>
    <row r="90" spans="1:20" ht="15">
      <c r="B90" s="18"/>
      <c r="C90" s="30"/>
      <c r="D90" s="18"/>
      <c r="E90" s="18"/>
      <c r="F90" s="18"/>
      <c r="G90" s="158"/>
      <c r="H90" s="18"/>
      <c r="I90" s="18"/>
      <c r="J90" s="158"/>
      <c r="K90" s="18"/>
      <c r="L90" s="18"/>
    </row>
    <row r="91" spans="1:20" ht="15">
      <c r="B91" s="18"/>
      <c r="C91" s="30"/>
      <c r="D91" s="18"/>
      <c r="E91" s="18"/>
      <c r="F91" s="18"/>
      <c r="G91" s="158"/>
      <c r="H91" s="18"/>
      <c r="I91" s="18"/>
      <c r="J91" s="158"/>
      <c r="K91" s="18"/>
      <c r="L91" s="18"/>
    </row>
    <row r="92" spans="1:20" ht="15">
      <c r="B92" s="18"/>
      <c r="C92" s="30"/>
      <c r="D92" s="18"/>
      <c r="E92" s="18"/>
      <c r="F92" s="18"/>
      <c r="G92" s="158"/>
      <c r="H92" s="18"/>
      <c r="I92" s="18"/>
      <c r="J92" s="158"/>
      <c r="K92" s="18"/>
      <c r="L92" s="18"/>
    </row>
    <row r="93" spans="1:20" ht="15">
      <c r="B93" s="18"/>
      <c r="C93" s="30"/>
      <c r="D93" s="18"/>
      <c r="E93" s="18"/>
      <c r="F93" s="18"/>
      <c r="G93" s="158"/>
      <c r="H93" s="18"/>
      <c r="I93" s="18"/>
      <c r="J93" s="158"/>
      <c r="K93" s="18"/>
      <c r="L93" s="18"/>
    </row>
    <row r="94" spans="1:20" ht="15">
      <c r="B94" s="18"/>
      <c r="C94" s="30"/>
      <c r="D94" s="18"/>
      <c r="E94" s="18"/>
      <c r="F94" s="18"/>
      <c r="G94" s="158"/>
      <c r="H94" s="18"/>
      <c r="I94" s="18"/>
      <c r="J94" s="158"/>
      <c r="K94" s="18"/>
      <c r="L94" s="18"/>
    </row>
    <row r="95" spans="1:20" ht="15">
      <c r="B95" s="18"/>
      <c r="C95" s="30"/>
      <c r="D95" s="18"/>
      <c r="E95" s="18"/>
      <c r="F95" s="18"/>
      <c r="G95" s="158"/>
      <c r="H95" s="18"/>
      <c r="I95" s="18"/>
      <c r="J95" s="158"/>
      <c r="K95" s="18"/>
      <c r="L95" s="18"/>
    </row>
    <row r="96" spans="1:20" ht="15">
      <c r="B96" s="18"/>
      <c r="C96" s="30"/>
      <c r="D96" s="18"/>
      <c r="E96" s="18"/>
      <c r="F96" s="18"/>
      <c r="G96" s="19"/>
      <c r="H96" s="18"/>
      <c r="I96" s="18"/>
      <c r="J96" s="19"/>
      <c r="K96" s="18"/>
      <c r="L96" s="18"/>
    </row>
    <row r="97" spans="2:12" ht="15">
      <c r="B97" s="18"/>
      <c r="C97" s="30"/>
      <c r="D97" s="18"/>
      <c r="E97" s="18"/>
      <c r="F97" s="18"/>
      <c r="G97" s="19"/>
      <c r="H97" s="18"/>
      <c r="I97" s="18"/>
      <c r="J97" s="19"/>
      <c r="K97" s="18"/>
      <c r="L97" s="18"/>
    </row>
    <row r="98" spans="2:12" ht="15">
      <c r="B98" s="18"/>
      <c r="C98" s="30"/>
      <c r="D98" s="18"/>
      <c r="E98" s="18"/>
      <c r="F98" s="18"/>
      <c r="G98" s="19"/>
      <c r="H98" s="18"/>
      <c r="I98" s="18"/>
      <c r="J98" s="19"/>
      <c r="K98" s="18"/>
      <c r="L98" s="18"/>
    </row>
    <row r="99" spans="2:12" ht="15">
      <c r="B99" s="18"/>
      <c r="C99" s="30"/>
      <c r="D99" s="18"/>
      <c r="E99" s="18"/>
      <c r="F99" s="18"/>
      <c r="G99" s="19"/>
      <c r="H99" s="18"/>
      <c r="I99" s="18"/>
      <c r="J99" s="19"/>
      <c r="K99" s="18"/>
      <c r="L99" s="18"/>
    </row>
    <row r="100" spans="2:12" ht="15">
      <c r="B100" s="18"/>
      <c r="C100" s="30"/>
      <c r="D100" s="18"/>
      <c r="E100" s="18"/>
      <c r="F100" s="18"/>
      <c r="G100" s="19"/>
      <c r="H100" s="18"/>
      <c r="I100" s="18"/>
      <c r="J100" s="19"/>
      <c r="K100" s="18"/>
      <c r="L100" s="18"/>
    </row>
    <row r="101" spans="2:12" ht="15">
      <c r="B101" s="18"/>
      <c r="C101" s="30"/>
      <c r="D101" s="18"/>
      <c r="E101" s="18"/>
      <c r="F101" s="18"/>
      <c r="G101" s="19"/>
      <c r="H101" s="18"/>
      <c r="I101" s="18"/>
      <c r="J101" s="19"/>
      <c r="K101" s="18"/>
      <c r="L101" s="18"/>
    </row>
    <row r="102" spans="2:12" ht="15">
      <c r="B102" s="18"/>
      <c r="C102" s="30"/>
      <c r="D102" s="18"/>
      <c r="E102" s="18"/>
      <c r="F102" s="18"/>
      <c r="G102" s="19"/>
      <c r="H102" s="18"/>
      <c r="I102" s="18"/>
      <c r="J102" s="19"/>
      <c r="K102" s="18"/>
      <c r="L102" s="18"/>
    </row>
    <row r="103" spans="2:12" ht="15">
      <c r="B103" s="18"/>
      <c r="C103" s="30"/>
      <c r="D103" s="18"/>
      <c r="E103" s="18"/>
      <c r="F103" s="18"/>
      <c r="G103" s="19"/>
      <c r="H103" s="18"/>
      <c r="I103" s="18"/>
      <c r="J103" s="19"/>
      <c r="K103" s="18"/>
      <c r="L103" s="18"/>
    </row>
    <row r="104" spans="2:12" ht="15">
      <c r="B104" s="18"/>
      <c r="C104" s="30"/>
      <c r="D104" s="18"/>
      <c r="E104" s="18"/>
      <c r="F104" s="18"/>
      <c r="G104" s="19"/>
      <c r="H104" s="18"/>
      <c r="I104" s="18"/>
      <c r="J104" s="19"/>
      <c r="K104" s="18"/>
      <c r="L104" s="18"/>
    </row>
    <row r="105" spans="2:12" ht="15">
      <c r="B105" s="18"/>
      <c r="C105" s="30"/>
      <c r="D105" s="18"/>
      <c r="E105" s="18"/>
      <c r="F105" s="18"/>
      <c r="G105" s="19"/>
      <c r="H105" s="18"/>
      <c r="I105" s="18"/>
      <c r="J105" s="19"/>
      <c r="K105" s="18"/>
      <c r="L105" s="18"/>
    </row>
    <row r="106" spans="2:12" ht="15">
      <c r="B106" s="18"/>
      <c r="C106" s="30"/>
      <c r="D106" s="18"/>
      <c r="E106" s="18"/>
      <c r="F106" s="18"/>
      <c r="G106" s="19"/>
      <c r="H106" s="18"/>
      <c r="I106" s="18"/>
      <c r="J106" s="19"/>
      <c r="K106" s="18"/>
      <c r="L106" s="18"/>
    </row>
    <row r="107" spans="2:12" ht="15">
      <c r="B107" s="18"/>
      <c r="C107" s="30"/>
      <c r="D107" s="18"/>
      <c r="E107" s="18"/>
      <c r="F107" s="18"/>
      <c r="G107" s="19"/>
      <c r="H107" s="18"/>
      <c r="I107" s="18"/>
      <c r="J107" s="19"/>
      <c r="K107" s="18"/>
      <c r="L107" s="18"/>
    </row>
    <row r="108" spans="2:12" ht="15">
      <c r="B108" s="18"/>
      <c r="C108" s="30"/>
      <c r="D108" s="18"/>
      <c r="E108" s="18"/>
      <c r="F108" s="18"/>
      <c r="G108" s="19"/>
      <c r="H108" s="18"/>
      <c r="I108" s="18"/>
      <c r="J108" s="19"/>
      <c r="K108" s="18"/>
      <c r="L108" s="18"/>
    </row>
    <row r="109" spans="2:12" ht="15">
      <c r="B109" s="18"/>
      <c r="C109" s="30"/>
      <c r="D109" s="18"/>
      <c r="E109" s="18"/>
      <c r="F109" s="18"/>
      <c r="G109" s="19"/>
      <c r="H109" s="18"/>
      <c r="I109" s="18"/>
      <c r="J109" s="19"/>
      <c r="K109" s="18"/>
      <c r="L109" s="18"/>
    </row>
    <row r="110" spans="2:12" ht="15">
      <c r="B110" s="18"/>
      <c r="C110" s="30"/>
      <c r="D110" s="18"/>
      <c r="E110" s="18"/>
      <c r="F110" s="18"/>
      <c r="G110" s="19"/>
      <c r="H110" s="18"/>
      <c r="I110" s="18"/>
      <c r="J110" s="19"/>
      <c r="K110" s="18"/>
      <c r="L110" s="18"/>
    </row>
    <row r="111" spans="2:12" ht="15">
      <c r="B111" s="18"/>
      <c r="C111" s="30"/>
      <c r="D111" s="18"/>
      <c r="E111" s="18"/>
      <c r="F111" s="18"/>
      <c r="G111" s="19"/>
      <c r="H111" s="18"/>
      <c r="I111" s="18"/>
      <c r="J111" s="19"/>
      <c r="K111" s="18"/>
      <c r="L111" s="18"/>
    </row>
    <row r="112" spans="2:12" ht="15">
      <c r="B112" s="18"/>
      <c r="C112" s="30"/>
      <c r="D112" s="18"/>
      <c r="E112" s="18"/>
      <c r="F112" s="18"/>
      <c r="G112" s="19"/>
      <c r="H112" s="18"/>
      <c r="I112" s="18"/>
      <c r="J112" s="19"/>
      <c r="K112" s="18"/>
      <c r="L112" s="18"/>
    </row>
    <row r="113" spans="2:12" ht="15">
      <c r="B113" s="18"/>
      <c r="C113" s="30"/>
      <c r="D113" s="18"/>
      <c r="E113" s="18"/>
      <c r="F113" s="18"/>
      <c r="G113" s="19"/>
      <c r="H113" s="18"/>
      <c r="I113" s="18"/>
      <c r="J113" s="19"/>
      <c r="K113" s="18"/>
      <c r="L113" s="18"/>
    </row>
    <row r="114" spans="2:12" ht="15">
      <c r="B114" s="18"/>
      <c r="C114" s="30"/>
      <c r="D114" s="18"/>
      <c r="E114" s="18"/>
      <c r="F114" s="18"/>
      <c r="G114" s="19"/>
      <c r="H114" s="18"/>
      <c r="I114" s="18"/>
      <c r="J114" s="19"/>
      <c r="K114" s="18"/>
      <c r="L114" s="18"/>
    </row>
    <row r="115" spans="2:12" ht="15">
      <c r="B115" s="18"/>
      <c r="C115" s="30"/>
      <c r="D115" s="18"/>
      <c r="E115" s="18"/>
      <c r="F115" s="18"/>
      <c r="G115" s="19"/>
      <c r="H115" s="18"/>
      <c r="I115" s="18"/>
      <c r="J115" s="19"/>
      <c r="K115" s="18"/>
      <c r="L115" s="18"/>
    </row>
    <row r="116" spans="2:12" ht="15">
      <c r="B116" s="18"/>
      <c r="C116" s="30"/>
      <c r="D116" s="18"/>
      <c r="E116" s="18"/>
      <c r="F116" s="18"/>
      <c r="G116" s="19"/>
      <c r="H116" s="18"/>
      <c r="I116" s="18"/>
      <c r="J116" s="19"/>
      <c r="K116" s="18"/>
      <c r="L116" s="18"/>
    </row>
    <row r="117" spans="2:12" ht="15">
      <c r="B117" s="18"/>
      <c r="C117" s="30"/>
      <c r="D117" s="18"/>
      <c r="E117" s="18"/>
      <c r="F117" s="18"/>
      <c r="G117" s="19"/>
      <c r="H117" s="18"/>
      <c r="I117" s="18"/>
      <c r="J117" s="19"/>
      <c r="K117" s="18"/>
      <c r="L117" s="18"/>
    </row>
    <row r="118" spans="2:12" ht="15">
      <c r="B118" s="18"/>
      <c r="C118" s="30"/>
      <c r="D118" s="18"/>
      <c r="E118" s="18"/>
      <c r="F118" s="18"/>
      <c r="G118" s="19"/>
      <c r="H118" s="18"/>
      <c r="I118" s="18"/>
      <c r="J118" s="19"/>
      <c r="K118" s="18"/>
      <c r="L118" s="18"/>
    </row>
    <row r="119" spans="2:12" ht="15">
      <c r="B119" s="18"/>
      <c r="C119" s="30"/>
      <c r="D119" s="18"/>
      <c r="E119" s="18"/>
      <c r="F119" s="18"/>
      <c r="G119" s="19"/>
      <c r="H119" s="18"/>
      <c r="I119" s="18"/>
      <c r="J119" s="19"/>
      <c r="K119" s="18"/>
      <c r="L119" s="18"/>
    </row>
    <row r="120" spans="2:12" ht="15">
      <c r="B120" s="18"/>
      <c r="C120" s="30"/>
      <c r="D120" s="18"/>
      <c r="E120" s="18"/>
      <c r="F120" s="18"/>
      <c r="G120" s="19"/>
      <c r="H120" s="18"/>
      <c r="I120" s="18"/>
      <c r="J120" s="19"/>
      <c r="K120" s="18"/>
      <c r="L120" s="18"/>
    </row>
    <row r="121" spans="2:12" ht="15">
      <c r="B121" s="18"/>
      <c r="C121" s="30"/>
      <c r="D121" s="18"/>
      <c r="E121" s="18"/>
      <c r="F121" s="18"/>
      <c r="G121" s="19"/>
      <c r="H121" s="18"/>
      <c r="I121" s="18"/>
      <c r="J121" s="19"/>
      <c r="K121" s="18"/>
      <c r="L121" s="18"/>
    </row>
    <row r="122" spans="2:12" ht="15">
      <c r="B122" s="18"/>
      <c r="C122" s="30"/>
      <c r="D122" s="18"/>
      <c r="E122" s="18"/>
      <c r="F122" s="18"/>
      <c r="G122" s="19"/>
      <c r="H122" s="18"/>
      <c r="I122" s="18"/>
      <c r="J122" s="19"/>
      <c r="K122" s="18"/>
      <c r="L122" s="18"/>
    </row>
    <row r="123" spans="2:12" ht="15">
      <c r="B123" s="18"/>
      <c r="C123" s="30"/>
      <c r="D123" s="18"/>
      <c r="E123" s="18"/>
      <c r="F123" s="18"/>
      <c r="G123" s="19"/>
      <c r="H123" s="18"/>
      <c r="I123" s="18"/>
      <c r="J123" s="19"/>
      <c r="K123" s="18"/>
      <c r="L123" s="18"/>
    </row>
    <row r="124" spans="2:12" ht="15">
      <c r="B124" s="18"/>
      <c r="C124" s="30"/>
      <c r="D124" s="18"/>
      <c r="E124" s="18"/>
      <c r="F124" s="18"/>
      <c r="G124" s="19"/>
      <c r="H124" s="18"/>
      <c r="I124" s="18"/>
      <c r="J124" s="19"/>
      <c r="K124" s="18"/>
      <c r="L124" s="18"/>
    </row>
    <row r="125" spans="2:12" ht="15">
      <c r="B125" s="18"/>
      <c r="C125" s="30"/>
      <c r="D125" s="18"/>
      <c r="E125" s="18"/>
      <c r="F125" s="18"/>
      <c r="G125" s="19"/>
      <c r="H125" s="18"/>
      <c r="I125" s="18"/>
      <c r="J125" s="19"/>
      <c r="K125" s="18"/>
      <c r="L125" s="18"/>
    </row>
    <row r="126" spans="2:12" ht="15">
      <c r="B126" s="18"/>
      <c r="C126" s="30"/>
      <c r="D126" s="18"/>
      <c r="E126" s="18"/>
      <c r="F126" s="18"/>
      <c r="G126" s="19"/>
      <c r="H126" s="18"/>
      <c r="I126" s="18"/>
      <c r="J126" s="19"/>
      <c r="K126" s="18"/>
      <c r="L126" s="18"/>
    </row>
    <row r="127" spans="2:12" ht="15">
      <c r="B127" s="18"/>
      <c r="C127" s="30"/>
      <c r="D127" s="18"/>
      <c r="E127" s="18"/>
      <c r="F127" s="18"/>
      <c r="G127" s="19"/>
      <c r="H127" s="18"/>
      <c r="I127" s="18"/>
      <c r="J127" s="19"/>
      <c r="K127" s="18"/>
      <c r="L127" s="18"/>
    </row>
    <row r="128" spans="2:12" ht="15">
      <c r="B128" s="18"/>
      <c r="C128" s="30"/>
      <c r="D128" s="18"/>
      <c r="E128" s="18"/>
      <c r="F128" s="18"/>
      <c r="G128" s="19"/>
      <c r="H128" s="18"/>
      <c r="I128" s="18"/>
      <c r="J128" s="19"/>
      <c r="K128" s="18"/>
      <c r="L128" s="18"/>
    </row>
    <row r="129" spans="2:12" ht="15">
      <c r="B129" s="18"/>
      <c r="C129" s="30"/>
      <c r="D129" s="18"/>
      <c r="E129" s="18"/>
      <c r="F129" s="18"/>
      <c r="G129" s="19"/>
      <c r="H129" s="18"/>
      <c r="I129" s="18"/>
      <c r="J129" s="19"/>
      <c r="K129" s="18"/>
      <c r="L129" s="18"/>
    </row>
    <row r="130" spans="2:12" ht="15">
      <c r="B130" s="18"/>
      <c r="C130" s="30"/>
      <c r="D130" s="18"/>
      <c r="E130" s="18"/>
      <c r="F130" s="18"/>
      <c r="G130" s="19"/>
      <c r="H130" s="18"/>
      <c r="I130" s="18"/>
      <c r="J130" s="19"/>
      <c r="K130" s="18"/>
      <c r="L130" s="18"/>
    </row>
    <row r="131" spans="2:12" ht="15">
      <c r="B131" s="18"/>
      <c r="C131" s="30"/>
      <c r="D131" s="18"/>
      <c r="E131" s="18"/>
      <c r="F131" s="18"/>
      <c r="G131" s="19"/>
      <c r="H131" s="18"/>
      <c r="I131" s="18"/>
      <c r="J131" s="19"/>
      <c r="K131" s="18"/>
      <c r="L131" s="18"/>
    </row>
    <row r="132" spans="2:12" ht="15">
      <c r="B132" s="18"/>
      <c r="C132" s="30"/>
      <c r="D132" s="18"/>
      <c r="E132" s="18"/>
      <c r="F132" s="18"/>
      <c r="G132" s="19"/>
      <c r="H132" s="18"/>
      <c r="I132" s="18"/>
      <c r="J132" s="19"/>
      <c r="K132" s="18"/>
      <c r="L132" s="18"/>
    </row>
    <row r="133" spans="2:12" ht="15">
      <c r="B133" s="18"/>
      <c r="C133" s="30"/>
      <c r="D133" s="18"/>
      <c r="E133" s="18"/>
      <c r="F133" s="18"/>
      <c r="G133" s="19"/>
      <c r="H133" s="18"/>
      <c r="I133" s="18"/>
      <c r="J133" s="19"/>
      <c r="K133" s="18"/>
      <c r="L133" s="18"/>
    </row>
    <row r="134" spans="2:12" ht="15">
      <c r="B134" s="18"/>
      <c r="C134" s="30"/>
      <c r="D134" s="18"/>
      <c r="E134" s="18"/>
      <c r="F134" s="18"/>
      <c r="G134" s="19"/>
      <c r="H134" s="18"/>
      <c r="I134" s="18"/>
      <c r="J134" s="19"/>
      <c r="K134" s="18"/>
      <c r="L134" s="18"/>
    </row>
    <row r="135" spans="2:12" ht="15">
      <c r="B135" s="18"/>
      <c r="C135" s="30"/>
      <c r="D135" s="18"/>
      <c r="E135" s="18"/>
      <c r="F135" s="18"/>
      <c r="G135" s="19"/>
      <c r="H135" s="18"/>
      <c r="I135" s="18"/>
      <c r="J135" s="19"/>
      <c r="K135" s="18"/>
      <c r="L135" s="18"/>
    </row>
    <row r="136" spans="2:12" ht="15">
      <c r="B136" s="18"/>
      <c r="C136" s="30"/>
      <c r="D136" s="18"/>
      <c r="E136" s="18"/>
      <c r="F136" s="18"/>
      <c r="G136" s="19"/>
      <c r="H136" s="18"/>
      <c r="I136" s="18"/>
      <c r="J136" s="19"/>
      <c r="K136" s="18"/>
      <c r="L136" s="18"/>
    </row>
    <row r="137" spans="2:12" ht="15">
      <c r="B137" s="18"/>
      <c r="C137" s="30"/>
      <c r="D137" s="18"/>
      <c r="E137" s="18"/>
      <c r="F137" s="18"/>
      <c r="G137" s="19"/>
      <c r="H137" s="18"/>
      <c r="I137" s="18"/>
      <c r="J137" s="19"/>
      <c r="K137" s="18"/>
      <c r="L137" s="18"/>
    </row>
    <row r="138" spans="2:12" ht="15">
      <c r="B138" s="18"/>
      <c r="C138" s="30"/>
      <c r="D138" s="18"/>
      <c r="E138" s="18"/>
      <c r="F138" s="18"/>
      <c r="G138" s="19"/>
      <c r="H138" s="18"/>
      <c r="I138" s="18"/>
      <c r="J138" s="19"/>
      <c r="K138" s="18"/>
      <c r="L138" s="18"/>
    </row>
    <row r="139" spans="2:12" ht="15">
      <c r="B139" s="18"/>
      <c r="C139" s="30"/>
      <c r="D139" s="18"/>
      <c r="E139" s="18"/>
      <c r="F139" s="18"/>
      <c r="G139" s="19"/>
      <c r="H139" s="18"/>
      <c r="I139" s="18"/>
      <c r="J139" s="19"/>
      <c r="K139" s="18"/>
      <c r="L139" s="18"/>
    </row>
    <row r="140" spans="2:12" ht="15">
      <c r="B140" s="18"/>
      <c r="C140" s="30"/>
      <c r="D140" s="18"/>
      <c r="E140" s="18"/>
      <c r="F140" s="18"/>
      <c r="G140" s="19"/>
      <c r="H140" s="18"/>
      <c r="I140" s="18"/>
      <c r="J140" s="19"/>
      <c r="K140" s="18"/>
      <c r="L140" s="18"/>
    </row>
    <row r="141" spans="2:12" ht="15">
      <c r="B141" s="18"/>
      <c r="C141" s="30"/>
      <c r="D141" s="18"/>
      <c r="E141" s="18"/>
      <c r="F141" s="18"/>
      <c r="G141" s="19"/>
      <c r="H141" s="18"/>
      <c r="I141" s="18"/>
      <c r="J141" s="19"/>
      <c r="K141" s="18"/>
      <c r="L141" s="18"/>
    </row>
    <row r="142" spans="2:12" ht="15">
      <c r="B142" s="18"/>
      <c r="C142" s="30"/>
      <c r="D142" s="18"/>
      <c r="E142" s="18"/>
      <c r="F142" s="18"/>
      <c r="G142" s="19"/>
      <c r="H142" s="18"/>
      <c r="I142" s="18"/>
      <c r="J142" s="19"/>
      <c r="K142" s="18"/>
      <c r="L142" s="18"/>
    </row>
    <row r="143" spans="2:12" ht="15">
      <c r="B143" s="18"/>
      <c r="C143" s="30"/>
      <c r="D143" s="18"/>
      <c r="E143" s="18"/>
      <c r="F143" s="18"/>
      <c r="G143" s="19"/>
      <c r="H143" s="18"/>
      <c r="I143" s="18"/>
      <c r="J143" s="19"/>
      <c r="K143" s="18"/>
      <c r="L143" s="18"/>
    </row>
    <row r="144" spans="2:12" ht="15">
      <c r="B144" s="18"/>
      <c r="C144" s="30"/>
      <c r="D144" s="18"/>
      <c r="E144" s="18"/>
      <c r="F144" s="18"/>
      <c r="G144" s="19"/>
      <c r="H144" s="18"/>
      <c r="I144" s="18"/>
      <c r="J144" s="19"/>
      <c r="K144" s="18"/>
      <c r="L144" s="18"/>
    </row>
    <row r="145" spans="2:12" ht="15">
      <c r="B145" s="18"/>
      <c r="C145" s="30"/>
      <c r="D145" s="18"/>
      <c r="E145" s="18"/>
      <c r="F145" s="18"/>
      <c r="G145" s="19"/>
      <c r="H145" s="18"/>
      <c r="I145" s="18"/>
      <c r="J145" s="19"/>
      <c r="K145" s="18"/>
      <c r="L145" s="18"/>
    </row>
    <row r="146" spans="2:12" ht="15">
      <c r="B146" s="18"/>
      <c r="C146" s="30"/>
      <c r="D146" s="18"/>
      <c r="E146" s="18"/>
      <c r="F146" s="18"/>
      <c r="G146" s="19"/>
      <c r="H146" s="18"/>
      <c r="I146" s="18"/>
      <c r="J146" s="19"/>
      <c r="K146" s="18"/>
      <c r="L146" s="18"/>
    </row>
    <row r="147" spans="2:12" ht="15">
      <c r="B147" s="18"/>
      <c r="C147" s="30"/>
      <c r="D147" s="18"/>
      <c r="E147" s="18"/>
      <c r="F147" s="18"/>
      <c r="G147" s="19"/>
      <c r="H147" s="18"/>
      <c r="I147" s="18"/>
      <c r="J147" s="19"/>
      <c r="K147" s="18"/>
      <c r="L147" s="18"/>
    </row>
    <row r="148" spans="2:12" ht="15">
      <c r="B148" s="18"/>
      <c r="C148" s="30"/>
      <c r="D148" s="18"/>
      <c r="E148" s="18"/>
      <c r="F148" s="18"/>
      <c r="G148" s="19"/>
      <c r="H148" s="18"/>
      <c r="I148" s="18"/>
      <c r="J148" s="19"/>
      <c r="K148" s="18"/>
      <c r="L148" s="18"/>
    </row>
    <row r="149" spans="2:12" ht="15">
      <c r="B149" s="18"/>
      <c r="C149" s="30"/>
      <c r="D149" s="18"/>
      <c r="E149" s="18"/>
      <c r="F149" s="18"/>
      <c r="G149" s="19"/>
      <c r="H149" s="18"/>
      <c r="I149" s="18"/>
      <c r="J149" s="19"/>
      <c r="K149" s="18"/>
      <c r="L149" s="18"/>
    </row>
    <row r="150" spans="2:12" ht="15">
      <c r="B150" s="18"/>
      <c r="C150" s="30"/>
      <c r="D150" s="18"/>
      <c r="E150" s="18"/>
      <c r="F150" s="18"/>
      <c r="G150" s="19"/>
      <c r="H150" s="18"/>
      <c r="I150" s="18"/>
      <c r="J150" s="19"/>
      <c r="K150" s="18"/>
      <c r="L150" s="18"/>
    </row>
    <row r="151" spans="2:12" ht="15">
      <c r="B151" s="18"/>
      <c r="C151" s="30"/>
      <c r="D151" s="18"/>
      <c r="E151" s="18"/>
      <c r="F151" s="18"/>
      <c r="G151" s="19"/>
      <c r="H151" s="18"/>
      <c r="I151" s="18"/>
      <c r="J151" s="19"/>
      <c r="K151" s="18"/>
      <c r="L151" s="18"/>
    </row>
    <row r="152" spans="2:12" ht="15">
      <c r="B152" s="18"/>
      <c r="C152" s="30"/>
      <c r="D152" s="18"/>
      <c r="E152" s="18"/>
      <c r="F152" s="18"/>
      <c r="G152" s="19"/>
      <c r="H152" s="18"/>
      <c r="I152" s="18"/>
      <c r="J152" s="19"/>
      <c r="K152" s="18"/>
      <c r="L152" s="18"/>
    </row>
    <row r="153" spans="2:12" ht="15">
      <c r="B153" s="18"/>
      <c r="C153" s="30"/>
      <c r="D153" s="18"/>
      <c r="E153" s="18"/>
      <c r="F153" s="18"/>
      <c r="G153" s="19"/>
      <c r="H153" s="18"/>
      <c r="I153" s="18"/>
      <c r="J153" s="19"/>
      <c r="K153" s="18"/>
      <c r="L153" s="18"/>
    </row>
    <row r="154" spans="2:12" ht="15">
      <c r="B154" s="18"/>
      <c r="C154" s="30"/>
      <c r="D154" s="18"/>
      <c r="E154" s="18"/>
      <c r="F154" s="18"/>
      <c r="G154" s="19"/>
      <c r="H154" s="18"/>
      <c r="I154" s="18"/>
      <c r="J154" s="19"/>
      <c r="K154" s="18"/>
      <c r="L154" s="18"/>
    </row>
    <row r="155" spans="2:12" ht="15">
      <c r="B155" s="18"/>
      <c r="C155" s="30"/>
      <c r="D155" s="18"/>
      <c r="E155" s="18"/>
      <c r="F155" s="18"/>
      <c r="G155" s="19"/>
      <c r="H155" s="18"/>
      <c r="I155" s="18"/>
      <c r="J155" s="19"/>
      <c r="K155" s="18"/>
      <c r="L155" s="18"/>
    </row>
    <row r="156" spans="2:12" ht="15">
      <c r="B156" s="18"/>
      <c r="C156" s="30"/>
      <c r="D156" s="18"/>
      <c r="E156" s="18"/>
      <c r="F156" s="18"/>
      <c r="G156" s="19"/>
      <c r="H156" s="18"/>
      <c r="I156" s="18"/>
      <c r="J156" s="19"/>
      <c r="K156" s="18"/>
      <c r="L156" s="18"/>
    </row>
    <row r="157" spans="2:12" ht="15">
      <c r="B157" s="18"/>
      <c r="C157" s="30"/>
      <c r="D157" s="18"/>
      <c r="E157" s="18"/>
      <c r="F157" s="18"/>
      <c r="G157" s="19"/>
      <c r="H157" s="18"/>
      <c r="I157" s="18"/>
      <c r="J157" s="19"/>
      <c r="K157" s="18"/>
      <c r="L157" s="18"/>
    </row>
    <row r="158" spans="2:12" ht="15">
      <c r="B158" s="18"/>
      <c r="C158" s="30"/>
      <c r="D158" s="18"/>
      <c r="E158" s="18"/>
      <c r="F158" s="18"/>
      <c r="G158" s="19"/>
      <c r="H158" s="18"/>
      <c r="I158" s="18"/>
      <c r="J158" s="19"/>
      <c r="K158" s="18"/>
      <c r="L158" s="18"/>
    </row>
    <row r="159" spans="2:12" ht="15">
      <c r="B159" s="18"/>
      <c r="C159" s="30"/>
      <c r="D159" s="18"/>
      <c r="E159" s="18"/>
      <c r="F159" s="18"/>
      <c r="G159" s="19"/>
      <c r="H159" s="18"/>
      <c r="I159" s="18"/>
      <c r="J159" s="19"/>
      <c r="K159" s="18"/>
      <c r="L159" s="18"/>
    </row>
    <row r="160" spans="2:12" ht="15">
      <c r="B160" s="18"/>
      <c r="C160" s="30"/>
      <c r="D160" s="18"/>
      <c r="E160" s="18"/>
      <c r="F160" s="18"/>
      <c r="G160" s="19"/>
      <c r="H160" s="18"/>
      <c r="I160" s="18"/>
      <c r="J160" s="19"/>
      <c r="K160" s="18"/>
      <c r="L160" s="18"/>
    </row>
    <row r="161" spans="2:12" ht="15">
      <c r="B161" s="18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2:12" ht="15">
      <c r="B162" s="18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2:12" ht="15">
      <c r="B163" s="18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2:12" ht="15">
      <c r="B164" s="18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2:12" ht="15">
      <c r="B165" s="18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2:12" ht="15">
      <c r="B166" s="18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2:12" ht="15">
      <c r="B167" s="18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2:12" ht="15">
      <c r="B168" s="18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2:12" ht="15">
      <c r="B169" s="18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2:12" ht="15">
      <c r="B170" s="18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2:12" ht="15">
      <c r="B171" s="18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2:12" ht="15">
      <c r="B172" s="18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2:12" ht="15">
      <c r="B173" s="18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2:12" ht="15">
      <c r="B174" s="18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2:12" ht="15">
      <c r="B175" s="18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2:12" ht="15">
      <c r="B176" s="18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2:12" ht="15">
      <c r="B177" s="18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2:12" ht="15">
      <c r="B178" s="18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2:12" ht="15">
      <c r="B179" s="18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2:12" ht="15">
      <c r="B180" s="18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2:12" ht="15">
      <c r="B181" s="18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2:12" ht="15">
      <c r="B182" s="18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2:12" ht="15">
      <c r="B183" s="18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2:12" ht="15">
      <c r="B184" s="18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2:12" ht="15">
      <c r="B185" s="18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2:12" ht="15">
      <c r="B186" s="18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2:12" ht="15">
      <c r="B187" s="18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2:12" ht="15">
      <c r="B188" s="18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2:12" ht="15">
      <c r="B189" s="18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2:12" ht="15">
      <c r="B190" s="18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2:12" ht="15">
      <c r="B191" s="18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2:12" ht="15">
      <c r="B192" s="18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2:12" ht="15">
      <c r="B193" s="18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2:12" ht="15">
      <c r="B194" s="18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2:12" ht="15">
      <c r="B195" s="18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2:12" ht="15">
      <c r="B196" s="18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2:12" ht="15">
      <c r="B197" s="18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2:12" ht="15">
      <c r="B198" s="18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2:12" ht="15">
      <c r="B199" s="18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2:12" ht="15">
      <c r="B200" s="18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2:12" ht="15">
      <c r="B201" s="18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2:12" ht="15">
      <c r="B202" s="18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2:12" ht="15">
      <c r="B203" s="18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2:12" ht="15">
      <c r="B204" s="18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2:12" ht="15">
      <c r="B205" s="18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2:12" ht="15">
      <c r="B206" s="18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2:12" ht="15">
      <c r="B207" s="18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2:12" ht="15">
      <c r="B208" s="18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2:12" ht="15">
      <c r="B209" s="18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2:12" ht="15">
      <c r="B210" s="18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2:12" ht="15">
      <c r="B211" s="18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2:12" ht="15">
      <c r="B212" s="18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2:12" ht="15">
      <c r="B213" s="18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2:12" ht="15">
      <c r="B214" s="18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2:12" ht="15">
      <c r="B215" s="18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2:12" ht="15">
      <c r="B216" s="18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2:12" ht="15">
      <c r="B217" s="18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2:12" ht="15">
      <c r="B218" s="18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2:12" ht="15">
      <c r="B219" s="18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2:12" ht="15">
      <c r="B220" s="18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2:12" ht="15">
      <c r="B221" s="18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2:12" ht="15">
      <c r="B222" s="18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2:12" ht="15">
      <c r="B223" s="18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2:12" ht="15">
      <c r="B224" s="18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2:12" ht="15">
      <c r="B225" s="18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2:12" ht="15">
      <c r="B226" s="18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2:12" ht="15">
      <c r="B227" s="18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2:12" ht="15">
      <c r="B228" s="18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2:12" ht="15">
      <c r="B229" s="18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2:12" ht="15">
      <c r="B230" s="18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2:12" ht="15">
      <c r="B231" s="18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2:12" ht="15">
      <c r="B232" s="18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2:12" ht="15">
      <c r="B233" s="18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2:12" ht="15">
      <c r="B234" s="18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2:12" ht="15">
      <c r="B235" s="18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2:12" ht="15">
      <c r="B236" s="18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2:12" ht="15">
      <c r="B237" s="18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2:12" ht="15">
      <c r="B238" s="18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2:12" ht="15">
      <c r="B239" s="18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2:12" ht="15">
      <c r="B240" s="18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2:12" ht="15">
      <c r="B241" s="18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2:12" ht="15">
      <c r="B242" s="18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2:12" ht="15">
      <c r="B243" s="18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2:12" ht="15">
      <c r="B244" s="18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2:12" ht="15">
      <c r="B245" s="18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2:12" ht="15">
      <c r="B246" s="18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2:12" ht="15">
      <c r="B247" s="18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2:12" ht="15">
      <c r="B248" s="18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2:12" ht="15">
      <c r="B249" s="18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2:12" ht="15">
      <c r="B250" s="18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2:12" ht="15">
      <c r="B251" s="18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2:12" ht="15">
      <c r="B252" s="18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2:12" ht="15">
      <c r="B253" s="18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2:12" ht="15">
      <c r="B254" s="18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2:12" ht="15">
      <c r="B255" s="18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2:12" ht="15">
      <c r="B256" s="208" t="s">
        <v>321</v>
      </c>
      <c r="C256" s="208"/>
      <c r="D256" s="208"/>
      <c r="E256" s="18"/>
      <c r="F256" s="18"/>
      <c r="G256" s="19"/>
      <c r="H256" s="18"/>
      <c r="I256" s="18"/>
      <c r="J256" s="19"/>
      <c r="K256" s="18"/>
      <c r="L256" s="18"/>
    </row>
    <row r="257" spans="2:12" ht="15">
      <c r="B257" s="146" t="s">
        <v>322</v>
      </c>
      <c r="C257" s="146">
        <v>23</v>
      </c>
      <c r="D257" s="148">
        <v>0.28399999999999997</v>
      </c>
      <c r="E257" s="18"/>
      <c r="F257" s="18"/>
      <c r="G257" s="19"/>
      <c r="H257" s="18"/>
      <c r="I257" s="18"/>
      <c r="J257" s="19"/>
      <c r="K257" s="18"/>
      <c r="L257" s="18"/>
    </row>
    <row r="258" spans="2:12" ht="15">
      <c r="B258" s="146" t="s">
        <v>323</v>
      </c>
      <c r="C258" s="146">
        <v>18</v>
      </c>
      <c r="D258" s="148">
        <v>0.22220000000000001</v>
      </c>
      <c r="E258" s="18"/>
      <c r="F258" s="18"/>
      <c r="G258" s="19"/>
      <c r="H258" s="18"/>
      <c r="I258" s="18"/>
      <c r="J258" s="19"/>
      <c r="K258" s="18"/>
      <c r="L258" s="18"/>
    </row>
    <row r="259" spans="2:12" ht="15">
      <c r="B259" s="146" t="s">
        <v>324</v>
      </c>
      <c r="C259" s="146">
        <v>40</v>
      </c>
      <c r="D259" s="148">
        <v>0.49380000000000002</v>
      </c>
      <c r="E259" s="18"/>
      <c r="F259" s="18"/>
      <c r="G259" s="19"/>
      <c r="H259" s="18"/>
      <c r="I259" s="18"/>
      <c r="J259" s="19"/>
      <c r="K259" s="18"/>
      <c r="L259" s="18"/>
    </row>
    <row r="260" spans="2:12" ht="15">
      <c r="B260" s="146"/>
      <c r="C260" s="146"/>
      <c r="D260" s="146"/>
      <c r="E260" s="18"/>
      <c r="F260" s="18"/>
      <c r="G260" s="19"/>
      <c r="H260" s="18"/>
      <c r="I260" s="18"/>
      <c r="J260" s="19"/>
      <c r="K260" s="18"/>
      <c r="L260" s="18"/>
    </row>
    <row r="261" spans="2:12" ht="15">
      <c r="B261" s="146"/>
      <c r="C261" s="146"/>
      <c r="D261" s="146"/>
      <c r="E261" s="18"/>
      <c r="F261" s="18"/>
      <c r="G261" s="19"/>
      <c r="H261" s="18"/>
      <c r="I261" s="18"/>
      <c r="J261" s="19"/>
      <c r="K261" s="18"/>
      <c r="L261" s="18"/>
    </row>
    <row r="262" spans="2:12" ht="15">
      <c r="B262" s="208" t="s">
        <v>325</v>
      </c>
      <c r="C262" s="208"/>
      <c r="D262" s="208"/>
      <c r="E262" s="18"/>
      <c r="F262" s="18"/>
      <c r="G262" s="19"/>
      <c r="H262" s="18"/>
      <c r="I262" s="18"/>
      <c r="J262" s="19"/>
      <c r="K262" s="18"/>
      <c r="L262" s="18"/>
    </row>
    <row r="263" spans="2:12" ht="15">
      <c r="B263" s="146" t="s">
        <v>322</v>
      </c>
      <c r="C263" s="146">
        <v>58</v>
      </c>
      <c r="D263" s="148">
        <v>0.71599999999999997</v>
      </c>
      <c r="E263" s="18"/>
      <c r="F263" s="18"/>
      <c r="G263" s="19"/>
      <c r="H263" s="18"/>
      <c r="I263" s="18"/>
      <c r="J263" s="19"/>
      <c r="K263" s="18"/>
      <c r="L263" s="18"/>
    </row>
    <row r="264" spans="2:12" ht="15">
      <c r="B264" s="146" t="s">
        <v>323</v>
      </c>
      <c r="C264" s="146">
        <v>8</v>
      </c>
      <c r="D264" s="148">
        <v>9.8799999999999999E-2</v>
      </c>
      <c r="E264" s="18"/>
      <c r="F264" s="18"/>
      <c r="G264" s="19"/>
      <c r="H264" s="18"/>
      <c r="I264" s="18"/>
      <c r="J264" s="19"/>
      <c r="K264" s="18"/>
      <c r="L264" s="18"/>
    </row>
    <row r="265" spans="2:12" ht="15">
      <c r="B265" s="146" t="s">
        <v>324</v>
      </c>
      <c r="C265" s="146">
        <v>15</v>
      </c>
      <c r="D265" s="148">
        <v>0.1852</v>
      </c>
      <c r="E265" s="18"/>
      <c r="F265" s="18"/>
      <c r="G265" s="19"/>
      <c r="H265" s="18"/>
      <c r="I265" s="18"/>
      <c r="J265" s="19"/>
      <c r="K265" s="18"/>
      <c r="L265" s="18"/>
    </row>
    <row r="266" spans="2:12" ht="15">
      <c r="B266" s="18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2:12" ht="15">
      <c r="B267" s="18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2:12" ht="15">
      <c r="B268" s="18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2:12" ht="15">
      <c r="B269" s="18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2:12" ht="15">
      <c r="B270" s="18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2:12" ht="15">
      <c r="B271" s="18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2:12" ht="15">
      <c r="B272" s="18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2:12" ht="15">
      <c r="B273" s="18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2:12" ht="15">
      <c r="B274" s="18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2:12" ht="15">
      <c r="B275" s="18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2:12" ht="15">
      <c r="B276" s="18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2:12" ht="15">
      <c r="B277" s="18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2:12" ht="15">
      <c r="B278" s="18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2:12" ht="15">
      <c r="B279" s="18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2:12" ht="15">
      <c r="B280" s="18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2:12" ht="15">
      <c r="B281" s="18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2:12" ht="15">
      <c r="B282" s="18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2:12" ht="15">
      <c r="B283" s="18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2:12" ht="15">
      <c r="B284" s="18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2:12" ht="15">
      <c r="B285" s="18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2:12" ht="15">
      <c r="B286" s="18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2:12" ht="15">
      <c r="B287" s="18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2:12" ht="15">
      <c r="B288" s="18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2:12" ht="15">
      <c r="B289" s="18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2:12" ht="15">
      <c r="B290" s="18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2:12" ht="15">
      <c r="B291" s="18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2:12" ht="15">
      <c r="B292" s="18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2:12" ht="15">
      <c r="B293" s="18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2:12" ht="15">
      <c r="B294" s="18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2:12" ht="15">
      <c r="B295" s="18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2:12" ht="15">
      <c r="B296" s="18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2:12" ht="15">
      <c r="B297" s="18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2:12" ht="15">
      <c r="B298" s="18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2:12" ht="15">
      <c r="B299" s="18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2:12" ht="15">
      <c r="B300" s="18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2:12" ht="15">
      <c r="B301" s="18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2:12" ht="15">
      <c r="B302" s="18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2:12" ht="15">
      <c r="B303" s="18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2:12" ht="15">
      <c r="B304" s="18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2:12" ht="15">
      <c r="B305" s="18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2:12" ht="15">
      <c r="B306" s="18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2:12" ht="15">
      <c r="B307" s="18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2:12" ht="15">
      <c r="B308" s="18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2:12" ht="15">
      <c r="B309" s="18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2:12" ht="15">
      <c r="B310" s="18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2:12" ht="15">
      <c r="B311" s="18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2:12" ht="15">
      <c r="B312" s="18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2:12" ht="15">
      <c r="B313" s="18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2:12" ht="15">
      <c r="B314" s="18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2:12" ht="15">
      <c r="B315" s="18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2:12" ht="15">
      <c r="B316" s="18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2:12" ht="15">
      <c r="B317" s="18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2:12" ht="15">
      <c r="B318" s="18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2:12" ht="15">
      <c r="B319" s="18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2:12" ht="15">
      <c r="B320" s="18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2:12" ht="15">
      <c r="B321" s="18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2:12" ht="15">
      <c r="B322" s="18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2:12" ht="15">
      <c r="B323" s="18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2:12" ht="15">
      <c r="B324" s="18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2:12" ht="15">
      <c r="B325" s="18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2:12" ht="15">
      <c r="B326" s="18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2:12" ht="15">
      <c r="B327" s="18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2:12" ht="15">
      <c r="B328" s="18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2:12" ht="15">
      <c r="B329" s="18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2:12" ht="15">
      <c r="B330" s="18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2:12" ht="15">
      <c r="B331" s="18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2:12" ht="15">
      <c r="B332" s="18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2:12">
      <c r="D333" s="18"/>
      <c r="E333" s="18"/>
      <c r="F333" s="18"/>
      <c r="G333" s="19"/>
      <c r="H333" s="18"/>
      <c r="I333" s="18"/>
      <c r="J333" s="19"/>
      <c r="K333" s="18"/>
      <c r="L333" s="18"/>
    </row>
  </sheetData>
  <autoFilter ref="B3:L3" xr:uid="{48D80AE8-42BF-4DAC-863F-113F77A3E00F}"/>
  <mergeCells count="6">
    <mergeCell ref="B262:D262"/>
    <mergeCell ref="H1:J1"/>
    <mergeCell ref="B1:D1"/>
    <mergeCell ref="E1:G1"/>
    <mergeCell ref="B2:C2"/>
    <mergeCell ref="B256:D256"/>
  </mergeCells>
  <phoneticPr fontId="40" type="noConversion"/>
  <conditionalFormatting sqref="G2 J2 G4:G91 J4:J91">
    <cfRule type="cellIs" dxfId="10" priority="11" stopIfTrue="1" operator="lessThanOrEqual">
      <formula>-0.1</formula>
    </cfRule>
    <cfRule type="expression" dxfId="9" priority="12">
      <formula>AND(ISNUMBER(G2), G2&gt;=0.1)</formula>
    </cfRule>
  </conditionalFormatting>
  <hyperlinks>
    <hyperlink ref="L6" r:id="rId1" display="https://us3.assetplanner.com/service_request?ID=099548" xr:uid="{B2282D3E-80B4-4023-823F-9DB5E14B1EF8}"/>
    <hyperlink ref="L9" r:id="rId2" display="https://us3.assetplanner.com/service_request?ID=105604" xr:uid="{AD7B3C72-084E-406A-BDC3-5BF426E7969B}"/>
    <hyperlink ref="L10" r:id="rId3" display="https://us3.assetplanner.com/service_request?ID=103075" xr:uid="{1D98DD94-BF75-434C-AC82-7262BC580D10}"/>
    <hyperlink ref="L13" r:id="rId4" display="https://us3.assetplanner.com/service_request?ID=105436" xr:uid="{6568927A-05FD-4968-B5A4-A8A2B64F9CE3}"/>
    <hyperlink ref="L14" r:id="rId5" display="https://us3.assetplanner.com/service_request?ID=105437" xr:uid="{E01541EC-32F8-44B1-833E-7D1425CD29BB}"/>
    <hyperlink ref="L19" r:id="rId6" display="https://us3.assetplanner.com/service_request?ID=088667" xr:uid="{FBC9F16E-1769-467C-B195-5C9FE38891B4}"/>
    <hyperlink ref="M19" r:id="rId7" display="https://us3.assetplanner.com/service_request?ID=077700" xr:uid="{96485EDC-1C5A-4B33-A620-B39B0CC0C94A}"/>
    <hyperlink ref="L20" r:id="rId8" display="https://us3.assetplanner.com/service_request?ID=098782" xr:uid="{84A9A846-7205-4FE4-BC84-FFA78D58A563}"/>
    <hyperlink ref="M20" r:id="rId9" display="https://us3.assetplanner.com/service_request?ID=098791" xr:uid="{5DE5826F-D2A4-4D2E-84CA-7A9A954C5A3D}"/>
    <hyperlink ref="L22" r:id="rId10" display="https://us3.assetplanner.com/service_request?ID=105483" xr:uid="{3CB34C8E-FC6A-40D6-A106-55E749A8A686}"/>
    <hyperlink ref="M22" r:id="rId11" display="https://us3.assetplanner.com/service_request?ID=105331" xr:uid="{9956E975-D479-40F1-9EE5-FA62C6481DA8}"/>
    <hyperlink ref="L23" r:id="rId12" display="https://us3.assetplanner.com/service_request?ID=106886" xr:uid="{6583C608-1AF2-403C-900D-462DE3D53296}"/>
    <hyperlink ref="L34" r:id="rId13" display="https://us3.assetplanner.com/service_request?ID=100979" xr:uid="{066EF0AC-A2E0-40D3-8B98-6155AD500A0F}"/>
    <hyperlink ref="L38" r:id="rId14" display="https://us3.assetplanner.com/service_request?ID=100592" xr:uid="{08D7CDDE-CD02-436C-BB2A-6D9DF2561FBF}"/>
    <hyperlink ref="L46" r:id="rId15" display="https://us3.assetplanner.com/service_request?ID=075812" xr:uid="{9D9D51D1-5127-4923-8281-302DCEA580F5}"/>
    <hyperlink ref="L47" r:id="rId16" display="https://us3.assetplanner.com/service_request?ID=100593" xr:uid="{984B97B9-5443-4E0E-A44E-8D230A6A1EE9}"/>
    <hyperlink ref="L56" r:id="rId17" display="https://us3.assetplanner.com/service_request?ID=106961" xr:uid="{3D251421-77EF-45AF-BC71-1D8E60099174}"/>
    <hyperlink ref="L64" r:id="rId18" display="https://us3.assetplanner.com/service_request?ID=106784" xr:uid="{FAEABB84-58C3-4CA8-8053-779BE2A400C5}"/>
    <hyperlink ref="L67" r:id="rId19" display="https://us3.assetplanner.com/service_request?ID=101247" xr:uid="{A479E181-37C9-4B55-A315-B9A83BB11256}"/>
    <hyperlink ref="M67" r:id="rId20" display="https://us3.assetplanner.com/service_request?ID=106393" xr:uid="{527E6976-C7D7-48E9-AAEB-F68758C1FD88}"/>
    <hyperlink ref="L75" r:id="rId21" display="https://us3.assetplanner.com/service_request?ID=104629" xr:uid="{F0A60F18-3532-4AB5-9B4B-20B771AF30C4}"/>
    <hyperlink ref="L78" r:id="rId22" display="https://us3.assetplanner.com/service_request?ID=104656" xr:uid="{FD1A5FEE-05A5-4B3E-A0BA-6B0EA0232F21}"/>
    <hyperlink ref="L83" r:id="rId23" display="https://us3.assetplanner.com/service_request?ID=104705" xr:uid="{82C381A4-F129-4ADA-979E-5D5A2C066246}"/>
    <hyperlink ref="L16" r:id="rId24" display="https://us3.assetplanner.com/service_request?ID=105517" xr:uid="{AC70136D-CE71-4891-A84F-638982A00792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zoomScale="80" zoomScaleNormal="80" workbookViewId="0">
      <pane xSplit="2" ySplit="3" topLeftCell="H7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210" t="str" cm="1">
        <f t="array" ref="A1">portfolio</f>
        <v>Wells Fargo</v>
      </c>
      <c r="B1" s="210"/>
      <c r="C1" s="210"/>
      <c r="D1" s="211" t="s">
        <v>326</v>
      </c>
      <c r="E1" s="211"/>
      <c r="F1" s="211"/>
      <c r="G1" s="209" t="s">
        <v>327</v>
      </c>
      <c r="H1" s="209"/>
      <c r="I1" s="209"/>
      <c r="J1" s="3"/>
      <c r="K1" s="3"/>
    </row>
    <row r="2" spans="1:11" ht="19.5" customHeight="1">
      <c r="A2" s="220" t="s">
        <v>2</v>
      </c>
      <c r="B2" s="220"/>
      <c r="C2" s="4">
        <f>SUM(C4:C91)</f>
        <v>0</v>
      </c>
      <c r="D2" s="4">
        <f>SUM(D4:D91)</f>
        <v>0</v>
      </c>
      <c r="E2" s="4">
        <f>C2-D2</f>
        <v>0</v>
      </c>
      <c r="F2" s="5">
        <f>IFERROR(E2/D2, 0)</f>
        <v>0</v>
      </c>
      <c r="G2" s="4">
        <f>SUM(G4:G91)</f>
        <v>0</v>
      </c>
      <c r="H2" s="6">
        <f>C2-G2</f>
        <v>0</v>
      </c>
      <c r="I2" s="5">
        <f>IFERROR(H2/G2, 0)</f>
        <v>0</v>
      </c>
      <c r="J2" s="23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30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39</v>
      </c>
      <c r="K3" s="22" t="s">
        <v>40</v>
      </c>
    </row>
    <row r="4" spans="1:11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70" si="0">IF(AND(ISNUMBER(C5),ISNUMBER(D5)), C5-D5, "")</f>
        <v/>
      </c>
      <c r="F5" s="16" t="str">
        <f>IFERROR(E5/D5, "")</f>
        <v/>
      </c>
      <c r="G5" s="17"/>
      <c r="H5" s="17" t="str">
        <f t="shared" ref="H5:H70" si="1">IF(AND(ISNUMBER(C5),ISNUMBER(G5)), C5-G5, "")</f>
        <v/>
      </c>
      <c r="I5" s="16" t="str">
        <f t="shared" ref="I5:I70" si="2">IFERROR(H5/G5, "")</f>
        <v/>
      </c>
      <c r="J5" s="39"/>
      <c r="K5" s="39"/>
    </row>
    <row r="6" spans="1:11" ht="15.6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71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27" customHeight="1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9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39"/>
      <c r="K19" s="40"/>
    </row>
    <row r="20" spans="1:11" ht="15.6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40"/>
    </row>
    <row r="24" spans="1:11" ht="15.6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15.6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39"/>
      <c r="K25" s="40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40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40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39"/>
      <c r="K47" s="40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5.6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40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6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39"/>
      <c r="K55" s="40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6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40"/>
    </row>
    <row r="58" spans="1:11" ht="15.6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6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40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39"/>
      <c r="K63" s="40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40"/>
    </row>
    <row r="66" spans="1:11" ht="15.6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6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6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8"/>
      <c r="K68" s="38"/>
    </row>
    <row r="69" spans="1:11" ht="15.6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3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39"/>
      <c r="K69" s="39"/>
    </row>
    <row r="70" spans="1:11" ht="15.6">
      <c r="A70" s="25" t="str">
        <v>Old Ranch Town Center</v>
      </c>
      <c r="B70" s="26" t="str">
        <v>CA</v>
      </c>
      <c r="C70" s="57"/>
      <c r="D70" s="11"/>
      <c r="E70" s="11" t="str">
        <f t="shared" si="0"/>
        <v/>
      </c>
      <c r="F70" s="12" t="str">
        <f t="shared" si="3"/>
        <v/>
      </c>
      <c r="G70" s="74"/>
      <c r="H70" s="13" t="str">
        <f t="shared" si="1"/>
        <v/>
      </c>
      <c r="I70" s="14" t="str">
        <f t="shared" si="2"/>
        <v/>
      </c>
      <c r="J70" s="59"/>
      <c r="K70" s="59"/>
    </row>
    <row r="71" spans="1:11" ht="15.6">
      <c r="A71" s="27" t="str">
        <v>Mountain Gate Plaza</v>
      </c>
      <c r="B71" s="28" t="str">
        <v>CA</v>
      </c>
      <c r="C71" s="72"/>
      <c r="D71" s="15"/>
      <c r="E71" s="15" t="str">
        <f t="shared" ref="E71:E84" si="7">IF(AND(ISNUMBER(C71),ISNUMBER(D71)), C71-D71, "")</f>
        <v/>
      </c>
      <c r="F71" s="16" t="str">
        <f t="shared" si="3"/>
        <v/>
      </c>
      <c r="G71" s="73"/>
      <c r="H71" s="17" t="str">
        <f t="shared" ref="H71:H84" si="8">IF(AND(ISNUMBER(C71),ISNUMBER(G71)), C71-G71, "")</f>
        <v/>
      </c>
      <c r="I71" s="16" t="str">
        <f t="shared" ref="I71:I84" si="9">IFERROR(H71/G71, "")</f>
        <v/>
      </c>
      <c r="J71" s="39"/>
      <c r="K71" s="39"/>
    </row>
    <row r="72" spans="1:11" ht="15.6">
      <c r="A72" s="25" t="str">
        <v>Arcadia Main</v>
      </c>
      <c r="B72" s="26" t="str">
        <v>CA</v>
      </c>
      <c r="C72" s="57"/>
      <c r="D72" s="11"/>
      <c r="E72" s="11" t="str">
        <f t="shared" si="7"/>
        <v/>
      </c>
      <c r="F72" s="12" t="str">
        <f t="shared" ref="F72:F84" si="10">IFERROR(E72/D72, "")</f>
        <v/>
      </c>
      <c r="G72" s="74"/>
      <c r="H72" s="13" t="str">
        <f t="shared" si="8"/>
        <v/>
      </c>
      <c r="I72" s="14" t="str">
        <f t="shared" si="9"/>
        <v/>
      </c>
      <c r="J72" s="59"/>
      <c r="K72" s="59"/>
    </row>
    <row r="73" spans="1:11" ht="15.6">
      <c r="A73" s="27" t="str">
        <v>Fairfield</v>
      </c>
      <c r="B73" s="28" t="str">
        <v>CA</v>
      </c>
      <c r="C73" s="72"/>
      <c r="D73" s="15"/>
      <c r="E73" s="15" t="str">
        <f t="shared" si="7"/>
        <v/>
      </c>
      <c r="F73" s="16" t="str">
        <f t="shared" si="10"/>
        <v/>
      </c>
      <c r="G73" s="73"/>
      <c r="H73" s="17" t="str">
        <f t="shared" si="8"/>
        <v/>
      </c>
      <c r="I73" s="16" t="str">
        <f t="shared" si="9"/>
        <v/>
      </c>
      <c r="J73" s="39"/>
      <c r="K73" s="39"/>
    </row>
    <row r="74" spans="1:11" ht="15.6">
      <c r="A74" s="25" t="str">
        <v>Los Gatos</v>
      </c>
      <c r="B74" s="26" t="str">
        <v>CA</v>
      </c>
      <c r="C74" s="57"/>
      <c r="D74" s="11"/>
      <c r="E74" s="11" t="str">
        <f t="shared" si="7"/>
        <v/>
      </c>
      <c r="F74" s="12" t="str">
        <f t="shared" si="10"/>
        <v/>
      </c>
      <c r="G74" s="74"/>
      <c r="H74" s="13" t="str">
        <f t="shared" si="8"/>
        <v/>
      </c>
      <c r="I74" s="14" t="str">
        <f t="shared" si="9"/>
        <v/>
      </c>
      <c r="J74" s="59"/>
      <c r="K74" s="59"/>
    </row>
    <row r="75" spans="1:11" ht="15.6">
      <c r="A75" s="27" t="str">
        <v>San Marino</v>
      </c>
      <c r="B75" s="28" t="str">
        <v>CA</v>
      </c>
      <c r="C75" s="72"/>
      <c r="D75" s="15"/>
      <c r="E75" s="15" t="str">
        <f t="shared" si="7"/>
        <v/>
      </c>
      <c r="F75" s="16" t="str">
        <f t="shared" si="10"/>
        <v/>
      </c>
      <c r="G75" s="73"/>
      <c r="H75" s="17" t="str">
        <f t="shared" si="8"/>
        <v/>
      </c>
      <c r="I75" s="16" t="str">
        <f t="shared" si="9"/>
        <v/>
      </c>
      <c r="J75" s="39"/>
      <c r="K75" s="39"/>
    </row>
    <row r="76" spans="1:11" ht="15.6">
      <c r="A76" s="25" t="str">
        <v>Buenaventura</v>
      </c>
      <c r="B76" s="26" t="str">
        <v>CA</v>
      </c>
      <c r="C76" s="57"/>
      <c r="D76" s="11"/>
      <c r="E76" s="11" t="str">
        <f t="shared" si="7"/>
        <v/>
      </c>
      <c r="F76" s="12" t="str">
        <f t="shared" si="10"/>
        <v/>
      </c>
      <c r="G76" s="74"/>
      <c r="H76" s="13" t="str">
        <f t="shared" si="8"/>
        <v/>
      </c>
      <c r="I76" s="14" t="str">
        <f t="shared" si="9"/>
        <v/>
      </c>
      <c r="J76" s="59"/>
      <c r="K76" s="59"/>
    </row>
    <row r="77" spans="1:11" ht="15.6">
      <c r="A77" s="27" t="str">
        <v>N Black Canyon Hwy, Phoenix - North</v>
      </c>
      <c r="B77" s="28" t="str">
        <v>AZ</v>
      </c>
      <c r="C77" s="72"/>
      <c r="D77" s="15"/>
      <c r="E77" s="15" t="str">
        <f t="shared" si="7"/>
        <v/>
      </c>
      <c r="F77" s="16" t="str">
        <f t="shared" si="10"/>
        <v/>
      </c>
      <c r="G77" s="73"/>
      <c r="H77" s="17" t="str">
        <f t="shared" si="8"/>
        <v/>
      </c>
      <c r="I77" s="16" t="str">
        <f t="shared" si="9"/>
        <v/>
      </c>
      <c r="J77" s="39"/>
      <c r="K77" s="39"/>
    </row>
    <row r="78" spans="1:11" ht="15.6">
      <c r="A78" s="25" t="str">
        <v>N Black Canyon Hwy, Phoenix - South</v>
      </c>
      <c r="B78" s="26" t="str">
        <v>AZ</v>
      </c>
      <c r="C78" s="57"/>
      <c r="D78" s="11"/>
      <c r="E78" s="11" t="str">
        <f t="shared" si="7"/>
        <v/>
      </c>
      <c r="F78" s="12" t="str">
        <f t="shared" si="10"/>
        <v/>
      </c>
      <c r="G78" s="74"/>
      <c r="H78" s="13" t="str">
        <f t="shared" si="8"/>
        <v/>
      </c>
      <c r="I78" s="14" t="str">
        <f t="shared" si="9"/>
        <v/>
      </c>
      <c r="J78" s="59"/>
      <c r="K78" s="59"/>
    </row>
    <row r="79" spans="1:11" ht="15.6">
      <c r="A79" s="27" t="str">
        <v xml:space="preserve"> Building 2222, Rose Garden Ln, Phoenix</v>
      </c>
      <c r="B79" s="28" t="str">
        <v>AZ</v>
      </c>
      <c r="C79" s="72"/>
      <c r="D79" s="15"/>
      <c r="E79" s="15" t="str">
        <f t="shared" si="7"/>
        <v/>
      </c>
      <c r="F79" s="16" t="str">
        <f t="shared" si="10"/>
        <v/>
      </c>
      <c r="G79" s="73"/>
      <c r="H79" s="17" t="str">
        <f t="shared" si="8"/>
        <v/>
      </c>
      <c r="I79" s="16" t="str">
        <f t="shared" si="9"/>
        <v/>
      </c>
      <c r="J79" s="39"/>
      <c r="K79" s="39"/>
    </row>
    <row r="80" spans="1:11" ht="15.6">
      <c r="A80" s="25" t="str">
        <v xml:space="preserve"> Building 2202, Rose Garden Ln, Phoenix</v>
      </c>
      <c r="B80" s="26" t="str">
        <v>AZ</v>
      </c>
      <c r="C80" s="57"/>
      <c r="D80" s="11"/>
      <c r="E80" s="11" t="str">
        <f t="shared" si="7"/>
        <v/>
      </c>
      <c r="F80" s="12" t="str">
        <f t="shared" si="10"/>
        <v/>
      </c>
      <c r="G80" s="74"/>
      <c r="H80" s="13" t="str">
        <f t="shared" si="8"/>
        <v/>
      </c>
      <c r="I80" s="14" t="str">
        <f t="shared" si="9"/>
        <v/>
      </c>
      <c r="J80" s="59"/>
      <c r="K80" s="59"/>
    </row>
    <row r="81" spans="1:11" ht="15.6">
      <c r="A81" s="27" t="str">
        <v xml:space="preserve"> 99TH Ave &amp; BELL</v>
      </c>
      <c r="B81" s="28" t="str">
        <v>AZ</v>
      </c>
      <c r="C81" s="72"/>
      <c r="D81" s="15"/>
      <c r="E81" s="15" t="str">
        <f t="shared" si="7"/>
        <v/>
      </c>
      <c r="F81" s="16" t="str">
        <f t="shared" si="10"/>
        <v/>
      </c>
      <c r="G81" s="73"/>
      <c r="H81" s="17" t="str">
        <f t="shared" si="8"/>
        <v/>
      </c>
      <c r="I81" s="16" t="str">
        <f t="shared" si="9"/>
        <v/>
      </c>
      <c r="J81" s="39"/>
      <c r="K81" s="39"/>
    </row>
    <row r="82" spans="1:11" ht="15.6">
      <c r="A82" s="25" t="str">
        <v>Rincon</v>
      </c>
      <c r="B82" s="26" t="str">
        <v>AZ</v>
      </c>
      <c r="C82" s="57"/>
      <c r="D82" s="11"/>
      <c r="E82" s="11" t="str">
        <f t="shared" si="7"/>
        <v/>
      </c>
      <c r="F82" s="12" t="str">
        <f t="shared" si="10"/>
        <v/>
      </c>
      <c r="G82" s="74"/>
      <c r="H82" s="13" t="str">
        <f t="shared" si="8"/>
        <v/>
      </c>
      <c r="I82" s="14" t="str">
        <f t="shared" si="9"/>
        <v/>
      </c>
      <c r="J82" s="59"/>
      <c r="K82" s="59"/>
    </row>
    <row r="83" spans="1:11" ht="15.6">
      <c r="A83" s="27" t="str">
        <v>Tucson Main Parking Garage</v>
      </c>
      <c r="B83" s="28" t="str">
        <v>AZ</v>
      </c>
      <c r="C83" s="72"/>
      <c r="D83" s="15"/>
      <c r="E83" s="15" t="str">
        <f t="shared" si="7"/>
        <v/>
      </c>
      <c r="F83" s="16" t="str">
        <f t="shared" si="10"/>
        <v/>
      </c>
      <c r="G83" s="73"/>
      <c r="H83" s="17" t="str">
        <f t="shared" si="8"/>
        <v/>
      </c>
      <c r="I83" s="16" t="str">
        <f t="shared" si="9"/>
        <v/>
      </c>
      <c r="J83" s="39"/>
      <c r="K83" s="39"/>
    </row>
    <row r="84" spans="1:11" ht="15.6">
      <c r="A84" s="25" t="str">
        <v>BE 199502 - Westgate</v>
      </c>
      <c r="B84" s="26" t="str">
        <v>CA</v>
      </c>
      <c r="C84" s="57"/>
      <c r="D84" s="11"/>
      <c r="E84" s="11" t="str">
        <f t="shared" si="7"/>
        <v/>
      </c>
      <c r="F84" s="12" t="str">
        <f t="shared" si="10"/>
        <v/>
      </c>
      <c r="G84" s="74"/>
      <c r="H84" s="13" t="str">
        <f t="shared" si="8"/>
        <v/>
      </c>
      <c r="I84" s="14" t="str">
        <f t="shared" si="9"/>
        <v/>
      </c>
      <c r="J84" s="59"/>
      <c r="K84" s="59"/>
    </row>
    <row r="85" spans="1:11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45">
      <c r="C333" s="18"/>
      <c r="D333" s="18"/>
      <c r="E333" s="18"/>
      <c r="F333" s="19"/>
      <c r="G333" s="18"/>
      <c r="H333" s="18"/>
      <c r="I333" s="19"/>
      <c r="J333" s="18"/>
      <c r="K333" s="18"/>
    </row>
  </sheetData>
  <mergeCells count="4">
    <mergeCell ref="G1:I1"/>
    <mergeCell ref="A1:C1"/>
    <mergeCell ref="D1:F1"/>
    <mergeCell ref="A2:B2"/>
  </mergeCells>
  <phoneticPr fontId="40" type="noConversion"/>
  <conditionalFormatting sqref="F2 I2 F4:F91 I4:I91">
    <cfRule type="cellIs" dxfId="8" priority="11" stopIfTrue="1" operator="lessThanOrEqual">
      <formula>-0.1</formula>
    </cfRule>
    <cfRule type="expression" dxfId="7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zoomScale="80" zoomScaleNormal="80" workbookViewId="0">
      <pane xSplit="2" ySplit="3" topLeftCell="C23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210" t="str" cm="1">
        <f t="array" ref="A1">portfolio</f>
        <v>Wells Fargo</v>
      </c>
      <c r="B1" s="210"/>
      <c r="C1" s="210"/>
      <c r="D1" s="211" t="s">
        <v>328</v>
      </c>
      <c r="E1" s="211"/>
      <c r="F1" s="211"/>
      <c r="G1" s="209" t="s">
        <v>329</v>
      </c>
      <c r="H1" s="209"/>
      <c r="I1" s="209"/>
      <c r="J1" s="3"/>
      <c r="K1" s="3"/>
    </row>
    <row r="2" spans="1:11" ht="19.5" customHeight="1">
      <c r="A2" s="220" t="s">
        <v>2</v>
      </c>
      <c r="B2" s="220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30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39</v>
      </c>
      <c r="K3" s="22" t="s">
        <v>40</v>
      </c>
    </row>
    <row r="4" spans="1:11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70" si="0">IF(AND(ISNUMBER(C5),ISNUMBER(D5)), C5-D5, "")</f>
        <v/>
      </c>
      <c r="F5" s="16" t="str">
        <f>IFERROR(E5/D5, "")</f>
        <v/>
      </c>
      <c r="G5" s="17"/>
      <c r="H5" s="17" t="str">
        <f t="shared" ref="H5:H70" si="1">IF(AND(ISNUMBER(C5),ISNUMBER(G5)), C5-G5, "")</f>
        <v/>
      </c>
      <c r="I5" s="16" t="str">
        <f t="shared" ref="I5:I70" si="2">IFERROR(H5/G5, "")</f>
        <v/>
      </c>
      <c r="J5" s="39"/>
      <c r="K5" s="39"/>
    </row>
    <row r="6" spans="1:11" ht="15.6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70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39"/>
      <c r="K19" s="40"/>
    </row>
    <row r="20" spans="1:11" ht="15.6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67"/>
    </row>
    <row r="24" spans="1:11" ht="15.6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59"/>
      <c r="K24" s="38"/>
    </row>
    <row r="25" spans="1:11" ht="15.6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K25" s="40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40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40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39"/>
      <c r="K47" s="54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6.5" customHeight="1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39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6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39"/>
      <c r="K55" s="54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6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40"/>
    </row>
    <row r="58" spans="1:11" ht="15.6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6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40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39"/>
      <c r="K63" s="40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40"/>
    </row>
    <row r="66" spans="1:11" ht="15.6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6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6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8"/>
      <c r="K68" s="38"/>
    </row>
    <row r="69" spans="1:11" ht="15.6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3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39"/>
      <c r="K69" s="40"/>
    </row>
    <row r="70" spans="1:11" ht="15.6">
      <c r="A70" s="25" t="str">
        <v>Old Ranch Town Center</v>
      </c>
      <c r="B70" s="26" t="str">
        <v>CA</v>
      </c>
      <c r="C70" s="57"/>
      <c r="D70" s="11"/>
      <c r="E70" s="11" t="str">
        <f t="shared" si="0"/>
        <v/>
      </c>
      <c r="F70" s="12" t="str">
        <f t="shared" si="3"/>
        <v/>
      </c>
      <c r="G70" s="74"/>
      <c r="H70" s="13" t="str">
        <f t="shared" si="1"/>
        <v/>
      </c>
      <c r="I70" s="14" t="str">
        <f t="shared" si="2"/>
        <v/>
      </c>
      <c r="J70" s="59"/>
      <c r="K70" s="59"/>
    </row>
    <row r="71" spans="1:11" ht="15.6">
      <c r="A71" s="27" t="str">
        <v>Mountain Gate Plaza</v>
      </c>
      <c r="B71" s="28" t="str">
        <v>CA</v>
      </c>
      <c r="C71" s="72"/>
      <c r="D71" s="15"/>
      <c r="E71" s="15" t="str">
        <f t="shared" ref="E71:E84" si="7">IF(AND(ISNUMBER(C71),ISNUMBER(D71)), C71-D71, "")</f>
        <v/>
      </c>
      <c r="F71" s="16" t="str">
        <f t="shared" ref="F71:F84" si="8">IFERROR(E71/D71, "")</f>
        <v/>
      </c>
      <c r="G71" s="73"/>
      <c r="H71" s="17" t="str">
        <f t="shared" ref="H71:H84" si="9">IF(AND(ISNUMBER(C71),ISNUMBER(G71)), C71-G71, "")</f>
        <v/>
      </c>
      <c r="I71" s="16" t="str">
        <f t="shared" ref="I71:I84" si="10">IFERROR(H71/G71, "")</f>
        <v/>
      </c>
      <c r="J71" s="39"/>
      <c r="K71" s="40"/>
    </row>
    <row r="72" spans="1:11" ht="15.6">
      <c r="A72" s="25" t="str">
        <v>Arcadia Main</v>
      </c>
      <c r="B72" s="26" t="str">
        <v>CA</v>
      </c>
      <c r="C72" s="57"/>
      <c r="D72" s="11"/>
      <c r="E72" s="11" t="str">
        <f t="shared" si="7"/>
        <v/>
      </c>
      <c r="F72" s="12" t="str">
        <f t="shared" si="8"/>
        <v/>
      </c>
      <c r="G72" s="74"/>
      <c r="H72" s="13" t="str">
        <f t="shared" si="9"/>
        <v/>
      </c>
      <c r="I72" s="14" t="str">
        <f t="shared" si="10"/>
        <v/>
      </c>
      <c r="J72" s="59"/>
      <c r="K72" s="59"/>
    </row>
    <row r="73" spans="1:11" ht="15.6">
      <c r="A73" s="27" t="str">
        <v>Fairfield</v>
      </c>
      <c r="B73" s="28" t="str">
        <v>CA</v>
      </c>
      <c r="C73" s="72"/>
      <c r="D73" s="15"/>
      <c r="E73" s="15" t="str">
        <f t="shared" si="7"/>
        <v/>
      </c>
      <c r="F73" s="16" t="str">
        <f t="shared" si="8"/>
        <v/>
      </c>
      <c r="G73" s="73"/>
      <c r="H73" s="17" t="str">
        <f t="shared" si="9"/>
        <v/>
      </c>
      <c r="I73" s="16" t="str">
        <f t="shared" si="10"/>
        <v/>
      </c>
      <c r="J73" s="39"/>
      <c r="K73" s="40"/>
    </row>
    <row r="74" spans="1:11" ht="15.6">
      <c r="A74" s="25" t="str">
        <v>Los Gatos</v>
      </c>
      <c r="B74" s="26" t="str">
        <v>CA</v>
      </c>
      <c r="C74" s="57"/>
      <c r="D74" s="11"/>
      <c r="E74" s="11" t="str">
        <f t="shared" si="7"/>
        <v/>
      </c>
      <c r="F74" s="12" t="str">
        <f t="shared" si="8"/>
        <v/>
      </c>
      <c r="G74" s="74"/>
      <c r="H74" s="13" t="str">
        <f t="shared" si="9"/>
        <v/>
      </c>
      <c r="I74" s="14" t="str">
        <f t="shared" si="10"/>
        <v/>
      </c>
      <c r="J74" s="59"/>
      <c r="K74" s="59"/>
    </row>
    <row r="75" spans="1:11" ht="15.6">
      <c r="A75" s="27" t="str">
        <v>San Marino</v>
      </c>
      <c r="B75" s="28" t="str">
        <v>CA</v>
      </c>
      <c r="C75" s="72"/>
      <c r="D75" s="15"/>
      <c r="E75" s="15" t="str">
        <f t="shared" si="7"/>
        <v/>
      </c>
      <c r="F75" s="16" t="str">
        <f t="shared" si="8"/>
        <v/>
      </c>
      <c r="G75" s="73"/>
      <c r="H75" s="17" t="str">
        <f t="shared" si="9"/>
        <v/>
      </c>
      <c r="I75" s="16" t="str">
        <f t="shared" si="10"/>
        <v/>
      </c>
      <c r="J75" s="39"/>
      <c r="K75" s="40"/>
    </row>
    <row r="76" spans="1:11" ht="15.6">
      <c r="A76" s="25" t="str">
        <v>Buenaventura</v>
      </c>
      <c r="B76" s="26" t="str">
        <v>CA</v>
      </c>
      <c r="C76" s="57"/>
      <c r="D76" s="11"/>
      <c r="E76" s="11" t="str">
        <f t="shared" si="7"/>
        <v/>
      </c>
      <c r="F76" s="12" t="str">
        <f t="shared" si="8"/>
        <v/>
      </c>
      <c r="G76" s="74"/>
      <c r="H76" s="13" t="str">
        <f t="shared" si="9"/>
        <v/>
      </c>
      <c r="I76" s="14" t="str">
        <f t="shared" si="10"/>
        <v/>
      </c>
      <c r="J76" s="59"/>
      <c r="K76" s="59"/>
    </row>
    <row r="77" spans="1:11" ht="15.6">
      <c r="A77" s="27" t="str">
        <v>N Black Canyon Hwy, Phoenix - North</v>
      </c>
      <c r="B77" s="28" t="str">
        <v>AZ</v>
      </c>
      <c r="C77" s="72"/>
      <c r="D77" s="15"/>
      <c r="E77" s="15" t="str">
        <f t="shared" si="7"/>
        <v/>
      </c>
      <c r="F77" s="16" t="str">
        <f t="shared" si="8"/>
        <v/>
      </c>
      <c r="G77" s="73"/>
      <c r="H77" s="17" t="str">
        <f t="shared" si="9"/>
        <v/>
      </c>
      <c r="I77" s="16" t="str">
        <f t="shared" si="10"/>
        <v/>
      </c>
      <c r="J77" s="39"/>
      <c r="K77" s="40"/>
    </row>
    <row r="78" spans="1:11" ht="15.6">
      <c r="A78" s="25" t="str">
        <v>N Black Canyon Hwy, Phoenix - South</v>
      </c>
      <c r="B78" s="26" t="str">
        <v>AZ</v>
      </c>
      <c r="C78" s="57"/>
      <c r="D78" s="11"/>
      <c r="E78" s="11" t="str">
        <f t="shared" si="7"/>
        <v/>
      </c>
      <c r="F78" s="12" t="str">
        <f t="shared" si="8"/>
        <v/>
      </c>
      <c r="G78" s="74"/>
      <c r="H78" s="13" t="str">
        <f t="shared" si="9"/>
        <v/>
      </c>
      <c r="I78" s="14" t="str">
        <f t="shared" si="10"/>
        <v/>
      </c>
      <c r="J78" s="59"/>
      <c r="K78" s="59"/>
    </row>
    <row r="79" spans="1:11" ht="15.6">
      <c r="A79" s="27" t="str">
        <v xml:space="preserve"> Building 2222, Rose Garden Ln, Phoenix</v>
      </c>
      <c r="B79" s="28" t="str">
        <v>AZ</v>
      </c>
      <c r="C79" s="72"/>
      <c r="D79" s="15"/>
      <c r="E79" s="15" t="str">
        <f t="shared" si="7"/>
        <v/>
      </c>
      <c r="F79" s="16" t="str">
        <f t="shared" si="8"/>
        <v/>
      </c>
      <c r="G79" s="73"/>
      <c r="H79" s="17" t="str">
        <f t="shared" si="9"/>
        <v/>
      </c>
      <c r="I79" s="16" t="str">
        <f t="shared" si="10"/>
        <v/>
      </c>
      <c r="J79" s="39"/>
      <c r="K79" s="40"/>
    </row>
    <row r="80" spans="1:11" ht="15.6">
      <c r="A80" s="25" t="str">
        <v xml:space="preserve"> Building 2202, Rose Garden Ln, Phoenix</v>
      </c>
      <c r="B80" s="26" t="str">
        <v>AZ</v>
      </c>
      <c r="C80" s="57"/>
      <c r="D80" s="11"/>
      <c r="E80" s="11" t="str">
        <f t="shared" si="7"/>
        <v/>
      </c>
      <c r="F80" s="12" t="str">
        <f t="shared" si="8"/>
        <v/>
      </c>
      <c r="G80" s="74"/>
      <c r="H80" s="13" t="str">
        <f t="shared" si="9"/>
        <v/>
      </c>
      <c r="I80" s="14" t="str">
        <f t="shared" si="10"/>
        <v/>
      </c>
      <c r="J80" s="59"/>
      <c r="K80" s="59"/>
    </row>
    <row r="81" spans="1:11" ht="15.6">
      <c r="A81" s="27" t="str">
        <v xml:space="preserve"> 99TH Ave &amp; BELL</v>
      </c>
      <c r="B81" s="28" t="str">
        <v>AZ</v>
      </c>
      <c r="C81" s="72"/>
      <c r="D81" s="15"/>
      <c r="E81" s="15" t="str">
        <f t="shared" si="7"/>
        <v/>
      </c>
      <c r="F81" s="16" t="str">
        <f t="shared" si="8"/>
        <v/>
      </c>
      <c r="G81" s="73"/>
      <c r="H81" s="17" t="str">
        <f t="shared" si="9"/>
        <v/>
      </c>
      <c r="I81" s="16" t="str">
        <f t="shared" si="10"/>
        <v/>
      </c>
      <c r="J81" s="39"/>
      <c r="K81" s="40"/>
    </row>
    <row r="82" spans="1:11" ht="15.6">
      <c r="A82" s="25" t="str">
        <v>Rincon</v>
      </c>
      <c r="B82" s="26" t="str">
        <v>AZ</v>
      </c>
      <c r="C82" s="57"/>
      <c r="D82" s="11"/>
      <c r="E82" s="11" t="str">
        <f t="shared" si="7"/>
        <v/>
      </c>
      <c r="F82" s="12" t="str">
        <f t="shared" si="8"/>
        <v/>
      </c>
      <c r="G82" s="74"/>
      <c r="H82" s="13" t="str">
        <f t="shared" si="9"/>
        <v/>
      </c>
      <c r="I82" s="14" t="str">
        <f t="shared" si="10"/>
        <v/>
      </c>
      <c r="J82" s="59"/>
      <c r="K82" s="59"/>
    </row>
    <row r="83" spans="1:11" ht="15.6">
      <c r="A83" s="27" t="str">
        <v>Tucson Main Parking Garage</v>
      </c>
      <c r="B83" s="28" t="str">
        <v>AZ</v>
      </c>
      <c r="C83" s="72"/>
      <c r="D83" s="15"/>
      <c r="E83" s="15" t="str">
        <f t="shared" si="7"/>
        <v/>
      </c>
      <c r="F83" s="16" t="str">
        <f t="shared" si="8"/>
        <v/>
      </c>
      <c r="G83" s="73"/>
      <c r="H83" s="17" t="str">
        <f t="shared" si="9"/>
        <v/>
      </c>
      <c r="I83" s="16" t="str">
        <f t="shared" si="10"/>
        <v/>
      </c>
      <c r="J83" s="39"/>
      <c r="K83" s="40"/>
    </row>
    <row r="84" spans="1:11" ht="15.6">
      <c r="A84" s="25" t="str">
        <v>BE 199502 - Westgate</v>
      </c>
      <c r="B84" s="26" t="str">
        <v>CA</v>
      </c>
      <c r="C84" s="57"/>
      <c r="D84" s="11"/>
      <c r="E84" s="11" t="str">
        <f t="shared" si="7"/>
        <v/>
      </c>
      <c r="F84" s="12" t="str">
        <f t="shared" si="8"/>
        <v/>
      </c>
      <c r="G84" s="74"/>
      <c r="H84" s="13" t="str">
        <f t="shared" si="9"/>
        <v/>
      </c>
      <c r="I84" s="14" t="str">
        <f t="shared" si="10"/>
        <v/>
      </c>
      <c r="J84" s="59"/>
      <c r="K84" s="59"/>
    </row>
    <row r="85" spans="1:11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1" stopIfTrue="1" operator="lessThanOrEqual">
      <formula>-0.1</formula>
    </cfRule>
    <cfRule type="expression" dxfId="5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70" zoomScaleNormal="70" workbookViewId="0">
      <pane xSplit="2" ySplit="3" topLeftCell="C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210" t="str" cm="1">
        <f t="array" ref="A1">portfolio</f>
        <v>Wells Fargo</v>
      </c>
      <c r="B1" s="210"/>
      <c r="C1" s="210"/>
      <c r="D1" s="211" t="s">
        <v>330</v>
      </c>
      <c r="E1" s="211"/>
      <c r="F1" s="211"/>
      <c r="G1" s="209" t="s">
        <v>331</v>
      </c>
      <c r="H1" s="209"/>
      <c r="I1" s="209"/>
      <c r="J1" s="3"/>
      <c r="K1" s="3"/>
    </row>
    <row r="2" spans="1:11" ht="19.5" customHeight="1">
      <c r="A2" s="220" t="s">
        <v>2</v>
      </c>
      <c r="B2" s="220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30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39</v>
      </c>
      <c r="K3" s="22" t="s">
        <v>40</v>
      </c>
    </row>
    <row r="4" spans="1:11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68"/>
      <c r="K4" s="68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70" si="0">IF(AND(ISNUMBER(C5),ISNUMBER(D5)), C5-D5, "")</f>
        <v/>
      </c>
      <c r="F5" s="16" t="str">
        <f>IFERROR(E5/D5, "")</f>
        <v/>
      </c>
      <c r="G5" s="17"/>
      <c r="H5" s="17">
        <v>0</v>
      </c>
      <c r="I5" s="16" t="str">
        <f t="shared" ref="I5:I70" si="1">IFERROR(H5/G5, "")</f>
        <v/>
      </c>
      <c r="J5" s="91"/>
      <c r="K5" s="91"/>
    </row>
    <row r="6" spans="1:11" ht="53.25" customHeight="1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70" si="2">IFERROR(E6/D6, "")</f>
        <v/>
      </c>
      <c r="G6" s="13"/>
      <c r="H6" s="13" t="str">
        <f t="shared" ref="H6:H70" si="3">IF(AND(ISNUMBER(C6),ISNUMBER(G6)), C6-G6, "")</f>
        <v/>
      </c>
      <c r="I6" s="14" t="str">
        <f t="shared" si="1"/>
        <v/>
      </c>
      <c r="J6" s="68"/>
      <c r="K6" s="68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2"/>
        <v/>
      </c>
      <c r="G7" s="17"/>
      <c r="H7" s="17" t="str">
        <f t="shared" si="3"/>
        <v/>
      </c>
      <c r="I7" s="16" t="str">
        <f t="shared" si="1"/>
        <v/>
      </c>
      <c r="J7" s="91"/>
      <c r="K7" s="69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2"/>
        <v/>
      </c>
      <c r="G8" s="13"/>
      <c r="H8" s="13" t="str">
        <f t="shared" si="3"/>
        <v/>
      </c>
      <c r="I8" s="14" t="str">
        <f t="shared" si="1"/>
        <v/>
      </c>
      <c r="J8" s="68"/>
      <c r="K8" s="68"/>
    </row>
    <row r="9" spans="1:11" ht="15.6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2"/>
        <v/>
      </c>
      <c r="G9" s="17"/>
      <c r="H9" s="17" t="str">
        <f t="shared" si="3"/>
        <v/>
      </c>
      <c r="I9" s="16" t="str">
        <f t="shared" si="1"/>
        <v/>
      </c>
      <c r="J9" s="91"/>
      <c r="K9" s="69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2"/>
        <v/>
      </c>
      <c r="G10" s="13"/>
      <c r="H10" s="13" t="str">
        <f t="shared" si="3"/>
        <v/>
      </c>
      <c r="I10" s="14" t="str">
        <f t="shared" si="1"/>
        <v/>
      </c>
      <c r="J10" s="68"/>
      <c r="K10" s="68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2"/>
        <v/>
      </c>
      <c r="G11" s="17"/>
      <c r="H11" s="17" t="str">
        <f t="shared" si="3"/>
        <v/>
      </c>
      <c r="I11" s="16" t="str">
        <f t="shared" si="1"/>
        <v/>
      </c>
      <c r="J11" s="91"/>
      <c r="K11" s="69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2"/>
        <v/>
      </c>
      <c r="G12" s="13"/>
      <c r="H12" s="13" t="str">
        <f t="shared" si="3"/>
        <v/>
      </c>
      <c r="I12" s="14" t="str">
        <f t="shared" si="1"/>
        <v/>
      </c>
      <c r="J12" s="68"/>
      <c r="K12" s="68"/>
    </row>
    <row r="13" spans="1:11" ht="48" customHeight="1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2"/>
        <v/>
      </c>
      <c r="G13" s="17"/>
      <c r="H13" s="17" t="str">
        <f t="shared" si="3"/>
        <v/>
      </c>
      <c r="I13" s="16" t="str">
        <f t="shared" si="1"/>
        <v/>
      </c>
      <c r="J13" s="91"/>
      <c r="K13" s="69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2"/>
        <v/>
      </c>
      <c r="G14" s="13"/>
      <c r="H14" s="13" t="str">
        <f t="shared" si="3"/>
        <v/>
      </c>
      <c r="I14" s="14" t="str">
        <f t="shared" si="1"/>
        <v/>
      </c>
      <c r="J14" s="70"/>
      <c r="K14" s="68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2"/>
        <v/>
      </c>
      <c r="G15" s="17"/>
      <c r="H15" s="17" t="str">
        <f t="shared" si="3"/>
        <v/>
      </c>
      <c r="I15" s="16" t="str">
        <f t="shared" si="1"/>
        <v/>
      </c>
      <c r="J15" s="91"/>
      <c r="K15" s="69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2"/>
        <v/>
      </c>
      <c r="G16" s="13"/>
      <c r="H16" s="13" t="str">
        <f t="shared" si="3"/>
        <v/>
      </c>
      <c r="I16" s="14" t="str">
        <f t="shared" si="1"/>
        <v/>
      </c>
      <c r="J16" s="68"/>
      <c r="K16" s="68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2"/>
        <v/>
      </c>
      <c r="G17" s="17"/>
      <c r="H17" s="17" t="str">
        <f t="shared" si="3"/>
        <v/>
      </c>
      <c r="I17" s="16" t="str">
        <f t="shared" si="1"/>
        <v/>
      </c>
      <c r="J17" s="91"/>
      <c r="K17" s="69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2"/>
        <v/>
      </c>
      <c r="G18" s="13"/>
      <c r="H18" s="13" t="str">
        <f t="shared" si="3"/>
        <v/>
      </c>
      <c r="I18" s="14" t="str">
        <f t="shared" si="1"/>
        <v/>
      </c>
      <c r="J18" s="68"/>
      <c r="K18" s="68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2"/>
        <v/>
      </c>
      <c r="G19" s="17"/>
      <c r="H19" s="17" t="str">
        <f t="shared" si="3"/>
        <v/>
      </c>
      <c r="I19" s="16" t="str">
        <f t="shared" si="1"/>
        <v/>
      </c>
      <c r="J19" s="91"/>
      <c r="K19" s="91"/>
    </row>
    <row r="20" spans="1:11" ht="15.6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2"/>
        <v/>
      </c>
      <c r="G20" s="13"/>
      <c r="H20" s="13" t="str">
        <f t="shared" si="3"/>
        <v/>
      </c>
      <c r="I20" s="14" t="str">
        <f t="shared" si="1"/>
        <v/>
      </c>
      <c r="J20" s="68"/>
      <c r="K20" s="68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2"/>
        <v/>
      </c>
      <c r="G21" s="17"/>
      <c r="H21" s="17" t="str">
        <f t="shared" si="3"/>
        <v/>
      </c>
      <c r="I21" s="16" t="str">
        <f t="shared" si="1"/>
        <v/>
      </c>
      <c r="J21" s="91"/>
      <c r="K21" s="69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2"/>
        <v/>
      </c>
      <c r="G22" s="13"/>
      <c r="H22" s="13" t="str">
        <f t="shared" si="3"/>
        <v/>
      </c>
      <c r="I22" s="14" t="str">
        <f t="shared" si="1"/>
        <v/>
      </c>
      <c r="J22" s="68"/>
      <c r="K22" s="68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2"/>
        <v/>
      </c>
      <c r="G23" s="17"/>
      <c r="H23" s="17" t="str">
        <f t="shared" si="3"/>
        <v/>
      </c>
      <c r="I23" s="16" t="str">
        <f t="shared" si="1"/>
        <v/>
      </c>
      <c r="J23" s="91"/>
      <c r="K23" s="69"/>
    </row>
    <row r="24" spans="1:11" ht="15.6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2"/>
        <v/>
      </c>
      <c r="G24" s="13"/>
      <c r="H24" s="13" t="str">
        <f t="shared" si="3"/>
        <v/>
      </c>
      <c r="I24" s="14" t="str">
        <f t="shared" si="1"/>
        <v/>
      </c>
      <c r="J24" s="68"/>
      <c r="K24" s="68"/>
    </row>
    <row r="25" spans="1:11" ht="15.6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2"/>
        <v/>
      </c>
      <c r="G25" s="17"/>
      <c r="H25" s="17" t="str">
        <f t="shared" si="3"/>
        <v/>
      </c>
      <c r="I25" s="16" t="str">
        <f t="shared" si="1"/>
        <v/>
      </c>
      <c r="J25" s="91"/>
      <c r="K25" s="69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2"/>
        <v/>
      </c>
      <c r="G26" s="13"/>
      <c r="H26" s="13" t="str">
        <f t="shared" si="3"/>
        <v/>
      </c>
      <c r="I26" s="14" t="str">
        <f t="shared" si="1"/>
        <v/>
      </c>
      <c r="J26" s="68"/>
      <c r="K26" s="68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2"/>
        <v/>
      </c>
      <c r="G27" s="17"/>
      <c r="H27" s="17" t="str">
        <f t="shared" si="3"/>
        <v/>
      </c>
      <c r="I27" s="16" t="str">
        <f t="shared" si="1"/>
        <v/>
      </c>
      <c r="J27" s="91"/>
      <c r="K27" s="69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2"/>
        <v/>
      </c>
      <c r="G28" s="13"/>
      <c r="H28" s="13" t="str">
        <f t="shared" si="3"/>
        <v/>
      </c>
      <c r="I28" s="14" t="str">
        <f t="shared" si="1"/>
        <v/>
      </c>
      <c r="J28" s="68"/>
      <c r="K28" s="68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2"/>
        <v/>
      </c>
      <c r="G29" s="17"/>
      <c r="H29" s="17" t="str">
        <f t="shared" si="3"/>
        <v/>
      </c>
      <c r="I29" s="16" t="str">
        <f t="shared" si="1"/>
        <v/>
      </c>
      <c r="J29" s="91"/>
      <c r="K29" s="69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2"/>
        <v/>
      </c>
      <c r="G30" s="13"/>
      <c r="H30" s="13" t="str">
        <f t="shared" si="3"/>
        <v/>
      </c>
      <c r="I30" s="14" t="str">
        <f t="shared" si="1"/>
        <v/>
      </c>
      <c r="J30" s="68"/>
      <c r="K30" s="68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2"/>
        <v/>
      </c>
      <c r="G31" s="17"/>
      <c r="H31" s="17" t="str">
        <f t="shared" si="3"/>
        <v/>
      </c>
      <c r="I31" s="16" t="str">
        <f t="shared" si="1"/>
        <v/>
      </c>
      <c r="J31" s="91"/>
      <c r="K31" s="69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2"/>
        <v/>
      </c>
      <c r="G32" s="13"/>
      <c r="H32" s="13" t="str">
        <f t="shared" si="3"/>
        <v/>
      </c>
      <c r="I32" s="14" t="str">
        <f t="shared" si="1"/>
        <v/>
      </c>
      <c r="J32" s="68"/>
      <c r="K32" s="68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2"/>
        <v/>
      </c>
      <c r="G33" s="17"/>
      <c r="H33" s="17" t="str">
        <f t="shared" si="3"/>
        <v/>
      </c>
      <c r="I33" s="16" t="str">
        <f t="shared" si="1"/>
        <v/>
      </c>
      <c r="J33" s="91"/>
      <c r="K33" s="69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2"/>
        <v/>
      </c>
      <c r="G34" s="13"/>
      <c r="H34" s="13" t="str">
        <f t="shared" si="3"/>
        <v/>
      </c>
      <c r="I34" s="14" t="str">
        <f t="shared" si="1"/>
        <v/>
      </c>
      <c r="J34" s="68"/>
      <c r="K34" s="68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2"/>
        <v/>
      </c>
      <c r="G35" s="17"/>
      <c r="H35" s="17" t="str">
        <f t="shared" si="3"/>
        <v/>
      </c>
      <c r="I35" s="16" t="str">
        <f t="shared" si="1"/>
        <v/>
      </c>
      <c r="J35" s="91"/>
      <c r="K35" s="69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2"/>
        <v/>
      </c>
      <c r="G36" s="13"/>
      <c r="H36" s="13" t="str">
        <f t="shared" si="3"/>
        <v/>
      </c>
      <c r="I36" s="14" t="str">
        <f t="shared" si="1"/>
        <v/>
      </c>
      <c r="J36" s="68"/>
      <c r="K36" s="68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2"/>
        <v/>
      </c>
      <c r="G37" s="17"/>
      <c r="H37" s="17" t="str">
        <f t="shared" si="3"/>
        <v/>
      </c>
      <c r="I37" s="16" t="str">
        <f t="shared" si="1"/>
        <v/>
      </c>
      <c r="J37" s="91"/>
      <c r="K37" s="69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2"/>
        <v/>
      </c>
      <c r="G38" s="13"/>
      <c r="H38" s="13" t="str">
        <f t="shared" si="3"/>
        <v/>
      </c>
      <c r="I38" s="14" t="str">
        <f t="shared" si="1"/>
        <v/>
      </c>
      <c r="J38" s="68"/>
      <c r="K38" s="68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2"/>
        <v/>
      </c>
      <c r="G39" s="17"/>
      <c r="H39" s="17" t="str">
        <f t="shared" si="3"/>
        <v/>
      </c>
      <c r="I39" s="16" t="str">
        <f t="shared" si="1"/>
        <v/>
      </c>
      <c r="J39" s="91"/>
      <c r="K39" s="69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2"/>
        <v/>
      </c>
      <c r="G40" s="13"/>
      <c r="H40" s="13" t="str">
        <f t="shared" si="3"/>
        <v/>
      </c>
      <c r="I40" s="14" t="str">
        <f t="shared" si="1"/>
        <v/>
      </c>
      <c r="J40" s="68"/>
      <c r="K40" s="68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2"/>
        <v/>
      </c>
      <c r="G41" s="17"/>
      <c r="H41" s="17" t="str">
        <f t="shared" si="3"/>
        <v/>
      </c>
      <c r="I41" s="16" t="str">
        <f t="shared" si="1"/>
        <v/>
      </c>
      <c r="J41" s="91"/>
      <c r="K41" s="69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2"/>
        <v/>
      </c>
      <c r="G42" s="13"/>
      <c r="H42" s="13" t="str">
        <f t="shared" si="3"/>
        <v/>
      </c>
      <c r="I42" s="14" t="str">
        <f t="shared" si="1"/>
        <v/>
      </c>
      <c r="J42" s="68"/>
      <c r="K42" s="68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2"/>
        <v/>
      </c>
      <c r="G43" s="17"/>
      <c r="H43" s="17" t="str">
        <f t="shared" si="3"/>
        <v/>
      </c>
      <c r="I43" s="16" t="str">
        <f t="shared" si="1"/>
        <v/>
      </c>
      <c r="J43" s="91"/>
      <c r="K43" s="69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2"/>
        <v/>
      </c>
      <c r="G44" s="13"/>
      <c r="H44" s="13" t="str">
        <f t="shared" si="3"/>
        <v/>
      </c>
      <c r="I44" s="14" t="str">
        <f t="shared" si="1"/>
        <v/>
      </c>
      <c r="J44" s="68"/>
      <c r="K44" s="68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2"/>
        <v/>
      </c>
      <c r="G45" s="17"/>
      <c r="H45" s="17" t="str">
        <f t="shared" si="3"/>
        <v/>
      </c>
      <c r="I45" s="16" t="str">
        <f t="shared" si="1"/>
        <v/>
      </c>
      <c r="J45" s="91"/>
      <c r="K45" s="69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2"/>
        <v/>
      </c>
      <c r="G46" s="13"/>
      <c r="H46" s="13" t="str">
        <f t="shared" si="3"/>
        <v/>
      </c>
      <c r="I46" s="14" t="str">
        <f t="shared" si="1"/>
        <v/>
      </c>
      <c r="J46" s="68"/>
      <c r="K46" s="68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2"/>
        <v/>
      </c>
      <c r="G47" s="17"/>
      <c r="H47" s="17" t="str">
        <f t="shared" si="3"/>
        <v/>
      </c>
      <c r="I47" s="16" t="str">
        <f t="shared" si="1"/>
        <v/>
      </c>
      <c r="J47" s="91"/>
      <c r="K47" s="91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2"/>
        <v/>
      </c>
      <c r="G48" s="13"/>
      <c r="H48" s="13" t="str">
        <f t="shared" si="3"/>
        <v/>
      </c>
      <c r="I48" s="14" t="str">
        <f t="shared" si="1"/>
        <v/>
      </c>
      <c r="J48" s="68"/>
      <c r="K48" s="68"/>
    </row>
    <row r="49" spans="1:11" ht="15.6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2"/>
        <v/>
      </c>
      <c r="G49" s="17"/>
      <c r="H49" s="17" t="str">
        <f t="shared" si="3"/>
        <v/>
      </c>
      <c r="I49" s="16" t="str">
        <f t="shared" si="1"/>
        <v/>
      </c>
      <c r="J49" s="91"/>
      <c r="K49" s="69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2"/>
        <v/>
      </c>
      <c r="G50" s="13"/>
      <c r="H50" s="13" t="str">
        <f t="shared" si="3"/>
        <v/>
      </c>
      <c r="I50" s="14" t="str">
        <f t="shared" si="1"/>
        <v/>
      </c>
      <c r="J50" s="68"/>
      <c r="K50" s="68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2"/>
        <v/>
      </c>
      <c r="G51" s="17"/>
      <c r="H51" s="17" t="str">
        <f t="shared" si="3"/>
        <v/>
      </c>
      <c r="I51" s="16" t="str">
        <f t="shared" si="1"/>
        <v/>
      </c>
      <c r="J51" s="91"/>
      <c r="K51" s="69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2"/>
        <v/>
      </c>
      <c r="G52" s="13"/>
      <c r="H52" s="13" t="str">
        <f t="shared" si="3"/>
        <v/>
      </c>
      <c r="I52" s="14" t="str">
        <f t="shared" si="1"/>
        <v/>
      </c>
      <c r="J52" s="68"/>
      <c r="K52" s="68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2"/>
        <v/>
      </c>
      <c r="G53" s="17"/>
      <c r="H53" s="17" t="str">
        <f t="shared" si="3"/>
        <v/>
      </c>
      <c r="I53" s="16" t="str">
        <f t="shared" si="1"/>
        <v/>
      </c>
      <c r="J53" s="91"/>
      <c r="K53" s="69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2"/>
        <v/>
      </c>
      <c r="G54" s="13"/>
      <c r="H54" s="13" t="str">
        <f t="shared" si="3"/>
        <v/>
      </c>
      <c r="I54" s="14" t="str">
        <f t="shared" si="1"/>
        <v/>
      </c>
      <c r="J54" s="68"/>
      <c r="K54" s="68"/>
    </row>
    <row r="55" spans="1:11" ht="41.25" customHeight="1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2"/>
        <v/>
      </c>
      <c r="G55" s="17"/>
      <c r="H55" s="17" t="str">
        <f t="shared" si="3"/>
        <v/>
      </c>
      <c r="I55" s="16" t="str">
        <f t="shared" si="1"/>
        <v/>
      </c>
      <c r="J55" s="91"/>
      <c r="K55" s="71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2"/>
        <v/>
      </c>
      <c r="G56" s="13"/>
      <c r="H56" s="13" t="str">
        <f t="shared" si="3"/>
        <v/>
      </c>
      <c r="I56" s="14" t="str">
        <f t="shared" si="1"/>
        <v/>
      </c>
      <c r="J56" s="68"/>
      <c r="K56" s="68"/>
    </row>
    <row r="57" spans="1:11" ht="15.6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2"/>
        <v/>
      </c>
      <c r="G57" s="17"/>
      <c r="H57" s="17" t="str">
        <f t="shared" si="3"/>
        <v/>
      </c>
      <c r="I57" s="16" t="str">
        <f t="shared" si="1"/>
        <v/>
      </c>
      <c r="J57" s="91"/>
      <c r="K57" s="69"/>
    </row>
    <row r="58" spans="1:11" ht="15.6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2"/>
        <v/>
      </c>
      <c r="G58" s="13"/>
      <c r="H58" s="13" t="str">
        <f t="shared" si="3"/>
        <v/>
      </c>
      <c r="I58" s="14" t="str">
        <f t="shared" si="1"/>
        <v/>
      </c>
      <c r="J58" s="68"/>
      <c r="K58" s="68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2"/>
        <v/>
      </c>
      <c r="G59" s="17"/>
      <c r="H59" s="17" t="str">
        <f t="shared" si="3"/>
        <v/>
      </c>
      <c r="I59" s="16" t="str">
        <f t="shared" si="1"/>
        <v/>
      </c>
      <c r="J59" s="91"/>
      <c r="K59" s="71"/>
    </row>
    <row r="60" spans="1:11" ht="37.5" customHeight="1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2"/>
        <v/>
      </c>
      <c r="G60" s="13"/>
      <c r="H60" s="13" t="str">
        <f t="shared" si="3"/>
        <v/>
      </c>
      <c r="I60" s="14" t="str">
        <f t="shared" si="1"/>
        <v/>
      </c>
      <c r="J60" s="70"/>
      <c r="K60" s="68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2"/>
        <v/>
      </c>
      <c r="G61" s="17"/>
      <c r="H61" s="17" t="str">
        <f t="shared" si="3"/>
        <v/>
      </c>
      <c r="I61" s="16" t="str">
        <f t="shared" si="1"/>
        <v/>
      </c>
      <c r="J61" s="91"/>
      <c r="K61" s="69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2"/>
        <v/>
      </c>
      <c r="G62" s="13"/>
      <c r="H62" s="13" t="str">
        <f t="shared" si="3"/>
        <v/>
      </c>
      <c r="I62" s="14" t="str">
        <f t="shared" si="1"/>
        <v/>
      </c>
      <c r="J62" s="68"/>
      <c r="K62" s="68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2"/>
        <v/>
      </c>
      <c r="G63" s="17"/>
      <c r="H63" s="17" t="str">
        <f t="shared" si="3"/>
        <v/>
      </c>
      <c r="I63" s="16" t="str">
        <f t="shared" si="1"/>
        <v/>
      </c>
      <c r="J63" s="91"/>
      <c r="K63" s="71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2"/>
        <v/>
      </c>
      <c r="G64" s="13"/>
      <c r="H64" s="13" t="str">
        <f t="shared" si="3"/>
        <v/>
      </c>
      <c r="I64" s="14" t="str">
        <f t="shared" si="1"/>
        <v/>
      </c>
      <c r="J64" s="68"/>
      <c r="K64" s="68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2"/>
        <v/>
      </c>
      <c r="G65" s="17"/>
      <c r="H65" s="17" t="str">
        <f t="shared" si="3"/>
        <v/>
      </c>
      <c r="I65" s="16" t="str">
        <f t="shared" si="1"/>
        <v/>
      </c>
      <c r="J65" s="91"/>
      <c r="K65" s="71"/>
    </row>
    <row r="66" spans="1:11" ht="15.6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2"/>
        <v/>
      </c>
      <c r="G66" s="13"/>
      <c r="H66" s="13" t="str">
        <f t="shared" si="3"/>
        <v/>
      </c>
      <c r="I66" s="14" t="str">
        <f t="shared" si="1"/>
        <v/>
      </c>
      <c r="J66" s="68"/>
      <c r="K66" s="68"/>
    </row>
    <row r="67" spans="1:11" ht="15.6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2"/>
        <v/>
      </c>
      <c r="G67" s="17"/>
      <c r="H67" s="17" t="str">
        <f t="shared" si="3"/>
        <v/>
      </c>
      <c r="I67" s="16" t="str">
        <f t="shared" si="1"/>
        <v/>
      </c>
      <c r="J67" s="91"/>
      <c r="K67" s="69"/>
    </row>
    <row r="68" spans="1:11" ht="15.6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2"/>
        <v/>
      </c>
      <c r="G68" s="13"/>
      <c r="H68" s="13" t="str">
        <f t="shared" si="3"/>
        <v/>
      </c>
      <c r="I68" s="14" t="str">
        <f t="shared" si="1"/>
        <v/>
      </c>
      <c r="J68" s="68"/>
      <c r="K68" s="68"/>
    </row>
    <row r="69" spans="1:11" ht="15.6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2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49"/>
      <c r="K69" s="55"/>
    </row>
    <row r="70" spans="1:11" ht="15.6">
      <c r="A70" s="25" t="str">
        <v>Old Ranch Town Center</v>
      </c>
      <c r="B70" s="26" t="str">
        <v>CA</v>
      </c>
      <c r="C70" s="21"/>
      <c r="D70" s="11"/>
      <c r="E70" s="11" t="str">
        <f t="shared" si="0"/>
        <v/>
      </c>
      <c r="F70" s="12" t="str">
        <f t="shared" si="2"/>
        <v/>
      </c>
      <c r="G70" s="13"/>
      <c r="H70" s="13" t="str">
        <f t="shared" si="3"/>
        <v/>
      </c>
      <c r="I70" s="14" t="str">
        <f t="shared" si="1"/>
        <v/>
      </c>
      <c r="J70" s="68"/>
      <c r="K70" s="68"/>
    </row>
    <row r="71" spans="1:11" ht="15.6">
      <c r="A71" s="27" t="str">
        <v>Mountain Gate Plaza</v>
      </c>
      <c r="B71" s="28" t="str">
        <v>CA</v>
      </c>
      <c r="C71" s="10"/>
      <c r="D71" s="15"/>
      <c r="E71" s="15" t="str">
        <f t="shared" ref="E71:E84" si="7">IF(AND(ISNUMBER(C71),ISNUMBER(D71)), C71-D71, "")</f>
        <v/>
      </c>
      <c r="F71" s="16" t="str">
        <f t="shared" ref="F71:F85" si="8">IFERROR(E71/D71, "")</f>
        <v/>
      </c>
      <c r="G71" s="17"/>
      <c r="H71" s="17" t="str">
        <f t="shared" ref="H71:H84" si="9">IF(AND(ISNUMBER(C71),ISNUMBER(G71)), C71-G71, "")</f>
        <v/>
      </c>
      <c r="I71" s="16" t="str">
        <f t="shared" ref="I71:I84" si="10">IFERROR(H71/G71, "")</f>
        <v/>
      </c>
      <c r="J71" s="91"/>
      <c r="K71" s="71"/>
    </row>
    <row r="72" spans="1:11" ht="15.6">
      <c r="A72" s="25" t="str">
        <v>Arcadia Main</v>
      </c>
      <c r="B72" s="26" t="str">
        <v>CA</v>
      </c>
      <c r="C72" s="21"/>
      <c r="D72" s="11"/>
      <c r="E72" s="11" t="str">
        <f t="shared" si="7"/>
        <v/>
      </c>
      <c r="F72" s="12" t="str">
        <f t="shared" si="8"/>
        <v/>
      </c>
      <c r="G72" s="13"/>
      <c r="H72" s="13" t="str">
        <f t="shared" si="9"/>
        <v/>
      </c>
      <c r="I72" s="14" t="str">
        <f t="shared" si="10"/>
        <v/>
      </c>
      <c r="J72" s="68"/>
      <c r="K72" s="68"/>
    </row>
    <row r="73" spans="1:11" ht="15.6">
      <c r="A73" s="27" t="str">
        <v>Fairfield</v>
      </c>
      <c r="B73" s="28" t="str">
        <v>CA</v>
      </c>
      <c r="C73" s="10"/>
      <c r="D73" s="15"/>
      <c r="E73" s="15" t="str">
        <f t="shared" si="7"/>
        <v/>
      </c>
      <c r="F73" s="16" t="str">
        <f t="shared" si="8"/>
        <v/>
      </c>
      <c r="G73" s="17"/>
      <c r="H73" s="17" t="str">
        <f t="shared" si="9"/>
        <v/>
      </c>
      <c r="I73" s="16" t="str">
        <f t="shared" si="10"/>
        <v/>
      </c>
      <c r="J73" s="91"/>
      <c r="K73" s="69"/>
    </row>
    <row r="74" spans="1:11" ht="15.6">
      <c r="A74" s="25" t="str">
        <v>Los Gatos</v>
      </c>
      <c r="B74" s="26" t="str">
        <v>CA</v>
      </c>
      <c r="C74" s="21"/>
      <c r="D74" s="11"/>
      <c r="E74" s="11" t="str">
        <f t="shared" si="7"/>
        <v/>
      </c>
      <c r="F74" s="12" t="str">
        <f t="shared" si="8"/>
        <v/>
      </c>
      <c r="G74" s="13"/>
      <c r="H74" s="13" t="str">
        <f t="shared" si="9"/>
        <v/>
      </c>
      <c r="I74" s="14" t="str">
        <f t="shared" si="10"/>
        <v/>
      </c>
      <c r="J74" s="68"/>
      <c r="K74" s="68"/>
    </row>
    <row r="75" spans="1:11" ht="15.6">
      <c r="A75" s="27" t="str">
        <v>San Marino</v>
      </c>
      <c r="B75" s="28" t="str">
        <v>CA</v>
      </c>
      <c r="C75" s="10"/>
      <c r="D75" s="15"/>
      <c r="E75" s="15" t="str">
        <f t="shared" si="7"/>
        <v/>
      </c>
      <c r="F75" s="16" t="str">
        <f t="shared" si="8"/>
        <v/>
      </c>
      <c r="G75" s="17"/>
      <c r="H75" s="17" t="str">
        <f t="shared" si="9"/>
        <v/>
      </c>
      <c r="I75" s="16" t="str">
        <f t="shared" si="10"/>
        <v/>
      </c>
      <c r="J75" s="91"/>
      <c r="K75" s="71"/>
    </row>
    <row r="76" spans="1:11" ht="15.6">
      <c r="A76" s="25" t="str">
        <v>Buenaventura</v>
      </c>
      <c r="B76" s="26" t="str">
        <v>CA</v>
      </c>
      <c r="C76" s="21"/>
      <c r="D76" s="11"/>
      <c r="E76" s="11" t="str">
        <f t="shared" si="7"/>
        <v/>
      </c>
      <c r="F76" s="12" t="str">
        <f t="shared" si="8"/>
        <v/>
      </c>
      <c r="G76" s="13"/>
      <c r="H76" s="13" t="str">
        <f t="shared" si="9"/>
        <v/>
      </c>
      <c r="I76" s="14" t="str">
        <f t="shared" si="10"/>
        <v/>
      </c>
      <c r="J76" s="68"/>
      <c r="K76" s="68"/>
    </row>
    <row r="77" spans="1:11" ht="15.6">
      <c r="A77" s="27" t="str">
        <v>N Black Canyon Hwy, Phoenix - North</v>
      </c>
      <c r="B77" s="28" t="str">
        <v>AZ</v>
      </c>
      <c r="C77" s="10"/>
      <c r="D77" s="15"/>
      <c r="E77" s="15" t="str">
        <f t="shared" si="7"/>
        <v/>
      </c>
      <c r="F77" s="16" t="str">
        <f t="shared" si="8"/>
        <v/>
      </c>
      <c r="G77" s="17"/>
      <c r="H77" s="17" t="str">
        <f t="shared" si="9"/>
        <v/>
      </c>
      <c r="I77" s="16" t="str">
        <f t="shared" si="10"/>
        <v/>
      </c>
      <c r="J77" s="91"/>
      <c r="K77" s="71"/>
    </row>
    <row r="78" spans="1:11" ht="15.6">
      <c r="A78" s="25" t="str">
        <v>N Black Canyon Hwy, Phoenix - South</v>
      </c>
      <c r="B78" s="26" t="str">
        <v>AZ</v>
      </c>
      <c r="C78" s="21"/>
      <c r="D78" s="11"/>
      <c r="E78" s="11" t="str">
        <f t="shared" si="7"/>
        <v/>
      </c>
      <c r="F78" s="12" t="str">
        <f t="shared" si="8"/>
        <v/>
      </c>
      <c r="G78" s="13"/>
      <c r="H78" s="13" t="str">
        <f t="shared" si="9"/>
        <v/>
      </c>
      <c r="I78" s="14" t="str">
        <f t="shared" si="10"/>
        <v/>
      </c>
      <c r="J78" s="68"/>
      <c r="K78" s="68"/>
    </row>
    <row r="79" spans="1:11" ht="15.6">
      <c r="A79" s="27" t="str">
        <v xml:space="preserve"> Building 2222, Rose Garden Ln, Phoenix</v>
      </c>
      <c r="B79" s="28" t="str">
        <v>AZ</v>
      </c>
      <c r="C79" s="10"/>
      <c r="D79" s="15"/>
      <c r="E79" s="15" t="str">
        <f t="shared" si="7"/>
        <v/>
      </c>
      <c r="F79" s="16" t="str">
        <f t="shared" si="8"/>
        <v/>
      </c>
      <c r="G79" s="17"/>
      <c r="H79" s="17" t="str">
        <f t="shared" si="9"/>
        <v/>
      </c>
      <c r="I79" s="16" t="str">
        <f t="shared" si="10"/>
        <v/>
      </c>
      <c r="J79" s="91"/>
      <c r="K79" s="71"/>
    </row>
    <row r="80" spans="1:11" ht="15.6">
      <c r="A80" s="25" t="str">
        <v xml:space="preserve"> Building 2202, Rose Garden Ln, Phoenix</v>
      </c>
      <c r="B80" s="26" t="str">
        <v>AZ</v>
      </c>
      <c r="C80" s="21"/>
      <c r="D80" s="11"/>
      <c r="E80" s="11" t="str">
        <f t="shared" si="7"/>
        <v/>
      </c>
      <c r="F80" s="12" t="str">
        <f t="shared" si="8"/>
        <v/>
      </c>
      <c r="G80" s="13"/>
      <c r="H80" s="13" t="str">
        <f t="shared" si="9"/>
        <v/>
      </c>
      <c r="I80" s="14" t="str">
        <f t="shared" si="10"/>
        <v/>
      </c>
      <c r="J80" s="68"/>
      <c r="K80" s="68"/>
    </row>
    <row r="81" spans="1:11" ht="15.6">
      <c r="A81" s="27" t="str">
        <v xml:space="preserve"> 99TH Ave &amp; BELL</v>
      </c>
      <c r="B81" s="28" t="str">
        <v>AZ</v>
      </c>
      <c r="C81" s="10"/>
      <c r="D81" s="15"/>
      <c r="E81" s="15" t="str">
        <f t="shared" si="7"/>
        <v/>
      </c>
      <c r="F81" s="16" t="str">
        <f t="shared" si="8"/>
        <v/>
      </c>
      <c r="G81" s="17"/>
      <c r="H81" s="17" t="str">
        <f t="shared" si="9"/>
        <v/>
      </c>
      <c r="I81" s="16" t="str">
        <f t="shared" si="10"/>
        <v/>
      </c>
      <c r="J81" s="91"/>
      <c r="K81" s="71"/>
    </row>
    <row r="82" spans="1:11" ht="15.6">
      <c r="A82" s="25" t="str">
        <v>Rincon</v>
      </c>
      <c r="B82" s="26" t="str">
        <v>AZ</v>
      </c>
      <c r="C82" s="21"/>
      <c r="D82" s="11"/>
      <c r="E82" s="11" t="str">
        <f t="shared" si="7"/>
        <v/>
      </c>
      <c r="F82" s="12" t="str">
        <f t="shared" si="8"/>
        <v/>
      </c>
      <c r="G82" s="13"/>
      <c r="H82" s="13" t="str">
        <f t="shared" si="9"/>
        <v/>
      </c>
      <c r="I82" s="14" t="str">
        <f t="shared" si="10"/>
        <v/>
      </c>
      <c r="J82" s="68"/>
      <c r="K82" s="68"/>
    </row>
    <row r="83" spans="1:11" ht="15.6">
      <c r="A83" s="27" t="str">
        <v>Tucson Main Parking Garage</v>
      </c>
      <c r="B83" s="28" t="str">
        <v>AZ</v>
      </c>
      <c r="C83" s="10"/>
      <c r="D83" s="15"/>
      <c r="E83" s="15" t="str">
        <f t="shared" si="7"/>
        <v/>
      </c>
      <c r="F83" s="16" t="str">
        <f t="shared" si="8"/>
        <v/>
      </c>
      <c r="G83" s="17"/>
      <c r="H83" s="17" t="str">
        <f t="shared" si="9"/>
        <v/>
      </c>
      <c r="I83" s="16" t="str">
        <f t="shared" si="10"/>
        <v/>
      </c>
      <c r="J83" s="91"/>
      <c r="K83" s="71"/>
    </row>
    <row r="84" spans="1:11" ht="15.6">
      <c r="A84" s="25" t="str">
        <v>BE 199502 - Westgate</v>
      </c>
      <c r="B84" s="26" t="str">
        <v>CA</v>
      </c>
      <c r="C84" s="21"/>
      <c r="D84" s="11"/>
      <c r="E84" s="11" t="str">
        <f t="shared" si="7"/>
        <v/>
      </c>
      <c r="F84" s="12" t="str">
        <f t="shared" si="8"/>
        <v/>
      </c>
      <c r="G84" s="13"/>
      <c r="H84" s="13" t="str">
        <f t="shared" si="9"/>
        <v/>
      </c>
      <c r="I84" s="14" t="str">
        <f t="shared" si="10"/>
        <v/>
      </c>
      <c r="J84" s="68"/>
      <c r="K84" s="68"/>
    </row>
    <row r="85" spans="1:11" ht="14.45">
      <c r="A85" s="18"/>
      <c r="B85" s="30"/>
      <c r="C85" s="18"/>
      <c r="D85" s="18"/>
      <c r="E85" s="18"/>
      <c r="F85" s="16" t="str">
        <f t="shared" si="8"/>
        <v/>
      </c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1" stopIfTrue="1" operator="lessThanOrEqual">
      <formula>-0.1</formula>
    </cfRule>
    <cfRule type="expression" dxfId="3" priority="1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zoomScale="70" zoomScaleNormal="70" workbookViewId="0">
      <pane xSplit="2" ySplit="3" topLeftCell="J19" activePane="bottomRight" state="frozen"/>
      <selection pane="bottomRight" activeCell="J19" sqref="J19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210" t="str" cm="1">
        <f t="array" ref="A1">portfolio</f>
        <v>Wells Fargo</v>
      </c>
      <c r="B1" s="210"/>
      <c r="C1" s="210"/>
      <c r="D1" s="211" t="s">
        <v>332</v>
      </c>
      <c r="E1" s="211"/>
      <c r="F1" s="211"/>
      <c r="G1" s="209" t="s">
        <v>333</v>
      </c>
      <c r="H1" s="209"/>
      <c r="I1" s="209"/>
      <c r="J1" s="3"/>
      <c r="K1" s="3"/>
    </row>
    <row r="2" spans="1:11" ht="19.5" customHeight="1">
      <c r="A2" s="220" t="s">
        <v>2</v>
      </c>
      <c r="B2" s="220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30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39</v>
      </c>
      <c r="K3" s="22" t="s">
        <v>40</v>
      </c>
    </row>
    <row r="4" spans="1:11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67" si="0">IF(AND(ISNUMBER(C5),ISNUMBER(D5)), C5-D5, "")</f>
        <v/>
      </c>
      <c r="F5" s="16" t="str">
        <f>IFERROR(E5/D5, "")</f>
        <v/>
      </c>
      <c r="G5" s="17"/>
      <c r="H5" s="17" t="str">
        <f t="shared" ref="H5:H67" si="1">IF(AND(ISNUMBER(C5),ISNUMBER(G5)), C5-G5, "")</f>
        <v/>
      </c>
      <c r="I5" s="16" t="str">
        <f t="shared" ref="I5:I67" si="2">IFERROR(H5/G5, "")</f>
        <v/>
      </c>
      <c r="J5" s="39"/>
      <c r="K5" s="39"/>
    </row>
    <row r="6" spans="1:11" ht="15.6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91"/>
      <c r="K19" s="91"/>
    </row>
    <row r="20" spans="1:11" ht="15.6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40"/>
    </row>
    <row r="24" spans="1:11" ht="15.6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15.6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39"/>
      <c r="K25" s="40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40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40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91"/>
      <c r="K47" s="91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5.6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40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6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91"/>
      <c r="K55" s="71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6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40"/>
    </row>
    <row r="58" spans="1:11" ht="15.6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6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40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54"/>
      <c r="K63" s="40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40"/>
    </row>
    <row r="66" spans="1:11" ht="15.6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6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6">
      <c r="A68" s="25" t="str">
        <v>Stevens Creek</v>
      </c>
      <c r="B68" s="26" t="str">
        <v>CA</v>
      </c>
      <c r="C68" s="21"/>
      <c r="D68" s="11"/>
      <c r="E68" s="11" t="str">
        <f>IF(AND(ISNUMBER(C68),ISNUMBER(D68)), C68-D68, "")</f>
        <v/>
      </c>
      <c r="F68" s="12" t="str">
        <f>IFERROR(E68/D68, "")</f>
        <v/>
      </c>
      <c r="G68" s="13"/>
      <c r="H68" s="13" t="str">
        <f>IF(AND(ISNUMBER(C68),ISNUMBER(G68)), C68-G68, "")</f>
        <v/>
      </c>
      <c r="I68" s="14" t="str">
        <f>IFERROR(H68/G68, "")</f>
        <v/>
      </c>
      <c r="J68" s="70"/>
      <c r="K68" s="70"/>
    </row>
    <row r="69" spans="1:11" ht="15.6">
      <c r="A69" s="27" t="str">
        <v>Covina Main</v>
      </c>
      <c r="B69" s="28" t="str">
        <v>CA</v>
      </c>
      <c r="C69" s="10"/>
      <c r="D69" s="15"/>
      <c r="E69" s="15" t="str">
        <f t="shared" ref="E69:E84" si="4">IF(AND(ISNUMBER(C69),ISNUMBER(D69)), C69-D69, "")</f>
        <v/>
      </c>
      <c r="F69" s="16" t="str">
        <f>IFERROR(E69/D69, "")</f>
        <v/>
      </c>
      <c r="G69" s="17"/>
      <c r="H69" s="17" t="str">
        <f t="shared" ref="H69:H84" si="5">IF(AND(ISNUMBER(C69),ISNUMBER(G69)), C69-G69, "")</f>
        <v/>
      </c>
      <c r="I69" s="16" t="str">
        <f t="shared" ref="I69:I84" si="6">IFERROR(H69/G69, "")</f>
        <v/>
      </c>
      <c r="J69" s="39"/>
      <c r="K69" s="39"/>
    </row>
    <row r="70" spans="1:11" ht="15.6">
      <c r="A70" s="25" t="str">
        <v>Old Ranch Town Center</v>
      </c>
      <c r="B70" s="26" t="str">
        <v>CA</v>
      </c>
      <c r="C70" s="21"/>
      <c r="D70" s="11"/>
      <c r="E70" s="11" t="str">
        <f t="shared" si="4"/>
        <v/>
      </c>
      <c r="F70" s="12" t="str">
        <f t="shared" ref="F70:F84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8"/>
      <c r="K70" s="38"/>
    </row>
    <row r="71" spans="1:11" ht="15.6">
      <c r="A71" s="27" t="str">
        <v>Mountain Gate Plaza</v>
      </c>
      <c r="B71" s="28" t="str">
        <v>CA</v>
      </c>
      <c r="C71" s="10"/>
      <c r="D71" s="15"/>
      <c r="E71" s="15" t="str">
        <f t="shared" si="4"/>
        <v/>
      </c>
      <c r="F71" s="16" t="str">
        <f t="shared" si="7"/>
        <v/>
      </c>
      <c r="G71" s="17"/>
      <c r="H71" s="17" t="str">
        <f t="shared" si="5"/>
        <v/>
      </c>
      <c r="I71" s="16" t="str">
        <f t="shared" si="6"/>
        <v/>
      </c>
      <c r="J71" s="54"/>
      <c r="K71" s="40"/>
    </row>
    <row r="72" spans="1:11" ht="15.6">
      <c r="A72" s="25" t="str">
        <v>Arcadia Main</v>
      </c>
      <c r="B72" s="26" t="str">
        <v>CA</v>
      </c>
      <c r="C72" s="21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8"/>
      <c r="K72" s="38"/>
    </row>
    <row r="73" spans="1:11" ht="15.6">
      <c r="A73" s="27" t="str">
        <v>Fairfield</v>
      </c>
      <c r="B73" s="28" t="str">
        <v>CA</v>
      </c>
      <c r="C73" s="72"/>
      <c r="D73" s="15"/>
      <c r="E73" s="15" t="str">
        <f t="shared" si="4"/>
        <v/>
      </c>
      <c r="F73" s="16" t="str">
        <f t="shared" si="7"/>
        <v/>
      </c>
      <c r="G73" s="73"/>
      <c r="H73" s="17" t="str">
        <f t="shared" si="5"/>
        <v/>
      </c>
      <c r="I73" s="16" t="str">
        <f t="shared" si="6"/>
        <v/>
      </c>
      <c r="J73" s="49"/>
      <c r="K73" s="49"/>
    </row>
    <row r="74" spans="1:11" ht="15.6">
      <c r="A74" s="25" t="str">
        <v>Los Gatos</v>
      </c>
      <c r="B74" s="26" t="str">
        <v>CA</v>
      </c>
      <c r="C74" s="21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8"/>
      <c r="K74" s="38"/>
    </row>
    <row r="75" spans="1:11" ht="15.6">
      <c r="A75" s="27" t="str">
        <v>San Marino</v>
      </c>
      <c r="B75" s="28" t="str">
        <v>CA</v>
      </c>
      <c r="C75" s="10"/>
      <c r="D75" s="15"/>
      <c r="E75" s="15" t="str">
        <f t="shared" si="4"/>
        <v/>
      </c>
      <c r="F75" s="16" t="str">
        <f t="shared" si="7"/>
        <v/>
      </c>
      <c r="G75" s="17"/>
      <c r="H75" s="17" t="str">
        <f t="shared" si="5"/>
        <v/>
      </c>
      <c r="I75" s="16" t="str">
        <f t="shared" si="6"/>
        <v/>
      </c>
      <c r="J75" s="54"/>
      <c r="K75" s="40"/>
    </row>
    <row r="76" spans="1:11" ht="15.6">
      <c r="A76" s="25" t="str">
        <v>Buenaventura</v>
      </c>
      <c r="B76" s="26" t="str">
        <v>CA</v>
      </c>
      <c r="C76" s="21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8"/>
      <c r="K76" s="38"/>
    </row>
    <row r="77" spans="1:11" ht="15.6">
      <c r="A77" s="27" t="str">
        <v>N Black Canyon Hwy, Phoenix - North</v>
      </c>
      <c r="B77" s="28" t="str">
        <v>AZ</v>
      </c>
      <c r="C77" s="72"/>
      <c r="D77" s="15"/>
      <c r="E77" s="15" t="str">
        <f t="shared" si="4"/>
        <v/>
      </c>
      <c r="F77" s="16" t="str">
        <f t="shared" si="7"/>
        <v/>
      </c>
      <c r="G77" s="73"/>
      <c r="H77" s="17" t="str">
        <f t="shared" si="5"/>
        <v/>
      </c>
      <c r="I77" s="16" t="str">
        <f t="shared" si="6"/>
        <v/>
      </c>
      <c r="J77" s="39"/>
      <c r="K77" s="39"/>
    </row>
    <row r="78" spans="1:11" ht="15.6">
      <c r="A78" s="25" t="str">
        <v>N Black Canyon Hwy, Phoenix - South</v>
      </c>
      <c r="B78" s="26" t="str">
        <v>AZ</v>
      </c>
      <c r="C78" s="21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8"/>
      <c r="K78" s="38"/>
    </row>
    <row r="79" spans="1:11" ht="15.6">
      <c r="A79" s="27" t="str">
        <v xml:space="preserve"> Building 2222, Rose Garden Ln, Phoenix</v>
      </c>
      <c r="B79" s="28" t="str">
        <v>AZ</v>
      </c>
      <c r="C79" s="72"/>
      <c r="D79" s="15"/>
      <c r="E79" s="15" t="str">
        <f t="shared" si="4"/>
        <v/>
      </c>
      <c r="F79" s="16" t="str">
        <f t="shared" si="7"/>
        <v/>
      </c>
      <c r="G79" s="73"/>
      <c r="H79" s="17" t="str">
        <f t="shared" si="5"/>
        <v/>
      </c>
      <c r="I79" s="16" t="str">
        <f t="shared" si="6"/>
        <v/>
      </c>
      <c r="J79" s="39"/>
      <c r="K79" s="39"/>
    </row>
    <row r="80" spans="1:11" ht="15.6">
      <c r="A80" s="25" t="str">
        <v xml:space="preserve"> Building 2202, Rose Garden Ln, Phoenix</v>
      </c>
      <c r="B80" s="26" t="str">
        <v>AZ</v>
      </c>
      <c r="C80" s="21"/>
      <c r="D80" s="11"/>
      <c r="E80" s="11" t="str">
        <f t="shared" si="4"/>
        <v/>
      </c>
      <c r="F80" s="12" t="str">
        <f t="shared" si="7"/>
        <v/>
      </c>
      <c r="G80" s="13"/>
      <c r="H80" s="13" t="str">
        <f t="shared" si="5"/>
        <v/>
      </c>
      <c r="I80" s="14" t="str">
        <f t="shared" si="6"/>
        <v/>
      </c>
      <c r="J80" s="38"/>
      <c r="K80" s="38"/>
    </row>
    <row r="81" spans="1:11" ht="15.6">
      <c r="A81" s="27" t="str">
        <v xml:space="preserve"> 99TH Ave &amp; BELL</v>
      </c>
      <c r="B81" s="28" t="str">
        <v>AZ</v>
      </c>
      <c r="C81" s="72"/>
      <c r="D81" s="15"/>
      <c r="E81" s="15" t="str">
        <f t="shared" si="4"/>
        <v/>
      </c>
      <c r="F81" s="16" t="str">
        <f t="shared" si="7"/>
        <v/>
      </c>
      <c r="G81" s="73"/>
      <c r="H81" s="17" t="str">
        <f t="shared" si="5"/>
        <v/>
      </c>
      <c r="I81" s="16" t="str">
        <f t="shared" si="6"/>
        <v/>
      </c>
      <c r="J81" s="39"/>
      <c r="K81" s="39"/>
    </row>
    <row r="82" spans="1:11" ht="15.6">
      <c r="A82" s="25" t="str">
        <v>Rincon</v>
      </c>
      <c r="B82" s="26" t="str">
        <v>AZ</v>
      </c>
      <c r="C82" s="21"/>
      <c r="D82" s="11"/>
      <c r="E82" s="11" t="str">
        <f t="shared" si="4"/>
        <v/>
      </c>
      <c r="F82" s="12" t="str">
        <f t="shared" si="7"/>
        <v/>
      </c>
      <c r="G82" s="13"/>
      <c r="H82" s="13" t="str">
        <f t="shared" si="5"/>
        <v/>
      </c>
      <c r="I82" s="14" t="str">
        <f t="shared" si="6"/>
        <v/>
      </c>
      <c r="J82" s="38"/>
      <c r="K82" s="38"/>
    </row>
    <row r="83" spans="1:11" ht="15.6">
      <c r="A83" s="27" t="str">
        <v>Tucson Main Parking Garage</v>
      </c>
      <c r="B83" s="28" t="str">
        <v>AZ</v>
      </c>
      <c r="C83" s="72"/>
      <c r="D83" s="15"/>
      <c r="E83" s="15" t="str">
        <f t="shared" si="4"/>
        <v/>
      </c>
      <c r="F83" s="16" t="str">
        <f t="shared" si="7"/>
        <v/>
      </c>
      <c r="G83" s="73"/>
      <c r="H83" s="17" t="str">
        <f t="shared" si="5"/>
        <v/>
      </c>
      <c r="I83" s="16" t="str">
        <f t="shared" si="6"/>
        <v/>
      </c>
      <c r="J83" s="39"/>
      <c r="K83" s="39"/>
    </row>
    <row r="84" spans="1:11" ht="15.6">
      <c r="A84" s="25" t="str">
        <v>BE 199502 - Westgate</v>
      </c>
      <c r="B84" s="26" t="str">
        <v>CA</v>
      </c>
      <c r="C84" s="21"/>
      <c r="D84" s="11"/>
      <c r="E84" s="11" t="str">
        <f t="shared" si="4"/>
        <v/>
      </c>
      <c r="F84" s="12" t="str">
        <f t="shared" si="7"/>
        <v/>
      </c>
      <c r="G84" s="13"/>
      <c r="H84" s="13" t="str">
        <f t="shared" si="5"/>
        <v/>
      </c>
      <c r="I84" s="14" t="str">
        <f t="shared" si="6"/>
        <v/>
      </c>
      <c r="J84" s="38"/>
      <c r="K84" s="38"/>
    </row>
    <row r="85" spans="1:11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2" priority="11" stopIfTrue="1" operator="lessThanOrEqual">
      <formula>-0.1</formula>
    </cfRule>
    <cfRule type="expression" dxfId="1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H84"/>
  <sheetViews>
    <sheetView zoomScale="110" zoomScaleNormal="110" workbookViewId="0">
      <pane ySplit="3" topLeftCell="A48" activePane="bottomLeft" state="frozen"/>
      <selection pane="bottomLeft" activeCell="A57" sqref="A57:XFD57"/>
    </sheetView>
  </sheetViews>
  <sheetFormatPr defaultRowHeight="12.75" customHeight="1"/>
  <cols>
    <col min="1" max="2" width="41.85546875" customWidth="1"/>
    <col min="4" max="4" width="9.140625" customWidth="1"/>
    <col min="5" max="5" width="18.140625" customWidth="1"/>
    <col min="6" max="6" width="9.140625" customWidth="1"/>
    <col min="7" max="7" width="32" customWidth="1"/>
    <col min="8" max="8" width="9.140625" customWidth="1"/>
    <col min="9" max="9" width="30.85546875" bestFit="1" customWidth="1"/>
    <col min="10" max="14" width="9.140625" customWidth="1"/>
  </cols>
  <sheetData>
    <row r="1" spans="1:8" ht="12.75" customHeight="1">
      <c r="A1" t="s">
        <v>334</v>
      </c>
      <c r="B1" t="s">
        <v>335</v>
      </c>
    </row>
    <row r="3" spans="1:8" ht="13.15">
      <c r="A3" t="s">
        <v>336</v>
      </c>
      <c r="B3" t="s">
        <v>3</v>
      </c>
      <c r="C3" t="s">
        <v>30</v>
      </c>
      <c r="D3" t="s">
        <v>337</v>
      </c>
      <c r="E3" s="2" t="s">
        <v>338</v>
      </c>
      <c r="F3" s="140" t="s">
        <v>339</v>
      </c>
      <c r="G3" s="140" t="s">
        <v>340</v>
      </c>
      <c r="H3" s="141" t="s">
        <v>341</v>
      </c>
    </row>
    <row r="4" spans="1:8" ht="13.15">
      <c r="A4" s="44" t="s">
        <v>342</v>
      </c>
      <c r="B4" s="46" t="s">
        <v>343</v>
      </c>
      <c r="C4" s="46" t="s">
        <v>344</v>
      </c>
      <c r="D4" t="s">
        <v>345</v>
      </c>
      <c r="E4" s="42" t="s">
        <v>346</v>
      </c>
      <c r="F4" s="142">
        <v>191334</v>
      </c>
      <c r="G4" s="142" t="s">
        <v>347</v>
      </c>
      <c r="H4" s="143" t="s">
        <v>348</v>
      </c>
    </row>
    <row r="5" spans="1:8" ht="13.15">
      <c r="A5" s="45" t="s">
        <v>349</v>
      </c>
      <c r="B5" s="45" t="s">
        <v>350</v>
      </c>
      <c r="C5" s="45" t="s">
        <v>344</v>
      </c>
      <c r="E5" s="42" t="s">
        <v>346</v>
      </c>
      <c r="F5" s="144">
        <v>196270</v>
      </c>
      <c r="G5" s="144" t="s">
        <v>347</v>
      </c>
      <c r="H5" s="145" t="s">
        <v>348</v>
      </c>
    </row>
    <row r="6" spans="1:8" ht="13.15">
      <c r="A6" s="46" t="s">
        <v>351</v>
      </c>
      <c r="B6" s="46" t="s">
        <v>352</v>
      </c>
      <c r="C6" s="46" t="s">
        <v>344</v>
      </c>
      <c r="D6" t="s">
        <v>345</v>
      </c>
      <c r="E6" s="42" t="s">
        <v>346</v>
      </c>
      <c r="F6" s="142">
        <v>144682</v>
      </c>
      <c r="G6" s="142" t="s">
        <v>353</v>
      </c>
      <c r="H6" s="143" t="s">
        <v>354</v>
      </c>
    </row>
    <row r="7" spans="1:8" ht="12.75" customHeight="1">
      <c r="A7" s="45" t="s">
        <v>355</v>
      </c>
      <c r="B7" s="45" t="s">
        <v>356</v>
      </c>
      <c r="C7" s="45" t="s">
        <v>344</v>
      </c>
      <c r="D7" t="s">
        <v>357</v>
      </c>
      <c r="E7" s="42" t="s">
        <v>346</v>
      </c>
      <c r="F7" s="144">
        <v>191705</v>
      </c>
      <c r="G7" s="144" t="s">
        <v>347</v>
      </c>
      <c r="H7" s="145" t="s">
        <v>348</v>
      </c>
    </row>
    <row r="8" spans="1:8" ht="12.75" customHeight="1">
      <c r="A8" s="46" t="s">
        <v>358</v>
      </c>
      <c r="B8" s="46" t="s">
        <v>359</v>
      </c>
      <c r="C8" s="46" t="s">
        <v>360</v>
      </c>
      <c r="D8" t="s">
        <v>357</v>
      </c>
      <c r="E8" s="42" t="s">
        <v>346</v>
      </c>
      <c r="F8" s="142">
        <v>103541</v>
      </c>
      <c r="G8" s="142" t="s">
        <v>347</v>
      </c>
      <c r="H8" s="143" t="s">
        <v>348</v>
      </c>
    </row>
    <row r="9" spans="1:8" ht="12.75" customHeight="1">
      <c r="A9" s="45" t="s">
        <v>361</v>
      </c>
      <c r="B9" s="45" t="s">
        <v>362</v>
      </c>
      <c r="C9" s="45" t="s">
        <v>360</v>
      </c>
      <c r="D9" t="s">
        <v>357</v>
      </c>
      <c r="E9" s="42" t="s">
        <v>346</v>
      </c>
      <c r="F9" s="144">
        <v>101451</v>
      </c>
      <c r="G9" s="144" t="s">
        <v>347</v>
      </c>
      <c r="H9" s="145" t="s">
        <v>348</v>
      </c>
    </row>
    <row r="10" spans="1:8" ht="12.75" customHeight="1">
      <c r="A10" s="46" t="s">
        <v>363</v>
      </c>
      <c r="B10" s="46" t="s">
        <v>364</v>
      </c>
      <c r="C10" s="46" t="s">
        <v>360</v>
      </c>
      <c r="D10" t="s">
        <v>357</v>
      </c>
      <c r="E10" s="42" t="s">
        <v>346</v>
      </c>
      <c r="F10" s="142">
        <v>120617</v>
      </c>
      <c r="G10" s="142" t="s">
        <v>347</v>
      </c>
      <c r="H10" s="143" t="s">
        <v>348</v>
      </c>
    </row>
    <row r="11" spans="1:8" ht="12.75" customHeight="1">
      <c r="A11" s="45" t="s">
        <v>365</v>
      </c>
      <c r="B11" s="45" t="s">
        <v>366</v>
      </c>
      <c r="C11" s="45" t="s">
        <v>360</v>
      </c>
      <c r="D11" t="s">
        <v>345</v>
      </c>
      <c r="E11" s="42" t="s">
        <v>346</v>
      </c>
      <c r="F11" s="144">
        <v>101995</v>
      </c>
      <c r="G11" s="144" t="s">
        <v>347</v>
      </c>
      <c r="H11" s="145" t="s">
        <v>348</v>
      </c>
    </row>
    <row r="12" spans="1:8" ht="12.75" customHeight="1">
      <c r="A12" s="46" t="s">
        <v>367</v>
      </c>
      <c r="B12" s="46" t="s">
        <v>368</v>
      </c>
      <c r="C12" s="46" t="s">
        <v>360</v>
      </c>
      <c r="D12" t="s">
        <v>345</v>
      </c>
      <c r="E12" s="42" t="s">
        <v>346</v>
      </c>
      <c r="F12" s="142">
        <v>102040</v>
      </c>
      <c r="G12" s="142" t="s">
        <v>347</v>
      </c>
      <c r="H12" s="143" t="s">
        <v>348</v>
      </c>
    </row>
    <row r="13" spans="1:8" ht="12.75" customHeight="1">
      <c r="A13" s="45" t="s">
        <v>369</v>
      </c>
      <c r="B13" s="45" t="s">
        <v>370</v>
      </c>
      <c r="C13" s="45" t="s">
        <v>360</v>
      </c>
      <c r="D13" t="s">
        <v>345</v>
      </c>
      <c r="E13" s="42" t="s">
        <v>346</v>
      </c>
      <c r="F13" s="144">
        <v>120717</v>
      </c>
      <c r="G13" s="144" t="s">
        <v>347</v>
      </c>
      <c r="H13" s="145" t="s">
        <v>348</v>
      </c>
    </row>
    <row r="14" spans="1:8" ht="12.75" customHeight="1">
      <c r="A14" s="46" t="s">
        <v>371</v>
      </c>
      <c r="B14" s="46" t="s">
        <v>372</v>
      </c>
      <c r="C14" s="46" t="s">
        <v>360</v>
      </c>
      <c r="D14" t="s">
        <v>357</v>
      </c>
      <c r="E14" s="42" t="s">
        <v>346</v>
      </c>
      <c r="F14" s="142">
        <v>103553</v>
      </c>
      <c r="G14" s="142" t="s">
        <v>347</v>
      </c>
      <c r="H14" s="143" t="s">
        <v>348</v>
      </c>
    </row>
    <row r="15" spans="1:8" ht="12.75" customHeight="1">
      <c r="A15" s="45" t="s">
        <v>373</v>
      </c>
      <c r="B15" s="45" t="s">
        <v>374</v>
      </c>
      <c r="C15" s="45" t="s">
        <v>360</v>
      </c>
      <c r="E15" s="42" t="s">
        <v>346</v>
      </c>
      <c r="F15" s="144">
        <v>105797</v>
      </c>
      <c r="G15" s="144" t="s">
        <v>347</v>
      </c>
      <c r="H15" s="145" t="s">
        <v>348</v>
      </c>
    </row>
    <row r="16" spans="1:8" ht="12.75" customHeight="1">
      <c r="A16" s="46" t="s">
        <v>375</v>
      </c>
      <c r="B16" s="46" t="s">
        <v>17</v>
      </c>
      <c r="C16" s="46" t="s">
        <v>360</v>
      </c>
      <c r="D16" t="s">
        <v>345</v>
      </c>
      <c r="E16" s="42" t="s">
        <v>346</v>
      </c>
      <c r="F16" s="142">
        <v>120768</v>
      </c>
      <c r="G16" s="142" t="s">
        <v>347</v>
      </c>
      <c r="H16" s="143" t="s">
        <v>348</v>
      </c>
    </row>
    <row r="17" spans="1:8" ht="12.75" customHeight="1">
      <c r="A17" s="45" t="s">
        <v>376</v>
      </c>
      <c r="B17" s="45" t="s">
        <v>377</v>
      </c>
      <c r="C17" s="45" t="s">
        <v>360</v>
      </c>
      <c r="D17" t="s">
        <v>357</v>
      </c>
      <c r="E17" s="42" t="s">
        <v>346</v>
      </c>
      <c r="F17" s="144">
        <v>106004</v>
      </c>
      <c r="G17" s="144" t="s">
        <v>347</v>
      </c>
      <c r="H17" s="145" t="s">
        <v>348</v>
      </c>
    </row>
    <row r="18" spans="1:8" ht="12.75" customHeight="1">
      <c r="A18" s="46" t="s">
        <v>378</v>
      </c>
      <c r="B18" s="46" t="s">
        <v>379</v>
      </c>
      <c r="C18" s="46" t="s">
        <v>380</v>
      </c>
      <c r="D18" t="s">
        <v>345</v>
      </c>
      <c r="E18" s="42" t="s">
        <v>346</v>
      </c>
      <c r="F18" s="142">
        <v>144783</v>
      </c>
      <c r="G18" s="142" t="s">
        <v>347</v>
      </c>
      <c r="H18" s="143" t="s">
        <v>348</v>
      </c>
    </row>
    <row r="19" spans="1:8" ht="12.75" customHeight="1">
      <c r="A19" s="45" t="s">
        <v>381</v>
      </c>
      <c r="B19" s="45" t="s">
        <v>382</v>
      </c>
      <c r="C19" s="45" t="s">
        <v>380</v>
      </c>
      <c r="D19" t="s">
        <v>345</v>
      </c>
      <c r="E19" s="42" t="s">
        <v>346</v>
      </c>
      <c r="F19" s="144">
        <v>144725</v>
      </c>
      <c r="G19" s="144" t="s">
        <v>347</v>
      </c>
      <c r="H19" s="145" t="s">
        <v>348</v>
      </c>
    </row>
    <row r="20" spans="1:8" ht="12.75" customHeight="1">
      <c r="A20" s="46" t="s">
        <v>383</v>
      </c>
      <c r="B20" s="46" t="s">
        <v>16</v>
      </c>
      <c r="C20" s="46" t="s">
        <v>384</v>
      </c>
      <c r="D20" t="s">
        <v>345</v>
      </c>
      <c r="E20" s="42" t="s">
        <v>346</v>
      </c>
      <c r="F20" s="142">
        <v>107447</v>
      </c>
      <c r="G20" s="142" t="s">
        <v>347</v>
      </c>
      <c r="H20" s="143" t="s">
        <v>348</v>
      </c>
    </row>
    <row r="21" spans="1:8" ht="12.75" customHeight="1">
      <c r="A21" s="45" t="s">
        <v>385</v>
      </c>
      <c r="B21" s="45" t="s">
        <v>386</v>
      </c>
      <c r="C21" s="45" t="s">
        <v>387</v>
      </c>
      <c r="D21" t="s">
        <v>345</v>
      </c>
      <c r="E21" s="42" t="s">
        <v>346</v>
      </c>
      <c r="F21" s="144">
        <v>150496</v>
      </c>
      <c r="G21" s="144" t="s">
        <v>353</v>
      </c>
      <c r="H21" s="145" t="s">
        <v>348</v>
      </c>
    </row>
    <row r="22" spans="1:8" ht="12.75" customHeight="1">
      <c r="A22" s="45" t="s">
        <v>388</v>
      </c>
      <c r="B22" s="45" t="s">
        <v>18</v>
      </c>
      <c r="C22" s="45" t="s">
        <v>387</v>
      </c>
      <c r="D22" t="s">
        <v>345</v>
      </c>
      <c r="E22" s="42" t="s">
        <v>346</v>
      </c>
      <c r="F22" s="142">
        <v>150496</v>
      </c>
      <c r="G22" s="142" t="s">
        <v>353</v>
      </c>
      <c r="H22" s="143" t="s">
        <v>348</v>
      </c>
    </row>
    <row r="23" spans="1:8" ht="12.75" customHeight="1">
      <c r="A23" s="45" t="s">
        <v>389</v>
      </c>
      <c r="B23" s="45" t="s">
        <v>20</v>
      </c>
      <c r="C23" s="45" t="s">
        <v>276</v>
      </c>
      <c r="E23" s="42" t="s">
        <v>346</v>
      </c>
      <c r="F23" s="144">
        <v>141278</v>
      </c>
      <c r="G23" s="144" t="s">
        <v>353</v>
      </c>
      <c r="H23" s="145" t="s">
        <v>354</v>
      </c>
    </row>
    <row r="24" spans="1:8" ht="12.75" customHeight="1">
      <c r="A24" s="47" t="s">
        <v>390</v>
      </c>
      <c r="B24" s="45" t="s">
        <v>391</v>
      </c>
      <c r="C24" s="45" t="s">
        <v>276</v>
      </c>
      <c r="E24" s="42" t="s">
        <v>346</v>
      </c>
      <c r="F24" s="142">
        <v>141954</v>
      </c>
      <c r="G24" s="142" t="s">
        <v>353</v>
      </c>
      <c r="H24" s="143" t="s">
        <v>354</v>
      </c>
    </row>
    <row r="25" spans="1:8" ht="12.75" customHeight="1">
      <c r="A25" s="45" t="s">
        <v>392</v>
      </c>
      <c r="B25" s="45" t="s">
        <v>393</v>
      </c>
      <c r="C25" s="45" t="s">
        <v>394</v>
      </c>
      <c r="D25" t="s">
        <v>345</v>
      </c>
      <c r="E25" s="42" t="s">
        <v>346</v>
      </c>
      <c r="F25" s="144">
        <v>140171</v>
      </c>
      <c r="G25" s="144" t="s">
        <v>347</v>
      </c>
      <c r="H25" s="145" t="s">
        <v>348</v>
      </c>
    </row>
    <row r="26" spans="1:8" ht="12.75" customHeight="1">
      <c r="A26" s="47" t="s">
        <v>395</v>
      </c>
      <c r="B26" s="45" t="s">
        <v>396</v>
      </c>
      <c r="C26" s="45" t="s">
        <v>394</v>
      </c>
      <c r="D26" t="s">
        <v>345</v>
      </c>
      <c r="E26" s="42" t="s">
        <v>346</v>
      </c>
      <c r="F26" s="142">
        <v>141423</v>
      </c>
      <c r="G26" s="142" t="s">
        <v>347</v>
      </c>
      <c r="H26" s="143" t="s">
        <v>348</v>
      </c>
    </row>
    <row r="27" spans="1:8" ht="12.75" customHeight="1">
      <c r="A27" s="45" t="s">
        <v>397</v>
      </c>
      <c r="B27" s="45" t="s">
        <v>398</v>
      </c>
      <c r="C27" s="45" t="s">
        <v>394</v>
      </c>
      <c r="D27" t="s">
        <v>345</v>
      </c>
      <c r="E27" s="42" t="s">
        <v>346</v>
      </c>
      <c r="F27" s="144">
        <v>141327</v>
      </c>
      <c r="G27" s="144" t="s">
        <v>347</v>
      </c>
      <c r="H27" s="145" t="s">
        <v>348</v>
      </c>
    </row>
    <row r="28" spans="1:8" ht="12.75" customHeight="1">
      <c r="A28" s="47" t="s">
        <v>399</v>
      </c>
      <c r="B28" s="45" t="s">
        <v>400</v>
      </c>
      <c r="C28" s="45" t="s">
        <v>394</v>
      </c>
      <c r="D28" t="s">
        <v>345</v>
      </c>
      <c r="E28" s="42" t="s">
        <v>346</v>
      </c>
      <c r="F28" s="142">
        <v>141382</v>
      </c>
      <c r="G28" s="142" t="s">
        <v>347</v>
      </c>
      <c r="H28" s="143" t="s">
        <v>348</v>
      </c>
    </row>
    <row r="29" spans="1:8" ht="12.75" customHeight="1">
      <c r="A29" s="45" t="s">
        <v>401</v>
      </c>
      <c r="B29" s="45" t="s">
        <v>402</v>
      </c>
      <c r="C29" s="45" t="s">
        <v>394</v>
      </c>
      <c r="D29" t="s">
        <v>345</v>
      </c>
      <c r="E29" s="42" t="s">
        <v>346</v>
      </c>
      <c r="F29" s="144">
        <v>141427</v>
      </c>
      <c r="G29" s="144" t="s">
        <v>347</v>
      </c>
      <c r="H29" s="145" t="s">
        <v>348</v>
      </c>
    </row>
    <row r="30" spans="1:8" ht="12.75" customHeight="1">
      <c r="A30" s="47" t="s">
        <v>403</v>
      </c>
      <c r="B30" s="45" t="s">
        <v>404</v>
      </c>
      <c r="C30" s="45" t="s">
        <v>394</v>
      </c>
      <c r="D30" t="s">
        <v>345</v>
      </c>
      <c r="E30" s="42" t="s">
        <v>346</v>
      </c>
      <c r="F30" s="142">
        <v>145739</v>
      </c>
      <c r="G30" s="142" t="s">
        <v>347</v>
      </c>
      <c r="H30" s="143" t="s">
        <v>348</v>
      </c>
    </row>
    <row r="31" spans="1:8" ht="12.75" customHeight="1">
      <c r="A31" s="45" t="s">
        <v>405</v>
      </c>
      <c r="B31" s="45" t="s">
        <v>406</v>
      </c>
      <c r="C31" s="45" t="s">
        <v>394</v>
      </c>
      <c r="D31" t="s">
        <v>345</v>
      </c>
      <c r="E31" s="42" t="s">
        <v>346</v>
      </c>
      <c r="F31" s="144">
        <v>141464</v>
      </c>
      <c r="G31" s="144" t="s">
        <v>347</v>
      </c>
      <c r="H31" s="145" t="s">
        <v>348</v>
      </c>
    </row>
    <row r="32" spans="1:8" ht="12.75" customHeight="1">
      <c r="A32" s="47" t="s">
        <v>407</v>
      </c>
      <c r="B32" s="45" t="s">
        <v>408</v>
      </c>
      <c r="C32" s="45" t="s">
        <v>394</v>
      </c>
      <c r="D32" t="s">
        <v>345</v>
      </c>
      <c r="E32" s="42" t="s">
        <v>346</v>
      </c>
      <c r="F32" s="142">
        <v>141467</v>
      </c>
      <c r="G32" s="142" t="s">
        <v>347</v>
      </c>
      <c r="H32" s="143" t="s">
        <v>348</v>
      </c>
    </row>
    <row r="33" spans="1:8" ht="12.75" customHeight="1">
      <c r="A33" s="45" t="s">
        <v>409</v>
      </c>
      <c r="B33" s="45" t="s">
        <v>410</v>
      </c>
      <c r="C33" s="45" t="s">
        <v>394</v>
      </c>
      <c r="D33" t="s">
        <v>345</v>
      </c>
      <c r="E33" s="42" t="s">
        <v>346</v>
      </c>
      <c r="F33" s="144">
        <v>141468</v>
      </c>
      <c r="G33" s="144" t="s">
        <v>347</v>
      </c>
      <c r="H33" s="145" t="s">
        <v>348</v>
      </c>
    </row>
    <row r="34" spans="1:8" ht="12.75" customHeight="1">
      <c r="A34" s="47" t="s">
        <v>411</v>
      </c>
      <c r="B34" s="45" t="s">
        <v>412</v>
      </c>
      <c r="C34" s="45" t="s">
        <v>394</v>
      </c>
      <c r="D34" t="s">
        <v>345</v>
      </c>
      <c r="E34" s="42" t="s">
        <v>346</v>
      </c>
      <c r="F34" s="142">
        <v>140216</v>
      </c>
      <c r="G34" s="142" t="s">
        <v>347</v>
      </c>
      <c r="H34" s="143" t="s">
        <v>348</v>
      </c>
    </row>
    <row r="35" spans="1:8" ht="12.75" customHeight="1">
      <c r="A35" s="45" t="s">
        <v>413</v>
      </c>
      <c r="B35" s="45" t="s">
        <v>414</v>
      </c>
      <c r="C35" s="45" t="s">
        <v>394</v>
      </c>
      <c r="D35" t="s">
        <v>345</v>
      </c>
      <c r="E35" s="42" t="s">
        <v>346</v>
      </c>
      <c r="F35" s="144">
        <v>144566</v>
      </c>
      <c r="G35" s="144" t="s">
        <v>347</v>
      </c>
      <c r="H35" s="145" t="s">
        <v>348</v>
      </c>
    </row>
    <row r="36" spans="1:8" ht="12.75" customHeight="1">
      <c r="A36" s="47" t="s">
        <v>415</v>
      </c>
      <c r="B36" s="45" t="s">
        <v>416</v>
      </c>
      <c r="C36" s="45" t="s">
        <v>394</v>
      </c>
      <c r="D36" t="s">
        <v>345</v>
      </c>
      <c r="E36" s="42" t="s">
        <v>346</v>
      </c>
      <c r="F36" s="142">
        <v>141317</v>
      </c>
      <c r="G36" s="142" t="s">
        <v>347</v>
      </c>
      <c r="H36" s="143" t="s">
        <v>348</v>
      </c>
    </row>
    <row r="37" spans="1:8" ht="12.75" customHeight="1">
      <c r="A37" s="45" t="s">
        <v>417</v>
      </c>
      <c r="B37" s="45" t="s">
        <v>418</v>
      </c>
      <c r="C37" s="45" t="s">
        <v>394</v>
      </c>
      <c r="D37" t="s">
        <v>345</v>
      </c>
      <c r="E37" s="42" t="s">
        <v>346</v>
      </c>
      <c r="F37" s="144">
        <v>140334</v>
      </c>
      <c r="G37" s="144" t="s">
        <v>347</v>
      </c>
      <c r="H37" s="145" t="s">
        <v>348</v>
      </c>
    </row>
    <row r="38" spans="1:8" ht="12.75" customHeight="1">
      <c r="A38" s="48" t="s">
        <v>419</v>
      </c>
      <c r="B38" s="45" t="s">
        <v>420</v>
      </c>
      <c r="C38" s="45" t="s">
        <v>394</v>
      </c>
      <c r="D38" t="s">
        <v>345</v>
      </c>
      <c r="E38" s="42" t="s">
        <v>346</v>
      </c>
      <c r="F38" s="142">
        <v>140262</v>
      </c>
      <c r="G38" s="142" t="s">
        <v>347</v>
      </c>
      <c r="H38" s="143" t="s">
        <v>348</v>
      </c>
    </row>
    <row r="39" spans="1:8" ht="12.75" customHeight="1">
      <c r="A39" s="45" t="s">
        <v>421</v>
      </c>
      <c r="B39" s="45" t="s">
        <v>422</v>
      </c>
      <c r="C39" s="45" t="s">
        <v>394</v>
      </c>
      <c r="D39" t="s">
        <v>345</v>
      </c>
      <c r="E39" s="42" t="s">
        <v>346</v>
      </c>
      <c r="F39" s="144">
        <v>141443</v>
      </c>
      <c r="G39" s="144" t="s">
        <v>347</v>
      </c>
      <c r="H39" s="145" t="s">
        <v>348</v>
      </c>
    </row>
    <row r="40" spans="1:8" ht="12.75" customHeight="1">
      <c r="A40" s="47" t="s">
        <v>423</v>
      </c>
      <c r="B40" s="45" t="s">
        <v>424</v>
      </c>
      <c r="C40" s="45" t="s">
        <v>394</v>
      </c>
      <c r="D40" t="s">
        <v>345</v>
      </c>
      <c r="E40" s="42" t="s">
        <v>346</v>
      </c>
      <c r="F40" s="142">
        <v>141441</v>
      </c>
      <c r="G40" s="142" t="s">
        <v>347</v>
      </c>
      <c r="H40" s="143" t="s">
        <v>348</v>
      </c>
    </row>
    <row r="41" spans="1:8" ht="12.75" customHeight="1">
      <c r="A41" s="45" t="s">
        <v>425</v>
      </c>
      <c r="B41" s="45" t="s">
        <v>426</v>
      </c>
      <c r="C41" s="45" t="s">
        <v>394</v>
      </c>
      <c r="D41" t="s">
        <v>345</v>
      </c>
      <c r="E41" s="42" t="s">
        <v>346</v>
      </c>
      <c r="F41" s="144">
        <v>141445</v>
      </c>
      <c r="G41" s="144" t="s">
        <v>347</v>
      </c>
      <c r="H41" s="145" t="s">
        <v>348</v>
      </c>
    </row>
    <row r="42" spans="1:8" ht="12.75" customHeight="1">
      <c r="A42" s="47" t="s">
        <v>427</v>
      </c>
      <c r="B42" s="45" t="s">
        <v>428</v>
      </c>
      <c r="C42" s="45" t="s">
        <v>394</v>
      </c>
      <c r="D42" t="s">
        <v>345</v>
      </c>
      <c r="E42" s="42" t="s">
        <v>346</v>
      </c>
      <c r="F42" s="142">
        <v>144269</v>
      </c>
      <c r="G42" s="142" t="s">
        <v>347</v>
      </c>
      <c r="H42" s="143" t="s">
        <v>348</v>
      </c>
    </row>
    <row r="43" spans="1:8" ht="12.75" customHeight="1">
      <c r="A43" s="45" t="s">
        <v>429</v>
      </c>
      <c r="B43" s="45" t="s">
        <v>430</v>
      </c>
      <c r="C43" s="45" t="s">
        <v>394</v>
      </c>
      <c r="D43" t="s">
        <v>345</v>
      </c>
      <c r="E43" s="42" t="s">
        <v>346</v>
      </c>
      <c r="F43" s="144">
        <v>141344</v>
      </c>
      <c r="G43" s="144" t="s">
        <v>347</v>
      </c>
      <c r="H43" s="145" t="s">
        <v>348</v>
      </c>
    </row>
    <row r="44" spans="1:8" ht="12.75" customHeight="1">
      <c r="A44" s="47" t="s">
        <v>431</v>
      </c>
      <c r="B44" s="45" t="s">
        <v>432</v>
      </c>
      <c r="C44" s="45" t="s">
        <v>394</v>
      </c>
      <c r="D44" t="s">
        <v>345</v>
      </c>
      <c r="E44" s="42" t="s">
        <v>346</v>
      </c>
      <c r="F44" s="142">
        <v>142050</v>
      </c>
      <c r="G44" s="142" t="s">
        <v>347</v>
      </c>
      <c r="H44" s="143" t="s">
        <v>348</v>
      </c>
    </row>
    <row r="45" spans="1:8" ht="12.75" customHeight="1">
      <c r="A45" s="45" t="s">
        <v>433</v>
      </c>
      <c r="B45" s="45" t="s">
        <v>434</v>
      </c>
      <c r="C45" s="45" t="s">
        <v>394</v>
      </c>
      <c r="D45" t="s">
        <v>345</v>
      </c>
      <c r="E45" s="42" t="s">
        <v>346</v>
      </c>
      <c r="F45" s="144">
        <v>140332</v>
      </c>
      <c r="G45" s="144" t="s">
        <v>347</v>
      </c>
      <c r="H45" s="145" t="s">
        <v>348</v>
      </c>
    </row>
    <row r="46" spans="1:8" ht="12.75" customHeight="1">
      <c r="A46" s="45" t="s">
        <v>435</v>
      </c>
      <c r="B46" s="45" t="s">
        <v>436</v>
      </c>
      <c r="C46" s="45" t="s">
        <v>394</v>
      </c>
      <c r="D46" t="s">
        <v>345</v>
      </c>
      <c r="E46" s="42" t="s">
        <v>346</v>
      </c>
      <c r="F46" s="142">
        <v>141466</v>
      </c>
      <c r="G46" s="142" t="s">
        <v>347</v>
      </c>
      <c r="H46" s="143" t="s">
        <v>348</v>
      </c>
    </row>
    <row r="47" spans="1:8" ht="12.75" customHeight="1">
      <c r="A47" s="45" t="s">
        <v>437</v>
      </c>
      <c r="B47" s="45" t="s">
        <v>438</v>
      </c>
      <c r="C47" s="45" t="s">
        <v>394</v>
      </c>
      <c r="D47" t="s">
        <v>345</v>
      </c>
      <c r="E47" s="42" t="s">
        <v>346</v>
      </c>
      <c r="F47" s="144">
        <v>142088</v>
      </c>
      <c r="G47" s="144" t="s">
        <v>347</v>
      </c>
      <c r="H47" s="145" t="s">
        <v>348</v>
      </c>
    </row>
    <row r="48" spans="1:8" ht="12.75" customHeight="1">
      <c r="A48" s="47" t="s">
        <v>439</v>
      </c>
      <c r="B48" s="45" t="s">
        <v>440</v>
      </c>
      <c r="C48" s="45" t="s">
        <v>394</v>
      </c>
      <c r="D48" t="s">
        <v>345</v>
      </c>
      <c r="E48" s="42" t="s">
        <v>346</v>
      </c>
      <c r="F48" s="142">
        <v>144110</v>
      </c>
      <c r="G48" s="142" t="s">
        <v>347</v>
      </c>
      <c r="H48" s="143" t="s">
        <v>348</v>
      </c>
    </row>
    <row r="49" spans="1:8" ht="12.75" customHeight="1">
      <c r="A49" s="45" t="s">
        <v>441</v>
      </c>
      <c r="B49" s="45" t="s">
        <v>442</v>
      </c>
      <c r="C49" s="45" t="s">
        <v>394</v>
      </c>
      <c r="D49" t="s">
        <v>345</v>
      </c>
      <c r="E49" s="42" t="s">
        <v>346</v>
      </c>
      <c r="F49" s="144">
        <v>144103</v>
      </c>
      <c r="G49" s="144" t="s">
        <v>347</v>
      </c>
      <c r="H49" s="145" t="s">
        <v>348</v>
      </c>
    </row>
    <row r="50" spans="1:8" ht="12.75" customHeight="1">
      <c r="A50" s="47" t="s">
        <v>443</v>
      </c>
      <c r="B50" s="45" t="s">
        <v>444</v>
      </c>
      <c r="C50" s="45" t="s">
        <v>394</v>
      </c>
      <c r="D50" t="s">
        <v>345</v>
      </c>
      <c r="E50" s="42" t="s">
        <v>346</v>
      </c>
      <c r="F50" s="142">
        <v>141918</v>
      </c>
      <c r="G50" s="142" t="s">
        <v>347</v>
      </c>
      <c r="H50" s="143" t="s">
        <v>348</v>
      </c>
    </row>
    <row r="51" spans="1:8" ht="12.75" customHeight="1">
      <c r="A51" s="45" t="s">
        <v>445</v>
      </c>
      <c r="B51" s="45" t="s">
        <v>446</v>
      </c>
      <c r="C51" s="45" t="s">
        <v>394</v>
      </c>
      <c r="D51" t="s">
        <v>345</v>
      </c>
      <c r="E51" s="42" t="s">
        <v>346</v>
      </c>
      <c r="F51" s="144">
        <v>144813</v>
      </c>
      <c r="G51" s="144" t="s">
        <v>347</v>
      </c>
      <c r="H51" s="145" t="s">
        <v>348</v>
      </c>
    </row>
    <row r="52" spans="1:8" ht="12.75" customHeight="1">
      <c r="A52" s="47" t="s">
        <v>447</v>
      </c>
      <c r="B52" s="45" t="s">
        <v>448</v>
      </c>
      <c r="C52" s="45" t="s">
        <v>394</v>
      </c>
      <c r="E52" s="42" t="s">
        <v>346</v>
      </c>
      <c r="F52" s="142">
        <v>145709</v>
      </c>
      <c r="G52" s="142" t="s">
        <v>347</v>
      </c>
      <c r="H52" s="143" t="s">
        <v>348</v>
      </c>
    </row>
    <row r="53" spans="1:8" ht="12.75" customHeight="1">
      <c r="A53" s="45" t="s">
        <v>449</v>
      </c>
      <c r="B53" s="45" t="s">
        <v>450</v>
      </c>
      <c r="C53" s="45" t="s">
        <v>394</v>
      </c>
      <c r="D53" t="s">
        <v>345</v>
      </c>
      <c r="E53" s="42" t="s">
        <v>346</v>
      </c>
      <c r="F53" s="144">
        <v>143233</v>
      </c>
      <c r="G53" s="144" t="s">
        <v>347</v>
      </c>
      <c r="H53" s="145" t="s">
        <v>348</v>
      </c>
    </row>
    <row r="54" spans="1:8" ht="12.75" customHeight="1">
      <c r="A54" s="47" t="s">
        <v>451</v>
      </c>
      <c r="B54" s="45" t="s">
        <v>452</v>
      </c>
      <c r="C54" s="45" t="s">
        <v>394</v>
      </c>
      <c r="D54" t="s">
        <v>345</v>
      </c>
      <c r="E54" s="42" t="s">
        <v>346</v>
      </c>
      <c r="F54" s="142">
        <v>141916</v>
      </c>
      <c r="G54" s="142" t="s">
        <v>347</v>
      </c>
      <c r="H54" s="143" t="s">
        <v>348</v>
      </c>
    </row>
    <row r="55" spans="1:8" ht="12.75" customHeight="1">
      <c r="A55" s="45" t="s">
        <v>453</v>
      </c>
      <c r="B55" s="45" t="s">
        <v>454</v>
      </c>
      <c r="C55" s="45" t="s">
        <v>394</v>
      </c>
      <c r="D55" t="s">
        <v>345</v>
      </c>
      <c r="E55" s="42" t="s">
        <v>346</v>
      </c>
      <c r="F55" s="144">
        <v>142875</v>
      </c>
      <c r="G55" s="144" t="s">
        <v>347</v>
      </c>
      <c r="H55" s="145" t="s">
        <v>348</v>
      </c>
    </row>
    <row r="56" spans="1:8" ht="12.75" customHeight="1">
      <c r="A56" s="47" t="s">
        <v>455</v>
      </c>
      <c r="B56" s="45" t="s">
        <v>456</v>
      </c>
      <c r="C56" s="45" t="s">
        <v>457</v>
      </c>
      <c r="E56" s="42" t="s">
        <v>346</v>
      </c>
      <c r="F56" s="142">
        <v>144679</v>
      </c>
      <c r="G56" s="142" t="s">
        <v>353</v>
      </c>
      <c r="H56" s="143" t="s">
        <v>348</v>
      </c>
    </row>
    <row r="57" spans="1:8" ht="12.75" customHeight="1">
      <c r="A57" s="45" t="s">
        <v>458</v>
      </c>
      <c r="B57" s="45" t="s">
        <v>459</v>
      </c>
      <c r="C57" s="45" t="s">
        <v>457</v>
      </c>
      <c r="E57" s="42" t="s">
        <v>346</v>
      </c>
      <c r="F57" s="144">
        <v>144679</v>
      </c>
      <c r="G57" s="144" t="s">
        <v>353</v>
      </c>
      <c r="H57" s="145" t="s">
        <v>348</v>
      </c>
    </row>
    <row r="58" spans="1:8" ht="12.75" customHeight="1">
      <c r="A58" s="47" t="s">
        <v>460</v>
      </c>
      <c r="B58" s="45" t="s">
        <v>461</v>
      </c>
      <c r="C58" s="45" t="s">
        <v>457</v>
      </c>
      <c r="E58" s="42" t="s">
        <v>346</v>
      </c>
      <c r="F58" s="142">
        <v>144679</v>
      </c>
      <c r="G58" s="142" t="s">
        <v>353</v>
      </c>
      <c r="H58" s="143" t="s">
        <v>348</v>
      </c>
    </row>
    <row r="59" spans="1:8" ht="12.75" customHeight="1">
      <c r="A59" s="45" t="s">
        <v>462</v>
      </c>
      <c r="B59" s="45" t="s">
        <v>463</v>
      </c>
      <c r="C59" s="45" t="s">
        <v>457</v>
      </c>
      <c r="E59" s="42" t="s">
        <v>346</v>
      </c>
      <c r="F59" s="144">
        <v>144679</v>
      </c>
      <c r="G59" s="144" t="s">
        <v>353</v>
      </c>
      <c r="H59" s="145" t="s">
        <v>348</v>
      </c>
    </row>
    <row r="60" spans="1:8" ht="12.75" customHeight="1">
      <c r="A60" s="47" t="s">
        <v>464</v>
      </c>
      <c r="B60" s="45" t="s">
        <v>465</v>
      </c>
      <c r="C60" s="45" t="s">
        <v>457</v>
      </c>
      <c r="E60" s="42" t="s">
        <v>346</v>
      </c>
      <c r="F60" s="142">
        <v>144679</v>
      </c>
      <c r="G60" s="142" t="s">
        <v>353</v>
      </c>
      <c r="H60" s="143" t="s">
        <v>348</v>
      </c>
    </row>
    <row r="61" spans="1:8" ht="12.75" customHeight="1">
      <c r="A61" s="45" t="s">
        <v>466</v>
      </c>
      <c r="B61" s="45" t="s">
        <v>467</v>
      </c>
      <c r="C61" s="45" t="s">
        <v>457</v>
      </c>
      <c r="E61" s="42" t="s">
        <v>346</v>
      </c>
      <c r="F61" s="144">
        <v>144679</v>
      </c>
      <c r="G61" s="144" t="s">
        <v>353</v>
      </c>
      <c r="H61" s="145" t="s">
        <v>348</v>
      </c>
    </row>
    <row r="62" spans="1:8" ht="12.75" customHeight="1">
      <c r="A62" s="45" t="s">
        <v>468</v>
      </c>
      <c r="B62" s="45" t="s">
        <v>469</v>
      </c>
      <c r="C62" s="45" t="s">
        <v>457</v>
      </c>
      <c r="E62" s="42" t="s">
        <v>346</v>
      </c>
      <c r="F62" s="142">
        <v>144679</v>
      </c>
      <c r="G62" s="142" t="s">
        <v>353</v>
      </c>
      <c r="H62" s="143" t="s">
        <v>348</v>
      </c>
    </row>
    <row r="63" spans="1:8" ht="12.75" customHeight="1">
      <c r="A63" s="45" t="s">
        <v>470</v>
      </c>
      <c r="B63" s="45" t="s">
        <v>471</v>
      </c>
      <c r="C63" s="45" t="s">
        <v>457</v>
      </c>
      <c r="E63" s="42" t="s">
        <v>346</v>
      </c>
      <c r="F63" s="144">
        <v>144679</v>
      </c>
      <c r="G63" s="144" t="s">
        <v>353</v>
      </c>
      <c r="H63" s="145" t="s">
        <v>348</v>
      </c>
    </row>
    <row r="64" spans="1:8" ht="12.75" customHeight="1">
      <c r="A64" s="47" t="s">
        <v>472</v>
      </c>
      <c r="B64" s="45" t="s">
        <v>473</v>
      </c>
      <c r="C64" s="45" t="s">
        <v>457</v>
      </c>
      <c r="E64" s="42" t="s">
        <v>346</v>
      </c>
      <c r="F64" s="142">
        <v>144679</v>
      </c>
      <c r="G64" s="142" t="s">
        <v>353</v>
      </c>
      <c r="H64" s="143" t="s">
        <v>348</v>
      </c>
    </row>
    <row r="65" spans="1:8" ht="12.75" customHeight="1">
      <c r="A65" t="s">
        <v>474</v>
      </c>
      <c r="B65" t="s">
        <v>19</v>
      </c>
      <c r="C65" t="s">
        <v>344</v>
      </c>
      <c r="D65" t="s">
        <v>345</v>
      </c>
      <c r="E65" s="42" t="s">
        <v>346</v>
      </c>
      <c r="F65" s="144">
        <v>105499</v>
      </c>
      <c r="G65" s="144" t="s">
        <v>353</v>
      </c>
      <c r="H65" s="145" t="s">
        <v>354</v>
      </c>
    </row>
    <row r="66" spans="1:8" ht="12.75" customHeight="1">
      <c r="A66" t="s">
        <v>475</v>
      </c>
      <c r="B66" t="s">
        <v>476</v>
      </c>
      <c r="C66" t="s">
        <v>344</v>
      </c>
      <c r="D66" t="s">
        <v>345</v>
      </c>
      <c r="E66" s="42" t="s">
        <v>346</v>
      </c>
      <c r="F66" s="142">
        <v>144486</v>
      </c>
      <c r="G66" s="142" t="s">
        <v>353</v>
      </c>
      <c r="H66" s="143" t="s">
        <v>354</v>
      </c>
    </row>
    <row r="67" spans="1:8" ht="12.75" customHeight="1">
      <c r="A67" t="s">
        <v>477</v>
      </c>
      <c r="B67" t="s">
        <v>478</v>
      </c>
      <c r="C67" t="s">
        <v>344</v>
      </c>
      <c r="D67" t="s">
        <v>345</v>
      </c>
      <c r="E67" s="42" t="s">
        <v>346</v>
      </c>
      <c r="F67" s="144">
        <v>199250</v>
      </c>
      <c r="G67" s="144" t="s">
        <v>353</v>
      </c>
      <c r="H67" s="145" t="s">
        <v>354</v>
      </c>
    </row>
    <row r="68" spans="1:8" ht="12.75" customHeight="1">
      <c r="A68" t="s">
        <v>479</v>
      </c>
      <c r="B68" t="s">
        <v>480</v>
      </c>
      <c r="C68" t="s">
        <v>344</v>
      </c>
      <c r="D68" t="s">
        <v>345</v>
      </c>
      <c r="E68" s="42" t="s">
        <v>346</v>
      </c>
      <c r="F68" s="142">
        <v>199506</v>
      </c>
      <c r="G68" s="142" t="s">
        <v>347</v>
      </c>
      <c r="H68" s="143" t="s">
        <v>348</v>
      </c>
    </row>
    <row r="69" spans="1:8" ht="12.75" customHeight="1">
      <c r="A69" t="s">
        <v>481</v>
      </c>
      <c r="B69" t="s">
        <v>482</v>
      </c>
      <c r="C69" t="s">
        <v>344</v>
      </c>
      <c r="D69" t="s">
        <v>345</v>
      </c>
      <c r="E69" t="s">
        <v>346</v>
      </c>
      <c r="F69" s="144">
        <v>101173</v>
      </c>
      <c r="G69" s="144" t="s">
        <v>347</v>
      </c>
      <c r="H69" s="145" t="s">
        <v>348</v>
      </c>
    </row>
    <row r="70" spans="1:8" ht="12.75" customHeight="1">
      <c r="A70" t="s">
        <v>483</v>
      </c>
      <c r="B70" t="s">
        <v>484</v>
      </c>
      <c r="C70" t="s">
        <v>344</v>
      </c>
      <c r="D70" t="s">
        <v>357</v>
      </c>
      <c r="E70" t="s">
        <v>346</v>
      </c>
      <c r="F70" s="142">
        <v>144507</v>
      </c>
      <c r="G70" s="142" t="s">
        <v>347</v>
      </c>
      <c r="H70" s="143" t="s">
        <v>348</v>
      </c>
    </row>
    <row r="71" spans="1:8" ht="12.75" customHeight="1">
      <c r="A71" t="s">
        <v>485</v>
      </c>
      <c r="B71" t="s">
        <v>486</v>
      </c>
      <c r="C71" t="s">
        <v>344</v>
      </c>
      <c r="D71" t="s">
        <v>357</v>
      </c>
      <c r="E71" t="s">
        <v>346</v>
      </c>
      <c r="F71" s="144">
        <v>191411</v>
      </c>
      <c r="G71" s="144" t="s">
        <v>347</v>
      </c>
      <c r="H71" s="145" t="s">
        <v>348</v>
      </c>
    </row>
    <row r="72" spans="1:8" ht="12.75" customHeight="1">
      <c r="A72" t="s">
        <v>487</v>
      </c>
      <c r="B72" t="s">
        <v>488</v>
      </c>
      <c r="C72" t="s">
        <v>344</v>
      </c>
      <c r="D72" t="s">
        <v>357</v>
      </c>
      <c r="E72" t="s">
        <v>346</v>
      </c>
      <c r="F72" s="142">
        <v>144410</v>
      </c>
      <c r="G72" s="142" t="s">
        <v>347</v>
      </c>
      <c r="H72" s="143" t="s">
        <v>348</v>
      </c>
    </row>
    <row r="73" spans="1:8" ht="12.75" customHeight="1">
      <c r="A73" t="s">
        <v>489</v>
      </c>
      <c r="B73" t="s">
        <v>490</v>
      </c>
      <c r="C73" t="s">
        <v>344</v>
      </c>
      <c r="D73" t="s">
        <v>345</v>
      </c>
      <c r="E73" t="s">
        <v>346</v>
      </c>
      <c r="F73" s="144">
        <v>199190</v>
      </c>
      <c r="G73" s="144" t="s">
        <v>347</v>
      </c>
      <c r="H73" s="145" t="s">
        <v>348</v>
      </c>
    </row>
    <row r="74" spans="1:8" ht="12.75" customHeight="1">
      <c r="A74" t="s">
        <v>491</v>
      </c>
      <c r="B74" t="s">
        <v>492</v>
      </c>
      <c r="C74" t="s">
        <v>344</v>
      </c>
      <c r="D74" t="s">
        <v>345</v>
      </c>
      <c r="E74" t="s">
        <v>346</v>
      </c>
      <c r="F74" s="142">
        <v>199487</v>
      </c>
      <c r="G74" s="142" t="s">
        <v>347</v>
      </c>
      <c r="H74" s="143" t="s">
        <v>348</v>
      </c>
    </row>
    <row r="75" spans="1:8" ht="12.75" customHeight="1">
      <c r="A75" t="s">
        <v>493</v>
      </c>
      <c r="B75" t="s">
        <v>494</v>
      </c>
      <c r="C75" t="s">
        <v>344</v>
      </c>
      <c r="D75" t="s">
        <v>345</v>
      </c>
      <c r="E75" t="s">
        <v>346</v>
      </c>
      <c r="F75" s="144">
        <v>199892</v>
      </c>
      <c r="G75" s="144" t="s">
        <v>347</v>
      </c>
      <c r="H75" s="145" t="s">
        <v>348</v>
      </c>
    </row>
    <row r="76" spans="1:8" ht="12.75" customHeight="1">
      <c r="A76" t="s">
        <v>495</v>
      </c>
      <c r="B76" t="s">
        <v>496</v>
      </c>
      <c r="C76" t="s">
        <v>344</v>
      </c>
      <c r="D76" t="s">
        <v>345</v>
      </c>
      <c r="E76" t="s">
        <v>346</v>
      </c>
      <c r="F76" s="142">
        <v>199924</v>
      </c>
      <c r="G76" s="142" t="s">
        <v>347</v>
      </c>
      <c r="H76" s="143" t="s">
        <v>348</v>
      </c>
    </row>
    <row r="77" spans="1:8" ht="12.75" customHeight="1">
      <c r="A77" t="s">
        <v>497</v>
      </c>
      <c r="B77" t="s">
        <v>14</v>
      </c>
      <c r="C77" t="s">
        <v>498</v>
      </c>
      <c r="D77" t="s">
        <v>345</v>
      </c>
      <c r="E77" t="s">
        <v>346</v>
      </c>
      <c r="F77" s="144">
        <v>101497</v>
      </c>
      <c r="G77" s="144" t="s">
        <v>353</v>
      </c>
      <c r="H77" s="145" t="s">
        <v>354</v>
      </c>
    </row>
    <row r="78" spans="1:8" ht="12.75" customHeight="1">
      <c r="A78" t="s">
        <v>499</v>
      </c>
      <c r="B78" t="s">
        <v>12</v>
      </c>
      <c r="C78" t="s">
        <v>498</v>
      </c>
      <c r="D78" t="s">
        <v>345</v>
      </c>
      <c r="E78" t="s">
        <v>346</v>
      </c>
      <c r="F78" s="142">
        <v>101497</v>
      </c>
      <c r="G78" s="142" t="s">
        <v>353</v>
      </c>
      <c r="H78" s="143" t="s">
        <v>354</v>
      </c>
    </row>
    <row r="79" spans="1:8" ht="12.75" customHeight="1">
      <c r="A79" t="s">
        <v>500</v>
      </c>
      <c r="B79" t="s">
        <v>501</v>
      </c>
      <c r="C79" t="s">
        <v>498</v>
      </c>
      <c r="D79" t="s">
        <v>345</v>
      </c>
      <c r="E79" t="s">
        <v>346</v>
      </c>
      <c r="F79" s="144">
        <v>102073</v>
      </c>
      <c r="G79" s="144" t="s">
        <v>353</v>
      </c>
      <c r="H79" s="145" t="s">
        <v>354</v>
      </c>
    </row>
    <row r="80" spans="1:8" ht="12.75" customHeight="1">
      <c r="A80" t="s">
        <v>502</v>
      </c>
      <c r="B80" t="s">
        <v>503</v>
      </c>
      <c r="C80" t="s">
        <v>498</v>
      </c>
      <c r="D80" t="s">
        <v>345</v>
      </c>
      <c r="E80" t="s">
        <v>346</v>
      </c>
      <c r="F80" s="142">
        <v>102566</v>
      </c>
      <c r="G80" s="142" t="s">
        <v>353</v>
      </c>
      <c r="H80" s="143" t="s">
        <v>354</v>
      </c>
    </row>
    <row r="81" spans="1:8" ht="12.75" customHeight="1">
      <c r="A81" t="s">
        <v>504</v>
      </c>
      <c r="B81" t="s">
        <v>505</v>
      </c>
      <c r="C81" t="s">
        <v>498</v>
      </c>
      <c r="D81" t="s">
        <v>345</v>
      </c>
      <c r="E81" t="s">
        <v>346</v>
      </c>
      <c r="F81" s="144">
        <v>192010</v>
      </c>
      <c r="G81" s="144" t="s">
        <v>347</v>
      </c>
      <c r="H81" s="145" t="s">
        <v>348</v>
      </c>
    </row>
    <row r="82" spans="1:8" ht="12.75" customHeight="1">
      <c r="A82" t="s">
        <v>506</v>
      </c>
      <c r="B82" t="s">
        <v>13</v>
      </c>
      <c r="C82" t="s">
        <v>498</v>
      </c>
      <c r="D82" t="s">
        <v>345</v>
      </c>
      <c r="E82" t="s">
        <v>346</v>
      </c>
      <c r="F82" s="142">
        <v>192156</v>
      </c>
      <c r="G82" s="142" t="s">
        <v>347</v>
      </c>
      <c r="H82" s="143" t="s">
        <v>348</v>
      </c>
    </row>
    <row r="83" spans="1:8" ht="12.75" customHeight="1">
      <c r="A83" t="s">
        <v>507</v>
      </c>
      <c r="B83" t="s">
        <v>508</v>
      </c>
      <c r="C83" t="s">
        <v>498</v>
      </c>
      <c r="D83" t="s">
        <v>345</v>
      </c>
      <c r="E83" t="s">
        <v>346</v>
      </c>
      <c r="F83" s="144">
        <v>198359</v>
      </c>
      <c r="G83" s="144" t="s">
        <v>347</v>
      </c>
      <c r="H83" s="145" t="s">
        <v>348</v>
      </c>
    </row>
    <row r="84" spans="1:8" ht="12.75" customHeight="1">
      <c r="A84" t="s">
        <v>509</v>
      </c>
      <c r="B84" t="s">
        <v>510</v>
      </c>
      <c r="C84" t="s">
        <v>344</v>
      </c>
      <c r="E84" t="s">
        <v>346</v>
      </c>
      <c r="F84" s="142">
        <v>199502</v>
      </c>
      <c r="G84" s="142" t="s">
        <v>347</v>
      </c>
      <c r="H84" s="143" t="s">
        <v>348</v>
      </c>
    </row>
  </sheetData>
  <conditionalFormatting sqref="A4:A84">
    <cfRule type="duplicateValues" dxfId="0" priority="19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68B6005A-2608-4E6F-80E0-6FA30A49176C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Maneesha Vuchidi [Libsy]</cp:lastModifiedBy>
  <cp:revision/>
  <dcterms:created xsi:type="dcterms:W3CDTF">2021-01-01T16:39:53Z</dcterms:created>
  <dcterms:modified xsi:type="dcterms:W3CDTF">2025-09-11T05:28:56Z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2024-09-10T20:31:50Z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59b25017-7668-478e-8124-a57e7da4335d</vt:lpwstr>
  </property>
  <property fmtid="{D5CDD505-2E9C-101B-9397-08002B2CF9AE}" pid="9" name="MSIP_Label_9d817c99-0b37-4a07-8277-96aa1f96b74b_ContentBits">
    <vt:lpwstr>0</vt:lpwstr>
  </property>
</Properties>
</file>