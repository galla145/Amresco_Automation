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SR's\"/>
    </mc:Choice>
  </mc:AlternateContent>
  <xr:revisionPtr revIDLastSave="1" documentId="13_ncr:1_{824CB360-C9F7-4D67-BF80-EB6DBB9D0C69}" xr6:coauthVersionLast="47" xr6:coauthVersionMax="47" xr10:uidLastSave="{48194AB0-8D35-4E5D-8E55-118676A285C4}"/>
  <bookViews>
    <workbookView xWindow="-108" yWindow="-108" windowWidth="23256" windowHeight="13896" tabRatio="866" firstSheet="12" activeTab="12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8" l="1"/>
  <c r="G4" i="30"/>
  <c r="G2" i="30" s="1"/>
  <c r="G4" i="29"/>
  <c r="C4" i="29"/>
  <c r="G2" i="18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6" i="72"/>
  <c r="F6" i="72" s="1"/>
  <c r="H6" i="72"/>
  <c r="I6" i="72" s="1"/>
  <c r="G4" i="1"/>
  <c r="B4" i="34" a="1"/>
  <c r="B4" i="34" s="1"/>
  <c r="A4" i="34" a="1"/>
  <c r="A4" i="34" s="1"/>
  <c r="A1" i="34" a="1"/>
  <c r="A1" i="34" s="1"/>
  <c r="D4" i="30"/>
  <c r="D2" i="30" s="1"/>
  <c r="C4" i="30"/>
  <c r="D4" i="29"/>
  <c r="D4" i="18"/>
  <c r="D2" i="18" s="1"/>
  <c r="C4" i="18"/>
  <c r="B4" i="30" a="1"/>
  <c r="B4" i="30" s="1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E2" i="20" s="1"/>
  <c r="F2" i="20" s="1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H2" i="21" s="1"/>
  <c r="I2" i="21" s="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H2" i="4" l="1"/>
  <c r="I2" i="4" s="1"/>
  <c r="H2" i="33"/>
  <c r="I2" i="33" s="1"/>
  <c r="H2" i="31"/>
  <c r="I2" i="31" s="1"/>
  <c r="G4" i="34"/>
  <c r="G2" i="34" s="1"/>
  <c r="E4" i="18"/>
  <c r="F4" i="18" s="1"/>
  <c r="J2" i="4"/>
  <c r="J2" i="33"/>
  <c r="J2" i="21"/>
  <c r="J2" i="20"/>
  <c r="H2" i="19"/>
  <c r="I2" i="19" s="1"/>
  <c r="H2" i="26"/>
  <c r="I2" i="26" s="1"/>
  <c r="E2" i="28"/>
  <c r="F2" i="28" s="1"/>
  <c r="J2" i="19"/>
  <c r="D2" i="29"/>
  <c r="J2" i="26"/>
  <c r="H2" i="20"/>
  <c r="I2" i="20" s="1"/>
  <c r="J2" i="28"/>
  <c r="J2" i="31"/>
  <c r="E4" i="30"/>
  <c r="F4" i="30" s="1"/>
  <c r="J2" i="32"/>
  <c r="D4" i="34"/>
  <c r="D2" i="34" s="1"/>
  <c r="H2" i="27"/>
  <c r="I2" i="27" s="1"/>
  <c r="J2" i="27"/>
  <c r="H2" i="3"/>
  <c r="I2" i="3" s="1"/>
  <c r="G2" i="1"/>
  <c r="H4" i="30"/>
  <c r="I4" i="30" s="1"/>
  <c r="I5" i="26"/>
  <c r="H4" i="29"/>
  <c r="I4" i="29" s="1"/>
  <c r="H4" i="18"/>
  <c r="I4" i="18" s="1"/>
  <c r="C4" i="34"/>
  <c r="C2" i="29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2" i="29" l="1"/>
  <c r="F2" i="29" s="1"/>
  <c r="E4" i="34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<sst xmlns="http://schemas.openxmlformats.org/spreadsheetml/2006/main" count="259" uniqueCount="66">
  <si>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</si>
  <si>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</si>
  <si>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</si>
  <si>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</si>
  <si>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</si>
  <si>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</si>
  <si>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</si>
  <si>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</si>
  <si>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</si>
  <si>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</si>
  <si>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</si>
  <si>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</si>
  <si>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</si>
  <si>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</si>
  <si>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</si>
  <si>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</si>
  <si>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</si>
  <si>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</si>
  <si>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</si>
  <si>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</si>
  <si>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</si>
  <si>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</si>
  <si>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</si>
  <si>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</si>
  <si>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</si>
  <si>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</si>
  <si>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 xml:space="preserve">1.The site was offline from 07:45 AM to 02:03 PM on 03/14. MS Walker technicians re-energized the site by closing the recloser
2.Inverter 17 is underperforming by approximately 4 kW, possibly due to a string being down, when compared to Inverters 16 and 15
</t>
  </si>
  <si>
    <t>1.SR098583
2.SR098784</t>
  </si>
  <si>
    <t>April Actual v. Expected</t>
  </si>
  <si>
    <t>April Actual v. Forecasted</t>
  </si>
  <si>
    <t>N/A</t>
  </si>
  <si>
    <t>1.Inverter 17 is underperforming approximately 4kW,possibly string down from 03/14 at 14:30 when compared to Inv 16 &amp;15 which are of same strings.</t>
  </si>
  <si>
    <t>1.SR098784</t>
  </si>
  <si>
    <t>May Actual v. Expected</t>
  </si>
  <si>
    <t>May Actual v. Forecasted</t>
  </si>
  <si>
    <t xml:space="preserve">1.Inverter 17 is underperforming approximately 4kW,possibly string down from 03/14 at 14:30 when compared to Inv 16 &amp;15 which are of same strings.
2.Site was offline from 12:30 on 05/03 to 12:45 on 05/07 
   Site was offline from 15:15 on 05/16 to 06:30 on 05/19
   Site was offline from 12:45 on 05/27 to 08:15 on 05/28.
The site was back online after customer closed the recloser.Site was offline due to persistent communication failures with the DAS. The issue is currently under troubleshooting  </t>
  </si>
  <si>
    <t>1.SR098784
2.SR100966</t>
  </si>
  <si>
    <t>SR100966</t>
  </si>
  <si>
    <t>June Actual v. Expected</t>
  </si>
  <si>
    <t>June Actual v. Forecasted</t>
  </si>
  <si>
    <t>1.Site was offline almost for whole month due to persistent communication failures with the DAS. The issue is currently under troubleshooting  and Tavrida is being RMA'd.</t>
  </si>
  <si>
    <t xml:space="preserve">1.SR103715
</t>
  </si>
  <si>
    <t>July Actual v. Expected</t>
  </si>
  <si>
    <t>July Actual v. Forecasted</t>
  </si>
  <si>
    <t xml:space="preserve">1. Site was offline almost for whole month and is back online at 14:15 on 07/30 </t>
  </si>
  <si>
    <t>1.SR103715</t>
  </si>
  <si>
    <t>August Actual v. Expected</t>
  </si>
  <si>
    <t>August Actual v. Forecasted</t>
  </si>
  <si>
    <t>1. Site was not communicated from 17:45 on 08/15 to till date</t>
  </si>
  <si>
    <t>1. SR106454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</si>
  <si>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</si>
  <si>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</si>
  <si>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</si>
  <si>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</si>
  <si>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</si>
  <si>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</si>
  <si>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</si>
  <si>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</si>
  <si>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</si>
  <si>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MS Walker</t>
  </si>
  <si>
    <t>Site DAS Name</t>
  </si>
  <si>
    <t>Update</t>
  </si>
  <si>
    <t>DAS</t>
  </si>
  <si>
    <t>MA: MS Walker</t>
  </si>
  <si>
    <t>MA</t>
  </si>
  <si>
    <t>InAccess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</si>
</sst>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u/>
      <sz val="10"/>
      <color theme="10"/>
      <name val="Arial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5" fillId="0" borderId="0" applyNumberFormat="0" applyFill="0" applyBorder="0" applyAlignment="0" applyProtection="0"/>
  </cellStyleXfs>
  <cellXfs count="53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horizontal="right" vertical="center"/>
    </xf>
    <xf numFmtId="49" fontId="35" fillId="38" borderId="0" xfId="45" applyNumberFormat="1" applyFill="1" applyBorder="1" applyAlignment="1">
      <alignment horizontal="left" vertical="top" wrapText="1"/>
    </xf>
    <xf numFmtId="0" fontId="35" fillId="0" borderId="0" xfId="45" applyAlignment="1">
      <alignment vertical="top"/>
    </xf>
    <xf numFmtId="0" fontId="34" fillId="40" borderId="0" xfId="0" applyFont="1" applyFill="1" applyAlignment="1">
      <alignment horizontal="center" vertical="center"/>
    </xf>
    <xf numFmtId="0" fontId="0" fillId="0" borderId="0" xfId="0" applyAlignment="1">
      <alignment horizontal="left" vertical="top"/>
    </xf>
    <xf numFmtId="0" fontId="35" fillId="0" borderId="0" xfId="45" applyAlignment="1">
      <alignment horizontal="left" vertical="top"/>
    </xf>
    <xf numFmtId="3" fontId="30" fillId="4" borderId="0" xfId="1" applyNumberFormat="1" applyFont="1" applyFill="1" applyBorder="1" applyAlignment="1">
      <alignment horizontal="right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8583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8784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100966" TargetMode="External"/><Relationship Id="rId1" Type="http://schemas.openxmlformats.org/officeDocument/2006/relationships/hyperlink" Target="https://us3.assetplanner.com/service_request?ID=098784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103715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103715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106454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2"/>
  <sheetViews>
    <sheetView workbookViewId="0">
      <pane ySplit="2" topLeftCell="A3" activePane="bottomLeft" state="frozen"/>
      <selection pane="bottomLeft" activeCell="G18" sqref="G18"/>
      <selection activeCell="A6" sqref="A6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0" t="str" cm="1">
        <f t="array" ref="A1">portfolio</f>
        <v>MS Walker</v>
      </c>
      <c r="B1" s="50"/>
      <c r="C1" s="50"/>
      <c r="D1" s="51" t="s">
        <v>0</v>
      </c>
      <c r="E1" s="51"/>
      <c r="F1" s="51"/>
      <c r="G1" s="49" t="s">
        <v>1</v>
      </c>
      <c r="H1" s="49"/>
      <c r="I1" s="49"/>
    </row>
    <row r="2" spans="1:9" ht="19.5" customHeight="1">
      <c r="A2" s="52" t="s">
        <v>2</v>
      </c>
      <c r="B2" s="52"/>
      <c r="C2" s="6">
        <f>SUM(C4:C60)</f>
        <v>340938.83478999999</v>
      </c>
      <c r="D2" s="6">
        <f>SUM(D4:D60)</f>
        <v>0</v>
      </c>
      <c r="E2" s="6">
        <f>C2-D2</f>
        <v>340938.83478999999</v>
      </c>
      <c r="F2" s="7">
        <f>IFERROR(E2/D2, 0)</f>
        <v>0</v>
      </c>
      <c r="G2" s="6">
        <f>SUM(G4:G60)</f>
        <v>0</v>
      </c>
      <c r="H2" s="8">
        <f>C2-G2</f>
        <v>340938.83478999999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MS Walker</v>
      </c>
      <c r="B4" s="10" t="str" cm="1">
        <f t="array" ref="B4">Sites[State]</f>
        <v>MA</v>
      </c>
      <c r="C4" s="26">
        <f>SUM('1st Qtr'!C4, '2nd Qtr'!C4, '3rd Qtr'!C4, '4th Qtr'!C4)</f>
        <v>340938.83478999999</v>
      </c>
      <c r="D4" s="14">
        <f>SUM('1st Qtr'!D4, '2nd Qtr'!D4, '3rd Qtr'!D4, '4th Qtr'!D4)</f>
        <v>0</v>
      </c>
      <c r="E4" s="14">
        <f>IF(AND(ISNUMBER(C4),ISNUMBER(D4)), C4-D4, "")</f>
        <v>340938.83478999999</v>
      </c>
      <c r="F4" s="15" t="str">
        <f>IFERROR(E4/D4, "")</f>
        <v/>
      </c>
      <c r="G4" s="16">
        <f>SUM('1st Qtr'!G4,'2nd Qtr'!G4,'3rd Qtr'!G4,'4th Qtr'!G4)</f>
        <v>0</v>
      </c>
      <c r="H4" s="16">
        <f>SUM('1st Qtr'!H4, '2nd Qtr'!H4, '3rd Qtr'!H4, '4th Qtr'!H4)</f>
        <v>263082.23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0 I4:I6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0"/>
  <sheetViews>
    <sheetView workbookViewId="0">
      <pane ySplit="2" topLeftCell="A3" activePane="bottomLeft" state="frozen"/>
      <selection pane="bottomLeft" activeCell="G4" sqref="G4"/>
      <selection activeCell="A16" sqref="A16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0" t="str" cm="1">
        <f t="array" ref="A1">portfolio</f>
        <v>MS Walker</v>
      </c>
      <c r="B1" s="50"/>
      <c r="C1" s="50"/>
      <c r="D1" s="51" t="s">
        <v>10</v>
      </c>
      <c r="E1" s="51"/>
      <c r="F1" s="51"/>
      <c r="G1" s="49" t="s">
        <v>11</v>
      </c>
      <c r="H1" s="49"/>
      <c r="I1" s="49"/>
    </row>
    <row r="2" spans="1:9" ht="19.5" customHeight="1">
      <c r="A2" s="52" t="s">
        <v>2</v>
      </c>
      <c r="B2" s="52"/>
      <c r="C2" s="6">
        <f>SUM(C4:C68)</f>
        <v>121978.82800000001</v>
      </c>
      <c r="D2" s="6">
        <f>SUM(D4:D68)</f>
        <v>0</v>
      </c>
      <c r="E2" s="6">
        <f>C2-D2</f>
        <v>121978.82800000001</v>
      </c>
      <c r="F2" s="7">
        <f>IFERROR(E2/D2, 0)</f>
        <v>0</v>
      </c>
      <c r="G2" s="6">
        <f>SUM(G4:G68)</f>
        <v>0</v>
      </c>
      <c r="H2" s="8">
        <f>C2-G2</f>
        <v>121978.82800000001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MS Walker</v>
      </c>
      <c r="B4" s="10" t="str" cm="1">
        <f t="array" ref="B4">Sites[State]</f>
        <v>MA</v>
      </c>
      <c r="C4" s="26">
        <f>SUM(Jan!C4, Feb!C4, Mar!C4)</f>
        <v>121978.82800000001</v>
      </c>
      <c r="D4" s="14">
        <f>SUM(Jan!D4, Feb!D4, Mar!D4)</f>
        <v>0</v>
      </c>
      <c r="E4" s="14">
        <f>IF(AND(ISNUMBER(C4),ISNUMBER(D4)), C4-D4, "")</f>
        <v>121978.82800000001</v>
      </c>
      <c r="F4" s="15" t="str">
        <f>IFERROR(E4/D4, "")</f>
        <v/>
      </c>
      <c r="G4" s="16">
        <f>SUM(Jan!G4, Feb!G4, Mar!G4)</f>
        <v>0</v>
      </c>
      <c r="H4" s="16">
        <f>SUM(Jan!H4, Feb!H4, Mar!H4)</f>
        <v>121978.82800000001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8 I4:I68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pane="bottomLeft" activeCell="G9" sqref="G9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0" t="str" cm="1">
        <f t="array" ref="A1">portfolio</f>
        <v>MS Walker</v>
      </c>
      <c r="B1" s="50"/>
      <c r="C1" s="50"/>
      <c r="D1" s="51" t="s">
        <v>12</v>
      </c>
      <c r="E1" s="51"/>
      <c r="F1" s="51"/>
      <c r="G1" s="49" t="s">
        <v>13</v>
      </c>
      <c r="H1" s="49"/>
      <c r="I1" s="49"/>
    </row>
    <row r="2" spans="1:9" ht="19.5" customHeight="1">
      <c r="A2" s="52" t="s">
        <v>2</v>
      </c>
      <c r="B2" s="52"/>
      <c r="C2" s="6">
        <f>SUM(C4:C90)</f>
        <v>174443.772</v>
      </c>
      <c r="D2" s="6">
        <f>SUM(D4:D90)</f>
        <v>0</v>
      </c>
      <c r="E2" s="6">
        <f>C2-D2</f>
        <v>174443.772</v>
      </c>
      <c r="F2" s="7">
        <f>IFERROR(E2/D2, 0)</f>
        <v>0</v>
      </c>
      <c r="G2" s="6">
        <f>SUM(G4:G90)</f>
        <v>0</v>
      </c>
      <c r="H2" s="8">
        <f>C2-G2</f>
        <v>174443.772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MS Walker</v>
      </c>
      <c r="B4" s="10" t="str" cm="1">
        <f t="array" ref="B4">Sites[State]</f>
        <v>MA</v>
      </c>
      <c r="C4" s="26">
        <f>SUM(Apr!C4, May!C4, Jun!C4)</f>
        <v>174443.772</v>
      </c>
      <c r="D4" s="14">
        <f>SUM(Apr!D4, May!D4, Jun!D4)</f>
        <v>0</v>
      </c>
      <c r="E4" s="14">
        <f>IF(AND(ISNUMBER(C4),ISNUMBER(D4)), C4-D4, "")</f>
        <v>174443.772</v>
      </c>
      <c r="F4" s="15" t="str">
        <f>IFERROR(E4/D4, "")</f>
        <v/>
      </c>
      <c r="G4" s="16">
        <f>SUM(Apr!G4,May!G4,Jun!G4)</f>
        <v>0</v>
      </c>
      <c r="H4" s="16">
        <f>SUM(Apr!H4, May!H4, Jun!H4)</f>
        <v>141103.402</v>
      </c>
      <c r="I4" s="17" t="str">
        <f>IFERROR(H4/G4, "")</f>
        <v/>
      </c>
    </row>
    <row r="5" spans="1:9" ht="15.6">
      <c r="A5" s="19"/>
      <c r="B5" s="11"/>
      <c r="C5" s="12"/>
      <c r="D5" s="20"/>
      <c r="E5" s="20"/>
      <c r="F5" s="21"/>
      <c r="G5" s="22"/>
      <c r="H5" s="22"/>
      <c r="I5" s="21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1"/>
  <sheetViews>
    <sheetView workbookViewId="0">
      <pane ySplit="2" topLeftCell="A3" activePane="bottomLeft" state="frozen"/>
      <selection pane="bottomLeft" activeCell="G4" sqref="G4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0" t="str" cm="1">
        <f t="array" ref="A1">portfolio</f>
        <v>MS Walker</v>
      </c>
      <c r="B1" s="50"/>
      <c r="C1" s="50"/>
      <c r="D1" s="51" t="s">
        <v>14</v>
      </c>
      <c r="E1" s="51"/>
      <c r="F1" s="51"/>
      <c r="G1" s="49" t="s">
        <v>15</v>
      </c>
      <c r="H1" s="49"/>
      <c r="I1" s="49"/>
    </row>
    <row r="2" spans="1:9" ht="19.5" customHeight="1">
      <c r="A2" s="52" t="s">
        <v>2</v>
      </c>
      <c r="B2" s="52"/>
      <c r="C2" s="6">
        <f>SUM(C4:C89)</f>
        <v>44516.234790000002</v>
      </c>
      <c r="D2" s="6">
        <f>SUM(D4:D89)</f>
        <v>0</v>
      </c>
      <c r="E2" s="6">
        <f>C2-D2</f>
        <v>44516.234790000002</v>
      </c>
      <c r="F2" s="7">
        <f>IFERROR(E2/D2, 0)</f>
        <v>0</v>
      </c>
      <c r="G2" s="6">
        <f>SUM(G4:G89)</f>
        <v>0</v>
      </c>
      <c r="H2" s="8">
        <f>C2-G2</f>
        <v>44516.234790000002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MS Walker</v>
      </c>
      <c r="B4" s="10" t="str" cm="1">
        <f t="array" ref="B4">Sites[State]</f>
        <v>MA</v>
      </c>
      <c r="C4" s="26">
        <f>SUM(Jul!C4, Aug!C4, Sep!C4)</f>
        <v>44516.234790000002</v>
      </c>
      <c r="D4" s="14">
        <f>SUM(Jul!D4, Aug!D4, Sep!D4)</f>
        <v>0</v>
      </c>
      <c r="E4" s="14">
        <f>IF(AND(ISNUMBER(C4),ISNUMBER(D4)), C4-D4, "")</f>
        <v>44516.234790000002</v>
      </c>
      <c r="F4" s="15" t="str">
        <f>IFERROR(E4/D4, "")</f>
        <v/>
      </c>
      <c r="G4" s="16">
        <f>SUM(Jul!G4, Aug!G4, Sep!G4)</f>
        <v>0</v>
      </c>
      <c r="H4" s="16">
        <f>SUM(Jul!H4, Aug!H4, Sep!H4)</f>
        <v>0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A3" activePane="bottomLeft" state="frozen"/>
      <selection pane="bottomLeft" activeCell="E19" sqref="E19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0" t="str" cm="1">
        <f t="array" ref="A1">portfolio</f>
        <v>MS Walker</v>
      </c>
      <c r="B1" s="50"/>
      <c r="C1" s="50"/>
      <c r="D1" s="51" t="s">
        <v>16</v>
      </c>
      <c r="E1" s="51"/>
      <c r="F1" s="51"/>
      <c r="G1" s="49" t="s">
        <v>17</v>
      </c>
      <c r="H1" s="49"/>
      <c r="I1" s="49"/>
    </row>
    <row r="2" spans="1:9" ht="19.5" customHeight="1">
      <c r="A2" s="52" t="s">
        <v>2</v>
      </c>
      <c r="B2" s="52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MS Walker</v>
      </c>
      <c r="B4" s="10" t="str" cm="1">
        <f t="array" ref="B4">Sites[State]</f>
        <v>MA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>
        <f>SUM(Oct!G4,Nov!G4,Dec!G4)</f>
        <v>0</v>
      </c>
      <c r="H4" s="16">
        <f>SUM(Oct!H4, Nov!H4, Dec!H4)</f>
        <v>0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zoomScale="90" zoomScaleNormal="90" workbookViewId="0">
      <pane ySplit="3" topLeftCell="A4" activePane="bottomLeft" state="frozen"/>
      <selection pane="bottomLeft" activeCell="F14" sqref="F14"/>
      <selection activeCell="F27" sqref="F26:F27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0" t="str" cm="1">
        <f t="array" ref="A1">portfolio</f>
        <v>MS Walker</v>
      </c>
      <c r="B1" s="50"/>
      <c r="C1" s="50"/>
      <c r="D1" s="51" t="s">
        <v>18</v>
      </c>
      <c r="E1" s="51"/>
      <c r="F1" s="51"/>
      <c r="G1" s="49" t="s">
        <v>19</v>
      </c>
      <c r="H1" s="49"/>
      <c r="I1" s="49"/>
      <c r="J1" s="5"/>
      <c r="K1" s="5"/>
    </row>
    <row r="2" spans="1:11" ht="19.5" customHeight="1">
      <c r="A2" s="52" t="s">
        <v>2</v>
      </c>
      <c r="B2" s="52"/>
      <c r="C2" s="6">
        <f>SUM(C4:C89)</f>
        <v>29177.128000000001</v>
      </c>
      <c r="D2" s="6">
        <f>SUM(D4:D89)</f>
        <v>0</v>
      </c>
      <c r="E2" s="6">
        <f>C2-D2</f>
        <v>29177.128000000001</v>
      </c>
      <c r="F2" s="7">
        <f>IFERROR(E2/D2, 0)</f>
        <v>0</v>
      </c>
      <c r="G2" s="6">
        <f>SUM(G4:G89)</f>
        <v>0</v>
      </c>
      <c r="H2" s="8">
        <f>C2-G2</f>
        <v>29177.128000000001</v>
      </c>
      <c r="I2" s="7">
        <f>IFERROR(H2/G2, 0)</f>
        <v>0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>
        <v>29177.128000000001</v>
      </c>
      <c r="D4" s="14">
        <v>0</v>
      </c>
      <c r="E4" s="14">
        <f>IF(AND(ISNUMBER(C4),ISNUMBER(D4)), C4-D4, "")</f>
        <v>29177.128000000001</v>
      </c>
      <c r="F4" s="15" t="str">
        <f>IFERROR(E4/D4, "")</f>
        <v/>
      </c>
      <c r="G4" s="42">
        <v>0</v>
      </c>
      <c r="H4" s="16">
        <f>IF(AND(ISNUMBER(C4),ISNUMBER(G4)), C4-G4, "")</f>
        <v>29177.128000000001</v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7"/>
  <sheetViews>
    <sheetView workbookViewId="0">
      <pane ySplit="2" topLeftCell="A3" activePane="bottomLeft" state="frozen"/>
      <selection pane="bottomLeft" activeCell="D4" sqref="D4"/>
      <selection activeCell="F27" sqref="F26:F27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0" t="str" cm="1">
        <f t="array" ref="A1">portfolio</f>
        <v>MS Walker</v>
      </c>
      <c r="B1" s="50"/>
      <c r="C1" s="50"/>
      <c r="D1" s="51" t="s">
        <v>22</v>
      </c>
      <c r="E1" s="51"/>
      <c r="F1" s="51"/>
      <c r="G1" s="49" t="s">
        <v>23</v>
      </c>
      <c r="H1" s="49"/>
      <c r="I1" s="49"/>
      <c r="J1" s="5"/>
      <c r="K1" s="5"/>
    </row>
    <row r="2" spans="1:11" ht="19.5" customHeight="1">
      <c r="A2" s="52" t="s">
        <v>2</v>
      </c>
      <c r="B2" s="52"/>
      <c r="C2" s="6">
        <f>SUM(C4:C85)</f>
        <v>27473.4</v>
      </c>
      <c r="D2" s="6">
        <f>SUM(D4:D85)</f>
        <v>0</v>
      </c>
      <c r="E2" s="6">
        <f>C2-D2</f>
        <v>27473.4</v>
      </c>
      <c r="F2" s="7">
        <f>IFERROR(E2/D2, 0)</f>
        <v>0</v>
      </c>
      <c r="G2" s="6">
        <f>SUM(G4:G85)</f>
        <v>0</v>
      </c>
      <c r="H2" s="8">
        <f>C2-G2</f>
        <v>27473.4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>
        <v>27473.4</v>
      </c>
      <c r="D4" s="14">
        <v>0</v>
      </c>
      <c r="E4" s="14">
        <f>IF(AND(ISNUMBER(C4),ISNUMBER(D4)), C4-D4, "")</f>
        <v>27473.4</v>
      </c>
      <c r="F4" s="15" t="str">
        <f>IFERROR(E4/D4, "")</f>
        <v/>
      </c>
      <c r="G4" s="42">
        <v>0</v>
      </c>
      <c r="H4" s="16">
        <f>IF(AND(ISNUMBER(C4),ISNUMBER(G4)), C4-G4, "")</f>
        <v>27473.4</v>
      </c>
      <c r="I4" s="17" t="str">
        <f>IFERROR(H4/G4, "")</f>
        <v/>
      </c>
      <c r="J4" s="18"/>
      <c r="K4" s="18"/>
    </row>
    <row r="5" spans="1:11" ht="14.4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L332"/>
  <sheetViews>
    <sheetView zoomScale="80" zoomScaleNormal="80" workbookViewId="0">
      <pane ySplit="2" topLeftCell="A3" activePane="bottomLeft" state="frozen"/>
      <selection pane="bottomLeft" activeCell="F10" sqref="F10"/>
      <selection activeCell="F27" sqref="F26:F27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50" t="str" cm="1">
        <f t="array" ref="A1">portfolio</f>
        <v>MS Walker</v>
      </c>
      <c r="B1" s="50"/>
      <c r="C1" s="50"/>
      <c r="D1" s="51" t="s">
        <v>24</v>
      </c>
      <c r="E1" s="51"/>
      <c r="F1" s="51"/>
      <c r="G1" s="49" t="s">
        <v>25</v>
      </c>
      <c r="H1" s="49"/>
      <c r="I1" s="49"/>
      <c r="J1" s="5"/>
      <c r="K1" s="5"/>
    </row>
    <row r="2" spans="1:12" ht="19.5" customHeight="1">
      <c r="A2" s="52" t="s">
        <v>2</v>
      </c>
      <c r="B2" s="52"/>
      <c r="C2" s="6">
        <f>SUM(C4:C90)</f>
        <v>65328.3</v>
      </c>
      <c r="D2" s="6">
        <f>SUM(D4:D90)</f>
        <v>0</v>
      </c>
      <c r="E2" s="6">
        <f>C2-D2</f>
        <v>65328.3</v>
      </c>
      <c r="F2" s="7">
        <f>IFERROR(E2/D2, 0)</f>
        <v>0</v>
      </c>
      <c r="G2" s="6">
        <f>SUM(G4:G90)</f>
        <v>0</v>
      </c>
      <c r="H2" s="8">
        <f>C2-G2</f>
        <v>65328.3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2" ht="72">
      <c r="A4" s="33" t="str" cm="1">
        <f t="array" ref="A4">Sites[Site]</f>
        <v>MA: MS Walker</v>
      </c>
      <c r="B4" s="30" t="str" cm="1">
        <f t="array" ref="B4">Sites[State]</f>
        <v>MA</v>
      </c>
      <c r="C4" s="26">
        <v>65328.3</v>
      </c>
      <c r="D4" s="14">
        <v>0</v>
      </c>
      <c r="E4" s="14">
        <f>IF(AND(ISNUMBER(C4),ISNUMBER(D4)), C4-D4, "")</f>
        <v>65328.3</v>
      </c>
      <c r="F4" s="15" t="str">
        <f>IFERROR(E4/D4, "")</f>
        <v/>
      </c>
      <c r="G4" s="42">
        <v>0</v>
      </c>
      <c r="H4" s="16">
        <f>IF(AND(ISNUMBER(C4),ISNUMBER(G4)), C4-G4, "")</f>
        <v>65328.3</v>
      </c>
      <c r="I4" s="17" t="str">
        <f>IFERROR(H4/G4, "")</f>
        <v/>
      </c>
      <c r="J4" s="18" t="s">
        <v>26</v>
      </c>
      <c r="K4" s="43" t="s">
        <v>27</v>
      </c>
      <c r="L4" s="44"/>
    </row>
    <row r="5" spans="1:12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2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2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2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2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hyperlinks>
    <hyperlink ref="K4" r:id="rId1" display="https://us3.assetplanner.com/service_request?ID=098583" xr:uid="{6FFA8704-A7C8-4388-BDC7-120F413A49A7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topLeftCell="D1" workbookViewId="0">
      <pane ySplit="2" topLeftCell="A3" activePane="bottomLeft" state="frozen"/>
      <selection pane="bottomLeft" activeCell="G6" sqref="G6"/>
      <selection activeCell="F27" sqref="F26:F27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0" t="str" cm="1">
        <f t="array" ref="A1">portfolio</f>
        <v>MS Walker</v>
      </c>
      <c r="B1" s="50"/>
      <c r="C1" s="50"/>
      <c r="D1" s="51" t="s">
        <v>28</v>
      </c>
      <c r="E1" s="51"/>
      <c r="F1" s="51"/>
      <c r="G1" s="49" t="s">
        <v>29</v>
      </c>
      <c r="H1" s="49"/>
      <c r="I1" s="49"/>
      <c r="J1" s="5"/>
      <c r="K1" s="5"/>
    </row>
    <row r="2" spans="1:11" ht="19.5" customHeight="1">
      <c r="A2" s="52" t="s">
        <v>2</v>
      </c>
      <c r="B2" s="52"/>
      <c r="C2" s="6">
        <f>SUM(C4:C90)</f>
        <v>79195</v>
      </c>
      <c r="D2" s="6">
        <f>SUM(D4:D90)</f>
        <v>0</v>
      </c>
      <c r="E2" s="6">
        <f>C2-D2</f>
        <v>79195</v>
      </c>
      <c r="F2" s="7">
        <f>IFERROR(E2/D2, 0)</f>
        <v>0</v>
      </c>
      <c r="G2" s="6">
        <f>SUM(G4:G90)</f>
        <v>0</v>
      </c>
      <c r="H2" s="8">
        <f>C2-G2</f>
        <v>79195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28.9">
      <c r="A4" s="33" t="str" cm="1">
        <f t="array" ref="A4">Sites[Site]</f>
        <v>MA: MS Walker</v>
      </c>
      <c r="B4" s="30" t="str" cm="1">
        <f t="array" ref="B4">Sites[State]</f>
        <v>MA</v>
      </c>
      <c r="C4" s="26">
        <v>79195</v>
      </c>
      <c r="D4" s="14" t="s">
        <v>30</v>
      </c>
      <c r="E4" s="14" t="str">
        <f>IF(AND(ISNUMBER(C4),ISNUMBER(D4)), C4-D4, "")</f>
        <v/>
      </c>
      <c r="F4" s="15" t="str">
        <f>IFERROR(E4/D4, "")</f>
        <v/>
      </c>
      <c r="G4" s="42">
        <v>0</v>
      </c>
      <c r="H4" s="16">
        <f>IF(AND(ISNUMBER(C4),ISNUMBER(G4)), C4-G4, "")</f>
        <v>79195</v>
      </c>
      <c r="I4" s="17" t="str">
        <f>IFERROR(H4/G4, "")</f>
        <v/>
      </c>
      <c r="J4" s="18" t="s">
        <v>31</v>
      </c>
      <c r="K4" s="43" t="s">
        <v>32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hyperlinks>
    <hyperlink ref="K4" r:id="rId1" display="https://us3.assetplanner.com/service_request?ID=098784" xr:uid="{4CF3A914-EEC8-4E4F-B15C-340E9E4F711F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L332"/>
  <sheetViews>
    <sheetView topLeftCell="E1" workbookViewId="0">
      <pane ySplit="2" topLeftCell="A3" activePane="bottomLeft" state="frozen"/>
      <selection pane="bottomLeft" activeCell="J4" sqref="J4"/>
      <selection activeCell="F27" sqref="F26:F27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8.85546875" style="46"/>
  </cols>
  <sheetData>
    <row r="1" spans="1:12" ht="19.5" customHeight="1">
      <c r="A1" s="50" t="str" cm="1">
        <f t="array" ref="A1">portfolio</f>
        <v>MS Walker</v>
      </c>
      <c r="B1" s="50"/>
      <c r="C1" s="50"/>
      <c r="D1" s="51" t="s">
        <v>33</v>
      </c>
      <c r="E1" s="51"/>
      <c r="F1" s="51"/>
      <c r="G1" s="49" t="s">
        <v>34</v>
      </c>
      <c r="H1" s="49"/>
      <c r="I1" s="49"/>
      <c r="J1" s="5"/>
      <c r="K1" s="5"/>
    </row>
    <row r="2" spans="1:12" ht="19.5" customHeight="1">
      <c r="A2" s="52" t="s">
        <v>2</v>
      </c>
      <c r="B2" s="52"/>
      <c r="C2" s="6">
        <f>SUM(C4:C90)</f>
        <v>61908.402000000002</v>
      </c>
      <c r="D2" s="6">
        <f>SUM(D4:D90)</f>
        <v>0</v>
      </c>
      <c r="E2" s="6">
        <f>C2-D2</f>
        <v>61908.402000000002</v>
      </c>
      <c r="F2" s="7">
        <f>IFERROR(E2/D2, 0)</f>
        <v>0</v>
      </c>
      <c r="G2" s="6">
        <f>SUM(G4:G90)</f>
        <v>0</v>
      </c>
      <c r="H2" s="8">
        <f>C2-G2</f>
        <v>61908.402000000002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2" ht="115.15">
      <c r="A4" s="45" t="str" cm="1">
        <f t="array" ref="A4">Sites[Site]</f>
        <v>MA: MS Walker</v>
      </c>
      <c r="B4" s="30" t="str" cm="1">
        <f t="array" ref="B4">Sites[State]</f>
        <v>MA</v>
      </c>
      <c r="C4" s="26">
        <v>61908.402000000002</v>
      </c>
      <c r="D4" s="14">
        <v>0</v>
      </c>
      <c r="E4" s="14">
        <f>IF(AND(ISNUMBER(C4),ISNUMBER(D4)), C4-D4, "")</f>
        <v>61908.402000000002</v>
      </c>
      <c r="F4" s="15" t="str">
        <f>IFERROR(E4/D4, "")</f>
        <v/>
      </c>
      <c r="G4" s="42">
        <v>0</v>
      </c>
      <c r="H4" s="16">
        <f>IF(AND(ISNUMBER(C4),ISNUMBER(G4)), C4-G4, "")</f>
        <v>61908.402000000002</v>
      </c>
      <c r="I4" s="17" t="str">
        <f>IFERROR(H4/G4, "")</f>
        <v/>
      </c>
      <c r="J4" s="18" t="s">
        <v>35</v>
      </c>
      <c r="K4" s="43" t="s">
        <v>36</v>
      </c>
      <c r="L4" s="47" t="s">
        <v>37</v>
      </c>
    </row>
    <row r="5" spans="1:12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2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2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2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2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hyperlinks>
    <hyperlink ref="K4" r:id="rId1" display="https://us3.assetplanner.com/service_request?ID=098784" xr:uid="{D2AFEDF4-EF03-460A-8142-1A0BBDDA7F5E}"/>
    <hyperlink ref="L4" r:id="rId2" display="https://us3.assetplanner.com/service_request?ID=100966" xr:uid="{F14445B8-B187-4CB9-AEE1-DEE371480FD5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zoomScale="80" zoomScaleNormal="80" workbookViewId="0">
      <pane ySplit="2" topLeftCell="A3" activePane="bottomLeft" state="frozen"/>
      <selection pane="bottomLeft" activeCell="J4" sqref="J4"/>
      <selection activeCell="F27" sqref="F26:F27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0" t="str" cm="1">
        <f t="array" ref="A1">portfolio</f>
        <v>MS Walker</v>
      </c>
      <c r="B1" s="50"/>
      <c r="C1" s="50"/>
      <c r="D1" s="51" t="s">
        <v>38</v>
      </c>
      <c r="E1" s="51"/>
      <c r="F1" s="51"/>
      <c r="G1" s="49" t="s">
        <v>39</v>
      </c>
      <c r="H1" s="49"/>
      <c r="I1" s="49"/>
      <c r="J1" s="5"/>
      <c r="K1" s="5"/>
    </row>
    <row r="2" spans="1:11" ht="19.5" customHeight="1">
      <c r="A2" s="52" t="s">
        <v>2</v>
      </c>
      <c r="B2" s="52"/>
      <c r="C2" s="6">
        <f>SUM(C4:C90)</f>
        <v>33340.370000000003</v>
      </c>
      <c r="D2" s="6">
        <f>SUM(D4:D90)</f>
        <v>0</v>
      </c>
      <c r="E2" s="6">
        <f>C2-D2</f>
        <v>33340.370000000003</v>
      </c>
      <c r="F2" s="7">
        <f>IFERROR(E2/D2, 0)</f>
        <v>0</v>
      </c>
      <c r="G2" s="6">
        <f>SUM(G4:G90)</f>
        <v>0</v>
      </c>
      <c r="H2" s="8">
        <f>C2-G2</f>
        <v>33340.370000000003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43.15">
      <c r="A4" s="33" t="str" cm="1">
        <f t="array" ref="A4">Sites[Site]</f>
        <v>MA: MS Walker</v>
      </c>
      <c r="B4" s="30" t="str" cm="1">
        <f t="array" ref="B4">Sites[State]</f>
        <v>MA</v>
      </c>
      <c r="C4" s="26">
        <v>33340.370000000003</v>
      </c>
      <c r="D4" s="14" t="s">
        <v>30</v>
      </c>
      <c r="E4" s="14" t="str">
        <f>IF(AND(ISNUMBER(C4),ISNUMBER(D4)), C4-D4, "")</f>
        <v/>
      </c>
      <c r="F4" s="15" t="str">
        <f>IFERROR(E4/D4, "")</f>
        <v/>
      </c>
      <c r="G4" s="48" t="s">
        <v>30</v>
      </c>
      <c r="H4" s="16" t="str">
        <f>IF(AND(ISNUMBER(C4),ISNUMBER(G4)), C4-G4, "")</f>
        <v/>
      </c>
      <c r="I4" s="17" t="str">
        <f>IFERROR(H4/G4, "")</f>
        <v/>
      </c>
      <c r="J4" s="18" t="s">
        <v>40</v>
      </c>
      <c r="K4" s="43" t="s">
        <v>41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hyperlinks>
    <hyperlink ref="K4" r:id="rId1" display="https://us3.assetplanner.com/service_request?ID=103715" xr:uid="{0EC34683-6AF5-4B8E-80D4-8C6974F473C7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workbookViewId="0">
      <pane ySplit="2" topLeftCell="A3" activePane="bottomLeft" state="frozen"/>
      <selection pane="bottomLeft" activeCell="J13" sqref="J13"/>
      <selection activeCell="F27" sqref="F26:F27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0" t="str" cm="1">
        <f t="array" ref="A1">portfolio</f>
        <v>MS Walker</v>
      </c>
      <c r="B1" s="50"/>
      <c r="C1" s="50"/>
      <c r="D1" s="51" t="s">
        <v>42</v>
      </c>
      <c r="E1" s="51"/>
      <c r="F1" s="51"/>
      <c r="G1" s="49" t="s">
        <v>43</v>
      </c>
      <c r="H1" s="49"/>
      <c r="I1" s="49"/>
      <c r="J1" s="5"/>
      <c r="K1" s="5"/>
    </row>
    <row r="2" spans="1:11" ht="19.5" customHeight="1">
      <c r="A2" s="52" t="s">
        <v>2</v>
      </c>
      <c r="B2" s="52"/>
      <c r="C2" s="6">
        <f>SUM(C4:C90)</f>
        <v>1048.7</v>
      </c>
      <c r="D2" s="6">
        <f>SUM(D4:D90)</f>
        <v>0</v>
      </c>
      <c r="E2" s="6">
        <f>C2-D2</f>
        <v>1048.7</v>
      </c>
      <c r="F2" s="7">
        <f>IFERROR(E2/D2, 0)</f>
        <v>0</v>
      </c>
      <c r="G2" s="6">
        <f>SUM(G4:G90)</f>
        <v>0</v>
      </c>
      <c r="H2" s="8">
        <f>C2-G2</f>
        <v>1048.7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>
        <v>1048.7</v>
      </c>
      <c r="D4" s="14" t="s">
        <v>30</v>
      </c>
      <c r="E4" s="14" t="str">
        <f>IF(AND(ISNUMBER(C4),ISNUMBER(D4)), C4-D4, "")</f>
        <v/>
      </c>
      <c r="F4" s="15" t="str">
        <f>IFERROR(E4/D4, "")</f>
        <v/>
      </c>
      <c r="G4" s="48" t="s">
        <v>30</v>
      </c>
      <c r="H4" s="16" t="str">
        <f>IF(AND(ISNUMBER(C4),ISNUMBER(G4)), C4-G4, "")</f>
        <v/>
      </c>
      <c r="I4" s="17" t="str">
        <f>IFERROR(H4/G4, "")</f>
        <v/>
      </c>
      <c r="J4" s="18" t="s">
        <v>44</v>
      </c>
      <c r="K4" s="43" t="s">
        <v>45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hyperlinks>
    <hyperlink ref="K4" r:id="rId1" display="https://us3.assetplanner.com/service_request?ID=103715" xr:uid="{2ECD0FB9-99F0-4A37-A3BE-859008B42254}"/>
  </hyperlinks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72"/>
  <sheetViews>
    <sheetView tabSelected="1" zoomScale="90" zoomScaleNormal="90" workbookViewId="0">
      <pane ySplit="2" topLeftCell="A3" activePane="bottomLeft" state="frozen"/>
      <selection pane="bottomLeft" activeCell="J13" sqref="J13"/>
      <selection activeCell="F27" sqref="F26:F27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0" t="str" cm="1">
        <f t="array" ref="A1">portfolio</f>
        <v>MS Walker</v>
      </c>
      <c r="B1" s="50"/>
      <c r="C1" s="50"/>
      <c r="D1" s="51" t="s">
        <v>46</v>
      </c>
      <c r="E1" s="51"/>
      <c r="F1" s="51"/>
      <c r="G1" s="49" t="s">
        <v>47</v>
      </c>
      <c r="H1" s="49"/>
      <c r="I1" s="49"/>
      <c r="J1" s="5"/>
      <c r="K1" s="5"/>
    </row>
    <row r="2" spans="1:11" ht="19.5" customHeight="1">
      <c r="A2" s="52" t="s">
        <v>2</v>
      </c>
      <c r="B2" s="52"/>
      <c r="C2" s="6">
        <f>SUM(C4:C30)</f>
        <v>43467.534790000005</v>
      </c>
      <c r="D2" s="6">
        <f>SUM(D4:D30)</f>
        <v>0</v>
      </c>
      <c r="E2" s="6">
        <f>C2-D2</f>
        <v>43467.534790000005</v>
      </c>
      <c r="F2" s="7">
        <f>IFERROR(E2/D2, 0)</f>
        <v>0</v>
      </c>
      <c r="G2" s="6">
        <f>SUM(G4:G30)</f>
        <v>0</v>
      </c>
      <c r="H2" s="8">
        <f>C2-G2</f>
        <v>43467.534790000005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>
        <v>43467.534790000005</v>
      </c>
      <c r="D4" s="14" t="s">
        <v>30</v>
      </c>
      <c r="E4" s="14" t="str">
        <f>IF(AND(ISNUMBER(C4),ISNUMBER(D4)), C4-D4, "")</f>
        <v/>
      </c>
      <c r="F4" s="15" t="str">
        <f>IFERROR(E4/D4, "")</f>
        <v/>
      </c>
      <c r="G4" s="48" t="s">
        <v>30</v>
      </c>
      <c r="H4" s="16" t="str">
        <f>IF(AND(ISNUMBER(C4),ISNUMBER(G4)), C4-G4, "")</f>
        <v/>
      </c>
      <c r="I4" s="17" t="str">
        <f>IFERROR(H4/G4, "")</f>
        <v/>
      </c>
      <c r="J4" s="18" t="s">
        <v>48</v>
      </c>
      <c r="K4" s="43" t="s">
        <v>49</v>
      </c>
    </row>
    <row r="5" spans="1:11" ht="14.45">
      <c r="A5" s="23"/>
      <c r="B5" s="34"/>
      <c r="C5" s="23"/>
      <c r="D5" s="23"/>
      <c r="E5" s="23"/>
      <c r="F5" s="24"/>
      <c r="G5" s="23"/>
      <c r="H5" s="23"/>
      <c r="I5" s="24"/>
      <c r="J5" s="23"/>
      <c r="K5" s="23"/>
    </row>
    <row r="6" spans="1:11" ht="14.45">
      <c r="A6" s="23"/>
      <c r="B6" s="34"/>
      <c r="C6" s="23"/>
      <c r="D6" s="23"/>
      <c r="E6" s="23"/>
      <c r="F6" s="24"/>
      <c r="G6" s="23"/>
      <c r="H6" s="23"/>
      <c r="I6" s="24"/>
      <c r="J6" s="23"/>
      <c r="K6" s="23"/>
    </row>
    <row r="7" spans="1:11" ht="14.45">
      <c r="A7" s="23"/>
      <c r="B7" s="34"/>
      <c r="C7" s="23"/>
      <c r="D7" s="23"/>
      <c r="E7" s="23"/>
      <c r="F7" s="24"/>
      <c r="G7" s="23"/>
      <c r="H7" s="23"/>
      <c r="I7" s="24"/>
      <c r="J7" s="23"/>
      <c r="K7" s="23"/>
    </row>
    <row r="8" spans="1:11" ht="14.45">
      <c r="A8" s="23"/>
      <c r="B8" s="34"/>
      <c r="C8" s="23"/>
      <c r="D8" s="23"/>
      <c r="E8" s="23"/>
      <c r="F8" s="24"/>
      <c r="G8" s="23"/>
      <c r="H8" s="23"/>
      <c r="I8" s="24"/>
      <c r="J8" s="23"/>
      <c r="K8" s="23"/>
    </row>
    <row r="9" spans="1:11" ht="14.45">
      <c r="A9" s="23"/>
      <c r="B9" s="34"/>
      <c r="C9" s="23"/>
      <c r="D9" s="23"/>
      <c r="E9" s="23"/>
      <c r="F9" s="24"/>
      <c r="G9" s="23"/>
      <c r="H9" s="23"/>
      <c r="I9" s="24"/>
      <c r="J9" s="23"/>
      <c r="K9" s="23"/>
    </row>
    <row r="10" spans="1:11" ht="14.45">
      <c r="A10" s="23"/>
      <c r="B10" s="34"/>
      <c r="C10" s="23"/>
      <c r="D10" s="23"/>
      <c r="E10" s="23"/>
      <c r="F10" s="24"/>
      <c r="G10" s="23"/>
      <c r="H10" s="23"/>
      <c r="I10" s="24"/>
      <c r="J10" s="23"/>
      <c r="K10" s="23"/>
    </row>
    <row r="11" spans="1:11" ht="14.45">
      <c r="A11" s="23"/>
      <c r="B11" s="34"/>
      <c r="C11" s="23"/>
      <c r="D11" s="23"/>
      <c r="E11" s="23"/>
      <c r="F11" s="24"/>
      <c r="G11" s="23"/>
      <c r="H11" s="23"/>
      <c r="I11" s="24"/>
      <c r="J11" s="23"/>
      <c r="K11" s="23"/>
    </row>
    <row r="12" spans="1:11" ht="14.45">
      <c r="A12" s="23"/>
      <c r="B12" s="34"/>
      <c r="C12" s="23"/>
      <c r="D12" s="23"/>
      <c r="E12" s="23"/>
      <c r="F12" s="24"/>
      <c r="G12" s="23"/>
      <c r="H12" s="23"/>
      <c r="I12" s="24"/>
      <c r="J12" s="23"/>
      <c r="K12" s="23"/>
    </row>
    <row r="13" spans="1:11" ht="14.45">
      <c r="A13" s="23"/>
      <c r="B13" s="34"/>
      <c r="C13" s="23"/>
      <c r="D13" s="23"/>
      <c r="E13" s="23"/>
      <c r="F13" s="24"/>
      <c r="G13" s="23"/>
      <c r="H13" s="23"/>
      <c r="I13" s="24"/>
      <c r="J13" s="23"/>
      <c r="K13" s="23"/>
    </row>
    <row r="14" spans="1:11" ht="14.45">
      <c r="A14" s="23"/>
      <c r="B14" s="34"/>
      <c r="C14" s="23"/>
      <c r="D14" s="23"/>
      <c r="E14" s="23"/>
      <c r="F14" s="24"/>
      <c r="G14" s="23"/>
      <c r="H14" s="23"/>
      <c r="I14" s="24"/>
      <c r="J14" s="23"/>
      <c r="K14" s="23"/>
    </row>
    <row r="15" spans="1:11" ht="14.45">
      <c r="A15" s="23"/>
      <c r="B15" s="34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45">
      <c r="A16" s="23"/>
      <c r="B16" s="34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45">
      <c r="A17" s="23"/>
      <c r="B17" s="34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C272" s="23"/>
      <c r="D272" s="23"/>
      <c r="E272" s="23"/>
      <c r="F272" s="24"/>
      <c r="G272" s="23"/>
      <c r="H272" s="23"/>
      <c r="I272" s="24"/>
      <c r="J272" s="23"/>
      <c r="K272" s="23"/>
    </row>
  </sheetData>
  <mergeCells count="4">
    <mergeCell ref="G1:I1"/>
    <mergeCell ref="A1:C1"/>
    <mergeCell ref="D1:F1"/>
    <mergeCell ref="A2:B2"/>
  </mergeCells>
  <conditionalFormatting sqref="F2 I2 F4:F30 I4:I3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hyperlinks>
    <hyperlink ref="K4" r:id="rId1" display="https://us3.assetplanner.com/service_request?ID=106454" xr:uid="{34B7852F-93C5-4F4A-9915-D16F4C5665DA}"/>
  </hyperlinks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pane="bottomLeft" activeCell="F27" sqref="F26:F27"/>
      <selection activeCell="F27" sqref="F26:F27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0" t="str" cm="1">
        <f t="array" ref="A1">portfolio</f>
        <v>MS Walker</v>
      </c>
      <c r="B1" s="50"/>
      <c r="C1" s="50"/>
      <c r="D1" s="51" t="s">
        <v>50</v>
      </c>
      <c r="E1" s="51"/>
      <c r="F1" s="51"/>
      <c r="G1" s="49" t="s">
        <v>51</v>
      </c>
      <c r="H1" s="49"/>
      <c r="I1" s="49"/>
      <c r="J1" s="5"/>
      <c r="K1" s="5"/>
    </row>
    <row r="2" spans="1:11" ht="19.5" customHeight="1">
      <c r="A2" s="52" t="s">
        <v>2</v>
      </c>
      <c r="B2" s="52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topLeftCell="B1" zoomScale="90" zoomScaleNormal="90" workbookViewId="0">
      <pane ySplit="2" topLeftCell="A3" activePane="bottomLeft" state="frozen"/>
      <selection pane="bottomLeft" activeCell="F27" sqref="F26:F27"/>
      <selection activeCell="F27" sqref="F26:F27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0" t="str" cm="1">
        <f t="array" ref="A1">portfolio</f>
        <v>MS Walker</v>
      </c>
      <c r="B1" s="50"/>
      <c r="C1" s="50"/>
      <c r="D1" s="51" t="s">
        <v>52</v>
      </c>
      <c r="E1" s="51"/>
      <c r="F1" s="51"/>
      <c r="G1" s="49" t="s">
        <v>53</v>
      </c>
      <c r="H1" s="49"/>
      <c r="I1" s="49"/>
      <c r="J1" s="5"/>
      <c r="K1" s="5"/>
    </row>
    <row r="2" spans="1:11" ht="19.5" customHeight="1">
      <c r="A2" s="52" t="s">
        <v>2</v>
      </c>
      <c r="B2" s="52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zoomScale="90" zoomScaleNormal="90" workbookViewId="0">
      <pane ySplit="2" topLeftCell="A3" activePane="bottomLeft" state="frozen"/>
      <selection pane="bottomLeft" activeCell="F27" sqref="F26:F27"/>
      <selection activeCell="F27" sqref="F26:F27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0" t="str" cm="1">
        <f t="array" ref="A1">portfolio</f>
        <v>MS Walker</v>
      </c>
      <c r="B1" s="50"/>
      <c r="C1" s="50"/>
      <c r="D1" s="51" t="s">
        <v>54</v>
      </c>
      <c r="E1" s="51"/>
      <c r="F1" s="51"/>
      <c r="G1" s="49" t="s">
        <v>55</v>
      </c>
      <c r="H1" s="49"/>
      <c r="I1" s="49"/>
      <c r="J1" s="5"/>
      <c r="K1" s="5"/>
    </row>
    <row r="2" spans="1:11" ht="19.5" customHeight="1">
      <c r="A2" s="52" t="s">
        <v>2</v>
      </c>
      <c r="B2" s="52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zoomScale="90" zoomScaleNormal="90" workbookViewId="0">
      <pane ySplit="2" topLeftCell="A3" activePane="bottomLeft" state="frozen"/>
      <selection pane="bottomLeft" activeCell="F27" sqref="F26:F27"/>
      <selection activeCell="C32" sqref="C32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0" t="str" cm="1">
        <f t="array" ref="A1">portfolio</f>
        <v>MS Walker</v>
      </c>
      <c r="B1" s="50"/>
      <c r="C1" s="50"/>
      <c r="D1" s="51" t="s">
        <v>56</v>
      </c>
      <c r="E1" s="51"/>
      <c r="F1" s="51"/>
      <c r="G1" s="49" t="s">
        <v>57</v>
      </c>
      <c r="H1" s="49"/>
      <c r="I1" s="49"/>
      <c r="J1" s="5"/>
      <c r="K1" s="5"/>
    </row>
    <row r="2" spans="1:11" ht="19.5" customHeight="1">
      <c r="A2" s="52" t="s">
        <v>2</v>
      </c>
      <c r="B2" s="52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E16" sqref="E16"/>
      <selection activeCell="A16" sqref="A16:XFD24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58</v>
      </c>
      <c r="B1" t="s">
        <v>59</v>
      </c>
    </row>
    <row r="3" spans="1:7" ht="13.15">
      <c r="A3" t="s">
        <v>60</v>
      </c>
      <c r="B3" t="s">
        <v>3</v>
      </c>
      <c r="C3" t="s">
        <v>4</v>
      </c>
      <c r="D3" t="s">
        <v>61</v>
      </c>
      <c r="E3" s="2" t="s">
        <v>62</v>
      </c>
    </row>
    <row r="4" spans="1:7" ht="14.45">
      <c r="A4" t="s">
        <v>59</v>
      </c>
      <c r="B4" t="s">
        <v>63</v>
      </c>
      <c r="C4" s="4" t="s">
        <v>64</v>
      </c>
      <c r="E4" t="s">
        <v>65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1.xml>��
</file>

<file path=customXml/item1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D3A7101F-9A85-4235-8B03-415370C100B2}"/>
</file>

<file path=customXml/itemProps2.xml><?xml version="1.0" encoding="utf-8"?>
<ds:datastoreItem xmlns:ds="http://schemas.openxmlformats.org/officeDocument/2006/customXml" ds:itemID="{BF5C6359-7763-4C37-8EAF-2BC4698CB285}"/>
</file>

<file path=customXml/itemProps3.xml><?xml version="1.0" encoding="utf-8"?>
<ds:datastoreItem xmlns:ds="http://schemas.openxmlformats.org/officeDocument/2006/customXml" ds:itemID="{7946C510-7D04-49D8-9B25-EEC04582A1CA}"/>
</file>

<file path=customXml/itemProps4.xml><?xml version="1.0" encoding="utf-8"?>
<ds:datastoreItem xmlns:ds="http://schemas.openxmlformats.org/officeDocument/2006/customXml" ds:itemID="{3AEAA9D8-2182-46BA-A58E-96C72DDA1C54}"/>
</file>

<file path=customXml/itemProps5.xml><?xml version="1.0" encoding="utf-8"?>
<ds:datastoreItem xmlns:ds="http://schemas.openxmlformats.org/officeDocument/2006/customXml" ds:itemID="{F6B2B1A1-1C4B-4AC9-9A7D-7A102DD1C942}"/>
</file>

<file path=customXml/itemProps6.xml><?xml version="1.0" encoding="utf-8"?>
<ds:datastoreItem xmlns:ds="http://schemas.openxmlformats.org/officeDocument/2006/customXml" ds:itemID="{89CF5C07-45EB-4100-9AFB-2C6AF77FA787}"/>
</file>

<file path=customXml/itemProps7.xml><?xml version="1.0" encoding="utf-8"?>
<ds:datastoreItem xmlns:ds="http://schemas.openxmlformats.org/officeDocument/2006/customXml" ds:itemID="{E20E8303-6A67-485C-B6F4-303542CC295C}"/>
</file>

<file path=customXml/itemProps8.xml><?xml version="1.0" encoding="utf-8"?>
<ds:datastoreItem xmlns:ds="http://schemas.openxmlformats.org/officeDocument/2006/customXml" ds:itemID="{0389C43E-394D-44C0-87DC-4780FCFCFB40}"/>
</file>

<file path=customXml/itemProps9.xml><?xml version="1.0" encoding="utf-8"?>
<ds:datastoreItem xmlns:ds="http://schemas.openxmlformats.org/officeDocument/2006/customXml" ds:itemID="{E3716282-BFD2-4ED2-BA47-BFA1123827F0}"/>
</file>

<file path=customXml/itemProps10.xml><?xml version="1.0" encoding="utf-8"?>
<ds:datastoreItem xmlns:ds="http://schemas.openxmlformats.org/officeDocument/2006/customXml" ds:itemID="{C10EBC78-4A40-4C57-9336-460DF610DFC3}"/>
</file>

<file path=customXml/itemProps11.xml><?xml version="1.0" encoding="utf-8"?>
<ds:datastoreItem xmlns:ds="http://schemas.openxmlformats.org/officeDocument/2006/customXml" ds:itemID="{1954BBA4-0359-438C-B0EC-A756015F7C02}"/>
</file>

<file path=customXml/itemProps12.xml><?xml version="1.0" encoding="utf-8"?>
<ds:datastoreItem xmlns:ds="http://schemas.openxmlformats.org/officeDocument/2006/customXml" ds:itemID="{8D732231-4216-4543-A665-18A2886B0EB7}"/>
</file>

<file path=customXml/itemProps13.xml><?xml version="1.0" encoding="utf-8"?>
<ds:datastoreItem xmlns:ds="http://schemas.openxmlformats.org/officeDocument/2006/customXml" ds:itemID="{14966E4F-347B-477B-B74C-9DAC05405806}"/>
</file>

<file path=customXml/itemProps14.xml><?xml version="1.0" encoding="utf-8"?>
<ds:datastoreItem xmlns:ds="http://schemas.openxmlformats.org/officeDocument/2006/customXml" ds:itemID="{CB52044A-5C0B-44A2-99D0-C1C315EC302D}"/>
</file>

<file path=customXml/itemProps15.xml><?xml version="1.0" encoding="utf-8"?>
<ds:datastoreItem xmlns:ds="http://schemas.openxmlformats.org/officeDocument/2006/customXml" ds:itemID="{2BC74AAC-D69B-4AF1-9649-B21EF3C1C463}"/>
</file>

<file path=customXml/itemProps16.xml><?xml version="1.0" encoding="utf-8"?>
<ds:datastoreItem xmlns:ds="http://schemas.openxmlformats.org/officeDocument/2006/customXml" ds:itemID="{BE26B669-A686-459C-A5E9-FEC3409C4C81}"/>
</file>

<file path=customXml/itemProps17.xml><?xml version="1.0" encoding="utf-8"?>
<ds:datastoreItem xmlns:ds="http://schemas.openxmlformats.org/officeDocument/2006/customXml" ds:itemID="{078388C9-06F9-42F4-B857-EF76B5CAF1FD}"/>
</file>

<file path=customXml/itemProps18.xml><?xml version="1.0" encoding="utf-8"?>
<ds:datastoreItem xmlns:ds="http://schemas.openxmlformats.org/officeDocument/2006/customXml" ds:itemID="{F12EFA50-0068-4A8C-85A0-F1B26389EBC3}"/>
</file>

<file path=customXml/itemProps19.xml><?xml version="1.0" encoding="utf-8"?>
<ds:datastoreItem xmlns:ds="http://schemas.openxmlformats.org/officeDocument/2006/customXml" ds:itemID="{66B09F59-6532-46F8-924A-9A02417E070D}"/>
</file>

<file path=customXml/itemProps20.xml><?xml version="1.0" encoding="utf-8"?>
<ds:datastoreItem xmlns:ds="http://schemas.openxmlformats.org/officeDocument/2006/customXml" ds:itemID="{98A113BB-8B7A-453C-8BD4-8EFC67FC2D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Zierlein, Roy</cp:lastModifiedBy>
  <cp:revision/>
  <dcterms:created xsi:type="dcterms:W3CDTF">2021-01-01T16:39:53Z</dcterms:created>
  <dcterms:modified xsi:type="dcterms:W3CDTF">2025-09-24T20:10:07Z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2025-09-24T19:43:21Z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55f487d8-1395-42cd-ae7b-191dca268ac0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