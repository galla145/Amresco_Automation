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4F9CB27A-AB13-4835-93FC-D1C42AC3362A}" xr6:coauthVersionLast="47" xr6:coauthVersionMax="47" xr10:uidLastSave="{00000000-0000-0000-0000-000000000000}"/>
  <bookViews>
    <workbookView xWindow="-108" yWindow="-108" windowWidth="23256" windowHeight="1245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9" l="1"/>
  <c r="G4" i="29"/>
  <c r="E4" i="19"/>
  <c r="F4" i="19" s="1"/>
  <c r="H4" i="19"/>
  <c r="I4" i="19" s="1"/>
  <c r="E4" i="20"/>
  <c r="H4" i="21"/>
  <c r="H4" i="20"/>
  <c r="H5" i="21"/>
  <c r="H5" i="20"/>
  <c r="I5" i="20" s="1"/>
  <c r="I4" i="21"/>
  <c r="I5" i="21"/>
  <c r="H5" i="4"/>
  <c r="E5" i="4"/>
  <c r="E5" i="72"/>
  <c r="F5" i="72" s="1"/>
  <c r="H5" i="3"/>
  <c r="I5" i="3" s="1"/>
  <c r="G5" i="30"/>
  <c r="G4" i="30"/>
  <c r="G2" i="30" s="1"/>
  <c r="G5" i="18"/>
  <c r="G4" i="18"/>
  <c r="H6" i="28"/>
  <c r="I6" i="28" s="1"/>
  <c r="E6" i="28"/>
  <c r="F6" i="28" s="1"/>
  <c r="H6" i="27"/>
  <c r="I6" i="27" s="1"/>
  <c r="E6" i="27"/>
  <c r="F6" i="27" s="1"/>
  <c r="H6" i="26"/>
  <c r="I6" i="26" s="1"/>
  <c r="E6" i="26"/>
  <c r="F6" i="26" s="1"/>
  <c r="H6" i="21"/>
  <c r="I6" i="21" s="1"/>
  <c r="E6" i="21"/>
  <c r="F6" i="21" s="1"/>
  <c r="H6" i="4"/>
  <c r="I6" i="4" s="1"/>
  <c r="E6" i="4"/>
  <c r="F6" i="4" s="1"/>
  <c r="E6" i="3"/>
  <c r="F6" i="3"/>
  <c r="H6" i="3"/>
  <c r="I6" i="3" s="1"/>
  <c r="E6" i="72"/>
  <c r="F6" i="72"/>
  <c r="H6" i="72"/>
  <c r="I6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G5" i="1"/>
  <c r="G4" i="1"/>
  <c r="B4" i="34" a="1"/>
  <c r="B4" i="34" s="1"/>
  <c r="A4" i="34" a="1"/>
  <c r="A4" i="34" s="1"/>
  <c r="A1" i="34" a="1"/>
  <c r="A1" i="34" s="1"/>
  <c r="D5" i="30"/>
  <c r="C5" i="30"/>
  <c r="D4" i="30"/>
  <c r="C4" i="30"/>
  <c r="E4" i="30" s="1"/>
  <c r="F4" i="30" s="1"/>
  <c r="D5" i="29"/>
  <c r="C5" i="29"/>
  <c r="D4" i="29"/>
  <c r="C4" i="29"/>
  <c r="D5" i="18"/>
  <c r="C5" i="18"/>
  <c r="D4" i="18"/>
  <c r="C4" i="18"/>
  <c r="D2" i="30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G2" i="19"/>
  <c r="D2" i="19"/>
  <c r="C2" i="19"/>
  <c r="A1" i="19" a="1"/>
  <c r="A1" i="19" s="1"/>
  <c r="E5" i="20"/>
  <c r="F5" i="20" s="1"/>
  <c r="I4" i="20"/>
  <c r="F4" i="20"/>
  <c r="G2" i="20"/>
  <c r="D2" i="20"/>
  <c r="C2" i="20"/>
  <c r="A1" i="20" a="1"/>
  <c r="A1" i="20" s="1"/>
  <c r="E5" i="21"/>
  <c r="F5" i="21" s="1"/>
  <c r="E4" i="21"/>
  <c r="F4" i="21" s="1"/>
  <c r="G2" i="21"/>
  <c r="D2" i="21"/>
  <c r="C2" i="21"/>
  <c r="A1" i="21" a="1"/>
  <c r="A1" i="21" s="1"/>
  <c r="I5" i="4"/>
  <c r="F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G2" i="29" l="1"/>
  <c r="G5" i="34"/>
  <c r="G2" i="18"/>
  <c r="G4" i="34"/>
  <c r="E5" i="30"/>
  <c r="F5" i="30" s="1"/>
  <c r="C5" i="34"/>
  <c r="D5" i="34"/>
  <c r="D4" i="34"/>
  <c r="E4" i="18"/>
  <c r="F4" i="18" s="1"/>
  <c r="D2" i="18"/>
  <c r="E5" i="18"/>
  <c r="F5" i="18" s="1"/>
  <c r="D2" i="29"/>
  <c r="E5" i="29"/>
  <c r="F5" i="29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H4" i="18"/>
  <c r="I4" i="18" s="1"/>
  <c r="C4" i="34"/>
  <c r="H5" i="18"/>
  <c r="I5" i="18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29" l="1"/>
  <c r="H5" i="34"/>
  <c r="I5" i="34"/>
  <c r="G2" i="34"/>
  <c r="D2" i="34"/>
  <c r="E2" i="29"/>
  <c r="F2" i="29" s="1"/>
  <c r="E5" i="34"/>
  <c r="F5" i="34" s="1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<sst xmlns="http://schemas.openxmlformats.org/spreadsheetml/2006/main" count="272" uniqueCount="80">
  <si>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</si>
  <si>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</si>
  <si>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</si>
  <si>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</si>
  <si>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</si>
  <si>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</si>
  <si>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</si>
  <si>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</si>
  <si>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</si>
  <si>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</si>
  <si>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</si>
  <si>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</si>
  <si>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</si>
  <si>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</si>
  <si>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</si>
  <si>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</si>
  <si>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</si>
  <si>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</si>
  <si>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</si>
  <si>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</si>
  <si>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</si>
  <si>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</si>
  <si>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Low generation due to snow/rain.</t>
  </si>
  <si>
    <t>1. Inverter 8 tripped offline at 12:1PM on 01/26 and self resolved and started for production at 7:45AM on 01/27.
2. Low generation due to snow/rain.</t>
  </si>
  <si>
    <t>1. SR095995</t>
  </si>
  <si>
    <t>February Actual v. Expected</t>
  </si>
  <si>
    <t>February Actual v. Forecasted</t>
  </si>
  <si>
    <t>March Actual v. Expected</t>
  </si>
  <si>
    <t>March Actual v. Forecasted</t>
  </si>
  <si>
    <t>1. Considering the fluctuating irradiance and weather throughout the month, actual values is reporting lower than the forecasted values.</t>
  </si>
  <si>
    <t>April Actual v. Expected</t>
  </si>
  <si>
    <t>April Actual v. Forecasted</t>
  </si>
  <si>
    <t>1.  Inverter 2 is underperforming by 10KW down compared to peer inverter.</t>
  </si>
  <si>
    <t>1. SR100595</t>
  </si>
  <si>
    <t>1. Inverter 4 tripped offline at 14:45 on 04/08 and later self-resolved at 11:00 on 04/09.
2. Actual vs expected delta is showing 71% due to expected energy recording low possibly due to data glitch (similar event observe last 2 years).</t>
  </si>
  <si>
    <t>1. SR099525</t>
  </si>
  <si>
    <t>May Actual v. Expected</t>
  </si>
  <si>
    <t>May Actual v. Forecasted</t>
  </si>
  <si>
    <t>1.  Inverter 2 is underperforming by 10kW down compared to peer inverter.</t>
  </si>
  <si>
    <t>1. Actual vs expected delta is showing 58% due to expected energy recording low possibly due to data glitch (similar event observe last 2 years).</t>
  </si>
  <si>
    <t>June Actual v. Expected</t>
  </si>
  <si>
    <t>June Actual v. Forecasted</t>
  </si>
  <si>
    <t>1. Inverter 2 is underperforming by 10kW down compared to peer inverter.</t>
  </si>
  <si>
    <t>1.SR100595</t>
  </si>
  <si>
    <t>1. Inverter 6 has tripped offline at 14:30 on 06/02 and reporting "Waiting for grid voltage &gt; Installation failure grid connection and came back online at 13:45 on 06/04
2. Inverter 6 has tripped offline at 13:45 on 06/23 and came back online at 07:30 on 06/25
3. Actual vs expected delta is showing 60% due to expected energy recording low possibly due to data glitch (similar event observe last 2 years).</t>
  </si>
  <si>
    <t>1.SR102313
2.	SR103325</t>
  </si>
  <si>
    <t>SR103325</t>
  </si>
  <si>
    <t>July Actual v. Expected</t>
  </si>
  <si>
    <t>July Actual v. Forecasted</t>
  </si>
  <si>
    <t>1. Inverter 2 is underperforming by 10kW down compared to peer inverter. The quote was expired.</t>
  </si>
  <si>
    <t>1. Inverter 6 tripped offline at 15:15 on 07/02 and back online at 8:15 on 07/04. and again inverter 6 was offline from 12:15 to 15:45 on 07/12. The inverter again went offline  at 13:00 on 07/31 and remained offline.
2. Inverter 13 was offline from 13:30 to 16:00 on 07/09.
3. Actual vs expected delta is showing 60% due to expected energy recording low possibly due to data glitch (similar event observe last 2 years).</t>
  </si>
  <si>
    <t>1. SR103325
2. SR104216</t>
  </si>
  <si>
    <t>SR104216</t>
  </si>
  <si>
    <t>August Actual v. Expected</t>
  </si>
  <si>
    <t>August Actual v. Forecasted</t>
  </si>
  <si>
    <t>1. Inverter 2 was underperforming by 10kW down compared to peer inverter. The quote was expired.</t>
  </si>
  <si>
    <t>1.	SR100595</t>
  </si>
  <si>
    <t>1.Inverter 6 started production at 09:00 on 08/01 
2.Inverter 13 tripped offline at 13:15 on 08/14 and came back online at 13:15 on 08/15 
3.Actual vs expected delta is showing 70% due to expected energy recording low possibly due to data glitch (similar event observe last 2 years).</t>
  </si>
  <si>
    <t>1.	SR103325
2.SR106294</t>
  </si>
  <si>
    <t>SR106294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</si>
  <si>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</si>
  <si>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</si>
  <si>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</si>
  <si>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</si>
  <si>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</si>
  <si>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</si>
  <si>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</si>
  <si>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</si>
  <si>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</si>
  <si>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Amergy Solar</t>
  </si>
  <si>
    <t>Site DAS Name</t>
  </si>
  <si>
    <t>Update</t>
  </si>
  <si>
    <t>DAS</t>
  </si>
  <si>
    <t>Howell Ice Arena</t>
  </si>
  <si>
    <t>Farmingdale - Howell Ice Arena</t>
  </si>
  <si>
    <t>NJ</t>
  </si>
  <si>
    <t>AEF</t>
  </si>
  <si>
    <t>PowerTrack</t>
  </si>
  <si>
    <t>Igloo</t>
  </si>
  <si>
    <t>Mount Laurel - Igloo Ice 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</si>
</sst>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9"/>
      <color rgb="FF555555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34" fillId="46" borderId="12" xfId="0" applyFont="1" applyFill="1" applyBorder="1"/>
    <xf numFmtId="0" fontId="34" fillId="0" borderId="0" xfId="0" applyFont="1"/>
    <xf numFmtId="0" fontId="34" fillId="0" borderId="12" xfId="0" applyFont="1" applyBorder="1"/>
    <xf numFmtId="164" fontId="27" fillId="47" borderId="0" xfId="1" applyNumberFormat="1" applyFont="1" applyFill="1" applyBorder="1" applyAlignment="1">
      <alignment horizontal="center" vertical="center"/>
    </xf>
    <xf numFmtId="3" fontId="29" fillId="48" borderId="0" xfId="0" applyNumberFormat="1" applyFont="1" applyFill="1" applyAlignment="1">
      <alignment horizontal="right" vertical="center"/>
    </xf>
    <xf numFmtId="3" fontId="29" fillId="48" borderId="0" xfId="1" applyNumberFormat="1" applyFont="1" applyFill="1" applyBorder="1" applyAlignment="1">
      <alignment vertical="center"/>
    </xf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49" fontId="35" fillId="0" borderId="0" xfId="45" applyNumberFormat="1" applyAlignment="1">
      <alignment vertical="top" wrapText="1"/>
    </xf>
    <xf numFmtId="4" fontId="36" fillId="0" borderId="0" xfId="0" applyNumberFormat="1" applyFont="1"/>
    <xf numFmtId="0" fontId="22" fillId="0" borderId="0" xfId="0" applyFont="1"/>
    <xf numFmtId="0" fontId="34" fillId="46" borderId="0" xfId="0" applyFont="1" applyFill="1"/>
    <xf numFmtId="49" fontId="35" fillId="38" borderId="0" xfId="45" applyNumberForma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0" fillId="0" borderId="0" xfId="0" applyAlignment="1">
      <alignment vertical="top"/>
    </xf>
    <xf numFmtId="0" fontId="35" fillId="0" borderId="0" xfId="45" applyAlignment="1">
      <alignment vertical="top"/>
    </xf>
    <xf numFmtId="0" fontId="33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5995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95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059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325" TargetMode="External"/><Relationship Id="rId2" Type="http://schemas.openxmlformats.org/officeDocument/2006/relationships/hyperlink" Target="https://us3.assetplanner.com/service_request?ID=102313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4216" TargetMode="External"/><Relationship Id="rId2" Type="http://schemas.openxmlformats.org/officeDocument/2006/relationships/hyperlink" Target="https://us3.assetplanner.com/service_request?ID=1033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6294" TargetMode="External"/><Relationship Id="rId2" Type="http://schemas.openxmlformats.org/officeDocument/2006/relationships/hyperlink" Target="https://us3.assetplanner.com/service_request?ID=103325" TargetMode="External"/><Relationship Id="rId1" Type="http://schemas.openxmlformats.org/officeDocument/2006/relationships/hyperlink" Target="https://us3.assetplanner.com/service_request?ID=10059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xSplit="2" ySplit="3" topLeftCell="C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Amergy Solar</v>
      </c>
      <c r="B1" s="62"/>
      <c r="C1" s="62"/>
      <c r="D1" s="63" t="s">
        <v>0</v>
      </c>
      <c r="E1" s="63"/>
      <c r="F1" s="63"/>
      <c r="G1" s="61" t="s">
        <v>1</v>
      </c>
      <c r="H1" s="61"/>
      <c r="I1" s="61"/>
    </row>
    <row r="2" spans="1:9" ht="19.5" customHeight="1">
      <c r="A2" s="64" t="s">
        <v>2</v>
      </c>
      <c r="B2" s="64"/>
      <c r="C2" s="5">
        <f>SUM(C4:C88)</f>
        <v>1262300.8</v>
      </c>
      <c r="D2" s="5">
        <f>SUM(D4:D88)</f>
        <v>1086655.4109999998</v>
      </c>
      <c r="E2" s="5">
        <f>C2-D2</f>
        <v>175645.3890000002</v>
      </c>
      <c r="F2" s="6">
        <f>IFERROR(E2/D2, 0)</f>
        <v>0.16163853529092695</v>
      </c>
      <c r="G2" s="5">
        <f>SUM(G4:G88)</f>
        <v>1379855.2409999999</v>
      </c>
      <c r="H2" s="7">
        <f>C2-G2</f>
        <v>-117554.44099999988</v>
      </c>
      <c r="I2" s="6">
        <f>IFERROR(H2/G2, 0)</f>
        <v>-8.5193314129681147E-2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SUM('1st Qtr'!C4, '2nd Qtr'!C4, '3rd Qtr'!C4, '4th Qtr'!C4)</f>
        <v>523278.60000000003</v>
      </c>
      <c r="D4" s="13">
        <f>SUM('1st Qtr'!D4, '2nd Qtr'!D4, '3rd Qtr'!D4, '4th Qtr'!D4)</f>
        <v>531205.34</v>
      </c>
      <c r="E4" s="13">
        <f>IF(AND(ISNUMBER(C4),ISNUMBER(D4)), C4-D4, "")</f>
        <v>-7926.7399999999325</v>
      </c>
      <c r="F4" s="14">
        <f>IFERROR(E4/D4, "")</f>
        <v>-1.4922176798900276E-2</v>
      </c>
      <c r="G4" s="15">
        <f>SUM('1st Qtr'!G4+'2nd Qtr'!G4+'3rd Qtr'!G4+'4th Qtr'!G4)</f>
        <v>649192.22499999998</v>
      </c>
      <c r="H4" s="15">
        <f>SUM('1st Qtr'!H4, '2nd Qtr'!H4, '3rd Qtr'!H4, '4th Qtr'!H4)</f>
        <v>-125913.62499999999</v>
      </c>
      <c r="I4" s="16">
        <f>IFERROR(H4/G4, "")</f>
        <v>-0.19395430220995019</v>
      </c>
    </row>
    <row r="5" spans="1:9" ht="15.6">
      <c r="A5" s="17" t="str">
        <v>Mount Laurel - Igloo Ice Rink</v>
      </c>
      <c r="B5" s="10" t="str">
        <v>NJ</v>
      </c>
      <c r="C5" s="46">
        <f>SUM('1st Qtr'!C5, '2nd Qtr'!C5, '3rd Qtr'!C5, '4th Qtr'!C5)</f>
        <v>739022.20000000007</v>
      </c>
      <c r="D5" s="47">
        <f>SUM('1st Qtr'!D5, '2nd Qtr'!D5, '3rd Qtr'!D5, '4th Qtr'!D5)</f>
        <v>555450.071</v>
      </c>
      <c r="E5" s="18">
        <f t="shared" ref="E5" si="0">IF(AND(ISNUMBER(C5),ISNUMBER(D5)), C5-D5, "")</f>
        <v>183572.12900000007</v>
      </c>
      <c r="F5" s="19">
        <f>IFERROR(E5/D5, "")</f>
        <v>0.33049258355392319</v>
      </c>
      <c r="G5" s="48">
        <f>SUM('1st Qtr'!G5+'2nd Qtr'!G5+'3rd Qtr'!G5+'4th Qtr'!G5)</f>
        <v>730663.01600000006</v>
      </c>
      <c r="H5" s="18">
        <f>SUM('1st Qtr'!H5, '2nd Qtr'!H5, '3rd Qtr'!H5, '4th Qtr'!H5)</f>
        <v>8359.1840000000884</v>
      </c>
      <c r="I5" s="19">
        <f>IFERROR(H5/G5, "")</f>
        <v>1.1440546212072253E-2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xSplit="2" ySplit="3" topLeftCell="C4" activePane="bottomRight" state="frozen"/>
      <selection pane="bottomRight" activeCell="G14" sqref="A6:G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Amergy Solar</v>
      </c>
      <c r="B1" s="62"/>
      <c r="C1" s="62"/>
      <c r="D1" s="63" t="s">
        <v>10</v>
      </c>
      <c r="E1" s="63"/>
      <c r="F1" s="63"/>
      <c r="G1" s="61" t="s">
        <v>11</v>
      </c>
      <c r="H1" s="61"/>
      <c r="I1" s="61"/>
    </row>
    <row r="2" spans="1:9" ht="19.5" customHeight="1">
      <c r="A2" s="64" t="s">
        <v>2</v>
      </c>
      <c r="B2" s="64"/>
      <c r="C2" s="5">
        <f>SUM(C4:C88)</f>
        <v>330546.59999999998</v>
      </c>
      <c r="D2" s="5">
        <f>SUM(D4:D88)</f>
        <v>360979.011</v>
      </c>
      <c r="E2" s="5">
        <f>C2-D2</f>
        <v>-30432.411000000022</v>
      </c>
      <c r="F2" s="6">
        <f>IFERROR(E2/D2, 0)</f>
        <v>-8.4305209091505934E-2</v>
      </c>
      <c r="G2" s="5">
        <f>SUM(G4:G88)</f>
        <v>351260.761</v>
      </c>
      <c r="H2" s="7">
        <f>C2-G2</f>
        <v>-20714.161000000022</v>
      </c>
      <c r="I2" s="6">
        <f>IFERROR(H2/G2, 0)</f>
        <v>-5.8970893705944064E-2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SUM(Jan!C4, Feb!C4, Mar!C4)</f>
        <v>136545.09999999998</v>
      </c>
      <c r="D4" s="13">
        <f>SUM(Jan!D4, Feb!D4, Mar!D4)</f>
        <v>138174.27000000002</v>
      </c>
      <c r="E4" s="13">
        <f>IF(AND(ISNUMBER(C4),ISNUMBER(D4)), C4-D4, "")</f>
        <v>-1629.1700000000419</v>
      </c>
      <c r="F4" s="14">
        <f>IFERROR(E4/D4, "")</f>
        <v>-1.1790690119079635E-2</v>
      </c>
      <c r="G4" s="15">
        <f>SUM(Jan!G4, Feb!G4, Mar!G4)</f>
        <v>185557.845</v>
      </c>
      <c r="H4" s="15">
        <f>SUM(Jan!H4, Feb!H4, Mar!H4)</f>
        <v>-49012.745000000003</v>
      </c>
      <c r="I4" s="16">
        <f>IFERROR(H4/G4, "")</f>
        <v>-0.26413728290496152</v>
      </c>
    </row>
    <row r="5" spans="1:9" ht="15.6">
      <c r="A5" s="17" t="str">
        <v>Mount Laurel - Igloo Ice Rink</v>
      </c>
      <c r="B5" s="10" t="str">
        <v>NJ</v>
      </c>
      <c r="C5" s="11">
        <f>SUM(Jan!C5, Feb!C5, Mar!C5)</f>
        <v>194001.5</v>
      </c>
      <c r="D5" s="18">
        <f>SUM(Jan!D5, Feb!D5, Mar!D5)</f>
        <v>222804.74099999998</v>
      </c>
      <c r="E5" s="18">
        <f t="shared" ref="E5" si="0">IF(AND(ISNUMBER(C5),ISNUMBER(D5)), C5-D5, "")</f>
        <v>-28803.24099999998</v>
      </c>
      <c r="F5" s="19">
        <f>IFERROR(E5/D5, "")</f>
        <v>-0.12927570962235485</v>
      </c>
      <c r="G5" s="20">
        <f>SUM(Jan!G5, Feb!G5, Mar!G5)</f>
        <v>165702.916</v>
      </c>
      <c r="H5" s="20">
        <f>SUM(Jan!H5, Feb!H5, Mar!H5)</f>
        <v>28298.58400000001</v>
      </c>
      <c r="I5" s="19">
        <f>IFERROR(H5/G5, "")</f>
        <v>0.17077903444982229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xSplit="2" ySplit="3" topLeftCell="C4" activePane="bottomRight" state="frozen"/>
      <selection pane="bottomRight" activeCell="G5" sqref="G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Amergy Solar</v>
      </c>
      <c r="B1" s="62"/>
      <c r="C1" s="62"/>
      <c r="D1" s="63" t="s">
        <v>12</v>
      </c>
      <c r="E1" s="63"/>
      <c r="F1" s="63"/>
      <c r="G1" s="61" t="s">
        <v>13</v>
      </c>
      <c r="H1" s="61"/>
      <c r="I1" s="61"/>
    </row>
    <row r="2" spans="1:9" ht="19.5" customHeight="1">
      <c r="A2" s="64" t="s">
        <v>2</v>
      </c>
      <c r="B2" s="64"/>
      <c r="C2" s="5">
        <f>SUM(C4:C88)</f>
        <v>524729.30000000005</v>
      </c>
      <c r="D2" s="5">
        <f>SUM(D4:D88)</f>
        <v>411049.58999999997</v>
      </c>
      <c r="E2" s="5">
        <f>C2-D2</f>
        <v>113679.71000000008</v>
      </c>
      <c r="F2" s="6">
        <f>IFERROR(E2/D2, 0)</f>
        <v>0.27655959953639681</v>
      </c>
      <c r="G2" s="5">
        <f>SUM(G4:G88)</f>
        <v>609183.69999999995</v>
      </c>
      <c r="H2" s="7">
        <f>C2-G2</f>
        <v>-84454.399999999907</v>
      </c>
      <c r="I2" s="6">
        <f>IFERROR(H2/G2, 0)</f>
        <v>-0.13863535744636621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SUM(Apr!C4, May!C4, Jun!C4)</f>
        <v>217734.49999999994</v>
      </c>
      <c r="D4" s="13">
        <f>SUM(Apr!D4, May!D4, Jun!D4)</f>
        <v>222436.1</v>
      </c>
      <c r="E4" s="13">
        <f>IF(AND(ISNUMBER(C4),ISNUMBER(D4)), C4-D4, "")</f>
        <v>-4701.600000000064</v>
      </c>
      <c r="F4" s="14">
        <f>IFERROR(E4/D4, "")</f>
        <v>-2.1136856832142191E-2</v>
      </c>
      <c r="G4" s="15">
        <f>SUM(Apr!G4,May!G4,Jun!G4)</f>
        <v>275917</v>
      </c>
      <c r="H4" s="15">
        <f>SUM(Apr!H4, May!H4, Jun!H4)</f>
        <v>-58182.500000000087</v>
      </c>
      <c r="I4" s="16">
        <f>IFERROR(H4/G4, "")</f>
        <v>-0.21086957309625753</v>
      </c>
    </row>
    <row r="5" spans="1:9" ht="15.6">
      <c r="A5" s="17" t="str">
        <v>Mount Laurel - Igloo Ice Rink</v>
      </c>
      <c r="B5" s="10" t="str">
        <v>NJ</v>
      </c>
      <c r="C5" s="11">
        <f>SUM(Apr!C5, May!C5, Jun!C5)</f>
        <v>306994.8000000001</v>
      </c>
      <c r="D5" s="18">
        <f>SUM(Apr!D5, May!D5, Jun!D5)</f>
        <v>188613.49</v>
      </c>
      <c r="E5" s="18">
        <f t="shared" ref="E5" si="0">IF(AND(ISNUMBER(C5),ISNUMBER(D5)), C5-D5, "")</f>
        <v>118381.31000000011</v>
      </c>
      <c r="F5" s="19">
        <f>IFERROR(E5/D5, "")</f>
        <v>0.62763967731046233</v>
      </c>
      <c r="G5" s="20">
        <f>SUM(Apr!G5,May!G5,Jun!G5)</f>
        <v>333266.7</v>
      </c>
      <c r="H5" s="20">
        <f>SUM(Apr!H5, May!H5, Jun!H5)</f>
        <v>-26271.899999999907</v>
      </c>
      <c r="I5" s="19">
        <f>IFERROR(H5/G5, "")</f>
        <v>-7.8831458408535587E-2</v>
      </c>
    </row>
    <row r="6" spans="1:9" ht="12.75" customHeight="1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C4" activePane="bottomRight" state="frozen"/>
      <selection pane="bottomRight" activeCell="G10" sqref="G10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Amergy Solar</v>
      </c>
      <c r="B1" s="62"/>
      <c r="C1" s="62"/>
      <c r="D1" s="63" t="s">
        <v>14</v>
      </c>
      <c r="E1" s="63"/>
      <c r="F1" s="63"/>
      <c r="G1" s="61" t="s">
        <v>15</v>
      </c>
      <c r="H1" s="61"/>
      <c r="I1" s="61"/>
    </row>
    <row r="2" spans="1:9" ht="19.5" customHeight="1">
      <c r="A2" s="64" t="s">
        <v>2</v>
      </c>
      <c r="B2" s="64"/>
      <c r="C2" s="5">
        <f>SUM(C4:C87)</f>
        <v>407024.90000000014</v>
      </c>
      <c r="D2" s="5">
        <f>SUM(D4:D87)</f>
        <v>314626.81</v>
      </c>
      <c r="E2" s="5">
        <f>C2-D2</f>
        <v>92398.090000000142</v>
      </c>
      <c r="F2" s="6">
        <f>IFERROR(E2/D2, 0)</f>
        <v>0.29367519570249001</v>
      </c>
      <c r="G2" s="5">
        <f>SUM(G4:G87)</f>
        <v>419410.78</v>
      </c>
      <c r="H2" s="7">
        <f>C2-G2</f>
        <v>-12385.879999999888</v>
      </c>
      <c r="I2" s="6">
        <f>IFERROR(H2/G2, 0)</f>
        <v>-2.9531620527254658E-2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SUM(Jul!C4, Aug!C4, Sep!C4)</f>
        <v>168999.00000000012</v>
      </c>
      <c r="D4" s="13">
        <f>SUM(Jul!D4, Aug!D4, Sep!D4)</f>
        <v>170594.97</v>
      </c>
      <c r="E4" s="13">
        <f>IF(AND(ISNUMBER(C4),ISNUMBER(D4)), C4-D4, "")</f>
        <v>-1595.9699999998847</v>
      </c>
      <c r="F4" s="14">
        <f>IFERROR(E4/D4, "")</f>
        <v>-9.355316865437972E-3</v>
      </c>
      <c r="G4" s="15">
        <f>SUM(Jul!G4,Aug!G4,Sep!G4)</f>
        <v>187717.38</v>
      </c>
      <c r="H4" s="15">
        <f>SUM(Jul!H4, Aug!H4, Sep!H4)</f>
        <v>-18718.379999999903</v>
      </c>
      <c r="I4" s="16">
        <f>IFERROR(H4/G4, "")</f>
        <v>-9.9715753543970748E-2</v>
      </c>
    </row>
    <row r="5" spans="1:9" ht="15.6">
      <c r="A5" s="17" t="str">
        <v>Mount Laurel - Igloo Ice Rink</v>
      </c>
      <c r="B5" s="10" t="str">
        <v>NJ</v>
      </c>
      <c r="C5" s="11">
        <f>SUM(Jul!C5, Aug!C5, Sep!C5)</f>
        <v>238025.9</v>
      </c>
      <c r="D5" s="18">
        <f>SUM(Jul!D5, Aug!D5, Sep!D5)</f>
        <v>144031.84</v>
      </c>
      <c r="E5" s="18">
        <f t="shared" ref="E5" si="0">IF(AND(ISNUMBER(C5),ISNUMBER(D5)), C5-D5, "")</f>
        <v>93994.06</v>
      </c>
      <c r="F5" s="19">
        <f>IFERROR(E5/D5, "")</f>
        <v>0.65259223238417285</v>
      </c>
      <c r="G5" s="11">
        <f>SUM(Jul!G5,Aug!G5,Sep!G5)</f>
        <v>231693.40000000002</v>
      </c>
      <c r="H5" s="20">
        <f>SUM(Jul!H5, Aug!H5, Sep!H5)</f>
        <v>6332.4999999999854</v>
      </c>
      <c r="I5" s="19">
        <f>IFERROR(H5/G5, "")</f>
        <v>2.7331378451004581E-2</v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1"/>
      <c r="G19" s="21"/>
      <c r="H19" s="21"/>
      <c r="I19" s="21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mergeCells count="4">
    <mergeCell ref="G1:I1"/>
    <mergeCell ref="A1:C1"/>
    <mergeCell ref="D1:F1"/>
    <mergeCell ref="A2:B2"/>
  </mergeCells>
  <conditionalFormatting sqref="F2 I2 F4:F87 I4:I87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G6">
    <cfRule type="cellIs" dxfId="34" priority="1" stopIfTrue="1" operator="lessThanOrEqual">
      <formula>-0.1</formula>
    </cfRule>
    <cfRule type="expression" dxfId="33" priority="2">
      <formula>AND(ISNUMBER(G6), G6&gt;=0.1)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4" activePane="bottomRight" state="frozen"/>
      <selection pane="bottomRight" activeCell="G8" sqref="G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2" t="str" cm="1">
        <f t="array" ref="A1">portfolio</f>
        <v>Amergy Solar</v>
      </c>
      <c r="B1" s="62"/>
      <c r="C1" s="62"/>
      <c r="D1" s="63" t="s">
        <v>16</v>
      </c>
      <c r="E1" s="63"/>
      <c r="F1" s="63"/>
      <c r="G1" s="61" t="s">
        <v>17</v>
      </c>
      <c r="H1" s="61"/>
      <c r="I1" s="61"/>
    </row>
    <row r="2" spans="1:9" ht="19.5" customHeight="1">
      <c r="A2" s="64" t="s">
        <v>2</v>
      </c>
      <c r="B2" s="64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Farmingdale - Howell Ice Arena</v>
      </c>
      <c r="B4" s="9" t="str" cm="1">
        <f t="array" ref="B4:B5">Sites[State]</f>
        <v>NJ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Mount Laurel - Igloo Ice Rink</v>
      </c>
      <c r="B5" s="10" t="str">
        <v>NJ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8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1"/>
      <c r="G6" s="21"/>
      <c r="H6" s="21"/>
      <c r="I6" s="21"/>
    </row>
    <row r="7" spans="1:9" ht="13.9">
      <c r="A7" s="21"/>
      <c r="B7" s="21"/>
      <c r="C7" s="21"/>
      <c r="D7" s="21"/>
      <c r="E7" s="21"/>
      <c r="F7" s="21"/>
      <c r="G7" s="21"/>
      <c r="H7" s="21"/>
      <c r="I7" s="21"/>
    </row>
    <row r="8" spans="1:9" ht="13.9">
      <c r="A8" s="21"/>
      <c r="B8" s="21"/>
      <c r="C8" s="21"/>
      <c r="D8" s="21"/>
      <c r="E8" s="21"/>
      <c r="F8" s="21"/>
      <c r="G8" s="21"/>
      <c r="H8" s="21"/>
      <c r="I8" s="21"/>
    </row>
    <row r="9" spans="1:9" ht="13.9">
      <c r="A9" s="21"/>
      <c r="B9" s="21"/>
      <c r="C9" s="21"/>
      <c r="D9" s="21"/>
      <c r="E9" s="21"/>
      <c r="F9" s="21"/>
      <c r="G9" s="21"/>
      <c r="H9" s="21"/>
      <c r="I9" s="21"/>
    </row>
    <row r="10" spans="1:9" ht="13.9">
      <c r="A10" s="21"/>
      <c r="B10" s="21"/>
      <c r="C10" s="21"/>
      <c r="D10" s="21"/>
      <c r="E10" s="21"/>
      <c r="F10" s="21"/>
      <c r="G10" s="21"/>
      <c r="H10" s="21"/>
      <c r="I10" s="21"/>
    </row>
    <row r="11" spans="1:9" ht="13.9">
      <c r="A11" s="21"/>
      <c r="B11" s="21"/>
      <c r="C11" s="21"/>
      <c r="D11" s="21"/>
      <c r="E11" s="21"/>
      <c r="F11" s="21"/>
      <c r="G11" s="21"/>
      <c r="H11" s="21"/>
      <c r="I11" s="21"/>
    </row>
    <row r="12" spans="1:9" ht="13.9">
      <c r="A12" s="21"/>
      <c r="B12" s="21"/>
      <c r="C12" s="21"/>
      <c r="D12" s="21"/>
      <c r="E12" s="21"/>
      <c r="F12" s="21"/>
      <c r="G12" s="21"/>
      <c r="H12" s="21"/>
      <c r="I12" s="21"/>
    </row>
    <row r="13" spans="1:9" ht="13.9">
      <c r="A13" s="21"/>
      <c r="B13" s="21"/>
      <c r="C13" s="21"/>
      <c r="D13" s="21"/>
      <c r="E13" s="21"/>
      <c r="F13" s="21"/>
      <c r="G13" s="21"/>
      <c r="H13" s="21"/>
      <c r="I13" s="21"/>
    </row>
    <row r="14" spans="1:9" ht="13.9">
      <c r="A14" s="21"/>
      <c r="B14" s="21"/>
      <c r="C14" s="21"/>
      <c r="D14" s="21"/>
      <c r="E14" s="21"/>
      <c r="F14" s="21"/>
      <c r="G14" s="21"/>
      <c r="H14" s="21"/>
      <c r="I14" s="21"/>
    </row>
    <row r="15" spans="1:9" ht="13.9">
      <c r="A15" s="21"/>
      <c r="B15" s="21"/>
      <c r="C15" s="21"/>
      <c r="D15" s="21"/>
      <c r="E15" s="21"/>
      <c r="F15" s="21"/>
      <c r="G15" s="21"/>
      <c r="H15" s="21"/>
      <c r="I15" s="21"/>
    </row>
    <row r="16" spans="1:9" ht="13.9">
      <c r="A16" s="21"/>
      <c r="B16" s="21"/>
      <c r="C16" s="21"/>
      <c r="D16" s="21"/>
      <c r="E16" s="21"/>
      <c r="F16" s="21"/>
      <c r="G16" s="21"/>
      <c r="H16" s="21"/>
      <c r="I16" s="21"/>
    </row>
    <row r="17" spans="1:9" ht="13.9">
      <c r="A17" s="21"/>
      <c r="B17" s="21"/>
      <c r="C17" s="21"/>
      <c r="D17" s="21"/>
      <c r="E17" s="21"/>
      <c r="F17" s="21"/>
      <c r="G17" s="21"/>
      <c r="H17" s="21"/>
      <c r="I17" s="21"/>
    </row>
    <row r="18" spans="1:9" ht="13.9">
      <c r="A18" s="21"/>
      <c r="B18" s="21"/>
      <c r="C18" s="21"/>
      <c r="D18" s="21"/>
      <c r="E18" s="21"/>
      <c r="F18" s="21"/>
      <c r="G18" s="21"/>
      <c r="H18" s="21"/>
      <c r="I18" s="21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 F4:F86 I4:I86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0"/>
  <sheetViews>
    <sheetView zoomScale="70" zoomScaleNormal="70" workbookViewId="0">
      <pane xSplit="2" ySplit="3" topLeftCell="C4" activePane="bottomRight" state="frozen"/>
      <selection pane="bottomRight" activeCell="I29" sqref="I29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18</v>
      </c>
      <c r="E1" s="63"/>
      <c r="F1" s="63"/>
      <c r="G1" s="61" t="s">
        <v>19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SUM(C4:C88)</f>
        <v>62843.3</v>
      </c>
      <c r="D2" s="5">
        <f>SUM(D4:D88)</f>
        <v>86823.505000000005</v>
      </c>
      <c r="E2" s="5">
        <f>C2-D2</f>
        <v>-23980.205000000002</v>
      </c>
      <c r="F2" s="6">
        <f>IFERROR(E2/D2, 0)</f>
        <v>-0.27619485069164162</v>
      </c>
      <c r="G2" s="5">
        <f>SUM(G4:G88)</f>
        <v>87326.428</v>
      </c>
      <c r="H2" s="7">
        <f>C2-G2</f>
        <v>-24483.127999999997</v>
      </c>
      <c r="I2" s="6">
        <f>IFERROR(H2/G2, 0)</f>
        <v>-0.28036332826987953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27760</v>
      </c>
      <c r="D4" s="13">
        <v>30103.183000000001</v>
      </c>
      <c r="E4" s="13">
        <f>IF(AND(ISNUMBER(C4),ISNUMBER(D4)), C4-D4, "")</f>
        <v>-2343.1830000000009</v>
      </c>
      <c r="F4" s="14">
        <f>IFERROR(E4/D4, "")</f>
        <v>-7.7838380080936978E-2</v>
      </c>
      <c r="G4" s="15">
        <v>49684.402000000002</v>
      </c>
      <c r="H4" s="15">
        <f>IF(AND(ISNUMBER(C4),ISNUMBER(G4)), C4-G4, "")</f>
        <v>-21924.402000000002</v>
      </c>
      <c r="I4" s="16">
        <f>IFERROR(H4/G4, "")</f>
        <v>-0.44127333966905752</v>
      </c>
      <c r="J4" s="40" t="s">
        <v>22</v>
      </c>
      <c r="K4" s="40"/>
    </row>
    <row r="5" spans="1:11" ht="43.15">
      <c r="A5" s="29" t="str">
        <v>Mount Laurel - Igloo Ice Rink</v>
      </c>
      <c r="B5" s="30" t="str">
        <v>NJ</v>
      </c>
      <c r="C5" s="11">
        <v>35083.300000000003</v>
      </c>
      <c r="D5" s="18">
        <v>56720.322</v>
      </c>
      <c r="E5" s="20">
        <f>IF(AND(ISNUMBER(C5),ISNUMBER(D5)), C5-D5, "")</f>
        <v>-21637.021999999997</v>
      </c>
      <c r="F5" s="19">
        <f>IFERROR(E5/D5, "")</f>
        <v>-0.38146860308726732</v>
      </c>
      <c r="G5" s="20">
        <v>37642.025999999998</v>
      </c>
      <c r="H5" s="20">
        <f t="shared" ref="H5" si="0">IF(AND(ISNUMBER(C5),ISNUMBER(G5)), C5-G5, "")</f>
        <v>-2558.7259999999951</v>
      </c>
      <c r="I5" s="19">
        <f t="shared" ref="I5" si="1">IFERROR(H5/G5, "")</f>
        <v>-6.797524660335752E-2</v>
      </c>
      <c r="J5" s="41" t="s">
        <v>23</v>
      </c>
      <c r="K5" s="51" t="s">
        <v>24</v>
      </c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D1:F1"/>
    <mergeCell ref="A1:C1"/>
    <mergeCell ref="G1:I1"/>
    <mergeCell ref="A2:B2"/>
  </mergeCells>
  <conditionalFormatting sqref="F2 I2 F4:F88 I4:I88">
    <cfRule type="cellIs" dxfId="30" priority="4" stopIfTrue="1" operator="lessThanOrEqual">
      <formula>-0.1</formula>
    </cfRule>
    <cfRule type="expression" dxfId="29" priority="5">
      <formula>AND(ISNUMBER(F2), F2&gt;=0.1)</formula>
    </cfRule>
  </conditionalFormatting>
  <hyperlinks>
    <hyperlink ref="K5" r:id="rId1" display="https://us3.assetplanner.com/service_request?ID=095995" xr:uid="{F0726D91-57C2-4563-B991-33569A90BDB0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zoomScale="90" zoomScaleNormal="90" workbookViewId="0">
      <pane xSplit="2" ySplit="3" topLeftCell="I4" activePane="bottomRight" state="frozen"/>
      <selection pane="bottomRight" activeCell="I36" sqref="I36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25</v>
      </c>
      <c r="E1" s="63"/>
      <c r="F1" s="63"/>
      <c r="G1" s="61" t="s">
        <v>26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SUM(C4:C89)</f>
        <v>101062.8</v>
      </c>
      <c r="D2" s="5">
        <f>SUM(D4:D89)</f>
        <v>103326.06099999999</v>
      </c>
      <c r="E2" s="5">
        <f>C2-D2</f>
        <v>-2263.2609999999841</v>
      </c>
      <c r="F2" s="6">
        <f>IFERROR(E2/D2, 0)</f>
        <v>-2.1904067358185505E-2</v>
      </c>
      <c r="G2" s="5">
        <f>SUM(G4:G89)</f>
        <v>106702.659</v>
      </c>
      <c r="H2" s="7">
        <f>C2-G2</f>
        <v>-5639.8589999999967</v>
      </c>
      <c r="I2" s="6">
        <f>IFERROR(H2/G2, 0)</f>
        <v>-5.2855843076975211E-2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41249.4</v>
      </c>
      <c r="D4" s="13">
        <v>40885.517999999996</v>
      </c>
      <c r="E4" s="13">
        <f>IF(AND(ISNUMBER(C4),ISNUMBER(D4)), C4-D4, "")</f>
        <v>363.88200000000506</v>
      </c>
      <c r="F4" s="14">
        <f>IFERROR(E4/D4, "")</f>
        <v>8.9000217632073317E-3</v>
      </c>
      <c r="G4" s="15">
        <v>58474.985000000001</v>
      </c>
      <c r="H4" s="15">
        <f>IF(AND(ISNUMBER(C4),ISNUMBER(G4)), C4-G4, "")</f>
        <v>-17225.584999999999</v>
      </c>
      <c r="I4" s="16">
        <f>IFERROR(H4/G4, "")</f>
        <v>-0.29458040904157562</v>
      </c>
      <c r="J4" s="40" t="s">
        <v>22</v>
      </c>
      <c r="K4" s="40"/>
    </row>
    <row r="5" spans="1:11" ht="15.6">
      <c r="A5" s="29" t="str">
        <v>Mount Laurel - Igloo Ice Rink</v>
      </c>
      <c r="B5" s="30" t="str">
        <v>NJ</v>
      </c>
      <c r="C5" s="11">
        <v>59813.4</v>
      </c>
      <c r="D5" s="11">
        <v>62440.542999999998</v>
      </c>
      <c r="E5" s="18">
        <f t="shared" ref="E5" si="0">IF(AND(ISNUMBER(C5),ISNUMBER(D5)), C5-D5, "")</f>
        <v>-2627.1429999999964</v>
      </c>
      <c r="F5" s="19">
        <f>IFERROR(E5/D5, "")</f>
        <v>-4.2074313799609277E-2</v>
      </c>
      <c r="G5" s="11">
        <v>48227.673999999999</v>
      </c>
      <c r="H5" s="18">
        <f>IF(AND(ISNUMBER(C5),ISNUMBER(G5)), C5-G5, "")</f>
        <v>11585.726000000002</v>
      </c>
      <c r="I5" s="19">
        <f t="shared" ref="I5" si="1">IFERROR(H5/G5, "")</f>
        <v>0.24022983152784858</v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2">IF(AND(ISNUMBER(C6),ISNUMBER(D6)), C6-D6, "")</f>
        <v/>
      </c>
      <c r="F6" s="19" t="str">
        <f t="shared" ref="F6" si="3">IFERROR(E6/D6, "")</f>
        <v/>
      </c>
      <c r="G6" s="20"/>
      <c r="H6" s="20" t="str">
        <f t="shared" ref="H6" si="4">IF(AND(ISNUMBER(C6),ISNUMBER(G6)), C6-G6, "")</f>
        <v/>
      </c>
      <c r="I6" s="19" t="str">
        <f t="shared" ref="I6" si="5">IFERROR(H6/G6, "")</f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1"/>
  <sheetViews>
    <sheetView zoomScale="70" zoomScaleNormal="70" workbookViewId="0">
      <pane xSplit="2" ySplit="3" topLeftCell="J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27</v>
      </c>
      <c r="E1" s="63"/>
      <c r="F1" s="63"/>
      <c r="G1" s="61" t="s">
        <v>28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SUM(C4:C89)</f>
        <v>166640.5</v>
      </c>
      <c r="D2" s="5">
        <f>SUM(D4:D89)</f>
        <v>170829.44500000001</v>
      </c>
      <c r="E2" s="5">
        <f>C2-D2</f>
        <v>-4188.945000000007</v>
      </c>
      <c r="F2" s="6">
        <f>IFERROR(E2/D2, 0)</f>
        <v>-2.4521211785239992E-2</v>
      </c>
      <c r="G2" s="5">
        <f>SUM(G4:G89)</f>
        <v>157231.674</v>
      </c>
      <c r="H2" s="7">
        <f>C2-G2</f>
        <v>9408.8260000000009</v>
      </c>
      <c r="I2" s="6">
        <f>IFERROR(H2/G2, 0)</f>
        <v>5.9840525516506309E-2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67535.7</v>
      </c>
      <c r="D4" s="13">
        <v>67185.569000000003</v>
      </c>
      <c r="E4" s="13">
        <f>IF(AND(ISNUMBER(C4),ISNUMBER(D4)), C4-D4, "")</f>
        <v>350.13099999999395</v>
      </c>
      <c r="F4" s="14">
        <f>IFERROR(E4/D4, "")</f>
        <v>5.2114018711368502E-3</v>
      </c>
      <c r="G4" s="15">
        <v>77398.457999999999</v>
      </c>
      <c r="H4" s="15">
        <f>IF(AND(ISNUMBER(C4),ISNUMBER(G4)), C4-G4, "")</f>
        <v>-9862.7580000000016</v>
      </c>
      <c r="I4" s="16">
        <f>IFERROR(H4/G4, "")</f>
        <v>-0.12742835264237437</v>
      </c>
      <c r="J4" s="40" t="s">
        <v>29</v>
      </c>
      <c r="K4" s="40"/>
    </row>
    <row r="5" spans="1:11" ht="15.6">
      <c r="A5" s="29" t="str">
        <v>Mount Laurel - Igloo Ice Rink</v>
      </c>
      <c r="B5" s="30" t="str">
        <v>NJ</v>
      </c>
      <c r="C5" s="11">
        <v>99104.8</v>
      </c>
      <c r="D5" s="18">
        <v>103643.876</v>
      </c>
      <c r="E5" s="18">
        <f>IF(AND(ISNUMBER(C5),ISNUMBER(D5)), C5-D5, "")</f>
        <v>-4539.0760000000009</v>
      </c>
      <c r="F5" s="19">
        <f>IFERROR(E5/D5, "")</f>
        <v>-4.379492715999931E-2</v>
      </c>
      <c r="G5" s="20">
        <v>79833.216</v>
      </c>
      <c r="H5" s="20">
        <f>IF(AND(ISNUMBER(C5),ISNUMBER(G5)), C5-G5, "")</f>
        <v>19271.584000000003</v>
      </c>
      <c r="I5" s="19">
        <f t="shared" ref="I5:I6" si="0">IFERROR(H5/G5, "")</f>
        <v>0.24139806668943417</v>
      </c>
      <c r="J5" s="41"/>
      <c r="K5" s="41"/>
    </row>
    <row r="6" spans="1:11" ht="15.6">
      <c r="A6" s="29"/>
      <c r="B6" s="30"/>
      <c r="C6" s="11"/>
      <c r="D6" s="18"/>
      <c r="E6" s="18" t="str">
        <f t="shared" ref="E6" si="1">IF(AND(ISNUMBER(C6),ISNUMBER(D6)), C6-D6, "")</f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0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J14" sqref="J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30</v>
      </c>
      <c r="E1" s="63"/>
      <c r="F1" s="63"/>
      <c r="G1" s="61" t="s">
        <v>31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SUM(C4:C89)</f>
        <v>167794.1</v>
      </c>
      <c r="D2" s="5">
        <f>SUM(D4:D89)</f>
        <v>127938.35</v>
      </c>
      <c r="E2" s="5">
        <f>C2-D2</f>
        <v>39855.75</v>
      </c>
      <c r="F2" s="6">
        <f>IFERROR(E2/D2, 0)</f>
        <v>0.31152308905031212</v>
      </c>
      <c r="G2" s="5">
        <f>SUM(G4:G89)</f>
        <v>191379.95</v>
      </c>
      <c r="H2" s="7">
        <f>C2-G2</f>
        <v>-23585.850000000006</v>
      </c>
      <c r="I2" s="6">
        <f>IFERROR(H2/G2, 0)</f>
        <v>-0.12324096646487788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33.6" customHeight="1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69895.100000000006</v>
      </c>
      <c r="D4" s="13">
        <v>70676.850000000006</v>
      </c>
      <c r="E4" s="13">
        <f>IF(AND(ISNUMBER(C4),ISNUMBER(D4)), C4-D4, "")</f>
        <v>-781.75</v>
      </c>
      <c r="F4" s="14">
        <f>IFERROR(E4/D4, "")</f>
        <v>-1.1060906081694358E-2</v>
      </c>
      <c r="G4" s="15">
        <v>89306.95</v>
      </c>
      <c r="H4" s="15">
        <f>IF(AND(ISNUMBER(C4),ISNUMBER(G4)), C4-G4, "")</f>
        <v>-19411.849999999991</v>
      </c>
      <c r="I4" s="16">
        <f>IFERROR(H4/G4, "")</f>
        <v>-0.21736102285432424</v>
      </c>
      <c r="J4" s="40" t="s">
        <v>32</v>
      </c>
      <c r="K4" s="55" t="s">
        <v>33</v>
      </c>
    </row>
    <row r="5" spans="1:11" ht="64.5" customHeight="1">
      <c r="A5" s="29" t="str">
        <v>Mount Laurel - Igloo Ice Rink</v>
      </c>
      <c r="B5" s="30" t="str">
        <v>NJ</v>
      </c>
      <c r="C5" s="11">
        <v>97899</v>
      </c>
      <c r="D5" s="18">
        <v>57261.5</v>
      </c>
      <c r="E5" s="18">
        <f t="shared" ref="E5:E6" si="0">IF(AND(ISNUMBER(C5),ISNUMBER(D5)), C5-D5, "")</f>
        <v>40637.5</v>
      </c>
      <c r="F5" s="19">
        <f>IFERROR(E5/D5, "")</f>
        <v>0.70968277114640732</v>
      </c>
      <c r="G5" s="20">
        <v>102073</v>
      </c>
      <c r="H5" s="20">
        <f>IF(AND(ISNUMBER(C5),ISNUMBER(G5)), C5-G5, "")</f>
        <v>-4174</v>
      </c>
      <c r="I5" s="19">
        <f t="shared" ref="I5:I6" si="1">IFERROR(H5/G5, "")</f>
        <v>-4.0892302567770128E-2</v>
      </c>
      <c r="J5" s="50" t="s">
        <v>34</v>
      </c>
      <c r="K5" s="51" t="s">
        <v>35</v>
      </c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2">IFERROR(E6/D6, "")</f>
        <v/>
      </c>
      <c r="G6" s="20"/>
      <c r="H6" s="20" t="str">
        <f t="shared" ref="H6" si="3">IF(AND(ISNUMBER(C6),ISNUMBER(G6)), C6-G6, "")</f>
        <v/>
      </c>
      <c r="I6" s="19" t="str">
        <f t="shared" si="1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conditionalFormatting sqref="F4:F89 I4:I89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100595" xr:uid="{B8DEF680-3205-4F3A-AF40-292376CEB52E}"/>
    <hyperlink ref="K5" r:id="rId2" display="https://us3.assetplanner.com/service_request?ID=099525" xr:uid="{A2F60132-FA68-44E2-A603-64018891DBF9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zoomScale="80" zoomScaleNormal="80" workbookViewId="0">
      <pane xSplit="2" ySplit="3" topLeftCell="C4" activePane="bottomRight" state="frozen"/>
      <selection pane="bottomRight" activeCell="J12" sqref="J12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36</v>
      </c>
      <c r="E1" s="63"/>
      <c r="F1" s="63"/>
      <c r="G1" s="61" t="s">
        <v>37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SUM(C4:C87)</f>
        <v>169852.90000000008</v>
      </c>
      <c r="D2" s="5">
        <f>SUM(D4:D87)</f>
        <v>135384.81</v>
      </c>
      <c r="E2" s="5">
        <f>C2-D2</f>
        <v>34468.090000000084</v>
      </c>
      <c r="F2" s="6">
        <f>IFERROR(E2/D2, 0)</f>
        <v>0.25459348061278131</v>
      </c>
      <c r="G2" s="5">
        <f>SUM(G4:G87)</f>
        <v>204867.78999999998</v>
      </c>
      <c r="H2" s="7">
        <f>C2-G2</f>
        <v>-35014.889999999898</v>
      </c>
      <c r="I2" s="6">
        <f>IFERROR(H2/G2, 0)</f>
        <v>-0.17091456885438117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70707.3</v>
      </c>
      <c r="D4" s="13">
        <v>72770.5</v>
      </c>
      <c r="E4" s="13">
        <f>IF(AND(ISNUMBER(C4),ISNUMBER(D4)), C4-D4, "")</f>
        <v>-2063.1999999999971</v>
      </c>
      <c r="F4" s="14">
        <f>IFERROR(E4/D4, "")</f>
        <v>-2.8352148191918388E-2</v>
      </c>
      <c r="G4" s="15">
        <v>91904.89</v>
      </c>
      <c r="H4" s="15">
        <f>IF(AND(ISNUMBER(C4),ISNUMBER(G4)), C4-G4, "")</f>
        <v>-21197.589999999997</v>
      </c>
      <c r="I4" s="16">
        <f>IFERROR(H4/G4, "")</f>
        <v>-0.23064703085983779</v>
      </c>
      <c r="J4" s="40" t="s">
        <v>38</v>
      </c>
      <c r="K4" s="55" t="s">
        <v>33</v>
      </c>
    </row>
    <row r="5" spans="1:11" ht="28.9">
      <c r="A5" s="29" t="str">
        <v>Mount Laurel - Igloo Ice Rink</v>
      </c>
      <c r="B5" s="30" t="str">
        <v>NJ</v>
      </c>
      <c r="C5" s="11">
        <v>99145.600000000093</v>
      </c>
      <c r="D5" s="18">
        <v>62614.31</v>
      </c>
      <c r="E5" s="18">
        <f t="shared" ref="E5" si="0">IF(AND(ISNUMBER(C5),ISNUMBER(D5)), C5-D5, "")</f>
        <v>36531.290000000095</v>
      </c>
      <c r="F5" s="19">
        <f>IFERROR(E5/D5, "")</f>
        <v>0.58343356334997698</v>
      </c>
      <c r="G5" s="53">
        <v>112962.9</v>
      </c>
      <c r="H5" s="20">
        <f>IF(AND(ISNUMBER(C5),ISNUMBER(G5)), C5-G5, "")</f>
        <v>-13817.299999999901</v>
      </c>
      <c r="I5" s="19">
        <f t="shared" ref="I5" si="1">IFERROR(H5/G5, "")</f>
        <v>-0.12231715014398446</v>
      </c>
      <c r="J5" s="41" t="s">
        <v>39</v>
      </c>
      <c r="K5" s="41"/>
    </row>
    <row r="6" spans="1:11" ht="14.45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52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53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C329" s="21"/>
      <c r="D329" s="21"/>
      <c r="E329" s="21"/>
      <c r="F329" s="22"/>
      <c r="G329" s="21"/>
      <c r="H329" s="21"/>
      <c r="I329" s="22"/>
      <c r="J329" s="21"/>
      <c r="K329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hyperlinks>
    <hyperlink ref="K4" r:id="rId1" display="https://us3.assetplanner.com/service_request?ID=100595" xr:uid="{52FD9B62-F90D-4A92-8DD9-95A0EF60A32B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0"/>
  <sheetViews>
    <sheetView zoomScale="80" zoomScaleNormal="80" workbookViewId="0">
      <pane xSplit="2" ySplit="3" topLeftCell="C4" activePane="bottomRight" state="frozen"/>
      <selection pane="bottomRight" activeCell="D13" sqref="D13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62" t="str" cm="1">
        <f t="array" ref="A1">portfolio</f>
        <v>Amergy Solar</v>
      </c>
      <c r="B1" s="62"/>
      <c r="C1" s="62"/>
      <c r="D1" s="63" t="s">
        <v>40</v>
      </c>
      <c r="E1" s="63"/>
      <c r="F1" s="63"/>
      <c r="G1" s="61" t="s">
        <v>41</v>
      </c>
      <c r="H1" s="61"/>
      <c r="I1" s="61"/>
      <c r="J1" s="4"/>
      <c r="K1" s="4"/>
    </row>
    <row r="2" spans="1:12" ht="19.5" customHeight="1">
      <c r="A2" s="64" t="s">
        <v>2</v>
      </c>
      <c r="B2" s="64"/>
      <c r="C2" s="5">
        <f>SUM(C4:C88)</f>
        <v>187082.2999999999</v>
      </c>
      <c r="D2" s="5">
        <f>SUM(D4:D88)</f>
        <v>147726.43</v>
      </c>
      <c r="E2" s="5">
        <f>C2-D2</f>
        <v>39355.869999999908</v>
      </c>
      <c r="F2" s="6">
        <f>IFERROR(E2/D2, 0)</f>
        <v>0.26641048592320216</v>
      </c>
      <c r="G2" s="5">
        <f>SUM(G4:G88)</f>
        <v>212935.96000000002</v>
      </c>
      <c r="H2" s="7">
        <f>C2-G2</f>
        <v>-25853.66000000012</v>
      </c>
      <c r="I2" s="6">
        <f>IFERROR(H2/G2, 0)</f>
        <v>-0.12141518980636298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77132.099999999904</v>
      </c>
      <c r="D4" s="13">
        <v>78988.75</v>
      </c>
      <c r="E4" s="13">
        <f>IF(AND(ISNUMBER(C4),ISNUMBER(D4)), C4-D4, "")</f>
        <v>-1856.650000000096</v>
      </c>
      <c r="F4" s="14">
        <f>IFERROR(E4/D4, "")</f>
        <v>-2.3505246000222767E-2</v>
      </c>
      <c r="G4" s="15">
        <v>94705.16</v>
      </c>
      <c r="H4" s="15">
        <f>IF(AND(ISNUMBER(C4),ISNUMBER(G4)), C4-G4, "")</f>
        <v>-17573.0600000001</v>
      </c>
      <c r="I4" s="16">
        <f>IFERROR(H4/G4, "")</f>
        <v>-0.18555546498205694</v>
      </c>
      <c r="J4" s="40" t="s">
        <v>42</v>
      </c>
      <c r="K4" s="55" t="s">
        <v>43</v>
      </c>
    </row>
    <row r="5" spans="1:12" ht="122.25" customHeight="1">
      <c r="A5" s="29" t="str">
        <v>Mount Laurel - Igloo Ice Rink</v>
      </c>
      <c r="B5" s="30" t="str">
        <v>NJ</v>
      </c>
      <c r="C5" s="11">
        <v>109950.2</v>
      </c>
      <c r="D5" s="18">
        <v>68737.679999999993</v>
      </c>
      <c r="E5" s="18">
        <f t="shared" ref="E5" si="0">IF(AND(ISNUMBER(C5),ISNUMBER(D5)), C5-D5, "")</f>
        <v>41212.520000000004</v>
      </c>
      <c r="F5" s="19">
        <f>IFERROR(E5/D5, "")</f>
        <v>0.59956227792384043</v>
      </c>
      <c r="G5" s="20">
        <v>118230.8</v>
      </c>
      <c r="H5" s="20">
        <f t="shared" ref="H5" si="1">IF(AND(ISNUMBER(C5),ISNUMBER(G5)), C5-G5, "")</f>
        <v>-8280.6000000000058</v>
      </c>
      <c r="I5" s="19">
        <f t="shared" ref="I5" si="2">IFERROR(H5/G5, "")</f>
        <v>-7.0037587498350734E-2</v>
      </c>
      <c r="J5" s="50" t="s">
        <v>44</v>
      </c>
      <c r="K5" s="51" t="s">
        <v>45</v>
      </c>
      <c r="L5" s="57" t="s">
        <v>46</v>
      </c>
    </row>
    <row r="6" spans="1:12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2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0595" xr:uid="{2A92204E-07AC-4244-925B-9650ABA3FFFE}"/>
    <hyperlink ref="K5" r:id="rId2" display="https://us3.assetplanner.com/service_request?ID=102313" xr:uid="{968C70C1-686D-4E09-ADAB-A16F2C8705B7}"/>
    <hyperlink ref="L5" r:id="rId3" display="https://us3.assetplanner.com/service_request?ID=103325" xr:uid="{1950BECB-CF23-406D-9398-78505867A166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31"/>
  <sheetViews>
    <sheetView zoomScale="70" zoomScaleNormal="70"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58"/>
  </cols>
  <sheetData>
    <row r="1" spans="1:12" ht="19.5" customHeight="1">
      <c r="A1" s="62" t="str" cm="1">
        <f t="array" ref="A1">portfolio</f>
        <v>Amergy Solar</v>
      </c>
      <c r="B1" s="62"/>
      <c r="C1" s="62"/>
      <c r="D1" s="63" t="s">
        <v>47</v>
      </c>
      <c r="E1" s="63"/>
      <c r="F1" s="63"/>
      <c r="G1" s="61" t="s">
        <v>48</v>
      </c>
      <c r="H1" s="61"/>
      <c r="I1" s="61"/>
      <c r="J1" s="4"/>
      <c r="K1" s="4"/>
    </row>
    <row r="2" spans="1:12" ht="19.5" customHeight="1">
      <c r="A2" s="64" t="s">
        <v>2</v>
      </c>
      <c r="B2" s="64"/>
      <c r="C2" s="5">
        <f>SUM(C4:C89)</f>
        <v>208635.6</v>
      </c>
      <c r="D2" s="5">
        <f>SUM(D4:D89)</f>
        <v>163551.62</v>
      </c>
      <c r="E2" s="5">
        <f>C2-D2</f>
        <v>45083.98000000001</v>
      </c>
      <c r="F2" s="6">
        <f>IFERROR(E2/D2, 0)</f>
        <v>0.27565596721084151</v>
      </c>
      <c r="G2" s="5">
        <f>SUM(G4:G89)</f>
        <v>220673.45</v>
      </c>
      <c r="H2" s="7">
        <f>C2-G2</f>
        <v>-12037.850000000006</v>
      </c>
      <c r="I2" s="6">
        <f>IFERROR(H2/G2, 0)</f>
        <v>-5.4550513439654863E-2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8" customHeight="1">
      <c r="A4" s="60" t="str" cm="1">
        <f t="array" ref="A4:A5">Sites[Site]</f>
        <v>Farmingdale - Howell Ice Arena</v>
      </c>
      <c r="B4" s="28" t="str" cm="1">
        <f t="array" ref="B4:B5">Sites[State]</f>
        <v>NJ</v>
      </c>
      <c r="C4" s="24">
        <v>86004.6</v>
      </c>
      <c r="D4" s="13">
        <v>87364.57</v>
      </c>
      <c r="E4" s="13">
        <f>IF(AND(ISNUMBER(C4),ISNUMBER(D4)), C4-D4, "")</f>
        <v>-1359.9700000000012</v>
      </c>
      <c r="F4" s="14">
        <f>IFERROR(E4/D4, "")</f>
        <v>-1.5566607836563507E-2</v>
      </c>
      <c r="G4" s="15">
        <v>96882.35</v>
      </c>
      <c r="H4" s="15">
        <f>IF(AND(ISNUMBER(C4),ISNUMBER(G4)), C4-G4, "")</f>
        <v>-10877.75</v>
      </c>
      <c r="I4" s="16">
        <f>IFERROR(H4/G4, "")</f>
        <v>-0.11227793297747216</v>
      </c>
      <c r="J4" s="40" t="s">
        <v>49</v>
      </c>
      <c r="K4" s="55" t="s">
        <v>33</v>
      </c>
    </row>
    <row r="5" spans="1:12" ht="105" customHeight="1">
      <c r="A5" s="29" t="str">
        <v>Mount Laurel - Igloo Ice Rink</v>
      </c>
      <c r="B5" s="30" t="str">
        <v>NJ</v>
      </c>
      <c r="C5" s="11">
        <v>122631</v>
      </c>
      <c r="D5" s="18">
        <v>76187.05</v>
      </c>
      <c r="E5" s="18">
        <f t="shared" ref="E5:E6" si="0">IF(AND(ISNUMBER(C5),ISNUMBER(D5)), C5-D5, "")</f>
        <v>46443.95</v>
      </c>
      <c r="F5" s="19">
        <f>IFERROR(E5/D5, "")</f>
        <v>0.60960425689142705</v>
      </c>
      <c r="G5" s="20">
        <v>123791.1</v>
      </c>
      <c r="H5" s="20">
        <f t="shared" ref="H5:H6" si="1">IF(AND(ISNUMBER(C5),ISNUMBER(G5)), C5-G5, "")</f>
        <v>-1160.1000000000058</v>
      </c>
      <c r="I5" s="19">
        <f t="shared" ref="I5:I6" si="2">IFERROR(H5/G5, "")</f>
        <v>-9.3714330028572788E-3</v>
      </c>
      <c r="J5" s="50" t="s">
        <v>50</v>
      </c>
      <c r="K5" s="51" t="s">
        <v>51</v>
      </c>
      <c r="L5" s="59" t="s">
        <v>52</v>
      </c>
    </row>
    <row r="6" spans="1:12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2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9 I4:I8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0595" xr:uid="{DBB57D04-09D4-40FC-803F-D1D7F93AAC9A}"/>
    <hyperlink ref="K5" r:id="rId2" display="https://us3.assetplanner.com/service_request?ID=103325" xr:uid="{630C8ECC-DA5B-43E8-B705-14DC45DBB8A6}"/>
    <hyperlink ref="L5" r:id="rId3" display="https://us3.assetplanner.com/service_request?ID=104216" xr:uid="{23289CBD-779E-4651-A6CE-8D975090CF43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31"/>
  <sheetViews>
    <sheetView tabSelected="1" zoomScale="80" zoomScaleNormal="80" workbookViewId="0">
      <pane xSplit="2" ySplit="3" topLeftCell="C4" activePane="bottomRight" state="frozen"/>
      <selection pane="bottomRight" activeCell="H11" sqref="H11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62" t="str" cm="1">
        <f t="array" ref="A1">portfolio</f>
        <v>Amergy Solar</v>
      </c>
      <c r="B1" s="62"/>
      <c r="C1" s="62"/>
      <c r="D1" s="63" t="s">
        <v>53</v>
      </c>
      <c r="E1" s="63"/>
      <c r="F1" s="63"/>
      <c r="G1" s="61" t="s">
        <v>54</v>
      </c>
      <c r="H1" s="61"/>
      <c r="I1" s="61"/>
      <c r="J1" s="4"/>
      <c r="K1" s="4"/>
    </row>
    <row r="2" spans="1:12" ht="19.5" customHeight="1">
      <c r="A2" s="64" t="s">
        <v>2</v>
      </c>
      <c r="B2" s="64"/>
      <c r="C2" s="5">
        <f>SUM(C4:C89)</f>
        <v>198389.3000000001</v>
      </c>
      <c r="D2" s="5">
        <f>SUM(D4:D89)</f>
        <v>151075.19</v>
      </c>
      <c r="E2" s="5">
        <f>C2-D2</f>
        <v>47314.110000000102</v>
      </c>
      <c r="F2" s="6">
        <f>IFERROR(E2/D2, 0)</f>
        <v>0.31318252851444439</v>
      </c>
      <c r="G2" s="5">
        <f>SUM(G4:G89)</f>
        <v>198737.33000000002</v>
      </c>
      <c r="H2" s="7">
        <f>C2-G2</f>
        <v>-348.02999999991152</v>
      </c>
      <c r="I2" s="6">
        <f>IFERROR(H2/G2, 0)</f>
        <v>-1.7512059762497137E-3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0.5" customHeight="1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>
        <v>82994.400000000096</v>
      </c>
      <c r="D4" s="13">
        <v>83230.399999999994</v>
      </c>
      <c r="E4" s="13">
        <f>IF(AND(ISNUMBER(C4),ISNUMBER(D4)), C4-D4, "")</f>
        <v>-235.99999999989814</v>
      </c>
      <c r="F4" s="14">
        <f>IFERROR(E4/D4, "")</f>
        <v>-2.8355024125787951E-3</v>
      </c>
      <c r="G4" s="15">
        <v>90835.03</v>
      </c>
      <c r="H4" s="15">
        <f>IF(AND(ISNUMBER(C4),ISNUMBER(G4)), C4-G4, "")</f>
        <v>-7840.6299999999028</v>
      </c>
      <c r="I4" s="16">
        <f>IFERROR(H4/G4, "")</f>
        <v>-8.6317250074116808E-2</v>
      </c>
      <c r="J4" s="40" t="s">
        <v>55</v>
      </c>
      <c r="K4" s="55" t="s">
        <v>56</v>
      </c>
    </row>
    <row r="5" spans="1:12" ht="101.25" customHeight="1">
      <c r="A5" s="29" t="str">
        <v>Mount Laurel - Igloo Ice Rink</v>
      </c>
      <c r="B5" s="30" t="str">
        <v>NJ</v>
      </c>
      <c r="C5" s="11">
        <v>115394.9</v>
      </c>
      <c r="D5" s="18">
        <v>67844.789999999994</v>
      </c>
      <c r="E5" s="18">
        <f t="shared" ref="E5:E6" si="0">IF(AND(ISNUMBER(C5),ISNUMBER(D5)), C5-D5, "")</f>
        <v>47550.11</v>
      </c>
      <c r="F5" s="19">
        <f>IFERROR(E5/D5, "")</f>
        <v>0.70086605028919691</v>
      </c>
      <c r="G5" s="20">
        <v>107902.3</v>
      </c>
      <c r="H5" s="20">
        <f t="shared" ref="H5:H6" si="1">IF(AND(ISNUMBER(C5),ISNUMBER(G5)), C5-G5, "")</f>
        <v>7492.5999999999913</v>
      </c>
      <c r="I5" s="19">
        <f t="shared" ref="I5:I6" si="2">IFERROR(H5/G5, "")</f>
        <v>6.9438742269627166E-2</v>
      </c>
      <c r="J5" s="49" t="s">
        <v>57</v>
      </c>
      <c r="K5" s="51" t="s">
        <v>58</v>
      </c>
      <c r="L5" s="57" t="s">
        <v>59</v>
      </c>
    </row>
    <row r="6" spans="1:12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2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2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2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2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2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2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2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2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2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2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0595" xr:uid="{FB417A9F-1C58-46D1-9720-7F0FE87585A5}"/>
    <hyperlink ref="K5" r:id="rId2" display="https://us3.assetplanner.com/service_request?ID=103325" xr:uid="{78A75FD4-8E28-42C6-AC9F-E1D375B555D2}"/>
    <hyperlink ref="L5" r:id="rId3" display="https://us3.assetplanner.com/service_request?ID=106294" xr:uid="{C48CAFB7-F706-4D20-9540-E13AA805573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1"/>
  <sheetViews>
    <sheetView zoomScale="80" zoomScaleNormal="80" workbookViewId="0">
      <pane xSplit="2" ySplit="3" topLeftCell="C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60</v>
      </c>
      <c r="E1" s="63"/>
      <c r="F1" s="63"/>
      <c r="G1" s="61" t="s">
        <v>61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SUM(C4:C89)</f>
        <v>0</v>
      </c>
      <c r="D2" s="5">
        <f>SUM(D4:D89)</f>
        <v>0</v>
      </c>
      <c r="E2" s="5">
        <f>C2-D2</f>
        <v>0</v>
      </c>
      <c r="F2" s="6">
        <f>IFERROR(E2/D2, 0)</f>
        <v>0</v>
      </c>
      <c r="G2" s="5">
        <f>SUM(G4:G89)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:E6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1"/>
      <c r="K5" s="41"/>
    </row>
    <row r="6" spans="1:11" ht="15.6">
      <c r="A6" s="29"/>
      <c r="B6" s="30"/>
      <c r="C6" s="11"/>
      <c r="D6" s="18"/>
      <c r="E6" s="18" t="str">
        <f t="shared" si="0"/>
        <v/>
      </c>
      <c r="F6" s="19" t="str">
        <f t="shared" ref="F6" si="3">IFERROR(E6/D6, "")</f>
        <v/>
      </c>
      <c r="G6" s="20"/>
      <c r="H6" s="20" t="str">
        <f t="shared" si="1"/>
        <v/>
      </c>
      <c r="I6" s="19" t="str">
        <f t="shared" si="2"/>
        <v/>
      </c>
      <c r="J6" s="41"/>
      <c r="K6" s="42"/>
    </row>
    <row r="7" spans="1:11" ht="12.75" customHeight="1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2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C331" s="21"/>
      <c r="D331" s="21"/>
      <c r="E331" s="21"/>
      <c r="F331" s="22"/>
      <c r="G331" s="21"/>
      <c r="H331" s="21"/>
      <c r="I331" s="22"/>
      <c r="J331" s="21"/>
      <c r="K331" s="21"/>
    </row>
  </sheetData>
  <mergeCells count="4">
    <mergeCell ref="G1:I1"/>
    <mergeCell ref="A1:C1"/>
    <mergeCell ref="D1:F1"/>
    <mergeCell ref="A2:B2"/>
  </mergeCells>
  <conditionalFormatting sqref="F2 I2 F4:F89 I4:I8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zoomScale="90" zoomScaleNormal="90" workbookViewId="0">
      <pane xSplit="2" ySplit="3" topLeftCell="C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62</v>
      </c>
      <c r="E1" s="63"/>
      <c r="F1" s="63"/>
      <c r="G1" s="61" t="s">
        <v>63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view="pageBreakPreview" zoomScaleNormal="100" zoomScaleSheetLayoutView="100" workbookViewId="0">
      <pane xSplit="2" ySplit="3" topLeftCell="F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64</v>
      </c>
      <c r="E1" s="63"/>
      <c r="F1" s="63"/>
      <c r="G1" s="61" t="s">
        <v>65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zoomScale="80" zoomScaleNormal="80" workbookViewId="0">
      <pane xSplit="2" ySplit="3" topLeftCell="D4" activePane="bottomRight" state="frozen"/>
      <selection pane="bottomRight" activeCell="I14" sqref="I14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Amergy Solar</v>
      </c>
      <c r="B1" s="62"/>
      <c r="C1" s="62"/>
      <c r="D1" s="63" t="s">
        <v>66</v>
      </c>
      <c r="E1" s="63"/>
      <c r="F1" s="63"/>
      <c r="G1" s="61" t="s">
        <v>67</v>
      </c>
      <c r="H1" s="61"/>
      <c r="I1" s="61"/>
      <c r="J1" s="4"/>
      <c r="K1" s="4"/>
    </row>
    <row r="2" spans="1:11" ht="19.5" customHeight="1">
      <c r="A2" s="64" t="s">
        <v>2</v>
      </c>
      <c r="B2" s="64"/>
      <c r="C2" s="5">
        <f>SUM(C4:C88)</f>
        <v>0</v>
      </c>
      <c r="D2" s="5">
        <f>SUM(D4:D88)</f>
        <v>0</v>
      </c>
      <c r="E2" s="5">
        <f>C2-D2</f>
        <v>0</v>
      </c>
      <c r="F2" s="6">
        <f>IFERROR(E2/D2, 0)</f>
        <v>0</v>
      </c>
      <c r="G2" s="5">
        <f>SUM(G4:G88)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Farmingdale - Howell Ice Arena</v>
      </c>
      <c r="B4" s="28" t="str" cm="1">
        <f t="array" ref="B4:B5">Sites[State]</f>
        <v>NJ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Mount Laurel - Igloo Ice Rink</v>
      </c>
      <c r="B5" s="30" t="str">
        <v>NJ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9"/>
    </row>
    <row r="6" spans="1:11" ht="12.75" customHeight="1">
      <c r="A6" s="21"/>
      <c r="B6" s="32"/>
      <c r="C6" s="21"/>
      <c r="D6" s="21"/>
      <c r="E6" s="21"/>
      <c r="F6" s="21"/>
      <c r="G6" s="21"/>
      <c r="H6" s="21"/>
      <c r="I6" s="21"/>
      <c r="J6" s="21"/>
      <c r="K6" s="21"/>
    </row>
    <row r="7" spans="1:11" ht="14.45">
      <c r="A7" s="21"/>
      <c r="B7" s="32"/>
      <c r="C7" s="21"/>
      <c r="D7" s="21"/>
      <c r="E7" s="21"/>
      <c r="F7" s="21"/>
      <c r="G7" s="21"/>
      <c r="H7" s="21"/>
      <c r="I7" s="21"/>
      <c r="J7" s="21"/>
      <c r="K7" s="21"/>
    </row>
    <row r="8" spans="1:11" ht="14.45">
      <c r="A8" s="21"/>
      <c r="B8" s="32"/>
      <c r="C8" s="21"/>
      <c r="D8" s="21"/>
      <c r="E8" s="21"/>
      <c r="F8" s="21"/>
      <c r="G8" s="21"/>
      <c r="H8" s="21"/>
      <c r="I8" s="21"/>
      <c r="J8" s="21"/>
      <c r="K8" s="21"/>
    </row>
    <row r="9" spans="1:11" ht="14.45">
      <c r="A9" s="21"/>
      <c r="B9" s="32"/>
      <c r="C9" s="21"/>
      <c r="D9" s="21"/>
      <c r="E9" s="21"/>
      <c r="F9" s="21"/>
      <c r="G9" s="21"/>
      <c r="H9" s="21"/>
      <c r="I9" s="21"/>
      <c r="J9" s="21"/>
      <c r="K9" s="21"/>
    </row>
    <row r="10" spans="1:11" ht="14.45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</row>
    <row r="11" spans="1:11" ht="14.45">
      <c r="A11" s="21"/>
      <c r="B11" s="32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4.45">
      <c r="A12" s="21"/>
      <c r="B12" s="32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4.45">
      <c r="A13" s="21"/>
      <c r="B13" s="32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4.45">
      <c r="A14" s="21"/>
      <c r="B14" s="32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4.45">
      <c r="A15" s="21"/>
      <c r="B15" s="32"/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4.45">
      <c r="A16" s="21"/>
      <c r="B16" s="32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4.45">
      <c r="A17" s="21"/>
      <c r="B17" s="32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4.45">
      <c r="A18" s="21"/>
      <c r="B18" s="32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4.45">
      <c r="A19" s="21"/>
      <c r="B19" s="32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4.45">
      <c r="A20" s="21"/>
      <c r="B20" s="32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2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2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2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2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2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2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2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2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2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2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2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2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2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2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2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2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2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2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2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C330" s="21"/>
      <c r="D330" s="21"/>
      <c r="E330" s="21"/>
      <c r="F330" s="22"/>
      <c r="G330" s="21"/>
      <c r="H330" s="21"/>
      <c r="I330" s="22"/>
      <c r="J330" s="21"/>
      <c r="K330" s="21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F23" sqref="F2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68</v>
      </c>
      <c r="B1" t="s">
        <v>69</v>
      </c>
    </row>
    <row r="3" spans="1:7" ht="13.15">
      <c r="A3" t="s">
        <v>70</v>
      </c>
      <c r="B3" t="s">
        <v>3</v>
      </c>
      <c r="C3" t="s">
        <v>4</v>
      </c>
      <c r="D3" t="s">
        <v>71</v>
      </c>
      <c r="E3" s="2" t="s">
        <v>72</v>
      </c>
    </row>
    <row r="4" spans="1:7" ht="14.45">
      <c r="A4" s="43" t="s">
        <v>73</v>
      </c>
      <c r="B4" s="43" t="s">
        <v>74</v>
      </c>
      <c r="C4" s="43" t="s">
        <v>75</v>
      </c>
      <c r="D4" s="54" t="s">
        <v>76</v>
      </c>
      <c r="E4" t="s">
        <v>77</v>
      </c>
      <c r="G4" s="3"/>
    </row>
    <row r="5" spans="1:7" ht="14.45">
      <c r="A5" s="44" t="s">
        <v>78</v>
      </c>
      <c r="B5" s="44" t="s">
        <v>79</v>
      </c>
      <c r="C5" s="45" t="s">
        <v>75</v>
      </c>
      <c r="D5" s="44" t="s">
        <v>76</v>
      </c>
      <c r="E5" t="s">
        <v>77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1AB6FF92-A1B5-45EA-9EA7-8096F2C5298E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2025-09-10T12:02:26Z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2024-10-10T19:53:55Z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7d7b8187-cb6d-49b7-8957-f364653634be</vt:lpwstr>
  </property>
  <property fmtid="{D5CDD505-2E9C-101B-9397-08002B2CF9AE}" pid="9" name="MSIP_Label_9d817c99-0b37-4a07-8277-96aa1f96b74b_ContentBits">
    <vt:lpwstr>0</vt:lpwstr>
  </property>
</Properties>
</file>