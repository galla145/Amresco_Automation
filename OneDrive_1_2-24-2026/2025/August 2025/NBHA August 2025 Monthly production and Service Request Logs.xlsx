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60" documentId="13_ncr:1_{FBCAFDAD-9152-4CEA-B6E6-D45DFCE78CEE}" xr6:coauthVersionLast="47" xr6:coauthVersionMax="47" xr10:uidLastSave="{A89F7396-5D9E-438A-8D5A-E20E8FCF8685}"/>
  <bookViews>
    <workbookView xWindow="-108" yWindow="-108" windowWidth="23256" windowHeight="13896" firstSheet="1" activeTab="1" xr2:uid="{00000000-000D-0000-FFFF-FFFF00000000}"/>
  </bookViews>
  <sheets>
    <sheet name="Sites" sheetId="1" r:id="rId1"/>
    <sheet name="Service reques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4" i="2" l="1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</calcChain>
</file>

<file path=xl/sharedStrings.xml><?xml version="1.0" encoding="utf-8"?>
<sst xmlns="http://schemas.openxmlformats.org/spreadsheetml/2006/main" count="690" uniqueCount="290">
  <si>
    <t>Monthly Site Performance Summary</t>
  </si>
  <si>
    <t>Account:</t>
  </si>
  <si>
    <t>Ameresco</t>
  </si>
  <si>
    <t>Report Period:</t>
  </si>
  <si>
    <t>From 8/1/25 to 8/31/25</t>
  </si>
  <si>
    <t>Sites:</t>
  </si>
  <si>
    <t>Manually selected sites</t>
  </si>
  <si>
    <t>Number of Sites:</t>
  </si>
  <si>
    <t>11</t>
  </si>
  <si>
    <t>Generated on:</t>
  </si>
  <si>
    <t>9/8/25, 2:19 AM</t>
  </si>
  <si>
    <t>Site Information</t>
  </si>
  <si>
    <t>Open Alerts</t>
  </si>
  <si>
    <t>Current Month</t>
  </si>
  <si>
    <t>Previous Month</t>
  </si>
  <si>
    <t>Same Month Last Year</t>
  </si>
  <si>
    <t>Previous Twelve Months</t>
  </si>
  <si>
    <t/>
  </si>
  <si>
    <t>Site Name</t>
  </si>
  <si>
    <t>Site ID</t>
  </si>
  <si>
    <t>Country</t>
  </si>
  <si>
    <t>State</t>
  </si>
  <si>
    <t>City</t>
  </si>
  <si>
    <t>Installation Date</t>
  </si>
  <si>
    <t>Peak Power (kWp)</t>
  </si>
  <si>
    <t>Highest Alert Impact</t>
  </si>
  <si>
    <t>kWh</t>
  </si>
  <si>
    <t>kWh/kWp</t>
  </si>
  <si>
    <t>1</t>
  </si>
  <si>
    <t>NBHA Adams st</t>
  </si>
  <si>
    <t>2484387</t>
  </si>
  <si>
    <t>United States</t>
  </si>
  <si>
    <t>Massachusetts</t>
  </si>
  <si>
    <t>New Bedford</t>
  </si>
  <si>
    <t>12/1/20</t>
  </si>
  <si>
    <t>69.26</t>
  </si>
  <si>
    <t>5</t>
  </si>
  <si>
    <t>0</t>
  </si>
  <si>
    <t>5,784.22</t>
  </si>
  <si>
    <t>83.52</t>
  </si>
  <si>
    <t>14,885.41</t>
  </si>
  <si>
    <t>214.94</t>
  </si>
  <si>
    <t>2</t>
  </si>
  <si>
    <t>NBHA Ben Rose</t>
  </si>
  <si>
    <t>2752799</t>
  </si>
  <si>
    <t>3/3/22</t>
  </si>
  <si>
    <t>152.43</t>
  </si>
  <si>
    <t>6</t>
  </si>
  <si>
    <t>22,207.01</t>
  </si>
  <si>
    <t>145.69</t>
  </si>
  <si>
    <t>21,192.3</t>
  </si>
  <si>
    <t>139.03</t>
  </si>
  <si>
    <t>19,151.18</t>
  </si>
  <si>
    <t>125.64</t>
  </si>
  <si>
    <t>180,659.9</t>
  </si>
  <si>
    <t>1,185.24</t>
  </si>
  <si>
    <t>3</t>
  </si>
  <si>
    <t>NBHA Brickenwood</t>
  </si>
  <si>
    <t>2747637</t>
  </si>
  <si>
    <t>3/1/22</t>
  </si>
  <si>
    <t>572.33</t>
  </si>
  <si>
    <t>66,619.74</t>
  </si>
  <si>
    <t>116.4</t>
  </si>
  <si>
    <t>68,870.33</t>
  </si>
  <si>
    <t>120.33</t>
  </si>
  <si>
    <t>70,975.91</t>
  </si>
  <si>
    <t>124.01</t>
  </si>
  <si>
    <t>634,889.25</t>
  </si>
  <si>
    <t>1,109.32</t>
  </si>
  <si>
    <t>4</t>
  </si>
  <si>
    <t>NBHA Chaffee Fairfield</t>
  </si>
  <si>
    <t>1735612</t>
  </si>
  <si>
    <t>7/29/20</t>
  </si>
  <si>
    <t>49.4</t>
  </si>
  <si>
    <t>5,378.35</t>
  </si>
  <si>
    <t>108.87</t>
  </si>
  <si>
    <t>5,190.46</t>
  </si>
  <si>
    <t>105.07</t>
  </si>
  <si>
    <t>6,499.68</t>
  </si>
  <si>
    <t>131.57</t>
  </si>
  <si>
    <t>57,129.01</t>
  </si>
  <si>
    <t>1,156.46</t>
  </si>
  <si>
    <t>NBHA DeMedeiros</t>
  </si>
  <si>
    <t>2660184</t>
  </si>
  <si>
    <t>1/10/22</t>
  </si>
  <si>
    <t>64.35</t>
  </si>
  <si>
    <t>9,291.61</t>
  </si>
  <si>
    <t>144.39</t>
  </si>
  <si>
    <t>9,321.16</t>
  </si>
  <si>
    <t>144.85</t>
  </si>
  <si>
    <t>8,507.55</t>
  </si>
  <si>
    <t>132.21</t>
  </si>
  <si>
    <t>76,873.92</t>
  </si>
  <si>
    <t>1,194.62</t>
  </si>
  <si>
    <t>NBHA Dottin Place 1</t>
  </si>
  <si>
    <t>1735791</t>
  </si>
  <si>
    <t>88.4</t>
  </si>
  <si>
    <t>9,910.04</t>
  </si>
  <si>
    <t>112.1</t>
  </si>
  <si>
    <t>10,570.19</t>
  </si>
  <si>
    <t>119.57</t>
  </si>
  <si>
    <t>10,395.44</t>
  </si>
  <si>
    <t>117.6</t>
  </si>
  <si>
    <t>83,095.91</t>
  </si>
  <si>
    <t>940</t>
  </si>
  <si>
    <t>7</t>
  </si>
  <si>
    <t>NBHA Hillside</t>
  </si>
  <si>
    <t>2331864</t>
  </si>
  <si>
    <t>6/28/21</t>
  </si>
  <si>
    <t>117</t>
  </si>
  <si>
    <t>16,642</t>
  </si>
  <si>
    <t>142.24</t>
  </si>
  <si>
    <t>16,141.78</t>
  </si>
  <si>
    <t>137.96</t>
  </si>
  <si>
    <t>15,231.82</t>
  </si>
  <si>
    <t>130.19</t>
  </si>
  <si>
    <t>141,954.16</t>
  </si>
  <si>
    <t>1,213.28</t>
  </si>
  <si>
    <t>8</t>
  </si>
  <si>
    <t>NBHA Presidential</t>
  </si>
  <si>
    <t>2457881</t>
  </si>
  <si>
    <t>9/12/21</t>
  </si>
  <si>
    <t>468.65</t>
  </si>
  <si>
    <t>52,119.95</t>
  </si>
  <si>
    <t>111.21</t>
  </si>
  <si>
    <t>39,989.9</t>
  </si>
  <si>
    <t>85.33</t>
  </si>
  <si>
    <t>48,200.26</t>
  </si>
  <si>
    <t>102.85</t>
  </si>
  <si>
    <t>451,821.16</t>
  </si>
  <si>
    <t>964.09</t>
  </si>
  <si>
    <t>9</t>
  </si>
  <si>
    <t>NBHA Satellite</t>
  </si>
  <si>
    <t>2597872</t>
  </si>
  <si>
    <t>11/18/21</t>
  </si>
  <si>
    <t>169</t>
  </si>
  <si>
    <t>18,600.73</t>
  </si>
  <si>
    <t>110.06</t>
  </si>
  <si>
    <t>15,405.16</t>
  </si>
  <si>
    <t>91.15</t>
  </si>
  <si>
    <t>12,151.99</t>
  </si>
  <si>
    <t>71.91</t>
  </si>
  <si>
    <t>170,610.23</t>
  </si>
  <si>
    <t>1,009.53</t>
  </si>
  <si>
    <t>10</t>
  </si>
  <si>
    <t>NBHA Shawmut Village</t>
  </si>
  <si>
    <t>2382372</t>
  </si>
  <si>
    <t>10/21/20</t>
  </si>
  <si>
    <t>443.63</t>
  </si>
  <si>
    <t>38,782.83</t>
  </si>
  <si>
    <t>87.42</t>
  </si>
  <si>
    <t>34,904.48</t>
  </si>
  <si>
    <t>78.68</t>
  </si>
  <si>
    <t>32,215.84</t>
  </si>
  <si>
    <t>72.62</t>
  </si>
  <si>
    <t>348,421.44</t>
  </si>
  <si>
    <t>785.4</t>
  </si>
  <si>
    <t>NBHA Westlawn</t>
  </si>
  <si>
    <t>2753485</t>
  </si>
  <si>
    <t>267.8</t>
  </si>
  <si>
    <t>28,213.06</t>
  </si>
  <si>
    <t>105.35</t>
  </si>
  <si>
    <t>26,506.58</t>
  </si>
  <si>
    <t>98.98</t>
  </si>
  <si>
    <t>29,070.95</t>
  </si>
  <si>
    <t>108.55</t>
  </si>
  <si>
    <t>240,513.05</t>
  </si>
  <si>
    <t>898.11</t>
  </si>
  <si>
    <t>Total</t>
  </si>
  <si>
    <t>2,462.23</t>
  </si>
  <si>
    <t>267,765.31</t>
  </si>
  <si>
    <t>248,092.34</t>
  </si>
  <si>
    <t>258,184.85</t>
  </si>
  <si>
    <t>2,400,853.44</t>
  </si>
  <si>
    <t>Customer</t>
  </si>
  <si>
    <t>Asset</t>
  </si>
  <si>
    <t>Site Equipment</t>
  </si>
  <si>
    <t>kW Down</t>
  </si>
  <si>
    <t>Date</t>
  </si>
  <si>
    <t>Description</t>
  </si>
  <si>
    <t>Account Manager</t>
  </si>
  <si>
    <t>Pending</t>
  </si>
  <si>
    <t>Priority</t>
  </si>
  <si>
    <t>Summary</t>
  </si>
  <si>
    <t>Request</t>
  </si>
  <si>
    <t>D365 Project</t>
  </si>
  <si>
    <t>New Bedford Housing Authority</t>
  </si>
  <si>
    <t>MA: New Bedford – HA Monitoring</t>
  </si>
  <si>
    <t>Brickenwood - 59 Malden - Inverter 24</t>
  </si>
  <si>
    <t>09/02/25 - Inverter 24 stopped communicating.  Production not confirmed.</t>
  </si>
  <si>
    <t>Amanda Harper</t>
  </si>
  <si>
    <t>PV-Monitoring-ROC</t>
  </si>
  <si>
    <t>Ameresco Production Not Confirmed - Site Outage</t>
  </si>
  <si>
    <t>7.6</t>
  </si>
  <si>
    <t>Brickenwood inverter 16 stopped communicating.  Production not confirmed.</t>
  </si>
  <si>
    <t>Ameresco - Inverter Troubleshooting</t>
  </si>
  <si>
    <t>Shawmut Village - 79 Pawnee CT - Inverter 19</t>
  </si>
  <si>
    <t>09/02/25 - Inverter 19 stopped communicating.  Production not confirmed.</t>
  </si>
  <si>
    <t>Brickenwood - 124 Hathaway - Inverter 9</t>
  </si>
  <si>
    <t>08/20/25 - Inverter 9 stopped communicating.  Production not confirmed.</t>
  </si>
  <si>
    <t>Brickenwood - 42 Yale - Inverter 39</t>
  </si>
  <si>
    <t>08/08/25 - Issue still exists.
08/07/25 - Inverter 39 tripped offline at 11am on 7/28.  Reporting internal error.</t>
  </si>
  <si>
    <t>Dottin Place 1 - Amanda Ave Bldg 7 (82) - Inverter 9</t>
  </si>
  <si>
    <t>08/08/25 - Issue still exists.
07/30/25 - Inverter 9 stopped communicating 7/21.  Production not confirmed.</t>
  </si>
  <si>
    <t xml:space="preserve">Pending Subcontractor Completion </t>
  </si>
  <si>
    <t>Brickenwood - 132 Hathaway - Inverter 8</t>
  </si>
  <si>
    <t>7.5</t>
  </si>
  <si>
    <t>07/30/25 - Inverter 8 stopped communicating 7/25</t>
  </si>
  <si>
    <t>Satellite - 100 Libra Dr - Inverter 12</t>
  </si>
  <si>
    <t>08/07/25 - Issue still exists.
07/09/25 - Inverter 12 stopped communicating 7/3.  Production not confirmed.</t>
  </si>
  <si>
    <t>Brickenwood - 219 Harvard - Inverter 53</t>
  </si>
  <si>
    <t>08/07/25 - Issue still exists.
07/07/25 - Issue still exists.
06/16/25 - Inverter 53 stopped communicating 6/8.  Production not confirmed.</t>
  </si>
  <si>
    <t>Brickenwood - 35 Yale - Inverter 58</t>
  </si>
  <si>
    <t>08/08/25 - Issue still exists.
07/07/25 - Issue still exists.
06/10/25 - Still an issue.
06/09/25 - Inverter 58 stopped communicating on 6/3.  Production not confirmed.</t>
  </si>
  <si>
    <t>Shawmut Village - 61 Apache CT - Inverter 50</t>
  </si>
  <si>
    <t>08/08/25 - Issue still exists.
07/07/25 - Issue still exists.
06/04/25 - Still an issue.
06/03/25 - Inverter 50 stopped communicating 5/26.  Production not confirmed.</t>
  </si>
  <si>
    <t>Chaffee/Fairfield - 975 Fairfield St 1E - Inverter 3</t>
  </si>
  <si>
    <t>08/08/25 - Issue still exists.
07/07/25 - Issue still exists.
06/05/25 - Issue still exists.
05/19/25 - Inverter 3 tripped offline 5/12.  Reporting internal error.</t>
  </si>
  <si>
    <t>Brickenwood - 13 Yale - Inverter 48</t>
  </si>
  <si>
    <t>08/08/25 - Issue still exists.
07/07/25 - Issue still exists.
06/05/25 - Issue still exists.
05/13/25 - Inverter 48 stopped communicating 5/10.  Production not confirmed.  Reporting Power Limitation.</t>
  </si>
  <si>
    <t>Shawmut Village - 83 Pawnee CT - Inverter 26</t>
  </si>
  <si>
    <t>08/08/25 - Issue still exists.
07/07/25 - Issue still exists.
06/04/25 - Issue still exists
05/09/25 - Issue still exists
04/28/25 - Inverter 26 stopped communicating 4/22.  Production not confirmed.</t>
  </si>
  <si>
    <t>Brickenwood - 235 Harvard - Inverter 56</t>
  </si>
  <si>
    <t>08/08/25 - Issue still exists.
07/07/25 - Issue still exists.
06/05/25 - Issue still exists.
05/09/25-  Issue still exists.
04/09/25-  Issue still exists.
03/05/25 - Issue still exists.
02/25/25 - Inverter 56 stopped communicating 2/19.  Production not confirmed.</t>
  </si>
  <si>
    <t>Dottin Place 1 - Amanda Ave Bldg 12 (92) - Inverter 6</t>
  </si>
  <si>
    <t>08/08/25 - Issue still exists.
07/07/25 - Issue still exists.
06/05/25 - Issue still exists.
05/09/25 - Issue still exists.
04/09/25 -Issue still exists.
03/05/25 -Issue still exists.
02/18/25 Inverter 6 stopped communicating 2/10/25, production not confirmed.</t>
  </si>
  <si>
    <t>Adams St - 14 Adams St - Inverter 2</t>
  </si>
  <si>
    <t>14.4</t>
  </si>
  <si>
    <t>08/08/25 - Issue still exists.
07/08/25 - Issue still exists.
06/05/25 - Issue still exists.
05/09/25 - Issue still exists.
04/09/25 - Issue still exists.
03/05/25 - Issue still exists.
02/08/25 - Issue still exists
01/08/25 - Issue still exists
12/02/24 - Issue still exists
11/17/24 Inverter 2 tripped offline 11/5</t>
  </si>
  <si>
    <t>Ameresco UM - Inverter Troubleshooting</t>
  </si>
  <si>
    <t xml:space="preserve">Adams St - 14 Adams St - Inverter 1 </t>
  </si>
  <si>
    <t>08/08/25 - Issue still exists.
07/08/25 - Issue still exists.
06/05/25 - Issue still exists.
05/09/25 - Issue still exists.
04/09/25 - Issue still exists.
03/05/25 - Issue still exists.
02/08/25 - Issue still exists
01/08/25 - Issue still exists.
12/02/24 - Issue still exists. 
11/17/24 Inverter 1 tripped offline 11/5</t>
  </si>
  <si>
    <t>Shawmut Village - 113 Mashpee CT - Inverter 45</t>
  </si>
  <si>
    <t>08/08/25 - Issue still exists.
07/07/25 - Issue still exists.
06/04/25 - Issue still exists.
05/09/25 - Issue still exists.
04/09/25 - Issue still exists.
03/05/25 - Issue still exists.
02/08/25 - Issue still exists
01/08/25 - Issue still exists.
10/29/24 Inv 45 stopped communicating 10/22.  Production not confirmed.</t>
  </si>
  <si>
    <t>Ameresco UM - Communications Failure / Production Not Confirmed</t>
  </si>
  <si>
    <t>Presidential - 28 Monroe Dr Bldg 16 - Inverter 17</t>
  </si>
  <si>
    <t>08/08/25 - Issue still exists.
07/08/25 - Issue still exists.
06/05/25 - Issue still exists.
05/09/25 - Issue still exists.
04/09/25 - Issue still exists.
03/05/25 - Issue still exists.
02/08/25 - Issue still exists
01/08/25 - Issue still exists.
10/16/24 Inverter 17 tripped offline at 4pm on 10/8.</t>
  </si>
  <si>
    <t>Shawmut Village - 99 Navaho CT - Inverter 24</t>
  </si>
  <si>
    <t>08/08/25 - Issue still exists.
07/07/25 - Issue still exists.
06/26/25 - Inverter 24 stopped communicating 06/18/25.  Production not confirmed.
04/10/25 - Inverter 24 resumed communicating 04/05/25.
03/31/25 - Inverter 24 stopped communicating 03/23/25.  Production not confirmed.
08/12/24 - Inverter 24 stopped communicating 08/05/24.  Production not confirmed.</t>
  </si>
  <si>
    <t>Shawmut Village - 109 Navaho CT - Inverter 40</t>
  </si>
  <si>
    <t>08/08/25 - Issue still exists.
07/07/25 - Issue still exists.
06/05/25 - Issue still exists.
06/03/25 - Inverter 40 stopped communicating 5/21.  Production not confirmed.
05/09/25 - Inverter 40 back online on 05/07.
04/09/25 - Issue still exists
03/31/25 - Inverter 40 stopped communicating 3/18, production not confirmed.
01/24/25 - Inverter resumed communication 1/22.
01/08/25 - Still an issue.
07/26/24 - Inverter 40 stopped communicating on 7/19.  Production not confirmed.</t>
  </si>
  <si>
    <t>Shawmut Village - 155 Gay Head CT - Inverter 33</t>
  </si>
  <si>
    <t>08/08/25 - Issue still exists.
07/07/25 - Issue still exists.
06/04/25 - Issue still exists.
05/09/25 - Issue still exists.
04/09/25 - Issue still exists.
03/05/25 - Issue still exists.
02/08/25 - Issue still exists.
01/08/25 - Issue still exists.
7/15/24 Inverter 33 stopped communicating on 7/6/24, production not confirmed.</t>
  </si>
  <si>
    <t>Westlawn - 197 Liberty St Bldg 7 - Inverter 4</t>
  </si>
  <si>
    <t>08/08/25 - Issue still exists.
07/07/25 - Issue still exists.
06/05/25 - Issue still exists.
05/09/25 - Issue still exists.
04/09/25 - Issue still exists.
03/05/25 - Issue still exists.
02/08/25 - Issue still exists.
01/08/25 - issue still exists.
7/2/24: Inverter 4 stopped communicating on 5/2, cannot confirm production.</t>
  </si>
  <si>
    <t>Brickenwood - 58 Yale - Inverter 49</t>
  </si>
  <si>
    <t>08/08/25 - Issue still exists.
07/07/25 - Issue still exists.
06/05/25 - Issue still exists.
05/09/25 -  Issue still exists.
04/09/25 -  Issue still exists.
03/05/25 - Issue still exists.
02/08/25 - Issue still exists.
01/08/25 - Issue still exists.
6/3/24 - inverter 49 stopped communicating on 5/25/24; possibly offline.</t>
  </si>
  <si>
    <t xml:space="preserve">EPC Completion </t>
  </si>
  <si>
    <t>PV Monitoring - Minor</t>
  </si>
  <si>
    <t>1006999</t>
  </si>
  <si>
    <t>23.4</t>
  </si>
  <si>
    <t>08/08/25 - Issue still exists.
08/06/25 - Inverter 18 resumed communicating on 8/1 at 8pm.  Inverter 27 still not communicating.
07/08/25 - Issue still exists.
06/05/25 - Issue still exists.
05/09/25 - Issue still exists.
04/09/25 - Issue still exists.
03/05/25 - Issue still exists.
02/09/25 - Issue still exists.
01/08/25 - Issue still exists.
5/17/24 - Presidential inverters 18, 27 have stopped communicating, possibly offline.</t>
  </si>
  <si>
    <t>21.8</t>
  </si>
  <si>
    <t>08/08/25 - Issue still exists.
07/08/25 - Issue still exists.
06/05/25 - Inverter 5 resolved &amp; Inverter 4 still an issue.
05/09/25 - Issue still exists.
04/09/25 -  Inverter 4,5 still an issue.
03/05/25 - Issue still exists.
02/09/25 - Inverter 4 still an issue.
01/08/25 - Inverters 6,15 and 16 resolved &amp; Inverter 4 still an issue.
06/03/24 - invs 15 and 16 regained comms, invs 4 and 6 still have no comms.
05/11/24 - Westlawn inverters 4, 6, 15, 16 stopped communicating, possibly offline.</t>
  </si>
  <si>
    <t>Ameresco UM - Communications Failure</t>
  </si>
  <si>
    <t>Brickenwood - 88 Malden - Inverter 27</t>
  </si>
  <si>
    <t>7 - inverter comms ?</t>
  </si>
  <si>
    <t>08/08/25 - Issue still exists.
07/07/25 - Issue still exists.
06/05/25 - Issue still exists.
05/09/25 - Issue still exists.
04/09/25 - Issue still exists.
02/08/25 - Issue still exists.
01/08/25 - Issue still exists.
12/02/24 - Issue still exists.
11/7/24 - Inverter 27 stopped communicating, possibly offline.</t>
  </si>
  <si>
    <t>Presidential - 310 Mt-Pleasant St Bldg 2 - Inverter 1</t>
  </si>
  <si>
    <t>08/08/25 - Issue still exists.
07/08/25 - Issue still exists.
06/05/25 - Issue still exists.
05/09/25 - Issue still exists.
04/09/25 - Issue still exists.
03/05/25 - Issue still exists.
02/08/25 - Still an issue. 
01/08/25 - Inverter 1 is still in offline.
3/4 - Inverter 1 is offline.</t>
  </si>
  <si>
    <t>Brickenwood - 240 Harvard - Inverter 46</t>
  </si>
  <si>
    <t>08/08/25 - Issue still exists.
07/07/25 - Issue still exists.
06/05/25 - Issue still exists.
05/09/25 - Issue still exists.
04/09/25 - Issue still exists.
03/05/25 - Issue still exists.
02/08/25 - Issue still exists.
01/08/25 - Issue still exists.
3/4 - Inverter 46 at Brickenwood is offline.</t>
  </si>
  <si>
    <t>Westlawn - 197 Liberty St Bldg 33 - Inverter 26</t>
  </si>
  <si>
    <t>3 - Inverter comms ?</t>
  </si>
  <si>
    <t>08/08/25 - Issue still exists.
07/07/25 - Issue still exists.
06/05/25 - Issue still exists.
05/09/25 - Issue still exists.
04/09/25 - Issue still exists.
03/05/25 - Issue still exists.
02/08/25 - Issue still exists.
01/08/25 - Issue still exists.
12/01/24 - Inverter last communicated 10/03/24.
03/01/24 - Inverter 26 is not communicating.</t>
  </si>
  <si>
    <t>Westlawn - 197 Liberty St Bldg 45 - Inverter 23</t>
  </si>
  <si>
    <t>08/08/25 - Issue still exists.
07/07/25 - Issue still exists.
06/05/25 - Issue still exists.
05/09/25 - Issue still exists.
04/09/25 - Issue still exists.
03/05/25 - Issue still exists.
02/08/25 - Issue still exists.
01/08/25 - Issue still exists.
2/20/24 - Inverter 23 stopped communicating; cannot confirm production.</t>
  </si>
  <si>
    <t>Adams St - 14 Adams St - Inverter 3</t>
  </si>
  <si>
    <t>08/08/25 - Issue still exists.
07/08/25 - Issue still exists.
06/05/25 - Issue still exists.
05/09/25 - Issue still exists.
04/09/25 - Issue still exists.
03/05/25 - Issue still exists.
02/08/25 - Issue still exists.
12/02/24 - Inverter 3 is offline (re-occurring issue).
12/31/23 - Inverter 3 is offline and reporting "Isolation Fault".</t>
  </si>
  <si>
    <t>Shawmut Village - 111 Mashpee CT - Inverter 49</t>
  </si>
  <si>
    <t>08/08/25 - Issue still exists.
07/07/25 - Issue still exists.
06/04/25 - Issue still exists.
05/09/25 - Issue still exists.
04/09/25 -  Issue still exists.
03/05/25 - Issue still exists.
02/08/25 - Issue still exists.
01/08/25 - Issue still exists.
10/17/23 - Inverter 49 is not communicating from 07/09, possibly offline</t>
  </si>
  <si>
    <t>Satellite - 90 Libra Dr - Inverter 11</t>
  </si>
  <si>
    <t xml:space="preserve">6 </t>
  </si>
  <si>
    <t>08/08/25 - Issue still exists.
07/07/25 - Issue still exists.
06/05/25 - Issue still exists.
05/09/25 - Issue still exists.
04/09/25 - Issue still exists
03/05/25 - Issue still exists.
02/08/25 - Issue still exists.
01/08/25 - Issue still exists.
10/5/23 - Inverter 11 stopped communicating, possibly offline.</t>
  </si>
  <si>
    <t>Adams St - 14 Adams St - Inverter 4</t>
  </si>
  <si>
    <t>08/08/25 - Issue still exists.
07/08/25 - Issue still exists.
06/05/25 - Issue still exists.
05/09/25  -Issue still exists
04/09/25 - Issue still exists
03/05/25 - Issue still exists.
02/08/25 - Issue still exists.
01/08/25 - Issue still exists.
12/02/24 - Inverter is offline (re-occurring issue).
10/16/23 - Inverter is still offline.
08/31/23 - Inverter 4 tripped offline.</t>
  </si>
  <si>
    <t>Shawmut Village - 121 Mashpee CT - Inverter 25</t>
  </si>
  <si>
    <t>08/08/25 - Issue still exists.
07/07/25 - Issue still exists.
06/04/25 - Issue still exists.
05/09/25 - Issue still exists
04/09/25 - Issue still exists
03/05/25 - Issue still exists.
02/08/2025 - Issue still exists.
01/08/2025 - Issue still exists.
10/17/2023 - Inverter is still not reporting, possibly offline
8/9 - Inverter 25 stopped communicating.</t>
  </si>
  <si>
    <t>Shawmut Village - 45 Cherokee CT - Inverter 37</t>
  </si>
  <si>
    <t>08/08/25 - Issue still exists.
07/07/25 - Issue still exists.
06/04/25 - Issue still exists.
05/09/25 - Issue still exists
04/09/25 - Issue still exists
03/05/25 - Issue still exists.
02/08/2025 - Issue still exists.
01/08/2025 - Issue still exists.
10/17/2023 - Inverter is still not communicating from 07/10, possibly offline
7/13 - Inverter 37 stopped communicating, possibly offline. S/N: 73086310-EE</t>
  </si>
  <si>
    <t>Brickenwood - 190 Harvard - Inverter 35</t>
  </si>
  <si>
    <t>08/08/25 - Issue still exists.
07/07/25 - Issue still exists.
06/05/25 - Issue still exists.
05/09/25 - Issue still exists
04/09/25 - Issue still exists
03/05/25 - Issue still exists.
02/08/25 - Issue still exists.
01/08/25 - Issue still exists.
10/17/23 - Inverter 35 is still offline 
07/11/23 - Inverter 35 tripped offline.</t>
  </si>
  <si>
    <t>07/07/25 - Issue still exists.
06/05/25 - Issue still exists.
05/09/25  -Issue still exists
04/09/25  -Issue still exists
03/05/25 - Issue still exists.
02/08/25 - Issue still exists.
01/08/25 - Issue still exists.
05/22/23 - Inverter 46 tripped offline.</t>
  </si>
  <si>
    <t>Shawmut Village - 63 Apache CT - Inverter 42</t>
  </si>
  <si>
    <t>08/08/25 - Issue still exists.
07/07/25 - Issue still exists.
06/04/25 - Issue still exists.
05/09/25 - Issue still exists
04/09/25 - Issue still exists
03/05/25 - Issue still exists.
02/08/2025 - Issue still exists.
01/08/2025 - Issue still exists.
10/17/2023 - Inverter is still not communicating from 05/07, possibly offline
5/9 - Inverter 42 stopped communicating, possibly offline.</t>
  </si>
  <si>
    <t>Shawmut Village - 67 Apache CT - Inverter 48</t>
  </si>
  <si>
    <t>08/08/25 - Issue still exists.
07/07/25 - Issue still exists.
06/04/25 - Issue still exists.
05/09/25 -Issue still exists
04/09/25 - Issue still exists
03/05/25 - Issue still exists.
02/08/2025 - Issue still exists.
01/08/2025 - Issue still exists.
10/17/2023 - Inverter is still not communicating from 04/11, possibly offline
4/21 - Inverter 48 stopped communicating.</t>
  </si>
  <si>
    <t>Presidential - 119 Fillmore St Bldg 9 - Inverter 21</t>
  </si>
  <si>
    <t>9 - approximately</t>
  </si>
  <si>
    <t xml:space="preserve">08/08/25 - Issue still exists.
07/08/25 - Issue still exists.
06/05/25 - Issue still exists.
05/09/25  -Issue still exists
04/09/25 - Issue still exists.
03/05/25 - Issue still exists.
02/08/25 - Issue still exists
01/08/25 - Issue still exists
10/17/23 - Issue still exists
04/03/23 - Issue still exists.
01/03/23 - Inverter 21 lost communications on 8/23/22.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</si>
</sst>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0">
    <font>
      <sz val="11"/>
      <color indexed="8"/>
      <name val="Calibri"/>
      <family val="2"/>
      <scheme val="minor"/>
    </font>
    <font>
      <sz val="16"/>
      <color rgb="FFD41317"/>
      <name val="Calibri"/>
    </font>
    <font>
      <sz val="10"/>
      <color rgb="FF303030"/>
      <name val="Calibri"/>
    </font>
    <font>
      <b/>
      <sz val="13"/>
      <color rgb="FF303030"/>
      <name val="Calibri"/>
    </font>
    <font>
      <b/>
      <sz val="10"/>
      <color rgb="FF303030"/>
      <name val="Calibri"/>
    </font>
    <font>
      <b/>
      <sz val="10"/>
      <color rgb="FFD41317"/>
      <name val="Calibri"/>
    </font>
    <font>
      <sz val="10"/>
      <color rgb="FF428BCA"/>
      <name val="Calibri"/>
    </font>
    <font>
      <sz val="12"/>
      <color rgb="FFD41317"/>
      <name val="Calibri"/>
    </font>
    <font>
      <b/>
      <sz val="10"/>
      <color rgb="FFFFFFFF"/>
      <name val="Arial"/>
    </font>
    <font>
      <u/>
      <sz val="10"/>
      <color rgb="FF0000FF"/>
      <name val="Arial"/>
    </font>
  </fonts>
  <fills count="6">
    <fill>
      <patternFill patternType="none"/>
    </fill>
    <fill>
      <patternFill patternType="gray125"/>
    </fill>
    <fill>
      <patternFill patternType="solid">
        <fgColor rgb="FFF7F7F7"/>
      </patternFill>
    </fill>
    <fill>
      <patternFill patternType="solid">
        <fgColor rgb="FFDCF2FF"/>
      </patternFill>
    </fill>
    <fill>
      <patternFill patternType="solid">
        <fgColor rgb="FFE6E6E6"/>
      </patternFill>
    </fill>
    <fill>
      <patternFill patternType="solid">
        <fgColor rgb="FF0065A4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vertical="top"/>
    </xf>
    <xf numFmtId="0" fontId="6" fillId="0" borderId="1" xfId="0" applyFont="1" applyBorder="1" applyAlignment="1">
      <alignment vertical="top"/>
    </xf>
    <xf numFmtId="0" fontId="7" fillId="4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8" fillId="5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right"/>
    </xf>
    <xf numFmtId="0" fontId="9" fillId="0" borderId="0" xfId="0" applyFont="1"/>
    <xf numFmtId="0" fontId="7" fillId="4" borderId="1" xfId="0" applyFont="1" applyFill="1" applyBorder="1" applyAlignment="1">
      <alignment horizontal="center"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onitoring.solaredge.com/solaredge-web/p/site/2457881" TargetMode="External"/><Relationship Id="rId3" Type="http://schemas.openxmlformats.org/officeDocument/2006/relationships/hyperlink" Target="https://monitoring.solaredge.com/solaredge-web/p/site/2747637" TargetMode="External"/><Relationship Id="rId7" Type="http://schemas.openxmlformats.org/officeDocument/2006/relationships/hyperlink" Target="https://monitoring.solaredge.com/solaredge-web/p/site/2331864" TargetMode="External"/><Relationship Id="rId2" Type="http://schemas.openxmlformats.org/officeDocument/2006/relationships/hyperlink" Target="https://monitoring.solaredge.com/solaredge-web/p/site/2752799" TargetMode="External"/><Relationship Id="rId1" Type="http://schemas.openxmlformats.org/officeDocument/2006/relationships/hyperlink" Target="https://monitoring.solaredge.com/solaredge-web/p/site/2484387" TargetMode="External"/><Relationship Id="rId6" Type="http://schemas.openxmlformats.org/officeDocument/2006/relationships/hyperlink" Target="https://monitoring.solaredge.com/solaredge-web/p/site/1735791" TargetMode="External"/><Relationship Id="rId11" Type="http://schemas.openxmlformats.org/officeDocument/2006/relationships/hyperlink" Target="https://monitoring.solaredge.com/solaredge-web/p/site/2753485" TargetMode="External"/><Relationship Id="rId5" Type="http://schemas.openxmlformats.org/officeDocument/2006/relationships/hyperlink" Target="https://monitoring.solaredge.com/solaredge-web/p/site/2660184" TargetMode="External"/><Relationship Id="rId10" Type="http://schemas.openxmlformats.org/officeDocument/2006/relationships/hyperlink" Target="https://monitoring.solaredge.com/solaredge-web/p/site/2382372" TargetMode="External"/><Relationship Id="rId4" Type="http://schemas.openxmlformats.org/officeDocument/2006/relationships/hyperlink" Target="https://monitoring.solaredge.com/solaredge-web/p/site/1735612" TargetMode="External"/><Relationship Id="rId9" Type="http://schemas.openxmlformats.org/officeDocument/2006/relationships/hyperlink" Target="https://monitoring.solaredge.com/solaredge-web/p/site/25978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23"/>
  <sheetViews>
    <sheetView showGridLines="0" workbookViewId="0">
      <selection activeCell="F5" sqref="F5"/>
    </sheetView>
  </sheetViews>
  <sheetFormatPr defaultRowHeight="14.45"/>
  <cols>
    <col min="1" max="1" width="42.7109375" bestFit="1" customWidth="1"/>
    <col min="2" max="2" width="17.5703125" bestFit="1" customWidth="1"/>
    <col min="3" max="3" width="7.28515625" bestFit="1" customWidth="1"/>
    <col min="4" max="4" width="10.42578125" bestFit="1" customWidth="1"/>
    <col min="5" max="5" width="11.28515625" bestFit="1" customWidth="1"/>
    <col min="6" max="6" width="10" bestFit="1" customWidth="1"/>
    <col min="7" max="7" width="14.28515625" bestFit="1" customWidth="1"/>
    <col min="8" max="8" width="15.7109375" bestFit="1" customWidth="1"/>
    <col min="9" max="9" width="17.7109375" bestFit="1" customWidth="1"/>
    <col min="10" max="10" width="10" bestFit="1" customWidth="1"/>
    <col min="11" max="11" width="8.5703125" bestFit="1" customWidth="1"/>
    <col min="12" max="12" width="10" bestFit="1" customWidth="1"/>
    <col min="13" max="13" width="8.5703125" bestFit="1" customWidth="1"/>
    <col min="14" max="14" width="10" bestFit="1" customWidth="1"/>
    <col min="15" max="15" width="8.5703125" bestFit="1" customWidth="1"/>
    <col min="16" max="16" width="11.5703125" bestFit="1" customWidth="1"/>
    <col min="17" max="17" width="8.5703125" bestFit="1" customWidth="1"/>
  </cols>
  <sheetData>
    <row r="2" spans="1:17" ht="21">
      <c r="A2" s="1" t="s">
        <v>0</v>
      </c>
    </row>
    <row r="3" spans="1:17">
      <c r="A3" s="2" t="s">
        <v>1</v>
      </c>
      <c r="B3" s="2" t="s">
        <v>2</v>
      </c>
    </row>
    <row r="4" spans="1:17">
      <c r="A4" s="2" t="s">
        <v>3</v>
      </c>
      <c r="B4" s="2" t="s">
        <v>4</v>
      </c>
    </row>
    <row r="5" spans="1:17">
      <c r="A5" s="2" t="s">
        <v>5</v>
      </c>
      <c r="B5" s="2" t="s">
        <v>6</v>
      </c>
    </row>
    <row r="6" spans="1:17">
      <c r="A6" s="2" t="s">
        <v>7</v>
      </c>
      <c r="B6" s="2" t="s">
        <v>8</v>
      </c>
    </row>
    <row r="7" spans="1:17">
      <c r="A7" s="2" t="s">
        <v>9</v>
      </c>
      <c r="B7" s="2" t="s">
        <v>10</v>
      </c>
    </row>
    <row r="9" spans="1:17" ht="17.45">
      <c r="A9" s="3"/>
    </row>
    <row r="10" spans="1:17" ht="15.6">
      <c r="A10" s="12" t="s">
        <v>11</v>
      </c>
      <c r="B10" s="13"/>
      <c r="C10" s="13"/>
      <c r="D10" s="13"/>
      <c r="E10" s="13"/>
      <c r="F10" s="13"/>
      <c r="G10" s="13"/>
      <c r="H10" s="13"/>
      <c r="I10" s="6" t="s">
        <v>12</v>
      </c>
      <c r="J10" s="12" t="s">
        <v>13</v>
      </c>
      <c r="K10" s="13"/>
      <c r="L10" s="12" t="s">
        <v>14</v>
      </c>
      <c r="M10" s="13"/>
      <c r="N10" s="12" t="s">
        <v>15</v>
      </c>
      <c r="O10" s="13"/>
      <c r="P10" s="12" t="s">
        <v>16</v>
      </c>
      <c r="Q10" s="13"/>
    </row>
    <row r="11" spans="1:17">
      <c r="A11" s="4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26</v>
      </c>
      <c r="M11" s="4" t="s">
        <v>27</v>
      </c>
      <c r="N11" s="4" t="s">
        <v>26</v>
      </c>
      <c r="O11" s="4" t="s">
        <v>27</v>
      </c>
      <c r="P11" s="4" t="s">
        <v>26</v>
      </c>
      <c r="Q11" s="4" t="s">
        <v>27</v>
      </c>
    </row>
    <row r="12" spans="1:17">
      <c r="A12" s="7" t="s">
        <v>28</v>
      </c>
      <c r="B12" s="5" t="s">
        <v>29</v>
      </c>
      <c r="C12" s="7" t="s">
        <v>30</v>
      </c>
      <c r="D12" s="7" t="s">
        <v>31</v>
      </c>
      <c r="E12" s="7" t="s">
        <v>32</v>
      </c>
      <c r="F12" s="7" t="s">
        <v>33</v>
      </c>
      <c r="G12" s="7" t="s">
        <v>34</v>
      </c>
      <c r="H12" s="7" t="s">
        <v>35</v>
      </c>
      <c r="I12" s="7" t="s">
        <v>36</v>
      </c>
      <c r="J12" s="7" t="s">
        <v>37</v>
      </c>
      <c r="K12" s="7" t="s">
        <v>37</v>
      </c>
      <c r="L12" s="7" t="s">
        <v>37</v>
      </c>
      <c r="M12" s="7" t="s">
        <v>37</v>
      </c>
      <c r="N12" s="7" t="s">
        <v>38</v>
      </c>
      <c r="O12" s="7" t="s">
        <v>39</v>
      </c>
      <c r="P12" s="7" t="s">
        <v>40</v>
      </c>
      <c r="Q12" s="7" t="s">
        <v>41</v>
      </c>
    </row>
    <row r="13" spans="1:17">
      <c r="A13" s="7" t="s">
        <v>42</v>
      </c>
      <c r="B13" s="5" t="s">
        <v>43</v>
      </c>
      <c r="C13" s="7" t="s">
        <v>44</v>
      </c>
      <c r="D13" s="7" t="s">
        <v>31</v>
      </c>
      <c r="E13" s="7" t="s">
        <v>32</v>
      </c>
      <c r="F13" s="7" t="s">
        <v>33</v>
      </c>
      <c r="G13" s="7" t="s">
        <v>45</v>
      </c>
      <c r="H13" s="7" t="s">
        <v>46</v>
      </c>
      <c r="I13" s="7" t="s">
        <v>47</v>
      </c>
      <c r="J13" s="7" t="s">
        <v>48</v>
      </c>
      <c r="K13" s="7" t="s">
        <v>49</v>
      </c>
      <c r="L13" s="7" t="s">
        <v>50</v>
      </c>
      <c r="M13" s="7" t="s">
        <v>51</v>
      </c>
      <c r="N13" s="7" t="s">
        <v>52</v>
      </c>
      <c r="O13" s="7" t="s">
        <v>53</v>
      </c>
      <c r="P13" s="7" t="s">
        <v>54</v>
      </c>
      <c r="Q13" s="7" t="s">
        <v>55</v>
      </c>
    </row>
    <row r="14" spans="1:17">
      <c r="A14" s="7" t="s">
        <v>56</v>
      </c>
      <c r="B14" s="5" t="s">
        <v>57</v>
      </c>
      <c r="C14" s="7" t="s">
        <v>58</v>
      </c>
      <c r="D14" s="7" t="s">
        <v>31</v>
      </c>
      <c r="E14" s="7" t="s">
        <v>32</v>
      </c>
      <c r="F14" s="7" t="s">
        <v>33</v>
      </c>
      <c r="G14" s="7" t="s">
        <v>59</v>
      </c>
      <c r="H14" s="7" t="s">
        <v>60</v>
      </c>
      <c r="I14" s="7" t="s">
        <v>47</v>
      </c>
      <c r="J14" s="7" t="s">
        <v>61</v>
      </c>
      <c r="K14" s="7" t="s">
        <v>62</v>
      </c>
      <c r="L14" s="7" t="s">
        <v>63</v>
      </c>
      <c r="M14" s="7" t="s">
        <v>64</v>
      </c>
      <c r="N14" s="7" t="s">
        <v>65</v>
      </c>
      <c r="O14" s="7" t="s">
        <v>66</v>
      </c>
      <c r="P14" s="7" t="s">
        <v>67</v>
      </c>
      <c r="Q14" s="7" t="s">
        <v>68</v>
      </c>
    </row>
    <row r="15" spans="1:17">
      <c r="A15" s="7" t="s">
        <v>69</v>
      </c>
      <c r="B15" s="5" t="s">
        <v>70</v>
      </c>
      <c r="C15" s="7" t="s">
        <v>71</v>
      </c>
      <c r="D15" s="7" t="s">
        <v>31</v>
      </c>
      <c r="E15" s="7" t="s">
        <v>32</v>
      </c>
      <c r="F15" s="7" t="s">
        <v>33</v>
      </c>
      <c r="G15" s="7" t="s">
        <v>72</v>
      </c>
      <c r="H15" s="7" t="s">
        <v>73</v>
      </c>
      <c r="I15" s="7" t="s">
        <v>42</v>
      </c>
      <c r="J15" s="7" t="s">
        <v>74</v>
      </c>
      <c r="K15" s="7" t="s">
        <v>75</v>
      </c>
      <c r="L15" s="7" t="s">
        <v>76</v>
      </c>
      <c r="M15" s="7" t="s">
        <v>77</v>
      </c>
      <c r="N15" s="7" t="s">
        <v>78</v>
      </c>
      <c r="O15" s="7" t="s">
        <v>79</v>
      </c>
      <c r="P15" s="7" t="s">
        <v>80</v>
      </c>
      <c r="Q15" s="7" t="s">
        <v>81</v>
      </c>
    </row>
    <row r="16" spans="1:17">
      <c r="A16" s="7" t="s">
        <v>36</v>
      </c>
      <c r="B16" s="5" t="s">
        <v>82</v>
      </c>
      <c r="C16" s="7" t="s">
        <v>83</v>
      </c>
      <c r="D16" s="7" t="s">
        <v>31</v>
      </c>
      <c r="E16" s="7" t="s">
        <v>32</v>
      </c>
      <c r="F16" s="7" t="s">
        <v>33</v>
      </c>
      <c r="G16" s="7" t="s">
        <v>84</v>
      </c>
      <c r="H16" s="7" t="s">
        <v>85</v>
      </c>
      <c r="I16" s="7" t="s">
        <v>42</v>
      </c>
      <c r="J16" s="7" t="s">
        <v>86</v>
      </c>
      <c r="K16" s="7" t="s">
        <v>87</v>
      </c>
      <c r="L16" s="7" t="s">
        <v>88</v>
      </c>
      <c r="M16" s="7" t="s">
        <v>89</v>
      </c>
      <c r="N16" s="7" t="s">
        <v>90</v>
      </c>
      <c r="O16" s="7" t="s">
        <v>91</v>
      </c>
      <c r="P16" s="7" t="s">
        <v>92</v>
      </c>
      <c r="Q16" s="7" t="s">
        <v>93</v>
      </c>
    </row>
    <row r="17" spans="1:17">
      <c r="A17" s="7" t="s">
        <v>47</v>
      </c>
      <c r="B17" s="5" t="s">
        <v>94</v>
      </c>
      <c r="C17" s="7" t="s">
        <v>95</v>
      </c>
      <c r="D17" s="7" t="s">
        <v>31</v>
      </c>
      <c r="E17" s="7" t="s">
        <v>32</v>
      </c>
      <c r="F17" s="7" t="s">
        <v>33</v>
      </c>
      <c r="G17" s="7" t="s">
        <v>72</v>
      </c>
      <c r="H17" s="7" t="s">
        <v>96</v>
      </c>
      <c r="I17" s="7" t="s">
        <v>42</v>
      </c>
      <c r="J17" s="7" t="s">
        <v>97</v>
      </c>
      <c r="K17" s="7" t="s">
        <v>98</v>
      </c>
      <c r="L17" s="7" t="s">
        <v>99</v>
      </c>
      <c r="M17" s="7" t="s">
        <v>100</v>
      </c>
      <c r="N17" s="7" t="s">
        <v>101</v>
      </c>
      <c r="O17" s="7" t="s">
        <v>102</v>
      </c>
      <c r="P17" s="7" t="s">
        <v>103</v>
      </c>
      <c r="Q17" s="7" t="s">
        <v>104</v>
      </c>
    </row>
    <row r="18" spans="1:17">
      <c r="A18" s="7" t="s">
        <v>105</v>
      </c>
      <c r="B18" s="5" t="s">
        <v>106</v>
      </c>
      <c r="C18" s="7" t="s">
        <v>107</v>
      </c>
      <c r="D18" s="7" t="s">
        <v>31</v>
      </c>
      <c r="E18" s="7" t="s">
        <v>32</v>
      </c>
      <c r="F18" s="7" t="s">
        <v>33</v>
      </c>
      <c r="G18" s="7" t="s">
        <v>108</v>
      </c>
      <c r="H18" s="7" t="s">
        <v>109</v>
      </c>
      <c r="I18" s="7" t="s">
        <v>42</v>
      </c>
      <c r="J18" s="7" t="s">
        <v>110</v>
      </c>
      <c r="K18" s="7" t="s">
        <v>111</v>
      </c>
      <c r="L18" s="7" t="s">
        <v>112</v>
      </c>
      <c r="M18" s="7" t="s">
        <v>113</v>
      </c>
      <c r="N18" s="7" t="s">
        <v>114</v>
      </c>
      <c r="O18" s="7" t="s">
        <v>115</v>
      </c>
      <c r="P18" s="7" t="s">
        <v>116</v>
      </c>
      <c r="Q18" s="7" t="s">
        <v>117</v>
      </c>
    </row>
    <row r="19" spans="1:17">
      <c r="A19" s="7" t="s">
        <v>118</v>
      </c>
      <c r="B19" s="5" t="s">
        <v>119</v>
      </c>
      <c r="C19" s="7" t="s">
        <v>120</v>
      </c>
      <c r="D19" s="7" t="s">
        <v>31</v>
      </c>
      <c r="E19" s="7" t="s">
        <v>32</v>
      </c>
      <c r="F19" s="7" t="s">
        <v>33</v>
      </c>
      <c r="G19" s="7" t="s">
        <v>121</v>
      </c>
      <c r="H19" s="7" t="s">
        <v>122</v>
      </c>
      <c r="I19" s="7" t="s">
        <v>47</v>
      </c>
      <c r="J19" s="7" t="s">
        <v>123</v>
      </c>
      <c r="K19" s="7" t="s">
        <v>124</v>
      </c>
      <c r="L19" s="7" t="s">
        <v>125</v>
      </c>
      <c r="M19" s="7" t="s">
        <v>126</v>
      </c>
      <c r="N19" s="7" t="s">
        <v>127</v>
      </c>
      <c r="O19" s="7" t="s">
        <v>128</v>
      </c>
      <c r="P19" s="7" t="s">
        <v>129</v>
      </c>
      <c r="Q19" s="7" t="s">
        <v>130</v>
      </c>
    </row>
    <row r="20" spans="1:17">
      <c r="A20" s="7" t="s">
        <v>131</v>
      </c>
      <c r="B20" s="5" t="s">
        <v>132</v>
      </c>
      <c r="C20" s="7" t="s">
        <v>133</v>
      </c>
      <c r="D20" s="7" t="s">
        <v>31</v>
      </c>
      <c r="E20" s="7" t="s">
        <v>32</v>
      </c>
      <c r="F20" s="7" t="s">
        <v>33</v>
      </c>
      <c r="G20" s="7" t="s">
        <v>134</v>
      </c>
      <c r="H20" s="7" t="s">
        <v>135</v>
      </c>
      <c r="I20" s="7" t="s">
        <v>42</v>
      </c>
      <c r="J20" s="7" t="s">
        <v>136</v>
      </c>
      <c r="K20" s="7" t="s">
        <v>137</v>
      </c>
      <c r="L20" s="7" t="s">
        <v>138</v>
      </c>
      <c r="M20" s="7" t="s">
        <v>139</v>
      </c>
      <c r="N20" s="7" t="s">
        <v>140</v>
      </c>
      <c r="O20" s="7" t="s">
        <v>141</v>
      </c>
      <c r="P20" s="7" t="s">
        <v>142</v>
      </c>
      <c r="Q20" s="7" t="s">
        <v>143</v>
      </c>
    </row>
    <row r="21" spans="1:17">
      <c r="A21" s="7" t="s">
        <v>144</v>
      </c>
      <c r="B21" s="5" t="s">
        <v>145</v>
      </c>
      <c r="C21" s="7" t="s">
        <v>146</v>
      </c>
      <c r="D21" s="7" t="s">
        <v>31</v>
      </c>
      <c r="E21" s="7" t="s">
        <v>32</v>
      </c>
      <c r="F21" s="7" t="s">
        <v>33</v>
      </c>
      <c r="G21" s="7" t="s">
        <v>147</v>
      </c>
      <c r="H21" s="7" t="s">
        <v>148</v>
      </c>
      <c r="I21" s="7" t="s">
        <v>47</v>
      </c>
      <c r="J21" s="7" t="s">
        <v>149</v>
      </c>
      <c r="K21" s="7" t="s">
        <v>150</v>
      </c>
      <c r="L21" s="7" t="s">
        <v>151</v>
      </c>
      <c r="M21" s="7" t="s">
        <v>152</v>
      </c>
      <c r="N21" s="7" t="s">
        <v>153</v>
      </c>
      <c r="O21" s="7" t="s">
        <v>154</v>
      </c>
      <c r="P21" s="7" t="s">
        <v>155</v>
      </c>
      <c r="Q21" s="7" t="s">
        <v>156</v>
      </c>
    </row>
    <row r="22" spans="1:17">
      <c r="A22" s="7" t="s">
        <v>8</v>
      </c>
      <c r="B22" s="5" t="s">
        <v>157</v>
      </c>
      <c r="C22" s="7" t="s">
        <v>158</v>
      </c>
      <c r="D22" s="7" t="s">
        <v>31</v>
      </c>
      <c r="E22" s="7" t="s">
        <v>32</v>
      </c>
      <c r="F22" s="7" t="s">
        <v>33</v>
      </c>
      <c r="G22" s="7" t="s">
        <v>45</v>
      </c>
      <c r="H22" s="7" t="s">
        <v>159</v>
      </c>
      <c r="I22" s="7" t="s">
        <v>42</v>
      </c>
      <c r="J22" s="7" t="s">
        <v>160</v>
      </c>
      <c r="K22" s="7" t="s">
        <v>161</v>
      </c>
      <c r="L22" s="7" t="s">
        <v>162</v>
      </c>
      <c r="M22" s="7" t="s">
        <v>163</v>
      </c>
      <c r="N22" s="7" t="s">
        <v>164</v>
      </c>
      <c r="O22" s="7" t="s">
        <v>165</v>
      </c>
      <c r="P22" s="7" t="s">
        <v>166</v>
      </c>
      <c r="Q22" s="7" t="s">
        <v>167</v>
      </c>
    </row>
    <row r="23" spans="1:17">
      <c r="A23" s="8" t="s">
        <v>168</v>
      </c>
      <c r="B23" s="8" t="s">
        <v>17</v>
      </c>
      <c r="C23" s="8" t="s">
        <v>17</v>
      </c>
      <c r="D23" s="8" t="s">
        <v>17</v>
      </c>
      <c r="E23" s="8" t="s">
        <v>17</v>
      </c>
      <c r="F23" s="8" t="s">
        <v>17</v>
      </c>
      <c r="G23" s="8" t="s">
        <v>17</v>
      </c>
      <c r="H23" s="8" t="s">
        <v>169</v>
      </c>
      <c r="I23" s="8" t="s">
        <v>17</v>
      </c>
      <c r="J23" s="8" t="s">
        <v>170</v>
      </c>
      <c r="K23" s="8" t="s">
        <v>17</v>
      </c>
      <c r="L23" s="8" t="s">
        <v>171</v>
      </c>
      <c r="M23" s="8" t="s">
        <v>17</v>
      </c>
      <c r="N23" s="8" t="s">
        <v>172</v>
      </c>
      <c r="O23" s="8" t="s">
        <v>17</v>
      </c>
      <c r="P23" s="8" t="s">
        <v>173</v>
      </c>
      <c r="Q23" s="8" t="s">
        <v>17</v>
      </c>
    </row>
  </sheetData>
  <mergeCells count="5">
    <mergeCell ref="A10:H10"/>
    <mergeCell ref="J10:K10"/>
    <mergeCell ref="L10:M10"/>
    <mergeCell ref="N10:O10"/>
    <mergeCell ref="P10:Q10"/>
  </mergeCells>
  <hyperlinks>
    <hyperlink ref="B12" r:id="rId1" location="/dashboard" xr:uid="{A3CB4925-1B53-4918-B8C7-EA63741CDD56}"/>
    <hyperlink ref="B13" r:id="rId2" location="/dashboard" xr:uid="{51DC35A3-4243-47EC-A381-6308B72FE536}"/>
    <hyperlink ref="B14" r:id="rId3" location="/dashboard" xr:uid="{A4DE56FA-AEA3-4D1B-964B-2C3CF6F203EE}"/>
    <hyperlink ref="B15" r:id="rId4" location="/dashboard" xr:uid="{7A398BCA-29D2-4B1B-BB07-BB20DC39E358}"/>
    <hyperlink ref="B16" r:id="rId5" location="/dashboard" xr:uid="{207BA55E-CCE1-4346-9A33-85B5DCBC7D4D}"/>
    <hyperlink ref="B17" r:id="rId6" location="/dashboard" xr:uid="{C12EC653-F310-4616-8E7A-68605A236FF1}"/>
    <hyperlink ref="B18" r:id="rId7" location="/dashboard" xr:uid="{0759C5DF-9209-4101-A2C6-67F75C87FB4D}"/>
    <hyperlink ref="B19" r:id="rId8" location="/dashboard" xr:uid="{92F8E75B-7C72-4210-8650-BC956C73DB1E}"/>
    <hyperlink ref="B20" r:id="rId9" location="/dashboard" xr:uid="{A2FB1041-C09D-4650-8233-0A75B581A562}"/>
    <hyperlink ref="B21" r:id="rId10" location="/dashboard" xr:uid="{D3C584CC-9B6B-445E-8967-298EDFD55B44}"/>
    <hyperlink ref="B22" r:id="rId11" location="/dashboard" xr:uid="{F10A9412-CC5F-469F-BFEA-56DAC78F32E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8F2C-4B00-45A9-AAEB-3009437D71F5}">
  <dimension ref="A1:L48"/>
  <sheetViews>
    <sheetView tabSelected="1" topLeftCell="C1" workbookViewId="0">
      <selection activeCell="F28" sqref="F28"/>
    </sheetView>
  </sheetViews>
  <sheetFormatPr defaultRowHeight="14.45"/>
  <cols>
    <col min="1" max="1" width="25.7109375" customWidth="1"/>
    <col min="2" max="3" width="33.7109375" customWidth="1"/>
    <col min="4" max="5" width="17.7109375" customWidth="1"/>
    <col min="6" max="6" width="70.7109375" customWidth="1"/>
    <col min="7" max="7" width="17.7109375" customWidth="1"/>
    <col min="8" max="8" width="33.7109375" customWidth="1"/>
    <col min="9" max="9" width="17.7109375" customWidth="1"/>
    <col min="10" max="10" width="33.7109375" customWidth="1"/>
    <col min="11" max="12" width="17.7109375" customWidth="1"/>
  </cols>
  <sheetData>
    <row r="1" spans="1:12" ht="15">
      <c r="A1" s="9" t="s">
        <v>174</v>
      </c>
      <c r="B1" s="9" t="s">
        <v>175</v>
      </c>
      <c r="C1" s="9" t="s">
        <v>176</v>
      </c>
      <c r="D1" s="9" t="s">
        <v>177</v>
      </c>
      <c r="E1" s="9" t="s">
        <v>178</v>
      </c>
      <c r="F1" s="9" t="s">
        <v>179</v>
      </c>
      <c r="G1" s="9" t="s">
        <v>180</v>
      </c>
      <c r="H1" s="9" t="s">
        <v>181</v>
      </c>
      <c r="I1" s="9" t="s">
        <v>182</v>
      </c>
      <c r="J1" s="9" t="s">
        <v>183</v>
      </c>
      <c r="K1" s="9" t="s">
        <v>184</v>
      </c>
      <c r="L1" s="9" t="s">
        <v>185</v>
      </c>
    </row>
    <row r="2" spans="1:12">
      <c r="A2" t="s">
        <v>186</v>
      </c>
      <c r="B2" t="s">
        <v>187</v>
      </c>
      <c r="C2" t="s">
        <v>188</v>
      </c>
      <c r="D2" t="s">
        <v>47</v>
      </c>
      <c r="E2" s="10">
        <v>45902.68472222222</v>
      </c>
      <c r="F2" t="s">
        <v>189</v>
      </c>
      <c r="G2" t="s">
        <v>190</v>
      </c>
      <c r="H2" t="s">
        <v>17</v>
      </c>
      <c r="I2" t="s">
        <v>191</v>
      </c>
      <c r="J2" t="s">
        <v>192</v>
      </c>
      <c r="K2" s="11" t="str">
        <f>HYPERLINK("https://us.assetplanner.com/service_request?ID=107318","SR107318")</f>
        <v>SR107318</v>
      </c>
      <c r="L2" t="s">
        <v>17</v>
      </c>
    </row>
    <row r="3" spans="1:12">
      <c r="A3" t="s">
        <v>186</v>
      </c>
      <c r="B3" t="s">
        <v>187</v>
      </c>
      <c r="C3" t="s">
        <v>17</v>
      </c>
      <c r="D3" t="s">
        <v>193</v>
      </c>
      <c r="E3" s="10">
        <v>45902.683333333334</v>
      </c>
      <c r="F3" t="s">
        <v>194</v>
      </c>
      <c r="G3" t="s">
        <v>190</v>
      </c>
      <c r="H3" t="s">
        <v>17</v>
      </c>
      <c r="I3" t="s">
        <v>191</v>
      </c>
      <c r="J3" t="s">
        <v>195</v>
      </c>
      <c r="K3" s="11" t="str">
        <f>HYPERLINK("https://us.assetplanner.com/service_request?ID=107316","SR107316")</f>
        <v>SR107316</v>
      </c>
      <c r="L3" t="s">
        <v>17</v>
      </c>
    </row>
    <row r="4" spans="1:12">
      <c r="A4" t="s">
        <v>186</v>
      </c>
      <c r="B4" t="s">
        <v>187</v>
      </c>
      <c r="C4" t="s">
        <v>196</v>
      </c>
      <c r="D4" t="s">
        <v>193</v>
      </c>
      <c r="E4" s="10">
        <v>45902.670138888891</v>
      </c>
      <c r="F4" t="s">
        <v>197</v>
      </c>
      <c r="G4" t="s">
        <v>190</v>
      </c>
      <c r="H4" t="s">
        <v>17</v>
      </c>
      <c r="I4" t="s">
        <v>191</v>
      </c>
      <c r="J4" t="s">
        <v>192</v>
      </c>
      <c r="K4" s="11" t="str">
        <f>HYPERLINK("https://us.assetplanner.com/service_request?ID=107314","SR107314")</f>
        <v>SR107314</v>
      </c>
      <c r="L4" t="s">
        <v>17</v>
      </c>
    </row>
    <row r="5" spans="1:12">
      <c r="A5" t="s">
        <v>186</v>
      </c>
      <c r="B5" t="s">
        <v>187</v>
      </c>
      <c r="C5" t="s">
        <v>198</v>
      </c>
      <c r="D5" t="s">
        <v>193</v>
      </c>
      <c r="E5" s="10">
        <v>45889.536111111112</v>
      </c>
      <c r="F5" t="s">
        <v>199</v>
      </c>
      <c r="G5" t="s">
        <v>190</v>
      </c>
      <c r="H5" t="s">
        <v>17</v>
      </c>
      <c r="I5" t="s">
        <v>191</v>
      </c>
      <c r="J5" t="s">
        <v>192</v>
      </c>
      <c r="K5" s="11" t="str">
        <f>HYPERLINK("https://us.assetplanner.com/service_request?ID=106584","SR106584")</f>
        <v>SR106584</v>
      </c>
      <c r="L5" t="s">
        <v>17</v>
      </c>
    </row>
    <row r="6" spans="1:12">
      <c r="A6" t="s">
        <v>186</v>
      </c>
      <c r="B6" t="s">
        <v>187</v>
      </c>
      <c r="C6" t="s">
        <v>200</v>
      </c>
      <c r="D6" t="s">
        <v>193</v>
      </c>
      <c r="E6" s="10">
        <v>45876.546527777777</v>
      </c>
      <c r="F6" t="s">
        <v>201</v>
      </c>
      <c r="G6" t="s">
        <v>190</v>
      </c>
      <c r="H6" t="s">
        <v>17</v>
      </c>
      <c r="I6" t="s">
        <v>191</v>
      </c>
      <c r="J6" t="s">
        <v>195</v>
      </c>
      <c r="K6" s="11" t="str">
        <f>HYPERLINK("https://us.assetplanner.com/service_request?ID=105843","SR105843")</f>
        <v>SR105843</v>
      </c>
      <c r="L6" t="s">
        <v>17</v>
      </c>
    </row>
    <row r="7" spans="1:12">
      <c r="A7" t="s">
        <v>186</v>
      </c>
      <c r="B7" t="s">
        <v>187</v>
      </c>
      <c r="C7" t="s">
        <v>202</v>
      </c>
      <c r="D7" t="s">
        <v>144</v>
      </c>
      <c r="E7" s="10">
        <v>45868.588888888888</v>
      </c>
      <c r="F7" t="s">
        <v>203</v>
      </c>
      <c r="G7" t="s">
        <v>190</v>
      </c>
      <c r="H7" t="s">
        <v>204</v>
      </c>
      <c r="I7" t="s">
        <v>191</v>
      </c>
      <c r="J7" t="s">
        <v>192</v>
      </c>
      <c r="K7" s="11" t="str">
        <f>HYPERLINK("https://us.assetplanner.com/service_request?ID=105365","SR105365")</f>
        <v>SR105365</v>
      </c>
      <c r="L7" t="s">
        <v>17</v>
      </c>
    </row>
    <row r="8" spans="1:12">
      <c r="A8" t="s">
        <v>186</v>
      </c>
      <c r="B8" t="s">
        <v>187</v>
      </c>
      <c r="C8" t="s">
        <v>205</v>
      </c>
      <c r="D8" t="s">
        <v>206</v>
      </c>
      <c r="E8" s="10">
        <v>45868.57708333333</v>
      </c>
      <c r="F8" t="s">
        <v>207</v>
      </c>
      <c r="G8" t="s">
        <v>190</v>
      </c>
      <c r="H8" t="s">
        <v>204</v>
      </c>
      <c r="I8" t="s">
        <v>191</v>
      </c>
      <c r="J8" t="s">
        <v>192</v>
      </c>
      <c r="K8" s="11" t="str">
        <f>HYPERLINK("https://us.assetplanner.com/service_request?ID=105362","SR105362")</f>
        <v>SR105362</v>
      </c>
      <c r="L8" t="s">
        <v>17</v>
      </c>
    </row>
    <row r="9" spans="1:12">
      <c r="A9" t="s">
        <v>186</v>
      </c>
      <c r="B9" t="s">
        <v>187</v>
      </c>
      <c r="C9" t="s">
        <v>208</v>
      </c>
      <c r="D9" t="s">
        <v>36</v>
      </c>
      <c r="E9" s="10">
        <v>45847.513194444444</v>
      </c>
      <c r="F9" t="s">
        <v>209</v>
      </c>
      <c r="G9" t="s">
        <v>190</v>
      </c>
      <c r="H9" t="s">
        <v>204</v>
      </c>
      <c r="I9" t="s">
        <v>191</v>
      </c>
      <c r="J9" t="s">
        <v>192</v>
      </c>
      <c r="K9" s="11" t="str">
        <f>HYPERLINK("https://us.assetplanner.com/service_request?ID=104196","SR104196")</f>
        <v>SR104196</v>
      </c>
      <c r="L9" t="s">
        <v>17</v>
      </c>
    </row>
    <row r="10" spans="1:12">
      <c r="A10" t="s">
        <v>186</v>
      </c>
      <c r="B10" t="s">
        <v>187</v>
      </c>
      <c r="C10" t="s">
        <v>210</v>
      </c>
      <c r="D10" t="s">
        <v>36</v>
      </c>
      <c r="E10" s="10">
        <v>45824.521527777775</v>
      </c>
      <c r="F10" t="s">
        <v>211</v>
      </c>
      <c r="G10" t="s">
        <v>190</v>
      </c>
      <c r="H10" t="s">
        <v>204</v>
      </c>
      <c r="I10" t="s">
        <v>191</v>
      </c>
      <c r="J10" t="s">
        <v>192</v>
      </c>
      <c r="K10" s="11" t="str">
        <f>HYPERLINK("https://us.assetplanner.com/service_request?ID=103023","SR103023")</f>
        <v>SR103023</v>
      </c>
      <c r="L10" t="s">
        <v>17</v>
      </c>
    </row>
    <row r="11" spans="1:12">
      <c r="A11" t="s">
        <v>186</v>
      </c>
      <c r="B11" t="s">
        <v>187</v>
      </c>
      <c r="C11" t="s">
        <v>212</v>
      </c>
      <c r="D11" t="s">
        <v>118</v>
      </c>
      <c r="E11" s="10">
        <v>45817.531944444447</v>
      </c>
      <c r="F11" t="s">
        <v>213</v>
      </c>
      <c r="G11" t="s">
        <v>190</v>
      </c>
      <c r="H11" t="s">
        <v>204</v>
      </c>
      <c r="I11" t="s">
        <v>191</v>
      </c>
      <c r="J11" t="s">
        <v>192</v>
      </c>
      <c r="K11" s="11" t="str">
        <f>HYPERLINK("https://us.assetplanner.com/service_request?ID=102700","SR102700")</f>
        <v>SR102700</v>
      </c>
      <c r="L11" t="s">
        <v>17</v>
      </c>
    </row>
    <row r="12" spans="1:12">
      <c r="A12" t="s">
        <v>186</v>
      </c>
      <c r="B12" t="s">
        <v>187</v>
      </c>
      <c r="C12" t="s">
        <v>214</v>
      </c>
      <c r="D12" t="s">
        <v>36</v>
      </c>
      <c r="E12" s="10">
        <v>45811.533333333333</v>
      </c>
      <c r="F12" t="s">
        <v>215</v>
      </c>
      <c r="G12" t="s">
        <v>190</v>
      </c>
      <c r="H12" t="s">
        <v>204</v>
      </c>
      <c r="I12" t="s">
        <v>191</v>
      </c>
      <c r="J12" t="s">
        <v>192</v>
      </c>
      <c r="K12" s="11" t="str">
        <f>HYPERLINK("https://us.assetplanner.com/service_request?ID=102390","SR102390")</f>
        <v>SR102390</v>
      </c>
      <c r="L12" t="s">
        <v>17</v>
      </c>
    </row>
    <row r="13" spans="1:12">
      <c r="A13" t="s">
        <v>186</v>
      </c>
      <c r="B13" t="s">
        <v>187</v>
      </c>
      <c r="C13" t="s">
        <v>216</v>
      </c>
      <c r="D13" t="s">
        <v>47</v>
      </c>
      <c r="E13" s="10">
        <v>45796.620833333334</v>
      </c>
      <c r="F13" t="s">
        <v>217</v>
      </c>
      <c r="G13" t="s">
        <v>190</v>
      </c>
      <c r="H13" t="s">
        <v>204</v>
      </c>
      <c r="I13" t="s">
        <v>191</v>
      </c>
      <c r="J13" t="s">
        <v>195</v>
      </c>
      <c r="K13" s="11" t="str">
        <f>HYPERLINK("https://us.assetplanner.com/service_request?ID=101683","SR101683")</f>
        <v>SR101683</v>
      </c>
      <c r="L13" t="s">
        <v>17</v>
      </c>
    </row>
    <row r="14" spans="1:12">
      <c r="A14" t="s">
        <v>186</v>
      </c>
      <c r="B14" t="s">
        <v>187</v>
      </c>
      <c r="C14" t="s">
        <v>218</v>
      </c>
      <c r="D14" t="s">
        <v>36</v>
      </c>
      <c r="E14" s="10">
        <v>45790.61041666667</v>
      </c>
      <c r="F14" t="s">
        <v>219</v>
      </c>
      <c r="G14" t="s">
        <v>190</v>
      </c>
      <c r="H14" t="s">
        <v>204</v>
      </c>
      <c r="I14" t="s">
        <v>191</v>
      </c>
      <c r="J14" t="s">
        <v>192</v>
      </c>
      <c r="K14" s="11" t="str">
        <f>HYPERLINK("https://us.assetplanner.com/service_request?ID=101400","SR101400")</f>
        <v>SR101400</v>
      </c>
      <c r="L14" t="s">
        <v>17</v>
      </c>
    </row>
    <row r="15" spans="1:12">
      <c r="A15" t="s">
        <v>186</v>
      </c>
      <c r="B15" t="s">
        <v>187</v>
      </c>
      <c r="C15" t="s">
        <v>220</v>
      </c>
      <c r="D15" t="s">
        <v>36</v>
      </c>
      <c r="E15" s="10">
        <v>45775.561111111114</v>
      </c>
      <c r="F15" t="s">
        <v>221</v>
      </c>
      <c r="G15" t="s">
        <v>190</v>
      </c>
      <c r="H15" t="s">
        <v>204</v>
      </c>
      <c r="I15" t="s">
        <v>191</v>
      </c>
      <c r="J15" t="s">
        <v>195</v>
      </c>
      <c r="K15" s="11" t="str">
        <f>HYPERLINK("https://us.assetplanner.com/service_request?ID=100557","SR100557")</f>
        <v>SR100557</v>
      </c>
      <c r="L15" t="s">
        <v>17</v>
      </c>
    </row>
    <row r="16" spans="1:12">
      <c r="A16" t="s">
        <v>186</v>
      </c>
      <c r="B16" t="s">
        <v>187</v>
      </c>
      <c r="C16" t="s">
        <v>222</v>
      </c>
      <c r="D16" t="s">
        <v>105</v>
      </c>
      <c r="E16" s="10">
        <v>45713.54583333333</v>
      </c>
      <c r="F16" t="s">
        <v>223</v>
      </c>
      <c r="G16" t="s">
        <v>190</v>
      </c>
      <c r="H16" t="s">
        <v>204</v>
      </c>
      <c r="I16" t="s">
        <v>191</v>
      </c>
      <c r="J16" t="s">
        <v>195</v>
      </c>
      <c r="K16" s="11" t="str">
        <f>HYPERLINK("https://us.assetplanner.com/service_request?ID=97766","SR097766")</f>
        <v>SR097766</v>
      </c>
      <c r="L16" t="s">
        <v>17</v>
      </c>
    </row>
    <row r="17" spans="1:12">
      <c r="A17" t="s">
        <v>186</v>
      </c>
      <c r="B17" t="s">
        <v>187</v>
      </c>
      <c r="C17" t="s">
        <v>224</v>
      </c>
      <c r="D17" t="s">
        <v>36</v>
      </c>
      <c r="E17" s="10">
        <v>45706.615277777775</v>
      </c>
      <c r="F17" t="s">
        <v>225</v>
      </c>
      <c r="G17" t="s">
        <v>190</v>
      </c>
      <c r="H17" t="s">
        <v>204</v>
      </c>
      <c r="I17" t="s">
        <v>191</v>
      </c>
      <c r="J17" t="s">
        <v>195</v>
      </c>
      <c r="K17" s="11" t="str">
        <f>HYPERLINK("https://us.assetplanner.com/service_request?ID=97346","SR097346")</f>
        <v>SR097346</v>
      </c>
      <c r="L17" t="s">
        <v>17</v>
      </c>
    </row>
    <row r="18" spans="1:12">
      <c r="A18" t="s">
        <v>186</v>
      </c>
      <c r="B18" t="s">
        <v>187</v>
      </c>
      <c r="C18" t="s">
        <v>226</v>
      </c>
      <c r="D18" t="s">
        <v>227</v>
      </c>
      <c r="E18" s="10">
        <v>45613.522222222222</v>
      </c>
      <c r="F18" t="s">
        <v>228</v>
      </c>
      <c r="G18" t="s">
        <v>190</v>
      </c>
      <c r="H18" t="s">
        <v>204</v>
      </c>
      <c r="I18" t="s">
        <v>191</v>
      </c>
      <c r="J18" t="s">
        <v>229</v>
      </c>
      <c r="K18" s="11" t="str">
        <f>HYPERLINK("https://us.assetplanner.com/service_request?ID=93350","SR093350")</f>
        <v>SR093350</v>
      </c>
      <c r="L18" t="s">
        <v>17</v>
      </c>
    </row>
    <row r="19" spans="1:12">
      <c r="A19" t="s">
        <v>186</v>
      </c>
      <c r="B19" t="s">
        <v>187</v>
      </c>
      <c r="C19" t="s">
        <v>230</v>
      </c>
      <c r="D19" t="s">
        <v>227</v>
      </c>
      <c r="E19" s="10">
        <v>45613.521527777775</v>
      </c>
      <c r="F19" t="s">
        <v>231</v>
      </c>
      <c r="G19" t="s">
        <v>190</v>
      </c>
      <c r="H19" t="s">
        <v>204</v>
      </c>
      <c r="I19" t="s">
        <v>191</v>
      </c>
      <c r="J19" t="s">
        <v>229</v>
      </c>
      <c r="K19" s="11" t="str">
        <f>HYPERLINK("https://us.assetplanner.com/service_request?ID=93349","SR093349")</f>
        <v>SR093349</v>
      </c>
      <c r="L19" t="s">
        <v>17</v>
      </c>
    </row>
    <row r="20" spans="1:12">
      <c r="A20" t="s">
        <v>186</v>
      </c>
      <c r="B20" t="s">
        <v>187</v>
      </c>
      <c r="C20" t="s">
        <v>232</v>
      </c>
      <c r="D20" t="s">
        <v>105</v>
      </c>
      <c r="E20" s="10">
        <v>45594.56527777778</v>
      </c>
      <c r="F20" t="s">
        <v>233</v>
      </c>
      <c r="G20" t="s">
        <v>190</v>
      </c>
      <c r="H20" t="s">
        <v>204</v>
      </c>
      <c r="I20" t="s">
        <v>191</v>
      </c>
      <c r="J20" t="s">
        <v>234</v>
      </c>
      <c r="K20" s="11" t="str">
        <f>HYPERLINK("https://us.assetplanner.com/service_request?ID=92738","SR092738")</f>
        <v>SR092738</v>
      </c>
      <c r="L20" t="s">
        <v>17</v>
      </c>
    </row>
    <row r="21" spans="1:12">
      <c r="A21" t="s">
        <v>186</v>
      </c>
      <c r="B21" t="s">
        <v>187</v>
      </c>
      <c r="C21" t="s">
        <v>235</v>
      </c>
      <c r="D21" t="s">
        <v>131</v>
      </c>
      <c r="E21" s="10">
        <v>45581.544444444444</v>
      </c>
      <c r="F21" t="s">
        <v>236</v>
      </c>
      <c r="G21" t="s">
        <v>190</v>
      </c>
      <c r="H21" t="s">
        <v>204</v>
      </c>
      <c r="I21" t="s">
        <v>191</v>
      </c>
      <c r="J21" t="s">
        <v>229</v>
      </c>
      <c r="K21" s="11" t="str">
        <f>HYPERLINK("https://us.assetplanner.com/service_request?ID=92211","SR092211")</f>
        <v>SR092211</v>
      </c>
      <c r="L21" t="s">
        <v>17</v>
      </c>
    </row>
    <row r="22" spans="1:12">
      <c r="A22" t="s">
        <v>186</v>
      </c>
      <c r="B22" t="s">
        <v>187</v>
      </c>
      <c r="C22" t="s">
        <v>237</v>
      </c>
      <c r="D22" t="s">
        <v>47</v>
      </c>
      <c r="E22" s="10">
        <v>45516.52847222222</v>
      </c>
      <c r="F22" t="s">
        <v>238</v>
      </c>
      <c r="G22" t="s">
        <v>190</v>
      </c>
      <c r="H22" t="s">
        <v>204</v>
      </c>
      <c r="I22" t="s">
        <v>191</v>
      </c>
      <c r="J22" t="s">
        <v>234</v>
      </c>
      <c r="K22" s="11" t="str">
        <f>HYPERLINK("https://us.assetplanner.com/service_request?ID=88926","SR088926")</f>
        <v>SR088926</v>
      </c>
      <c r="L22" t="s">
        <v>17</v>
      </c>
    </row>
    <row r="23" spans="1:12">
      <c r="A23" t="s">
        <v>186</v>
      </c>
      <c r="B23" t="s">
        <v>187</v>
      </c>
      <c r="C23" t="s">
        <v>239</v>
      </c>
      <c r="D23" t="s">
        <v>36</v>
      </c>
      <c r="E23" s="10">
        <v>45499.635416666664</v>
      </c>
      <c r="F23" t="s">
        <v>240</v>
      </c>
      <c r="G23" t="s">
        <v>190</v>
      </c>
      <c r="H23" t="s">
        <v>204</v>
      </c>
      <c r="I23" t="s">
        <v>191</v>
      </c>
      <c r="J23" t="s">
        <v>234</v>
      </c>
      <c r="K23" s="11" t="str">
        <f>HYPERLINK("https://us.assetplanner.com/service_request?ID=88285","SR088285")</f>
        <v>SR088285</v>
      </c>
      <c r="L23" t="s">
        <v>17</v>
      </c>
    </row>
    <row r="24" spans="1:12">
      <c r="A24" t="s">
        <v>186</v>
      </c>
      <c r="B24" t="s">
        <v>187</v>
      </c>
      <c r="C24" t="s">
        <v>241</v>
      </c>
      <c r="D24" t="s">
        <v>105</v>
      </c>
      <c r="E24" s="10">
        <v>45488.643750000003</v>
      </c>
      <c r="F24" t="s">
        <v>242</v>
      </c>
      <c r="G24" t="s">
        <v>190</v>
      </c>
      <c r="H24" t="s">
        <v>204</v>
      </c>
      <c r="I24" t="s">
        <v>191</v>
      </c>
      <c r="J24" t="s">
        <v>234</v>
      </c>
      <c r="K24" s="11" t="str">
        <f>HYPERLINK("https://us.assetplanner.com/service_request?ID=87727","SR087727")</f>
        <v>SR087727</v>
      </c>
      <c r="L24" t="s">
        <v>17</v>
      </c>
    </row>
    <row r="25" spans="1:12">
      <c r="A25" t="s">
        <v>186</v>
      </c>
      <c r="B25" t="s">
        <v>187</v>
      </c>
      <c r="C25" t="s">
        <v>243</v>
      </c>
      <c r="D25" t="s">
        <v>105</v>
      </c>
      <c r="E25" s="10">
        <v>45475.541666666664</v>
      </c>
      <c r="F25" t="s">
        <v>244</v>
      </c>
      <c r="G25" t="s">
        <v>190</v>
      </c>
      <c r="H25" t="s">
        <v>204</v>
      </c>
      <c r="I25" t="s">
        <v>191</v>
      </c>
      <c r="J25" t="s">
        <v>234</v>
      </c>
      <c r="K25" s="11" t="str">
        <f>HYPERLINK("https://us.assetplanner.com/service_request?ID=87282","SR087282")</f>
        <v>SR087282</v>
      </c>
      <c r="L25" t="s">
        <v>17</v>
      </c>
    </row>
    <row r="26" spans="1:12">
      <c r="A26" t="s">
        <v>186</v>
      </c>
      <c r="B26" t="s">
        <v>187</v>
      </c>
      <c r="C26" t="s">
        <v>245</v>
      </c>
      <c r="D26" t="s">
        <v>36</v>
      </c>
      <c r="E26" s="10">
        <v>45446.525694444441</v>
      </c>
      <c r="F26" t="s">
        <v>246</v>
      </c>
      <c r="G26" t="s">
        <v>190</v>
      </c>
      <c r="H26" t="s">
        <v>247</v>
      </c>
      <c r="I26" t="s">
        <v>248</v>
      </c>
      <c r="J26" t="s">
        <v>229</v>
      </c>
      <c r="K26" s="11" t="str">
        <f>HYPERLINK("https://us.assetplanner.com/service_request?ID=85484","SR085484")</f>
        <v>SR085484</v>
      </c>
      <c r="L26" t="s">
        <v>249</v>
      </c>
    </row>
    <row r="27" spans="1:12">
      <c r="A27" t="s">
        <v>186</v>
      </c>
      <c r="B27" t="s">
        <v>187</v>
      </c>
      <c r="C27" t="s">
        <v>17</v>
      </c>
      <c r="D27" t="s">
        <v>250</v>
      </c>
      <c r="E27" s="10">
        <v>45429.52847222222</v>
      </c>
      <c r="F27" t="s">
        <v>251</v>
      </c>
      <c r="G27" t="s">
        <v>190</v>
      </c>
      <c r="H27" t="s">
        <v>204</v>
      </c>
      <c r="I27" t="s">
        <v>191</v>
      </c>
      <c r="J27" t="s">
        <v>229</v>
      </c>
      <c r="K27" s="11" t="str">
        <f>HYPERLINK("https://us.assetplanner.com/service_request?ID=84807","SR084807")</f>
        <v>SR084807</v>
      </c>
      <c r="L27" t="s">
        <v>249</v>
      </c>
    </row>
    <row r="28" spans="1:12" ht="15">
      <c r="A28" t="s">
        <v>186</v>
      </c>
      <c r="B28" t="s">
        <v>187</v>
      </c>
      <c r="C28" t="s">
        <v>17</v>
      </c>
      <c r="D28" t="s">
        <v>252</v>
      </c>
      <c r="E28" s="10">
        <v>45423.568749999999</v>
      </c>
      <c r="F28" t="s">
        <v>253</v>
      </c>
      <c r="G28" t="s">
        <v>190</v>
      </c>
      <c r="H28" t="s">
        <v>204</v>
      </c>
      <c r="I28" t="s">
        <v>191</v>
      </c>
      <c r="J28" t="s">
        <v>254</v>
      </c>
      <c r="K28" s="11" t="str">
        <f>HYPERLINK("https://us.assetplanner.com/service_request?ID=84580","SR084580")</f>
        <v>SR084580</v>
      </c>
      <c r="L28">
        <v>1006999</v>
      </c>
    </row>
    <row r="29" spans="1:12">
      <c r="A29" t="s">
        <v>186</v>
      </c>
      <c r="B29" t="s">
        <v>187</v>
      </c>
      <c r="C29" t="s">
        <v>255</v>
      </c>
      <c r="D29" t="s">
        <v>256</v>
      </c>
      <c r="E29" s="10">
        <v>45372.53125</v>
      </c>
      <c r="F29" t="s">
        <v>257</v>
      </c>
      <c r="G29" t="s">
        <v>190</v>
      </c>
      <c r="H29" t="s">
        <v>204</v>
      </c>
      <c r="I29" t="s">
        <v>191</v>
      </c>
      <c r="J29" t="s">
        <v>229</v>
      </c>
      <c r="K29" s="11" t="str">
        <f>HYPERLINK("https://us.assetplanner.com/service_request?ID=82331","SR082331")</f>
        <v>SR082331</v>
      </c>
      <c r="L29" t="s">
        <v>249</v>
      </c>
    </row>
    <row r="30" spans="1:12">
      <c r="A30" t="s">
        <v>186</v>
      </c>
      <c r="B30" t="s">
        <v>187</v>
      </c>
      <c r="C30" t="s">
        <v>258</v>
      </c>
      <c r="D30" t="s">
        <v>227</v>
      </c>
      <c r="E30" s="10">
        <v>45355.539583333331</v>
      </c>
      <c r="F30" t="s">
        <v>259</v>
      </c>
      <c r="G30" t="s">
        <v>190</v>
      </c>
      <c r="H30" t="s">
        <v>204</v>
      </c>
      <c r="I30" t="s">
        <v>191</v>
      </c>
      <c r="J30" t="s">
        <v>229</v>
      </c>
      <c r="K30" s="11" t="str">
        <f>HYPERLINK("https://us.assetplanner.com/service_request?ID=81556","SR081556")</f>
        <v>SR081556</v>
      </c>
      <c r="L30" t="s">
        <v>249</v>
      </c>
    </row>
    <row r="31" spans="1:12">
      <c r="A31" t="s">
        <v>186</v>
      </c>
      <c r="B31" t="s">
        <v>187</v>
      </c>
      <c r="C31" t="s">
        <v>260</v>
      </c>
      <c r="D31" t="s">
        <v>47</v>
      </c>
      <c r="E31" s="10">
        <v>45355.538194444445</v>
      </c>
      <c r="F31" t="s">
        <v>261</v>
      </c>
      <c r="G31" t="s">
        <v>190</v>
      </c>
      <c r="H31" t="s">
        <v>204</v>
      </c>
      <c r="I31" t="s">
        <v>191</v>
      </c>
      <c r="J31" t="s">
        <v>229</v>
      </c>
      <c r="K31" s="11" t="str">
        <f>HYPERLINK("https://us.assetplanner.com/service_request?ID=81555","SR081555")</f>
        <v>SR081555</v>
      </c>
      <c r="L31" t="s">
        <v>249</v>
      </c>
    </row>
    <row r="32" spans="1:12">
      <c r="A32" t="s">
        <v>186</v>
      </c>
      <c r="B32" t="s">
        <v>187</v>
      </c>
      <c r="C32" t="s">
        <v>262</v>
      </c>
      <c r="D32" t="s">
        <v>263</v>
      </c>
      <c r="E32" s="10">
        <v>45352.620833333334</v>
      </c>
      <c r="F32" t="s">
        <v>264</v>
      </c>
      <c r="G32" t="s">
        <v>190</v>
      </c>
      <c r="H32" t="s">
        <v>204</v>
      </c>
      <c r="I32" t="s">
        <v>191</v>
      </c>
      <c r="J32" t="s">
        <v>234</v>
      </c>
      <c r="K32" s="11" t="str">
        <f>HYPERLINK("https://us.assetplanner.com/service_request?ID=81504","SR081504")</f>
        <v>SR081504</v>
      </c>
      <c r="L32" t="s">
        <v>249</v>
      </c>
    </row>
    <row r="33" spans="1:12">
      <c r="A33" t="s">
        <v>186</v>
      </c>
      <c r="B33" t="s">
        <v>187</v>
      </c>
      <c r="C33" t="s">
        <v>265</v>
      </c>
      <c r="D33" t="s">
        <v>144</v>
      </c>
      <c r="E33" s="10">
        <v>45342.586111111108</v>
      </c>
      <c r="F33" t="s">
        <v>266</v>
      </c>
      <c r="G33" t="s">
        <v>190</v>
      </c>
      <c r="H33" t="s">
        <v>204</v>
      </c>
      <c r="I33" t="s">
        <v>191</v>
      </c>
      <c r="J33" t="s">
        <v>234</v>
      </c>
      <c r="K33" s="11" t="str">
        <f>HYPERLINK("https://us.assetplanner.com/service_request?ID=81129","SR081129")</f>
        <v>SR081129</v>
      </c>
      <c r="L33" t="s">
        <v>249</v>
      </c>
    </row>
    <row r="34" spans="1:12">
      <c r="A34" t="s">
        <v>186</v>
      </c>
      <c r="B34" t="s">
        <v>187</v>
      </c>
      <c r="C34" t="s">
        <v>267</v>
      </c>
      <c r="D34" t="s">
        <v>227</v>
      </c>
      <c r="E34" s="10">
        <v>45291.197222222225</v>
      </c>
      <c r="F34" t="s">
        <v>268</v>
      </c>
      <c r="G34" t="s">
        <v>190</v>
      </c>
      <c r="H34" t="s">
        <v>204</v>
      </c>
      <c r="I34" t="s">
        <v>191</v>
      </c>
      <c r="J34" t="s">
        <v>229</v>
      </c>
      <c r="K34" s="11" t="str">
        <f>HYPERLINK("https://us.assetplanner.com/service_request?ID=79845","SR079845")</f>
        <v>SR079845</v>
      </c>
      <c r="L34" t="s">
        <v>249</v>
      </c>
    </row>
    <row r="35" spans="1:12">
      <c r="A35" t="s">
        <v>186</v>
      </c>
      <c r="B35" t="s">
        <v>187</v>
      </c>
      <c r="C35" t="s">
        <v>269</v>
      </c>
      <c r="D35" t="s">
        <v>47</v>
      </c>
      <c r="E35" s="10">
        <v>45216.152083333334</v>
      </c>
      <c r="F35" t="s">
        <v>270</v>
      </c>
      <c r="G35" t="s">
        <v>190</v>
      </c>
      <c r="H35" t="s">
        <v>204</v>
      </c>
      <c r="I35" t="s">
        <v>191</v>
      </c>
      <c r="J35" t="s">
        <v>229</v>
      </c>
      <c r="K35" s="11" t="str">
        <f>HYPERLINK("https://us.assetplanner.com/service_request?ID=77517","SR077517")</f>
        <v>SR077517</v>
      </c>
      <c r="L35" t="s">
        <v>249</v>
      </c>
    </row>
    <row r="36" spans="1:12">
      <c r="A36" t="s">
        <v>186</v>
      </c>
      <c r="B36" t="s">
        <v>187</v>
      </c>
      <c r="C36" t="s">
        <v>271</v>
      </c>
      <c r="D36" t="s">
        <v>272</v>
      </c>
      <c r="E36" s="10">
        <v>45204.594444444447</v>
      </c>
      <c r="F36" t="s">
        <v>273</v>
      </c>
      <c r="G36" t="s">
        <v>190</v>
      </c>
      <c r="H36" t="s">
        <v>204</v>
      </c>
      <c r="I36" t="s">
        <v>191</v>
      </c>
      <c r="J36" t="s">
        <v>254</v>
      </c>
      <c r="K36" s="11" t="str">
        <f>HYPERLINK("https://us.assetplanner.com/service_request?ID=77287","SR077287")</f>
        <v>SR077287</v>
      </c>
      <c r="L36" t="s">
        <v>249</v>
      </c>
    </row>
    <row r="37" spans="1:12">
      <c r="A37" t="s">
        <v>186</v>
      </c>
      <c r="B37" t="s">
        <v>187</v>
      </c>
      <c r="C37" t="s">
        <v>274</v>
      </c>
      <c r="D37" t="s">
        <v>227</v>
      </c>
      <c r="E37" s="10">
        <v>45169.620138888888</v>
      </c>
      <c r="F37" t="s">
        <v>275</v>
      </c>
      <c r="G37" t="s">
        <v>190</v>
      </c>
      <c r="H37" t="s">
        <v>204</v>
      </c>
      <c r="I37" t="s">
        <v>191</v>
      </c>
      <c r="J37" t="s">
        <v>229</v>
      </c>
      <c r="K37" s="11" t="str">
        <f>HYPERLINK("https://us.assetplanner.com/service_request?ID=75642","SR075642")</f>
        <v>SR075642</v>
      </c>
      <c r="L37" t="s">
        <v>249</v>
      </c>
    </row>
    <row r="38" spans="1:12">
      <c r="A38" t="s">
        <v>186</v>
      </c>
      <c r="B38" t="s">
        <v>187</v>
      </c>
      <c r="C38" t="s">
        <v>276</v>
      </c>
      <c r="D38" t="s">
        <v>193</v>
      </c>
      <c r="E38" s="10">
        <v>45147.531944444447</v>
      </c>
      <c r="F38" t="s">
        <v>277</v>
      </c>
      <c r="G38" t="s">
        <v>190</v>
      </c>
      <c r="H38" t="s">
        <v>204</v>
      </c>
      <c r="I38" t="s">
        <v>191</v>
      </c>
      <c r="J38" t="s">
        <v>229</v>
      </c>
      <c r="K38" s="11" t="str">
        <f>HYPERLINK("https://us.assetplanner.com/service_request?ID=74887","SR074887")</f>
        <v>SR074887</v>
      </c>
      <c r="L38" t="s">
        <v>249</v>
      </c>
    </row>
    <row r="39" spans="1:12">
      <c r="A39" t="s">
        <v>186</v>
      </c>
      <c r="B39" t="s">
        <v>187</v>
      </c>
      <c r="C39" t="s">
        <v>278</v>
      </c>
      <c r="D39" t="s">
        <v>47</v>
      </c>
      <c r="E39" s="10">
        <v>45120.525694444441</v>
      </c>
      <c r="F39" t="s">
        <v>279</v>
      </c>
      <c r="G39" t="s">
        <v>190</v>
      </c>
      <c r="H39" t="s">
        <v>204</v>
      </c>
      <c r="I39" t="s">
        <v>191</v>
      </c>
      <c r="J39" t="s">
        <v>254</v>
      </c>
      <c r="K39" s="11" t="str">
        <f>HYPERLINK("https://us.assetplanner.com/service_request?ID=73825","SR073825")</f>
        <v>SR073825</v>
      </c>
      <c r="L39" t="s">
        <v>249</v>
      </c>
    </row>
    <row r="40" spans="1:12">
      <c r="A40" t="s">
        <v>186</v>
      </c>
      <c r="B40" t="s">
        <v>187</v>
      </c>
      <c r="C40" t="s">
        <v>280</v>
      </c>
      <c r="D40" t="s">
        <v>144</v>
      </c>
      <c r="E40" s="10">
        <v>45118.582638888889</v>
      </c>
      <c r="F40" t="s">
        <v>281</v>
      </c>
      <c r="G40" t="s">
        <v>190</v>
      </c>
      <c r="H40" t="s">
        <v>204</v>
      </c>
      <c r="I40" t="s">
        <v>191</v>
      </c>
      <c r="J40" t="s">
        <v>229</v>
      </c>
      <c r="K40" s="11" t="str">
        <f>HYPERLINK("https://us.assetplanner.com/service_request?ID=73743","SR073743")</f>
        <v>SR073743</v>
      </c>
      <c r="L40" t="s">
        <v>249</v>
      </c>
    </row>
    <row r="41" spans="1:12">
      <c r="A41" t="s">
        <v>186</v>
      </c>
      <c r="B41" t="s">
        <v>187</v>
      </c>
      <c r="C41" t="s">
        <v>260</v>
      </c>
      <c r="D41" t="s">
        <v>193</v>
      </c>
      <c r="E41" s="10">
        <v>45068.599305555559</v>
      </c>
      <c r="F41" t="s">
        <v>282</v>
      </c>
      <c r="G41" t="s">
        <v>190</v>
      </c>
      <c r="H41" t="s">
        <v>204</v>
      </c>
      <c r="I41" t="s">
        <v>191</v>
      </c>
      <c r="J41" t="s">
        <v>229</v>
      </c>
      <c r="K41" s="11" t="str">
        <f>HYPERLINK("https://us.assetplanner.com/service_request?ID=71782","SR071782")</f>
        <v>SR071782</v>
      </c>
      <c r="L41" t="s">
        <v>249</v>
      </c>
    </row>
    <row r="42" spans="1:12">
      <c r="A42" t="s">
        <v>186</v>
      </c>
      <c r="B42" t="s">
        <v>187</v>
      </c>
      <c r="C42" t="s">
        <v>283</v>
      </c>
      <c r="D42" t="s">
        <v>36</v>
      </c>
      <c r="E42" s="10">
        <v>45055.59097222222</v>
      </c>
      <c r="F42" t="s">
        <v>284</v>
      </c>
      <c r="G42" t="s">
        <v>190</v>
      </c>
      <c r="H42" t="s">
        <v>204</v>
      </c>
      <c r="I42" t="s">
        <v>191</v>
      </c>
      <c r="J42" t="s">
        <v>229</v>
      </c>
      <c r="K42" s="11" t="str">
        <f>HYPERLINK("https://us.assetplanner.com/service_request?ID=71467","SR071467")</f>
        <v>SR071467</v>
      </c>
      <c r="L42" t="s">
        <v>249</v>
      </c>
    </row>
    <row r="43" spans="1:12">
      <c r="A43" t="s">
        <v>186</v>
      </c>
      <c r="B43" t="s">
        <v>187</v>
      </c>
      <c r="C43" t="s">
        <v>285</v>
      </c>
      <c r="D43" t="s">
        <v>193</v>
      </c>
      <c r="E43" s="10">
        <v>45037.523611111108</v>
      </c>
      <c r="F43" t="s">
        <v>286</v>
      </c>
      <c r="G43" t="s">
        <v>190</v>
      </c>
      <c r="H43" t="s">
        <v>204</v>
      </c>
      <c r="I43" t="s">
        <v>191</v>
      </c>
      <c r="J43" t="s">
        <v>229</v>
      </c>
      <c r="K43" s="11" t="str">
        <f>HYPERLINK("https://us.assetplanner.com/service_request?ID=70992","SR070992")</f>
        <v>SR070992</v>
      </c>
      <c r="L43" t="s">
        <v>249</v>
      </c>
    </row>
    <row r="44" spans="1:12">
      <c r="A44" t="s">
        <v>186</v>
      </c>
      <c r="B44" t="s">
        <v>187</v>
      </c>
      <c r="C44" t="s">
        <v>287</v>
      </c>
      <c r="D44" t="s">
        <v>288</v>
      </c>
      <c r="E44" s="10">
        <v>44929.522916666669</v>
      </c>
      <c r="F44" t="s">
        <v>289</v>
      </c>
      <c r="G44" t="s">
        <v>190</v>
      </c>
      <c r="H44" t="s">
        <v>204</v>
      </c>
      <c r="I44" t="s">
        <v>191</v>
      </c>
      <c r="J44" t="s">
        <v>229</v>
      </c>
      <c r="K44" s="11" t="str">
        <f>HYPERLINK("https://us.assetplanner.com/service_request?ID=68143","SR068143")</f>
        <v>SR068143</v>
      </c>
      <c r="L44" t="s">
        <v>249</v>
      </c>
    </row>
    <row r="45" spans="1:12">
      <c r="A45" t="s">
        <v>168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L45" t="s">
        <v>17</v>
      </c>
    </row>
    <row r="46" spans="1:12" ht="15"/>
    <row r="47" spans="1:12" ht="15"/>
    <row r="48" spans="1:12" ht="1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D217C779-254B-49A3-B840-6E841313902A}"/>
</file>

<file path=customXml/itemProps2.xml><?xml version="1.0" encoding="utf-8"?>
<ds:datastoreItem xmlns:ds="http://schemas.openxmlformats.org/officeDocument/2006/customXml" ds:itemID="{DD239BA9-AC90-4E4F-B400-F07CD2E62922}"/>
</file>

<file path=customXml/itemProps3.xml><?xml version="1.0" encoding="utf-8"?>
<ds:datastoreItem xmlns:ds="http://schemas.openxmlformats.org/officeDocument/2006/customXml" ds:itemID="{CE776281-32E8-4894-9659-034DED0A14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Zierlein, Roy</cp:lastModifiedBy>
  <cp:revision/>
  <dcterms:created xsi:type="dcterms:W3CDTF">2025-08-08T03:30:17Z</dcterms:created>
  <dcterms:modified xsi:type="dcterms:W3CDTF">2025-09-24T19:54:28Z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2025-09-24T19:53:30Z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25a00975-0241-4250-87ef-1f0ccb0c508b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