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16B6C0A-A424-481D-AD0F-BAE80C3D897C}" xr6:coauthVersionLast="47" xr6:coauthVersionMax="47" xr10:uidLastSave="{00000000-0000-0000-0000-000000000000}"/>
  <bookViews>
    <workbookView xWindow="28680" yWindow="-120" windowWidth="29040" windowHeight="15720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9" l="1" a="1"/>
  <c r="A1" i="19" s="1"/>
  <c r="F4" i="4"/>
  <c r="I5" i="1"/>
  <c r="I6" i="1"/>
  <c r="I7" i="1"/>
  <c r="I4" i="1"/>
  <c r="F6" i="1"/>
  <c r="F4" i="1"/>
  <c r="I6" i="4"/>
  <c r="I4" i="4"/>
  <c r="I6" i="3"/>
  <c r="I4" i="3"/>
  <c r="I6" i="72"/>
  <c r="I7" i="72"/>
  <c r="I4" i="72"/>
  <c r="F6" i="4"/>
  <c r="F6" i="3"/>
  <c r="F4" i="3"/>
  <c r="F6" i="72"/>
  <c r="F4" i="72"/>
  <c r="E4" i="4"/>
  <c r="E5" i="4"/>
  <c r="F5" i="4" s="1"/>
  <c r="E7" i="3"/>
  <c r="F7" i="3" s="1"/>
  <c r="G6" i="18"/>
  <c r="G7" i="18"/>
  <c r="G5" i="18"/>
  <c r="G4" i="18"/>
  <c r="G2" i="18" s="1"/>
  <c r="G6" i="30"/>
  <c r="G7" i="30"/>
  <c r="G5" i="30"/>
  <c r="G4" i="30"/>
  <c r="G6" i="29"/>
  <c r="G7" i="29"/>
  <c r="G4" i="29"/>
  <c r="G5" i="29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J2" i="33"/>
  <c r="E4" i="3"/>
  <c r="H4" i="3"/>
  <c r="E5" i="3"/>
  <c r="F5" i="3" s="1"/>
  <c r="H5" i="3"/>
  <c r="I5" i="3" s="1"/>
  <c r="E6" i="3"/>
  <c r="H6" i="3"/>
  <c r="H7" i="3"/>
  <c r="I7" i="3" s="1"/>
  <c r="E8" i="3"/>
  <c r="G8" i="3"/>
  <c r="H8" i="3"/>
  <c r="E9" i="72"/>
  <c r="F9" i="72"/>
  <c r="H9" i="72"/>
  <c r="I9" i="72"/>
  <c r="G6" i="1"/>
  <c r="G7" i="1"/>
  <c r="G5" i="1"/>
  <c r="G4" i="1"/>
  <c r="B4" i="34" a="1"/>
  <c r="B4" i="34"/>
  <c r="A4" i="34" a="1"/>
  <c r="A4" i="34"/>
  <c r="A1" i="34" a="1"/>
  <c r="A1" i="34"/>
  <c r="D7" i="30"/>
  <c r="C7" i="30"/>
  <c r="D6" i="30"/>
  <c r="C6" i="30"/>
  <c r="D5" i="30"/>
  <c r="C5" i="30"/>
  <c r="D4" i="30"/>
  <c r="C4" i="30"/>
  <c r="D7" i="29"/>
  <c r="C7" i="29"/>
  <c r="D6" i="29"/>
  <c r="C6" i="29"/>
  <c r="E6" i="29" s="1"/>
  <c r="F6" i="29" s="1"/>
  <c r="D5" i="29"/>
  <c r="C5" i="29"/>
  <c r="E5" i="29" s="1"/>
  <c r="F5" i="29" s="1"/>
  <c r="D4" i="29"/>
  <c r="C4" i="29"/>
  <c r="E4" i="29" s="1"/>
  <c r="F4" i="29" s="1"/>
  <c r="D7" i="18"/>
  <c r="C7" i="18"/>
  <c r="D6" i="18"/>
  <c r="C6" i="18"/>
  <c r="C6" i="34" s="1"/>
  <c r="D5" i="18"/>
  <c r="C5" i="18"/>
  <c r="D4" i="18"/>
  <c r="C4" i="18"/>
  <c r="C4" i="34" s="1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 s="1"/>
  <c r="C7" i="1"/>
  <c r="C6" i="1"/>
  <c r="C5" i="1"/>
  <c r="C4" i="1"/>
  <c r="D6" i="1"/>
  <c r="D7" i="1"/>
  <c r="D5" i="1"/>
  <c r="D4" i="1"/>
  <c r="B4" i="1" a="1"/>
  <c r="B4" i="1"/>
  <c r="A4" i="1" a="1"/>
  <c r="A4" i="1"/>
  <c r="A1" i="1" a="1"/>
  <c r="A1" i="1" s="1"/>
  <c r="H8" i="33"/>
  <c r="I8" i="33"/>
  <c r="E8" i="33"/>
  <c r="F8" i="33"/>
  <c r="H7" i="33"/>
  <c r="I7" i="33"/>
  <c r="E7" i="33"/>
  <c r="F7" i="33"/>
  <c r="H6" i="33"/>
  <c r="E6" i="33"/>
  <c r="F6" i="33"/>
  <c r="H5" i="33"/>
  <c r="I5" i="33"/>
  <c r="E5" i="33"/>
  <c r="F5" i="33"/>
  <c r="H4" i="33"/>
  <c r="I4" i="33"/>
  <c r="E4" i="33"/>
  <c r="F4" i="33"/>
  <c r="G2" i="33"/>
  <c r="D2" i="33"/>
  <c r="C2" i="33"/>
  <c r="A1" i="33" a="1"/>
  <c r="A1" i="33" s="1"/>
  <c r="H8" i="32"/>
  <c r="I8" i="32"/>
  <c r="E8" i="32"/>
  <c r="F8" i="32"/>
  <c r="H7" i="32"/>
  <c r="I7" i="32"/>
  <c r="E7" i="32"/>
  <c r="F7" i="32"/>
  <c r="H6" i="32"/>
  <c r="I6" i="32"/>
  <c r="E6" i="32"/>
  <c r="F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7" i="31"/>
  <c r="I7" i="31"/>
  <c r="E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 s="1"/>
  <c r="H8" i="28"/>
  <c r="I8" i="28"/>
  <c r="E8" i="28"/>
  <c r="F8" i="28"/>
  <c r="H7" i="28"/>
  <c r="I7" i="28"/>
  <c r="E7" i="28"/>
  <c r="F7" i="28"/>
  <c r="H6" i="28"/>
  <c r="I6" i="28"/>
  <c r="E6" i="28"/>
  <c r="F6" i="28"/>
  <c r="H5" i="28"/>
  <c r="I5" i="28"/>
  <c r="E5" i="28"/>
  <c r="F5" i="28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8" i="27"/>
  <c r="I8" i="27"/>
  <c r="E8" i="27"/>
  <c r="F8" i="27"/>
  <c r="H7" i="27"/>
  <c r="H7" i="29" s="1"/>
  <c r="I7" i="29" s="1"/>
  <c r="E7" i="27"/>
  <c r="F7" i="27" s="1"/>
  <c r="H6" i="27"/>
  <c r="I6" i="27" s="1"/>
  <c r="E6" i="27"/>
  <c r="F6" i="27" s="1"/>
  <c r="H5" i="27"/>
  <c r="I5" i="27" s="1"/>
  <c r="E5" i="27"/>
  <c r="F5" i="27"/>
  <c r="H4" i="27"/>
  <c r="I4" i="27" s="1"/>
  <c r="E4" i="27"/>
  <c r="F4" i="27" s="1"/>
  <c r="G2" i="27"/>
  <c r="D2" i="27"/>
  <c r="C2" i="27"/>
  <c r="A1" i="27" a="1"/>
  <c r="A1" i="27"/>
  <c r="H8" i="26"/>
  <c r="E8" i="26"/>
  <c r="F8" i="26"/>
  <c r="H7" i="26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G2" i="26"/>
  <c r="H2" i="26" s="1"/>
  <c r="I2" i="26" s="1"/>
  <c r="D2" i="26"/>
  <c r="E2" i="26" s="1"/>
  <c r="F2" i="26" s="1"/>
  <c r="C2" i="26"/>
  <c r="J2" i="26" s="1"/>
  <c r="A1" i="26" a="1"/>
  <c r="A1" i="26"/>
  <c r="H8" i="19"/>
  <c r="I8" i="19"/>
  <c r="E8" i="19"/>
  <c r="F8" i="19"/>
  <c r="H7" i="19"/>
  <c r="I7" i="19" s="1"/>
  <c r="E7" i="19"/>
  <c r="F7" i="19" s="1"/>
  <c r="H6" i="19"/>
  <c r="I6" i="19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E2" i="19" s="1"/>
  <c r="F2" i="19" s="1"/>
  <c r="H8" i="20"/>
  <c r="I8" i="20"/>
  <c r="E8" i="20"/>
  <c r="F8" i="20"/>
  <c r="H7" i="20"/>
  <c r="I7" i="20"/>
  <c r="E7" i="20"/>
  <c r="F7" i="20"/>
  <c r="H6" i="20"/>
  <c r="I6" i="20" s="1"/>
  <c r="E6" i="20"/>
  <c r="F6" i="20"/>
  <c r="H5" i="20"/>
  <c r="I5" i="20"/>
  <c r="E5" i="20"/>
  <c r="F5" i="20" s="1"/>
  <c r="H4" i="20"/>
  <c r="I4" i="20"/>
  <c r="E4" i="20"/>
  <c r="F4" i="20"/>
  <c r="G2" i="20"/>
  <c r="D2" i="20"/>
  <c r="C2" i="20"/>
  <c r="J2" i="20" s="1"/>
  <c r="A1" i="20" a="1"/>
  <c r="A1" i="20" s="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E4" i="21"/>
  <c r="F4" i="21"/>
  <c r="G2" i="21"/>
  <c r="D2" i="21"/>
  <c r="C2" i="21"/>
  <c r="A1" i="21" a="1"/>
  <c r="A1" i="21" s="1"/>
  <c r="H8" i="4"/>
  <c r="I8" i="4"/>
  <c r="E8" i="4"/>
  <c r="F8" i="4"/>
  <c r="H7" i="4"/>
  <c r="I7" i="4" s="1"/>
  <c r="E7" i="4"/>
  <c r="F7" i="4" s="1"/>
  <c r="H6" i="4"/>
  <c r="E6" i="4"/>
  <c r="H5" i="4"/>
  <c r="I5" i="4" s="1"/>
  <c r="H4" i="4"/>
  <c r="G2" i="4"/>
  <c r="H2" i="4" s="1"/>
  <c r="I2" i="4" s="1"/>
  <c r="D2" i="4"/>
  <c r="C2" i="4"/>
  <c r="J2" i="4" s="1"/>
  <c r="A1" i="4" a="1"/>
  <c r="A1" i="4"/>
  <c r="G2" i="3"/>
  <c r="D2" i="3"/>
  <c r="C2" i="3"/>
  <c r="J2" i="3" s="1"/>
  <c r="A1" i="3" a="1"/>
  <c r="A1" i="3" s="1"/>
  <c r="E5" i="72"/>
  <c r="F5" i="72" s="1"/>
  <c r="E6" i="72"/>
  <c r="E7" i="72"/>
  <c r="F7" i="72" s="1"/>
  <c r="E8" i="72"/>
  <c r="F8" i="72"/>
  <c r="H6" i="72"/>
  <c r="H7" i="72"/>
  <c r="H7" i="1" s="1"/>
  <c r="H8" i="72"/>
  <c r="I8" i="72"/>
  <c r="H5" i="72"/>
  <c r="I5" i="72" s="1"/>
  <c r="H4" i="72"/>
  <c r="G2" i="72"/>
  <c r="D2" i="72"/>
  <c r="C2" i="72"/>
  <c r="J2" i="72" s="1"/>
  <c r="E4" i="72"/>
  <c r="A1" i="72" a="1"/>
  <c r="A1" i="72"/>
  <c r="I4" i="21"/>
  <c r="H2" i="28"/>
  <c r="I2" i="28"/>
  <c r="G4" i="34"/>
  <c r="H6" i="29"/>
  <c r="I6" i="29" s="1"/>
  <c r="D6" i="34"/>
  <c r="G2" i="30"/>
  <c r="H2" i="33"/>
  <c r="I2" i="33"/>
  <c r="H2" i="32"/>
  <c r="I2" i="32"/>
  <c r="H2" i="31"/>
  <c r="I2" i="31"/>
  <c r="E6" i="18"/>
  <c r="F6" i="18" s="1"/>
  <c r="H2" i="21"/>
  <c r="I2" i="21"/>
  <c r="J2" i="21"/>
  <c r="E5" i="30"/>
  <c r="F5" i="30"/>
  <c r="E2" i="28"/>
  <c r="F2" i="28"/>
  <c r="I8" i="29"/>
  <c r="E5" i="18"/>
  <c r="F5" i="18" s="1"/>
  <c r="J2" i="28"/>
  <c r="D2" i="30"/>
  <c r="J2" i="31"/>
  <c r="H6" i="30"/>
  <c r="J2" i="32"/>
  <c r="E6" i="30"/>
  <c r="F6" i="30"/>
  <c r="I6" i="33"/>
  <c r="D4" i="34"/>
  <c r="E4" i="30"/>
  <c r="F4" i="30"/>
  <c r="E6" i="1"/>
  <c r="H4" i="30"/>
  <c r="I4" i="30"/>
  <c r="E7" i="30"/>
  <c r="F7" i="30"/>
  <c r="H7" i="30"/>
  <c r="H5" i="30"/>
  <c r="I8" i="26"/>
  <c r="I7" i="26"/>
  <c r="C2" i="30"/>
  <c r="H4" i="1"/>
  <c r="H6" i="1"/>
  <c r="E2" i="3"/>
  <c r="F2" i="3" s="1"/>
  <c r="E4" i="1"/>
  <c r="E2" i="33"/>
  <c r="F2" i="33"/>
  <c r="E2" i="32"/>
  <c r="F2" i="32"/>
  <c r="E2" i="31"/>
  <c r="F2" i="31"/>
  <c r="E2" i="21"/>
  <c r="F2" i="21"/>
  <c r="I6" i="30"/>
  <c r="I5" i="30"/>
  <c r="I7" i="30"/>
  <c r="H2" i="30"/>
  <c r="I2" i="30"/>
  <c r="E2" i="30"/>
  <c r="F2" i="30"/>
  <c r="E2" i="72"/>
  <c r="F2" i="72" s="1"/>
  <c r="G2" i="29" l="1"/>
  <c r="I7" i="27"/>
  <c r="H4" i="29"/>
  <c r="I4" i="29" s="1"/>
  <c r="E2" i="27"/>
  <c r="F2" i="27" s="1"/>
  <c r="J2" i="27"/>
  <c r="H2" i="27"/>
  <c r="I2" i="27" s="1"/>
  <c r="D2" i="29"/>
  <c r="E7" i="29"/>
  <c r="F7" i="29" s="1"/>
  <c r="G7" i="34"/>
  <c r="G6" i="34"/>
  <c r="H5" i="29"/>
  <c r="I5" i="29" s="1"/>
  <c r="C7" i="34"/>
  <c r="C2" i="29"/>
  <c r="H7" i="18"/>
  <c r="E7" i="18"/>
  <c r="F7" i="18" s="1"/>
  <c r="H4" i="18"/>
  <c r="I4" i="18" s="1"/>
  <c r="E4" i="18"/>
  <c r="F4" i="18" s="1"/>
  <c r="C2" i="18"/>
  <c r="J2" i="19"/>
  <c r="H2" i="19"/>
  <c r="I2" i="19" s="1"/>
  <c r="H5" i="18"/>
  <c r="C5" i="34"/>
  <c r="C2" i="34" s="1"/>
  <c r="D2" i="18"/>
  <c r="E4" i="34"/>
  <c r="F4" i="34" s="1"/>
  <c r="E6" i="34"/>
  <c r="F6" i="34" s="1"/>
  <c r="D7" i="34"/>
  <c r="E7" i="34" s="1"/>
  <c r="F7" i="34" s="1"/>
  <c r="I7" i="18"/>
  <c r="G5" i="34"/>
  <c r="I5" i="18"/>
  <c r="H2" i="18"/>
  <c r="I2" i="18" s="1"/>
  <c r="H4" i="34"/>
  <c r="I4" i="34" s="1"/>
  <c r="E2" i="20"/>
  <c r="F2" i="20" s="1"/>
  <c r="H6" i="18"/>
  <c r="H2" i="20"/>
  <c r="I2" i="20" s="1"/>
  <c r="H2" i="72"/>
  <c r="I2" i="72" s="1"/>
  <c r="D2" i="1"/>
  <c r="E2" i="4"/>
  <c r="F2" i="4" s="1"/>
  <c r="G2" i="1"/>
  <c r="D5" i="34"/>
  <c r="E5" i="1"/>
  <c r="F5" i="1" s="1"/>
  <c r="C2" i="1"/>
  <c r="E7" i="1"/>
  <c r="F7" i="1" s="1"/>
  <c r="H2" i="3"/>
  <c r="I2" i="3" s="1"/>
  <c r="H7" i="34"/>
  <c r="H5" i="1"/>
  <c r="I7" i="34" l="1"/>
  <c r="G2" i="34"/>
  <c r="H2" i="34" s="1"/>
  <c r="I2" i="34" s="1"/>
  <c r="H2" i="29"/>
  <c r="I2" i="29" s="1"/>
  <c r="E2" i="29"/>
  <c r="F2" i="29" s="1"/>
  <c r="E2" i="18"/>
  <c r="F2" i="18" s="1"/>
  <c r="D2" i="34"/>
  <c r="E2" i="34" s="1"/>
  <c r="F2" i="34" s="1"/>
  <c r="I6" i="18"/>
  <c r="H6" i="34"/>
  <c r="I6" i="34" s="1"/>
  <c r="E5" i="34"/>
  <c r="F5" i="34" s="1"/>
  <c r="E2" i="1"/>
  <c r="F2" i="1" s="1"/>
  <c r="H2" i="1"/>
  <c r="I2" i="1" s="1"/>
  <c r="H5" i="34"/>
  <c r="I5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<sst xmlns="http://schemas.openxmlformats.org/spreadsheetml/2006/main" count="351" uniqueCount="79">
  <si>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</si>
  <si>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</si>
  <si>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</si>
  <si>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</si>
  <si>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</si>
  <si>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</si>
  <si>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</si>
  <si>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</si>
  <si>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</si>
  <si>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</si>
  <si>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</si>
  <si>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</si>
  <si>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</si>
  <si>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</si>
  <si>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</si>
  <si>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</si>
  <si>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</si>
  <si>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</si>
  <si>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</si>
  <si>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</si>
  <si>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</si>
  <si>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</si>
  <si>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has not been reporting since 10/29/2024 due to the replacement of the GHI sensor and POA sensor.</t>
  </si>
  <si>
    <t>1.SR094976, SR092908</t>
  </si>
  <si>
    <t>SR092908</t>
  </si>
  <si>
    <t>1.  Weather station has not been reporting since 10/29/2024 due to the 
replacement of the GHI sensor and POA sensor.
2. Site was taken offline from 10:00 AM to 2:00PM on 01/09/25 to replace the inverter 1 conductor and make the inverter 1 fully operational.
3. Site was taken offline from 9:00AM to 12:00PM on 01/15/25 to perform an Annual Preventative Maintenance Inspection.</t>
  </si>
  <si>
    <t>1. SR094976
2. SR086609
3. PM8296</t>
  </si>
  <si>
    <t>SR086609</t>
  </si>
  <si>
    <t xml:space="preserve"> 1. Weather station has not been reporting since 10/29/2024 due to the replacement of the GHI sensor and POA sensor.
2. Site was taken offline from 9:15AM to 11:15AM on 01/07/25 to perform an Annual Preventative Maintenance Inspection.
</t>
  </si>
  <si>
    <t>1.SR094976
2. PM8361</t>
  </si>
  <si>
    <t>1. Site was taken offline from 09:00AM to 11:15AM on 01/06/25 to perform an Annual Preventative Maintenance Inspection.</t>
  </si>
  <si>
    <t>1. PM8441</t>
  </si>
  <si>
    <t>February Actual v. Expected</t>
  </si>
  <si>
    <t>February Actual v. Forecasted</t>
  </si>
  <si>
    <t>1. Weather station has not been reporting since 10/29/2024 due to the 
replacement of the GHI sensor and POA sensor.</t>
  </si>
  <si>
    <t>1. SR094976</t>
  </si>
  <si>
    <t>1. All Lake Havasu sites experienced a poor production day on 02/13/25, yet only the Public Works has a functioning Weather Station, therefore it kicked the difference.</t>
  </si>
  <si>
    <t>March Actual v. Expected</t>
  </si>
  <si>
    <t>March Actual v. Forecasted</t>
  </si>
  <si>
    <t>1.SR094976</t>
  </si>
  <si>
    <t>1.The weather station reported irradiance spikes of 5697 W/m² during non-production hours on 03/14 and 03/16 ,03/19 and after that did not reoccurred.</t>
  </si>
  <si>
    <t>April Actual v. Expected</t>
  </si>
  <si>
    <t>April Actual v. Forecasted</t>
  </si>
  <si>
    <t>N/A</t>
  </si>
  <si>
    <t>1.The weather station reported irradiance spike of 5697 W/m² during non-production hours on 04/08 and a spike of 6611 W/m² on 04/17 during production hours. We are working with Asset planner team on this issue.</t>
  </si>
  <si>
    <t>1. SR100810</t>
  </si>
  <si>
    <t>May Actual v. Expected</t>
  </si>
  <si>
    <t>May Actual v. Forecasted</t>
  </si>
  <si>
    <t>1. SR094976, SR092908</t>
  </si>
  <si>
    <t>1.The weather station reported irradiance spike of 5697 W/m² during non-production hours and a spike of 6611 W/m² during production hours. The issue was resolved on 05/01 after Asset planner added a filter to block these erraneous readings.</t>
  </si>
  <si>
    <t>June Actual v. Expected</t>
  </si>
  <si>
    <t>June Actual v. Forecasted</t>
  </si>
  <si>
    <t>1. We don’t have inverter communications or CB data; therefore, we’re unable to confirm the energy differential between actual and expected values.</t>
  </si>
  <si>
    <t>July Actual v. Expected</t>
  </si>
  <si>
    <t>July Actual v. Forecasted</t>
  </si>
  <si>
    <t>1.Weather station has not been reporting since 10/29/2024 due to the replacement of the GHI sensor and POA sensor.</t>
  </si>
  <si>
    <t>1. We don’t have inverter communications or CB data; therefore, 
we’re unable to confirm the energy differential between actual and expected values.</t>
  </si>
  <si>
    <t>August Actual v. Expected</t>
  </si>
  <si>
    <t>August Actual v. Forecasted</t>
  </si>
  <si>
    <t xml:space="preserve">1.Site stopped communicating at 11:00 MST on 08/26 and production cannot be confirmed. Site modem is offline.
2.We don’t have inverter communications or CB data; therefore, 
we’re unable to confirm the energy differential between actual and expected values.
 </t>
  </si>
  <si>
    <t>1.	SR106981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</si>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</sst>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7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0" fontId="27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left" vertical="center"/>
    </xf>
    <xf numFmtId="0" fontId="35" fillId="0" borderId="0" xfId="45"/>
    <xf numFmtId="0" fontId="35" fillId="0" borderId="0" xfId="45" applyAlignment="1">
      <alignment horizontal="left" vertical="top"/>
    </xf>
    <xf numFmtId="49" fontId="35" fillId="0" borderId="0" xfId="45" applyNumberFormat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164" fontId="28" fillId="44" borderId="0" xfId="1" applyNumberFormat="1" applyFont="1" applyFill="1" applyAlignment="1">
      <alignment horizontal="right" vertical="center"/>
    </xf>
    <xf numFmtId="3" fontId="30" fillId="4" borderId="0" xfId="1" applyNumberFormat="1" applyFont="1" applyFill="1" applyAlignment="1">
      <alignment horizontal="right" vertical="center"/>
    </xf>
    <xf numFmtId="9" fontId="30" fillId="3" borderId="0" xfId="2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0" fontId="34" fillId="40" borderId="0" xfId="0" applyFont="1" applyFill="1" applyAlignment="1">
      <alignment horizontal="center" vertical="center"/>
    </xf>
    <xf numFmtId="49" fontId="35" fillId="0" borderId="0" xfId="45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us3.assetplanner.com/service_request?ID=086609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6981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34"/>
  <sheetViews>
    <sheetView workbookViewId="0">
      <pane ySplit="2" topLeftCell="A3" activePane="bottomLeft" state="frozen"/>
      <selection pane="bottomLef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8" t="str" cm="1">
        <f t="array" ref="A1">portfolio</f>
        <v>LX International America, Inc.</v>
      </c>
      <c r="B1" s="68"/>
      <c r="C1" s="68"/>
      <c r="D1" s="69" t="s">
        <v>0</v>
      </c>
      <c r="E1" s="69"/>
      <c r="F1" s="69"/>
      <c r="G1" s="67" t="s">
        <v>1</v>
      </c>
      <c r="H1" s="67"/>
      <c r="I1" s="67"/>
    </row>
    <row r="2" spans="1:11" ht="19.5" customHeight="1">
      <c r="A2" s="70" t="s">
        <v>2</v>
      </c>
      <c r="B2" s="70"/>
      <c r="C2" s="6">
        <f>SUM(C4:C92)</f>
        <v>953174.84</v>
      </c>
      <c r="D2" s="6">
        <f>SUM(D4:D92)</f>
        <v>91746.11</v>
      </c>
      <c r="E2" s="6">
        <f>C2-D2</f>
        <v>861428.73</v>
      </c>
      <c r="F2" s="7">
        <f>IFERROR(E2/D2, 0)</f>
        <v>9.3892670762825805</v>
      </c>
      <c r="G2" s="6">
        <f>SUM(G4:G92)</f>
        <v>0</v>
      </c>
      <c r="H2" s="8">
        <f>C2-G2</f>
        <v>953174.84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378453.75</v>
      </c>
      <c r="D4" s="14">
        <f>SUM('1st Qtr'!D4, '2nd Qtr'!D4, '3rd Qtr'!D4, '4th Qtr'!D4)</f>
        <v>0</v>
      </c>
      <c r="E4" s="14">
        <f>IF(AND(ISNUMBER(C4),ISNUMBER(D4)), C4-D4, "")</f>
        <v>378453.75</v>
      </c>
      <c r="F4" s="15" t="str">
        <f>IFERROR(E4/D4, "")</f>
        <v/>
      </c>
      <c r="G4" s="16">
        <f>SUM('1st Qtr'!G4, '2nd Qtr'!G4, '3rd Qtr'!G4, '4th Qtr'!G4)</f>
        <v>0</v>
      </c>
      <c r="H4" s="16">
        <f>SUM('1st Qtr'!H4, '2nd Qtr'!H4, '3rd Qtr'!H4, '4th Qtr'!H4)</f>
        <v>92331</v>
      </c>
      <c r="I4" s="17" t="str">
        <f>IFERROR(H4/G4, "")</f>
        <v/>
      </c>
    </row>
    <row r="5" spans="1:11" ht="28.35" customHeight="1">
      <c r="A5" s="32" t="str">
        <v>AZ: Lake Havasu City - Aquatic Center</v>
      </c>
      <c r="B5" s="33" t="str">
        <v>AZ</v>
      </c>
      <c r="C5" s="12">
        <f>SUM('1st Qtr'!C5, '2nd Qtr'!C5, '3rd Qtr'!C5, '4th Qtr'!C5)</f>
        <v>365731.5</v>
      </c>
      <c r="D5" s="20">
        <f>SUM('1st Qtr'!D5, '2nd Qtr'!D5, '3rd Qtr'!D5, '4th Qtr'!D5)</f>
        <v>0</v>
      </c>
      <c r="E5" s="20">
        <f t="shared" ref="E5:E7" si="0">IF(AND(ISNUMBER(C5),ISNUMBER(D5)), C5-D5, "")</f>
        <v>365731.5</v>
      </c>
      <c r="F5" s="21" t="str">
        <f t="shared" ref="F5:F7" si="1">IFERROR(E5/D5, "")</f>
        <v/>
      </c>
      <c r="G5" s="22">
        <f>SUM('1st Qtr'!G5, '2nd Qtr'!G5, '3rd Qtr'!G5, '4th Qtr'!G5)</f>
        <v>0</v>
      </c>
      <c r="H5" s="22">
        <f>SUM('1st Qtr'!H5, '2nd Qtr'!H5, '3rd Qtr'!H5, '4th Qtr'!H5)</f>
        <v>104664</v>
      </c>
      <c r="I5" s="21" t="str">
        <f t="shared" ref="I5:I7" si="2">IFERROR(H5/G5, 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SUM('1st Qtr'!C6, '2nd Qtr'!C6, '3rd Qtr'!C6, '4th Qtr'!C6)</f>
        <v>131703.20000000001</v>
      </c>
      <c r="D6" s="14">
        <f>SUM('1st Qtr'!D6, '2nd Qtr'!D6, '3rd Qtr'!D6, '4th Qtr'!D6)</f>
        <v>0</v>
      </c>
      <c r="E6" s="14">
        <f t="shared" si="0"/>
        <v>131703.20000000001</v>
      </c>
      <c r="F6" s="15" t="str">
        <f t="shared" si="1"/>
        <v/>
      </c>
      <c r="G6" s="16">
        <f>SUM('1st Qtr'!G6, '2nd Qtr'!G6, '3rd Qtr'!G6, '4th Qtr'!G6)</f>
        <v>0</v>
      </c>
      <c r="H6" s="16">
        <f>SUM('1st Qtr'!H6, '2nd Qtr'!H6, '3rd Qtr'!H6, '4th Qtr'!H6)</f>
        <v>36787.25</v>
      </c>
      <c r="I6" s="17" t="str">
        <f t="shared" si="2"/>
        <v/>
      </c>
    </row>
    <row r="7" spans="1:11" ht="23.45" customHeight="1">
      <c r="A7" s="32" t="str">
        <v>AZ: Lake Havasu City - Public Works</v>
      </c>
      <c r="B7" s="33" t="str">
        <v>AZ</v>
      </c>
      <c r="C7" s="12">
        <f>SUM('1st Qtr'!C7, '2nd Qtr'!C7, '3rd Qtr'!C7, '4th Qtr'!C7)</f>
        <v>77286.39</v>
      </c>
      <c r="D7" s="20">
        <f>SUM('1st Qtr'!D7, '2nd Qtr'!D7, '3rd Qtr'!D7, '4th Qtr'!D7)</f>
        <v>91746.11</v>
      </c>
      <c r="E7" s="20">
        <f t="shared" si="0"/>
        <v>-14459.720000000001</v>
      </c>
      <c r="F7" s="21">
        <f t="shared" si="1"/>
        <v>-0.15760581020819303</v>
      </c>
      <c r="G7" s="22">
        <f>SUM('1st Qtr'!G7, '2nd Qtr'!G7, '3rd Qtr'!G7, '4th Qtr'!G7)</f>
        <v>0</v>
      </c>
      <c r="H7" s="22">
        <f>SUM('1st Qtr'!H7, '2nd Qtr'!H7, '3rd Qtr'!H7, '4th Qtr'!H7)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mergeCells count="4">
    <mergeCell ref="G1:I1"/>
    <mergeCell ref="A1:C1"/>
    <mergeCell ref="D1:F1"/>
    <mergeCell ref="A2:B2"/>
  </mergeCells>
  <conditionalFormatting sqref="F2 I2">
    <cfRule type="cellIs" dxfId="48" priority="9" stopIfTrue="1" operator="lessThanOrEqual">
      <formula>-0.1</formula>
    </cfRule>
    <cfRule type="expression" dxfId="47" priority="10">
      <formula>AND(ISNUMBER(F2), F2&gt;=0.1)</formula>
    </cfRule>
  </conditionalFormatting>
  <conditionalFormatting sqref="F4:F92 I4:I92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34"/>
  <sheetViews>
    <sheetView workbookViewId="0">
      <pane ySplit="2" topLeftCell="A3" activePane="bottomLeft" state="frozen"/>
      <selection pane="bottomLeft" activeCell="I7" sqref="I7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8" t="str" cm="1">
        <f t="array" ref="A1">portfolio</f>
        <v>LX International America, Inc.</v>
      </c>
      <c r="B1" s="68"/>
      <c r="C1" s="68"/>
      <c r="D1" s="69" t="s">
        <v>10</v>
      </c>
      <c r="E1" s="69"/>
      <c r="F1" s="69"/>
      <c r="G1" s="67" t="s">
        <v>11</v>
      </c>
      <c r="H1" s="67"/>
      <c r="I1" s="67"/>
    </row>
    <row r="2" spans="1:11" ht="19.5" customHeight="1">
      <c r="A2" s="70" t="s">
        <v>2</v>
      </c>
      <c r="B2" s="70"/>
      <c r="C2" s="6">
        <f>SUM(C4:C92)</f>
        <v>257799.48</v>
      </c>
      <c r="D2" s="6">
        <f>SUM(D4:D92)</f>
        <v>27680.89</v>
      </c>
      <c r="E2" s="6">
        <f>C2-D2</f>
        <v>230118.59000000003</v>
      </c>
      <c r="F2" s="7">
        <f>IFERROR(E2/D2, 0)</f>
        <v>8.3132655778047617</v>
      </c>
      <c r="G2" s="6">
        <f>SUM(G4:G92)</f>
        <v>0</v>
      </c>
      <c r="H2" s="8">
        <f>C2-G2</f>
        <v>257799.48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92331</v>
      </c>
      <c r="D4" s="14">
        <f>SUM(Jan!D4, Feb!D4, Mar!D4)</f>
        <v>0</v>
      </c>
      <c r="E4" s="14">
        <f>IF(AND(ISNUMBER(C4),ISNUMBER(D4)), C4-D4, "")</f>
        <v>92331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92331</v>
      </c>
      <c r="I4" s="17" t="str">
        <f>IFERROR(H4/G4,"")</f>
        <v/>
      </c>
    </row>
    <row r="5" spans="1:11" ht="20.45" customHeight="1">
      <c r="A5" s="32" t="str">
        <v>AZ: Lake Havasu City - Aquatic Center</v>
      </c>
      <c r="B5" s="33" t="str">
        <v>AZ</v>
      </c>
      <c r="C5" s="12">
        <f>SUM(Jan!C5, Feb!C5, Mar!C5)</f>
        <v>104664</v>
      </c>
      <c r="D5" s="20">
        <f>SUM(Jan!D5, Feb!D5, Mar!D5)</f>
        <v>0</v>
      </c>
      <c r="E5" s="20">
        <f t="shared" ref="E5:E7" si="0">IF(AND(ISNUMBER(C5),ISNUMBER(D5)), C5-D5, "")</f>
        <v>104664</v>
      </c>
      <c r="F5" s="21" t="str">
        <f t="shared" ref="F5:F7" si="1">IFERROR(E5/D5, "")</f>
        <v/>
      </c>
      <c r="G5" s="22">
        <f>SUM(Jan!G5, Feb!G5, Mar!G5)</f>
        <v>0</v>
      </c>
      <c r="H5" s="22">
        <f>SUM(Jan!H5, Feb!H5, Mar!H5)</f>
        <v>104664</v>
      </c>
      <c r="I5" s="21" t="str">
        <f t="shared" ref="I5:I7" si="2">IFERROR(H5/G5,"")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SUM(Jan!C6, Feb!C6, Mar!C6)</f>
        <v>36787.25</v>
      </c>
      <c r="D6" s="14">
        <f>SUM(Jan!D6, Feb!D6, Mar!D6)</f>
        <v>0</v>
      </c>
      <c r="E6" s="14">
        <f t="shared" si="0"/>
        <v>36787.25</v>
      </c>
      <c r="F6" s="15" t="str">
        <f t="shared" si="1"/>
        <v/>
      </c>
      <c r="G6" s="16">
        <f>SUM(Jan!G6, Feb!G6, Mar!G6)</f>
        <v>0</v>
      </c>
      <c r="H6" s="16">
        <f>SUM(Jan!H6, Feb!H6, Mar!H6)</f>
        <v>36787.25</v>
      </c>
      <c r="I6" s="17" t="str">
        <f t="shared" si="2"/>
        <v/>
      </c>
    </row>
    <row r="7" spans="1:11" ht="20.45" customHeight="1">
      <c r="A7" s="32" t="str">
        <v>AZ: Lake Havasu City - Public Works</v>
      </c>
      <c r="B7" s="33" t="str">
        <v>AZ</v>
      </c>
      <c r="C7" s="12">
        <f>SUM(Jan!C7, Feb!C7, Mar!C7)</f>
        <v>24017.230000000003</v>
      </c>
      <c r="D7" s="20">
        <f>SUM(Jan!D7, Feb!D7, Mar!D7)</f>
        <v>27680.89</v>
      </c>
      <c r="E7" s="20">
        <f t="shared" si="0"/>
        <v>-3663.6599999999962</v>
      </c>
      <c r="F7" s="21">
        <f t="shared" si="1"/>
        <v>-0.13235340337684215</v>
      </c>
      <c r="G7" s="22">
        <f>SUM(Jan!G7, Feb!G7, Mar!G7)</f>
        <v>0</v>
      </c>
      <c r="H7" s="22">
        <f>SUM(Jan!H7, Feb!H7, Mar!H7)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4" priority="11" stopIfTrue="1" operator="lessThanOrEqual">
      <formula>-0.1</formula>
    </cfRule>
    <cfRule type="expression" dxfId="43" priority="12">
      <formula>AND(ISNUMBER(F2), F2&gt;=0.1)</formula>
    </cfRule>
  </conditionalFormatting>
  <conditionalFormatting sqref="F4:F92 I4:I92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D4" sqref="D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LX International America, Inc.</v>
      </c>
      <c r="B1" s="68"/>
      <c r="C1" s="68"/>
      <c r="D1" s="69" t="s">
        <v>12</v>
      </c>
      <c r="E1" s="69"/>
      <c r="F1" s="69"/>
      <c r="G1" s="67" t="s">
        <v>13</v>
      </c>
      <c r="H1" s="67"/>
      <c r="I1" s="67"/>
    </row>
    <row r="2" spans="1:9" ht="19.5" customHeight="1">
      <c r="A2" s="70" t="s">
        <v>2</v>
      </c>
      <c r="B2" s="70"/>
      <c r="C2" s="6">
        <f>SUM(C4:C93)</f>
        <v>420551.17</v>
      </c>
      <c r="D2" s="6">
        <f>SUM(D4:D93)</f>
        <v>40339.22</v>
      </c>
      <c r="E2" s="6">
        <f>C2-D2</f>
        <v>380211.94999999995</v>
      </c>
      <c r="F2" s="7">
        <f>IFERROR(E2/D2, 0)</f>
        <v>9.4253669257858714</v>
      </c>
      <c r="G2" s="6">
        <f>SUM(G4:G93)</f>
        <v>0</v>
      </c>
      <c r="H2" s="8">
        <f>C2-G2</f>
        <v>420551.17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166551.25</v>
      </c>
      <c r="D4" s="14">
        <f>SUM(Apr!D4, May!D4, Jun!D4)</f>
        <v>0</v>
      </c>
      <c r="E4" s="14">
        <f>IF(AND(ISNUMBER(C4),ISNUMBER(D4)), C4-D4, "")</f>
        <v>166551.25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161103</v>
      </c>
      <c r="D5" s="20">
        <f>SUM(Apr!D5, May!D5, Jun!D5)</f>
        <v>0</v>
      </c>
      <c r="E5" s="20">
        <f t="shared" ref="E5:E7" si="0">IF(AND(ISNUMBER(C5),ISNUMBER(D5)), C5-D5, "")</f>
        <v>161103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58469.25</v>
      </c>
      <c r="D6" s="14">
        <f>SUM(Apr!D6, May!D6, Jun!D6)</f>
        <v>0</v>
      </c>
      <c r="E6" s="14">
        <f t="shared" si="0"/>
        <v>58469.25</v>
      </c>
      <c r="F6" s="15" t="str">
        <f t="shared" ref="F6:F7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34427.67</v>
      </c>
      <c r="D7" s="20">
        <f>SUM(Apr!D7, May!D7, Jun!D7)</f>
        <v>40339.22</v>
      </c>
      <c r="E7" s="20">
        <f t="shared" si="0"/>
        <v>-5911.5500000000029</v>
      </c>
      <c r="F7" s="21">
        <f t="shared" si="1"/>
        <v>-0.14654596692747165</v>
      </c>
      <c r="G7" s="22">
        <f>SUM(Apr!G7,May!G7,Jun!G7)</f>
        <v>0</v>
      </c>
      <c r="H7" s="22">
        <f>SUM(Apr!H7, May!H7, Jun!H7)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E11" sqref="E11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LX International America, Inc.</v>
      </c>
      <c r="B1" s="68"/>
      <c r="C1" s="68"/>
      <c r="D1" s="69" t="s">
        <v>14</v>
      </c>
      <c r="E1" s="69"/>
      <c r="F1" s="69"/>
      <c r="G1" s="67" t="s">
        <v>15</v>
      </c>
      <c r="H1" s="67"/>
      <c r="I1" s="67"/>
    </row>
    <row r="2" spans="1:9" ht="19.5" customHeight="1">
      <c r="A2" s="70" t="s">
        <v>2</v>
      </c>
      <c r="B2" s="70"/>
      <c r="C2" s="6">
        <f>SUM(C4:C93)</f>
        <v>274824.19</v>
      </c>
      <c r="D2" s="6">
        <f>SUM(D4:D93)</f>
        <v>23726</v>
      </c>
      <c r="E2" s="6">
        <f>C2-D2</f>
        <v>251098.19</v>
      </c>
      <c r="F2" s="7">
        <f>IFERROR(E2/D2, 0)</f>
        <v>10.583250021073928</v>
      </c>
      <c r="G2" s="6">
        <f>SUM(G4:G93)</f>
        <v>0</v>
      </c>
      <c r="H2" s="8">
        <f>C2-G2</f>
        <v>274824.19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119571.5</v>
      </c>
      <c r="D4" s="14">
        <f>SUM(Jul!D4, Aug!D4, Sep!D4)</f>
        <v>0</v>
      </c>
      <c r="E4" s="14">
        <f>IF(AND(ISNUMBER(C4),ISNUMBER(D4)), C4-D4, "")</f>
        <v>119571.5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99964.5</v>
      </c>
      <c r="D5" s="20">
        <f>SUM(Jul!D5, Aug!D5, Sep!D5)</f>
        <v>0</v>
      </c>
      <c r="E5" s="20">
        <f t="shared" ref="E5:E7" si="0">IF(AND(ISNUMBER(C5),ISNUMBER(D5)), C5-D5, "")</f>
        <v>99964.5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36446.699999999997</v>
      </c>
      <c r="D6" s="14">
        <f>SUM(Jul!D6, Aug!D6, Sep!D6)</f>
        <v>0</v>
      </c>
      <c r="E6" s="14">
        <f t="shared" si="0"/>
        <v>36446.699999999997</v>
      </c>
      <c r="F6" s="15" t="str">
        <f t="shared" ref="F6:F7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18841.489999999998</v>
      </c>
      <c r="D7" s="20">
        <f>SUM(Jul!D7, Aug!D7, Sep!D7)</f>
        <v>23726</v>
      </c>
      <c r="E7" s="20">
        <f t="shared" si="0"/>
        <v>-4884.510000000002</v>
      </c>
      <c r="F7" s="21">
        <f t="shared" si="1"/>
        <v>-0.20587161763466247</v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F19" sqref="F19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LX International America, Inc.</v>
      </c>
      <c r="B1" s="68"/>
      <c r="C1" s="68"/>
      <c r="D1" s="69" t="s">
        <v>16</v>
      </c>
      <c r="E1" s="69"/>
      <c r="F1" s="69"/>
      <c r="G1" s="67" t="s">
        <v>17</v>
      </c>
      <c r="H1" s="67"/>
      <c r="I1" s="67"/>
    </row>
    <row r="2" spans="1:9" ht="19.5" customHeight="1">
      <c r="A2" s="70" t="s">
        <v>2</v>
      </c>
      <c r="B2" s="7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34"/>
  <sheetViews>
    <sheetView zoomScale="70" zoomScaleNormal="70" workbookViewId="0">
      <pane ySplit="3" topLeftCell="A4" activePane="bottomLeft" state="frozen"/>
      <selection pane="bottomLeft" activeCell="F13" sqref="F13"/>
      <selection activeCell="H22" sqref="H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18</v>
      </c>
      <c r="E1" s="69"/>
      <c r="F1" s="69"/>
      <c r="G1" s="67" t="s">
        <v>19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SUM(C4:C92)</f>
        <v>69692</v>
      </c>
      <c r="D2" s="6">
        <f>SUM(D4:D92)</f>
        <v>8421</v>
      </c>
      <c r="E2" s="6">
        <f>C2-D2</f>
        <v>61271</v>
      </c>
      <c r="F2" s="7">
        <f>IFERROR(E2/D2, 0)</f>
        <v>7.2759767248545302</v>
      </c>
      <c r="G2" s="6">
        <f>SUM(G4:G92)</f>
        <v>0</v>
      </c>
      <c r="H2" s="8">
        <f>C2-G2</f>
        <v>69692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23363</v>
      </c>
      <c r="D4" s="14">
        <v>0</v>
      </c>
      <c r="E4" s="14">
        <f>IF(AND(ISNUMBER(C4),ISNUMBER(D4)), C4-D4, "")</f>
        <v>23363</v>
      </c>
      <c r="F4" s="15" t="str">
        <f>IFERROR(E4/D4,"")</f>
        <v/>
      </c>
      <c r="G4" s="16">
        <v>0</v>
      </c>
      <c r="H4" s="16">
        <f>IF(AND(ISNUMBER(C4),ISNUMBER(G4)), C4-G4, "")</f>
        <v>23363</v>
      </c>
      <c r="I4" s="17" t="str">
        <f>IFERROR(H4/G4, "")</f>
        <v/>
      </c>
      <c r="J4" s="18" t="s">
        <v>22</v>
      </c>
      <c r="K4" s="58" t="s">
        <v>23</v>
      </c>
      <c r="L4" s="51" t="s">
        <v>24</v>
      </c>
    </row>
    <row r="5" spans="1:12" ht="28.35" customHeight="1">
      <c r="A5" s="32" t="str">
        <v>AZ: Lake Havasu City - Aquatic Center</v>
      </c>
      <c r="B5" s="33" t="str">
        <v>AZ</v>
      </c>
      <c r="C5" s="12">
        <v>29390</v>
      </c>
      <c r="D5" s="20">
        <v>0</v>
      </c>
      <c r="E5" s="20">
        <f t="shared" ref="E5:E6" si="0">IF(AND(ISNUMBER(C5),ISNUMBER(D5)), C5-D5, "")</f>
        <v>29390</v>
      </c>
      <c r="F5" s="21" t="str">
        <f t="shared" ref="F5:F7" si="1">IFERROR(E5/D5,"")</f>
        <v/>
      </c>
      <c r="G5" s="22">
        <v>0</v>
      </c>
      <c r="H5" s="22">
        <f t="shared" ref="H5:H6" si="2">IF(AND(ISNUMBER(C5),ISNUMBER(G5)), C5-G5, "")</f>
        <v>29390</v>
      </c>
      <c r="I5" s="21" t="str">
        <f t="shared" ref="I5:I7" si="3">IFERROR(H5/G5, "")</f>
        <v/>
      </c>
      <c r="J5" s="43" t="s">
        <v>25</v>
      </c>
      <c r="K5" s="53" t="s">
        <v>26</v>
      </c>
      <c r="L5" s="51" t="s">
        <v>27</v>
      </c>
    </row>
    <row r="6" spans="1:12" ht="63" customHeight="1">
      <c r="A6" s="30" t="str">
        <v>AZ: Lake Havasu City - City Hall</v>
      </c>
      <c r="B6" s="31" t="str">
        <v>AZ</v>
      </c>
      <c r="C6" s="26">
        <v>10074</v>
      </c>
      <c r="D6" s="14">
        <v>0</v>
      </c>
      <c r="E6" s="14">
        <f t="shared" si="0"/>
        <v>10074</v>
      </c>
      <c r="F6" s="15" t="str">
        <f t="shared" si="1"/>
        <v/>
      </c>
      <c r="G6" s="16">
        <v>0</v>
      </c>
      <c r="H6" s="16">
        <f t="shared" si="2"/>
        <v>10074</v>
      </c>
      <c r="I6" s="17" t="str">
        <f t="shared" si="3"/>
        <v/>
      </c>
      <c r="J6" s="18" t="s">
        <v>28</v>
      </c>
      <c r="K6" s="58" t="s">
        <v>29</v>
      </c>
    </row>
    <row r="7" spans="1:12" ht="28.35" customHeight="1">
      <c r="A7" s="32" t="str">
        <v>AZ: Lake Havasu City - Public Works</v>
      </c>
      <c r="B7" s="33" t="str">
        <v>AZ</v>
      </c>
      <c r="C7" s="12">
        <v>6865</v>
      </c>
      <c r="D7" s="20">
        <v>8421</v>
      </c>
      <c r="E7" s="20">
        <f t="shared" ref="E7:E8" si="4">IF(AND(ISNUMBER(C7),ISNUMBER(D7)), C7-D7, "")</f>
        <v>-1556</v>
      </c>
      <c r="F7" s="21">
        <f t="shared" si="1"/>
        <v>-0.18477615485096782</v>
      </c>
      <c r="G7" s="22">
        <v>0</v>
      </c>
      <c r="H7" s="22">
        <f t="shared" ref="H7:H8" si="5">IF(AND(ISNUMBER(C7),ISNUMBER(G7)), C7-G7, "")</f>
        <v>6865</v>
      </c>
      <c r="I7" s="21" t="str">
        <f t="shared" si="3"/>
        <v/>
      </c>
      <c r="J7" s="43" t="s">
        <v>30</v>
      </c>
      <c r="K7" s="43" t="s">
        <v>31</v>
      </c>
    </row>
    <row r="8" spans="1:12" ht="15.6">
      <c r="A8" s="32"/>
      <c r="B8" s="33"/>
      <c r="C8" s="12"/>
      <c r="D8" s="20"/>
      <c r="E8" s="20" t="str">
        <f t="shared" si="4"/>
        <v/>
      </c>
      <c r="F8" s="21" t="str">
        <f t="shared" ref="F8" si="6">IFERROR(E8/D8, "")</f>
        <v/>
      </c>
      <c r="G8" s="22"/>
      <c r="H8" s="22" t="str">
        <f t="shared" si="5"/>
        <v/>
      </c>
      <c r="I8" s="21" t="str">
        <f t="shared" ref="I8" si="7">IFERROR(H8/G8, "")</f>
        <v/>
      </c>
      <c r="J8" s="11"/>
      <c r="K8" s="19"/>
    </row>
    <row r="9" spans="1:12" ht="14.45">
      <c r="A9" s="23"/>
      <c r="B9" s="35"/>
      <c r="C9" s="23"/>
      <c r="D9" s="23"/>
      <c r="E9" s="23" t="str">
        <f t="shared" ref="E9" si="8">IF(AND(ISNUMBER(C9),ISNUMBER(D9)), C9-D9, "")</f>
        <v/>
      </c>
      <c r="F9" s="23" t="str">
        <f t="shared" ref="F9" si="9">IFERROR(E9/D9, "")</f>
        <v/>
      </c>
      <c r="G9" s="23"/>
      <c r="H9" s="23" t="str">
        <f t="shared" ref="H9" si="10">IF(AND(ISNUMBER(C9),ISNUMBER(G9)), C9-G9, "")</f>
        <v/>
      </c>
      <c r="I9" s="23" t="str">
        <f t="shared" ref="I9" si="11">IFERROR(H9/G9, "")</f>
        <v/>
      </c>
      <c r="J9" s="23"/>
      <c r="K9" s="23"/>
    </row>
    <row r="10" spans="1:12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">
    <cfRule type="cellIs" dxfId="34" priority="10" stopIfTrue="1" operator="lessThanOrEqual">
      <formula>-0.1</formula>
    </cfRule>
    <cfRule type="expression" dxfId="33" priority="11">
      <formula>AND(ISNUMBER(F2), F2&gt;=0.1)</formula>
    </cfRule>
  </conditionalFormatting>
  <conditionalFormatting sqref="F4:F92 I4:I92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hyperlinks>
    <hyperlink ref="K4" r:id="rId1" display="https://us3.assetplanner.com/service_request?ID=094976" xr:uid="{31D84A8F-465C-4F0A-9935-890DA2A9EB47}"/>
    <hyperlink ref="K5" r:id="rId2" display="https://us3.assetplanner.com/service_request?ID=094976" xr:uid="{E0C09AD8-5444-4C3D-9B37-E70A39D87212}"/>
    <hyperlink ref="K6" r:id="rId3" display="https://us3.assetplanner.com/service_request?ID=094976" xr:uid="{4C80CCE6-751A-4E65-A4AC-335CD12ED20F}"/>
    <hyperlink ref="L4" r:id="rId4" display="https://us3.assetplanner.com/service_request?ID=092908" xr:uid="{7FAD9ABF-E42B-4184-BE11-CE581F308316}"/>
    <hyperlink ref="L5" r:id="rId5" display="https://us3.assetplanner.com/service_request?ID=086609" xr:uid="{6FC4801C-4AD2-4D79-B365-A96F1B231D62}"/>
  </hyperlinks>
  <pageMargins left="0.4" right="0.7" top="0.25" bottom="0.25" header="0.3" footer="0.3"/>
  <pageSetup fitToHeight="99" orientation="landscape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16" sqref="J16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customWidth="1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32</v>
      </c>
      <c r="E1" s="69"/>
      <c r="F1" s="69"/>
      <c r="G1" s="67" t="s">
        <v>33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82790.47</v>
      </c>
      <c r="D2" s="6">
        <f>SUM(D4:D93)</f>
        <v>8632.1</v>
      </c>
      <c r="E2" s="6">
        <f>C2-D2</f>
        <v>74158.37</v>
      </c>
      <c r="F2" s="7">
        <f>IFERROR(E2/D2, 0)</f>
        <v>8.590999872568668</v>
      </c>
      <c r="G2" s="6">
        <f>SUM(G4:G93)</f>
        <v>0</v>
      </c>
      <c r="H2" s="8">
        <f>C2-G2</f>
        <v>82790.47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50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30567.75</v>
      </c>
      <c r="D4" s="14">
        <v>0</v>
      </c>
      <c r="E4" s="14">
        <f>IF(AND(ISNUMBER(C4),ISNUMBER(D4)), C4-D4, "")</f>
        <v>30567.75</v>
      </c>
      <c r="F4" s="15" t="str">
        <f>IFERROR(E4/D4,"")</f>
        <v/>
      </c>
      <c r="G4" s="16">
        <v>0</v>
      </c>
      <c r="H4" s="16">
        <f>IF(AND(ISNUMBER(C4),ISNUMBER(G4)), C4-G4, "")</f>
        <v>30567.75</v>
      </c>
      <c r="I4" s="17" t="str">
        <f>IFERROR(H4/G4, "")</f>
        <v/>
      </c>
      <c r="J4" s="18" t="s">
        <v>22</v>
      </c>
      <c r="K4" s="52" t="s">
        <v>23</v>
      </c>
      <c r="L4" s="51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32984.5</v>
      </c>
      <c r="D5" s="20">
        <v>0</v>
      </c>
      <c r="E5" s="20">
        <f t="shared" ref="E5:E8" si="0">IF(AND(ISNUMBER(C5),ISNUMBER(D5)), C5-D5, "")</f>
        <v>32984.5</v>
      </c>
      <c r="F5" s="21" t="str">
        <f t="shared" ref="F5:F7" si="1">IFERROR(E5/D5,"")</f>
        <v/>
      </c>
      <c r="G5" s="22">
        <v>0</v>
      </c>
      <c r="H5" s="22">
        <f t="shared" ref="H5:H7" si="2">IF(AND(ISNUMBER(C5),ISNUMBER(G5)), C5-G5, "")</f>
        <v>32984.5</v>
      </c>
      <c r="I5" s="21" t="str">
        <f t="shared" ref="I5:I7" si="3">IFERROR(H5/G5, "")</f>
        <v/>
      </c>
      <c r="J5" s="43" t="s">
        <v>34</v>
      </c>
      <c r="K5" s="53" t="s">
        <v>35</v>
      </c>
    </row>
    <row r="6" spans="1:12" ht="28.9">
      <c r="A6" s="49" t="str">
        <v>AZ: Lake Havasu City - City Hall</v>
      </c>
      <c r="B6" s="31" t="str">
        <v>AZ</v>
      </c>
      <c r="C6" s="26">
        <v>11625.5</v>
      </c>
      <c r="D6" s="14">
        <v>0</v>
      </c>
      <c r="E6" s="14">
        <f t="shared" si="0"/>
        <v>11625.5</v>
      </c>
      <c r="F6" s="15" t="str">
        <f t="shared" si="1"/>
        <v/>
      </c>
      <c r="G6" s="16">
        <v>0</v>
      </c>
      <c r="H6" s="16">
        <f t="shared" si="2"/>
        <v>11625.5</v>
      </c>
      <c r="I6" s="17" t="str">
        <f t="shared" si="3"/>
        <v/>
      </c>
      <c r="J6" s="18" t="s">
        <v>22</v>
      </c>
      <c r="K6" s="52" t="s">
        <v>35</v>
      </c>
    </row>
    <row r="7" spans="1:12" ht="24" customHeight="1">
      <c r="A7" s="32" t="str">
        <v>AZ: Lake Havasu City - Public Works</v>
      </c>
      <c r="B7" s="33" t="str">
        <v>AZ</v>
      </c>
      <c r="C7" s="12">
        <v>7612.72</v>
      </c>
      <c r="D7" s="20">
        <v>8632.1</v>
      </c>
      <c r="E7" s="20">
        <f t="shared" si="0"/>
        <v>-1019.3800000000001</v>
      </c>
      <c r="F7" s="21">
        <f t="shared" si="1"/>
        <v>-0.11809177372829324</v>
      </c>
      <c r="G7" s="22">
        <v>0</v>
      </c>
      <c r="H7" s="22">
        <f t="shared" si="2"/>
        <v>7612.72</v>
      </c>
      <c r="I7" s="21" t="str">
        <f t="shared" si="3"/>
        <v/>
      </c>
      <c r="J7" s="43" t="s">
        <v>36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2"/>
      <c r="G8" s="22" t="str">
        <f>IF(AND(ISNUMBER(C8),ISNUMBER(F8)), C8-F8, "")</f>
        <v/>
      </c>
      <c r="H8" s="21" t="str">
        <f t="shared" ref="H8" si="4">IFERROR(G8/F8, "")</f>
        <v/>
      </c>
      <c r="I8" s="11"/>
      <c r="J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H8 I9:I93">
    <cfRule type="cellIs" dxfId="30" priority="25" stopIfTrue="1" operator="lessThanOrEqual">
      <formula>-0.1</formula>
    </cfRule>
    <cfRule type="expression" dxfId="29" priority="26">
      <formula>AND(ISNUMBER(F2), F2&gt;=0.1)</formula>
    </cfRule>
  </conditionalFormatting>
  <conditionalFormatting sqref="I4:I7 F4:F9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P4 S4 P6 S6">
    <cfRule type="cellIs" dxfId="26" priority="11" stopIfTrue="1" operator="lessThanOrEqual">
      <formula>-0.1</formula>
    </cfRule>
    <cfRule type="expression" dxfId="25" priority="12">
      <formula>AND(ISNUMBER(P4), P4&gt;=0.1)</formula>
    </cfRule>
  </conditionalFormatting>
  <hyperlinks>
    <hyperlink ref="K4" r:id="rId1" display="https://us3.assetplanner.com/service_request?ID=094976" xr:uid="{46EBDFD8-B586-4691-80CD-E971DAD6EE3B}"/>
    <hyperlink ref="K5" r:id="rId2" display="https://us3.assetplanner.com/service_request?ID=094976" xr:uid="{5BEB7ED7-2070-4AB2-8E7D-0EEEE784F9CC}"/>
    <hyperlink ref="K6" r:id="rId3" display="https://us3.assetplanner.com/service_request?ID=094976" xr:uid="{57B2BA12-663C-428F-86AC-E27B3977961F}"/>
    <hyperlink ref="L4" r:id="rId4" display="https://us3.assetplanner.com/service_request?ID=092908" xr:uid="{09CB6EE6-6FC2-47F1-A916-8D48A6B016C6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F22" sqref="F22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37</v>
      </c>
      <c r="E1" s="69"/>
      <c r="F1" s="69"/>
      <c r="G1" s="67" t="s">
        <v>38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105317.01</v>
      </c>
      <c r="D2" s="6">
        <f>SUM(D4:D93)</f>
        <v>10627.79</v>
      </c>
      <c r="E2" s="6">
        <f>C2-D2</f>
        <v>94689.22</v>
      </c>
      <c r="F2" s="7">
        <f>IFERROR(E2/D2, 0)</f>
        <v>8.9095870354984434</v>
      </c>
      <c r="G2" s="6">
        <f>SUM(G4:G93)</f>
        <v>0</v>
      </c>
      <c r="H2" s="8">
        <f>C2-G2</f>
        <v>105317.01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5">
        <v>38400.25</v>
      </c>
      <c r="D4" s="14">
        <v>0</v>
      </c>
      <c r="E4" s="14">
        <f>IF(AND(ISNUMBER(C4),ISNUMBER(D4)), C4-D4, "")</f>
        <v>38400.25</v>
      </c>
      <c r="F4" s="57" t="str">
        <f>IFERROR(E4/D4,"")</f>
        <v/>
      </c>
      <c r="G4" s="56">
        <v>0</v>
      </c>
      <c r="H4" s="56">
        <f>IF(AND(ISNUMBER(C4),ISNUMBER(G4)), C4-G4, "")</f>
        <v>38400.25</v>
      </c>
      <c r="I4" s="17" t="str">
        <f>IFERROR(H4/G4,"")</f>
        <v/>
      </c>
      <c r="J4" s="18" t="s">
        <v>22</v>
      </c>
      <c r="K4" s="58" t="s">
        <v>23</v>
      </c>
      <c r="L4" s="59" t="s">
        <v>24</v>
      </c>
    </row>
    <row r="5" spans="1:12" ht="27.6" customHeight="1">
      <c r="A5" s="32" t="str">
        <v>AZ: Lake Havasu City - Aquatic Center</v>
      </c>
      <c r="B5" s="33" t="str">
        <v>AZ</v>
      </c>
      <c r="C5" s="12">
        <v>42289.5</v>
      </c>
      <c r="D5" s="20">
        <v>0</v>
      </c>
      <c r="E5" s="20">
        <f t="shared" ref="E5:E8" si="0">IF(AND(ISNUMBER(C5),ISNUMBER(D5)), C5-D5, "")</f>
        <v>42289.5</v>
      </c>
      <c r="F5" s="21" t="str">
        <f t="shared" ref="F5:F7" si="1">IFERROR(E5/D5,"")</f>
        <v/>
      </c>
      <c r="G5" s="22">
        <v>0</v>
      </c>
      <c r="H5" s="22">
        <f t="shared" ref="H5:H8" si="2">IF(AND(ISNUMBER(C5),ISNUMBER(G5)), C5-G5, "")</f>
        <v>42289.5</v>
      </c>
      <c r="I5" s="21" t="str">
        <f t="shared" ref="I5:I7" si="3">IFERROR(H5/G5,"")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55">
        <v>15087.75</v>
      </c>
      <c r="D6" s="14">
        <v>0</v>
      </c>
      <c r="E6" s="14">
        <f t="shared" si="0"/>
        <v>15087.75</v>
      </c>
      <c r="F6" s="57" t="str">
        <f t="shared" si="1"/>
        <v/>
      </c>
      <c r="G6" s="56">
        <v>0</v>
      </c>
      <c r="H6" s="56">
        <f t="shared" si="2"/>
        <v>15087.75</v>
      </c>
      <c r="I6" s="17" t="str">
        <f t="shared" si="3"/>
        <v/>
      </c>
      <c r="J6" s="54" t="s">
        <v>34</v>
      </c>
      <c r="K6" s="58" t="s">
        <v>39</v>
      </c>
    </row>
    <row r="7" spans="1:12" ht="35.1" customHeight="1">
      <c r="A7" s="32" t="str">
        <v>AZ: Lake Havasu City - Public Works</v>
      </c>
      <c r="B7" s="33" t="str">
        <v>AZ</v>
      </c>
      <c r="C7" s="12">
        <v>9539.51</v>
      </c>
      <c r="D7" s="20">
        <v>10627.79</v>
      </c>
      <c r="E7" s="20">
        <f t="shared" si="0"/>
        <v>-1088.2800000000007</v>
      </c>
      <c r="F7" s="21">
        <f t="shared" si="1"/>
        <v>-0.10239946404661746</v>
      </c>
      <c r="G7" s="22">
        <v>0</v>
      </c>
      <c r="H7" s="22">
        <f t="shared" si="2"/>
        <v>9539.51</v>
      </c>
      <c r="I7" s="21" t="str">
        <f t="shared" si="3"/>
        <v/>
      </c>
      <c r="J7" s="43" t="s">
        <v>40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ref="F8" si="4">IFERROR(E8/D8, "")</f>
        <v/>
      </c>
      <c r="G8" s="22"/>
      <c r="H8" s="22" t="str">
        <f t="shared" si="2"/>
        <v/>
      </c>
      <c r="I8" s="21" t="str">
        <f t="shared" ref="I8" si="5">IFERROR(H8/G8, "")</f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">
    <cfRule type="cellIs" dxfId="24" priority="17" stopIfTrue="1" operator="lessThanOrEqual">
      <formula>-0.1</formula>
    </cfRule>
    <cfRule type="expression" dxfId="23" priority="18">
      <formula>AND(ISNUMBER(F2), F2&gt;=0.1)</formula>
    </cfRule>
  </conditionalFormatting>
  <conditionalFormatting sqref="F4:F93 I4:I93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094976" xr:uid="{4528098C-946F-42CE-849D-D87685948B44}"/>
    <hyperlink ref="K5" r:id="rId2" display="https://us3.assetplanner.com/service_request?ID=094976" xr:uid="{F2614E0A-071D-41E5-8CC0-844787B02523}"/>
    <hyperlink ref="K6" r:id="rId3" display="https://us3.assetplanner.com/service_request?ID=094976" xr:uid="{89630210-9745-4F75-AB28-90CFC5DE1665}"/>
    <hyperlink ref="L4" r:id="rId4" display="https://us3.assetplanner.com/service_request?ID=092908" xr:uid="{343E48E4-BB88-4D45-9BDE-3470BD5A167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5"/>
  <sheetViews>
    <sheetView zoomScale="80" zoomScaleNormal="80" workbookViewId="0">
      <pane ySplit="2" topLeftCell="A4" activePane="bottomLeft" state="frozen"/>
      <selection pane="bottomLeft" activeCell="K4" sqref="K4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41</v>
      </c>
      <c r="E1" s="69"/>
      <c r="F1" s="69"/>
      <c r="G1" s="67" t="s">
        <v>42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128046.13</v>
      </c>
      <c r="D2" s="6">
        <f>SUM(D4:D93)</f>
        <v>13026.05</v>
      </c>
      <c r="E2" s="6">
        <f>C2-D2</f>
        <v>115020.08</v>
      </c>
      <c r="F2" s="7">
        <f>IFERROR(E2/D2, 0)</f>
        <v>8.8300044910007269</v>
      </c>
      <c r="G2" s="6">
        <f>SUM(G4:G93)</f>
        <v>0</v>
      </c>
      <c r="H2" s="8">
        <f>C2-G2</f>
        <v>128046.13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46332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51606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18635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54" t="s">
        <v>34</v>
      </c>
      <c r="K6" s="53" t="s">
        <v>39</v>
      </c>
    </row>
    <row r="7" spans="1:12" ht="43.15">
      <c r="A7" s="32" t="str">
        <v>AZ: Lake Havasu City - Public Works</v>
      </c>
      <c r="B7" s="33" t="str">
        <v>AZ</v>
      </c>
      <c r="C7" s="12">
        <v>11473.13</v>
      </c>
      <c r="D7" s="20">
        <v>13026.05</v>
      </c>
      <c r="E7" s="20">
        <f t="shared" si="0"/>
        <v>-1552.92</v>
      </c>
      <c r="F7" s="21">
        <f t="shared" si="3"/>
        <v>-0.11921649310420275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44</v>
      </c>
      <c r="K7" s="53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4976" xr:uid="{892590A7-C518-450D-8E7A-C165228E2DC1}"/>
    <hyperlink ref="L4" r:id="rId2" display="https://us3.assetplanner.com/service_request?ID=092908" xr:uid="{73A3B31C-8650-475D-B90E-4F132F31F671}"/>
    <hyperlink ref="K5" r:id="rId3" display="https://us3.assetplanner.com/service_request?ID=094976" xr:uid="{4FD60B4E-69EB-409B-A561-529770E34256}"/>
    <hyperlink ref="K6" r:id="rId4" display="https://us3.assetplanner.com/service_request?ID=094976" xr:uid="{020E1ADC-174D-4C2E-9927-D335C0564A1D}"/>
    <hyperlink ref="K7" r:id="rId5" display="https://us3.assetplanner.com/service_request?ID=100810" xr:uid="{736D3A8B-526C-417A-86B3-9F7EF3BF4CF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35"/>
  <sheetViews>
    <sheetView zoomScale="60" zoomScaleNormal="60" workbookViewId="0">
      <pane ySplit="2" topLeftCell="A3" activePane="bottomLeft" state="frozen"/>
      <selection pane="bottomLeft" activeCell="L7" sqref="L7"/>
      <selection activeCell="G12" sqref="G1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46</v>
      </c>
      <c r="E1" s="69"/>
      <c r="F1" s="69"/>
      <c r="G1" s="67" t="s">
        <v>47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140743.04000000001</v>
      </c>
      <c r="D2" s="6">
        <f>SUM(D4:D93)</f>
        <v>13586</v>
      </c>
      <c r="E2" s="6">
        <f>C2-D2</f>
        <v>127157.04000000001</v>
      </c>
      <c r="F2" s="7">
        <f>IFERROR(E2/D2, 0)</f>
        <v>9.3594170469601075</v>
      </c>
      <c r="G2" s="6">
        <f>SUM(G4:G93)</f>
        <v>0</v>
      </c>
      <c r="H2" s="8">
        <f>C2-G2</f>
        <v>140743.04000000001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40.5" customHeight="1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54988.25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1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48</v>
      </c>
      <c r="L4" s="52" t="s">
        <v>24</v>
      </c>
    </row>
    <row r="5" spans="1:12" ht="49.5" customHeight="1">
      <c r="A5" s="32" t="str">
        <v>AZ: Lake Havasu City - Aquatic Center</v>
      </c>
      <c r="B5" s="33" t="str">
        <v>AZ</v>
      </c>
      <c r="C5" s="12">
        <v>54353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22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35</v>
      </c>
    </row>
    <row r="6" spans="1:12" ht="43.5" customHeight="1">
      <c r="A6" s="30" t="str">
        <v>AZ: Lake Havasu City - City Hall</v>
      </c>
      <c r="B6" s="31" t="str">
        <v>AZ</v>
      </c>
      <c r="C6" s="26">
        <v>19897.25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16" t="s">
        <v>43</v>
      </c>
      <c r="H6" s="16" t="str">
        <f t="shared" si="1"/>
        <v/>
      </c>
      <c r="I6" s="17" t="str">
        <f t="shared" si="2"/>
        <v/>
      </c>
      <c r="J6" s="54" t="s">
        <v>34</v>
      </c>
      <c r="K6" s="58" t="s">
        <v>35</v>
      </c>
    </row>
    <row r="7" spans="1:12" ht="57.6">
      <c r="A7" s="32" t="str">
        <v>AZ: Lake Havasu City - Public Works</v>
      </c>
      <c r="B7" s="33" t="str">
        <v>AZ</v>
      </c>
      <c r="C7" s="12">
        <v>11504.540000000003</v>
      </c>
      <c r="D7" s="20">
        <v>13586</v>
      </c>
      <c r="E7" s="20">
        <f t="shared" si="0"/>
        <v>-2081.4599999999973</v>
      </c>
      <c r="F7" s="21">
        <f t="shared" si="3"/>
        <v>-0.15320624171941685</v>
      </c>
      <c r="G7" s="22" t="s">
        <v>43</v>
      </c>
      <c r="H7" s="22" t="str">
        <f t="shared" si="1"/>
        <v/>
      </c>
      <c r="I7" s="21" t="str">
        <f t="shared" si="2"/>
        <v/>
      </c>
      <c r="J7" s="43" t="s">
        <v>49</v>
      </c>
      <c r="K7" s="63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4976" xr:uid="{FB2CD118-627C-4538-9205-8575E5E187E3}"/>
    <hyperlink ref="L4" r:id="rId2" display="https://us3.assetplanner.com/service_request?ID=092908" xr:uid="{7A58BF09-198E-4334-92B7-F4A6F2E1C7A2}"/>
    <hyperlink ref="K5" r:id="rId3" display="https://us3.assetplanner.com/service_request?ID=094976" xr:uid="{CCD86660-B6C6-4368-BA17-FC45C4C2D50D}"/>
    <hyperlink ref="K6" r:id="rId4" display="https://us3.assetplanner.com/service_request?ID=094976" xr:uid="{7F79985A-5D2E-4EE7-B627-20A740F31596}"/>
    <hyperlink ref="K7" r:id="rId5" display="https://us3.assetplanner.com/service_request?ID=100810" xr:uid="{1272B4B0-4BB5-4B24-A1C9-AB8E5043CB3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J7" sqref="J7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50</v>
      </c>
      <c r="E1" s="69"/>
      <c r="F1" s="69"/>
      <c r="G1" s="67" t="s">
        <v>51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151762</v>
      </c>
      <c r="D2" s="6">
        <f>SUM(D4:D93)</f>
        <v>13727.17</v>
      </c>
      <c r="E2" s="6">
        <f>C2-D2</f>
        <v>138034.82999999999</v>
      </c>
      <c r="F2" s="7">
        <f>IFERROR(E2/D2, 0)</f>
        <v>10.055592667680227</v>
      </c>
      <c r="G2" s="6">
        <f>SUM(G4:G93)</f>
        <v>0</v>
      </c>
      <c r="H2" s="8">
        <f>C2-G2</f>
        <v>151762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65231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55144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19937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34</v>
      </c>
      <c r="K6" s="58" t="s">
        <v>39</v>
      </c>
    </row>
    <row r="7" spans="1:12" ht="42.75" customHeight="1">
      <c r="A7" s="32" t="str">
        <v>AZ: Lake Havasu City - Public Works</v>
      </c>
      <c r="B7" s="33" t="str">
        <v>AZ</v>
      </c>
      <c r="C7" s="12">
        <v>11450</v>
      </c>
      <c r="D7" s="20">
        <v>13727.17</v>
      </c>
      <c r="E7" s="20">
        <f t="shared" si="0"/>
        <v>-2277.17</v>
      </c>
      <c r="F7" s="21">
        <f t="shared" si="3"/>
        <v>-0.1658877977033868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52</v>
      </c>
      <c r="K7" s="44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4976" xr:uid="{0D49DBB9-6BEA-426D-A930-549883E9D8E7}"/>
    <hyperlink ref="L4" r:id="rId2" display="https://us3.assetplanner.com/service_request?ID=092908" xr:uid="{2D78B7FC-88BD-4946-93F8-BBEC9AE4ECFA}"/>
    <hyperlink ref="K5" r:id="rId3" display="https://us3.assetplanner.com/service_request?ID=094976" xr:uid="{D9EE6373-D758-4588-BD85-2D59AB6155D6}"/>
    <hyperlink ref="K6" r:id="rId4" display="https://us3.assetplanner.com/service_request?ID=094976" xr:uid="{F2BF7041-2881-4C57-BBCE-EE4A4C3773D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H26" sqref="H26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4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53</v>
      </c>
      <c r="E1" s="69"/>
      <c r="F1" s="69"/>
      <c r="G1" s="67" t="s">
        <v>54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147170.19</v>
      </c>
      <c r="D2" s="6">
        <f>SUM(D4:D93)</f>
        <v>13633</v>
      </c>
      <c r="E2" s="6">
        <f>C2-D2</f>
        <v>133537.19</v>
      </c>
      <c r="F2" s="7">
        <f>IFERROR(E2/D2, 0)</f>
        <v>9.7951434020391694</v>
      </c>
      <c r="G2" s="6">
        <f>SUM(G4:G93)</f>
        <v>0</v>
      </c>
      <c r="H2" s="8">
        <f>C2-G2</f>
        <v>147170.19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63511.5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53265.5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19439.7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55</v>
      </c>
      <c r="K6" s="58" t="s">
        <v>39</v>
      </c>
    </row>
    <row r="7" spans="1:12" ht="28.9">
      <c r="A7" s="32" t="str">
        <v>AZ: Lake Havasu City - Public Works</v>
      </c>
      <c r="B7" s="33" t="str">
        <v>AZ</v>
      </c>
      <c r="C7" s="12">
        <v>10953.49</v>
      </c>
      <c r="D7" s="20">
        <v>13633</v>
      </c>
      <c r="E7" s="20">
        <f t="shared" si="0"/>
        <v>-2679.51</v>
      </c>
      <c r="F7" s="21">
        <f t="shared" si="3"/>
        <v>-0.19654588131739165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56</v>
      </c>
      <c r="K7" s="45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094976" xr:uid="{FB9AB770-F092-4940-8046-648C586FB1FB}"/>
    <hyperlink ref="L4" r:id="rId2" display="https://us3.assetplanner.com/service_request?ID=092908" xr:uid="{E100B1D9-7316-49CE-8C92-9E82C2B17D55}"/>
    <hyperlink ref="K5" r:id="rId3" display="https://us3.assetplanner.com/service_request?ID=094976" xr:uid="{3AB46C4B-7216-4FA2-B4D3-5D973B7F1380}"/>
    <hyperlink ref="K6" r:id="rId4" display="https://us3.assetplanner.com/service_request?ID=094976" xr:uid="{8F25ECB1-8782-4E37-93C8-9FB1CC656F7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35"/>
  <sheetViews>
    <sheetView tabSelected="1" zoomScale="80" zoomScaleNormal="80" workbookViewId="0">
      <pane ySplit="2" topLeftCell="A3" activePane="bottomLeft" state="frozen"/>
      <selection pane="bottomLeft" activeCell="C5" sqref="C5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85546875" bestFit="1" customWidth="1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57</v>
      </c>
      <c r="E1" s="69"/>
      <c r="F1" s="69"/>
      <c r="G1" s="67" t="s">
        <v>58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127654</v>
      </c>
      <c r="D2" s="6">
        <f>SUM(D4:D93)</f>
        <v>10093</v>
      </c>
      <c r="E2" s="6">
        <f>C2-D2</f>
        <v>117561</v>
      </c>
      <c r="F2" s="7">
        <f>IFERROR(E2/D2, 0)</f>
        <v>11.647775686119093</v>
      </c>
      <c r="G2" s="6">
        <f>SUM(G4:G93)</f>
        <v>0</v>
      </c>
      <c r="H2" s="8">
        <f>C2-G2</f>
        <v>127654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47">
        <v>56060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46699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5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22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17007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6" t="s">
        <v>43</v>
      </c>
      <c r="H6" s="16" t="str">
        <f t="shared" si="1"/>
        <v/>
      </c>
      <c r="I6" s="17" t="str">
        <f t="shared" si="2"/>
        <v/>
      </c>
      <c r="J6" s="18" t="s">
        <v>55</v>
      </c>
      <c r="K6" s="58" t="s">
        <v>39</v>
      </c>
    </row>
    <row r="7" spans="1:12" ht="72">
      <c r="A7" s="32" t="str">
        <v>AZ: Lake Havasu City - Public Works</v>
      </c>
      <c r="B7" s="33" t="str">
        <v>AZ</v>
      </c>
      <c r="C7" s="12">
        <v>7888</v>
      </c>
      <c r="D7" s="20">
        <v>10093</v>
      </c>
      <c r="E7" s="20">
        <f t="shared" si="0"/>
        <v>-2205</v>
      </c>
      <c r="F7" s="21">
        <f t="shared" si="3"/>
        <v>-0.21846824531853759</v>
      </c>
      <c r="G7" s="65" t="s">
        <v>43</v>
      </c>
      <c r="H7" s="22" t="str">
        <f t="shared" si="1"/>
        <v/>
      </c>
      <c r="I7" s="21" t="str">
        <f t="shared" si="2"/>
        <v/>
      </c>
      <c r="J7" s="43" t="s">
        <v>59</v>
      </c>
      <c r="K7" s="63" t="s">
        <v>60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094976" xr:uid="{7169C1C7-84F3-4077-806A-33CB30E3DBD5}"/>
    <hyperlink ref="L4" r:id="rId2" display="https://us3.assetplanner.com/service_request?ID=092908" xr:uid="{AB791F0D-0E4E-478C-B627-5BF994427E4A}"/>
    <hyperlink ref="K5" r:id="rId3" display="https://us3.assetplanner.com/service_request?ID=094976" xr:uid="{5C3456A3-6607-42B4-8EAC-5593ECC33513}"/>
    <hyperlink ref="K6" r:id="rId4" display="https://us3.assetplanner.com/service_request?ID=094976" xr:uid="{E5BFD451-F3EC-458E-AF7A-9909F9DF12D6}"/>
    <hyperlink ref="K7" r:id="rId5" display="https://us3.assetplanner.com/service_request?ID=106981" xr:uid="{DEBCCF30-7428-4822-9DA0-0404F1936AF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LX International America, Inc.</v>
      </c>
      <c r="B1" s="68"/>
      <c r="C1" s="68"/>
      <c r="D1" s="69" t="s">
        <v>61</v>
      </c>
      <c r="E1" s="69"/>
      <c r="F1" s="69"/>
      <c r="G1" s="67" t="s">
        <v>62</v>
      </c>
      <c r="H1" s="67"/>
      <c r="I1" s="67"/>
      <c r="J1" s="5"/>
      <c r="K1" s="5"/>
    </row>
    <row r="2" spans="1:11" ht="19.5" customHeight="1">
      <c r="A2" s="70" t="s">
        <v>2</v>
      </c>
      <c r="B2" s="70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</cols>
  <sheetData>
    <row r="1" spans="1:11" ht="19.5" customHeight="1">
      <c r="A1" s="68" t="str" cm="1">
        <f t="array" ref="A1">portfolio</f>
        <v>LX International America, Inc.</v>
      </c>
      <c r="B1" s="68"/>
      <c r="C1" s="68"/>
      <c r="D1" s="69" t="s">
        <v>63</v>
      </c>
      <c r="E1" s="69"/>
      <c r="F1" s="69"/>
      <c r="G1" s="67" t="s">
        <v>64</v>
      </c>
      <c r="H1" s="67"/>
      <c r="I1" s="67"/>
      <c r="J1" s="5"/>
      <c r="K1" s="5"/>
    </row>
    <row r="2" spans="1:11" ht="19.5" customHeight="1">
      <c r="A2" s="70" t="s">
        <v>2</v>
      </c>
      <c r="B2" s="70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1.7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48"/>
      <c r="K5" s="44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4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>
      <c r="A11" s="23"/>
      <c r="B11" s="23"/>
      <c r="C11" s="23"/>
      <c r="F11" s="23"/>
      <c r="G11" s="23"/>
      <c r="H11" s="23"/>
      <c r="I11" s="23"/>
      <c r="J11" s="23"/>
      <c r="K11" s="23"/>
    </row>
    <row r="12" spans="1:11">
      <c r="A12" s="23"/>
      <c r="B12" s="23"/>
      <c r="F12" s="23"/>
      <c r="G12" s="23"/>
      <c r="H12" s="23"/>
      <c r="I12" s="23"/>
      <c r="J12" s="23"/>
      <c r="K12" s="23"/>
    </row>
    <row r="13" spans="1:11">
      <c r="A13" s="23"/>
      <c r="B13" s="23"/>
      <c r="F13" s="23"/>
      <c r="G13" s="23"/>
      <c r="H13" s="23"/>
      <c r="I13" s="23"/>
      <c r="J13" s="23"/>
      <c r="K13" s="23"/>
    </row>
    <row r="14" spans="1:11" ht="14.45">
      <c r="A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H25" s="23"/>
      <c r="I25" s="24"/>
      <c r="J25" s="23"/>
      <c r="K25" s="23"/>
    </row>
    <row r="26" spans="1:11" ht="14.45">
      <c r="A26" s="23"/>
      <c r="B26" s="35"/>
      <c r="C26" s="23"/>
      <c r="D26" s="24"/>
      <c r="E26" s="23"/>
      <c r="F26" s="23"/>
      <c r="H26" s="23"/>
      <c r="I26" s="24"/>
      <c r="J26" s="23"/>
      <c r="K26" s="23"/>
    </row>
    <row r="27" spans="1:11" ht="14.45">
      <c r="A27" s="23"/>
      <c r="B27" s="35"/>
      <c r="C27" s="23"/>
      <c r="D27" s="24"/>
      <c r="E27" s="23"/>
      <c r="F27" s="23"/>
      <c r="H27" s="23"/>
      <c r="I27" s="24"/>
      <c r="J27" s="23"/>
      <c r="K27" s="23"/>
    </row>
    <row r="28" spans="1:11" ht="14.45">
      <c r="A28" s="23"/>
      <c r="B28" s="35"/>
      <c r="C28" s="23"/>
      <c r="D28" s="24"/>
      <c r="E28" s="23"/>
      <c r="F28" s="23"/>
      <c r="H28" s="23"/>
      <c r="I28" s="24"/>
      <c r="K28" s="23"/>
    </row>
    <row r="29" spans="1:11" ht="14.45">
      <c r="A29" s="23"/>
      <c r="B29" s="35"/>
      <c r="C29" s="23"/>
      <c r="D29" s="24"/>
      <c r="E29" s="23"/>
      <c r="F29" s="23"/>
      <c r="H29" s="23"/>
      <c r="I29" s="24"/>
      <c r="J29" s="23"/>
      <c r="K29" s="23"/>
    </row>
    <row r="30" spans="1:11" ht="14.45">
      <c r="A30" s="23"/>
      <c r="B30" s="35"/>
      <c r="C30" s="23"/>
      <c r="D30" s="24"/>
      <c r="E30" s="23"/>
      <c r="F30" s="23"/>
      <c r="H30" s="23"/>
      <c r="I30" s="24"/>
      <c r="J30" s="23"/>
      <c r="K30" s="23"/>
    </row>
    <row r="31" spans="1:11" ht="14.45">
      <c r="A31" s="23"/>
      <c r="B31" s="35"/>
      <c r="C31" s="23"/>
      <c r="D31" s="24"/>
      <c r="E31" s="23"/>
      <c r="F31" s="23"/>
      <c r="H31" s="23"/>
      <c r="I31" s="24"/>
      <c r="J31" s="23"/>
      <c r="K31" s="23"/>
    </row>
    <row r="32" spans="1:11" ht="14.45">
      <c r="A32" s="23"/>
      <c r="B32" s="35"/>
      <c r="C32" s="23"/>
      <c r="D32" s="24"/>
      <c r="E32" s="23"/>
      <c r="F32" s="23"/>
      <c r="H32" s="23"/>
      <c r="I32" s="24"/>
      <c r="J32" s="23"/>
      <c r="K32" s="23"/>
    </row>
    <row r="33" spans="1:11" ht="14.45">
      <c r="A33" s="23"/>
      <c r="B33" s="35"/>
      <c r="C33" s="23"/>
      <c r="D33" s="24"/>
      <c r="E33" s="23"/>
      <c r="F33" s="23"/>
      <c r="H33" s="23"/>
      <c r="I33" s="24"/>
      <c r="J33" s="23"/>
      <c r="K33" s="23"/>
    </row>
    <row r="34" spans="1:11" ht="14.45">
      <c r="A34" s="23"/>
      <c r="B34" s="35"/>
      <c r="C34" s="23"/>
      <c r="D34" s="24"/>
      <c r="E34" s="23"/>
      <c r="F34" s="23"/>
      <c r="H34" s="23"/>
      <c r="I34" s="24"/>
      <c r="J34" s="23"/>
      <c r="K34" s="23"/>
    </row>
    <row r="35" spans="1:11" ht="14.45">
      <c r="A35" s="23"/>
      <c r="B35" s="35"/>
      <c r="C35" s="23"/>
      <c r="D35" s="24"/>
      <c r="E35" s="23"/>
      <c r="F35" s="23"/>
      <c r="H35" s="23"/>
      <c r="I35" s="24"/>
      <c r="J35" s="23"/>
      <c r="K35" s="23"/>
    </row>
    <row r="36" spans="1:11" ht="14.45">
      <c r="A36" s="23"/>
      <c r="B36" s="35"/>
      <c r="C36" s="23"/>
      <c r="D36" s="24"/>
      <c r="E36" s="23"/>
      <c r="F36" s="23"/>
      <c r="H36" s="23"/>
      <c r="I36" s="24"/>
      <c r="J36" s="23"/>
      <c r="K36" s="23"/>
    </row>
    <row r="37" spans="1:11" ht="14.45">
      <c r="A37" s="23"/>
      <c r="B37" s="35"/>
      <c r="C37" s="23"/>
      <c r="D37" s="24"/>
      <c r="E37" s="23"/>
      <c r="F37" s="23"/>
      <c r="H37" s="23"/>
      <c r="I37" s="24"/>
      <c r="J37" s="23"/>
      <c r="K37" s="23"/>
    </row>
    <row r="38" spans="1:11" ht="14.45">
      <c r="A38" s="23"/>
      <c r="B38" s="35"/>
      <c r="C38" s="23"/>
      <c r="D38" s="24"/>
      <c r="E38" s="23"/>
      <c r="F38" s="23"/>
      <c r="H38" s="23"/>
      <c r="I38" s="24"/>
      <c r="J38" s="23"/>
      <c r="K38" s="23"/>
    </row>
    <row r="39" spans="1:11" ht="14.45">
      <c r="A39" s="23"/>
      <c r="B39" s="35"/>
      <c r="C39" s="23"/>
      <c r="D39" s="24"/>
      <c r="E39" s="23"/>
      <c r="F39" s="23"/>
      <c r="H39" s="23"/>
      <c r="I39" s="24"/>
      <c r="J39" s="23"/>
      <c r="K39" s="23"/>
    </row>
    <row r="40" spans="1:11" ht="14.45">
      <c r="A40" s="23"/>
      <c r="B40" s="35"/>
      <c r="C40" s="23"/>
      <c r="D40" s="24"/>
      <c r="E40" s="23"/>
      <c r="F40" s="23"/>
      <c r="H40" s="23"/>
      <c r="I40" s="24"/>
      <c r="J40" s="23"/>
      <c r="K40" s="23"/>
    </row>
    <row r="41" spans="1:11" ht="14.4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LX International America, Inc.</v>
      </c>
      <c r="B1" s="68"/>
      <c r="C1" s="68"/>
      <c r="D1" s="69" t="s">
        <v>65</v>
      </c>
      <c r="E1" s="69"/>
      <c r="F1" s="69"/>
      <c r="G1" s="67" t="s">
        <v>66</v>
      </c>
      <c r="H1" s="67"/>
      <c r="I1" s="67"/>
      <c r="J1" s="5"/>
      <c r="K1" s="5"/>
    </row>
    <row r="2" spans="1:11" ht="19.5" customHeight="1">
      <c r="A2" s="70" t="s">
        <v>2</v>
      </c>
      <c r="B2" s="70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40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LX International America, Inc.</v>
      </c>
      <c r="B1" s="68"/>
      <c r="C1" s="68"/>
      <c r="D1" s="69" t="s">
        <v>67</v>
      </c>
      <c r="E1" s="69"/>
      <c r="F1" s="69"/>
      <c r="G1" s="67" t="s">
        <v>68</v>
      </c>
      <c r="H1" s="67"/>
      <c r="I1" s="67"/>
      <c r="J1" s="5"/>
      <c r="K1" s="5"/>
    </row>
    <row r="2" spans="1:11" ht="19.5" customHeight="1">
      <c r="A2" s="70" t="s">
        <v>2</v>
      </c>
      <c r="B2" s="70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69</v>
      </c>
      <c r="B1" t="s">
        <v>70</v>
      </c>
    </row>
    <row r="3" spans="1:7" ht="13.15">
      <c r="A3" t="s">
        <v>71</v>
      </c>
      <c r="B3" t="s">
        <v>3</v>
      </c>
      <c r="C3" t="s">
        <v>4</v>
      </c>
      <c r="D3" t="s">
        <v>72</v>
      </c>
      <c r="E3" s="2" t="s">
        <v>73</v>
      </c>
    </row>
    <row r="4" spans="1:7" ht="14.45">
      <c r="A4" t="s">
        <v>74</v>
      </c>
      <c r="B4" t="s">
        <v>74</v>
      </c>
      <c r="C4" s="4" t="s">
        <v>75</v>
      </c>
      <c r="G4" s="3"/>
    </row>
    <row r="5" spans="1:7" ht="14.45">
      <c r="A5" t="s">
        <v>76</v>
      </c>
      <c r="B5" t="s">
        <v>76</v>
      </c>
      <c r="C5" s="4" t="s">
        <v>75</v>
      </c>
      <c r="G5" s="3"/>
    </row>
    <row r="6" spans="1:7" ht="14.45">
      <c r="A6" t="s">
        <v>77</v>
      </c>
      <c r="B6" t="s">
        <v>77</v>
      </c>
      <c r="C6" s="4" t="s">
        <v>75</v>
      </c>
      <c r="G6" s="3"/>
    </row>
    <row r="7" spans="1:7" ht="12.75" customHeight="1">
      <c r="A7" t="s">
        <v>78</v>
      </c>
      <c r="B7" t="s">
        <v>78</v>
      </c>
      <c r="C7" s="4" t="s">
        <v>75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062F0FBD-001B-42BF-BB2E-421CA34CE613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Shank, Amy</cp:lastModifiedBy>
  <cp:revision/>
  <dcterms:created xsi:type="dcterms:W3CDTF">2021-01-01T16:39:53Z</dcterms:created>
  <dcterms:modified xsi:type="dcterms:W3CDTF">2025-09-09T14:47:41Z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