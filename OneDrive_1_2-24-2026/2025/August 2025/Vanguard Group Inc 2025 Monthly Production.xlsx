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2" documentId="13_ncr:1_{1A8B5C05-5B0D-4B4F-A2FA-6F611B250810}" xr6:coauthVersionLast="47" xr6:coauthVersionMax="47" xr10:uidLastSave="{103B8C3E-5823-448E-A20E-0524C68ADEF3}"/>
  <bookViews>
    <workbookView xWindow="-108" yWindow="-108" windowWidth="23256" windowHeight="13896" tabRatio="866" firstSheet="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Jun" sheetId="19" r:id="rId10"/>
    <sheet name="May" sheetId="20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9" hidden="1">Jun!$A$2:$I$2</definedName>
    <definedName name="_xlnm._FilterDatabase" localSheetId="7" hidden="1">Mar!$A$2:$I$2</definedName>
    <definedName name="_xlnm._FilterDatabase" localSheetId="10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7" l="1"/>
  <c r="I4" i="27" s="1"/>
  <c r="H6" i="26"/>
  <c r="H6" i="19"/>
  <c r="I6" i="19" s="1"/>
  <c r="A4" i="19" a="1"/>
  <c r="A4" i="19" s="1"/>
  <c r="B4" i="33" a="1"/>
  <c r="B4" i="33" s="1"/>
  <c r="B4" i="32" a="1"/>
  <c r="B4" i="32" s="1"/>
  <c r="B4" i="31" a="1"/>
  <c r="B4" i="31" s="1"/>
  <c r="B4" i="28" a="1"/>
  <c r="B4" i="28" s="1"/>
  <c r="B4" i="27" a="1"/>
  <c r="B4" i="27" s="1"/>
  <c r="B4" i="26" a="1"/>
  <c r="B4" i="26" s="1"/>
  <c r="B4" i="19" a="1"/>
  <c r="B4" i="19" s="1"/>
  <c r="B4" i="20" a="1"/>
  <c r="B4" i="20" s="1"/>
  <c r="B4" i="21" a="1"/>
  <c r="B4" i="21" s="1"/>
  <c r="B4" i="4" a="1"/>
  <c r="B4" i="4" s="1"/>
  <c r="B4" i="72" a="1"/>
  <c r="B4" i="72" s="1"/>
  <c r="B4" i="3" a="1"/>
  <c r="B4" i="3" s="1"/>
  <c r="H6" i="20"/>
  <c r="I6" i="20" s="1"/>
  <c r="H7" i="20"/>
  <c r="I7" i="20" s="1"/>
  <c r="H8" i="20"/>
  <c r="I8" i="20" s="1"/>
  <c r="E6" i="20"/>
  <c r="F6" i="20" s="1"/>
  <c r="E7" i="20"/>
  <c r="F7" i="20" s="1"/>
  <c r="E8" i="20"/>
  <c r="F8" i="20" s="1"/>
  <c r="G5" i="18"/>
  <c r="G6" i="18"/>
  <c r="G4" i="18"/>
  <c r="D5" i="18"/>
  <c r="D6" i="18"/>
  <c r="D4" i="18"/>
  <c r="C5" i="18"/>
  <c r="C6" i="18"/>
  <c r="C4" i="18"/>
  <c r="H5" i="30"/>
  <c r="H6" i="30"/>
  <c r="H4" i="30"/>
  <c r="G5" i="30"/>
  <c r="G6" i="30"/>
  <c r="G4" i="30"/>
  <c r="D5" i="30"/>
  <c r="D6" i="30"/>
  <c r="D4" i="30"/>
  <c r="C5" i="30"/>
  <c r="C6" i="30"/>
  <c r="C4" i="30"/>
  <c r="G5" i="29"/>
  <c r="G6" i="29"/>
  <c r="G4" i="29"/>
  <c r="D5" i="29"/>
  <c r="D6" i="29"/>
  <c r="D4" i="29"/>
  <c r="C5" i="29"/>
  <c r="C6" i="29"/>
  <c r="C4" i="29"/>
  <c r="G5" i="1"/>
  <c r="G6" i="1"/>
  <c r="G4" i="1"/>
  <c r="D5" i="1"/>
  <c r="D6" i="1"/>
  <c r="D4" i="1"/>
  <c r="C5" i="1"/>
  <c r="C6" i="1"/>
  <c r="C4" i="1"/>
  <c r="H5" i="4"/>
  <c r="I5" i="4" s="1"/>
  <c r="H6" i="4"/>
  <c r="I6" i="4" s="1"/>
  <c r="H7" i="4"/>
  <c r="I7" i="4" s="1"/>
  <c r="H8" i="4"/>
  <c r="I8" i="4" s="1"/>
  <c r="E5" i="4"/>
  <c r="F5" i="4" s="1"/>
  <c r="E6" i="4"/>
  <c r="F6" i="4" s="1"/>
  <c r="E7" i="4"/>
  <c r="F7" i="4" s="1"/>
  <c r="E8" i="4"/>
  <c r="F8" i="4" s="1"/>
  <c r="A4" i="20" a="1"/>
  <c r="A4" i="20" s="1"/>
  <c r="A4" i="26" a="1"/>
  <c r="A4" i="26" s="1"/>
  <c r="A4" i="27" a="1"/>
  <c r="A4" i="27" s="1"/>
  <c r="A4" i="28" a="1"/>
  <c r="A4" i="28" s="1"/>
  <c r="A4" i="31" a="1"/>
  <c r="A4" i="31" s="1"/>
  <c r="A4" i="32" a="1"/>
  <c r="A4" i="32" s="1"/>
  <c r="A4" i="33" a="1"/>
  <c r="A4" i="33" s="1"/>
  <c r="A4" i="21" a="1"/>
  <c r="A4" i="21" s="1"/>
  <c r="A4" i="4" a="1"/>
  <c r="A4" i="4" s="1"/>
  <c r="A4" i="72" a="1"/>
  <c r="A4" i="72" s="1"/>
  <c r="A4" i="3" a="1"/>
  <c r="A4" i="3" s="1"/>
  <c r="H4" i="3"/>
  <c r="I4" i="3" s="1"/>
  <c r="H5" i="3"/>
  <c r="I5" i="3" s="1"/>
  <c r="H6" i="3"/>
  <c r="I6" i="3" s="1"/>
  <c r="H7" i="3"/>
  <c r="I7" i="3" s="1"/>
  <c r="H8" i="3"/>
  <c r="I8" i="3" s="1"/>
  <c r="E4" i="3"/>
  <c r="F4" i="3" s="1"/>
  <c r="E5" i="3"/>
  <c r="F5" i="3" s="1"/>
  <c r="E6" i="3"/>
  <c r="F6" i="3" s="1"/>
  <c r="E7" i="3"/>
  <c r="F7" i="3" s="1"/>
  <c r="E8" i="3"/>
  <c r="F8" i="3" s="1"/>
  <c r="H4" i="72"/>
  <c r="H5" i="72"/>
  <c r="H6" i="72"/>
  <c r="H7" i="72"/>
  <c r="H8" i="72"/>
  <c r="E4" i="72"/>
  <c r="F4" i="72" s="1"/>
  <c r="E5" i="72"/>
  <c r="F5" i="72" s="1"/>
  <c r="E6" i="72"/>
  <c r="F6" i="72" s="1"/>
  <c r="E7" i="72"/>
  <c r="F7" i="72" s="1"/>
  <c r="E8" i="72"/>
  <c r="F8" i="72" s="1"/>
  <c r="H12" i="31"/>
  <c r="I12" i="31" s="1"/>
  <c r="G2" i="31"/>
  <c r="E6" i="19"/>
  <c r="F6" i="19" s="1"/>
  <c r="H5" i="19"/>
  <c r="I5" i="19" s="1"/>
  <c r="E5" i="19"/>
  <c r="F5" i="19" s="1"/>
  <c r="H4" i="19"/>
  <c r="I4" i="19" s="1"/>
  <c r="E4" i="19"/>
  <c r="F4" i="19" s="1"/>
  <c r="H12" i="19"/>
  <c r="I12" i="19" s="1"/>
  <c r="E12" i="19"/>
  <c r="F12" i="19" s="1"/>
  <c r="H11" i="19"/>
  <c r="E11" i="19"/>
  <c r="H10" i="19"/>
  <c r="E10" i="19"/>
  <c r="H9" i="19"/>
  <c r="E9" i="19"/>
  <c r="H8" i="19"/>
  <c r="I8" i="19" s="1"/>
  <c r="E8" i="19"/>
  <c r="F8" i="19" s="1"/>
  <c r="H7" i="19"/>
  <c r="I7" i="19" s="1"/>
  <c r="E7" i="19"/>
  <c r="F7" i="19" s="1"/>
  <c r="H4" i="21"/>
  <c r="I4" i="21" s="1"/>
  <c r="H5" i="21"/>
  <c r="I5" i="21" s="1"/>
  <c r="H6" i="21"/>
  <c r="I6" i="21" s="1"/>
  <c r="H7" i="21"/>
  <c r="I7" i="21" s="1"/>
  <c r="E4" i="21"/>
  <c r="F4" i="21" s="1"/>
  <c r="E5" i="21"/>
  <c r="F5" i="21" s="1"/>
  <c r="E6" i="21"/>
  <c r="F6" i="21" s="1"/>
  <c r="E7" i="21"/>
  <c r="F7" i="21" s="1"/>
  <c r="E4" i="32"/>
  <c r="F4" i="32" s="1"/>
  <c r="H4" i="32"/>
  <c r="I4" i="32"/>
  <c r="E5" i="32"/>
  <c r="F5" i="32" s="1"/>
  <c r="H5" i="32"/>
  <c r="I5" i="32" s="1"/>
  <c r="E6" i="32"/>
  <c r="F6" i="32" s="1"/>
  <c r="H6" i="32"/>
  <c r="I6" i="32" s="1"/>
  <c r="E7" i="32"/>
  <c r="F7" i="32" s="1"/>
  <c r="H7" i="32"/>
  <c r="I7" i="32" s="1"/>
  <c r="E8" i="32"/>
  <c r="F8" i="32" s="1"/>
  <c r="H8" i="32"/>
  <c r="I8" i="32" s="1"/>
  <c r="E4" i="33"/>
  <c r="F4" i="33" s="1"/>
  <c r="H4" i="33"/>
  <c r="I4" i="33" s="1"/>
  <c r="E5" i="33"/>
  <c r="F5" i="33" s="1"/>
  <c r="H5" i="33"/>
  <c r="I5" i="33" s="1"/>
  <c r="E6" i="33"/>
  <c r="F6" i="33" s="1"/>
  <c r="H6" i="33"/>
  <c r="I6" i="33" s="1"/>
  <c r="E7" i="33"/>
  <c r="F7" i="33" s="1"/>
  <c r="H7" i="33"/>
  <c r="I7" i="33" s="1"/>
  <c r="E8" i="33"/>
  <c r="F8" i="33" s="1"/>
  <c r="H8" i="33"/>
  <c r="I8" i="33"/>
  <c r="H4" i="20"/>
  <c r="I4" i="20" s="1"/>
  <c r="H5" i="20"/>
  <c r="I5" i="20" s="1"/>
  <c r="E4" i="20"/>
  <c r="F4" i="20" s="1"/>
  <c r="E5" i="20"/>
  <c r="F5" i="20" s="1"/>
  <c r="H12" i="33"/>
  <c r="I12" i="33" s="1"/>
  <c r="E12" i="33"/>
  <c r="F12" i="33" s="1"/>
  <c r="H11" i="33"/>
  <c r="I11" i="33" s="1"/>
  <c r="E11" i="33"/>
  <c r="F11" i="33" s="1"/>
  <c r="H12" i="32"/>
  <c r="I12" i="32" s="1"/>
  <c r="E12" i="32"/>
  <c r="F12" i="32" s="1"/>
  <c r="H11" i="32"/>
  <c r="I11" i="32" s="1"/>
  <c r="E11" i="32"/>
  <c r="F11" i="32" s="1"/>
  <c r="E12" i="31"/>
  <c r="F12" i="31" s="1"/>
  <c r="H11" i="31"/>
  <c r="I11" i="31" s="1"/>
  <c r="E11" i="31"/>
  <c r="F11" i="31" s="1"/>
  <c r="H11" i="28"/>
  <c r="I11" i="28" s="1"/>
  <c r="E11" i="28"/>
  <c r="F11" i="28" s="1"/>
  <c r="H10" i="28"/>
  <c r="I10" i="28" s="1"/>
  <c r="E10" i="28"/>
  <c r="F10" i="28" s="1"/>
  <c r="H10" i="27"/>
  <c r="I10" i="27" s="1"/>
  <c r="E10" i="27"/>
  <c r="F10" i="27" s="1"/>
  <c r="H9" i="27"/>
  <c r="I9" i="27" s="1"/>
  <c r="E9" i="27"/>
  <c r="F9" i="27" s="1"/>
  <c r="H10" i="26"/>
  <c r="I10" i="26" s="1"/>
  <c r="E10" i="26"/>
  <c r="F10" i="26" s="1"/>
  <c r="H9" i="26"/>
  <c r="I9" i="26" s="1"/>
  <c r="E9" i="26"/>
  <c r="F9" i="26" s="1"/>
  <c r="I11" i="19"/>
  <c r="F11" i="19"/>
  <c r="H4" i="4"/>
  <c r="I4" i="4" s="1"/>
  <c r="E4" i="4"/>
  <c r="F4" i="4" s="1"/>
  <c r="A4" i="30" a="1"/>
  <c r="A4" i="30" s="1"/>
  <c r="B4" i="34" a="1"/>
  <c r="B4" i="34" s="1"/>
  <c r="A4" i="34" a="1"/>
  <c r="A4" i="34" s="1"/>
  <c r="A1" i="34" a="1"/>
  <c r="A1" i="34" s="1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B4" i="1" a="1"/>
  <c r="B4" i="1" s="1"/>
  <c r="A4" i="1" a="1"/>
  <c r="A4" i="1" s="1"/>
  <c r="A1" i="1" a="1"/>
  <c r="A1" i="1" s="1"/>
  <c r="H10" i="33"/>
  <c r="I10" i="33" s="1"/>
  <c r="E10" i="33"/>
  <c r="F10" i="33" s="1"/>
  <c r="H9" i="33"/>
  <c r="I9" i="33" s="1"/>
  <c r="E9" i="33"/>
  <c r="F9" i="33" s="1"/>
  <c r="G2" i="33"/>
  <c r="D2" i="33"/>
  <c r="C2" i="33"/>
  <c r="A1" i="33" a="1"/>
  <c r="A1" i="33" s="1"/>
  <c r="H10" i="32"/>
  <c r="I10" i="32" s="1"/>
  <c r="E10" i="32"/>
  <c r="F10" i="32" s="1"/>
  <c r="H9" i="32"/>
  <c r="I9" i="32" s="1"/>
  <c r="E9" i="32"/>
  <c r="F9" i="32" s="1"/>
  <c r="G2" i="32"/>
  <c r="D2" i="32"/>
  <c r="C2" i="32"/>
  <c r="A1" i="32" a="1"/>
  <c r="A1" i="32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D2" i="31"/>
  <c r="C2" i="31"/>
  <c r="A1" i="31" a="1"/>
  <c r="A1" i="31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E4" i="27"/>
  <c r="F4" i="27" s="1"/>
  <c r="G2" i="27"/>
  <c r="D2" i="27"/>
  <c r="C2" i="27"/>
  <c r="A1" i="27" a="1"/>
  <c r="A1" i="27" s="1"/>
  <c r="H8" i="26"/>
  <c r="E8" i="26"/>
  <c r="F8" i="26" s="1"/>
  <c r="H7" i="26"/>
  <c r="I7" i="26" s="1"/>
  <c r="E7" i="26"/>
  <c r="F7" i="26" s="1"/>
  <c r="E6" i="26"/>
  <c r="F6" i="26" s="1"/>
  <c r="H5" i="26"/>
  <c r="E5" i="26"/>
  <c r="F5" i="26" s="1"/>
  <c r="H4" i="26"/>
  <c r="H4" i="29" s="1"/>
  <c r="E4" i="26"/>
  <c r="F4" i="26" s="1"/>
  <c r="G2" i="26"/>
  <c r="D2" i="26"/>
  <c r="C2" i="26"/>
  <c r="A1" i="26" a="1"/>
  <c r="A1" i="26" s="1"/>
  <c r="I10" i="19"/>
  <c r="F10" i="19"/>
  <c r="I9" i="19"/>
  <c r="F9" i="19"/>
  <c r="G2" i="19"/>
  <c r="D2" i="19"/>
  <c r="C2" i="19"/>
  <c r="J2" i="19" s="1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I6" i="26" l="1"/>
  <c r="H6" i="29"/>
  <c r="I5" i="26"/>
  <c r="H5" i="29"/>
  <c r="I5" i="29" s="1"/>
  <c r="E5" i="29"/>
  <c r="F5" i="29" s="1"/>
  <c r="H6" i="18"/>
  <c r="I6" i="18" s="1"/>
  <c r="H5" i="18"/>
  <c r="H4" i="18"/>
  <c r="I4" i="18" s="1"/>
  <c r="I8" i="72"/>
  <c r="I7" i="72"/>
  <c r="I6" i="72"/>
  <c r="H6" i="1"/>
  <c r="I5" i="72"/>
  <c r="H5" i="1"/>
  <c r="I4" i="72"/>
  <c r="H4" i="1"/>
  <c r="C5" i="34"/>
  <c r="G2" i="29"/>
  <c r="G6" i="34"/>
  <c r="G5" i="34"/>
  <c r="D5" i="34"/>
  <c r="G2" i="30"/>
  <c r="D6" i="34"/>
  <c r="C6" i="34"/>
  <c r="G4" i="34"/>
  <c r="E6" i="30"/>
  <c r="F6" i="30" s="1"/>
  <c r="I6" i="30"/>
  <c r="E6" i="29"/>
  <c r="F6" i="29" s="1"/>
  <c r="E6" i="18"/>
  <c r="F6" i="18" s="1"/>
  <c r="I6" i="1"/>
  <c r="E6" i="1"/>
  <c r="F6" i="1" s="1"/>
  <c r="G2" i="18"/>
  <c r="D2" i="30"/>
  <c r="D2" i="18"/>
  <c r="E5" i="18"/>
  <c r="F5" i="18" s="1"/>
  <c r="E4" i="18"/>
  <c r="F4" i="18" s="1"/>
  <c r="D4" i="34"/>
  <c r="E4" i="30"/>
  <c r="F4" i="30" s="1"/>
  <c r="E5" i="30"/>
  <c r="F5" i="30" s="1"/>
  <c r="D2" i="29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I4" i="30"/>
  <c r="I4" i="26"/>
  <c r="I8" i="26"/>
  <c r="I4" i="29"/>
  <c r="C4" i="34"/>
  <c r="I5" i="18"/>
  <c r="C2" i="29"/>
  <c r="C2" i="30"/>
  <c r="E4" i="29"/>
  <c r="F4" i="29" s="1"/>
  <c r="C2" i="18"/>
  <c r="I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G2" i="34"/>
  <c r="I5" i="30"/>
  <c r="H5" i="34"/>
  <c r="I5" i="34" s="1"/>
  <c r="I6" i="29"/>
  <c r="H6" i="34"/>
  <c r="I6" i="34" s="1"/>
  <c r="E6" i="34"/>
  <c r="F6" i="34" s="1"/>
  <c r="E2" i="29"/>
  <c r="F2" i="29" s="1"/>
  <c r="D2" i="34"/>
  <c r="E4" i="34"/>
  <c r="F4" i="34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<sst xmlns="http://schemas.openxmlformats.org/spreadsheetml/2006/main" count="258" uniqueCount="67">
  <si>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</si>
  <si>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</si>
  <si>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</si>
  <si>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</si>
  <si>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</si>
  <si>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</si>
  <si>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</si>
  <si>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</si>
  <si>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</si>
  <si>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</si>
  <si>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</si>
  <si>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</si>
  <si>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</si>
  <si>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</si>
  <si>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</si>
  <si>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</si>
  <si>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</si>
  <si>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</si>
  <si>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</si>
  <si>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</si>
  <si>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</si>
  <si>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</si>
  <si>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</si>
  <si>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</si>
  <si>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</si>
  <si>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</si>
  <si>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SR095849</t>
  </si>
  <si>
    <t>SR099224</t>
  </si>
  <si>
    <t>April Actual v. Expected</t>
  </si>
  <si>
    <t>April Actual v. Forecasted</t>
  </si>
  <si>
    <t>SR099835</t>
  </si>
  <si>
    <t>SR099913</t>
  </si>
  <si>
    <t>SR100673</t>
  </si>
  <si>
    <t>SR098566</t>
  </si>
  <si>
    <t>June Actual v. Expected</t>
  </si>
  <si>
    <t>June Actual v. Forecasted</t>
  </si>
  <si>
    <t>May Actual v. Expected</t>
  </si>
  <si>
    <t>May Actual v. Forecasted</t>
  </si>
  <si>
    <t>July Actual v. Expected</t>
  </si>
  <si>
    <t>July Actual v. Forecasted</t>
  </si>
  <si>
    <t>August Actual v. Expected</t>
  </si>
  <si>
    <t>August Actual v. Forecasted</t>
  </si>
  <si>
    <t>1. Inverter 2 dropped another string on 08/20. Underperforming by 50%.
2. The meter are -1 instead of 1. 4 % variance between total inverter power and meter power since 08/08.</t>
  </si>
  <si>
    <t>1.SR106506
2. SR105925</t>
  </si>
  <si>
    <t>SR105925</t>
  </si>
  <si>
    <t>1. Inverter 3 is having morning shading till mid of the day.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</si>
  <si>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</si>
  <si>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</si>
  <si>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</si>
  <si>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</si>
  <si>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</si>
  <si>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</si>
  <si>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</si>
  <si>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</si>
  <si>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</si>
  <si>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Vanguard Group Inc</t>
  </si>
  <si>
    <t>Site DAS Name</t>
  </si>
  <si>
    <t>Update</t>
  </si>
  <si>
    <t>DAS</t>
  </si>
  <si>
    <t>Scottsdale - Vanguard Windsor</t>
  </si>
  <si>
    <t>AZ: Scottsdale - Vanguard Windsor</t>
  </si>
  <si>
    <t>AZ</t>
  </si>
  <si>
    <t>Powertrack</t>
  </si>
  <si>
    <t>Scottsdale - Vanguard Wellesley</t>
  </si>
  <si>
    <t>AZ: Scottsdale - Vanguard Wellesley</t>
  </si>
  <si>
    <t>Scottsdale - Vanguard Wellington</t>
  </si>
  <si>
    <t>AZ: Scottsdale - Vanguard Wellington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</si>
</sst>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8"/>
      <name val="Arial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74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43" applyFont="1"/>
    <xf numFmtId="0" fontId="6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3" fillId="0" borderId="0" xfId="0" applyFont="1"/>
    <xf numFmtId="164" fontId="28" fillId="44" borderId="0" xfId="1" applyNumberFormat="1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vertical="center" wrapText="1"/>
    </xf>
    <xf numFmtId="49" fontId="28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164" fontId="28" fillId="0" borderId="0" xfId="1" applyNumberFormat="1" applyFont="1" applyAlignment="1">
      <alignment horizontal="center" vertical="center"/>
    </xf>
    <xf numFmtId="3" fontId="30" fillId="0" borderId="0" xfId="1" applyNumberFormat="1" applyFont="1" applyFill="1" applyBorder="1" applyAlignment="1">
      <alignment vertical="center" wrapText="1"/>
    </xf>
    <xf numFmtId="49" fontId="28" fillId="0" borderId="0" xfId="0" applyNumberFormat="1" applyFont="1" applyAlignment="1">
      <alignment vertical="top" wrapText="1"/>
    </xf>
    <xf numFmtId="9" fontId="30" fillId="37" borderId="0" xfId="2" applyFont="1" applyFill="1" applyAlignment="1">
      <alignment horizontal="center" vertical="center"/>
    </xf>
    <xf numFmtId="3" fontId="30" fillId="0" borderId="0" xfId="1" applyNumberFormat="1" applyFont="1" applyAlignment="1">
      <alignment vertical="center"/>
    </xf>
    <xf numFmtId="0" fontId="6" fillId="45" borderId="1" xfId="0" applyFont="1" applyFill="1" applyBorder="1" applyAlignment="1">
      <alignment horizontal="left" vertical="top"/>
    </xf>
    <xf numFmtId="49" fontId="38" fillId="38" borderId="0" xfId="45" applyNumberFormat="1" applyFill="1" applyBorder="1" applyAlignment="1">
      <alignment horizontal="left" vertical="top" wrapText="1"/>
    </xf>
    <xf numFmtId="49" fontId="38" fillId="0" borderId="0" xfId="45" applyNumberFormat="1" applyAlignment="1">
      <alignment horizontal="left" vertical="top" wrapText="1"/>
    </xf>
    <xf numFmtId="0" fontId="38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0" fontId="35" fillId="0" borderId="0" xfId="0" applyFont="1" applyAlignment="1">
      <alignment horizontal="center" vertical="center"/>
    </xf>
    <xf numFmtId="0" fontId="38" fillId="0" borderId="0" xfId="45"/>
    <xf numFmtId="49" fontId="38" fillId="38" borderId="0" xfId="45" applyNumberFormat="1" applyFill="1" applyBorder="1" applyAlignment="1">
      <alignment vertical="top" wrapText="1"/>
    </xf>
    <xf numFmtId="49" fontId="38" fillId="38" borderId="0" xfId="45" applyNumberFormat="1" applyFill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36" fillId="38" borderId="0" xfId="2" applyNumberFormat="1" applyFont="1" applyFill="1" applyAlignment="1">
      <alignment horizontal="left" vertical="top" wrapText="1"/>
    </xf>
    <xf numFmtId="49" fontId="1" fillId="0" borderId="0" xfId="0" applyNumberFormat="1" applyFont="1" applyAlignment="1">
      <alignment horizontal="left" vertical="center" wrapText="1"/>
    </xf>
    <xf numFmtId="49" fontId="38" fillId="0" borderId="0" xfId="45" applyNumberFormat="1" applyAlignment="1">
      <alignment horizontal="left" vertical="center" wrapText="1"/>
    </xf>
    <xf numFmtId="3" fontId="30" fillId="4" borderId="0" xfId="1" applyNumberFormat="1" applyFont="1" applyFill="1" applyAlignment="1">
      <alignment vertical="center"/>
    </xf>
    <xf numFmtId="0" fontId="35" fillId="0" borderId="0" xfId="0" applyFont="1" applyAlignment="1">
      <alignment vertical="center"/>
    </xf>
    <xf numFmtId="0" fontId="35" fillId="0" borderId="0" xfId="0" applyFont="1" applyAlignment="1">
      <alignment horizontal="right" vertical="center"/>
    </xf>
    <xf numFmtId="0" fontId="38" fillId="0" borderId="0" xfId="45" applyAlignment="1">
      <alignment vertical="top"/>
    </xf>
    <xf numFmtId="0" fontId="4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3:D4">
    <sortCondition ref="C3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9224" TargetMode="External"/><Relationship Id="rId1" Type="http://schemas.openxmlformats.org/officeDocument/2006/relationships/hyperlink" Target="https://us3.assetplanner.com/service_request?ID=095849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224" TargetMode="External"/><Relationship Id="rId2" Type="http://schemas.openxmlformats.org/officeDocument/2006/relationships/hyperlink" Target="https://us3.assetplanner.com/service_request?ID=099913" TargetMode="External"/><Relationship Id="rId1" Type="http://schemas.openxmlformats.org/officeDocument/2006/relationships/hyperlink" Target="https://us3.assetplanner.com/service_request?ID=099835" TargetMode="External"/><Relationship Id="rId5" Type="http://schemas.openxmlformats.org/officeDocument/2006/relationships/hyperlink" Target="https://us3.assetplanner.com/service_request?ID=098566" TargetMode="External"/><Relationship Id="rId4" Type="http://schemas.openxmlformats.org/officeDocument/2006/relationships/hyperlink" Target="https://us3.assetplanner.com/service_request?ID=100673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5925" TargetMode="External"/><Relationship Id="rId1" Type="http://schemas.openxmlformats.org/officeDocument/2006/relationships/hyperlink" Target="https://us3.assetplanner.com/service_request?ID=10650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6"/>
  <sheetViews>
    <sheetView workbookViewId="0">
      <pane xSplit="2" ySplit="3" topLeftCell="C4" activePane="bottomRight" state="frozen"/>
      <selection pane="bottomRight" activeCell="G13" sqref="G1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Vanguard Group Inc</v>
      </c>
      <c r="B1" s="71"/>
      <c r="C1" s="71"/>
      <c r="D1" s="72" t="s">
        <v>0</v>
      </c>
      <c r="E1" s="72"/>
      <c r="F1" s="72"/>
      <c r="G1" s="70" t="s">
        <v>1</v>
      </c>
      <c r="H1" s="70"/>
      <c r="I1" s="70"/>
    </row>
    <row r="2" spans="1:9" ht="19.5" customHeight="1">
      <c r="A2" s="73" t="s">
        <v>2</v>
      </c>
      <c r="B2" s="73"/>
      <c r="C2" s="5">
        <f>SUM(C4:C84)</f>
        <v>366801.44104370649</v>
      </c>
      <c r="D2" s="5">
        <f>SUM(D4:D84)</f>
        <v>375560.67000000004</v>
      </c>
      <c r="E2" s="5">
        <f>C2-D2</f>
        <v>-8759.2289562935475</v>
      </c>
      <c r="F2" s="6">
        <f>IFERROR(E2/D2, 0)</f>
        <v>-2.3323073090410523E-2</v>
      </c>
      <c r="G2" s="5">
        <f>SUM(G4:G84)</f>
        <v>380865.4</v>
      </c>
      <c r="H2" s="7">
        <f>C2-G2</f>
        <v>-14063.958956293529</v>
      </c>
      <c r="I2" s="6">
        <f>IFERROR(H2/G2, 0)</f>
        <v>-3.6926323463075221E-2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6">Sites[Site]</f>
        <v>AZ: Scottsdale - Vanguard Windsor</v>
      </c>
      <c r="B4" s="9" t="str" cm="1">
        <f t="array" ref="B4:B6">Sites[State]</f>
        <v>AZ</v>
      </c>
      <c r="C4" s="24">
        <f>SUM('1st Qtr'!C4, '2nd Qtr'!C4, '3rd Qtr'!C4, '4th Qtr'!C4)</f>
        <v>97055.517918706493</v>
      </c>
      <c r="D4" s="13">
        <f>SUM('1st Qtr'!D4, '2nd Qtr'!D4, '3rd Qtr'!D4, '4th Qtr'!D4)</f>
        <v>84145.47</v>
      </c>
      <c r="E4" s="13">
        <f>IF(AND(ISNUMBER(C4),ISNUMBER(D4)), C4-D4, "")</f>
        <v>12910.047918706492</v>
      </c>
      <c r="F4" s="14">
        <f>IFERROR(E4/D4, "")</f>
        <v>0.1534253468274227</v>
      </c>
      <c r="G4" s="15">
        <f>SUM('1st Qtr'!G4, '2nd Qtr'!G4, '3rd Qtr'!G4, '4th Qtr'!G4)</f>
        <v>106864</v>
      </c>
      <c r="H4" s="15">
        <f>SUM('1st Qtr'!H4, '2nd Qtr'!H4, '3rd Qtr'!H4, '4th Qtr'!H4)</f>
        <v>-9808.4820812935068</v>
      </c>
      <c r="I4" s="51">
        <f>IFERROR(H4/G4, "")</f>
        <v>-9.1784717784225811E-2</v>
      </c>
    </row>
    <row r="5" spans="1:9" ht="15.6">
      <c r="A5" s="17" t="str">
        <v>AZ: Scottsdale - Vanguard Wellesley</v>
      </c>
      <c r="B5" s="10" t="str">
        <v>AZ</v>
      </c>
      <c r="C5" s="18">
        <f>SUM('1st Qtr'!C5, '2nd Qtr'!C5, '3rd Qtr'!C5, '4th Qtr'!C5)</f>
        <v>139679.485625</v>
      </c>
      <c r="D5" s="18">
        <f>SUM('1st Qtr'!D5, '2nd Qtr'!D5, '3rd Qtr'!D5, '4th Qtr'!D5)</f>
        <v>135974.1</v>
      </c>
      <c r="E5" s="18">
        <f t="shared" ref="E5:E6" si="0">IF(AND(ISNUMBER(C5),ISNUMBER(D5)), C5-D5, "")</f>
        <v>3705.3856249999953</v>
      </c>
      <c r="F5" s="19">
        <f>IFERROR(E5/D5, "")</f>
        <v>2.7250672186835547E-2</v>
      </c>
      <c r="G5" s="20">
        <f>SUM('1st Qtr'!G5, '2nd Qtr'!G5, '3rd Qtr'!G5, '4th Qtr'!G5)</f>
        <v>141589.4</v>
      </c>
      <c r="H5" s="52">
        <f>SUM('1st Qtr'!H5, '2nd Qtr'!H5, '3rd Qtr'!H5, '4th Qtr'!H5)</f>
        <v>-1909.914374999993</v>
      </c>
      <c r="I5" s="19">
        <f>IFERROR(H5/G5, "")</f>
        <v>-1.3489105646326584E-2</v>
      </c>
    </row>
    <row r="6" spans="1:9" ht="15.6">
      <c r="A6" s="12" t="str">
        <v>AZ: Scottsdale - Vanguard Wellington</v>
      </c>
      <c r="B6" s="9" t="str">
        <v>AZ</v>
      </c>
      <c r="C6" s="24">
        <f>SUM('1st Qtr'!C6, '2nd Qtr'!C6, '3rd Qtr'!C6, '4th Qtr'!C6)</f>
        <v>130066.4375</v>
      </c>
      <c r="D6" s="13">
        <f>SUM('1st Qtr'!D6, '2nd Qtr'!D6, '3rd Qtr'!D6, '4th Qtr'!D6)</f>
        <v>155441.1</v>
      </c>
      <c r="E6" s="13">
        <f t="shared" si="0"/>
        <v>-25374.662500000006</v>
      </c>
      <c r="F6" s="14">
        <f t="shared" ref="F6" si="1">IFERROR(E6/D6, "")</f>
        <v>-0.16324294218195834</v>
      </c>
      <c r="G6" s="15">
        <f>SUM('1st Qtr'!G6, '2nd Qtr'!G6, '3rd Qtr'!G6, '4th Qtr'!G6)</f>
        <v>132412</v>
      </c>
      <c r="H6" s="15">
        <f>SUM('1st Qtr'!H6, '2nd Qtr'!H6, '3rd Qtr'!H6, '4th Qtr'!H6)</f>
        <v>-2345.5625</v>
      </c>
      <c r="I6" s="16">
        <f t="shared" ref="I6" si="2">IFERROR(H6/G6, "")</f>
        <v>-1.771412334229526E-2</v>
      </c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4 I4:I84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6"/>
  <sheetViews>
    <sheetView workbookViewId="0">
      <pane xSplit="2" ySplit="3" topLeftCell="F17" activePane="bottomRight" state="frozen"/>
      <selection pane="bottomRight" activeCell="F17" sqref="F1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Vanguard Group Inc</v>
      </c>
      <c r="B1" s="71"/>
      <c r="C1" s="71"/>
      <c r="D1" s="72" t="s">
        <v>10</v>
      </c>
      <c r="E1" s="72"/>
      <c r="F1" s="72"/>
      <c r="G1" s="70" t="s">
        <v>11</v>
      </c>
      <c r="H1" s="70"/>
      <c r="I1" s="70"/>
    </row>
    <row r="2" spans="1:9" ht="19.5" customHeight="1">
      <c r="A2" s="73" t="s">
        <v>2</v>
      </c>
      <c r="B2" s="73"/>
      <c r="C2" s="5">
        <f>SUM(C4:C84)</f>
        <v>0</v>
      </c>
      <c r="D2" s="5">
        <f>SUM(D4:D84)</f>
        <v>0</v>
      </c>
      <c r="E2" s="5">
        <f>C2-D2</f>
        <v>0</v>
      </c>
      <c r="F2" s="6">
        <f>IFERROR(E2/D2, 0)</f>
        <v>0</v>
      </c>
      <c r="G2" s="5">
        <f>SUM(G4:G84)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6">Sites[Site]</f>
        <v>AZ: Scottsdale - Vanguard Windsor</v>
      </c>
      <c r="B4" s="9" t="str" cm="1">
        <f t="array" ref="B4:B6">Sites[State]</f>
        <v>AZ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>AZ: Scottsdale - Vanguard Wellesley</v>
      </c>
      <c r="B5" s="10" t="str">
        <v>AZ</v>
      </c>
      <c r="C5" s="11">
        <f>SUM(Jan!C5, Feb!C5, Mar!C5)</f>
        <v>0</v>
      </c>
      <c r="D5" s="18">
        <f>SUM(Jan!D5, Feb!D5, Mar!D5)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15">
        <f>SUM(Jan!H5, Feb!H5, Mar!H5)</f>
        <v>0</v>
      </c>
      <c r="I5" s="19" t="str">
        <f>IFERROR(H5/G5, "")</f>
        <v/>
      </c>
    </row>
    <row r="6" spans="1:9" ht="15.6">
      <c r="A6" s="12" t="str">
        <v>AZ: Scottsdale - Vanguard Wellington</v>
      </c>
      <c r="B6" s="9" t="str">
        <v>AZ</v>
      </c>
      <c r="C6" s="24">
        <f>SUM(Jan!C6, Feb!C6, Mar!C6)</f>
        <v>0</v>
      </c>
      <c r="D6" s="13">
        <f>SUM(Jan!D6, Feb!D6, Mar!D6)</f>
        <v>0</v>
      </c>
      <c r="E6" s="13">
        <f t="shared" si="0"/>
        <v>0</v>
      </c>
      <c r="F6" s="14" t="str">
        <f t="shared" ref="F6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" si="2">IFERROR(H6/G6, "")</f>
        <v/>
      </c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4 I4:I84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6"/>
  <sheetViews>
    <sheetView workbookViewId="0">
      <pane xSplit="2" ySplit="3" topLeftCell="C4" activePane="bottomRight" state="frozen"/>
      <selection pane="bottomRight" activeCell="D19" sqref="D19"/>
      <selection pane="bottomLeft" activeCell="D12" sqref="D12"/>
      <selection pane="topRight" activeCell="D12" sqref="D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Vanguard Group Inc</v>
      </c>
      <c r="B1" s="71"/>
      <c r="C1" s="71"/>
      <c r="D1" s="72" t="s">
        <v>12</v>
      </c>
      <c r="E1" s="72"/>
      <c r="F1" s="72"/>
      <c r="G1" s="70" t="s">
        <v>13</v>
      </c>
      <c r="H1" s="70"/>
      <c r="I1" s="70"/>
    </row>
    <row r="2" spans="1:9" ht="19.5" customHeight="1">
      <c r="A2" s="73" t="s">
        <v>2</v>
      </c>
      <c r="B2" s="73"/>
      <c r="C2" s="5">
        <f>SUM(C4:C84)</f>
        <v>0</v>
      </c>
      <c r="D2" s="5">
        <f>SUM(D4:D84)</f>
        <v>0</v>
      </c>
      <c r="E2" s="5">
        <f>C2-D2</f>
        <v>0</v>
      </c>
      <c r="F2" s="6">
        <f>IFERROR(E2/D2, 0)</f>
        <v>0</v>
      </c>
      <c r="G2" s="5">
        <f>SUM(G4:G84)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6">Sites[Site]</f>
        <v>AZ: Scottsdale - Vanguard Windsor</v>
      </c>
      <c r="B4" s="9" t="str" cm="1">
        <f t="array" ref="B4:B6">Sites[State]</f>
        <v>AZ</v>
      </c>
      <c r="C4" s="24">
        <f>SUM(Apr!C4, May!C4, Jun!C4)</f>
        <v>0</v>
      </c>
      <c r="D4" s="13">
        <f>SUM(Apr!D4,May!D4,Jun!D4)</f>
        <v>0</v>
      </c>
      <c r="E4" s="13">
        <f>IF(AND(ISNUMBER(C4),ISNUMBER(D4)), C4-D4, "")</f>
        <v>0</v>
      </c>
      <c r="F4" s="14" t="str">
        <f>IFERROR(E4/D4, "")</f>
        <v/>
      </c>
      <c r="G4" s="15">
        <f>SUM(Apr!G4,May!G4,Jun!G4)</f>
        <v>0</v>
      </c>
      <c r="H4" s="15">
        <f>SUM(Apr!H4,May!H4,Jun!G4)</f>
        <v>0</v>
      </c>
      <c r="I4" s="16" t="str">
        <f>IFERROR(H4/G4, "")</f>
        <v/>
      </c>
    </row>
    <row r="5" spans="1:9" ht="15.6">
      <c r="A5" s="17" t="str">
        <v>AZ: Scottsdale - Vanguard Wellesley</v>
      </c>
      <c r="B5" s="10" t="str">
        <v>AZ</v>
      </c>
      <c r="C5" s="11">
        <f>SUM(Apr!C5, May!C5, Jun!C5)</f>
        <v>0</v>
      </c>
      <c r="D5" s="18">
        <f>SUM(Apr!D5,May!D5,Jun!D5)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20">
        <f>SUM(Apr!G5,May!G5,Jun!G5)</f>
        <v>0</v>
      </c>
      <c r="H5" s="20">
        <f>SUM(Apr!H5,May!H5,Jun!G5)</f>
        <v>0</v>
      </c>
      <c r="I5" s="19" t="str">
        <f>IFERROR(H5/G5, "")</f>
        <v/>
      </c>
    </row>
    <row r="6" spans="1:9" ht="15.6">
      <c r="A6" s="12" t="str">
        <v>AZ: Scottsdale - Vanguard Wellington</v>
      </c>
      <c r="B6" s="9" t="str">
        <v>AZ</v>
      </c>
      <c r="C6" s="24">
        <f>SUM(Apr!C6, May!C6, Jun!C6)</f>
        <v>0</v>
      </c>
      <c r="D6" s="13">
        <f>SUM(Apr!D6,May!D6,Jun!D6)</f>
        <v>0</v>
      </c>
      <c r="E6" s="13">
        <f t="shared" si="0"/>
        <v>0</v>
      </c>
      <c r="F6" s="14" t="str">
        <f t="shared" ref="F6" si="1">IFERROR(E6/D6, "")</f>
        <v/>
      </c>
      <c r="G6" s="15">
        <f>SUM(Apr!G6,May!G6,Jun!G6)</f>
        <v>0</v>
      </c>
      <c r="H6" s="15">
        <f>SUM(Apr!H6,May!H6,Jun!G6)</f>
        <v>0</v>
      </c>
      <c r="I6" s="16" t="str">
        <f t="shared" ref="I6" si="2">IFERROR(H6/G6, "")</f>
        <v/>
      </c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4 I4:I84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6"/>
  <sheetViews>
    <sheetView tabSelected="1" workbookViewId="0">
      <pane xSplit="2" ySplit="3" topLeftCell="C4" activePane="bottomRight" state="frozen"/>
      <selection pane="bottomRight" activeCell="G19" sqref="G19"/>
      <selection pane="bottomLeft" activeCell="A16" sqref="A16"/>
      <selection pane="topRight" activeCell="A16" sqref="A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Vanguard Group Inc</v>
      </c>
      <c r="B1" s="71"/>
      <c r="C1" s="71"/>
      <c r="D1" s="72" t="s">
        <v>14</v>
      </c>
      <c r="E1" s="72"/>
      <c r="F1" s="72"/>
      <c r="G1" s="70" t="s">
        <v>15</v>
      </c>
      <c r="H1" s="70"/>
      <c r="I1" s="70"/>
    </row>
    <row r="2" spans="1:9" ht="19.5" customHeight="1">
      <c r="A2" s="73" t="s">
        <v>2</v>
      </c>
      <c r="B2" s="73"/>
      <c r="C2" s="5">
        <f>SUM(C4:C84)</f>
        <v>366801.44104370649</v>
      </c>
      <c r="D2" s="5">
        <f>SUM(D4:D84)</f>
        <v>375560.67000000004</v>
      </c>
      <c r="E2" s="5">
        <f>C2-D2</f>
        <v>-8759.2289562935475</v>
      </c>
      <c r="F2" s="6">
        <f>IFERROR(E2/D2, 0)</f>
        <v>-2.3323073090410523E-2</v>
      </c>
      <c r="G2" s="5">
        <f>SUM(G4:G84)</f>
        <v>380865.4</v>
      </c>
      <c r="H2" s="7">
        <f>C2-G2</f>
        <v>-14063.958956293529</v>
      </c>
      <c r="I2" s="6">
        <f>IFERROR(H2/G2, 0)</f>
        <v>-3.6926323463075221E-2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6">Sites[Site]</f>
        <v>AZ: Scottsdale - Vanguard Windsor</v>
      </c>
      <c r="B4" s="9" t="str" cm="1">
        <f t="array" ref="B4:B6">Sites[State]</f>
        <v>AZ</v>
      </c>
      <c r="C4" s="24">
        <f>SUM(Jul!C4, Aug!C4, Sep!C4)</f>
        <v>97055.517918706493</v>
      </c>
      <c r="D4" s="13">
        <f>SUM(Jul!D4, Aug!D4, Sep!D4)</f>
        <v>84145.47</v>
      </c>
      <c r="E4" s="13">
        <f>IF(AND(ISNUMBER(C4),ISNUMBER(D4)), C4-D4, "")</f>
        <v>12910.047918706492</v>
      </c>
      <c r="F4" s="14">
        <f>IFERROR(E4/D4, "")</f>
        <v>0.1534253468274227</v>
      </c>
      <c r="G4" s="15">
        <f>SUM(Jul!G4,Aug!G4,Sep!G4)</f>
        <v>106864</v>
      </c>
      <c r="H4" s="15">
        <f>SUM(Jul!H4, Aug!H4, Sep!H4)</f>
        <v>-9808.4820812935068</v>
      </c>
      <c r="I4" s="16">
        <f>IFERROR(H4/G4, "")</f>
        <v>-9.1784717784225811E-2</v>
      </c>
    </row>
    <row r="5" spans="1:9" ht="15.6">
      <c r="A5" s="17" t="str">
        <v>AZ: Scottsdale - Vanguard Wellesley</v>
      </c>
      <c r="B5" s="10" t="str">
        <v>AZ</v>
      </c>
      <c r="C5" s="11">
        <f>SUM(Jul!C5, Aug!C5, Sep!C5)</f>
        <v>139679.485625</v>
      </c>
      <c r="D5" s="18">
        <f>SUM(Jul!D5, Aug!D5, Sep!D5)</f>
        <v>135974.1</v>
      </c>
      <c r="E5" s="18">
        <f t="shared" ref="E5:E6" si="0">IF(AND(ISNUMBER(C5),ISNUMBER(D5)), C5-D5, "")</f>
        <v>3705.3856249999953</v>
      </c>
      <c r="F5" s="19">
        <f>IFERROR(E5/D5, "")</f>
        <v>2.7250672186835547E-2</v>
      </c>
      <c r="G5" s="52">
        <f>SUM(Jul!G5,Aug!G5,Sep!G5)</f>
        <v>141589.4</v>
      </c>
      <c r="H5" s="20">
        <f>SUM(Jul!H5, Aug!H5, Sep!H5)</f>
        <v>-1909.914374999993</v>
      </c>
      <c r="I5" s="19">
        <f>IFERROR(H5/G5, "")</f>
        <v>-1.3489105646326584E-2</v>
      </c>
    </row>
    <row r="6" spans="1:9" ht="15.6">
      <c r="A6" s="12" t="str">
        <v>AZ: Scottsdale - Vanguard Wellington</v>
      </c>
      <c r="B6" s="9" t="str">
        <v>AZ</v>
      </c>
      <c r="C6" s="24">
        <f>SUM(Jul!C6, Aug!C6, Sep!C6)</f>
        <v>130066.4375</v>
      </c>
      <c r="D6" s="13">
        <f>SUM(Jul!D6, Aug!D6, Sep!D6)</f>
        <v>155441.1</v>
      </c>
      <c r="E6" s="13">
        <f t="shared" si="0"/>
        <v>-25374.662500000006</v>
      </c>
      <c r="F6" s="14">
        <f t="shared" ref="F6" si="1">IFERROR(E6/D6, "")</f>
        <v>-0.16324294218195834</v>
      </c>
      <c r="G6" s="15">
        <f>SUM(Jul!G6,Aug!G6,Sep!G6)</f>
        <v>132412</v>
      </c>
      <c r="H6" s="15">
        <f>SUM(Jul!H6, Aug!H6, Sep!H6)</f>
        <v>-2345.5625</v>
      </c>
      <c r="I6" s="16">
        <f t="shared" ref="I6" si="2">IFERROR(H6/G6, "")</f>
        <v>-1.771412334229526E-2</v>
      </c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</sheetData>
  <mergeCells count="4">
    <mergeCell ref="G1:I1"/>
    <mergeCell ref="A1:C1"/>
    <mergeCell ref="D1:F1"/>
    <mergeCell ref="A2:B2"/>
  </mergeCells>
  <conditionalFormatting sqref="F2 I2 F4:F84 I4:I84">
    <cfRule type="cellIs" dxfId="44" priority="5" stopIfTrue="1" operator="lessThanOrEqual">
      <formula>-0.1</formula>
    </cfRule>
    <cfRule type="expression" dxfId="43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6"/>
  <sheetViews>
    <sheetView workbookViewId="0">
      <pane xSplit="2" ySplit="3" topLeftCell="D4" activePane="bottomRight" state="frozen"/>
      <selection pane="bottomRight" activeCell="A7" sqref="A7:XFD8"/>
      <selection pane="bottomLeft" activeCell="A16" sqref="A16"/>
      <selection pane="topRight" activeCell="A16" sqref="A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Vanguard Group Inc</v>
      </c>
      <c r="B1" s="71"/>
      <c r="C1" s="71"/>
      <c r="D1" s="72" t="s">
        <v>16</v>
      </c>
      <c r="E1" s="72"/>
      <c r="F1" s="72"/>
      <c r="G1" s="70" t="s">
        <v>17</v>
      </c>
      <c r="H1" s="70"/>
      <c r="I1" s="70"/>
    </row>
    <row r="2" spans="1:9" ht="19.5" customHeight="1">
      <c r="A2" s="73" t="s">
        <v>2</v>
      </c>
      <c r="B2" s="73"/>
      <c r="C2" s="5">
        <f>SUM(C4:C84)</f>
        <v>0</v>
      </c>
      <c r="D2" s="5">
        <f>SUM(D4:D84)</f>
        <v>0</v>
      </c>
      <c r="E2" s="5">
        <f>C2-D2</f>
        <v>0</v>
      </c>
      <c r="F2" s="6">
        <f>IFERROR(E2/D2, 0)</f>
        <v>0</v>
      </c>
      <c r="G2" s="5">
        <f>SUM(G4:G84)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6">Sites[Site]</f>
        <v>AZ: Scottsdale - Vanguard Windsor</v>
      </c>
      <c r="B4" s="9" t="str" cm="1">
        <f t="array" ref="B4:B6">Sites[State]</f>
        <v>AZ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AZ: Scottsdale - Vanguard Wellesley</v>
      </c>
      <c r="B5" s="10" t="str">
        <v>AZ</v>
      </c>
      <c r="C5" s="11">
        <f>SUM(Oct!C5, Nov!C5, Dec!C5)</f>
        <v>0</v>
      </c>
      <c r="D5" s="18">
        <f>SUM(Oct!D5, Nov!D5, Dec!D5)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20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12" t="str">
        <v>AZ: Scottsdale - Vanguard Wellington</v>
      </c>
      <c r="B6" s="9" t="str">
        <v>AZ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" si="1">IFERROR(E6/D6, "")</f>
        <v/>
      </c>
      <c r="G6" s="15">
        <f>SUM(Oct!G6,Nov!G6,Dec!G6)</f>
        <v>0</v>
      </c>
      <c r="H6" s="15">
        <f>SUM(Oct!H6, Nov!H6, Dec!H6)</f>
        <v>0</v>
      </c>
      <c r="I6" s="16" t="str">
        <f t="shared" ref="I6" si="2">IFERROR(H6/G6, "")</f>
        <v/>
      </c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</sheetData>
  <mergeCells count="4">
    <mergeCell ref="G1:I1"/>
    <mergeCell ref="A1:C1"/>
    <mergeCell ref="D1:F1"/>
    <mergeCell ref="A2:B2"/>
  </mergeCells>
  <conditionalFormatting sqref="F2 I2 F4:F84 I4:I84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19"/>
  <sheetViews>
    <sheetView zoomScale="60" zoomScaleNormal="60" workbookViewId="0">
      <pane xSplit="2" ySplit="3" topLeftCell="E4" activePane="bottomRight" state="frozen"/>
      <selection pane="bottomRight" activeCell="E14" sqref="E14"/>
      <selection pane="bottomLeft" activeCell="U13" sqref="U13"/>
      <selection pane="topRight" activeCell="U13" sqref="U1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36.5703125" customWidth="1"/>
  </cols>
  <sheetData>
    <row r="1" spans="1:13" ht="19.5" customHeight="1">
      <c r="A1" s="71" t="str" cm="1">
        <f t="array" ref="A1">portfolio</f>
        <v>Vanguard Group Inc</v>
      </c>
      <c r="B1" s="71"/>
      <c r="C1" s="71"/>
      <c r="D1" s="72" t="s">
        <v>18</v>
      </c>
      <c r="E1" s="72"/>
      <c r="F1" s="72"/>
      <c r="G1" s="70" t="s">
        <v>19</v>
      </c>
      <c r="H1" s="70"/>
      <c r="I1" s="70"/>
      <c r="J1" s="4"/>
      <c r="K1" s="4"/>
    </row>
    <row r="2" spans="1:13" ht="19.5" customHeight="1">
      <c r="A2" s="73" t="s">
        <v>2</v>
      </c>
      <c r="B2" s="73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53" t="s">
        <v>20</v>
      </c>
      <c r="K3" s="53" t="s">
        <v>21</v>
      </c>
    </row>
    <row r="4" spans="1:13" ht="15.6">
      <c r="A4" s="31" t="str" cm="1">
        <f t="array" ref="A4:A6">Sites[Site]</f>
        <v>AZ: Scottsdale - Vanguard Windsor</v>
      </c>
      <c r="B4" s="28" t="str" cm="1">
        <f t="array" ref="B4:B6">Sites[State]</f>
        <v>AZ</v>
      </c>
      <c r="C4" s="24"/>
      <c r="D4" s="13"/>
      <c r="E4" s="13" t="str">
        <f t="shared" ref="E4:E8" si="0">IF(AND(ISNUMBER(C4),ISNUMBER(D4)), C4-D4, "")</f>
        <v/>
      </c>
      <c r="F4" s="14" t="str">
        <f t="shared" ref="F4:F8" si="1">IFERROR(E4/D4, "")</f>
        <v/>
      </c>
      <c r="G4" s="15"/>
      <c r="H4" s="15" t="str">
        <f t="shared" ref="H4:H8" si="2">IF(AND(ISNUMBER(C4),ISNUMBER(G4)), C4-G4, "")</f>
        <v/>
      </c>
      <c r="I4" s="16" t="str">
        <f t="shared" ref="I4:I8" si="3">IFERROR(H4/G4, "")</f>
        <v/>
      </c>
      <c r="J4" s="63"/>
      <c r="K4" s="61"/>
      <c r="L4" s="57"/>
      <c r="M4" s="57"/>
    </row>
    <row r="5" spans="1:13" ht="15.6">
      <c r="A5" s="29" t="str">
        <v>AZ: Scottsdale - Vanguard Wellesley</v>
      </c>
      <c r="B5" s="30" t="str">
        <v>AZ</v>
      </c>
      <c r="C5" s="11"/>
      <c r="D5" s="18"/>
      <c r="E5" s="18" t="str">
        <f t="shared" si="0"/>
        <v/>
      </c>
      <c r="F5" s="19" t="str">
        <f t="shared" si="1"/>
        <v/>
      </c>
      <c r="G5" s="20"/>
      <c r="H5" s="20" t="str">
        <f t="shared" si="2"/>
        <v/>
      </c>
      <c r="I5" s="19" t="str">
        <f t="shared" si="3"/>
        <v/>
      </c>
      <c r="J5" s="62"/>
      <c r="K5" s="65"/>
      <c r="L5" s="56"/>
      <c r="M5" s="56"/>
    </row>
    <row r="6" spans="1:13" ht="15.6">
      <c r="A6" s="31" t="str">
        <v>AZ: Scottsdale - Vanguard Wellington</v>
      </c>
      <c r="B6" s="28" t="str">
        <v>AZ</v>
      </c>
      <c r="C6" s="24"/>
      <c r="D6" s="13"/>
      <c r="E6" s="13" t="str">
        <f t="shared" si="0"/>
        <v/>
      </c>
      <c r="F6" s="14" t="str">
        <f t="shared" si="1"/>
        <v/>
      </c>
      <c r="G6" s="15"/>
      <c r="H6" s="15" t="str">
        <f t="shared" si="2"/>
        <v/>
      </c>
      <c r="I6" s="16" t="str">
        <f t="shared" si="3"/>
        <v/>
      </c>
      <c r="J6" s="63"/>
      <c r="K6" s="61"/>
      <c r="L6" s="57"/>
      <c r="M6" s="57"/>
    </row>
    <row r="7" spans="1:13" ht="27.75" customHeight="1">
      <c r="A7" s="29"/>
      <c r="B7" s="30"/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64"/>
      <c r="K7" s="65"/>
      <c r="L7" s="56"/>
      <c r="M7" s="56"/>
    </row>
    <row r="8" spans="1:13" ht="15.6">
      <c r="A8" s="31"/>
      <c r="B8" s="28"/>
      <c r="C8" s="24"/>
      <c r="D8" s="13"/>
      <c r="E8" s="13" t="str">
        <f t="shared" si="0"/>
        <v/>
      </c>
      <c r="F8" s="14" t="str">
        <f t="shared" si="1"/>
        <v/>
      </c>
      <c r="G8" s="15"/>
      <c r="H8" s="15" t="str">
        <f t="shared" si="2"/>
        <v/>
      </c>
      <c r="I8" s="16" t="str">
        <f t="shared" si="3"/>
        <v/>
      </c>
      <c r="J8" s="63"/>
      <c r="K8" s="61"/>
      <c r="L8" s="57"/>
      <c r="M8" s="57"/>
    </row>
    <row r="9" spans="1:13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  <c r="L9" s="57"/>
      <c r="M9" s="57"/>
    </row>
    <row r="10" spans="1:13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3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3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3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3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3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3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D1:F1"/>
    <mergeCell ref="A1:C1"/>
    <mergeCell ref="G1:I1"/>
    <mergeCell ref="A2:B2"/>
  </mergeCells>
  <phoneticPr fontId="5" type="noConversion"/>
  <conditionalFormatting sqref="F2 I2 F4:F77 I4:I77">
    <cfRule type="cellIs" dxfId="40" priority="4" stopIfTrue="1" operator="lessThanOrEqual">
      <formula>-0.1</formula>
    </cfRule>
    <cfRule type="expression" dxfId="39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8"/>
  <sheetViews>
    <sheetView zoomScale="40" zoomScaleNormal="40" workbookViewId="0">
      <pane xSplit="2" ySplit="3" topLeftCell="C4" activePane="bottomRight" state="frozen"/>
      <selection pane="bottomRight" activeCell="U13" sqref="U13"/>
      <selection pane="bottomLeft" activeCell="U13" sqref="U13"/>
      <selection pane="topRight" activeCell="U13" sqref="U1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1" t="str" cm="1">
        <f t="array" ref="A1">portfolio</f>
        <v>Vanguard Group Inc</v>
      </c>
      <c r="B1" s="71"/>
      <c r="C1" s="71"/>
      <c r="D1" s="72" t="s">
        <v>22</v>
      </c>
      <c r="E1" s="72"/>
      <c r="F1" s="72"/>
      <c r="G1" s="70" t="s">
        <v>23</v>
      </c>
      <c r="H1" s="70"/>
      <c r="I1" s="70"/>
      <c r="J1" s="4"/>
      <c r="K1" s="4"/>
    </row>
    <row r="2" spans="1:14" ht="19.5" customHeight="1">
      <c r="A2" s="73" t="s">
        <v>2</v>
      </c>
      <c r="B2" s="73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4" ht="327" customHeight="1">
      <c r="A4" s="31" t="str" cm="1">
        <f t="array" ref="A4:A6">Sites[Site]</f>
        <v>AZ: Scottsdale - Vanguard Windsor</v>
      </c>
      <c r="B4" s="28" t="str" cm="1">
        <f t="array" ref="B4:B6">Sites[State]</f>
        <v>AZ</v>
      </c>
      <c r="C4" s="43"/>
      <c r="D4" s="13"/>
      <c r="E4" s="13" t="str">
        <f t="shared" ref="E4:E8" si="0">IF(AND(ISNUMBER(C4),ISNUMBER(D4)), C4-D4, "")</f>
        <v/>
      </c>
      <c r="F4" s="14" t="str">
        <f t="shared" ref="F4:F8" si="1">IFERROR(E4/D4, "")</f>
        <v/>
      </c>
      <c r="G4" s="66"/>
      <c r="H4" s="15" t="str">
        <f t="shared" ref="H4:H8" si="2">IF(AND(ISNUMBER(C4),ISNUMBER(G4)), C4-G4, "")</f>
        <v/>
      </c>
      <c r="I4" s="16" t="str">
        <f t="shared" ref="I4:I8" si="3">IFERROR(H4/G4, "")</f>
        <v/>
      </c>
      <c r="J4" s="63"/>
      <c r="K4" s="61"/>
      <c r="L4" s="59"/>
    </row>
    <row r="5" spans="1:14" ht="139.15" customHeight="1">
      <c r="A5" s="29" t="str">
        <v>AZ: Scottsdale - Vanguard Wellesley</v>
      </c>
      <c r="B5" s="30" t="str">
        <v>AZ</v>
      </c>
      <c r="C5" s="48"/>
      <c r="D5" s="58"/>
      <c r="E5" s="18" t="str">
        <f t="shared" si="0"/>
        <v/>
      </c>
      <c r="F5" s="19" t="str">
        <f t="shared" si="1"/>
        <v/>
      </c>
      <c r="G5" s="67"/>
      <c r="H5" s="20" t="str">
        <f t="shared" si="2"/>
        <v/>
      </c>
      <c r="I5" s="19" t="str">
        <f t="shared" si="3"/>
        <v/>
      </c>
      <c r="J5" s="62"/>
      <c r="K5" s="65"/>
      <c r="L5" s="59"/>
      <c r="M5" s="59"/>
      <c r="N5" s="59"/>
    </row>
    <row r="6" spans="1:14" ht="15.6">
      <c r="A6" s="31" t="str">
        <v>AZ: Scottsdale - Vanguard Wellington</v>
      </c>
      <c r="B6" s="28" t="str">
        <v>AZ</v>
      </c>
      <c r="C6" s="43"/>
      <c r="D6" s="13"/>
      <c r="E6" s="13" t="str">
        <f t="shared" si="0"/>
        <v/>
      </c>
      <c r="F6" s="14" t="str">
        <f t="shared" si="1"/>
        <v/>
      </c>
      <c r="G6" s="66"/>
      <c r="H6" s="15" t="str">
        <f t="shared" si="2"/>
        <v/>
      </c>
      <c r="I6" s="16" t="str">
        <f t="shared" si="3"/>
        <v/>
      </c>
      <c r="J6" s="63"/>
      <c r="K6" s="61"/>
      <c r="L6" s="59"/>
    </row>
    <row r="7" spans="1:14" ht="143.25" customHeight="1">
      <c r="A7" s="29"/>
      <c r="B7" s="30"/>
      <c r="C7" s="48"/>
      <c r="D7" s="67"/>
      <c r="E7" s="18" t="str">
        <f t="shared" si="0"/>
        <v/>
      </c>
      <c r="F7" s="19" t="str">
        <f t="shared" si="1"/>
        <v/>
      </c>
      <c r="G7" s="68"/>
      <c r="H7" s="20" t="str">
        <f t="shared" si="2"/>
        <v/>
      </c>
      <c r="I7" s="19" t="str">
        <f t="shared" si="3"/>
        <v/>
      </c>
      <c r="J7" s="64"/>
      <c r="K7" s="65"/>
      <c r="L7" s="59"/>
      <c r="M7" s="59"/>
      <c r="N7" s="59"/>
    </row>
    <row r="8" spans="1:14" ht="15.6">
      <c r="A8" s="31"/>
      <c r="B8" s="28"/>
      <c r="C8" s="43"/>
      <c r="D8" s="13"/>
      <c r="E8" s="13" t="str">
        <f t="shared" si="0"/>
        <v/>
      </c>
      <c r="F8" s="14" t="str">
        <f t="shared" si="1"/>
        <v/>
      </c>
      <c r="G8" s="66"/>
      <c r="H8" s="15" t="str">
        <f t="shared" si="2"/>
        <v/>
      </c>
      <c r="I8" s="16" t="str">
        <f t="shared" si="3"/>
        <v/>
      </c>
      <c r="J8" s="63"/>
      <c r="K8" s="61"/>
      <c r="L8" s="59"/>
    </row>
    <row r="9" spans="1:14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4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4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4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4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4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4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4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Q329"/>
  <sheetViews>
    <sheetView zoomScale="40" zoomScaleNormal="40" workbookViewId="0">
      <pane xSplit="2" ySplit="3" topLeftCell="C4" activePane="bottomRight" state="frozen"/>
      <selection pane="bottomRight" activeCell="U13" sqref="U13"/>
      <selection pane="bottomLeft" activeCell="I31" sqref="I31"/>
      <selection pane="topRight" activeCell="I31" sqref="I31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6.28515625" customWidth="1"/>
    <col min="11" max="11" width="20.5703125" bestFit="1" customWidth="1"/>
  </cols>
  <sheetData>
    <row r="1" spans="1:17" ht="19.5" customHeight="1">
      <c r="A1" s="71" t="str" cm="1">
        <f t="array" ref="A1">portfolio</f>
        <v>Vanguard Group Inc</v>
      </c>
      <c r="B1" s="71"/>
      <c r="C1" s="71"/>
      <c r="D1" s="72" t="s">
        <v>24</v>
      </c>
      <c r="E1" s="72"/>
      <c r="F1" s="72"/>
      <c r="G1" s="70" t="s">
        <v>25</v>
      </c>
      <c r="H1" s="70"/>
      <c r="I1" s="70"/>
      <c r="J1" s="4"/>
      <c r="K1" s="4"/>
    </row>
    <row r="2" spans="1:17" ht="19.5" customHeight="1">
      <c r="A2" s="73" t="s">
        <v>2</v>
      </c>
      <c r="B2" s="73"/>
      <c r="C2" s="5">
        <f>SUM(C4:C87)</f>
        <v>0</v>
      </c>
      <c r="D2" s="5">
        <f>SUM(D4:D87)</f>
        <v>0</v>
      </c>
      <c r="E2" s="5">
        <f>C2-D2</f>
        <v>0</v>
      </c>
      <c r="F2" s="6">
        <f>IFERROR(E2/D2, 0)</f>
        <v>0</v>
      </c>
      <c r="G2" s="5">
        <f>SUM(G4:G87)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7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7" ht="313.5" customHeight="1">
      <c r="A4" s="47" t="str" cm="1">
        <f t="array" ref="A4:A6">Sites[Site]</f>
        <v>AZ: Scottsdale - Vanguard Windsor</v>
      </c>
      <c r="B4" s="28" t="str" cm="1">
        <f t="array" ref="B4:B6">Sites[State]</f>
        <v>AZ</v>
      </c>
      <c r="C4" s="43"/>
      <c r="D4" s="13"/>
      <c r="E4" s="13" t="str">
        <f t="shared" ref="E4:E8" si="0">IF(AND(ISNUMBER(C4),ISNUMBER(D4)), C4-D4, "")</f>
        <v/>
      </c>
      <c r="F4" s="14" t="str">
        <f t="shared" ref="F4:F8" si="1">IFERROR(E4/D4, "")</f>
        <v/>
      </c>
      <c r="G4" s="44"/>
      <c r="H4" s="15" t="str">
        <f t="shared" ref="H4:H8" si="2">IF(AND(ISNUMBER(C4),ISNUMBER(G4)), C4-G4, "")</f>
        <v/>
      </c>
      <c r="I4" s="16" t="str">
        <f t="shared" ref="I4:I8" si="3">IFERROR(H4/G4, "")</f>
        <v/>
      </c>
      <c r="J4" s="40"/>
      <c r="K4" s="60"/>
      <c r="L4" s="69"/>
      <c r="M4" s="69"/>
      <c r="N4" s="69"/>
      <c r="O4" s="69"/>
      <c r="P4" s="69" t="s">
        <v>26</v>
      </c>
      <c r="Q4" s="69" t="s">
        <v>27</v>
      </c>
    </row>
    <row r="5" spans="1:17" ht="76.5" customHeight="1">
      <c r="A5" s="29" t="str">
        <v>AZ: Scottsdale - Vanguard Wellesley</v>
      </c>
      <c r="B5" s="30" t="str">
        <v>AZ</v>
      </c>
      <c r="C5" s="11"/>
      <c r="D5" s="18"/>
      <c r="E5" s="18" t="str">
        <f t="shared" si="0"/>
        <v/>
      </c>
      <c r="F5" s="19" t="str">
        <f t="shared" si="1"/>
        <v/>
      </c>
      <c r="G5" s="20"/>
      <c r="H5" s="20" t="str">
        <f t="shared" si="2"/>
        <v/>
      </c>
      <c r="I5" s="19" t="str">
        <f t="shared" si="3"/>
        <v/>
      </c>
      <c r="J5" s="45"/>
      <c r="K5" s="55"/>
      <c r="L5" s="56"/>
      <c r="M5" s="56"/>
      <c r="N5" s="56"/>
      <c r="O5" s="57"/>
    </row>
    <row r="6" spans="1:17" ht="286.5" customHeight="1">
      <c r="A6" s="47" t="str">
        <v>AZ: Scottsdale - Vanguard Wellington</v>
      </c>
      <c r="B6" s="28" t="str">
        <v>AZ</v>
      </c>
      <c r="C6" s="43"/>
      <c r="D6" s="13"/>
      <c r="E6" s="13" t="str">
        <f t="shared" si="0"/>
        <v/>
      </c>
      <c r="F6" s="14" t="str">
        <f t="shared" si="1"/>
        <v/>
      </c>
      <c r="G6" s="44"/>
      <c r="H6" s="15" t="str">
        <f t="shared" si="2"/>
        <v/>
      </c>
      <c r="I6" s="16" t="str">
        <f t="shared" si="3"/>
        <v/>
      </c>
      <c r="J6" s="40"/>
      <c r="K6" s="60"/>
      <c r="L6" s="56"/>
      <c r="M6" s="56"/>
      <c r="N6" s="56"/>
      <c r="O6" s="56"/>
    </row>
    <row r="7" spans="1:17" ht="168.75" customHeight="1">
      <c r="A7" s="29"/>
      <c r="B7" s="30"/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5"/>
      <c r="K7" s="55"/>
      <c r="L7" s="57"/>
      <c r="M7" s="57"/>
      <c r="N7" s="57"/>
      <c r="O7" s="57"/>
    </row>
    <row r="8" spans="1:17" ht="38.25" customHeight="1">
      <c r="A8" s="31"/>
      <c r="B8" s="28"/>
      <c r="C8" s="43"/>
      <c r="D8" s="13"/>
      <c r="E8" s="13" t="str">
        <f t="shared" si="0"/>
        <v/>
      </c>
      <c r="F8" s="14" t="str">
        <f t="shared" si="1"/>
        <v/>
      </c>
      <c r="G8" s="44"/>
      <c r="H8" s="15" t="str">
        <f t="shared" si="2"/>
        <v/>
      </c>
      <c r="I8" s="16" t="str">
        <f t="shared" si="3"/>
        <v/>
      </c>
      <c r="J8" s="40"/>
      <c r="K8" s="60"/>
      <c r="L8" s="56"/>
      <c r="M8" s="57"/>
      <c r="N8" s="57"/>
      <c r="O8" s="57"/>
    </row>
    <row r="9" spans="1:17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7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7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7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7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7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7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7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hyperlinks>
    <hyperlink ref="P4" r:id="rId1" display="https://us3.assetplanner.com/service_request?ID=095849" xr:uid="{901D640C-B70A-4D09-B303-CD748E6A6301}"/>
    <hyperlink ref="Q4" r:id="rId2" display="https://us3.assetplanner.com/service_request?ID=099224" xr:uid="{2AA371F8-1835-4961-9424-C68F8DFF4842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R328"/>
  <sheetViews>
    <sheetView zoomScale="40" zoomScaleNormal="40" workbookViewId="0">
      <pane xSplit="2" ySplit="3" topLeftCell="C4" activePane="bottomRight" state="frozen"/>
      <selection pane="bottomRight" activeCell="U13" sqref="U13"/>
      <selection pane="bottomLeft" activeCell="U13" sqref="U13"/>
      <selection pane="topRight" activeCell="U13" sqref="U1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8" width="8.85546875" style="57"/>
  </cols>
  <sheetData>
    <row r="1" spans="1:18" ht="19.5" customHeight="1">
      <c r="A1" s="71" t="str" cm="1">
        <f t="array" ref="A1">portfolio</f>
        <v>Vanguard Group Inc</v>
      </c>
      <c r="B1" s="71"/>
      <c r="C1" s="71"/>
      <c r="D1" s="72" t="s">
        <v>28</v>
      </c>
      <c r="E1" s="72"/>
      <c r="F1" s="72"/>
      <c r="G1" s="70" t="s">
        <v>29</v>
      </c>
      <c r="H1" s="70"/>
      <c r="I1" s="70"/>
      <c r="J1" s="4"/>
      <c r="K1" s="4"/>
    </row>
    <row r="2" spans="1:18" ht="19.5" customHeight="1">
      <c r="A2" s="73" t="s">
        <v>2</v>
      </c>
      <c r="B2" s="73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8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8" ht="246.75" customHeight="1">
      <c r="A4" s="31" t="str" cm="1">
        <f t="array" ref="A4:A6">Sites[Site]</f>
        <v>AZ: Scottsdale - Vanguard Windsor</v>
      </c>
      <c r="B4" s="28" t="str" cm="1">
        <f t="array" ref="B4:B6">Sites[State]</f>
        <v>AZ</v>
      </c>
      <c r="C4" s="24"/>
      <c r="D4" s="13"/>
      <c r="E4" s="13" t="str">
        <f t="shared" ref="E4:E7" si="0">IF(AND(ISNUMBER(C4),ISNUMBER(D4)), C4-D4, "")</f>
        <v/>
      </c>
      <c r="F4" s="14" t="str">
        <f t="shared" ref="F4:F7" si="1">IFERROR(E4/D4, "")</f>
        <v/>
      </c>
      <c r="G4" s="15"/>
      <c r="H4" s="15" t="str">
        <f t="shared" ref="H4:H7" si="2">IF(AND(ISNUMBER(C4),ISNUMBER(G4)), C4-G4, "")</f>
        <v/>
      </c>
      <c r="I4" s="16" t="str">
        <f t="shared" ref="I4:I7" si="3">IFERROR(H4/G4, "")</f>
        <v/>
      </c>
      <c r="J4" s="46"/>
      <c r="K4" s="61"/>
      <c r="L4" s="56"/>
      <c r="M4" s="56"/>
      <c r="N4" s="56"/>
      <c r="O4" s="56"/>
      <c r="P4" s="56" t="s">
        <v>30</v>
      </c>
      <c r="Q4" s="56" t="s">
        <v>31</v>
      </c>
      <c r="R4" s="56" t="s">
        <v>27</v>
      </c>
    </row>
    <row r="5" spans="1:18" ht="15.6">
      <c r="A5" s="29" t="str">
        <v>AZ: Scottsdale - Vanguard Wellesley</v>
      </c>
      <c r="B5" s="30" t="str">
        <v>AZ</v>
      </c>
      <c r="C5" s="11"/>
      <c r="D5" s="18"/>
      <c r="E5" s="18" t="str">
        <f t="shared" si="0"/>
        <v/>
      </c>
      <c r="F5" s="19" t="str">
        <f t="shared" si="1"/>
        <v/>
      </c>
      <c r="G5" s="20"/>
      <c r="H5" s="20" t="str">
        <f t="shared" si="2"/>
        <v/>
      </c>
      <c r="I5" s="19" t="str">
        <f t="shared" si="3"/>
        <v/>
      </c>
      <c r="J5" s="45"/>
      <c r="K5" s="55"/>
      <c r="L5" s="56"/>
      <c r="M5" s="56"/>
      <c r="N5" s="56"/>
    </row>
    <row r="6" spans="1:18" ht="15.6">
      <c r="A6" s="31" t="str">
        <v>AZ: Scottsdale - Vanguard Wellington</v>
      </c>
      <c r="B6" s="28" t="str">
        <v>AZ</v>
      </c>
      <c r="C6" s="24"/>
      <c r="D6" s="13"/>
      <c r="E6" s="13" t="str">
        <f t="shared" si="0"/>
        <v/>
      </c>
      <c r="F6" s="14" t="str">
        <f t="shared" si="1"/>
        <v/>
      </c>
      <c r="G6" s="15"/>
      <c r="H6" s="15" t="str">
        <f t="shared" si="2"/>
        <v/>
      </c>
      <c r="I6" s="16" t="str">
        <f t="shared" si="3"/>
        <v/>
      </c>
      <c r="J6" s="46"/>
      <c r="K6" s="61"/>
      <c r="L6" s="56"/>
      <c r="M6" s="56"/>
      <c r="N6" s="56"/>
      <c r="O6" s="56"/>
      <c r="P6" s="56" t="s">
        <v>32</v>
      </c>
      <c r="Q6" s="56" t="s">
        <v>33</v>
      </c>
    </row>
    <row r="7" spans="1:18" ht="15.6">
      <c r="A7" s="29"/>
      <c r="B7" s="30"/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5"/>
      <c r="K7" s="55"/>
      <c r="L7" s="56"/>
      <c r="M7" s="56"/>
    </row>
    <row r="8" spans="1:18" ht="201.75" customHeight="1">
      <c r="A8" s="31"/>
      <c r="B8" s="28"/>
      <c r="C8" s="24"/>
      <c r="D8" s="13"/>
      <c r="E8" s="13"/>
      <c r="F8" s="14"/>
      <c r="G8" s="15"/>
      <c r="H8" s="15"/>
      <c r="I8" s="16"/>
      <c r="J8" s="46"/>
      <c r="K8" s="54"/>
      <c r="L8" s="56"/>
      <c r="M8" s="56"/>
      <c r="N8" s="56"/>
      <c r="O8" s="56"/>
    </row>
    <row r="9" spans="1:18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8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8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8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8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8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8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8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hyperlinks>
    <hyperlink ref="P4" r:id="rId1" display="https://us3.assetplanner.com/service_request?ID=099835" xr:uid="{7D33D7AF-0C25-446B-BB80-EF81D7FDFDCD}"/>
    <hyperlink ref="Q4" r:id="rId2" display="https://us3.assetplanner.com/service_request?ID=099913" xr:uid="{CE766619-7B44-47D5-9A46-B4BB99412D13}"/>
    <hyperlink ref="R4" r:id="rId3" display="https://us3.assetplanner.com/service_request?ID=099224" xr:uid="{6462D3E9-8DA1-4E49-AFAC-C3FE07278708}"/>
    <hyperlink ref="P6" r:id="rId4" display="https://us3.assetplanner.com/service_request?ID=100673" xr:uid="{60FA459F-64AC-4880-9236-4295E68D924E}"/>
    <hyperlink ref="Q6" r:id="rId5" display="https://us3.assetplanner.com/service_request?ID=098566" xr:uid="{026D6064-15FB-4EAA-9030-F15E2A697A5C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37"/>
  <sheetViews>
    <sheetView zoomScale="40" zoomScaleNormal="40" workbookViewId="0">
      <pane xSplit="2" ySplit="3" topLeftCell="C4" activePane="bottomRight" state="frozen"/>
      <selection pane="bottomRight" activeCell="U13" sqref="U13"/>
      <selection pane="bottomLeft" activeCell="U13" sqref="U13"/>
      <selection pane="topRight" activeCell="U13" sqref="U1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2.7109375" customWidth="1"/>
  </cols>
  <sheetData>
    <row r="1" spans="1:14" ht="19.5" customHeight="1">
      <c r="A1" s="71" t="str" cm="1">
        <f t="array" ref="A1">portfolio</f>
        <v>Vanguard Group Inc</v>
      </c>
      <c r="B1" s="71"/>
      <c r="C1" s="71"/>
      <c r="D1" s="72" t="s">
        <v>34</v>
      </c>
      <c r="E1" s="72"/>
      <c r="F1" s="72"/>
      <c r="G1" s="70" t="s">
        <v>35</v>
      </c>
      <c r="H1" s="70"/>
      <c r="I1" s="70"/>
      <c r="J1" s="4"/>
      <c r="K1" s="4"/>
    </row>
    <row r="2" spans="1:14" ht="19.5" customHeight="1">
      <c r="A2" s="73" t="s">
        <v>2</v>
      </c>
      <c r="B2" s="73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4" ht="224.25" customHeight="1">
      <c r="A4" s="47" t="str" cm="1">
        <f t="array" ref="A4:A6">Sites[Site]</f>
        <v>AZ: Scottsdale - Vanguard Windsor</v>
      </c>
      <c r="B4" s="28" t="str" cm="1">
        <f t="array" ref="B4:B6">Sites[State]</f>
        <v>AZ</v>
      </c>
      <c r="C4" s="24"/>
      <c r="D4" s="13"/>
      <c r="E4" s="13" t="str">
        <f t="shared" ref="E4:E12" si="0">IF(AND(ISNUMBER(C4),ISNUMBER(D4)), C4-D4, "")</f>
        <v/>
      </c>
      <c r="F4" s="14" t="str">
        <f t="shared" ref="F4:F12" si="1">IFERROR(E4/D4, "")</f>
        <v/>
      </c>
      <c r="G4" s="15"/>
      <c r="H4" s="15" t="str">
        <f t="shared" ref="H4:H12" si="2">IF(AND(ISNUMBER(C4),ISNUMBER(G4)), C4-G4, "")</f>
        <v/>
      </c>
      <c r="I4" s="16" t="str">
        <f t="shared" ref="I4:I12" si="3">IFERROR(H4/G4, "")</f>
        <v/>
      </c>
      <c r="J4" s="46"/>
      <c r="K4" s="61"/>
      <c r="L4" s="56"/>
      <c r="M4" s="56"/>
      <c r="N4" s="56"/>
    </row>
    <row r="5" spans="1:14" ht="50.25" customHeight="1">
      <c r="A5" s="29" t="str">
        <v>AZ: Scottsdale - Vanguard Wellesley</v>
      </c>
      <c r="B5" s="30" t="str">
        <v>AZ</v>
      </c>
      <c r="C5" s="11"/>
      <c r="D5" s="18"/>
      <c r="E5" s="18" t="str">
        <f t="shared" si="0"/>
        <v/>
      </c>
      <c r="F5" s="19" t="str">
        <f t="shared" si="1"/>
        <v/>
      </c>
      <c r="G5" s="20"/>
      <c r="H5" s="20" t="str">
        <f t="shared" si="2"/>
        <v/>
      </c>
      <c r="I5" s="19" t="str">
        <f t="shared" si="3"/>
        <v/>
      </c>
      <c r="J5" s="45"/>
      <c r="K5" s="55"/>
      <c r="L5" s="56"/>
      <c r="M5" s="57"/>
      <c r="N5" s="57"/>
    </row>
    <row r="6" spans="1:14" ht="87.75" customHeight="1">
      <c r="A6" s="47" t="str">
        <v>AZ: Scottsdale - Vanguard Wellington</v>
      </c>
      <c r="B6" s="28" t="str">
        <v>AZ</v>
      </c>
      <c r="C6" s="24"/>
      <c r="D6" s="13"/>
      <c r="E6" s="13" t="str">
        <f t="shared" si="0"/>
        <v/>
      </c>
      <c r="F6" s="14" t="str">
        <f t="shared" si="1"/>
        <v/>
      </c>
      <c r="G6" s="15"/>
      <c r="H6" s="15" t="str">
        <f>IF(AND(ISNUMBER(C6),ISNUMBER(G6)), C6-G6, "")</f>
        <v/>
      </c>
      <c r="I6" s="16" t="str">
        <f t="shared" si="3"/>
        <v/>
      </c>
      <c r="J6" s="46"/>
      <c r="K6" s="54"/>
      <c r="L6" s="56"/>
      <c r="M6" s="57"/>
      <c r="N6" s="57"/>
    </row>
    <row r="7" spans="1:14" ht="61.5" customHeight="1">
      <c r="A7" s="29"/>
      <c r="B7" s="30"/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5"/>
      <c r="K7" s="54"/>
      <c r="L7" s="57"/>
      <c r="M7" s="57"/>
      <c r="N7" s="57"/>
    </row>
    <row r="8" spans="1:14" ht="54" customHeight="1">
      <c r="A8" s="31"/>
      <c r="B8" s="28"/>
      <c r="C8" s="24"/>
      <c r="D8" s="13"/>
      <c r="E8" s="13" t="str">
        <f t="shared" si="0"/>
        <v/>
      </c>
      <c r="F8" s="14" t="str">
        <f t="shared" si="1"/>
        <v/>
      </c>
      <c r="G8" s="15"/>
      <c r="H8" s="15" t="str">
        <f t="shared" si="2"/>
        <v/>
      </c>
      <c r="I8" s="16" t="str">
        <f t="shared" si="3"/>
        <v/>
      </c>
      <c r="J8" s="46"/>
      <c r="K8" s="54"/>
      <c r="L8" s="56"/>
      <c r="M8" s="57"/>
      <c r="N8" s="57"/>
    </row>
    <row r="9" spans="1:14">
      <c r="A9" s="21"/>
      <c r="B9" s="21"/>
      <c r="C9" s="21"/>
      <c r="D9" s="21"/>
      <c r="E9" s="21" t="str">
        <f t="shared" si="0"/>
        <v/>
      </c>
      <c r="F9" s="21" t="str">
        <f t="shared" si="1"/>
        <v/>
      </c>
      <c r="G9" s="21"/>
      <c r="H9" s="21" t="str">
        <f t="shared" si="2"/>
        <v/>
      </c>
      <c r="I9" s="21" t="str">
        <f t="shared" si="3"/>
        <v/>
      </c>
      <c r="J9" s="21"/>
      <c r="K9" s="21"/>
      <c r="L9" s="21"/>
      <c r="M9" s="21"/>
      <c r="N9" s="21"/>
    </row>
    <row r="10" spans="1:14">
      <c r="A10" s="21"/>
      <c r="B10" s="21"/>
      <c r="C10" s="21"/>
      <c r="D10" s="21"/>
      <c r="E10" s="21" t="str">
        <f t="shared" si="0"/>
        <v/>
      </c>
      <c r="F10" s="21" t="str">
        <f t="shared" si="1"/>
        <v/>
      </c>
      <c r="G10" s="21"/>
      <c r="H10" s="21" t="str">
        <f t="shared" si="2"/>
        <v/>
      </c>
      <c r="I10" s="21" t="str">
        <f t="shared" si="3"/>
        <v/>
      </c>
      <c r="J10" s="21"/>
      <c r="K10" s="21"/>
      <c r="L10" s="21"/>
      <c r="M10" s="21"/>
      <c r="N10" s="21"/>
    </row>
    <row r="11" spans="1:14">
      <c r="A11" s="21"/>
      <c r="B11" s="21"/>
      <c r="C11" s="21"/>
      <c r="D11" s="21"/>
      <c r="E11" s="21" t="str">
        <f t="shared" si="0"/>
        <v/>
      </c>
      <c r="F11" s="21" t="str">
        <f t="shared" si="1"/>
        <v/>
      </c>
      <c r="G11" s="21"/>
      <c r="H11" s="21" t="str">
        <f t="shared" si="2"/>
        <v/>
      </c>
      <c r="I11" s="21" t="str">
        <f t="shared" si="3"/>
        <v/>
      </c>
      <c r="J11" s="21"/>
      <c r="K11" s="21"/>
      <c r="L11" s="21"/>
      <c r="M11" s="21"/>
      <c r="N11" s="21"/>
    </row>
    <row r="12" spans="1:14">
      <c r="A12" s="21"/>
      <c r="B12" s="21"/>
      <c r="C12" s="21"/>
      <c r="D12" s="21"/>
      <c r="E12" s="21" t="str">
        <f t="shared" si="0"/>
        <v/>
      </c>
      <c r="F12" s="21" t="str">
        <f t="shared" si="1"/>
        <v/>
      </c>
      <c r="G12" s="21"/>
      <c r="H12" s="21" t="str">
        <f t="shared" si="2"/>
        <v/>
      </c>
      <c r="I12" s="21" t="str">
        <f t="shared" si="3"/>
        <v/>
      </c>
      <c r="J12" s="21"/>
      <c r="K12" s="21"/>
      <c r="L12" s="21"/>
      <c r="M12" s="21"/>
      <c r="N12" s="21"/>
    </row>
    <row r="13" spans="1:14" ht="12.75" customHeight="1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4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4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4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2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2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2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2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3:11" ht="14.45">
      <c r="C337" s="21"/>
      <c r="D337" s="21"/>
      <c r="E337" s="21"/>
      <c r="F337" s="22"/>
      <c r="G337" s="21"/>
      <c r="H337" s="21"/>
      <c r="I337" s="22"/>
      <c r="J337" s="21"/>
      <c r="K337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19" stopIfTrue="1" operator="lessThanOrEqual">
      <formula>-0.1</formula>
    </cfRule>
    <cfRule type="expression" dxfId="31" priority="20">
      <formula>AND(ISNUMBER(F2), F2&gt;=0.1)</formula>
    </cfRule>
  </conditionalFormatting>
  <conditionalFormatting sqref="F4:F8 I4:I8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conditionalFormatting sqref="F13:F95 I13:I95">
    <cfRule type="cellIs" dxfId="28" priority="17" stopIfTrue="1" operator="lessThanOrEqual">
      <formula>-0.1</formula>
    </cfRule>
    <cfRule type="expression" dxfId="27" priority="18">
      <formula>AND(ISNUMBER(F13), F13&gt;=0.1)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7"/>
  <sheetViews>
    <sheetView zoomScale="40" zoomScaleNormal="40" workbookViewId="0">
      <pane xSplit="2" ySplit="3" topLeftCell="C4" activePane="bottomRight" state="frozen"/>
      <selection pane="bottomRight" activeCell="U13" sqref="U13"/>
      <selection pane="bottomLeft" activeCell="U13" sqref="U13"/>
      <selection pane="topRight" activeCell="U13" sqref="U1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Vanguard Group Inc</v>
      </c>
      <c r="B1" s="71"/>
      <c r="C1" s="71"/>
      <c r="D1" s="72" t="s">
        <v>36</v>
      </c>
      <c r="E1" s="72"/>
      <c r="F1" s="72"/>
      <c r="G1" s="70" t="s">
        <v>37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77.5" customHeight="1">
      <c r="A4" s="47" t="str" cm="1">
        <f t="array" ref="A4:A6">Sites[Site]</f>
        <v>AZ: Scottsdale - Vanguard Windsor</v>
      </c>
      <c r="B4" s="28" t="str" cm="1">
        <f t="array" ref="B4:B6">Sites[State]</f>
        <v>AZ</v>
      </c>
      <c r="C4" s="24"/>
      <c r="D4" s="13"/>
      <c r="E4" s="13" t="str">
        <f t="shared" ref="E4:E8" si="0">IF(AND(ISNUMBER(C4),ISNUMBER(D4)), C4-D4, "")</f>
        <v/>
      </c>
      <c r="F4" s="14" t="str">
        <f t="shared" ref="F4:F8" si="1">IFERROR(E4/D4, "")</f>
        <v/>
      </c>
      <c r="G4" s="15"/>
      <c r="H4" s="15" t="str">
        <f t="shared" ref="H4:H8" si="2">IF(AND(ISNUMBER(C4),ISNUMBER(G4)), C4-G4, "")</f>
        <v/>
      </c>
      <c r="I4" s="16" t="str">
        <f t="shared" ref="I4:I8" si="3">IFERROR(H4/G4, "")</f>
        <v/>
      </c>
      <c r="J4" s="46"/>
      <c r="K4" s="61"/>
    </row>
    <row r="5" spans="1:11" ht="15.6">
      <c r="A5" s="29" t="str">
        <v>AZ: Scottsdale - Vanguard Wellesley</v>
      </c>
      <c r="B5" s="30" t="str">
        <v>AZ</v>
      </c>
      <c r="C5" s="11"/>
      <c r="D5" s="18"/>
      <c r="E5" s="18" t="str">
        <f t="shared" si="0"/>
        <v/>
      </c>
      <c r="F5" s="19" t="str">
        <f t="shared" si="1"/>
        <v/>
      </c>
      <c r="G5" s="20"/>
      <c r="H5" s="20" t="str">
        <f t="shared" si="2"/>
        <v/>
      </c>
      <c r="I5" s="19" t="str">
        <f t="shared" si="3"/>
        <v/>
      </c>
      <c r="J5" s="45"/>
      <c r="K5" s="55"/>
    </row>
    <row r="6" spans="1:11" ht="15.6">
      <c r="A6" s="31" t="str">
        <v>AZ: Scottsdale - Vanguard Wellington</v>
      </c>
      <c r="B6" s="28" t="str">
        <v>AZ</v>
      </c>
      <c r="C6" s="24"/>
      <c r="D6" s="13"/>
      <c r="E6" s="13" t="str">
        <f t="shared" si="0"/>
        <v/>
      </c>
      <c r="F6" s="14" t="str">
        <f t="shared" si="1"/>
        <v/>
      </c>
      <c r="G6" s="15"/>
      <c r="H6" s="15" t="str">
        <f t="shared" si="2"/>
        <v/>
      </c>
      <c r="I6" s="16" t="str">
        <f t="shared" si="3"/>
        <v/>
      </c>
      <c r="J6" s="46"/>
      <c r="K6" s="61"/>
    </row>
    <row r="7" spans="1:11" ht="61.5" customHeight="1">
      <c r="A7" s="29"/>
      <c r="B7" s="30"/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5"/>
      <c r="K7" s="55"/>
    </row>
    <row r="8" spans="1:11" ht="37.5" customHeight="1">
      <c r="A8" s="31"/>
      <c r="B8" s="28"/>
      <c r="C8" s="24"/>
      <c r="D8" s="13"/>
      <c r="E8" s="13" t="str">
        <f t="shared" si="0"/>
        <v/>
      </c>
      <c r="F8" s="14" t="str">
        <f t="shared" si="1"/>
        <v/>
      </c>
      <c r="G8" s="15"/>
      <c r="H8" s="15" t="str">
        <f t="shared" si="2"/>
        <v/>
      </c>
      <c r="I8" s="16" t="str">
        <f t="shared" si="3"/>
        <v/>
      </c>
      <c r="J8" s="46"/>
      <c r="K8" s="6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35"/>
  <sheetViews>
    <sheetView zoomScale="40" zoomScaleNormal="40" workbookViewId="0">
      <pane xSplit="2" ySplit="3" topLeftCell="C6" activePane="bottomRight" state="frozen"/>
      <selection pane="bottomRight" activeCell="A7" sqref="A7:XFD8"/>
      <selection pane="bottomLeft" activeCell="U13" sqref="U13"/>
      <selection pane="topRight" activeCell="U13" sqref="U1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22" customWidth="1"/>
  </cols>
  <sheetData>
    <row r="1" spans="1:15" ht="19.5" customHeight="1">
      <c r="A1" s="71" t="str" cm="1">
        <f t="array" ref="A1">portfolio</f>
        <v>Vanguard Group Inc</v>
      </c>
      <c r="B1" s="71"/>
      <c r="C1" s="71"/>
      <c r="D1" s="72" t="s">
        <v>38</v>
      </c>
      <c r="E1" s="72"/>
      <c r="F1" s="72"/>
      <c r="G1" s="70" t="s">
        <v>39</v>
      </c>
      <c r="H1" s="70"/>
      <c r="I1" s="70"/>
      <c r="J1" s="4"/>
      <c r="K1" s="4"/>
    </row>
    <row r="2" spans="1:15" ht="19.5" customHeight="1">
      <c r="A2" s="73" t="s">
        <v>2</v>
      </c>
      <c r="B2" s="73"/>
      <c r="C2" s="5">
        <f>SUM(C4:C93)</f>
        <v>0</v>
      </c>
      <c r="D2" s="5">
        <f>SUM(D4:D93)</f>
        <v>0</v>
      </c>
      <c r="E2" s="5">
        <f>C2-D2</f>
        <v>0</v>
      </c>
      <c r="F2" s="6">
        <f>IFERROR(E2/D2, 0)</f>
        <v>0</v>
      </c>
      <c r="G2" s="5">
        <f>SUM(G4:G93)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5" ht="267.75" customHeight="1">
      <c r="A4" s="47" t="str" cm="1">
        <f t="array" ref="A4:A6">Sites[Site]</f>
        <v>AZ: Scottsdale - Vanguard Windsor</v>
      </c>
      <c r="B4" s="28" t="str" cm="1">
        <f t="array" ref="B4:B6">Sites[State]</f>
        <v>AZ</v>
      </c>
      <c r="C4" s="24"/>
      <c r="D4" s="13"/>
      <c r="E4" s="13" t="str">
        <f t="shared" ref="E4:E10" si="0">IF(AND(ISNUMBER(C4),ISNUMBER(D4)), C4-D4, "")</f>
        <v/>
      </c>
      <c r="F4" s="14" t="str">
        <f t="shared" ref="F4:F10" si="1">IFERROR(E4/D4, "")</f>
        <v/>
      </c>
      <c r="G4" s="15"/>
      <c r="H4" s="15" t="str">
        <f t="shared" ref="H4:H10" si="2">IF(AND(ISNUMBER(C4),ISNUMBER(G4)), C4-G4, "")</f>
        <v/>
      </c>
      <c r="I4" s="16" t="str">
        <f t="shared" ref="I4:I10" si="3">IFERROR(H4/G4, "")</f>
        <v/>
      </c>
      <c r="J4" s="46"/>
      <c r="K4" s="61"/>
      <c r="L4" s="56"/>
      <c r="M4" s="56"/>
      <c r="N4" s="56"/>
    </row>
    <row r="5" spans="1:15" ht="70.5" customHeight="1">
      <c r="A5" s="29" t="str">
        <v>AZ: Scottsdale - Vanguard Wellesley</v>
      </c>
      <c r="B5" s="30" t="str">
        <v>AZ</v>
      </c>
      <c r="C5" s="11"/>
      <c r="D5" s="18"/>
      <c r="E5" s="18" t="str">
        <f t="shared" si="0"/>
        <v/>
      </c>
      <c r="F5" s="19" t="str">
        <f t="shared" si="1"/>
        <v/>
      </c>
      <c r="G5" s="20"/>
      <c r="H5" s="20" t="str">
        <f t="shared" si="2"/>
        <v/>
      </c>
      <c r="I5" s="19" t="str">
        <f t="shared" si="3"/>
        <v/>
      </c>
      <c r="J5" s="45"/>
      <c r="K5" s="55"/>
      <c r="L5" s="56"/>
      <c r="M5" s="57"/>
      <c r="N5" s="57"/>
    </row>
    <row r="6" spans="1:15" ht="87.75" customHeight="1">
      <c r="A6" s="47" t="str">
        <v>AZ: Scottsdale - Vanguard Wellington</v>
      </c>
      <c r="B6" s="28" t="str">
        <v>AZ</v>
      </c>
      <c r="C6" s="24"/>
      <c r="D6" s="13"/>
      <c r="E6" s="13" t="str">
        <f t="shared" si="0"/>
        <v/>
      </c>
      <c r="F6" s="14" t="str">
        <f t="shared" si="1"/>
        <v/>
      </c>
      <c r="G6" s="15"/>
      <c r="H6" s="15" t="str">
        <f t="shared" si="2"/>
        <v/>
      </c>
      <c r="I6" s="16" t="str">
        <f t="shared" si="3"/>
        <v/>
      </c>
      <c r="J6" s="46"/>
      <c r="K6" s="54"/>
      <c r="L6" s="56"/>
      <c r="M6" s="57"/>
      <c r="N6" s="57"/>
    </row>
    <row r="7" spans="1:15">
      <c r="A7" s="21"/>
      <c r="B7" s="21"/>
      <c r="C7" s="21"/>
      <c r="D7" s="21"/>
      <c r="E7" s="21" t="str">
        <f t="shared" si="0"/>
        <v/>
      </c>
      <c r="F7" s="21" t="str">
        <f t="shared" si="1"/>
        <v/>
      </c>
      <c r="G7" s="21"/>
      <c r="H7" s="21" t="str">
        <f t="shared" si="2"/>
        <v/>
      </c>
      <c r="I7" s="21" t="str">
        <f t="shared" si="3"/>
        <v/>
      </c>
      <c r="J7" s="21"/>
      <c r="K7" s="21"/>
      <c r="L7" s="21"/>
      <c r="M7" s="21"/>
      <c r="N7" s="21"/>
      <c r="O7" s="21"/>
    </row>
    <row r="8" spans="1:15">
      <c r="A8" s="21"/>
      <c r="B8" s="21"/>
      <c r="C8" s="21"/>
      <c r="D8" s="21"/>
      <c r="E8" s="21" t="str">
        <f t="shared" si="0"/>
        <v/>
      </c>
      <c r="F8" s="21" t="str">
        <f t="shared" si="1"/>
        <v/>
      </c>
      <c r="G8" s="21"/>
      <c r="H8" s="21" t="str">
        <f t="shared" si="2"/>
        <v/>
      </c>
      <c r="I8" s="21" t="str">
        <f t="shared" si="3"/>
        <v/>
      </c>
      <c r="J8" s="21"/>
      <c r="K8" s="21"/>
      <c r="L8" s="21"/>
      <c r="M8" s="21"/>
      <c r="N8" s="21"/>
      <c r="O8" s="21"/>
    </row>
    <row r="9" spans="1:15">
      <c r="A9" s="21"/>
      <c r="B9" s="21"/>
      <c r="C9" s="21"/>
      <c r="D9" s="21"/>
      <c r="E9" s="21" t="str">
        <f t="shared" si="0"/>
        <v/>
      </c>
      <c r="F9" s="21" t="str">
        <f t="shared" si="1"/>
        <v/>
      </c>
      <c r="G9" s="21"/>
      <c r="H9" s="21" t="str">
        <f t="shared" si="2"/>
        <v/>
      </c>
      <c r="I9" s="21" t="str">
        <f t="shared" si="3"/>
        <v/>
      </c>
      <c r="J9" s="21"/>
      <c r="K9" s="21"/>
      <c r="L9" s="21"/>
      <c r="M9" s="21"/>
      <c r="N9" s="21"/>
      <c r="O9" s="21"/>
    </row>
    <row r="10" spans="1:15">
      <c r="A10" s="21"/>
      <c r="B10" s="21"/>
      <c r="C10" s="21"/>
      <c r="D10" s="21"/>
      <c r="E10" s="21" t="str">
        <f t="shared" si="0"/>
        <v/>
      </c>
      <c r="F10" s="21" t="str">
        <f t="shared" si="1"/>
        <v/>
      </c>
      <c r="G10" s="21"/>
      <c r="H10" s="21" t="str">
        <f t="shared" si="2"/>
        <v/>
      </c>
      <c r="I10" s="21" t="str">
        <f t="shared" si="3"/>
        <v/>
      </c>
      <c r="J10" s="21"/>
      <c r="K10" s="21"/>
      <c r="L10" s="21"/>
      <c r="M10" s="21"/>
      <c r="N10" s="21"/>
      <c r="O10" s="21"/>
    </row>
    <row r="11" spans="1:15" ht="12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</row>
    <row r="12" spans="1:1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</row>
    <row r="13" spans="1:15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5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5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5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C335" s="21"/>
      <c r="D335" s="21"/>
      <c r="E335" s="21"/>
      <c r="F335" s="22"/>
      <c r="G335" s="21"/>
      <c r="H335" s="21"/>
      <c r="I335" s="22"/>
      <c r="J335" s="21"/>
      <c r="K335" s="21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A7:K12 F13:F93 I13:I93">
    <cfRule type="cellIs" dxfId="24" priority="13" stopIfTrue="1" operator="lessThanOrEqual">
      <formula>-0.1</formula>
    </cfRule>
    <cfRule type="expression" dxfId="23" priority="14">
      <formula>AND(ISNUMBER(A7), A7&gt;=0.1)</formula>
    </cfRule>
  </conditionalFormatting>
  <conditionalFormatting sqref="F2 I2">
    <cfRule type="cellIs" dxfId="22" priority="15" stopIfTrue="1" operator="lessThanOrEqual">
      <formula>-0.1</formula>
    </cfRule>
    <cfRule type="expression" dxfId="21" priority="16">
      <formula>AND(ISNUMBER(F2), F2&gt;=0.1)</formula>
    </cfRule>
  </conditionalFormatting>
  <conditionalFormatting sqref="F4:F6 I4:I6">
    <cfRule type="cellIs" dxfId="20" priority="3" stopIfTrue="1" operator="lessThanOrEqual">
      <formula>-0.1</formula>
    </cfRule>
    <cfRule type="expression" dxfId="19" priority="4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35"/>
  <sheetViews>
    <sheetView zoomScale="70" zoomScaleNormal="70" workbookViewId="0">
      <pane xSplit="2" ySplit="3" topLeftCell="C4" activePane="bottomRight" state="frozen"/>
      <selection pane="bottomRight" activeCell="J10" sqref="J10"/>
      <selection pane="bottomLeft" activeCell="U13" sqref="U13"/>
      <selection pane="topRight" activeCell="U13" sqref="U1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1" t="str" cm="1">
        <f t="array" ref="A1">portfolio</f>
        <v>Vanguard Group Inc</v>
      </c>
      <c r="B1" s="71"/>
      <c r="C1" s="71"/>
      <c r="D1" s="72" t="s">
        <v>40</v>
      </c>
      <c r="E1" s="72"/>
      <c r="F1" s="72"/>
      <c r="G1" s="70" t="s">
        <v>41</v>
      </c>
      <c r="H1" s="70"/>
      <c r="I1" s="70"/>
      <c r="J1" s="4"/>
      <c r="K1" s="4"/>
    </row>
    <row r="2" spans="1:12" ht="19.5" customHeight="1">
      <c r="A2" s="73" t="s">
        <v>2</v>
      </c>
      <c r="B2" s="73"/>
      <c r="C2" s="5">
        <f>SUM(C4:C93)</f>
        <v>366801.44104370649</v>
      </c>
      <c r="D2" s="5">
        <f>SUM(D4:D93)</f>
        <v>375560.67000000004</v>
      </c>
      <c r="E2" s="5">
        <f>C2-D2</f>
        <v>-8759.2289562935475</v>
      </c>
      <c r="F2" s="6">
        <f>IFERROR(E2/D2, 0)</f>
        <v>-2.3323073090410523E-2</v>
      </c>
      <c r="G2" s="5">
        <f>SUM(G4:G93)</f>
        <v>380865.4</v>
      </c>
      <c r="H2" s="7">
        <f>C2-G2</f>
        <v>-14063.958956293529</v>
      </c>
      <c r="I2" s="6">
        <f>IFERROR(H2/G2, 0)</f>
        <v>-3.6926323463075221E-2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45.75">
      <c r="A4" s="47" t="str" cm="1">
        <f t="array" ref="A4:A6">Sites[Site]</f>
        <v>AZ: Scottsdale - Vanguard Windsor</v>
      </c>
      <c r="B4" s="28" t="str" cm="1">
        <f t="array" ref="B4:B6">Sites[State]</f>
        <v>AZ</v>
      </c>
      <c r="C4" s="24">
        <v>97055.517918706493</v>
      </c>
      <c r="D4" s="13">
        <v>84145.47</v>
      </c>
      <c r="E4" s="13">
        <f t="shared" ref="E4:E10" si="0">IF(AND(ISNUMBER(C4),ISNUMBER(D4)), C4-D4, "")</f>
        <v>12910.047918706492</v>
      </c>
      <c r="F4" s="14">
        <f t="shared" ref="F4:F10" si="1">IFERROR(E4/D4, "")</f>
        <v>0.1534253468274227</v>
      </c>
      <c r="G4" s="15">
        <v>106864</v>
      </c>
      <c r="H4" s="15">
        <f>IF(AND(ISNUMBER(C4),ISNUMBER(G4)), C4-G4, "")</f>
        <v>-9808.4820812935068</v>
      </c>
      <c r="I4" s="16">
        <f t="shared" ref="I4:I6" si="2">IFERROR(H4/G4, "")</f>
        <v>-9.1784717784225811E-2</v>
      </c>
      <c r="J4" s="46" t="s">
        <v>42</v>
      </c>
      <c r="K4" s="54" t="s">
        <v>43</v>
      </c>
      <c r="L4" s="69" t="s">
        <v>44</v>
      </c>
    </row>
    <row r="5" spans="1:12" ht="15.6">
      <c r="A5" s="29" t="str">
        <v>AZ: Scottsdale - Vanguard Wellesley</v>
      </c>
      <c r="B5" s="30" t="str">
        <v>AZ</v>
      </c>
      <c r="C5" s="11">
        <v>139679.485625</v>
      </c>
      <c r="D5" s="18">
        <v>135974.1</v>
      </c>
      <c r="E5" s="18">
        <f t="shared" si="0"/>
        <v>3705.3856249999953</v>
      </c>
      <c r="F5" s="19">
        <f t="shared" si="1"/>
        <v>2.7250672186835547E-2</v>
      </c>
      <c r="G5" s="20">
        <v>141589.4</v>
      </c>
      <c r="H5" s="20">
        <f t="shared" ref="H5:H10" si="3">IF(AND(ISNUMBER(C5),ISNUMBER(G5)), C5-G5, "")</f>
        <v>-1909.914374999993</v>
      </c>
      <c r="I5" s="19">
        <f t="shared" si="2"/>
        <v>-1.3489105646326584E-2</v>
      </c>
      <c r="J5" s="45"/>
      <c r="K5" s="45"/>
      <c r="L5" s="21"/>
    </row>
    <row r="6" spans="1:12" ht="15.75">
      <c r="A6" s="47" t="str">
        <v>AZ: Scottsdale - Vanguard Wellington</v>
      </c>
      <c r="B6" s="28" t="str">
        <v>AZ</v>
      </c>
      <c r="C6" s="24">
        <v>130066.4375</v>
      </c>
      <c r="D6" s="13">
        <v>155441.1</v>
      </c>
      <c r="E6" s="13">
        <f t="shared" si="0"/>
        <v>-25374.662500000006</v>
      </c>
      <c r="F6" s="14">
        <f t="shared" si="1"/>
        <v>-0.16324294218195834</v>
      </c>
      <c r="G6" s="15">
        <v>132412</v>
      </c>
      <c r="H6" s="15">
        <f t="shared" si="3"/>
        <v>-2345.5625</v>
      </c>
      <c r="I6" s="16">
        <f t="shared" si="2"/>
        <v>-1.771412334229526E-2</v>
      </c>
      <c r="J6" s="46" t="s">
        <v>45</v>
      </c>
      <c r="K6" s="46"/>
      <c r="L6" s="21"/>
    </row>
    <row r="7" spans="1:12">
      <c r="A7" s="21"/>
      <c r="B7" s="21"/>
      <c r="C7" s="21"/>
      <c r="D7" s="21"/>
      <c r="E7" s="21" t="str">
        <f t="shared" si="0"/>
        <v/>
      </c>
      <c r="F7" s="21" t="str">
        <f t="shared" si="1"/>
        <v/>
      </c>
      <c r="G7" s="21"/>
      <c r="H7" s="21" t="str">
        <f t="shared" si="3"/>
        <v/>
      </c>
      <c r="I7" s="21" t="str">
        <f t="shared" ref="I7:I10" si="4">IFERROR(H7/G7, "")</f>
        <v/>
      </c>
      <c r="J7" s="21"/>
      <c r="K7" s="21"/>
      <c r="L7" s="21"/>
    </row>
    <row r="8" spans="1:12">
      <c r="A8" s="21"/>
      <c r="B8" s="21"/>
      <c r="C8" s="21"/>
      <c r="D8" s="21"/>
      <c r="E8" s="21" t="str">
        <f t="shared" si="0"/>
        <v/>
      </c>
      <c r="F8" s="21" t="str">
        <f t="shared" si="1"/>
        <v/>
      </c>
      <c r="G8" s="21"/>
      <c r="H8" s="21" t="str">
        <f t="shared" si="3"/>
        <v/>
      </c>
      <c r="I8" s="21" t="str">
        <f t="shared" si="4"/>
        <v/>
      </c>
      <c r="J8" s="21"/>
      <c r="K8" s="21"/>
      <c r="L8" s="21"/>
    </row>
    <row r="9" spans="1:12">
      <c r="A9" s="21"/>
      <c r="B9" s="21"/>
      <c r="C9" s="21"/>
      <c r="D9" s="21"/>
      <c r="E9" s="21" t="str">
        <f t="shared" si="0"/>
        <v/>
      </c>
      <c r="F9" s="21" t="str">
        <f t="shared" si="1"/>
        <v/>
      </c>
      <c r="G9" s="21"/>
      <c r="H9" s="21" t="str">
        <f t="shared" si="3"/>
        <v/>
      </c>
      <c r="I9" s="21" t="str">
        <f t="shared" si="4"/>
        <v/>
      </c>
      <c r="J9" s="21"/>
      <c r="K9" s="21"/>
      <c r="L9" s="21"/>
    </row>
    <row r="10" spans="1:12">
      <c r="A10" s="21"/>
      <c r="B10" s="21"/>
      <c r="C10" s="21"/>
      <c r="D10" s="21"/>
      <c r="E10" s="21" t="str">
        <f t="shared" si="0"/>
        <v/>
      </c>
      <c r="F10" s="21" t="str">
        <f t="shared" si="1"/>
        <v/>
      </c>
      <c r="G10" s="21"/>
      <c r="H10" s="21" t="str">
        <f t="shared" si="3"/>
        <v/>
      </c>
      <c r="I10" s="21" t="str">
        <f t="shared" si="4"/>
        <v/>
      </c>
      <c r="J10" s="21"/>
      <c r="K10" s="21"/>
      <c r="L10" s="21"/>
    </row>
    <row r="11" spans="1:12" ht="12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spans="1: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C335" s="21"/>
      <c r="D335" s="21"/>
      <c r="E335" s="21"/>
      <c r="F335" s="22"/>
      <c r="G335" s="21"/>
      <c r="H335" s="21"/>
      <c r="I335" s="22"/>
      <c r="J335" s="21"/>
      <c r="K335" s="21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hyperlinks>
    <hyperlink ref="K4" r:id="rId1" display="https://us3.assetplanner.com/service_request?ID=106506" xr:uid="{22B920A0-5EB0-441F-8BF7-93D4C530367F}"/>
    <hyperlink ref="L4" r:id="rId2" display="https://us3.assetplanner.com/service_request?ID=105925" xr:uid="{9FD4C3F2-1A86-4BB1-9673-A9EBC4FCA604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M336"/>
  <sheetViews>
    <sheetView zoomScale="80" zoomScaleNormal="80" workbookViewId="0">
      <pane xSplit="2" ySplit="3" topLeftCell="F4" activePane="bottomRight" state="frozen"/>
      <selection pane="bottomRight" activeCell="A7" sqref="A7:XFD7"/>
      <selection pane="bottomLeft" activeCell="F23" sqref="F23"/>
      <selection pane="topRight" activeCell="F23" sqref="F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71" t="str" cm="1">
        <f t="array" ref="A1">portfolio</f>
        <v>Vanguard Group Inc</v>
      </c>
      <c r="B1" s="71"/>
      <c r="C1" s="71"/>
      <c r="D1" s="72" t="s">
        <v>46</v>
      </c>
      <c r="E1" s="72"/>
      <c r="F1" s="72"/>
      <c r="G1" s="70" t="s">
        <v>47</v>
      </c>
      <c r="H1" s="70"/>
      <c r="I1" s="70"/>
      <c r="J1" s="4"/>
      <c r="K1" s="4"/>
    </row>
    <row r="2" spans="1:13" ht="19.5" customHeight="1">
      <c r="A2" s="73" t="s">
        <v>2</v>
      </c>
      <c r="B2" s="73"/>
      <c r="C2" s="5">
        <f>SUM(C4:C94)</f>
        <v>0</v>
      </c>
      <c r="D2" s="5">
        <f>SUM(D4:D94)</f>
        <v>0</v>
      </c>
      <c r="E2" s="5">
        <f>C2-D2</f>
        <v>0</v>
      </c>
      <c r="F2" s="6">
        <f>IFERROR(E2/D2, 0)</f>
        <v>0</v>
      </c>
      <c r="G2" s="5">
        <f>SUM(G4:G94)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3" ht="96.75" customHeight="1">
      <c r="A4" s="29" t="str" cm="1">
        <f t="array" ref="A4:A6">Sites[Site]</f>
        <v>AZ: Scottsdale - Vanguard Windsor</v>
      </c>
      <c r="B4" s="30" t="str" cm="1">
        <f t="array" ref="B4:B6">Sites[State]</f>
        <v>AZ</v>
      </c>
      <c r="C4" s="11"/>
      <c r="D4" s="18"/>
      <c r="E4" s="18" t="str">
        <f t="shared" ref="E4:E11" si="0">IF(AND(ISNUMBER(C4),ISNUMBER(D4)), C4-D4, "")</f>
        <v/>
      </c>
      <c r="F4" s="19" t="str">
        <f t="shared" ref="F4:F11" si="1">IFERROR(E4/D4, "")</f>
        <v/>
      </c>
      <c r="G4" s="49"/>
      <c r="H4" s="20" t="str">
        <f t="shared" ref="H4:H11" si="2">IF(AND(ISNUMBER(C4),ISNUMBER(G4)), C4-G4, "")</f>
        <v/>
      </c>
      <c r="I4" s="19" t="str">
        <f t="shared" ref="I4:I11" si="3">IFERROR(H4/G4, "")</f>
        <v/>
      </c>
      <c r="J4" s="50"/>
      <c r="K4" s="50"/>
      <c r="L4" s="21"/>
      <c r="M4" s="21"/>
    </row>
    <row r="5" spans="1:13" ht="15.6">
      <c r="A5" s="31" t="str">
        <v>AZ: Scottsdale - Vanguard Wellesley</v>
      </c>
      <c r="B5" s="28" t="str">
        <v>AZ</v>
      </c>
      <c r="C5" s="24"/>
      <c r="D5" s="13"/>
      <c r="E5" s="13" t="str">
        <f t="shared" si="0"/>
        <v/>
      </c>
      <c r="F5" s="14" t="str">
        <f t="shared" si="1"/>
        <v/>
      </c>
      <c r="G5" s="15"/>
      <c r="H5" s="15" t="str">
        <f t="shared" si="2"/>
        <v/>
      </c>
      <c r="I5" s="16" t="str">
        <f t="shared" si="3"/>
        <v/>
      </c>
      <c r="J5" s="40"/>
      <c r="K5" s="40"/>
      <c r="L5" s="21"/>
      <c r="M5" s="21"/>
    </row>
    <row r="6" spans="1:13" ht="15.6">
      <c r="A6" s="29" t="str">
        <v>AZ: Scottsdale - Vanguard Wellington</v>
      </c>
      <c r="B6" s="30" t="str">
        <v>AZ</v>
      </c>
      <c r="C6" s="11"/>
      <c r="D6" s="18"/>
      <c r="E6" s="18" t="str">
        <f t="shared" si="0"/>
        <v/>
      </c>
      <c r="F6" s="19" t="str">
        <f t="shared" si="1"/>
        <v/>
      </c>
      <c r="G6" s="20"/>
      <c r="H6" s="20" t="str">
        <f t="shared" si="2"/>
        <v/>
      </c>
      <c r="I6" s="19" t="str">
        <f t="shared" si="3"/>
        <v/>
      </c>
      <c r="J6" s="41"/>
      <c r="K6" s="41"/>
      <c r="L6" s="21"/>
      <c r="M6" s="21"/>
    </row>
    <row r="7" spans="1:13" ht="15.6">
      <c r="A7" s="29"/>
      <c r="B7" s="30"/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1"/>
      <c r="K7" s="50"/>
      <c r="L7" s="21"/>
      <c r="M7" s="21"/>
    </row>
    <row r="8" spans="1:13">
      <c r="A8" s="21"/>
      <c r="B8" s="21"/>
      <c r="C8" s="21"/>
      <c r="D8" s="21"/>
      <c r="E8" s="21" t="str">
        <f t="shared" si="0"/>
        <v/>
      </c>
      <c r="F8" s="21" t="str">
        <f t="shared" si="1"/>
        <v/>
      </c>
      <c r="G8" s="21"/>
      <c r="H8" s="21" t="str">
        <f t="shared" si="2"/>
        <v/>
      </c>
      <c r="I8" s="21" t="str">
        <f t="shared" si="3"/>
        <v/>
      </c>
      <c r="J8" s="21"/>
      <c r="K8" s="21"/>
      <c r="L8" s="21"/>
      <c r="M8" s="21"/>
    </row>
    <row r="9" spans="1:13">
      <c r="A9" s="21"/>
      <c r="B9" s="21"/>
      <c r="C9" s="21"/>
      <c r="D9" s="21"/>
      <c r="E9" s="21" t="str">
        <f t="shared" si="0"/>
        <v/>
      </c>
      <c r="F9" s="21" t="str">
        <f t="shared" si="1"/>
        <v/>
      </c>
      <c r="G9" s="21"/>
      <c r="H9" s="21" t="str">
        <f t="shared" si="2"/>
        <v/>
      </c>
      <c r="I9" s="21" t="str">
        <f t="shared" si="3"/>
        <v/>
      </c>
      <c r="J9" s="21"/>
      <c r="K9" s="21"/>
      <c r="L9" s="21"/>
      <c r="M9" s="21"/>
    </row>
    <row r="10" spans="1:13">
      <c r="A10" s="21"/>
      <c r="B10" s="21"/>
      <c r="C10" s="21"/>
      <c r="D10" s="21"/>
      <c r="E10" s="21" t="str">
        <f t="shared" si="0"/>
        <v/>
      </c>
      <c r="F10" s="21" t="str">
        <f t="shared" si="1"/>
        <v/>
      </c>
      <c r="G10" s="21"/>
      <c r="H10" s="21" t="str">
        <f t="shared" si="2"/>
        <v/>
      </c>
      <c r="I10" s="21" t="str">
        <f t="shared" si="3"/>
        <v/>
      </c>
      <c r="J10" s="21"/>
      <c r="K10" s="21"/>
      <c r="L10" s="21"/>
      <c r="M10" s="21"/>
    </row>
    <row r="11" spans="1:13">
      <c r="A11" s="21"/>
      <c r="B11" s="21"/>
      <c r="C11" s="21"/>
      <c r="D11" s="21"/>
      <c r="E11" s="21" t="str">
        <f t="shared" si="0"/>
        <v/>
      </c>
      <c r="F11" s="21" t="str">
        <f t="shared" si="1"/>
        <v/>
      </c>
      <c r="G11" s="21"/>
      <c r="H11" s="21" t="str">
        <f t="shared" si="2"/>
        <v/>
      </c>
      <c r="I11" s="21" t="str">
        <f t="shared" si="3"/>
        <v/>
      </c>
      <c r="J11" s="21"/>
      <c r="K11" s="21"/>
      <c r="L11" s="21"/>
      <c r="M11" s="21"/>
    </row>
    <row r="12" spans="1:13" ht="12.75" customHeight="1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3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3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3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3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2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2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C336" s="21"/>
      <c r="D336" s="21"/>
      <c r="E336" s="21"/>
      <c r="F336" s="22"/>
      <c r="G336" s="21"/>
      <c r="H336" s="21"/>
      <c r="I336" s="22"/>
      <c r="J336" s="21"/>
      <c r="K336" s="21"/>
    </row>
  </sheetData>
  <mergeCells count="4">
    <mergeCell ref="G1:I1"/>
    <mergeCell ref="A1:C1"/>
    <mergeCell ref="D1:F1"/>
    <mergeCell ref="A2:B2"/>
  </mergeCells>
  <conditionalFormatting sqref="F2 I2 F4:F7 I4:I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conditionalFormatting sqref="F12:F94 I12:I94">
    <cfRule type="cellIs" dxfId="14" priority="1" stopIfTrue="1" operator="lessThanOrEqual">
      <formula>-0.1</formula>
    </cfRule>
    <cfRule type="expression" dxfId="13" priority="2">
      <formula>AND(ISNUMBER(F12), F12&gt;=0.1)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37"/>
  <sheetViews>
    <sheetView zoomScale="70" zoomScaleNormal="70" workbookViewId="0">
      <pane xSplit="2" ySplit="3" topLeftCell="F4" activePane="bottomRight" state="frozen"/>
      <selection pane="bottomRight" activeCell="F23" sqref="F23"/>
      <selection pane="bottomLeft" activeCell="F23" sqref="F23"/>
      <selection pane="topRight" activeCell="F23" sqref="F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3.5703125" customWidth="1"/>
  </cols>
  <sheetData>
    <row r="1" spans="1:12" ht="19.5" customHeight="1">
      <c r="A1" s="71" t="str" cm="1">
        <f t="array" ref="A1">portfolio</f>
        <v>Vanguard Group Inc</v>
      </c>
      <c r="B1" s="71"/>
      <c r="C1" s="71"/>
      <c r="D1" s="72" t="s">
        <v>48</v>
      </c>
      <c r="E1" s="72"/>
      <c r="F1" s="72"/>
      <c r="G1" s="70" t="s">
        <v>49</v>
      </c>
      <c r="H1" s="70"/>
      <c r="I1" s="70"/>
      <c r="J1" s="4"/>
      <c r="K1" s="4"/>
    </row>
    <row r="2" spans="1:12" ht="19.5" customHeight="1">
      <c r="A2" s="73" t="s">
        <v>2</v>
      </c>
      <c r="B2" s="73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00.5" customHeight="1">
      <c r="A4" s="29" t="str" cm="1">
        <f t="array" ref="A4:A6">Sites[Site]</f>
        <v>AZ: Scottsdale - Vanguard Windsor</v>
      </c>
      <c r="B4" s="30" t="str" cm="1">
        <f t="array" ref="B4:B6">Sites[State]</f>
        <v>AZ</v>
      </c>
      <c r="C4" s="11"/>
      <c r="D4" s="18"/>
      <c r="E4" s="18" t="str">
        <f t="shared" ref="E4:E12" si="0">IF(AND(ISNUMBER(C4),ISNUMBER(D4)), C4-D4, "")</f>
        <v/>
      </c>
      <c r="F4" s="19" t="str">
        <f t="shared" ref="F4:F12" si="1">IFERROR(E4/D4, "")</f>
        <v/>
      </c>
      <c r="G4" s="20"/>
      <c r="H4" s="20" t="str">
        <f t="shared" ref="H4:H11" si="2">IF(AND(ISNUMBER(C4),ISNUMBER(G4)), C4-G4, "")</f>
        <v/>
      </c>
      <c r="I4" s="19" t="str">
        <f t="shared" ref="I4:I11" si="3">IFERROR(H4/G4, "")</f>
        <v/>
      </c>
      <c r="J4" s="45"/>
      <c r="K4" s="45"/>
      <c r="L4" s="21"/>
    </row>
    <row r="5" spans="1:12" ht="15.6">
      <c r="A5" s="31" t="str">
        <v>AZ: Scottsdale - Vanguard Wellesley</v>
      </c>
      <c r="B5" s="28" t="str">
        <v>AZ</v>
      </c>
      <c r="C5" s="24"/>
      <c r="D5" s="13"/>
      <c r="E5" s="13" t="str">
        <f t="shared" si="0"/>
        <v/>
      </c>
      <c r="F5" s="14" t="str">
        <f t="shared" si="1"/>
        <v/>
      </c>
      <c r="G5" s="15"/>
      <c r="H5" s="15" t="str">
        <f t="shared" si="2"/>
        <v/>
      </c>
      <c r="I5" s="16" t="str">
        <f t="shared" si="3"/>
        <v/>
      </c>
      <c r="J5" s="46"/>
      <c r="K5" s="46"/>
      <c r="L5" s="21"/>
    </row>
    <row r="6" spans="1:12" ht="15.6">
      <c r="A6" s="29" t="str">
        <v>AZ: Scottsdale - Vanguard Wellington</v>
      </c>
      <c r="B6" s="30" t="str">
        <v>AZ</v>
      </c>
      <c r="C6" s="11"/>
      <c r="D6" s="18"/>
      <c r="E6" s="18" t="str">
        <f t="shared" si="0"/>
        <v/>
      </c>
      <c r="F6" s="19" t="str">
        <f t="shared" si="1"/>
        <v/>
      </c>
      <c r="G6" s="20"/>
      <c r="H6" s="20" t="str">
        <f t="shared" si="2"/>
        <v/>
      </c>
      <c r="I6" s="19" t="str">
        <f t="shared" si="3"/>
        <v/>
      </c>
      <c r="J6" s="45"/>
      <c r="K6" s="45"/>
      <c r="L6" s="21"/>
    </row>
    <row r="7" spans="1:12" ht="15.6">
      <c r="A7" s="31"/>
      <c r="B7" s="28"/>
      <c r="C7" s="24"/>
      <c r="D7" s="13"/>
      <c r="E7" s="13" t="str">
        <f t="shared" si="0"/>
        <v/>
      </c>
      <c r="F7" s="14" t="str">
        <f t="shared" si="1"/>
        <v/>
      </c>
      <c r="G7" s="15"/>
      <c r="H7" s="15" t="str">
        <f t="shared" si="2"/>
        <v/>
      </c>
      <c r="I7" s="16" t="str">
        <f t="shared" si="3"/>
        <v/>
      </c>
      <c r="J7" s="46"/>
      <c r="K7" s="46"/>
      <c r="L7" s="21"/>
    </row>
    <row r="8" spans="1:12" ht="15.6">
      <c r="A8" s="29"/>
      <c r="B8" s="30"/>
      <c r="C8" s="11"/>
      <c r="D8" s="18"/>
      <c r="E8" s="18" t="str">
        <f t="shared" si="0"/>
        <v/>
      </c>
      <c r="F8" s="19" t="str">
        <f t="shared" si="1"/>
        <v/>
      </c>
      <c r="G8" s="20"/>
      <c r="H8" s="20" t="str">
        <f t="shared" si="2"/>
        <v/>
      </c>
      <c r="I8" s="19" t="str">
        <f t="shared" si="3"/>
        <v/>
      </c>
      <c r="J8" s="45"/>
      <c r="K8" s="45"/>
      <c r="L8" s="21"/>
    </row>
    <row r="9" spans="1:12">
      <c r="A9" s="21"/>
      <c r="B9" s="21"/>
      <c r="C9" s="21"/>
      <c r="D9" s="21"/>
      <c r="E9" s="21" t="str">
        <f t="shared" si="0"/>
        <v/>
      </c>
      <c r="F9" s="21" t="str">
        <f t="shared" si="1"/>
        <v/>
      </c>
      <c r="G9" s="21"/>
      <c r="H9" s="21" t="str">
        <f t="shared" si="2"/>
        <v/>
      </c>
      <c r="I9" s="21" t="str">
        <f t="shared" si="3"/>
        <v/>
      </c>
      <c r="J9" s="21"/>
      <c r="K9" s="21"/>
      <c r="L9" s="21"/>
    </row>
    <row r="10" spans="1:12">
      <c r="A10" s="21"/>
      <c r="B10" s="21"/>
      <c r="C10" s="21"/>
      <c r="D10" s="21"/>
      <c r="E10" s="21" t="str">
        <f t="shared" si="0"/>
        <v/>
      </c>
      <c r="F10" s="21" t="str">
        <f t="shared" si="1"/>
        <v/>
      </c>
      <c r="G10" s="21"/>
      <c r="H10" s="21" t="str">
        <f t="shared" si="2"/>
        <v/>
      </c>
      <c r="I10" s="21" t="str">
        <f t="shared" si="3"/>
        <v/>
      </c>
      <c r="J10" s="21"/>
      <c r="K10" s="21"/>
      <c r="L10" s="21"/>
    </row>
    <row r="11" spans="1:12">
      <c r="A11" s="21"/>
      <c r="B11" s="21"/>
      <c r="C11" s="21"/>
      <c r="D11" s="21"/>
      <c r="E11" s="21" t="str">
        <f t="shared" si="0"/>
        <v/>
      </c>
      <c r="F11" s="21" t="str">
        <f t="shared" si="1"/>
        <v/>
      </c>
      <c r="G11" s="21"/>
      <c r="H11" s="21" t="str">
        <f t="shared" si="2"/>
        <v/>
      </c>
      <c r="I11" s="21" t="str">
        <f t="shared" si="3"/>
        <v/>
      </c>
      <c r="J11" s="21"/>
      <c r="K11" s="21"/>
      <c r="L11" s="21"/>
    </row>
    <row r="12" spans="1:12">
      <c r="A12" s="21"/>
      <c r="B12" s="21"/>
      <c r="C12" s="21"/>
      <c r="D12" s="21"/>
      <c r="E12" s="21" t="str">
        <f t="shared" si="0"/>
        <v/>
      </c>
      <c r="F12" s="21" t="str">
        <f t="shared" si="1"/>
        <v/>
      </c>
      <c r="G12" s="21"/>
      <c r="H12" s="21" t="str">
        <f>IF(AND(ISNUMBER(C12),ISNUMBER(G12)), C12-G12, "")</f>
        <v/>
      </c>
      <c r="I12" s="21" t="str">
        <f>IFERROR(H12/G12, "")</f>
        <v/>
      </c>
      <c r="J12" s="21"/>
      <c r="K12" s="21"/>
      <c r="L12" s="21"/>
    </row>
    <row r="13" spans="1:12" ht="12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2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2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2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2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3:11" ht="14.45">
      <c r="C337" s="21"/>
      <c r="D337" s="21"/>
      <c r="E337" s="21"/>
      <c r="F337" s="22"/>
      <c r="G337" s="21"/>
      <c r="H337" s="21"/>
      <c r="I337" s="22"/>
      <c r="J337" s="21"/>
      <c r="K337" s="21"/>
    </row>
  </sheetData>
  <mergeCells count="4">
    <mergeCell ref="G1:I1"/>
    <mergeCell ref="A1:C1"/>
    <mergeCell ref="D1:F1"/>
    <mergeCell ref="A2:B2"/>
  </mergeCells>
  <conditionalFormatting sqref="F2 I2 F4:F8 I4:I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conditionalFormatting sqref="F15:F95 I15:I95">
    <cfRule type="cellIs" dxfId="10" priority="1" stopIfTrue="1" operator="lessThanOrEqual">
      <formula>-0.1</formula>
    </cfRule>
    <cfRule type="expression" dxfId="9" priority="2">
      <formula>AND(ISNUMBER(F15), F15&gt;=0.1)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37"/>
  <sheetViews>
    <sheetView zoomScale="80" zoomScaleNormal="80" workbookViewId="0">
      <pane xSplit="2" ySplit="3" topLeftCell="J8" activePane="bottomRight" state="frozen"/>
      <selection pane="bottomRight" activeCell="F23" sqref="F23"/>
      <selection pane="bottomLeft" activeCell="F23" sqref="F23"/>
      <selection pane="topRight" activeCell="F23" sqref="F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1" t="str" cm="1">
        <f t="array" ref="A1">portfolio</f>
        <v>Vanguard Group Inc</v>
      </c>
      <c r="B1" s="71"/>
      <c r="C1" s="71"/>
      <c r="D1" s="72" t="s">
        <v>50</v>
      </c>
      <c r="E1" s="72"/>
      <c r="F1" s="72"/>
      <c r="G1" s="70" t="s">
        <v>51</v>
      </c>
      <c r="H1" s="70"/>
      <c r="I1" s="70"/>
      <c r="J1" s="4"/>
      <c r="K1" s="4"/>
    </row>
    <row r="2" spans="1:12" ht="19.5" customHeight="1">
      <c r="A2" s="73" t="s">
        <v>2</v>
      </c>
      <c r="B2" s="73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22.5" customHeight="1">
      <c r="A4" s="29" t="str" cm="1">
        <f t="array" ref="A4:A6">Sites[Site]</f>
        <v>AZ: Scottsdale - Vanguard Windsor</v>
      </c>
      <c r="B4" s="30" t="str" cm="1">
        <f t="array" ref="B4:B6">Sites[State]</f>
        <v>AZ</v>
      </c>
      <c r="C4" s="11"/>
      <c r="D4" s="18"/>
      <c r="E4" s="18" t="str">
        <f t="shared" ref="E4:E8" si="0">IF(AND(ISNUMBER(C4),ISNUMBER(D4)), C4-D4, "")</f>
        <v/>
      </c>
      <c r="F4" s="19" t="str">
        <f t="shared" ref="F4:F8" si="1">IFERROR(E4/D4, "")</f>
        <v/>
      </c>
      <c r="G4" s="20"/>
      <c r="H4" s="20" t="str">
        <f t="shared" ref="H4:H8" si="2">IF(AND(ISNUMBER(C4),ISNUMBER(G4)), C4-G4, "")</f>
        <v/>
      </c>
      <c r="I4" s="19" t="str">
        <f t="shared" ref="I4:I8" si="3">IFERROR(H4/G4, "")</f>
        <v/>
      </c>
      <c r="J4" s="45"/>
      <c r="K4" s="45"/>
      <c r="L4" s="29"/>
    </row>
    <row r="5" spans="1:12" ht="15.6">
      <c r="A5" s="31" t="str">
        <v>AZ: Scottsdale - Vanguard Wellesley</v>
      </c>
      <c r="B5" s="28" t="str">
        <v>AZ</v>
      </c>
      <c r="C5" s="24"/>
      <c r="D5" s="13"/>
      <c r="E5" s="13" t="str">
        <f t="shared" si="0"/>
        <v/>
      </c>
      <c r="F5" s="14" t="str">
        <f t="shared" si="1"/>
        <v/>
      </c>
      <c r="G5" s="15"/>
      <c r="H5" s="15" t="str">
        <f t="shared" si="2"/>
        <v/>
      </c>
      <c r="I5" s="16" t="str">
        <f t="shared" si="3"/>
        <v/>
      </c>
      <c r="J5" s="46"/>
      <c r="K5" s="46"/>
      <c r="L5" s="29"/>
    </row>
    <row r="6" spans="1:12" ht="15.6">
      <c r="A6" s="29" t="str">
        <v>AZ: Scottsdale - Vanguard Wellington</v>
      </c>
      <c r="B6" s="30" t="str">
        <v>AZ</v>
      </c>
      <c r="C6" s="11"/>
      <c r="D6" s="18"/>
      <c r="E6" s="18" t="str">
        <f t="shared" si="0"/>
        <v/>
      </c>
      <c r="F6" s="19" t="str">
        <f t="shared" si="1"/>
        <v/>
      </c>
      <c r="G6" s="20"/>
      <c r="H6" s="20" t="str">
        <f t="shared" si="2"/>
        <v/>
      </c>
      <c r="I6" s="19" t="str">
        <f t="shared" si="3"/>
        <v/>
      </c>
      <c r="J6" s="45"/>
      <c r="K6" s="45"/>
      <c r="L6" s="29"/>
    </row>
    <row r="7" spans="1:12" ht="15.6">
      <c r="A7" s="31"/>
      <c r="B7" s="28"/>
      <c r="C7" s="24"/>
      <c r="D7" s="13"/>
      <c r="E7" s="13" t="str">
        <f t="shared" si="0"/>
        <v/>
      </c>
      <c r="F7" s="14" t="str">
        <f t="shared" si="1"/>
        <v/>
      </c>
      <c r="G7" s="15"/>
      <c r="H7" s="15" t="str">
        <f t="shared" si="2"/>
        <v/>
      </c>
      <c r="I7" s="16" t="str">
        <f t="shared" si="3"/>
        <v/>
      </c>
      <c r="J7" s="46"/>
      <c r="K7" s="46"/>
      <c r="L7" s="29"/>
    </row>
    <row r="8" spans="1:12" ht="15.6">
      <c r="A8" s="29"/>
      <c r="B8" s="30"/>
      <c r="C8" s="11"/>
      <c r="D8" s="18"/>
      <c r="E8" s="18" t="str">
        <f t="shared" si="0"/>
        <v/>
      </c>
      <c r="F8" s="19" t="str">
        <f t="shared" si="1"/>
        <v/>
      </c>
      <c r="G8" s="20"/>
      <c r="H8" s="20" t="str">
        <f t="shared" si="2"/>
        <v/>
      </c>
      <c r="I8" s="19" t="str">
        <f t="shared" si="3"/>
        <v/>
      </c>
      <c r="J8" s="41"/>
      <c r="K8" s="41"/>
      <c r="L8" s="29"/>
    </row>
    <row r="9" spans="1:12" ht="15.6">
      <c r="A9" s="29"/>
      <c r="B9" s="29"/>
      <c r="C9" s="29"/>
      <c r="D9" s="29"/>
      <c r="E9" s="29" t="str">
        <f t="shared" ref="E9:E12" si="4">IF(AND(ISNUMBER(C9),ISNUMBER(D9)), C9-D9, "")</f>
        <v/>
      </c>
      <c r="F9" s="29" t="str">
        <f t="shared" ref="F9:F12" si="5">IFERROR(E9/D9, "")</f>
        <v/>
      </c>
      <c r="G9" s="29"/>
      <c r="H9" s="29" t="str">
        <f t="shared" ref="H9:H12" si="6">IF(AND(ISNUMBER(C9),ISNUMBER(G9)), C9-G9, "")</f>
        <v/>
      </c>
      <c r="I9" s="29" t="str">
        <f t="shared" ref="I9:I12" si="7">IFERROR(H9/G9, "")</f>
        <v/>
      </c>
      <c r="J9" s="29"/>
      <c r="K9" s="29"/>
      <c r="L9" s="29"/>
    </row>
    <row r="10" spans="1:12" ht="15.6">
      <c r="A10" s="29"/>
      <c r="B10" s="29"/>
      <c r="C10" s="29"/>
      <c r="D10" s="29"/>
      <c r="E10" s="29" t="str">
        <f t="shared" si="4"/>
        <v/>
      </c>
      <c r="F10" s="29" t="str">
        <f t="shared" si="5"/>
        <v/>
      </c>
      <c r="G10" s="29"/>
      <c r="H10" s="29" t="str">
        <f t="shared" si="6"/>
        <v/>
      </c>
      <c r="I10" s="29" t="str">
        <f t="shared" si="7"/>
        <v/>
      </c>
      <c r="J10" s="29"/>
      <c r="K10" s="29"/>
      <c r="L10" s="29"/>
    </row>
    <row r="11" spans="1:12" ht="15.6">
      <c r="A11" s="29"/>
      <c r="B11" s="29"/>
      <c r="C11" s="29"/>
      <c r="D11" s="29"/>
      <c r="E11" s="29" t="str">
        <f t="shared" si="4"/>
        <v/>
      </c>
      <c r="F11" s="29" t="str">
        <f t="shared" si="5"/>
        <v/>
      </c>
      <c r="G11" s="29"/>
      <c r="H11" s="29" t="str">
        <f t="shared" si="6"/>
        <v/>
      </c>
      <c r="I11" s="29" t="str">
        <f t="shared" si="7"/>
        <v/>
      </c>
      <c r="J11" s="29"/>
      <c r="K11" s="29"/>
      <c r="L11" s="29"/>
    </row>
    <row r="12" spans="1:12" ht="15.6">
      <c r="A12" s="29"/>
      <c r="B12" s="29"/>
      <c r="C12" s="29"/>
      <c r="D12" s="29"/>
      <c r="E12" s="29" t="str">
        <f t="shared" si="4"/>
        <v/>
      </c>
      <c r="F12" s="29" t="str">
        <f t="shared" si="5"/>
        <v/>
      </c>
      <c r="G12" s="29"/>
      <c r="H12" s="29" t="str">
        <f t="shared" si="6"/>
        <v/>
      </c>
      <c r="I12" s="29" t="str">
        <f t="shared" si="7"/>
        <v/>
      </c>
      <c r="J12" s="29"/>
      <c r="K12" s="29"/>
      <c r="L12" s="29"/>
    </row>
    <row r="13" spans="1:12" ht="12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</row>
    <row r="14" spans="1:12" ht="15.6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</row>
    <row r="15" spans="1:12" ht="15.6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spans="1:12" ht="15.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</row>
    <row r="17" spans="1:12" ht="15.6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</row>
    <row r="18" spans="1:12" ht="15.6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</row>
    <row r="19" spans="1:12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2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2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2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2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2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2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2" ht="14.45">
      <c r="A26" s="21"/>
      <c r="B26" s="32"/>
      <c r="C26" s="21"/>
      <c r="D26" s="21"/>
      <c r="E26" s="21"/>
      <c r="F26" s="21"/>
      <c r="G26" s="21"/>
      <c r="H26" s="21"/>
      <c r="I26" s="21"/>
      <c r="J26" s="21"/>
      <c r="K26" s="21"/>
    </row>
    <row r="27" spans="1:12" ht="14.45">
      <c r="A27" s="21"/>
      <c r="B27" s="32"/>
      <c r="C27" s="21"/>
      <c r="D27" s="21"/>
      <c r="E27" s="21"/>
      <c r="F27" s="21"/>
      <c r="G27" s="21"/>
      <c r="H27" s="21"/>
      <c r="I27" s="21"/>
      <c r="J27" s="21"/>
      <c r="K27" s="21"/>
    </row>
    <row r="28" spans="1:12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2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2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3:11" ht="14.45">
      <c r="C337" s="21"/>
      <c r="D337" s="21"/>
      <c r="E337" s="21"/>
      <c r="F337" s="22"/>
      <c r="G337" s="21"/>
      <c r="H337" s="21"/>
      <c r="I337" s="22"/>
      <c r="J337" s="21"/>
      <c r="K337" s="21"/>
    </row>
  </sheetData>
  <mergeCells count="4">
    <mergeCell ref="G1:I1"/>
    <mergeCell ref="A1:C1"/>
    <mergeCell ref="D1:F1"/>
    <mergeCell ref="A2:B2"/>
  </mergeCells>
  <conditionalFormatting sqref="F2 I2 F4:F95 I4:I9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N337"/>
  <sheetViews>
    <sheetView zoomScale="80" zoomScaleNormal="80" workbookViewId="0">
      <pane xSplit="2" ySplit="3" topLeftCell="D4" activePane="bottomRight" state="frozen"/>
      <selection pane="bottomRight" activeCell="F23" sqref="F23"/>
      <selection pane="bottomLeft" activeCell="G27" sqref="G27"/>
      <selection pane="topRight" activeCell="G27" sqref="G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1" t="str" cm="1">
        <f t="array" ref="A1">portfolio</f>
        <v>Vanguard Group Inc</v>
      </c>
      <c r="B1" s="71"/>
      <c r="C1" s="71"/>
      <c r="D1" s="72" t="s">
        <v>52</v>
      </c>
      <c r="E1" s="72"/>
      <c r="F1" s="72"/>
      <c r="G1" s="70" t="s">
        <v>53</v>
      </c>
      <c r="H1" s="70"/>
      <c r="I1" s="70"/>
      <c r="J1" s="4"/>
      <c r="K1" s="4"/>
    </row>
    <row r="2" spans="1:14" ht="19.5" customHeight="1">
      <c r="A2" s="73" t="s">
        <v>2</v>
      </c>
      <c r="B2" s="73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4" ht="15.6">
      <c r="A4" s="29" t="str" cm="1">
        <f t="array" ref="A4:A6">Sites[Site]</f>
        <v>AZ: Scottsdale - Vanguard Windsor</v>
      </c>
      <c r="B4" s="30" t="str" cm="1">
        <f t="array" ref="B4:B6">Sites[State]</f>
        <v>AZ</v>
      </c>
      <c r="C4" s="11"/>
      <c r="D4" s="18"/>
      <c r="E4" s="18" t="str">
        <f t="shared" ref="E4:E8" si="0">IF(AND(ISNUMBER(C4),ISNUMBER(D4)), C4-D4, "")</f>
        <v/>
      </c>
      <c r="F4" s="19" t="str">
        <f t="shared" ref="F4:F8" si="1">IFERROR(E4/D4, "")</f>
        <v/>
      </c>
      <c r="G4" s="20"/>
      <c r="H4" s="20" t="str">
        <f t="shared" ref="H4:H8" si="2">IF(AND(ISNUMBER(C4),ISNUMBER(G4)), C4-G4, "")</f>
        <v/>
      </c>
      <c r="I4" s="19" t="str">
        <f t="shared" ref="I4:I8" si="3">IFERROR(H4/G4, "")</f>
        <v/>
      </c>
      <c r="J4" s="45"/>
      <c r="K4" s="45"/>
      <c r="L4" s="21"/>
      <c r="M4" s="21"/>
      <c r="N4" s="21"/>
    </row>
    <row r="5" spans="1:14" ht="15.6">
      <c r="A5" s="31" t="str">
        <v>AZ: Scottsdale - Vanguard Wellesley</v>
      </c>
      <c r="B5" s="28" t="str">
        <v>AZ</v>
      </c>
      <c r="C5" s="24"/>
      <c r="D5" s="13"/>
      <c r="E5" s="13" t="str">
        <f t="shared" si="0"/>
        <v/>
      </c>
      <c r="F5" s="14" t="str">
        <f t="shared" si="1"/>
        <v/>
      </c>
      <c r="G5" s="15"/>
      <c r="H5" s="15" t="str">
        <f t="shared" si="2"/>
        <v/>
      </c>
      <c r="I5" s="16" t="str">
        <f t="shared" si="3"/>
        <v/>
      </c>
      <c r="J5" s="46"/>
      <c r="K5" s="46"/>
      <c r="L5" s="21"/>
      <c r="M5" s="21"/>
      <c r="N5" s="21"/>
    </row>
    <row r="6" spans="1:14" ht="15.6">
      <c r="A6" s="29" t="str">
        <v>AZ: Scottsdale - Vanguard Wellington</v>
      </c>
      <c r="B6" s="30" t="str">
        <v>AZ</v>
      </c>
      <c r="C6" s="11"/>
      <c r="D6" s="18"/>
      <c r="E6" s="18" t="str">
        <f t="shared" si="0"/>
        <v/>
      </c>
      <c r="F6" s="19" t="str">
        <f t="shared" si="1"/>
        <v/>
      </c>
      <c r="G6" s="20"/>
      <c r="H6" s="20" t="str">
        <f t="shared" si="2"/>
        <v/>
      </c>
      <c r="I6" s="19" t="str">
        <f t="shared" si="3"/>
        <v/>
      </c>
      <c r="J6" s="45"/>
      <c r="K6" s="45"/>
      <c r="L6" s="21"/>
      <c r="M6" s="21"/>
      <c r="N6" s="21"/>
    </row>
    <row r="7" spans="1:14" ht="15.6">
      <c r="A7" s="31"/>
      <c r="B7" s="28"/>
      <c r="C7" s="24"/>
      <c r="D7" s="13"/>
      <c r="E7" s="13" t="str">
        <f t="shared" si="0"/>
        <v/>
      </c>
      <c r="F7" s="14" t="str">
        <f t="shared" si="1"/>
        <v/>
      </c>
      <c r="G7" s="15"/>
      <c r="H7" s="15" t="str">
        <f t="shared" si="2"/>
        <v/>
      </c>
      <c r="I7" s="16" t="str">
        <f t="shared" si="3"/>
        <v/>
      </c>
      <c r="J7" s="46"/>
      <c r="K7" s="46"/>
      <c r="L7" s="21"/>
      <c r="M7" s="21"/>
      <c r="N7" s="21"/>
    </row>
    <row r="8" spans="1:14" ht="15.6">
      <c r="A8" s="29"/>
      <c r="B8" s="30"/>
      <c r="C8" s="11"/>
      <c r="D8" s="18"/>
      <c r="E8" s="18" t="str">
        <f t="shared" si="0"/>
        <v/>
      </c>
      <c r="F8" s="19" t="str">
        <f t="shared" si="1"/>
        <v/>
      </c>
      <c r="G8" s="20"/>
      <c r="H8" s="20" t="str">
        <f t="shared" si="2"/>
        <v/>
      </c>
      <c r="I8" s="19" t="str">
        <f t="shared" si="3"/>
        <v/>
      </c>
      <c r="J8" s="45"/>
      <c r="K8" s="45"/>
      <c r="L8" s="21"/>
      <c r="M8" s="21"/>
      <c r="N8" s="21"/>
    </row>
    <row r="9" spans="1:14">
      <c r="A9" s="21"/>
      <c r="B9" s="21"/>
      <c r="C9" s="21"/>
      <c r="D9" s="21"/>
      <c r="E9" s="21" t="str">
        <f t="shared" ref="E9:E12" si="4">IF(AND(ISNUMBER(C9),ISNUMBER(D9)), C9-D9, "")</f>
        <v/>
      </c>
      <c r="F9" s="21" t="str">
        <f t="shared" ref="F9:F12" si="5">IFERROR(E9/D9, "")</f>
        <v/>
      </c>
      <c r="G9" s="21"/>
      <c r="H9" s="21" t="str">
        <f t="shared" ref="H9:H12" si="6">IF(AND(ISNUMBER(C9),ISNUMBER(G9)), C9-G9, "")</f>
        <v/>
      </c>
      <c r="I9" s="21" t="str">
        <f t="shared" ref="I9:I12" si="7">IFERROR(H9/G9, "")</f>
        <v/>
      </c>
      <c r="J9" s="21"/>
      <c r="K9" s="21"/>
      <c r="L9" s="21"/>
      <c r="M9" s="21"/>
      <c r="N9" s="21"/>
    </row>
    <row r="10" spans="1:14">
      <c r="A10" s="21"/>
      <c r="B10" s="21"/>
      <c r="C10" s="21"/>
      <c r="D10" s="21"/>
      <c r="E10" s="21" t="str">
        <f t="shared" si="4"/>
        <v/>
      </c>
      <c r="F10" s="21" t="str">
        <f t="shared" si="5"/>
        <v/>
      </c>
      <c r="G10" s="21"/>
      <c r="H10" s="21" t="str">
        <f t="shared" si="6"/>
        <v/>
      </c>
      <c r="I10" s="21" t="str">
        <f t="shared" si="7"/>
        <v/>
      </c>
      <c r="J10" s="21"/>
      <c r="K10" s="21"/>
      <c r="L10" s="21"/>
      <c r="M10" s="21"/>
      <c r="N10" s="21"/>
    </row>
    <row r="11" spans="1:14">
      <c r="A11" s="21"/>
      <c r="B11" s="21"/>
      <c r="C11" s="21"/>
      <c r="D11" s="21"/>
      <c r="E11" s="21" t="str">
        <f t="shared" si="4"/>
        <v/>
      </c>
      <c r="F11" s="21" t="str">
        <f t="shared" si="5"/>
        <v/>
      </c>
      <c r="G11" s="21"/>
      <c r="H11" s="21" t="str">
        <f t="shared" si="6"/>
        <v/>
      </c>
      <c r="I11" s="21" t="str">
        <f t="shared" si="7"/>
        <v/>
      </c>
      <c r="J11" s="21"/>
      <c r="K11" s="21"/>
      <c r="L11" s="21"/>
      <c r="M11" s="21"/>
      <c r="N11" s="21"/>
    </row>
    <row r="12" spans="1:14">
      <c r="A12" s="21"/>
      <c r="B12" s="21"/>
      <c r="C12" s="21"/>
      <c r="D12" s="21"/>
      <c r="E12" s="21" t="str">
        <f t="shared" si="4"/>
        <v/>
      </c>
      <c r="F12" s="21" t="str">
        <f t="shared" si="5"/>
        <v/>
      </c>
      <c r="G12" s="21"/>
      <c r="H12" s="21" t="str">
        <f t="shared" si="6"/>
        <v/>
      </c>
      <c r="I12" s="21" t="str">
        <f t="shared" si="7"/>
        <v/>
      </c>
      <c r="J12" s="21"/>
      <c r="K12" s="21"/>
      <c r="L12" s="21"/>
      <c r="M12" s="21"/>
      <c r="N12" s="21"/>
    </row>
    <row r="13" spans="1:14" ht="12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4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2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2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2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2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3:11" ht="14.45">
      <c r="C337" s="21"/>
      <c r="D337" s="21"/>
      <c r="E337" s="21"/>
      <c r="F337" s="22"/>
      <c r="G337" s="21"/>
      <c r="H337" s="21"/>
      <c r="I337" s="22"/>
      <c r="J337" s="21"/>
      <c r="K337" s="21"/>
    </row>
  </sheetData>
  <mergeCells count="4">
    <mergeCell ref="G1:I1"/>
    <mergeCell ref="A1:C1"/>
    <mergeCell ref="D1:F1"/>
    <mergeCell ref="A2:B2"/>
  </mergeCells>
  <conditionalFormatting sqref="F2 I2 F4:F8 I4:I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15:F95 I15:I95">
    <cfRule type="cellIs" dxfId="4" priority="1" stopIfTrue="1" operator="lessThanOrEqual">
      <formula>-0.1</formula>
    </cfRule>
    <cfRule type="expression" dxfId="3" priority="2">
      <formula>AND(ISNUMBER(F15), F15&gt;=0.1)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6"/>
  <sheetViews>
    <sheetView workbookViewId="0">
      <pane ySplit="3" topLeftCell="A4" activePane="bottomLeft" state="frozen"/>
      <selection pane="bottomLeft" activeCell="B11" sqref="B11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5" ht="12.75" customHeight="1">
      <c r="A1" t="s">
        <v>54</v>
      </c>
      <c r="B1" s="42" t="s">
        <v>55</v>
      </c>
    </row>
    <row r="3" spans="1:5" ht="13.1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5" ht="12.75" customHeight="1">
      <c r="A4" s="42" t="s">
        <v>59</v>
      </c>
      <c r="B4" s="42" t="s">
        <v>60</v>
      </c>
      <c r="C4" t="s">
        <v>61</v>
      </c>
      <c r="E4" s="42" t="s">
        <v>62</v>
      </c>
    </row>
    <row r="5" spans="1:5" ht="12.75" customHeight="1">
      <c r="A5" s="3" t="s">
        <v>63</v>
      </c>
      <c r="B5" s="3" t="s">
        <v>64</v>
      </c>
      <c r="C5" s="3" t="s">
        <v>61</v>
      </c>
      <c r="E5" s="42" t="s">
        <v>62</v>
      </c>
    </row>
    <row r="6" spans="1:5" ht="12.75" customHeight="1">
      <c r="A6" s="3" t="s">
        <v>65</v>
      </c>
      <c r="B6" s="3" t="s">
        <v>66</v>
      </c>
      <c r="C6" s="3" t="s">
        <v>61</v>
      </c>
      <c r="E6" s="42" t="s">
        <v>62</v>
      </c>
    </row>
  </sheetData>
  <phoneticPr fontId="37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398A87B2-FAAB-45E3-AF4D-4AEAB834F22C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2025-09-18T06:48:18Z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2024-09-18T22:54:06Z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de459e2a-2bc6-4866-836f-a6da970436d5</vt:lpwstr>
  </property>
  <property fmtid="{D5CDD505-2E9C-101B-9397-08002B2CF9AE}" pid="9" name="MSIP_Label_9d817c99-0b37-4a07-8277-96aa1f96b74b_ContentBits">
    <vt:lpwstr>0</vt:lpwstr>
  </property>
</Properties>
</file>