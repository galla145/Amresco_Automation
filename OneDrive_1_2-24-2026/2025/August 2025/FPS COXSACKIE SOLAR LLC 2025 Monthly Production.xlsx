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96E53E6A-6AD6-4F93-B318-7118DC8112F8}" xr6:coauthVersionLast="47" xr6:coauthVersionMax="47" xr10:uidLastSave="{00000000-0000-0000-0000-000000000000}"/>
  <bookViews>
    <workbookView xWindow="-108" yWindow="-108" windowWidth="23256" windowHeight="12456"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7" l="1"/>
  <c r="H4" i="21"/>
  <c r="I4" i="21" s="1"/>
  <c r="H4" i="4"/>
  <c r="C4" i="1"/>
  <c r="C2" i="1" s="1"/>
  <c r="G4" i="30"/>
  <c r="G4" i="18"/>
  <c r="G2" i="18" s="1"/>
  <c r="I4" i="4"/>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s="1"/>
  <c r="H4" i="3"/>
  <c r="I4" i="3" s="1"/>
  <c r="G4" i="1"/>
  <c r="G2" i="1" s="1"/>
  <c r="B4" i="34" a="1"/>
  <c r="B4" i="34"/>
  <c r="A4" i="34" a="1"/>
  <c r="A4" i="34"/>
  <c r="A1" i="34" a="1"/>
  <c r="A1" i="34"/>
  <c r="D4" i="30"/>
  <c r="C4" i="30"/>
  <c r="D4" i="29"/>
  <c r="D2" i="29" s="1"/>
  <c r="C4" i="29"/>
  <c r="C2" i="29" s="1"/>
  <c r="D4" i="18"/>
  <c r="D2" i="18" s="1"/>
  <c r="C4" i="18"/>
  <c r="B4" i="30" a="1"/>
  <c r="B4" i="30"/>
  <c r="G2" i="30"/>
  <c r="A1" i="30" a="1"/>
  <c r="A1" i="30"/>
  <c r="B4" i="29" a="1"/>
  <c r="B4" i="29"/>
  <c r="A4" i="29" a="1"/>
  <c r="A4" i="29"/>
  <c r="A1" i="29" a="1"/>
  <c r="A1" i="29"/>
  <c r="B4" i="18" a="1"/>
  <c r="B4" i="18"/>
  <c r="A4" i="18" a="1"/>
  <c r="A4" i="18"/>
  <c r="A1" i="18" a="1"/>
  <c r="A1" i="18"/>
  <c r="D4" i="1"/>
  <c r="D2" i="1" s="1"/>
  <c r="B4" i="1" a="1"/>
  <c r="B4" i="1"/>
  <c r="A4" i="1" a="1"/>
  <c r="A4" i="1"/>
  <c r="A1" i="1" a="1"/>
  <c r="A1" i="1"/>
  <c r="H4" i="33"/>
  <c r="I4" i="33"/>
  <c r="E4" i="33"/>
  <c r="F4" i="33"/>
  <c r="G2" i="33"/>
  <c r="D2" i="33"/>
  <c r="C2" i="33"/>
  <c r="H2" i="33" s="1"/>
  <c r="I2" i="33" s="1"/>
  <c r="A1" i="33" a="1"/>
  <c r="A1" i="33"/>
  <c r="H4" i="32"/>
  <c r="I4" i="32"/>
  <c r="E4" i="32"/>
  <c r="F4" i="32" s="1"/>
  <c r="G2" i="32"/>
  <c r="D2" i="32"/>
  <c r="C2" i="32"/>
  <c r="E2" i="32" s="1"/>
  <c r="F2" i="32" s="1"/>
  <c r="A1" i="32" a="1"/>
  <c r="A1" i="32"/>
  <c r="H4" i="31"/>
  <c r="I4" i="31"/>
  <c r="E4" i="31"/>
  <c r="F4" i="31"/>
  <c r="G2" i="31"/>
  <c r="H2" i="31" s="1"/>
  <c r="I2" i="31" s="1"/>
  <c r="D2" i="31"/>
  <c r="E2" i="31" s="1"/>
  <c r="F2" i="31" s="1"/>
  <c r="C2" i="31"/>
  <c r="J2" i="31" s="1"/>
  <c r="A1" i="31" a="1"/>
  <c r="A1" i="31"/>
  <c r="H4" i="28"/>
  <c r="I4" i="28" s="1"/>
  <c r="E4" i="28"/>
  <c r="F4" i="28"/>
  <c r="B4" i="28" a="1"/>
  <c r="B4" i="28"/>
  <c r="A4" i="28" a="1"/>
  <c r="A4" i="28"/>
  <c r="G2" i="28"/>
  <c r="D2" i="28"/>
  <c r="C2" i="28"/>
  <c r="A1" i="28" a="1"/>
  <c r="A1" i="28"/>
  <c r="H4" i="27"/>
  <c r="G4" i="29" s="1"/>
  <c r="I4" i="27"/>
  <c r="F4" i="27"/>
  <c r="G2" i="27"/>
  <c r="D2" i="27"/>
  <c r="C2" i="27"/>
  <c r="J2" i="27" s="1"/>
  <c r="A1" i="27" a="1"/>
  <c r="A1" i="27"/>
  <c r="H4" i="26"/>
  <c r="I4" i="26"/>
  <c r="E4" i="26"/>
  <c r="F4" i="26" s="1"/>
  <c r="G2" i="26"/>
  <c r="D2" i="26"/>
  <c r="C2" i="26"/>
  <c r="J2" i="26" s="1"/>
  <c r="A1" i="26" a="1"/>
  <c r="A1" i="26"/>
  <c r="H4" i="19"/>
  <c r="I4" i="19"/>
  <c r="E4" i="19"/>
  <c r="F4" i="19"/>
  <c r="G2" i="19"/>
  <c r="D2" i="19"/>
  <c r="C2" i="19"/>
  <c r="A1" i="19" a="1"/>
  <c r="A1" i="19"/>
  <c r="H4" i="20"/>
  <c r="I4" i="20" s="1"/>
  <c r="E4" i="20"/>
  <c r="F4" i="20" s="1"/>
  <c r="G2" i="20"/>
  <c r="D2" i="20"/>
  <c r="C2" i="20"/>
  <c r="J2" i="20" s="1"/>
  <c r="A1" i="20" a="1"/>
  <c r="A1" i="20"/>
  <c r="E4" i="21"/>
  <c r="F4" i="21"/>
  <c r="G2" i="21"/>
  <c r="D2" i="21"/>
  <c r="C2" i="21"/>
  <c r="A1" i="21" a="1"/>
  <c r="A1" i="21"/>
  <c r="E4" i="4"/>
  <c r="F4" i="4" s="1"/>
  <c r="G2" i="4"/>
  <c r="D2" i="4"/>
  <c r="C2" i="4"/>
  <c r="A1" i="4" a="1"/>
  <c r="A1" i="4"/>
  <c r="G2" i="3"/>
  <c r="D2" i="3"/>
  <c r="C2" i="3"/>
  <c r="J2" i="3"/>
  <c r="A1" i="3" a="1"/>
  <c r="A1" i="3"/>
  <c r="H4" i="72"/>
  <c r="I4" i="72"/>
  <c r="G2" i="72"/>
  <c r="D2" i="72"/>
  <c r="C2" i="72"/>
  <c r="J2" i="72"/>
  <c r="A1" i="72" a="1"/>
  <c r="A1" i="72"/>
  <c r="D2" i="30"/>
  <c r="H2" i="32"/>
  <c r="I2" i="32"/>
  <c r="E2" i="28"/>
  <c r="F2" i="28"/>
  <c r="H4" i="29"/>
  <c r="E2" i="27"/>
  <c r="F2" i="27" s="1"/>
  <c r="E2" i="19" l="1"/>
  <c r="F2" i="19" s="1"/>
  <c r="H2" i="20"/>
  <c r="I2" i="20" s="1"/>
  <c r="E2" i="21"/>
  <c r="F2" i="21" s="1"/>
  <c r="E4" i="18"/>
  <c r="F4" i="18" s="1"/>
  <c r="H2" i="21"/>
  <c r="I2" i="21" s="1"/>
  <c r="H2" i="3"/>
  <c r="I2" i="3" s="1"/>
  <c r="H4" i="1"/>
  <c r="I4" i="1" s="1"/>
  <c r="E2" i="1"/>
  <c r="F2" i="1" s="1"/>
  <c r="E4" i="1"/>
  <c r="F4" i="1" s="1"/>
  <c r="E2" i="3"/>
  <c r="F2" i="3" s="1"/>
  <c r="H4" i="30"/>
  <c r="H2" i="72"/>
  <c r="I2" i="72" s="1"/>
  <c r="H2" i="27"/>
  <c r="I2" i="27" s="1"/>
  <c r="H2" i="4"/>
  <c r="I2" i="4" s="1"/>
  <c r="H2" i="19"/>
  <c r="I2" i="19" s="1"/>
  <c r="H2" i="28"/>
  <c r="I2" i="28" s="1"/>
  <c r="J2" i="21"/>
  <c r="J2" i="32"/>
  <c r="E2" i="20"/>
  <c r="F2" i="20" s="1"/>
  <c r="E2" i="29"/>
  <c r="F2" i="29" s="1"/>
  <c r="I4" i="30"/>
  <c r="I4" i="29"/>
  <c r="G4" i="34"/>
  <c r="G2" i="34" s="1"/>
  <c r="G2" i="29"/>
  <c r="H2" i="29" s="1"/>
  <c r="I2" i="29" s="1"/>
  <c r="H4" i="18"/>
  <c r="I4" i="18" s="1"/>
  <c r="H2" i="26"/>
  <c r="I2" i="26" s="1"/>
  <c r="E2" i="72"/>
  <c r="F2" i="72" s="1"/>
  <c r="E2" i="26"/>
  <c r="F2" i="26" s="1"/>
  <c r="J2" i="33"/>
  <c r="H2" i="1"/>
  <c r="I2" i="1" s="1"/>
  <c r="C2" i="18"/>
  <c r="C4" i="34"/>
  <c r="D4" i="34"/>
  <c r="D2" i="34" s="1"/>
  <c r="E4" i="29"/>
  <c r="F4" i="29" s="1"/>
  <c r="J2" i="28"/>
  <c r="E4" i="30"/>
  <c r="F4" i="30" s="1"/>
  <c r="C2" i="30"/>
  <c r="J2" i="19"/>
  <c r="E2" i="4"/>
  <c r="F2" i="4" s="1"/>
  <c r="J2" i="4"/>
  <c r="E2" i="33"/>
  <c r="F2" i="33" s="1"/>
  <c r="E4" i="34" l="1"/>
  <c r="F4" i="34" s="1"/>
  <c r="E2" i="30"/>
  <c r="F2" i="30" s="1"/>
  <c r="H2" i="30"/>
  <c r="I2" i="30" s="1"/>
  <c r="H2" i="18"/>
  <c r="I2" i="18" s="1"/>
  <c r="E2" i="18"/>
  <c r="F2" i="18" s="1"/>
  <c r="H4" i="34"/>
  <c r="I4" i="34" s="1"/>
  <c r="C2" i="34"/>
  <c r="E2" i="34" s="1"/>
  <c r="F2" i="34" s="1"/>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<sst xmlns="http://schemas.openxmlformats.org/spreadsheetml/2006/main" count="283" uniqueCount="91">
  <si>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</si>
  <si>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</si>
  <si>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</si>
  <si>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</si>
  <si>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</si>
  <si>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</si>
  <si>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</si>
  <si>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</si>
  <si>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</si>
  <si>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</si>
  <si>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</si>
  <si>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</si>
  <si>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</si>
  <si>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</si>
  <si>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</si>
  <si>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</si>
  <si>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</si>
  <si>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</si>
  <si>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</si>
  <si>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</si>
  <si>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</si>
  <si>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</si>
  <si>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was offline due to SEL relay open on 01/08 at 00:15 and again back online on 11:30am and again site was offline on 01/08 at 21:15 and technician was able to close the relay, site is back online on 09:45am on 01/09
2.Site was offline due to main switchgear breaker was open on 01/17 at 18:30 and back online at 12:00pm on 01/18 and again site was offline due to breakers open on 01/20 at 06:45am and back online at 12:15pm on 01/21</t>
  </si>
  <si>
    <t>1.SR095386
2.SR095684</t>
  </si>
  <si>
    <t>February Actual v. Expected</t>
  </si>
  <si>
    <t>February Actual v. Forecasted</t>
  </si>
  <si>
    <t>1. Site was offline due to SEL relay open on 02/07 at 06:45 and again back online on 15:00 the same day and again site was offline on 02/13 at 09:30 and technician was able to close the relay, site is back online at 14:30 the same day. Site was offline on 02/16 at 21:30 and technician was able to close the relay, site is back online at 14:30 on 02/17/25.
2. Site was offline due to main switchgear breaker was open on 02/17 at 20:00 and back online at 08:30 on 02/18 after technician closed both main switchgear breakers.
3. Site was taken offline for maintenance by Central Hudson at 04:45 on 02/27/25. The technician closed the relay and main switchgear breakers, and the site came back online at 08:15 on 02/28. It went offline again at 10:00 the same day, but the technician closed the relay, and the site was restored at 13:45.
4. Tracker 13 was stuck at 57 degrees throught out the month.</t>
  </si>
  <si>
    <t>1. SR096426, SR096887 &amp; SR097178
2. SR097178
3. SR097857
4. SR097989</t>
  </si>
  <si>
    <t>SR096887</t>
  </si>
  <si>
    <t>SR097178</t>
  </si>
  <si>
    <t>SR097857</t>
  </si>
  <si>
    <t>SR097989</t>
  </si>
  <si>
    <t>March Actual v. Expected</t>
  </si>
  <si>
    <t>March Actual v. Forecasted</t>
  </si>
  <si>
    <t>1.Tracker 13 has been stuck since 03/03. On 03/12, technician visited the site and found three trackers stuck. He attempted to power cycle the tracker controller but was unsuccessful and mentioned further troubleshooting is required.
2. Site was offline at 03:40 AM on 03/07. On 03/08 techniain closed the relay and it is back online at 08:30 AM on 03/08. Site was offline again at 07:40 pm on 03/16. On 03/17 techniain closed the relay and it is back online at 12:45pm. 
3. Inverter 1.16 is derating at 77kW from 01:30 pm from 03/31.</t>
  </si>
  <si>
    <t>1.SR097989
2.SR098252,	SR098642
3.SR099223</t>
  </si>
  <si>
    <t>SR098252</t>
  </si>
  <si>
    <t>SR098642</t>
  </si>
  <si>
    <t>SR099223</t>
  </si>
  <si>
    <t>April Actual v. Expected</t>
  </si>
  <si>
    <t>April Actual v. Forecasted</t>
  </si>
  <si>
    <t>1. Site was tripped offline on 04/05 at 07:30am and later technician re-energized the site at 10:00am on 04/06.
2. Site was tripped offline on 04/21 at 02:30am and later technician re-energized the site at 09:00am on 04/21.
3. Site was offline from 22:30 on 04/23 and later auto reclosed at 00:00 on 04/24 
4. Inverter 1.16 was derating by 77kW compared to its peers for whole month. Tech found a dead fan on inverter so the fan being RMA'd.</t>
  </si>
  <si>
    <t>1. SR099441
2. SR100050
3. SR100247
4. SR099223</t>
  </si>
  <si>
    <t>SR100050</t>
  </si>
  <si>
    <t>SR100247</t>
  </si>
  <si>
    <t>May Actual v. Expected</t>
  </si>
  <si>
    <t>May Actual v. Forecasted</t>
  </si>
  <si>
    <t>1. The site was offline at 09:45 on 05/08 due to Central Hudson had to take the solar site offline to complete emergency repairs. After a technician checked the site on 05/11, closed the relay, and de-energized the site, it came back online at 08:00 on 05/11.
2. Inverter 1.16 was derating by 77 kW compared to its peers. A technician found a dead fan in the inverter, so the fan was RMA'd. Later, on 05/13, a technician returned and replaced the fan. The inverter is now producing with its peer inverters.
3. Inverter 2.12 tripped offline at 13:30 on 05/28, reporting an "Inverter Current Imbalance." The issue has continued throughout the month.</t>
  </si>
  <si>
    <t>1. SR101154
2. SR099223
3. SR102046</t>
  </si>
  <si>
    <t>SR102046</t>
  </si>
  <si>
    <t>June Actual v. Expected</t>
  </si>
  <si>
    <t>June Actual v. Forecasted</t>
  </si>
  <si>
    <t>1. Inverter 1.12 was offline from 18:00 on 06/25 to end of the month.
2. Site was offline from 07:00 on 06/26 to 15:00 on 06/27 due to utility outage.
3. Site was offline from 02:25 on 06/14 to 14:00 on 06/16.
4. Site was offline from 08:00 on 06/03 to 07:00 on 06/04.
5. Site was offline from 00:45 on 06/06 to 09:00 on 06/06.
6. Inverter 2.12 was offline for whole month.</t>
  </si>
  <si>
    <t>1. SR103562
2. SR103555
3. SR102981
4. SR102366
5. SR102559
6. SR102046</t>
  </si>
  <si>
    <t>SR103555</t>
  </si>
  <si>
    <t>SR102981</t>
  </si>
  <si>
    <t>SR102366</t>
  </si>
  <si>
    <t>SR102559</t>
  </si>
  <si>
    <t>July Actual v. Expected</t>
  </si>
  <si>
    <t>July Actual v. Forecasted</t>
  </si>
  <si>
    <t xml:space="preserve">1. Inverter 1.12 was offline from 18:00 on 06/25 to end of the month.
2. Inverter 2.12 was offline from 07/01 to 07/03 
3.Site tripped offline at 10:00 on 07/04 and came back online at 10:00 07/05
4.Site tripped offline at 15:15 on 07/10 and came back online at 13:00 on 07/11
5.Site tripped offline from 01:00 to 13:15 on 07/15
6.The site tripped offline at 19:24 on 07/17 and came back online at 13:45 on 07/18. It tripped offline again at 17:15 on the same day and was restored at 08:45 on 07/21
7. Inverters 2.1 and 2.2 have tripped offline at 16:30 on 07/25 and inverter 2.2 came back online at 11:15 on 07/28 but inverter 2.1 remained offline.
</t>
  </si>
  <si>
    <t xml:space="preserve">1. SR103562
2. SR102046
3. SR104014
4. SR104278
5. SR104428
6. SR104582
7. SR105070
</t>
  </si>
  <si>
    <t>SR104014</t>
  </si>
  <si>
    <t>SR104278</t>
  </si>
  <si>
    <t>SR104428</t>
  </si>
  <si>
    <t>SR104582</t>
  </si>
  <si>
    <t>SR105070</t>
  </si>
  <si>
    <t>August Actual v. Expected</t>
  </si>
  <si>
    <t>August Actual v. Forecasted</t>
  </si>
  <si>
    <t>1.Inverter 2.1 offline from 07/25
2. Inverter 1.12 was offline from 18:00 on 06/25 and came back online at 09:15 on 08/06
3. Inverter 1.3 is derating to 77 kW from 08/18. Displaying External Fan Error fault. Opened case with CPS</t>
  </si>
  <si>
    <t>1.SR105070
2.SR103562 ,	SR105070
3.SR106460</t>
  </si>
  <si>
    <t>SR103562</t>
  </si>
  <si>
    <t>SR106460</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</si>
  <si>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</si>
  <si>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</si>
  <si>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</si>
  <si>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</si>
  <si>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</si>
  <si>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</si>
  <si>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</si>
  <si>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</si>
  <si>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</si>
  <si>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Freepoint</t>
  </si>
  <si>
    <t>Site DAS Name</t>
  </si>
  <si>
    <t>Update</t>
  </si>
  <si>
    <t>DAS</t>
  </si>
  <si>
    <t>Coxsackie</t>
  </si>
  <si>
    <t>NY: Coxsackie - State Route 9 West</t>
  </si>
  <si>
    <t>NY</t>
  </si>
  <si>
    <t>AEF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</si>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</sst>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sz val="11"/>
      <name val="Calibri"/>
      <family val="2"/>
      <scheme val="minor"/>
    </font>
    <font>
      <u/>
      <sz val="10"/>
      <color theme="10"/>
      <name val="Arial"/>
      <family val="2"/>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000000"/>
      </patternFill>
    </fill>
    <fill>
      <patternFill patternType="solid">
        <fgColor theme="7" tint="0.79998168889431442"/>
        <bgColor rgb="FF000000"/>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3" fontId="23" fillId="46" borderId="0" xfId="0" applyNumberFormat="1" applyFont="1" applyFill="1" applyAlignment="1">
      <alignment horizontal="right" vertical="center"/>
    </xf>
    <xf numFmtId="0" fontId="36" fillId="38" borderId="12" xfId="0" applyFont="1" applyFill="1" applyBorder="1" applyAlignment="1">
      <alignment horizontal="left" vertical="top" wrapText="1"/>
    </xf>
    <xf numFmtId="0" fontId="35" fillId="47" borderId="13" xfId="0" applyFont="1" applyFill="1" applyBorder="1" applyAlignment="1">
      <alignment horizontal="left" vertical="top" wrapText="1"/>
    </xf>
    <xf numFmtId="0" fontId="34" fillId="40" borderId="0" xfId="0" applyFont="1" applyFill="1" applyAlignment="1">
      <alignment horizontal="center" vertical="center"/>
    </xf>
    <xf numFmtId="49" fontId="30" fillId="38" borderId="0" xfId="2" applyNumberFormat="1" applyFont="1" applyFill="1" applyBorder="1" applyAlignment="1">
      <alignment horizontal="left" vertical="top" wrapText="1"/>
    </xf>
    <xf numFmtId="49" fontId="37" fillId="38" borderId="0" xfId="45" applyNumberFormat="1" applyFill="1" applyBorder="1" applyAlignment="1">
      <alignment vertical="top" wrapText="1"/>
    </xf>
    <xf numFmtId="0" fontId="37" fillId="0" borderId="0" xfId="45" applyAlignment="1">
      <alignment horizontal="left" vertical="top"/>
    </xf>
    <xf numFmtId="0" fontId="37" fillId="38" borderId="12" xfId="45" applyFill="1" applyBorder="1" applyAlignment="1">
      <alignment horizontal="left" vertical="top" wrapText="1"/>
    </xf>
    <xf numFmtId="0" fontId="0" fillId="0" borderId="0" xfId="0" applyAlignment="1">
      <alignment horizontal="left" vertical="top"/>
    </xf>
    <xf numFmtId="0" fontId="37" fillId="38" borderId="14" xfId="45" applyFill="1" applyBorder="1" applyAlignment="1">
      <alignment horizontal="left" vertical="top" wrapText="1"/>
    </xf>
    <xf numFmtId="0" fontId="37" fillId="0" borderId="0" xfId="45" applyAlignment="1">
      <alignment vertical="top"/>
    </xf>
    <xf numFmtId="0" fontId="0" fillId="0" borderId="0" xfId="0"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178" TargetMode="External"/><Relationship Id="rId2" Type="http://schemas.openxmlformats.org/officeDocument/2006/relationships/hyperlink" Target="https://us3.assetplanner.com/service_request?ID=096887" TargetMode="External"/><Relationship Id="rId1" Type="http://schemas.openxmlformats.org/officeDocument/2006/relationships/hyperlink" Target="https://us3.assetplanner.com/service_request?ID=096426" TargetMode="External"/><Relationship Id="rId6" Type="http://schemas.openxmlformats.org/officeDocument/2006/relationships/hyperlink" Target="https://us3.assetplanner.com/service_request?ID=097989" TargetMode="External"/><Relationship Id="rId5" Type="http://schemas.openxmlformats.org/officeDocument/2006/relationships/hyperlink" Target="https://us3.assetplanner.com/service_request?ID=097857" TargetMode="External"/><Relationship Id="rId4" Type="http://schemas.openxmlformats.org/officeDocument/2006/relationships/hyperlink" Target="https://us3.assetplanner.com/service_request?ID=09717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642" TargetMode="External"/><Relationship Id="rId2" Type="http://schemas.openxmlformats.org/officeDocument/2006/relationships/hyperlink" Target="https://us3.assetplanner.com/service_request?ID=098252" TargetMode="External"/><Relationship Id="rId1" Type="http://schemas.openxmlformats.org/officeDocument/2006/relationships/hyperlink" Target="https://us3.assetplanner.com/service_request?ID=097989" TargetMode="External"/><Relationship Id="rId4" Type="http://schemas.openxmlformats.org/officeDocument/2006/relationships/hyperlink" Target="https://us3.assetplanner.com/service_request?ID=09922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247" TargetMode="External"/><Relationship Id="rId2" Type="http://schemas.openxmlformats.org/officeDocument/2006/relationships/hyperlink" Target="https://us3.assetplanner.com/service_request?ID=100050" TargetMode="External"/><Relationship Id="rId1" Type="http://schemas.openxmlformats.org/officeDocument/2006/relationships/hyperlink" Target="https://us3.assetplanner.com/service_request?ID=099441" TargetMode="External"/><Relationship Id="rId4" Type="http://schemas.openxmlformats.org/officeDocument/2006/relationships/hyperlink" Target="https://us3.assetplanner.com/service_request?ID=09922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2046" TargetMode="External"/><Relationship Id="rId2" Type="http://schemas.openxmlformats.org/officeDocument/2006/relationships/hyperlink" Target="https://us3.assetplanner.com/service_request?ID=099223" TargetMode="External"/><Relationship Id="rId1" Type="http://schemas.openxmlformats.org/officeDocument/2006/relationships/hyperlink" Target="https://us3.assetplanner.com/service_request?ID=10115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2981" TargetMode="External"/><Relationship Id="rId2" Type="http://schemas.openxmlformats.org/officeDocument/2006/relationships/hyperlink" Target="https://us3.assetplanner.com/service_request?ID=103555"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2046" TargetMode="External"/><Relationship Id="rId5" Type="http://schemas.openxmlformats.org/officeDocument/2006/relationships/hyperlink" Target="https://us3.assetplanner.com/service_request?ID=102559" TargetMode="External"/><Relationship Id="rId4" Type="http://schemas.openxmlformats.org/officeDocument/2006/relationships/hyperlink" Target="https://us3.assetplanner.com/service_request?ID=102366"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4014" TargetMode="External"/><Relationship Id="rId7" Type="http://schemas.openxmlformats.org/officeDocument/2006/relationships/hyperlink" Target="https://us3.assetplanner.com/service_request?ID=105070" TargetMode="External"/><Relationship Id="rId2" Type="http://schemas.openxmlformats.org/officeDocument/2006/relationships/hyperlink" Target="https://us3.assetplanner.com/service_request?ID=102046"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4582" TargetMode="External"/><Relationship Id="rId5" Type="http://schemas.openxmlformats.org/officeDocument/2006/relationships/hyperlink" Target="https://us3.assetplanner.com/service_request?ID=104428" TargetMode="External"/><Relationship Id="rId4" Type="http://schemas.openxmlformats.org/officeDocument/2006/relationships/hyperlink" Target="https://us3.assetplanner.com/service_request?ID=104278"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5070" TargetMode="External"/><Relationship Id="rId2" Type="http://schemas.openxmlformats.org/officeDocument/2006/relationships/hyperlink" Target="https://us3.assetplanner.com/service_request?ID=103562" TargetMode="External"/><Relationship Id="rId1" Type="http://schemas.openxmlformats.org/officeDocument/2006/relationships/hyperlink" Target="https://us3.assetplanner.com/service_request?ID=105070" TargetMode="External"/><Relationship Id="rId4" Type="http://schemas.openxmlformats.org/officeDocument/2006/relationships/hyperlink" Target="https://us3.assetplanner.com/service_request?ID=10646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1"/>
  <sheetViews>
    <sheetView workbookViewId="0">
      <pane xSplit="2" ySplit="3" topLeftCell="C4" activePane="bottomRight" state="frozen"/>
      <selection pane="bottomRight" activeCell="E2" sqref="E2"/>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Freepoint</v>
      </c>
      <c r="B1" s="61"/>
      <c r="C1" s="61"/>
      <c r="D1" s="62" t="s">
        <v>0</v>
      </c>
      <c r="E1" s="62"/>
      <c r="F1" s="62"/>
      <c r="G1" s="60" t="s">
        <v>1</v>
      </c>
      <c r="H1" s="60"/>
      <c r="I1" s="60"/>
    </row>
    <row r="2" spans="1:9" ht="19.5" customHeight="1">
      <c r="A2" s="63" t="s">
        <v>2</v>
      </c>
      <c r="B2" s="63"/>
      <c r="C2" s="5">
        <f>SUM(C4:C79)</f>
        <v>6156185.7895999998</v>
      </c>
      <c r="D2" s="5">
        <f>SUM(D4:D79)</f>
        <v>7129829.1200000001</v>
      </c>
      <c r="E2" s="5">
        <f>C2-D2</f>
        <v>-973643.33040000033</v>
      </c>
      <c r="F2" s="6">
        <f>IFERROR(E2/D2, 0)</f>
        <v>-0.13655913963895958</v>
      </c>
      <c r="G2" s="5">
        <f>SUM(G4:G79)</f>
        <v>5627459.0600000005</v>
      </c>
      <c r="H2" s="7">
        <f>C2-G2</f>
        <v>528726.72959999926</v>
      </c>
      <c r="I2" s="6">
        <f>IFERROR(H2/G2, 0)</f>
        <v>9.3954789179754458E-2</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NY: Coxsackie - State Route 9 West</v>
      </c>
      <c r="B4" s="9" t="str" cm="1">
        <f t="array" ref="B4">Sites[State]</f>
        <v>NY</v>
      </c>
      <c r="C4" s="23">
        <f>SUM('1st Qtr'!C4, '2nd Qtr'!C4, '3rd Qtr'!C4, '4th Qtr'!C4)</f>
        <v>6156185.7895999998</v>
      </c>
      <c r="D4" s="12">
        <f>SUM('1st Qtr'!D4, '2nd Qtr'!D4, '3rd Qtr'!D4, '4th Qtr'!D4)</f>
        <v>7129829.1200000001</v>
      </c>
      <c r="E4" s="12">
        <f>IF(AND(ISNUMBER(C4),ISNUMBER(D4)), C4-D4, "")</f>
        <v>-973643.33040000033</v>
      </c>
      <c r="F4" s="13">
        <f>IFERROR(E4/D4, "")</f>
        <v>-0.13655913963895958</v>
      </c>
      <c r="G4" s="14">
        <f>SUM('1st Qtr'!G4, '2nd Qtr'!G4, '3rd Qtr'!G4, '4th Qtr'!G4)</f>
        <v>5627459.0600000005</v>
      </c>
      <c r="H4" s="14">
        <f>SUM('1st Qtr'!H4, '2nd Qtr'!H4, '3rd Qtr'!H4, '4th Qtr'!H4)</f>
        <v>-146206.58040000004</v>
      </c>
      <c r="I4" s="15">
        <f>IFERROR(H4/G4, "")</f>
        <v>-2.5980922978051841E-2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autoFilter ref="A2:I2" xr:uid="{D5C25034-9971-4A61-864F-C938F31EB1B8}"/>
  <mergeCells count="4">
    <mergeCell ref="G1:I1"/>
    <mergeCell ref="A1:C1"/>
    <mergeCell ref="D1:F1"/>
    <mergeCell ref="A2:B2"/>
  </mergeCells>
  <conditionalFormatting sqref="F2 I2 F4:F79 I4:I79">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O39" sqref="O39"/>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Freepoint</v>
      </c>
      <c r="B1" s="61"/>
      <c r="C1" s="61"/>
      <c r="D1" s="62" t="s">
        <v>10</v>
      </c>
      <c r="E1" s="62"/>
      <c r="F1" s="62"/>
      <c r="G1" s="60" t="s">
        <v>11</v>
      </c>
      <c r="H1" s="60"/>
      <c r="I1" s="60"/>
    </row>
    <row r="2" spans="1:9" ht="19.5" customHeight="1">
      <c r="A2" s="63" t="s">
        <v>2</v>
      </c>
      <c r="B2" s="63"/>
      <c r="C2" s="5">
        <f>SUM(C4:C79)</f>
        <v>1566294</v>
      </c>
      <c r="D2" s="5">
        <f>SUM(D4:D79)</f>
        <v>1784267.686</v>
      </c>
      <c r="E2" s="5">
        <f>C2-D2</f>
        <v>-217973.68599999999</v>
      </c>
      <c r="F2" s="6">
        <f>IFERROR(E2/D2, 0)</f>
        <v>-0.12216422889362352</v>
      </c>
      <c r="G2" s="5">
        <f>SUM(G4:G79)</f>
        <v>1812746.14</v>
      </c>
      <c r="H2" s="7">
        <f>C2-G2</f>
        <v>-246452.1399999999</v>
      </c>
      <c r="I2" s="6">
        <f>IFERROR(H2/G2, 0)</f>
        <v>-0.13595513158836456</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SUM(Jan!C4, Feb!C4, Mar!C4)</f>
        <v>1566294</v>
      </c>
      <c r="D4" s="12">
        <f>SUM(Jan!D4, Feb!D4, Mar!D4)</f>
        <v>1784267.686</v>
      </c>
      <c r="E4" s="12">
        <f>IF(AND(ISNUMBER(C4),ISNUMBER(D4)), C4-D4, "")</f>
        <v>-217973.68599999999</v>
      </c>
      <c r="F4" s="13">
        <f>IFERROR(E4/D4, "")</f>
        <v>-0.12216422889362352</v>
      </c>
      <c r="G4" s="14">
        <f>SUM(Jan!G4, Feb!G4, Mar!G4)</f>
        <v>1812746.14</v>
      </c>
      <c r="H4" s="14">
        <f>SUM(Jan!H4, Feb!H4, Mar!H4)</f>
        <v>-246452.13999999996</v>
      </c>
      <c r="I4" s="15">
        <f>IFERROR(H4/G4, "")</f>
        <v>-0.13595513158836459</v>
      </c>
    </row>
    <row r="5" spans="1:9" ht="14.45">
      <c r="A5" s="20"/>
      <c r="B5" s="1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 activePane="bottomRight" state="frozen"/>
      <selection pane="bottomRight" activeCell="O11" sqref="O11"/>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Freepoint</v>
      </c>
      <c r="B1" s="61"/>
      <c r="C1" s="61"/>
      <c r="D1" s="62" t="s">
        <v>12</v>
      </c>
      <c r="E1" s="62"/>
      <c r="F1" s="62"/>
      <c r="G1" s="60" t="s">
        <v>13</v>
      </c>
      <c r="H1" s="60"/>
      <c r="I1" s="60"/>
    </row>
    <row r="2" spans="1:9" ht="19.5" customHeight="1">
      <c r="A2" s="63" t="s">
        <v>2</v>
      </c>
      <c r="B2" s="63"/>
      <c r="C2" s="5">
        <f>SUM(C4:C79)</f>
        <v>2515472.9995999997</v>
      </c>
      <c r="D2" s="5">
        <f>SUM(D4:D79)</f>
        <v>2866714.0410000002</v>
      </c>
      <c r="E2" s="5">
        <f>C2-D2</f>
        <v>-351241.04140000045</v>
      </c>
      <c r="F2" s="6">
        <f>IFERROR(E2/D2, 0)</f>
        <v>-0.12252391985266745</v>
      </c>
      <c r="G2" s="5">
        <f>SUM(G4:G79)</f>
        <v>2618102.27</v>
      </c>
      <c r="H2" s="7">
        <f>C2-G2</f>
        <v>-102629.27040000027</v>
      </c>
      <c r="I2" s="6">
        <f>IFERROR(H2/G2, 0)</f>
        <v>-3.9199870675793072E-2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SUM(Apr!C4, May!C4, Jun!C4)</f>
        <v>2515472.9995999997</v>
      </c>
      <c r="D4" s="12">
        <f>SUM(Apr!D4, May!D4, Jun!D4)</f>
        <v>2866714.0410000002</v>
      </c>
      <c r="E4" s="12">
        <f>IF(AND(ISNUMBER(C4),ISNUMBER(D4)), C4-D4, "")</f>
        <v>-351241.04140000045</v>
      </c>
      <c r="F4" s="13">
        <f>IFERROR(E4/D4, "")</f>
        <v>-0.12252391985266745</v>
      </c>
      <c r="G4" s="14">
        <f>SUM(Apr!G4,May!G4,Jun!G4)</f>
        <v>2618102.27</v>
      </c>
      <c r="H4" s="14">
        <f>SUM(Apr!H4, May!H4, Jun!H4)</f>
        <v>-102629.27040000004</v>
      </c>
      <c r="I4" s="15">
        <f>IFERROR(H4/G4, "")</f>
        <v>-3.9199870675792982E-2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G2" sqref="G2"/>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Freepoint</v>
      </c>
      <c r="B1" s="61"/>
      <c r="C1" s="61"/>
      <c r="D1" s="62" t="s">
        <v>14</v>
      </c>
      <c r="E1" s="62"/>
      <c r="F1" s="62"/>
      <c r="G1" s="60" t="s">
        <v>15</v>
      </c>
      <c r="H1" s="60"/>
      <c r="I1" s="60"/>
    </row>
    <row r="2" spans="1:9" ht="19.5" customHeight="1">
      <c r="A2" s="63" t="s">
        <v>2</v>
      </c>
      <c r="B2" s="63"/>
      <c r="C2" s="5">
        <f>SUM(C4:C79)</f>
        <v>2074418.79</v>
      </c>
      <c r="D2" s="5">
        <f>SUM(D4:D79)</f>
        <v>2478847.3930000002</v>
      </c>
      <c r="E2" s="5">
        <f>C2-D2</f>
        <v>-404428.60300000012</v>
      </c>
      <c r="F2" s="6">
        <f>IFERROR(E2/D2, 0)</f>
        <v>-0.16315187620749194</v>
      </c>
      <c r="G2" s="5">
        <f>SUM(G4:G79)</f>
        <v>1196610.6499999999</v>
      </c>
      <c r="H2" s="7">
        <f>C2-G2</f>
        <v>877808.14000000013</v>
      </c>
      <c r="I2" s="6">
        <f>IFERROR(H2/G2, 0)</f>
        <v>0.73357874593544714</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SUM(Jul!C4, Aug!C4, Sep!C4)</f>
        <v>2074418.79</v>
      </c>
      <c r="D4" s="12">
        <f>SUM(Jul!D4, Aug!D4, Sep!D4)</f>
        <v>2478847.3930000002</v>
      </c>
      <c r="E4" s="12">
        <f>IF(AND(ISNUMBER(C4),ISNUMBER(D4)), C4-D4, "")</f>
        <v>-404428.60300000012</v>
      </c>
      <c r="F4" s="13">
        <f>IFERROR(E4/D4, "")</f>
        <v>-0.16315187620749194</v>
      </c>
      <c r="G4" s="14">
        <f>SUM(Jul!G4,Aug!H4,Sep!G4)</f>
        <v>1196610.6499999999</v>
      </c>
      <c r="H4" s="14">
        <f>SUM(Jul!H4, Aug!H4, Sep!H4)</f>
        <v>202874.82999999996</v>
      </c>
      <c r="I4" s="15">
        <f>IFERROR(H4/G4, "")</f>
        <v>0.16954122044626627</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5.6">
      <c r="A9" s="16"/>
      <c r="B9" s="20"/>
      <c r="C9" s="20"/>
      <c r="D9" s="20"/>
      <c r="E9" s="20"/>
      <c r="F9" s="20"/>
      <c r="G9" s="20"/>
      <c r="H9" s="20"/>
      <c r="I9" s="20"/>
    </row>
    <row r="10" spans="1:9" ht="15.6">
      <c r="A10" s="16"/>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Freepoint</v>
      </c>
      <c r="B1" s="61"/>
      <c r="C1" s="61"/>
      <c r="D1" s="62" t="s">
        <v>16</v>
      </c>
      <c r="E1" s="62"/>
      <c r="F1" s="62"/>
      <c r="G1" s="60" t="s">
        <v>17</v>
      </c>
      <c r="H1" s="60"/>
      <c r="I1" s="60"/>
    </row>
    <row r="2" spans="1:9" ht="19.5" customHeight="1">
      <c r="A2" s="63" t="s">
        <v>2</v>
      </c>
      <c r="B2" s="63"/>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SUM(Oct!C4, Nov!C4, Dec!C4)</f>
        <v>0</v>
      </c>
      <c r="D4" s="12">
        <f>SUM(Oct!D4, Nov!D4, Dec!D4)</f>
        <v>0</v>
      </c>
      <c r="E4" s="12">
        <f>IF(AND(ISNUMBER(C4),ISNUMBER(D4)), C4-D4, "")</f>
        <v>0</v>
      </c>
      <c r="F4" s="13" t="str">
        <f>IFERROR(E4/D4, "")</f>
        <v/>
      </c>
      <c r="G4" s="14">
        <f>SUM(Oct!G4,Nov!G4,Dec!G5)</f>
        <v>0</v>
      </c>
      <c r="H4" s="14">
        <f>SUM(Oct!H4, Nov!H4, Dec!H4)</f>
        <v>0</v>
      </c>
      <c r="I4" s="15" t="str">
        <f>IFERROR(H4/G4, "")</f>
        <v/>
      </c>
    </row>
    <row r="5" spans="1:9" ht="15.6">
      <c r="A5" s="16"/>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4.45">
      <c r="A8" s="20"/>
      <c r="B8" s="10"/>
      <c r="C8" s="40"/>
      <c r="D8" s="17"/>
      <c r="E8" s="17"/>
      <c r="F8" s="18"/>
      <c r="G8" s="19"/>
      <c r="H8" s="19"/>
      <c r="I8" s="18"/>
    </row>
    <row r="9" spans="1:9" ht="14.45">
      <c r="A9" s="20"/>
      <c r="B9" s="10"/>
      <c r="C9" s="40"/>
      <c r="D9" s="17"/>
      <c r="E9" s="17"/>
      <c r="F9" s="18"/>
      <c r="G9" s="19"/>
      <c r="H9" s="19"/>
      <c r="I9" s="18"/>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Freepoint</v>
      </c>
      <c r="B1" s="61"/>
      <c r="C1" s="61"/>
      <c r="D1" s="62" t="s">
        <v>18</v>
      </c>
      <c r="E1" s="62"/>
      <c r="F1" s="62"/>
      <c r="G1" s="60" t="s">
        <v>19</v>
      </c>
      <c r="H1" s="60"/>
      <c r="I1" s="60"/>
      <c r="J1" s="4"/>
      <c r="K1" s="4"/>
    </row>
    <row r="2" spans="1:11" ht="19.5" customHeight="1">
      <c r="A2" s="63" t="s">
        <v>2</v>
      </c>
      <c r="B2" s="63"/>
      <c r="C2" s="5">
        <f>SUM(C4:C78)</f>
        <v>389555.12227608298</v>
      </c>
      <c r="D2" s="5">
        <f>SUM(D4:D78)</f>
        <v>452412.2</v>
      </c>
      <c r="E2" s="5">
        <f>C2-D2</f>
        <v>-62857.077723917027</v>
      </c>
      <c r="F2" s="6">
        <f>IFERROR(E2/D2, 0)</f>
        <v>-0.13893762750853542</v>
      </c>
      <c r="G2" s="5">
        <f>SUM(G4:G78)</f>
        <v>461645.8</v>
      </c>
      <c r="H2" s="7">
        <f>C2-G2</f>
        <v>-72090.677723917004</v>
      </c>
      <c r="I2" s="6">
        <f>IFERROR(H2/G2, 0)</f>
        <v>-0.15616015075609266</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7" t="s">
        <v>9</v>
      </c>
      <c r="H3" s="34" t="s">
        <v>7</v>
      </c>
      <c r="I3" s="35" t="s">
        <v>8</v>
      </c>
      <c r="J3" s="24" t="s">
        <v>20</v>
      </c>
      <c r="K3" s="24" t="s">
        <v>21</v>
      </c>
    </row>
    <row r="4" spans="1:11" ht="107.25" customHeight="1">
      <c r="A4" s="11" t="str" cm="1">
        <f t="array" ref="A4">Sites[Site]</f>
        <v>NY: Coxsackie - State Route 9 West</v>
      </c>
      <c r="B4" s="9" t="str" cm="1">
        <f t="array" ref="B4">Sites[State]</f>
        <v>NY</v>
      </c>
      <c r="C4" s="23">
        <v>389555.12227608298</v>
      </c>
      <c r="D4" s="12">
        <v>452412.2</v>
      </c>
      <c r="E4" s="12">
        <f>IF(AND(ISNUMBER(C4),ISNUMBER(D4)), C4-D4, "")</f>
        <v>-62857.077723917027</v>
      </c>
      <c r="F4" s="13">
        <f>IFERROR(E4/D4, "")</f>
        <v>-0.13893762750853542</v>
      </c>
      <c r="G4" s="14">
        <v>461645.8</v>
      </c>
      <c r="H4" s="14">
        <f>IF(AND(ISNUMBER(C4),ISNUMBER(G4)), C4-G4, "")</f>
        <v>-72090.677723917004</v>
      </c>
      <c r="I4" s="15">
        <f>IFERROR(H4/G4, "")</f>
        <v>-0.15616015075609266</v>
      </c>
      <c r="J4" s="36" t="s">
        <v>22</v>
      </c>
      <c r="K4" s="36" t="s">
        <v>23</v>
      </c>
    </row>
    <row r="5" spans="1:11" ht="14.45">
      <c r="A5" s="20"/>
      <c r="B5" s="29"/>
      <c r="C5" s="38"/>
      <c r="D5" s="20"/>
      <c r="E5" s="20"/>
      <c r="F5" s="20"/>
      <c r="G5" s="20"/>
      <c r="H5" s="20"/>
      <c r="I5" s="20"/>
      <c r="J5" s="39"/>
      <c r="K5" s="20"/>
    </row>
    <row r="6" spans="1:11" ht="14.45">
      <c r="A6" s="20"/>
      <c r="B6" s="29"/>
      <c r="C6" s="20"/>
      <c r="D6" s="20"/>
      <c r="E6" s="20"/>
      <c r="F6" s="20"/>
      <c r="G6" s="20"/>
      <c r="H6" s="20"/>
      <c r="I6" s="20"/>
      <c r="J6" s="37"/>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sheetData>
  <mergeCells count="4">
    <mergeCell ref="D1:F1"/>
    <mergeCell ref="A1:C1"/>
    <mergeCell ref="G1:I1"/>
    <mergeCell ref="A2:B2"/>
  </mergeCells>
  <conditionalFormatting sqref="F2 I2">
    <cfRule type="cellIs" dxfId="30" priority="6" stopIfTrue="1" operator="lessThanOrEqual">
      <formula>-0.1</formula>
    </cfRule>
    <cfRule type="expression" dxfId="29" priority="7">
      <formula>AND(ISNUMBER(F2), F2&gt;=0.1)</formula>
    </cfRule>
  </conditionalFormatting>
  <conditionalFormatting sqref="F4:F78 I4:I78">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21"/>
  <sheetViews>
    <sheetView zoomScale="90" zoomScaleNormal="90" workbookViewId="0">
      <pane xSplit="2" ySplit="3" topLeftCell="J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1" t="str" cm="1">
        <f t="array" ref="A1">portfolio</f>
        <v>Freepoint</v>
      </c>
      <c r="B1" s="61"/>
      <c r="C1" s="61"/>
      <c r="D1" s="62" t="s">
        <v>24</v>
      </c>
      <c r="E1" s="62"/>
      <c r="F1" s="62"/>
      <c r="G1" s="60" t="s">
        <v>25</v>
      </c>
      <c r="H1" s="60"/>
      <c r="I1" s="60"/>
      <c r="J1" s="4"/>
      <c r="K1" s="4"/>
    </row>
    <row r="2" spans="1:16" ht="19.5" customHeight="1">
      <c r="A2" s="63" t="s">
        <v>2</v>
      </c>
      <c r="B2" s="63"/>
      <c r="C2" s="5">
        <f>SUM(C4:C79)</f>
        <v>445789.87772391702</v>
      </c>
      <c r="D2" s="5">
        <f>SUM(D4:D79)</f>
        <v>493232.2</v>
      </c>
      <c r="E2" s="5">
        <f>C2-D2</f>
        <v>-47442.322276082996</v>
      </c>
      <c r="F2" s="6">
        <f>IFERROR(E2/D2, 0)</f>
        <v>-9.6186587729031062E-2</v>
      </c>
      <c r="G2" s="5">
        <f>SUM(G4:G79)</f>
        <v>585098.4</v>
      </c>
      <c r="H2" s="7">
        <f>C2-G2</f>
        <v>-139308.52227608301</v>
      </c>
      <c r="I2" s="6">
        <f>IFERROR(H2/G2, 0)</f>
        <v>-0.23809417745131931</v>
      </c>
      <c r="J2" s="25" t="str">
        <f ca="1">IF(AND(TODAY()&gt;DATE(2024, 2,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187.15">
      <c r="A4" s="51" t="str" cm="1">
        <f t="array" ref="A4">Sites[Site]</f>
        <v>NY: Coxsackie - State Route 9 West</v>
      </c>
      <c r="B4" s="27" t="str" cm="1">
        <f t="array" ref="B4">Sites[State]</f>
        <v>NY</v>
      </c>
      <c r="C4" s="23">
        <v>445789.87772391702</v>
      </c>
      <c r="D4" s="12">
        <v>493232.2</v>
      </c>
      <c r="E4" s="12">
        <f>IF(AND(ISNUMBER(C4),ISNUMBER(D4)), C4-D4, "")</f>
        <v>-47442.322276082996</v>
      </c>
      <c r="F4" s="13">
        <f>IFERROR(E4/D4, "")</f>
        <v>-9.6186587729031062E-2</v>
      </c>
      <c r="G4" s="14">
        <v>585098.4</v>
      </c>
      <c r="H4" s="14">
        <f>IF(AND(ISNUMBER(C4),ISNUMBER(G4)), C4-G4, "")</f>
        <v>-139308.52227608301</v>
      </c>
      <c r="I4" s="15">
        <f>IFERROR(H4/G4, "")</f>
        <v>-0.23809417745131931</v>
      </c>
      <c r="J4" s="36" t="s">
        <v>26</v>
      </c>
      <c r="K4" s="53" t="s">
        <v>27</v>
      </c>
      <c r="L4" s="54" t="s">
        <v>28</v>
      </c>
      <c r="M4" s="54" t="s">
        <v>29</v>
      </c>
      <c r="N4" s="54" t="s">
        <v>29</v>
      </c>
      <c r="O4" s="54" t="s">
        <v>30</v>
      </c>
      <c r="P4" s="54" t="s">
        <v>31</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6426" xr:uid="{C4318A5C-B92D-4E09-AB05-9E5274AE8FD2}"/>
    <hyperlink ref="L4" r:id="rId2" display="https://us3.assetplanner.com/service_request?ID=096887" xr:uid="{DB161815-E447-4FF8-AD50-B31A963E8F59}"/>
    <hyperlink ref="M4" r:id="rId3" display="https://us3.assetplanner.com/service_request?ID=097178" xr:uid="{D0B7FF81-9743-4111-AB94-8A9D33AF5E38}"/>
    <hyperlink ref="N4" r:id="rId4" display="https://us3.assetplanner.com/service_request?ID=097178" xr:uid="{298A7D0B-BB84-4B76-ADEA-1C3F3B1B90C8}"/>
    <hyperlink ref="O4" r:id="rId5" display="https://us3.assetplanner.com/service_request?ID=097857" xr:uid="{72BA5A89-3923-4D8D-9DBE-069061801113}"/>
    <hyperlink ref="P4" r:id="rId6" display="https://us3.assetplanner.com/service_request?ID=097989" xr:uid="{5D666AC1-BBBF-475D-91C7-28CBC35DCEFD}"/>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O321"/>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1" t="str" cm="1">
        <f t="array" ref="A1">portfolio</f>
        <v>Freepoint</v>
      </c>
      <c r="B1" s="61"/>
      <c r="C1" s="61"/>
      <c r="D1" s="62" t="s">
        <v>32</v>
      </c>
      <c r="E1" s="62"/>
      <c r="F1" s="62"/>
      <c r="G1" s="60" t="s">
        <v>33</v>
      </c>
      <c r="H1" s="60"/>
      <c r="I1" s="60"/>
      <c r="J1" s="4"/>
      <c r="K1" s="4"/>
    </row>
    <row r="2" spans="1:15" ht="19.5" customHeight="1">
      <c r="A2" s="63" t="s">
        <v>2</v>
      </c>
      <c r="B2" s="63"/>
      <c r="C2" s="5">
        <f>SUM(C4:C79)</f>
        <v>730949</v>
      </c>
      <c r="D2" s="5">
        <f>SUM(D4:D79)</f>
        <v>838623.28599999996</v>
      </c>
      <c r="E2" s="5">
        <f>C2-D2</f>
        <v>-107674.28599999996</v>
      </c>
      <c r="F2" s="6">
        <f>IFERROR(E2/D2, 0)</f>
        <v>-0.12839410471604765</v>
      </c>
      <c r="G2" s="5">
        <f>SUM(G4:G79)</f>
        <v>766001.94</v>
      </c>
      <c r="H2" s="7">
        <f>C2-G2</f>
        <v>-35052.939999999944</v>
      </c>
      <c r="I2" s="6">
        <f>IFERROR(H2/G2, 0)</f>
        <v>-4.5760902381004345E-2</v>
      </c>
      <c r="J2" s="25" t="str">
        <f ca="1">IF(AND(TODAY()&gt;DATE(2024, 3,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56"/>
      <c r="M3" s="56"/>
      <c r="N3" s="56"/>
      <c r="O3" s="56"/>
    </row>
    <row r="4" spans="1:15" ht="100.9">
      <c r="A4" s="51" t="str" cm="1">
        <f t="array" ref="A4">Sites[Site]</f>
        <v>NY: Coxsackie - State Route 9 West</v>
      </c>
      <c r="B4" s="27" t="str" cm="1">
        <f t="array" ref="B4">Sites[State]</f>
        <v>NY</v>
      </c>
      <c r="C4" s="23">
        <v>730949</v>
      </c>
      <c r="D4" s="12">
        <v>838623.28599999996</v>
      </c>
      <c r="E4" s="12">
        <f>IF(AND(ISNUMBER(C4),ISNUMBER(D4)), C4-D4, "")</f>
        <v>-107674.28599999996</v>
      </c>
      <c r="F4" s="13">
        <f>IFERROR(E4/D4, "")</f>
        <v>-0.12839410471604765</v>
      </c>
      <c r="G4" s="48">
        <v>766001.94</v>
      </c>
      <c r="H4" s="14">
        <f>IF(AND(ISNUMBER(C4),ISNUMBER(G4)), C4-G4, "")</f>
        <v>-35052.939999999944</v>
      </c>
      <c r="I4" s="15">
        <f>IFERROR(H4/G4, "")</f>
        <v>-4.5760902381004345E-2</v>
      </c>
      <c r="J4" s="49" t="s">
        <v>34</v>
      </c>
      <c r="K4" s="55" t="s">
        <v>35</v>
      </c>
      <c r="L4" s="54" t="s">
        <v>36</v>
      </c>
      <c r="M4" s="54" t="s">
        <v>37</v>
      </c>
      <c r="N4" s="54" t="s">
        <v>38</v>
      </c>
      <c r="O4" s="56"/>
    </row>
    <row r="5" spans="1:15" ht="14.45">
      <c r="A5" s="20"/>
      <c r="B5" s="29"/>
      <c r="C5" s="20"/>
      <c r="D5" s="20"/>
      <c r="E5" s="20"/>
      <c r="F5" s="20"/>
      <c r="G5" s="20"/>
      <c r="H5" s="20"/>
      <c r="I5" s="20"/>
      <c r="J5" s="20"/>
      <c r="K5" s="20"/>
      <c r="L5" s="56"/>
      <c r="M5" s="56"/>
      <c r="N5" s="56"/>
      <c r="O5" s="56"/>
    </row>
    <row r="6" spans="1:15" ht="14.45">
      <c r="A6" s="20"/>
      <c r="B6" s="29"/>
      <c r="C6" s="20"/>
      <c r="D6" s="20"/>
      <c r="E6" s="20"/>
      <c r="F6" s="20"/>
      <c r="G6" s="20"/>
      <c r="H6" s="20"/>
      <c r="I6" s="20"/>
      <c r="J6" s="20"/>
      <c r="K6" s="20"/>
      <c r="L6" s="56"/>
      <c r="M6" s="56"/>
      <c r="N6" s="56"/>
      <c r="O6" s="56"/>
    </row>
    <row r="7" spans="1:15" ht="14.45">
      <c r="A7" s="20"/>
      <c r="B7" s="29"/>
      <c r="C7" s="20"/>
      <c r="D7" s="20"/>
      <c r="E7" s="20"/>
      <c r="F7" s="20"/>
      <c r="G7" s="20"/>
      <c r="H7" s="20"/>
      <c r="I7" s="20"/>
      <c r="J7" s="20"/>
      <c r="K7" s="20"/>
      <c r="L7" s="56"/>
      <c r="M7" s="56"/>
      <c r="N7" s="56"/>
      <c r="O7" s="56"/>
    </row>
    <row r="8" spans="1:15" ht="14.45">
      <c r="A8" s="20"/>
      <c r="B8" s="29"/>
      <c r="C8" s="20"/>
      <c r="D8" s="20"/>
      <c r="E8" s="20"/>
      <c r="F8" s="20"/>
      <c r="G8" s="20"/>
      <c r="H8" s="20"/>
      <c r="I8" s="20"/>
      <c r="J8" s="20"/>
      <c r="K8" s="20"/>
      <c r="L8" s="56"/>
      <c r="M8" s="56"/>
      <c r="N8" s="56"/>
      <c r="O8" s="56"/>
    </row>
    <row r="9" spans="1:15" ht="14.45">
      <c r="A9" s="20"/>
      <c r="B9" s="29"/>
      <c r="C9" s="20"/>
      <c r="D9" s="20"/>
      <c r="E9" s="20"/>
      <c r="F9" s="20"/>
      <c r="G9" s="20"/>
      <c r="H9" s="20"/>
      <c r="I9" s="20"/>
      <c r="J9" s="20"/>
      <c r="K9" s="20"/>
      <c r="L9" s="56"/>
      <c r="M9" s="56"/>
      <c r="N9" s="56"/>
      <c r="O9" s="56"/>
    </row>
    <row r="10" spans="1:15" ht="14.45">
      <c r="A10" s="20"/>
      <c r="B10" s="29"/>
      <c r="C10" s="20"/>
      <c r="D10" s="20"/>
      <c r="E10" s="20"/>
      <c r="F10" s="20"/>
      <c r="G10" s="20"/>
      <c r="H10" s="20"/>
      <c r="I10" s="20"/>
      <c r="J10" s="20"/>
      <c r="K10" s="20"/>
      <c r="L10" s="56"/>
      <c r="M10" s="56"/>
      <c r="N10" s="56"/>
      <c r="O10" s="56"/>
    </row>
    <row r="11" spans="1:15" ht="14.45">
      <c r="A11" s="20"/>
      <c r="B11" s="29"/>
      <c r="C11" s="20"/>
      <c r="D11" s="20"/>
      <c r="E11" s="20"/>
      <c r="F11" s="20"/>
      <c r="G11" s="20"/>
      <c r="H11" s="20"/>
      <c r="I11" s="20"/>
      <c r="J11" s="20"/>
      <c r="K11" s="20"/>
      <c r="L11" s="56"/>
      <c r="M11" s="56"/>
      <c r="N11" s="56"/>
      <c r="O11" s="56"/>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7989" xr:uid="{E1585005-E576-40BE-861E-441C02A636A5}"/>
    <hyperlink ref="L4" r:id="rId2" display="https://us3.assetplanner.com/service_request?ID=098252" xr:uid="{7B118DCF-4B71-4849-BE05-EC4DF2F2C9B3}"/>
    <hyperlink ref="M4" r:id="rId3" display="https://us3.assetplanner.com/service_request?ID=098642" xr:uid="{1F435488-0B6A-478D-8277-72C6E917D4CF}"/>
    <hyperlink ref="N4" r:id="rId4" display="https://us3.assetplanner.com/service_request?ID=099223" xr:uid="{7D44FD38-BB19-4E51-BE1F-077DE6A2475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1"/>
  <sheetViews>
    <sheetView workbookViewId="0">
      <pane xSplit="2" ySplit="3" topLeftCell="C4" activePane="bottomRight" state="frozen"/>
      <selection pane="bottomRight" activeCell="K4" sqref="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1" t="str" cm="1">
        <f t="array" ref="A1">portfolio</f>
        <v>Freepoint</v>
      </c>
      <c r="B1" s="61"/>
      <c r="C1" s="61"/>
      <c r="D1" s="62" t="s">
        <v>39</v>
      </c>
      <c r="E1" s="62"/>
      <c r="F1" s="62"/>
      <c r="G1" s="60" t="s">
        <v>40</v>
      </c>
      <c r="H1" s="60"/>
      <c r="I1" s="60"/>
      <c r="J1" s="4"/>
      <c r="K1" s="4"/>
    </row>
    <row r="2" spans="1:14" ht="19.5" customHeight="1">
      <c r="A2" s="63" t="s">
        <v>2</v>
      </c>
      <c r="B2" s="63"/>
      <c r="C2" s="5">
        <f>SUM(C4:C79)</f>
        <v>858097.83200000005</v>
      </c>
      <c r="D2" s="5">
        <f>SUM(D4:D79)</f>
        <v>954341.8</v>
      </c>
      <c r="E2" s="5">
        <f>C2-D2</f>
        <v>-96243.967999999993</v>
      </c>
      <c r="F2" s="6">
        <f>IFERROR(E2/D2, 0)</f>
        <v>-0.10084853036930792</v>
      </c>
      <c r="G2" s="5">
        <f>SUM(G4:G79)</f>
        <v>835717.68</v>
      </c>
      <c r="H2" s="7">
        <f>C2-G2</f>
        <v>22380.152000000002</v>
      </c>
      <c r="I2" s="6">
        <f>IFERROR(H2/G2, 0)</f>
        <v>2.6779560293614946E-2</v>
      </c>
      <c r="J2" s="25"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115.5" customHeight="1">
      <c r="A4" s="51" t="str" cm="1">
        <f t="array" ref="A4">Sites[Site]</f>
        <v>NY: Coxsackie - State Route 9 West</v>
      </c>
      <c r="B4" s="27" t="str" cm="1">
        <f t="array" ref="B4">Sites[State]</f>
        <v>NY</v>
      </c>
      <c r="C4" s="23">
        <v>858097.83200000005</v>
      </c>
      <c r="D4" s="12">
        <v>954341.8</v>
      </c>
      <c r="E4" s="12">
        <f>IF(AND(ISNUMBER(C4),ISNUMBER(D4)), C4-D4, "")</f>
        <v>-96243.967999999993</v>
      </c>
      <c r="F4" s="13">
        <f>IFERROR(E4/D4, "")</f>
        <v>-0.10084853036930792</v>
      </c>
      <c r="G4" s="14">
        <v>835717.68</v>
      </c>
      <c r="H4" s="14">
        <f>IF(AND(ISNUMBER(C4),ISNUMBER(G4)), C4-G4, "")</f>
        <v>22380.152000000002</v>
      </c>
      <c r="I4" s="15">
        <f>IFERROR(H4/G4, "")</f>
        <v>2.6779560293614946E-2</v>
      </c>
      <c r="J4" s="50" t="s">
        <v>41</v>
      </c>
      <c r="K4" s="57" t="s">
        <v>42</v>
      </c>
      <c r="L4" s="58" t="s">
        <v>43</v>
      </c>
      <c r="M4" s="58" t="s">
        <v>44</v>
      </c>
      <c r="N4" s="58" t="s">
        <v>38</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9441" xr:uid="{CD254F8A-5556-495D-9BA6-5D24F58B7DE7}"/>
    <hyperlink ref="L4" r:id="rId2" display="https://us3.assetplanner.com/service_request?ID=100050" xr:uid="{1D770409-7B43-4575-B8D3-42236B18E6AE}"/>
    <hyperlink ref="M4" r:id="rId3" display="https://us3.assetplanner.com/service_request?ID=100247" xr:uid="{BD676DE7-98F6-461D-8CA2-4D9BC6CC3B5D}"/>
    <hyperlink ref="N4" r:id="rId4" display="https://us3.assetplanner.com/service_request?ID=099223" xr:uid="{C3C248E7-A314-462E-B4B8-FA6866874D2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21"/>
  <sheetViews>
    <sheetView workbookViewId="0">
      <pane xSplit="2" ySplit="3" topLeftCell="F4" activePane="bottomRight" state="frozen"/>
      <selection pane="bottomRight" activeCell="F4" sqref="F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1" t="str" cm="1">
        <f t="array" ref="A1">portfolio</f>
        <v>Freepoint</v>
      </c>
      <c r="B1" s="61"/>
      <c r="C1" s="61"/>
      <c r="D1" s="62" t="s">
        <v>45</v>
      </c>
      <c r="E1" s="62"/>
      <c r="F1" s="62"/>
      <c r="G1" s="60" t="s">
        <v>46</v>
      </c>
      <c r="H1" s="60"/>
      <c r="I1" s="60"/>
      <c r="J1" s="4"/>
      <c r="K1" s="4"/>
    </row>
    <row r="2" spans="1:13" ht="19.5" customHeight="1">
      <c r="A2" s="63" t="s">
        <v>2</v>
      </c>
      <c r="B2" s="63"/>
      <c r="C2" s="5">
        <f>SUM(C4:C79)</f>
        <v>773266.28099999996</v>
      </c>
      <c r="D2" s="5">
        <f>SUM(D4:D79)</f>
        <v>849092.24100000004</v>
      </c>
      <c r="E2" s="5">
        <f>C2-D2</f>
        <v>-75825.960000000079</v>
      </c>
      <c r="F2" s="6">
        <f>IFERROR(E2/D2, 0)</f>
        <v>-8.9302382401584182E-2</v>
      </c>
      <c r="G2" s="5">
        <f>SUM(G4:G79)</f>
        <v>896453.99</v>
      </c>
      <c r="H2" s="7">
        <f>C2-G2</f>
        <v>-123187.70900000003</v>
      </c>
      <c r="I2" s="6">
        <f>IFERROR(H2/G2, 0)</f>
        <v>-0.13741665537123665</v>
      </c>
      <c r="J2" s="25"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row>
    <row r="4" spans="1:13" ht="129.6">
      <c r="A4" s="51" t="str" cm="1">
        <f t="array" ref="A4">Sites[Site]</f>
        <v>NY: Coxsackie - State Route 9 West</v>
      </c>
      <c r="B4" s="27" t="str" cm="1">
        <f t="array" ref="B4">Sites[State]</f>
        <v>NY</v>
      </c>
      <c r="C4" s="23">
        <v>773266.28099999996</v>
      </c>
      <c r="D4" s="12">
        <v>849092.24100000004</v>
      </c>
      <c r="E4" s="12">
        <f>IF(AND(ISNUMBER(C4),ISNUMBER(D4)), C4-D4, "")</f>
        <v>-75825.960000000079</v>
      </c>
      <c r="F4" s="13">
        <f>IFERROR(E4/D4, "")</f>
        <v>-8.9302382401584182E-2</v>
      </c>
      <c r="G4" s="14">
        <v>896453.99</v>
      </c>
      <c r="H4" s="14">
        <f>IF(AND(ISNUMBER(C4),ISNUMBER(G4)), C4-G4, "")</f>
        <v>-123187.70900000003</v>
      </c>
      <c r="I4" s="15">
        <f>IFERROR(H4/G4, "")</f>
        <v>-0.13741665537123665</v>
      </c>
      <c r="J4" s="36" t="s">
        <v>47</v>
      </c>
      <c r="K4" s="53" t="s">
        <v>48</v>
      </c>
      <c r="L4" s="58" t="s">
        <v>38</v>
      </c>
      <c r="M4" s="58" t="s">
        <v>49</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0"/>
      <c r="G10" s="20"/>
      <c r="H10" s="20"/>
      <c r="I10" s="20"/>
      <c r="J10" s="20"/>
      <c r="K10" s="20"/>
    </row>
    <row r="11" spans="1:13" ht="14.45">
      <c r="A11" s="20"/>
      <c r="B11" s="29"/>
      <c r="C11" s="20"/>
      <c r="D11" s="20"/>
      <c r="E11" s="20"/>
      <c r="F11" s="20"/>
      <c r="G11" s="20"/>
      <c r="H11" s="20"/>
      <c r="I11" s="20"/>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101154" xr:uid="{5B0F33C6-FF7E-4E21-B0C5-90B49861CCBE}"/>
    <hyperlink ref="L4" r:id="rId2" display="https://us3.assetplanner.com/service_request?ID=099223" xr:uid="{F8969FFF-F438-4F31-9229-CC8DAE8D42EF}"/>
    <hyperlink ref="M4" r:id="rId3" display="https://us3.assetplanner.com/service_request?ID=102046" xr:uid="{46452409-8A93-4F96-8DC8-992C6054A72F}"/>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21"/>
  <sheetViews>
    <sheetView zoomScale="70" zoomScaleNormal="70" workbookViewId="0">
      <pane xSplit="2" ySplit="3" topLeftCell="C4" activePane="bottomRight" state="frozen"/>
      <selection pane="bottomRight" activeCell="I14" sqref="I1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3.85546875" customWidth="1"/>
    <col min="11" max="11" width="20.5703125" bestFit="1" customWidth="1"/>
    <col min="12" max="16" width="8.85546875" style="56"/>
  </cols>
  <sheetData>
    <row r="1" spans="1:16" ht="19.5" customHeight="1">
      <c r="A1" s="61" t="str" cm="1">
        <f t="array" ref="A1">portfolio</f>
        <v>Freepoint</v>
      </c>
      <c r="B1" s="61"/>
      <c r="C1" s="61"/>
      <c r="D1" s="62" t="s">
        <v>50</v>
      </c>
      <c r="E1" s="62"/>
      <c r="F1" s="62"/>
      <c r="G1" s="60" t="s">
        <v>51</v>
      </c>
      <c r="H1" s="60"/>
      <c r="I1" s="60"/>
      <c r="J1" s="4"/>
      <c r="K1" s="4"/>
    </row>
    <row r="2" spans="1:16" ht="19.5" customHeight="1">
      <c r="A2" s="63" t="s">
        <v>2</v>
      </c>
      <c r="B2" s="63"/>
      <c r="C2" s="5">
        <f>SUM(C4:C79)</f>
        <v>884108.88659999997</v>
      </c>
      <c r="D2" s="5">
        <f>SUM(D4:D79)</f>
        <v>1063280</v>
      </c>
      <c r="E2" s="5">
        <f>C2-D2</f>
        <v>-179171.11340000003</v>
      </c>
      <c r="F2" s="6">
        <f>IFERROR(E2/D2, 0)</f>
        <v>-0.16850793149499665</v>
      </c>
      <c r="G2" s="5">
        <f>SUM(G4:G79)</f>
        <v>885930.6</v>
      </c>
      <c r="H2" s="7">
        <f>C2-G2</f>
        <v>-1821.7134000000078</v>
      </c>
      <c r="I2" s="6">
        <f>IFERROR(H2/G2, 0)</f>
        <v>-2.0562709991053564E-3</v>
      </c>
      <c r="J2" s="25" t="str">
        <f ca="1">IF(AND(TODAY()&gt;DATE(2024, 6,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86.45">
      <c r="A4" s="51" t="str" cm="1">
        <f t="array" ref="A4">Sites[Site]</f>
        <v>NY: Coxsackie - State Route 9 West</v>
      </c>
      <c r="B4" s="27" t="str" cm="1">
        <f t="array" ref="B4">Sites[State]</f>
        <v>NY</v>
      </c>
      <c r="C4" s="23">
        <v>884108.88659999997</v>
      </c>
      <c r="D4" s="12">
        <v>1063280</v>
      </c>
      <c r="E4" s="12">
        <f>IF(AND(ISNUMBER(C4),ISNUMBER(D4)), C4-D4, "")</f>
        <v>-179171.11340000003</v>
      </c>
      <c r="F4" s="13">
        <f>IFERROR(E4/D4, "")</f>
        <v>-0.16850793149499665</v>
      </c>
      <c r="G4" s="14">
        <v>885930.6</v>
      </c>
      <c r="H4" s="14">
        <f>IF(AND(ISNUMBER(C4),ISNUMBER(G4)), C4-G4, "")</f>
        <v>-1821.7134000000078</v>
      </c>
      <c r="I4" s="15">
        <f>IFERROR(H4/G4, "")</f>
        <v>-2.0562709991053564E-3</v>
      </c>
      <c r="J4" s="36" t="s">
        <v>52</v>
      </c>
      <c r="K4" s="53" t="s">
        <v>53</v>
      </c>
      <c r="L4" s="54" t="s">
        <v>54</v>
      </c>
      <c r="M4" s="54" t="s">
        <v>55</v>
      </c>
      <c r="N4" s="54" t="s">
        <v>56</v>
      </c>
      <c r="O4" s="54" t="s">
        <v>57</v>
      </c>
      <c r="P4" s="54" t="s">
        <v>49</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3562" xr:uid="{0D0AE767-C945-4CAA-83B8-BA97B0800B91}"/>
    <hyperlink ref="L4" r:id="rId2" display="https://us3.assetplanner.com/service_request?ID=103555" xr:uid="{CF8C848C-2857-4059-ADDA-6D5CDB838E8C}"/>
    <hyperlink ref="M4" r:id="rId3" display="https://us3.assetplanner.com/service_request?ID=102981" xr:uid="{88465C96-942A-4BCE-9952-E8BC08B0160D}"/>
    <hyperlink ref="N4" r:id="rId4" display="https://us3.assetplanner.com/service_request?ID=102366" xr:uid="{3FDA741B-7AA3-4983-83D4-81B284300B2A}"/>
    <hyperlink ref="O4" r:id="rId5" display="https://us3.assetplanner.com/service_request?ID=102559" xr:uid="{8078BF59-7993-4B27-BD12-8EE31E04EB6D}"/>
    <hyperlink ref="P4" r:id="rId6" display="https://us3.assetplanner.com/service_request?ID=102046" xr:uid="{A215CEAC-D67C-4D59-877C-8D192B99DFD9}"/>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21"/>
  <sheetViews>
    <sheetView zoomScale="70" zoomScaleNormal="70"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9.140625" style="59"/>
  </cols>
  <sheetData>
    <row r="1" spans="1:17" ht="19.5" customHeight="1">
      <c r="A1" s="61" t="str" cm="1">
        <f t="array" ref="A1">portfolio</f>
        <v>Freepoint</v>
      </c>
      <c r="B1" s="61"/>
      <c r="C1" s="61"/>
      <c r="D1" s="62" t="s">
        <v>58</v>
      </c>
      <c r="E1" s="62"/>
      <c r="F1" s="62"/>
      <c r="G1" s="60" t="s">
        <v>59</v>
      </c>
      <c r="H1" s="60"/>
      <c r="I1" s="60"/>
      <c r="J1" s="4"/>
      <c r="K1" s="4"/>
    </row>
    <row r="2" spans="1:17" ht="19.5" customHeight="1">
      <c r="A2" s="63" t="s">
        <v>2</v>
      </c>
      <c r="B2" s="63"/>
      <c r="C2" s="5">
        <f>SUM(C4:C79)</f>
        <v>932688</v>
      </c>
      <c r="D2" s="5">
        <f>SUM(D4:D79)</f>
        <v>1163626.111</v>
      </c>
      <c r="E2" s="5">
        <f>C2-D2</f>
        <v>-230938.11100000003</v>
      </c>
      <c r="F2" s="6">
        <f>IFERROR(E2/D2, 0)</f>
        <v>-0.19846418778067454</v>
      </c>
      <c r="G2" s="5">
        <f>SUM(G4:G79)</f>
        <v>963211.91</v>
      </c>
      <c r="H2" s="7">
        <f>C2-G2</f>
        <v>-30523.910000000033</v>
      </c>
      <c r="I2" s="6">
        <f>IFERROR(H2/G2, 0)</f>
        <v>-3.1689714052642926E-2</v>
      </c>
      <c r="J2" s="25" t="str">
        <f ca="1">IF(AND(TODAY()&gt;DATE(2024, 7, 1), COUNTA(Sites[Site])&lt;&gt;(COUNT(C:C)-1)), "Some sites are missing actual data; if new sites were added, make sure they are aligned correctly (including prior months!)", "")</f>
        <v/>
      </c>
      <c r="K2" s="4"/>
    </row>
    <row r="3" spans="1:17" ht="14.25" customHeight="1">
      <c r="A3" s="8" t="s">
        <v>3</v>
      </c>
      <c r="B3" s="8" t="s">
        <v>4</v>
      </c>
      <c r="C3" s="22" t="s">
        <v>5</v>
      </c>
      <c r="D3" s="31" t="s">
        <v>6</v>
      </c>
      <c r="E3" s="31" t="s">
        <v>7</v>
      </c>
      <c r="F3" s="32" t="s">
        <v>8</v>
      </c>
      <c r="G3" s="33" t="s">
        <v>9</v>
      </c>
      <c r="H3" s="34" t="s">
        <v>7</v>
      </c>
      <c r="I3" s="35" t="s">
        <v>8</v>
      </c>
      <c r="J3" s="24" t="s">
        <v>20</v>
      </c>
      <c r="K3" s="24" t="s">
        <v>21</v>
      </c>
    </row>
    <row r="4" spans="1:17" ht="144">
      <c r="A4" s="51" t="str" cm="1">
        <f t="array" ref="A4">Sites[Site]</f>
        <v>NY: Coxsackie - State Route 9 West</v>
      </c>
      <c r="B4" s="27" t="str" cm="1">
        <f t="array" ref="B4">Sites[State]</f>
        <v>NY</v>
      </c>
      <c r="C4" s="23">
        <v>932688</v>
      </c>
      <c r="D4" s="12">
        <v>1163626.111</v>
      </c>
      <c r="E4" s="12">
        <f>IF(AND(ISNUMBER(C4),ISNUMBER(D4)), C4-D4, "")</f>
        <v>-230938.11100000003</v>
      </c>
      <c r="F4" s="13">
        <f>IFERROR(E4/D4, "")</f>
        <v>-0.19846418778067454</v>
      </c>
      <c r="G4" s="14">
        <v>963211.91</v>
      </c>
      <c r="H4" s="14">
        <f>IF(AND(ISNUMBER(C4),ISNUMBER(G4)), C4-G4, "")</f>
        <v>-30523.910000000033</v>
      </c>
      <c r="I4" s="15">
        <f>IFERROR(H4/G4, "")</f>
        <v>-3.1689714052642926E-2</v>
      </c>
      <c r="J4" s="36" t="s">
        <v>60</v>
      </c>
      <c r="K4" s="53" t="s">
        <v>61</v>
      </c>
      <c r="L4" s="58" t="s">
        <v>49</v>
      </c>
      <c r="M4" s="58" t="s">
        <v>62</v>
      </c>
      <c r="N4" s="58" t="s">
        <v>63</v>
      </c>
      <c r="O4" s="58" t="s">
        <v>64</v>
      </c>
      <c r="P4" s="58" t="s">
        <v>65</v>
      </c>
      <c r="Q4" s="58" t="s">
        <v>66</v>
      </c>
    </row>
    <row r="5" spans="1:17" ht="14.45">
      <c r="A5" s="20"/>
      <c r="B5" s="29"/>
      <c r="C5" s="20"/>
      <c r="D5" s="20"/>
      <c r="E5" s="20"/>
      <c r="F5" s="20"/>
      <c r="G5" s="20"/>
      <c r="H5" s="20"/>
      <c r="I5" s="20"/>
      <c r="J5" s="20"/>
      <c r="K5" s="20"/>
    </row>
    <row r="6" spans="1:17" ht="14.45">
      <c r="A6" s="20"/>
      <c r="B6" s="29"/>
      <c r="C6" s="20"/>
      <c r="D6" s="20"/>
      <c r="E6" s="20"/>
      <c r="F6" s="20"/>
      <c r="G6" s="20"/>
      <c r="H6" s="20"/>
      <c r="I6" s="20"/>
      <c r="J6" s="20"/>
      <c r="K6" s="20"/>
    </row>
    <row r="7" spans="1:17" ht="14.45">
      <c r="A7" s="20"/>
      <c r="B7" s="29"/>
      <c r="C7" s="20"/>
      <c r="D7" s="20"/>
      <c r="E7" s="20"/>
      <c r="F7" s="20"/>
      <c r="G7" s="20"/>
      <c r="H7" s="20"/>
      <c r="I7" s="20"/>
      <c r="J7" s="20"/>
      <c r="K7" s="20"/>
    </row>
    <row r="8" spans="1:17" ht="14.45">
      <c r="A8" s="20"/>
      <c r="B8" s="29"/>
      <c r="C8" s="20"/>
      <c r="D8" s="20"/>
      <c r="E8" s="20"/>
      <c r="F8" s="20"/>
      <c r="G8" s="20"/>
      <c r="H8" s="20"/>
      <c r="I8" s="20"/>
      <c r="J8" s="20"/>
      <c r="K8" s="20"/>
    </row>
    <row r="9" spans="1:17" ht="14.45">
      <c r="A9" s="20"/>
      <c r="B9" s="29"/>
      <c r="C9" s="20"/>
      <c r="D9" s="20"/>
      <c r="E9" s="20"/>
      <c r="F9" s="20"/>
      <c r="G9" s="20"/>
      <c r="H9" s="20"/>
      <c r="I9" s="20"/>
      <c r="J9" s="20"/>
      <c r="K9" s="20"/>
    </row>
    <row r="10" spans="1:17" ht="14.45">
      <c r="A10" s="20"/>
      <c r="B10" s="29"/>
      <c r="C10" s="20"/>
      <c r="D10" s="20"/>
      <c r="E10" s="20"/>
      <c r="F10" s="20"/>
      <c r="G10" s="20"/>
      <c r="H10" s="20"/>
      <c r="I10" s="20"/>
      <c r="J10" s="20"/>
      <c r="K10" s="20"/>
    </row>
    <row r="11" spans="1:17" ht="14.45">
      <c r="A11" s="20"/>
      <c r="B11" s="29"/>
      <c r="C11" s="20"/>
      <c r="D11" s="20"/>
      <c r="E11" s="20"/>
      <c r="F11" s="20"/>
      <c r="G11" s="20"/>
      <c r="H11" s="20"/>
      <c r="I11" s="20"/>
      <c r="J11" s="20"/>
      <c r="K11" s="20"/>
    </row>
    <row r="12" spans="1:17" ht="14.45">
      <c r="A12" s="20"/>
      <c r="B12" s="29"/>
      <c r="C12" s="20"/>
      <c r="D12" s="20"/>
      <c r="E12" s="20"/>
      <c r="F12" s="21"/>
      <c r="G12" s="20"/>
      <c r="H12" s="20"/>
      <c r="I12" s="21"/>
      <c r="J12" s="20"/>
      <c r="K12" s="20"/>
    </row>
    <row r="13" spans="1:17" ht="14.45">
      <c r="A13" s="20"/>
      <c r="B13" s="29"/>
      <c r="C13" s="20"/>
      <c r="D13" s="20"/>
      <c r="E13" s="20"/>
      <c r="F13" s="21"/>
      <c r="G13" s="20"/>
      <c r="H13" s="20"/>
      <c r="I13" s="21"/>
      <c r="J13" s="20"/>
      <c r="K13" s="20"/>
    </row>
    <row r="14" spans="1:17" ht="14.45">
      <c r="A14" s="20"/>
      <c r="B14" s="29"/>
      <c r="C14" s="20"/>
      <c r="D14" s="20"/>
      <c r="E14" s="20"/>
      <c r="F14" s="21"/>
      <c r="G14" s="20"/>
      <c r="H14" s="20"/>
      <c r="I14" s="21"/>
      <c r="J14" s="20"/>
      <c r="K14" s="20"/>
    </row>
    <row r="15" spans="1:17" ht="14.45">
      <c r="A15" s="20"/>
      <c r="B15" s="29"/>
      <c r="C15" s="20"/>
      <c r="D15" s="20"/>
      <c r="E15" s="20"/>
      <c r="F15" s="21"/>
      <c r="G15" s="20"/>
      <c r="H15" s="20"/>
      <c r="I15" s="21"/>
      <c r="J15" s="20"/>
      <c r="K15" s="20"/>
    </row>
    <row r="16" spans="1:17"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sortState xmlns:xlrd2="http://schemas.microsoft.com/office/spreadsheetml/2017/richdata2" ref="A3:K4">
    <sortCondition ref="A3:A4"/>
  </sortState>
  <mergeCells count="4">
    <mergeCell ref="G1:I1"/>
    <mergeCell ref="A1:C1"/>
    <mergeCell ref="D1:F1"/>
    <mergeCell ref="A2:B2"/>
  </mergeCells>
  <conditionalFormatting sqref="F2 I2 F4:F79 I4:I79">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562" xr:uid="{B2A26DF1-512A-4F4B-9472-18265CC75CB4}"/>
    <hyperlink ref="L4" r:id="rId2" display="https://us3.assetplanner.com/service_request?ID=102046" xr:uid="{23653881-D4BE-45C7-8EEA-8DFD921C4F0A}"/>
    <hyperlink ref="M4" r:id="rId3" display="https://us3.assetplanner.com/service_request?ID=104014" xr:uid="{815FCEA5-86B9-4CED-91E6-BCDAC483B280}"/>
    <hyperlink ref="N4" r:id="rId4" display="https://us3.assetplanner.com/service_request?ID=104278" xr:uid="{1C808DD0-1CE0-4C90-BE5D-10032F2ECD20}"/>
    <hyperlink ref="O4" r:id="rId5" display="https://us3.assetplanner.com/service_request?ID=104428" xr:uid="{56A8B180-32CC-4DF6-9DE8-4368A5418DDD}"/>
    <hyperlink ref="P4" r:id="rId6" display="https://us3.assetplanner.com/service_request?ID=104582" xr:uid="{794E56FA-7ED3-4782-AF50-FC606921B1CC}"/>
    <hyperlink ref="Q4" r:id="rId7" display="https://us3.assetplanner.com/service_request?ID=105070" xr:uid="{24A461CE-A45D-4BCE-97E0-2093D9968AE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321"/>
  <sheetViews>
    <sheetView tabSelected="1" zoomScale="80" zoomScaleNormal="80" workbookViewId="0">
      <pane xSplit="2" ySplit="3" topLeftCell="C4" activePane="bottomRight" state="frozen"/>
      <selection pane="bottomRight" activeCell="Q4" sqref="Q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56"/>
  </cols>
  <sheetData>
    <row r="1" spans="1:14" ht="19.5" customHeight="1">
      <c r="A1" s="61" t="str" cm="1">
        <f t="array" ref="A1">portfolio</f>
        <v>Freepoint</v>
      </c>
      <c r="B1" s="61"/>
      <c r="C1" s="61"/>
      <c r="D1" s="62" t="s">
        <v>67</v>
      </c>
      <c r="E1" s="62"/>
      <c r="F1" s="62"/>
      <c r="G1" s="60" t="s">
        <v>68</v>
      </c>
      <c r="H1" s="60"/>
      <c r="I1" s="60"/>
      <c r="J1" s="4"/>
      <c r="K1" s="4"/>
    </row>
    <row r="2" spans="1:14" ht="19.5" customHeight="1">
      <c r="A2" s="63" t="s">
        <v>2</v>
      </c>
      <c r="B2" s="63"/>
      <c r="C2" s="5">
        <f>SUM(C4:C79)</f>
        <v>1141730.79</v>
      </c>
      <c r="D2" s="5">
        <f>SUM(D4:D79)</f>
        <v>1315221.2819999999</v>
      </c>
      <c r="E2" s="5">
        <f>C2-D2</f>
        <v>-173490.49199999985</v>
      </c>
      <c r="F2" s="6">
        <f>IFERROR(E2/D2, 0)</f>
        <v>-0.13190973593141711</v>
      </c>
      <c r="G2" s="5">
        <f>SUM(G4:G79)</f>
        <v>908332.05</v>
      </c>
      <c r="H2" s="7">
        <f>C2-G2</f>
        <v>233398.74</v>
      </c>
      <c r="I2" s="6">
        <f>IFERROR(H2/G2, 0)</f>
        <v>0.25695310431906482</v>
      </c>
      <c r="J2" s="25" t="str">
        <f ca="1">IF(AND(TODAY()&gt;DATE(2024, 8,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72">
      <c r="A4" s="28" t="str" cm="1">
        <f t="array" ref="A4">Sites[Site]</f>
        <v>NY: Coxsackie - State Route 9 West</v>
      </c>
      <c r="B4" s="27" t="str" cm="1">
        <f t="array" ref="B4">Sites[State]</f>
        <v>NY</v>
      </c>
      <c r="C4" s="23">
        <v>1141730.79</v>
      </c>
      <c r="D4" s="12">
        <v>1315221.2819999999</v>
      </c>
      <c r="E4" s="12">
        <f>IF(AND(ISNUMBER(C4),ISNUMBER(D4)), C4-D4, "")</f>
        <v>-173490.49199999985</v>
      </c>
      <c r="F4" s="13">
        <f>IFERROR(E4/D4, "")</f>
        <v>-0.13190973593141711</v>
      </c>
      <c r="G4" s="14">
        <v>908332.05</v>
      </c>
      <c r="H4" s="14">
        <f>IF(AND(ISNUMBER(C4),ISNUMBER(G4)), C4-G4, "")</f>
        <v>233398.74</v>
      </c>
      <c r="I4" s="15">
        <f>IFERROR(H4/G4, "")</f>
        <v>0.25695310431906482</v>
      </c>
      <c r="J4" s="36" t="s">
        <v>69</v>
      </c>
      <c r="K4" s="53" t="s">
        <v>70</v>
      </c>
      <c r="L4" s="54" t="s">
        <v>71</v>
      </c>
      <c r="M4" s="54" t="s">
        <v>66</v>
      </c>
      <c r="N4" s="54" t="s">
        <v>72</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5070" xr:uid="{A8CA984E-98E1-4AE0-8F22-3439F8BA15FB}"/>
    <hyperlink ref="L4" r:id="rId2" display="https://us3.assetplanner.com/service_request?ID=103562" xr:uid="{F83013F8-7A7E-4536-AAFA-A6AC1A3176BB}"/>
    <hyperlink ref="M4" r:id="rId3" display="https://us3.assetplanner.com/service_request?ID=105070" xr:uid="{72AC35BD-CF8B-4257-81F6-79E110ED0E7F}"/>
    <hyperlink ref="N4" r:id="rId4" display="https://us3.assetplanner.com/service_request?ID=106460" xr:uid="{72D17F97-BBD5-4E8C-929B-B4A7B8314087}"/>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1"/>
  <sheetViews>
    <sheetView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Freepoint</v>
      </c>
      <c r="B1" s="61"/>
      <c r="C1" s="61"/>
      <c r="D1" s="62" t="s">
        <v>73</v>
      </c>
      <c r="E1" s="62"/>
      <c r="F1" s="62"/>
      <c r="G1" s="60" t="s">
        <v>74</v>
      </c>
      <c r="H1" s="60"/>
      <c r="I1" s="60"/>
      <c r="J1" s="4"/>
      <c r="K1" s="4"/>
    </row>
    <row r="2" spans="1:11" ht="19.5" customHeight="1">
      <c r="A2" s="63" t="s">
        <v>2</v>
      </c>
      <c r="B2" s="63"/>
      <c r="C2" s="5">
        <f>SUM(C4:C79)</f>
        <v>0</v>
      </c>
      <c r="D2" s="5">
        <f>SUM(D4:D79)</f>
        <v>0</v>
      </c>
      <c r="E2" s="5">
        <f>C2-D2</f>
        <v>0</v>
      </c>
      <c r="F2" s="6">
        <f>IFERROR(E2/D2, 0)</f>
        <v>0</v>
      </c>
      <c r="G2" s="5">
        <f>SUM(G4:G79)</f>
        <v>0</v>
      </c>
      <c r="H2" s="7">
        <f>C2-G2</f>
        <v>0</v>
      </c>
      <c r="I2" s="6">
        <f>IFERROR(H2/G2, 0)</f>
        <v>0</v>
      </c>
      <c r="J2" s="2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1"/>
  <sheetViews>
    <sheetView zoomScale="80" zoomScaleNormal="80"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Freepoint</v>
      </c>
      <c r="B1" s="61"/>
      <c r="C1" s="61"/>
      <c r="D1" s="62" t="s">
        <v>75</v>
      </c>
      <c r="E1" s="62"/>
      <c r="F1" s="62"/>
      <c r="G1" s="60" t="s">
        <v>76</v>
      </c>
      <c r="H1" s="60"/>
      <c r="I1" s="60"/>
      <c r="J1" s="4"/>
      <c r="K1" s="4"/>
    </row>
    <row r="2" spans="1:11" ht="19.5" customHeight="1">
      <c r="A2" s="63" t="s">
        <v>2</v>
      </c>
      <c r="B2" s="63"/>
      <c r="C2" s="5">
        <f>SUM(C4:C79)</f>
        <v>0</v>
      </c>
      <c r="D2" s="5">
        <f>SUM(D4:D79)</f>
        <v>0</v>
      </c>
      <c r="E2" s="5">
        <f>C2-D2</f>
        <v>0</v>
      </c>
      <c r="F2" s="6">
        <f>IFERROR(E2/D2, 0)</f>
        <v>0</v>
      </c>
      <c r="G2" s="5">
        <f>SUM(G4:G79)</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52"/>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79 I4:I79">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1"/>
  <sheetViews>
    <sheetView zoomScale="80" zoomScaleNormal="80" workbookViewId="0">
      <pane xSplit="2" ySplit="3" topLeftCell="G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Freepoint</v>
      </c>
      <c r="B1" s="61"/>
      <c r="C1" s="61"/>
      <c r="D1" s="62" t="s">
        <v>77</v>
      </c>
      <c r="E1" s="62"/>
      <c r="F1" s="62"/>
      <c r="G1" s="60" t="s">
        <v>78</v>
      </c>
      <c r="H1" s="60"/>
      <c r="I1" s="60"/>
      <c r="J1" s="4"/>
      <c r="K1" s="4"/>
    </row>
    <row r="2" spans="1:11" ht="19.5" customHeight="1">
      <c r="A2" s="63" t="s">
        <v>2</v>
      </c>
      <c r="B2" s="63"/>
      <c r="C2" s="5">
        <f>SUM(C4:C79)</f>
        <v>0</v>
      </c>
      <c r="D2" s="5">
        <f>SUM(D4:D79)</f>
        <v>0</v>
      </c>
      <c r="E2" s="5">
        <f>C2-D2</f>
        <v>0</v>
      </c>
      <c r="F2" s="6">
        <f>IFERROR(E2/D2, 0)</f>
        <v>0</v>
      </c>
      <c r="G2" s="5">
        <f>SUM(G4:G79)</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1"/>
  <sheetViews>
    <sheetView workbookViewId="0">
      <pane xSplit="2" ySplit="3" topLeftCell="C4" activePane="bottomRight" state="frozen"/>
      <selection pane="bottomRight" activeCell="J29" sqref="J29"/>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Freepoint</v>
      </c>
      <c r="B1" s="61"/>
      <c r="C1" s="61"/>
      <c r="D1" s="62" t="s">
        <v>79</v>
      </c>
      <c r="E1" s="62"/>
      <c r="F1" s="62"/>
      <c r="G1" s="60" t="s">
        <v>80</v>
      </c>
      <c r="H1" s="60"/>
      <c r="I1" s="60"/>
      <c r="J1" s="4"/>
      <c r="K1" s="4"/>
    </row>
    <row r="2" spans="1:11" ht="19.5" customHeight="1">
      <c r="A2" s="63" t="s">
        <v>2</v>
      </c>
      <c r="B2" s="63"/>
      <c r="C2" s="5">
        <f>SUM(C4:C79)</f>
        <v>0</v>
      </c>
      <c r="D2" s="5">
        <f>SUM(D4:D79)</f>
        <v>0</v>
      </c>
      <c r="E2" s="5">
        <f>C2-D2</f>
        <v>0</v>
      </c>
      <c r="F2" s="6">
        <f>IFERROR(E2/D2, 0)</f>
        <v>0</v>
      </c>
      <c r="G2" s="5">
        <f>SUM(G4:G79)</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D8" sqref="D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81</v>
      </c>
      <c r="B1" t="s">
        <v>82</v>
      </c>
    </row>
    <row r="3" spans="1:12" ht="13.15">
      <c r="A3" t="s">
        <v>83</v>
      </c>
      <c r="B3" t="s">
        <v>3</v>
      </c>
      <c r="C3" t="s">
        <v>4</v>
      </c>
      <c r="D3" t="s">
        <v>84</v>
      </c>
      <c r="E3" s="2" t="s">
        <v>85</v>
      </c>
    </row>
    <row r="4" spans="1:12" ht="14.45">
      <c r="A4" s="44" t="s">
        <v>86</v>
      </c>
      <c r="B4" t="s">
        <v>87</v>
      </c>
      <c r="C4" s="42" t="s">
        <v>88</v>
      </c>
      <c r="D4" s="41" t="s">
        <v>89</v>
      </c>
      <c r="E4" t="s">
        <v>90</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78388C9-06F9-42F4-B857-EF76B5CAF1FD}"/>
</file>

<file path=customXml/itemProps2.xml><?xml version="1.0" encoding="utf-8"?>
<ds:datastoreItem xmlns:ds="http://schemas.openxmlformats.org/officeDocument/2006/customXml" ds:itemID="{66B09F59-6532-46F8-924A-9A02417E070D}"/>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14966E4F-347B-477B-B74C-9DAC05405806}"/>
</file>

<file path=customXml/itemProps8.xml><?xml version="1.0" encoding="utf-8"?>
<ds:datastoreItem xmlns:ds="http://schemas.openxmlformats.org/officeDocument/2006/customXml" ds:itemID="{CB52044A-5C0B-44A2-99D0-C1C315EC302D}"/>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98A113BB-8B7A-453C-8BD4-8EFC67FC2D3F}"/>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8BA0CC8B-6A71-4B6F-8F56-82CC4846BB20}"/>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0389C43E-394D-44C0-87DC-4780FCFCFB40}"/>
</file>

<file path=customXml/itemProps15.xml><?xml version="1.0" encoding="utf-8"?>
<ds:datastoreItem xmlns:ds="http://schemas.openxmlformats.org/officeDocument/2006/customXml" ds:itemID="{8D732231-4216-4543-A665-18A2886B0EB7}"/>
</file>

<file path=customXml/itemProps16.xml><?xml version="1.0" encoding="utf-8"?>
<ds:datastoreItem xmlns:ds="http://schemas.openxmlformats.org/officeDocument/2006/customXml" ds:itemID="{2BC74AAC-D69B-4AF1-9649-B21EF3C1C463}"/>
</file>

<file path=customXml/itemProps17.xml><?xml version="1.0" encoding="utf-8"?>
<ds:datastoreItem xmlns:ds="http://schemas.openxmlformats.org/officeDocument/2006/customXml" ds:itemID="{1954BBA4-0359-438C-B0EC-A756015F7C02}"/>
</file>

<file path=customXml/itemProps18.xml><?xml version="1.0" encoding="utf-8"?>
<ds:datastoreItem xmlns:ds="http://schemas.openxmlformats.org/officeDocument/2006/customXml" ds:itemID="{E20E8303-6A67-485C-B6F4-303542CC295C}"/>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2025-09-22T18:36:51Z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2024-08-26T12:31:49Z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68bd6363-48df-474e-93cb-d504771664c3</vt:lpwstr>
  </property>
  <property fmtid="{D5CDD505-2E9C-101B-9397-08002B2CF9AE}" pid="9" name="MSIP_Label_9d817c99-0b37-4a07-8277-96aa1f96b74b_ContentBits">
    <vt:lpwstr>0</vt:lpwstr>
  </property>
</Properties>
</file>