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3" documentId="13_ncr:1_{13458E2A-3C4A-4D7B-9A2C-55DED4B1CD3B}" xr6:coauthVersionLast="47" xr6:coauthVersionMax="47" xr10:uidLastSave="{86D4899A-2F7A-476B-9FA0-1DB39B5E27BA}"/>
  <bookViews>
    <workbookView xWindow="-98" yWindow="-98" windowWidth="21795" windowHeight="12975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0" l="1"/>
  <c r="G4" i="30"/>
  <c r="G2" i="30" s="1"/>
  <c r="G4" i="29"/>
  <c r="D4" i="29"/>
  <c r="H4" i="19"/>
  <c r="I4" i="19" s="1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I4" i="20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1" l="1"/>
  <c r="I2" i="21" s="1"/>
  <c r="E2" i="20"/>
  <c r="F2" i="20" s="1"/>
  <c r="E4" i="18"/>
  <c r="F4" i="18" s="1"/>
  <c r="G4" i="34"/>
  <c r="G2" i="34" s="1"/>
  <c r="H2" i="33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<sst xmlns="http://schemas.openxmlformats.org/spreadsheetml/2006/main" count="248" uniqueCount="56">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</sst>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70878.395026999991</v>
      </c>
      <c r="D2" s="6">
        <f>SUM(D4:D60)</f>
        <v>0</v>
      </c>
      <c r="E2" s="6">
        <f>C2-D2</f>
        <v>70878.395026999991</v>
      </c>
      <c r="F2" s="7">
        <f>IFERROR(E2/D2, 0)</f>
        <v>0</v>
      </c>
      <c r="G2" s="6">
        <f>SUM(G4:G60)</f>
        <v>44166.763999999996</v>
      </c>
      <c r="H2" s="8">
        <f>C2-G2</f>
        <v>26711.631026999996</v>
      </c>
      <c r="I2" s="7">
        <f>IFERROR(H2/G2, 0)</f>
        <v>0.60479031307342324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70878.395026999991</v>
      </c>
      <c r="D4" s="14">
        <f>SUM('1st Qtr'!D4, '2nd Qtr'!D4, '3rd Qtr'!D4, '4th Qtr'!D4)</f>
        <v>0</v>
      </c>
      <c r="E4" s="14">
        <f>IF(AND(ISNUMBER(C4),ISNUMBER(D4)), C4-D4, "")</f>
        <v>70878.395026999991</v>
      </c>
      <c r="F4" s="15" t="str">
        <f>IFERROR(E4/D4, "")</f>
        <v/>
      </c>
      <c r="G4" s="16">
        <f>SUM('1st Qtr'!G4,'2nd Qtr'!G4,'3rd Qtr'!G4,'4th Qtr'!G4)</f>
        <v>44166.763999999996</v>
      </c>
      <c r="H4" s="16">
        <f>SUM('1st Qtr'!H4, '2nd Qtr'!H4, '3rd Qtr'!H4, '4th Qtr'!H4)</f>
        <v>26711.631027000003</v>
      </c>
      <c r="I4" s="17">
        <f>IFERROR(H4/G4, "")</f>
        <v>0.60479031307342335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16193.530027000001</v>
      </c>
      <c r="D2" s="6">
        <f>SUM(D4:D68)</f>
        <v>0</v>
      </c>
      <c r="E2" s="6">
        <f>C2-D2</f>
        <v>16193.530027000001</v>
      </c>
      <c r="F2" s="7">
        <f>IFERROR(E2/D2, 0)</f>
        <v>0</v>
      </c>
      <c r="G2" s="6">
        <f>SUM(G4:G68)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16193.530027000001</v>
      </c>
      <c r="D4" s="14">
        <f>SUM(Jan!D4, Feb!D4, Mar!D4)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SUM(Jan!G4, Feb!G4, Mar!G4)</f>
        <v>10699.763999999999</v>
      </c>
      <c r="H4" s="16">
        <f>SUM(Jan!H4, Feb!H4, Mar!H4)</f>
        <v>5493.7660270000006</v>
      </c>
      <c r="I4" s="17">
        <f>IFERROR(H4/G4, "")</f>
        <v>0.51344740192400518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31091.1</v>
      </c>
      <c r="D2" s="6">
        <f>SUM(D4:D90)</f>
        <v>0</v>
      </c>
      <c r="E2" s="6">
        <f>C2-D2</f>
        <v>31091.1</v>
      </c>
      <c r="F2" s="7">
        <f>IFERROR(E2/D2, 0)</f>
        <v>0</v>
      </c>
      <c r="G2" s="6">
        <f>SUM(G4:G90)</f>
        <v>20044</v>
      </c>
      <c r="H2" s="8">
        <f>C2-G2</f>
        <v>11047.099999999999</v>
      </c>
      <c r="I2" s="7">
        <f>IFERROR(H2/G2, 0)</f>
        <v>0.55114248652963471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31091.1</v>
      </c>
      <c r="D4" s="14">
        <f>SUM(Apr!D4, May!D4, Jun!D4)</f>
        <v>0</v>
      </c>
      <c r="E4" s="14">
        <f>IF(AND(ISNUMBER(C4),ISNUMBER(D4)), C4-D4, "")</f>
        <v>31091.1</v>
      </c>
      <c r="F4" s="15" t="str">
        <f>IFERROR(E4/D4, "")</f>
        <v/>
      </c>
      <c r="G4" s="16">
        <f>SUM(Apr!G4+May!G4+Jun!G4)</f>
        <v>20044</v>
      </c>
      <c r="H4" s="16">
        <f>SUM(Apr!H4, May!H4, Jun!H4)</f>
        <v>11047.099999999999</v>
      </c>
      <c r="I4" s="17">
        <f>IFERROR(H4/G4, "")</f>
        <v>0.55114248652963471</v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23593.764999999999</v>
      </c>
      <c r="D2" s="6">
        <f>SUM(D4:D89)</f>
        <v>0</v>
      </c>
      <c r="E2" s="6">
        <f>C2-D2</f>
        <v>23593.764999999999</v>
      </c>
      <c r="F2" s="7">
        <f>IFERROR(E2/D2, 0)</f>
        <v>0</v>
      </c>
      <c r="G2" s="6">
        <f>SUM(G4:G89)</f>
        <v>13423</v>
      </c>
      <c r="H2" s="8">
        <f>C2-G2</f>
        <v>10170.764999999999</v>
      </c>
      <c r="I2" s="7">
        <f>IFERROR(H2/G2, 0)</f>
        <v>0.75771176339119417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23593.764999999999</v>
      </c>
      <c r="D4" s="14">
        <f>SUM(Jul!D4, Aug!D4, Sep!D4)</f>
        <v>0</v>
      </c>
      <c r="E4" s="14">
        <f>IF(AND(ISNUMBER(C4),ISNUMBER(D4)), C4-D4, "")</f>
        <v>23593.764999999999</v>
      </c>
      <c r="F4" s="15" t="str">
        <f>IFERROR(E4/D4, "")</f>
        <v/>
      </c>
      <c r="G4" s="16">
        <f>SUM(Jul!G4, Aug!G4, Sep!G4)</f>
        <v>13423</v>
      </c>
      <c r="H4" s="16">
        <f>SUM(Jul!H4, Aug!H4, Sep!H4)</f>
        <v>10170.765000000001</v>
      </c>
      <c r="I4" s="17">
        <f>IFERROR(H4/G4, "")</f>
        <v>0.75771176339119428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7" sqref="E17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11" sqref="D11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6" sqref="J6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8522.9650270000002</v>
      </c>
      <c r="D2" s="6">
        <f>SUM(D4:D90)</f>
        <v>0</v>
      </c>
      <c r="E2" s="6">
        <f>C2-D2</f>
        <v>8522.9650270000002</v>
      </c>
      <c r="F2" s="7">
        <f>IFERROR(E2/D2, 0)</f>
        <v>0</v>
      </c>
      <c r="G2" s="6">
        <f>SUM(G4:G90)</f>
        <v>5207</v>
      </c>
      <c r="H2" s="8">
        <f>C2-G2</f>
        <v>3315.9650270000002</v>
      </c>
      <c r="I2" s="7">
        <f>IFERROR(H2/G2, 0)</f>
        <v>0.63682831323218747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8522.9650270000002</v>
      </c>
      <c r="D4" s="14" t="s">
        <v>27</v>
      </c>
      <c r="E4" s="14" t="str">
        <f>IF(AND(ISNUMBER(C4),ISNUMBER(D4)), C4-D4, "")</f>
        <v/>
      </c>
      <c r="F4" s="15" t="str">
        <f>IFERROR(E4/D4, "")</f>
        <v/>
      </c>
      <c r="G4" s="16">
        <v>5207</v>
      </c>
      <c r="H4" s="16">
        <f>IF(AND(ISNUMBER(C4),ISNUMBER(G4)), C4-G4, "")</f>
        <v>3315.9650270000002</v>
      </c>
      <c r="I4" s="17">
        <f>IFERROR(H4/G4, "")</f>
        <v>0.63682831323218747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4" sqref="G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9886.7999999999993</v>
      </c>
      <c r="D2" s="6">
        <f>SUM(D4:D90)</f>
        <v>0</v>
      </c>
      <c r="E2" s="6">
        <f>C2-D2</f>
        <v>9886.7999999999993</v>
      </c>
      <c r="F2" s="7">
        <f>IFERROR(E2/D2, 0)</f>
        <v>0</v>
      </c>
      <c r="G2" s="6">
        <f>SUM(G4:G90)</f>
        <v>5861</v>
      </c>
      <c r="H2" s="8">
        <f>C2-G2</f>
        <v>4025.7999999999993</v>
      </c>
      <c r="I2" s="7">
        <f>IFERROR(H2/G2, 0)</f>
        <v>0.68687937212079841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9886.7999999999993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5861</v>
      </c>
      <c r="H4" s="16">
        <f>IF(AND(ISNUMBER(C4),ISNUMBER(G4)), C4-G4, "")</f>
        <v>4025.7999999999993</v>
      </c>
      <c r="I4" s="17">
        <f>IFERROR(H4/G4, "")</f>
        <v>0.68687937212079841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G4" sqref="G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10029.375</v>
      </c>
      <c r="D2" s="6">
        <f>SUM(D4:D90)</f>
        <v>0</v>
      </c>
      <c r="E2" s="6">
        <f>C2-D2</f>
        <v>10029.375</v>
      </c>
      <c r="F2" s="7">
        <f>IFERROR(E2/D2, 0)</f>
        <v>0</v>
      </c>
      <c r="G2" s="6">
        <f>SUM(G4:G90)</f>
        <v>7082</v>
      </c>
      <c r="H2" s="8">
        <f>C2-G2</f>
        <v>2947.375</v>
      </c>
      <c r="I2" s="7">
        <f>IFERROR(H2/G2, 0)</f>
        <v>0.41617833945213217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10029.375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7082</v>
      </c>
      <c r="H4" s="16">
        <f>IF(AND(ISNUMBER(C4),ISNUMBER(G4)), C4-G4, "")</f>
        <v>2947.375</v>
      </c>
      <c r="I4" s="17">
        <f>IFERROR(H4/G4, "")</f>
        <v>0.41617833945213217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3" activePane="bottomLeft" state="frozen"/>
      <selection pane="bottomLeft" activeCell="H18" sqref="H18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11174.924999999999</v>
      </c>
      <c r="D2" s="6">
        <f>SUM(D4:D90)</f>
        <v>0</v>
      </c>
      <c r="E2" s="6">
        <f>C2-D2</f>
        <v>11174.924999999999</v>
      </c>
      <c r="F2" s="7">
        <f>IFERROR(E2/D2, 0)</f>
        <v>0</v>
      </c>
      <c r="G2" s="6">
        <f>SUM(G4:G90)</f>
        <v>7101</v>
      </c>
      <c r="H2" s="8">
        <f>C2-G2</f>
        <v>4073.9249999999993</v>
      </c>
      <c r="I2" s="7">
        <f>IFERROR(H2/G2, 0)</f>
        <v>0.57371144909167715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11174.924999999999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7101</v>
      </c>
      <c r="H4" s="16">
        <f>IF(AND(ISNUMBER(C4),ISNUMBER(G4)), C4-G4, "")</f>
        <v>4073.9249999999993</v>
      </c>
      <c r="I4" s="17">
        <f>IFERROR(H4/G4, "")</f>
        <v>0.57371144909167715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H14" sqref="H1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11776.565000000001</v>
      </c>
      <c r="D2" s="6">
        <f>SUM(D4:D90)</f>
        <v>0</v>
      </c>
      <c r="E2" s="6">
        <f>C2-D2</f>
        <v>11776.565000000001</v>
      </c>
      <c r="F2" s="7">
        <f>IFERROR(E2/D2, 0)</f>
        <v>0</v>
      </c>
      <c r="G2" s="6">
        <f>SUM(G4:G90)</f>
        <v>7014</v>
      </c>
      <c r="H2" s="8">
        <f>C2-G2</f>
        <v>4762.5650000000005</v>
      </c>
      <c r="I2" s="7">
        <f>IFERROR(H2/G2, 0)</f>
        <v>0.67900841174793281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11776.565000000001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7014</v>
      </c>
      <c r="H4" s="16">
        <f>IF(AND(ISNUMBER(C4),ISNUMBER(G4)), C4-G4, "")</f>
        <v>4762.5650000000005</v>
      </c>
      <c r="I4" s="17">
        <f>IFERROR(H4/G4, "")</f>
        <v>0.67900841174793281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workbookViewId="0">
      <pane ySplit="2" topLeftCell="A3" activePane="bottomLeft" state="frozen"/>
      <selection pane="bottomLeft" activeCell="G7" sqref="G7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11817.2</v>
      </c>
      <c r="D2" s="6">
        <f>SUM(D4:D30)</f>
        <v>0</v>
      </c>
      <c r="E2" s="6">
        <f>C2-D2</f>
        <v>11817.2</v>
      </c>
      <c r="F2" s="7">
        <f>IFERROR(E2/D2, 0)</f>
        <v>0</v>
      </c>
      <c r="G2" s="6">
        <f>SUM(G4:G30)</f>
        <v>6409</v>
      </c>
      <c r="H2" s="8">
        <f>C2-G2</f>
        <v>5408.2000000000007</v>
      </c>
      <c r="I2" s="7">
        <f>IFERROR(H2/G2, 0)</f>
        <v>0.84384459354033403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11817.2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6409</v>
      </c>
      <c r="H4" s="16">
        <f>IF(AND(ISNUMBER(C4),ISNUMBER(G4)), C4-G4, "")</f>
        <v>5408.2000000000007</v>
      </c>
      <c r="I4" s="17">
        <f>IFERROR(H4/G4, "")</f>
        <v>0.84384459354033403</v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52</v>
      </c>
      <c r="C4" s="4" t="s">
        <v>53</v>
      </c>
      <c r="D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8CEB345E-841A-422D-B73A-0505D2B73A60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2025-09-18T06:47:12Z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