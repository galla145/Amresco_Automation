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0106249-43B8-4FA7-B641-6700AE9A2943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<sst xmlns="http://schemas.openxmlformats.org/spreadsheetml/2006/main" count="254" uniqueCount="60">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</sst>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4" sqref="D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6">
        <f>SUM(C4:C60)</f>
        <v>201272.39499999999</v>
      </c>
      <c r="D2" s="6">
        <f>SUM(D4:D60)</f>
        <v>132837.15213900001</v>
      </c>
      <c r="E2" s="6">
        <f>C2-D2</f>
        <v>68435.242860999977</v>
      </c>
      <c r="F2" s="7">
        <f>IFERROR(E2/D2, 0)</f>
        <v>0.51518149673511326</v>
      </c>
      <c r="G2" s="6">
        <f>SUM(G4:G60)</f>
        <v>0</v>
      </c>
      <c r="H2" s="8">
        <f>C2-G2</f>
        <v>201272.39499999999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201272.39499999999</v>
      </c>
      <c r="D4" s="14">
        <f>SUM('1st Qtr'!D4, '2nd Qtr'!D4, '3rd Qtr'!D4, '4th Qtr'!D4)</f>
        <v>132837.15213900001</v>
      </c>
      <c r="E4" s="14">
        <f>IF(AND(ISNUMBER(C4),ISNUMBER(D4)), C4-D4, "")</f>
        <v>68435.242860999977</v>
      </c>
      <c r="F4" s="15">
        <f>IFERROR(E4/D4, "")</f>
        <v>0.51518149673511326</v>
      </c>
      <c r="G4" s="16">
        <f>SUM('1st Qtr'!G4,'2nd Qtr'!G4,'3rd Qtr'!G4,'4th Qtr'!G4)</f>
        <v>0</v>
      </c>
      <c r="H4" s="16">
        <f>SUM('1st Qtr'!H4, '2nd Qtr'!H4, '3rd Qtr'!H4, '4th Qtr'!H4)</f>
        <v>201272.39499999999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L16" sqref="L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6">
        <f>SUM(C4:C89)</f>
        <v>71250.879000000001</v>
      </c>
      <c r="D2" s="6">
        <f>SUM(D4:D89)</f>
        <v>55411.288138999997</v>
      </c>
      <c r="E2" s="6">
        <f>C2-D2</f>
        <v>15839.590861000004</v>
      </c>
      <c r="F2" s="7">
        <f>IFERROR(E2/D2, 0)</f>
        <v>0.2858549474840969</v>
      </c>
      <c r="G2" s="6">
        <f>SUM(G4:G89)</f>
        <v>0</v>
      </c>
      <c r="H2" s="8">
        <f>C2-G2</f>
        <v>71250.879000000001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71250.879000000001</v>
      </c>
      <c r="D4" s="14">
        <f>SUM(Jul!D4, Aug!D4, Sep!D4)</f>
        <v>55411.288138999997</v>
      </c>
      <c r="E4" s="14">
        <f>IF(AND(ISNUMBER(C4),ISNUMBER(D4)), C4-D4, "")</f>
        <v>15839.590861000004</v>
      </c>
      <c r="F4" s="15">
        <f>IFERROR(E4/D4, "")</f>
        <v>0.2858549474840969</v>
      </c>
      <c r="G4" s="16">
        <f>SUM(Jul!G4, Aug!G4, Sep!G4)</f>
        <v>0</v>
      </c>
      <c r="H4" s="16">
        <f>SUM(Jul!H4, Aug!H4, Sep!H4)</f>
        <v>71250.879000000001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pane="bottomLeft" activeCell="H16" sqref="H1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7" sqref="J17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H20" sqref="H19:H20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zoomScale="80" zoomScaleNormal="80" workbookViewId="0">
      <pane ySplit="2" topLeftCell="A3" activePane="bottomLeft" state="frozen"/>
      <selection pane="bottomLeft" activeCell="K4" sqref="K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SUM(C4:C30)</f>
        <v>35625.4</v>
      </c>
      <c r="D2" s="6">
        <f>SUM(D4:D30)</f>
        <v>26946.49</v>
      </c>
      <c r="E2" s="6">
        <f>C2-D2</f>
        <v>8678.91</v>
      </c>
      <c r="F2" s="7">
        <f>IFERROR(E2/D2, 0)</f>
        <v>0.32207942481562529</v>
      </c>
      <c r="G2" s="6">
        <f>SUM(G4:G30)</f>
        <v>0</v>
      </c>
      <c r="H2" s="8">
        <f>C2-G2</f>
        <v>35625.4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</v>
      </c>
      <c r="D4" s="14">
        <v>26946.49</v>
      </c>
      <c r="E4" s="14">
        <f>IF(AND(ISNUMBER(C4),ISNUMBER(D4)), C4-D4, "")</f>
        <v>8678.91</v>
      </c>
      <c r="F4" s="15">
        <f>IFERROR(E4/D4, "")</f>
        <v>0.32207942481562529</v>
      </c>
      <c r="G4" s="16">
        <v>0</v>
      </c>
      <c r="H4" s="16">
        <f>IF(AND(ISNUMBER(C4),ISNUMBER(G4)), C4-G4, "")</f>
        <v>35625.4</v>
      </c>
      <c r="I4" s="17" t="str">
        <f>IFERROR(H4/G4, "")</f>
        <v/>
      </c>
      <c r="J4" s="18" t="s">
        <v>33</v>
      </c>
      <c r="K4" s="42" t="s">
        <v>34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2283" xr:uid="{99ED31F3-346C-4DC0-9E82-761E8D57B3D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48</v>
      </c>
      <c r="E1" s="48"/>
      <c r="F1" s="48"/>
      <c r="G1" s="46" t="s">
        <v>49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RMR Group</v>
      </c>
      <c r="B1" s="47"/>
      <c r="C1" s="47"/>
      <c r="D1" s="48" t="s">
        <v>50</v>
      </c>
      <c r="E1" s="48"/>
      <c r="F1" s="48"/>
      <c r="G1" s="46" t="s">
        <v>51</v>
      </c>
      <c r="H1" s="46"/>
      <c r="I1" s="46"/>
      <c r="J1" s="5"/>
      <c r="K1" s="5"/>
    </row>
    <row r="2" spans="1:11" ht="19.5" customHeight="1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57</v>
      </c>
      <c r="C4" s="4" t="s">
        <v>58</v>
      </c>
      <c r="E4" t="s">
        <v>59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13B813D1-56DD-47C3-862A-5F226DB40836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2025-09-24T20:02:20Z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